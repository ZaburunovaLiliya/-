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lys\YandexDisk\univer\magistr\VKR\3_sem\формула\"/>
    </mc:Choice>
  </mc:AlternateContent>
  <xr:revisionPtr revIDLastSave="0" documentId="13_ncr:1_{29FF2BFC-8385-4DF4-B581-90BD2DF3602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минимумы и максимумы" sheetId="1" r:id="rId1"/>
    <sheet name="исходные данные" sheetId="4" r:id="rId2"/>
    <sheet name="нормал итог" sheetId="6" r:id="rId3"/>
    <sheet name="нормал с макс с К 1,5" sheetId="2" r:id="rId4"/>
    <sheet name="нормал с макс с К 3" sheetId="3" r:id="rId5"/>
    <sheet name="проверка корреляций" sheetId="5" r:id="rId6"/>
    <sheet name="пример расчёта весов" sheetId="16" r:id="rId7"/>
    <sheet name="сервисы восстановление" sheetId="7" r:id="rId8"/>
    <sheet name="сервисы снос" sheetId="8" r:id="rId9"/>
    <sheet name="веса сервисов" sheetId="14" r:id="rId10"/>
    <sheet name="потенциал восстановление" sheetId="9" r:id="rId11"/>
    <sheet name="потенциал снос" sheetId="10" r:id="rId12"/>
    <sheet name="веса показателей" sheetId="15" r:id="rId13"/>
    <sheet name="комбинации потенциалов" sheetId="11" r:id="rId14"/>
    <sheet name="Лист2" sheetId="12" r:id="rId15"/>
    <sheet name="Лист3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3" l="1"/>
  <c r="BS8" i="13"/>
  <c r="BO9" i="13"/>
  <c r="BK9" i="13"/>
  <c r="BG9" i="13"/>
  <c r="BC6" i="13"/>
  <c r="AY6" i="13"/>
  <c r="AU8" i="13"/>
  <c r="AQ9" i="13"/>
  <c r="AM9" i="13"/>
  <c r="AI9" i="13"/>
  <c r="A433" i="12"/>
  <c r="B433" i="12"/>
  <c r="C433" i="12"/>
  <c r="D433" i="12"/>
  <c r="E433" i="12"/>
  <c r="F433" i="12"/>
  <c r="G433" i="12"/>
  <c r="H433" i="12"/>
  <c r="I433" i="12"/>
  <c r="J433" i="12"/>
  <c r="K433" i="12"/>
  <c r="L433" i="12"/>
  <c r="M433" i="12"/>
  <c r="N433" i="12"/>
  <c r="O433" i="12"/>
  <c r="P433" i="12"/>
  <c r="Q433" i="12"/>
  <c r="R433" i="12"/>
  <c r="S433" i="12"/>
  <c r="T433" i="12"/>
  <c r="U433" i="12"/>
  <c r="AE9" i="13"/>
  <c r="AA9" i="13"/>
  <c r="W9" i="13"/>
  <c r="S9" i="13"/>
  <c r="O9" i="13"/>
  <c r="K7" i="13"/>
  <c r="G9" i="13"/>
  <c r="G20" i="11"/>
  <c r="G19" i="11"/>
  <c r="G21" i="11"/>
  <c r="C21" i="11"/>
  <c r="C20" i="11"/>
  <c r="C19" i="11"/>
  <c r="E14" i="11"/>
  <c r="AF3" i="10"/>
  <c r="AE3" i="10"/>
  <c r="Y3" i="10"/>
  <c r="X3" i="10"/>
  <c r="AD3" i="9"/>
  <c r="AC3" i="9"/>
  <c r="W3" i="9"/>
  <c r="V3" i="9"/>
  <c r="O7" i="9"/>
  <c r="K7" i="9"/>
  <c r="R3" i="10"/>
  <c r="S2" i="10"/>
  <c r="Q2" i="9"/>
  <c r="R2" i="9"/>
  <c r="D2" i="6"/>
  <c r="T2" i="9"/>
  <c r="R3" i="9"/>
  <c r="Q3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Q7" i="10"/>
  <c r="V2" i="10"/>
  <c r="Q16" i="10"/>
  <c r="Q15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8" i="10"/>
  <c r="Q9" i="10"/>
  <c r="Q10" i="10"/>
  <c r="Q11" i="10"/>
  <c r="Q12" i="10"/>
  <c r="Q13" i="10"/>
  <c r="Q14" i="10"/>
  <c r="S3" i="10"/>
  <c r="R2" i="10"/>
  <c r="M7" i="10"/>
  <c r="P3" i="9"/>
  <c r="Q3" i="10"/>
  <c r="Q2" i="10"/>
  <c r="P2" i="9"/>
  <c r="O3" i="9"/>
  <c r="O2" i="9"/>
  <c r="O409" i="10"/>
  <c r="N421" i="10"/>
  <c r="M429" i="10"/>
  <c r="M8" i="10"/>
  <c r="N8" i="10"/>
  <c r="O8" i="10"/>
  <c r="M9" i="10"/>
  <c r="N9" i="10"/>
  <c r="O9" i="10"/>
  <c r="M10" i="10"/>
  <c r="N10" i="10"/>
  <c r="O10" i="10"/>
  <c r="M11" i="10"/>
  <c r="N11" i="10"/>
  <c r="O11" i="10"/>
  <c r="M12" i="10"/>
  <c r="N12" i="10"/>
  <c r="O12" i="10"/>
  <c r="M13" i="10"/>
  <c r="N13" i="10"/>
  <c r="O13" i="10"/>
  <c r="M14" i="10"/>
  <c r="N14" i="10"/>
  <c r="O14" i="10"/>
  <c r="M15" i="10"/>
  <c r="N15" i="10"/>
  <c r="O15" i="10"/>
  <c r="M16" i="10"/>
  <c r="N16" i="10"/>
  <c r="O16" i="10"/>
  <c r="M17" i="10"/>
  <c r="N17" i="10"/>
  <c r="O17" i="10"/>
  <c r="M18" i="10"/>
  <c r="N18" i="10"/>
  <c r="O18" i="10"/>
  <c r="M19" i="10"/>
  <c r="N19" i="10"/>
  <c r="O19" i="10"/>
  <c r="M20" i="10"/>
  <c r="N20" i="10"/>
  <c r="O20" i="10"/>
  <c r="M21" i="10"/>
  <c r="N21" i="10"/>
  <c r="O21" i="10"/>
  <c r="M22" i="10"/>
  <c r="N22" i="10"/>
  <c r="O22" i="10"/>
  <c r="M23" i="10"/>
  <c r="N23" i="10"/>
  <c r="O23" i="10"/>
  <c r="M24" i="10"/>
  <c r="N24" i="10"/>
  <c r="O24" i="10"/>
  <c r="M25" i="10"/>
  <c r="N25" i="10"/>
  <c r="O25" i="10"/>
  <c r="M26" i="10"/>
  <c r="N26" i="10"/>
  <c r="O26" i="10"/>
  <c r="M27" i="10"/>
  <c r="N27" i="10"/>
  <c r="O27" i="10"/>
  <c r="M28" i="10"/>
  <c r="N28" i="10"/>
  <c r="O28" i="10"/>
  <c r="M29" i="10"/>
  <c r="N29" i="10"/>
  <c r="O29" i="10"/>
  <c r="M30" i="10"/>
  <c r="N30" i="10"/>
  <c r="O30" i="10"/>
  <c r="M31" i="10"/>
  <c r="N31" i="10"/>
  <c r="O31" i="10"/>
  <c r="M32" i="10"/>
  <c r="N32" i="10"/>
  <c r="O32" i="10"/>
  <c r="M33" i="10"/>
  <c r="N33" i="10"/>
  <c r="O33" i="10"/>
  <c r="M34" i="10"/>
  <c r="N34" i="10"/>
  <c r="O34" i="10"/>
  <c r="M35" i="10"/>
  <c r="N35" i="10"/>
  <c r="O35" i="10"/>
  <c r="M36" i="10"/>
  <c r="N36" i="10"/>
  <c r="O36" i="10"/>
  <c r="M37" i="10"/>
  <c r="N37" i="10"/>
  <c r="O37" i="10"/>
  <c r="M38" i="10"/>
  <c r="N38" i="10"/>
  <c r="O38" i="10"/>
  <c r="M39" i="10"/>
  <c r="N39" i="10"/>
  <c r="O39" i="10"/>
  <c r="M40" i="10"/>
  <c r="N40" i="10"/>
  <c r="O40" i="10"/>
  <c r="M41" i="10"/>
  <c r="N41" i="10"/>
  <c r="O41" i="10"/>
  <c r="M42" i="10"/>
  <c r="N42" i="10"/>
  <c r="O42" i="10"/>
  <c r="M43" i="10"/>
  <c r="N43" i="10"/>
  <c r="O43" i="10"/>
  <c r="M44" i="10"/>
  <c r="N44" i="10"/>
  <c r="O44" i="10"/>
  <c r="M45" i="10"/>
  <c r="N45" i="10"/>
  <c r="O45" i="10"/>
  <c r="M46" i="10"/>
  <c r="N46" i="10"/>
  <c r="O46" i="10"/>
  <c r="M47" i="10"/>
  <c r="N47" i="10"/>
  <c r="O47" i="10"/>
  <c r="M48" i="10"/>
  <c r="N48" i="10"/>
  <c r="O48" i="10"/>
  <c r="M49" i="10"/>
  <c r="N49" i="10"/>
  <c r="O49" i="10"/>
  <c r="M50" i="10"/>
  <c r="N50" i="10"/>
  <c r="O50" i="10"/>
  <c r="M51" i="10"/>
  <c r="N51" i="10"/>
  <c r="O51" i="10"/>
  <c r="M52" i="10"/>
  <c r="N52" i="10"/>
  <c r="O52" i="10"/>
  <c r="M53" i="10"/>
  <c r="N53" i="10"/>
  <c r="O53" i="10"/>
  <c r="M54" i="10"/>
  <c r="N54" i="10"/>
  <c r="O54" i="10"/>
  <c r="M55" i="10"/>
  <c r="N55" i="10"/>
  <c r="O55" i="10"/>
  <c r="M56" i="10"/>
  <c r="N56" i="10"/>
  <c r="O56" i="10"/>
  <c r="M57" i="10"/>
  <c r="N57" i="10"/>
  <c r="O57" i="10"/>
  <c r="M58" i="10"/>
  <c r="N58" i="10"/>
  <c r="O58" i="10"/>
  <c r="M59" i="10"/>
  <c r="N59" i="10"/>
  <c r="O59" i="10"/>
  <c r="M60" i="10"/>
  <c r="N60" i="10"/>
  <c r="O60" i="10"/>
  <c r="M61" i="10"/>
  <c r="N61" i="10"/>
  <c r="O61" i="10"/>
  <c r="M62" i="10"/>
  <c r="N62" i="10"/>
  <c r="O62" i="10"/>
  <c r="M63" i="10"/>
  <c r="N63" i="10"/>
  <c r="O63" i="10"/>
  <c r="M64" i="10"/>
  <c r="N64" i="10"/>
  <c r="O64" i="10"/>
  <c r="M65" i="10"/>
  <c r="N65" i="10"/>
  <c r="O65" i="10"/>
  <c r="M66" i="10"/>
  <c r="N66" i="10"/>
  <c r="O66" i="10"/>
  <c r="M67" i="10"/>
  <c r="N67" i="10"/>
  <c r="O67" i="10"/>
  <c r="M68" i="10"/>
  <c r="N68" i="10"/>
  <c r="O68" i="10"/>
  <c r="M69" i="10"/>
  <c r="N69" i="10"/>
  <c r="O69" i="10"/>
  <c r="M70" i="10"/>
  <c r="N70" i="10"/>
  <c r="O70" i="10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M78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O93" i="10"/>
  <c r="M94" i="10"/>
  <c r="N94" i="10"/>
  <c r="O94" i="10"/>
  <c r="M95" i="10"/>
  <c r="N95" i="10"/>
  <c r="O95" i="10"/>
  <c r="M96" i="10"/>
  <c r="N96" i="10"/>
  <c r="O96" i="10"/>
  <c r="M97" i="10"/>
  <c r="N97" i="10"/>
  <c r="O97" i="10"/>
  <c r="M98" i="10"/>
  <c r="N98" i="10"/>
  <c r="O98" i="10"/>
  <c r="M99" i="10"/>
  <c r="N99" i="10"/>
  <c r="O99" i="10"/>
  <c r="M100" i="10"/>
  <c r="N100" i="10"/>
  <c r="O100" i="10"/>
  <c r="M101" i="10"/>
  <c r="N101" i="10"/>
  <c r="O101" i="10"/>
  <c r="M102" i="10"/>
  <c r="N102" i="10"/>
  <c r="O102" i="10"/>
  <c r="M103" i="10"/>
  <c r="N103" i="10"/>
  <c r="O103" i="10"/>
  <c r="M104" i="10"/>
  <c r="N104" i="10"/>
  <c r="O104" i="10"/>
  <c r="M105" i="10"/>
  <c r="N105" i="10"/>
  <c r="O105" i="10"/>
  <c r="M106" i="10"/>
  <c r="N106" i="10"/>
  <c r="O106" i="10"/>
  <c r="M107" i="10"/>
  <c r="N107" i="10"/>
  <c r="O107" i="10"/>
  <c r="M108" i="10"/>
  <c r="N108" i="10"/>
  <c r="O108" i="10"/>
  <c r="M109" i="10"/>
  <c r="N109" i="10"/>
  <c r="O109" i="10"/>
  <c r="M110" i="10"/>
  <c r="N110" i="10"/>
  <c r="O110" i="10"/>
  <c r="M111" i="10"/>
  <c r="N111" i="10"/>
  <c r="O111" i="10"/>
  <c r="M112" i="10"/>
  <c r="N112" i="10"/>
  <c r="O112" i="10"/>
  <c r="M113" i="10"/>
  <c r="N113" i="10"/>
  <c r="O113" i="10"/>
  <c r="M114" i="10"/>
  <c r="N114" i="10"/>
  <c r="O114" i="10"/>
  <c r="M115" i="10"/>
  <c r="N115" i="10"/>
  <c r="O115" i="10"/>
  <c r="M116" i="10"/>
  <c r="N116" i="10"/>
  <c r="O116" i="10"/>
  <c r="M117" i="10"/>
  <c r="N117" i="10"/>
  <c r="O117" i="10"/>
  <c r="M118" i="10"/>
  <c r="N118" i="10"/>
  <c r="O118" i="10"/>
  <c r="M119" i="10"/>
  <c r="N119" i="10"/>
  <c r="O119" i="10"/>
  <c r="M120" i="10"/>
  <c r="N120" i="10"/>
  <c r="O120" i="10"/>
  <c r="M121" i="10"/>
  <c r="N121" i="10"/>
  <c r="O121" i="10"/>
  <c r="M122" i="10"/>
  <c r="N122" i="10"/>
  <c r="O122" i="10"/>
  <c r="M123" i="10"/>
  <c r="N123" i="10"/>
  <c r="O123" i="10"/>
  <c r="M124" i="10"/>
  <c r="N124" i="10"/>
  <c r="O124" i="10"/>
  <c r="M125" i="10"/>
  <c r="N125" i="10"/>
  <c r="O125" i="10"/>
  <c r="M126" i="10"/>
  <c r="N126" i="10"/>
  <c r="O126" i="10"/>
  <c r="M127" i="10"/>
  <c r="N127" i="10"/>
  <c r="O127" i="10"/>
  <c r="M128" i="10"/>
  <c r="N128" i="10"/>
  <c r="O128" i="10"/>
  <c r="M129" i="10"/>
  <c r="N129" i="10"/>
  <c r="O129" i="10"/>
  <c r="M130" i="10"/>
  <c r="N130" i="10"/>
  <c r="O130" i="10"/>
  <c r="M131" i="10"/>
  <c r="N131" i="10"/>
  <c r="O131" i="10"/>
  <c r="M132" i="10"/>
  <c r="N132" i="10"/>
  <c r="O132" i="10"/>
  <c r="M133" i="10"/>
  <c r="N133" i="10"/>
  <c r="O133" i="10"/>
  <c r="M134" i="10"/>
  <c r="N134" i="10"/>
  <c r="O134" i="10"/>
  <c r="M135" i="10"/>
  <c r="N135" i="10"/>
  <c r="O135" i="10"/>
  <c r="M136" i="10"/>
  <c r="N136" i="10"/>
  <c r="O136" i="10"/>
  <c r="M137" i="10"/>
  <c r="N137" i="10"/>
  <c r="O137" i="10"/>
  <c r="M138" i="10"/>
  <c r="N138" i="10"/>
  <c r="O138" i="10"/>
  <c r="M139" i="10"/>
  <c r="N139" i="10"/>
  <c r="O139" i="10"/>
  <c r="M140" i="10"/>
  <c r="N140" i="10"/>
  <c r="O140" i="10"/>
  <c r="M141" i="10"/>
  <c r="N141" i="10"/>
  <c r="O141" i="10"/>
  <c r="M142" i="10"/>
  <c r="N142" i="10"/>
  <c r="O142" i="10"/>
  <c r="M143" i="10"/>
  <c r="N143" i="10"/>
  <c r="O143" i="10"/>
  <c r="M144" i="10"/>
  <c r="N144" i="10"/>
  <c r="O144" i="10"/>
  <c r="M145" i="10"/>
  <c r="N145" i="10"/>
  <c r="O145" i="10"/>
  <c r="M146" i="10"/>
  <c r="N146" i="10"/>
  <c r="O146" i="10"/>
  <c r="M147" i="10"/>
  <c r="N147" i="10"/>
  <c r="O147" i="10"/>
  <c r="M148" i="10"/>
  <c r="N148" i="10"/>
  <c r="O148" i="10"/>
  <c r="M149" i="10"/>
  <c r="N149" i="10"/>
  <c r="O149" i="10"/>
  <c r="M150" i="10"/>
  <c r="N150" i="10"/>
  <c r="O150" i="10"/>
  <c r="M151" i="10"/>
  <c r="N151" i="10"/>
  <c r="O151" i="10"/>
  <c r="M152" i="10"/>
  <c r="N152" i="10"/>
  <c r="O152" i="10"/>
  <c r="M153" i="10"/>
  <c r="N153" i="10"/>
  <c r="O153" i="10"/>
  <c r="M154" i="10"/>
  <c r="N154" i="10"/>
  <c r="O154" i="10"/>
  <c r="M155" i="10"/>
  <c r="N155" i="10"/>
  <c r="O155" i="10"/>
  <c r="M156" i="10"/>
  <c r="N156" i="10"/>
  <c r="O156" i="10"/>
  <c r="M157" i="10"/>
  <c r="N157" i="10"/>
  <c r="O157" i="10"/>
  <c r="M158" i="10"/>
  <c r="N158" i="10"/>
  <c r="O158" i="10"/>
  <c r="M159" i="10"/>
  <c r="N159" i="10"/>
  <c r="O159" i="10"/>
  <c r="M160" i="10"/>
  <c r="N160" i="10"/>
  <c r="O160" i="10"/>
  <c r="M161" i="10"/>
  <c r="N161" i="10"/>
  <c r="O161" i="10"/>
  <c r="M162" i="10"/>
  <c r="N162" i="10"/>
  <c r="O162" i="10"/>
  <c r="M163" i="10"/>
  <c r="N163" i="10"/>
  <c r="O163" i="10"/>
  <c r="M164" i="10"/>
  <c r="N164" i="10"/>
  <c r="O164" i="10"/>
  <c r="M165" i="10"/>
  <c r="N165" i="10"/>
  <c r="O165" i="10"/>
  <c r="M166" i="10"/>
  <c r="N166" i="10"/>
  <c r="O166" i="10"/>
  <c r="M167" i="10"/>
  <c r="N167" i="10"/>
  <c r="O167" i="10"/>
  <c r="M168" i="10"/>
  <c r="N168" i="10"/>
  <c r="O168" i="10"/>
  <c r="M169" i="10"/>
  <c r="N169" i="10"/>
  <c r="O169" i="10"/>
  <c r="M170" i="10"/>
  <c r="N170" i="10"/>
  <c r="O170" i="10"/>
  <c r="M171" i="10"/>
  <c r="N171" i="10"/>
  <c r="O171" i="10"/>
  <c r="M172" i="10"/>
  <c r="N172" i="10"/>
  <c r="O172" i="10"/>
  <c r="M173" i="10"/>
  <c r="N173" i="10"/>
  <c r="O173" i="10"/>
  <c r="M174" i="10"/>
  <c r="N174" i="10"/>
  <c r="O174" i="10"/>
  <c r="M175" i="10"/>
  <c r="N175" i="10"/>
  <c r="O175" i="10"/>
  <c r="M176" i="10"/>
  <c r="N176" i="10"/>
  <c r="O176" i="10"/>
  <c r="M177" i="10"/>
  <c r="N177" i="10"/>
  <c r="O177" i="10"/>
  <c r="M178" i="10"/>
  <c r="N178" i="10"/>
  <c r="O178" i="10"/>
  <c r="M179" i="10"/>
  <c r="N179" i="10"/>
  <c r="O179" i="10"/>
  <c r="M180" i="10"/>
  <c r="N180" i="10"/>
  <c r="O180" i="10"/>
  <c r="M181" i="10"/>
  <c r="N181" i="10"/>
  <c r="O181" i="10"/>
  <c r="M182" i="10"/>
  <c r="N182" i="10"/>
  <c r="O182" i="10"/>
  <c r="M183" i="10"/>
  <c r="N183" i="10"/>
  <c r="O183" i="10"/>
  <c r="M184" i="10"/>
  <c r="N184" i="10"/>
  <c r="O184" i="10"/>
  <c r="M185" i="10"/>
  <c r="N185" i="10"/>
  <c r="O185" i="10"/>
  <c r="M186" i="10"/>
  <c r="N186" i="10"/>
  <c r="O186" i="10"/>
  <c r="M187" i="10"/>
  <c r="N187" i="10"/>
  <c r="O187" i="10"/>
  <c r="M188" i="10"/>
  <c r="N188" i="10"/>
  <c r="O188" i="10"/>
  <c r="M189" i="10"/>
  <c r="N189" i="10"/>
  <c r="O189" i="10"/>
  <c r="M190" i="10"/>
  <c r="N190" i="10"/>
  <c r="O190" i="10"/>
  <c r="M191" i="10"/>
  <c r="N191" i="10"/>
  <c r="O191" i="10"/>
  <c r="M192" i="10"/>
  <c r="N192" i="10"/>
  <c r="O192" i="10"/>
  <c r="M193" i="10"/>
  <c r="N193" i="10"/>
  <c r="O193" i="10"/>
  <c r="M194" i="10"/>
  <c r="N194" i="10"/>
  <c r="O194" i="10"/>
  <c r="M195" i="10"/>
  <c r="N195" i="10"/>
  <c r="O195" i="10"/>
  <c r="M196" i="10"/>
  <c r="N196" i="10"/>
  <c r="O196" i="10"/>
  <c r="M197" i="10"/>
  <c r="N197" i="10"/>
  <c r="O197" i="10"/>
  <c r="M198" i="10"/>
  <c r="N198" i="10"/>
  <c r="O198" i="10"/>
  <c r="M199" i="10"/>
  <c r="N199" i="10"/>
  <c r="O199" i="10"/>
  <c r="M200" i="10"/>
  <c r="N200" i="10"/>
  <c r="O200" i="10"/>
  <c r="M201" i="10"/>
  <c r="N201" i="10"/>
  <c r="O201" i="10"/>
  <c r="M202" i="10"/>
  <c r="N202" i="10"/>
  <c r="O202" i="10"/>
  <c r="M203" i="10"/>
  <c r="N203" i="10"/>
  <c r="O203" i="10"/>
  <c r="M204" i="10"/>
  <c r="N204" i="10"/>
  <c r="O204" i="10"/>
  <c r="M205" i="10"/>
  <c r="N205" i="10"/>
  <c r="O205" i="10"/>
  <c r="M206" i="10"/>
  <c r="N206" i="10"/>
  <c r="O206" i="10"/>
  <c r="M207" i="10"/>
  <c r="N207" i="10"/>
  <c r="O207" i="10"/>
  <c r="M208" i="10"/>
  <c r="N208" i="10"/>
  <c r="O208" i="10"/>
  <c r="M209" i="10"/>
  <c r="N209" i="10"/>
  <c r="O209" i="10"/>
  <c r="M210" i="10"/>
  <c r="N210" i="10"/>
  <c r="O210" i="10"/>
  <c r="M211" i="10"/>
  <c r="N211" i="10"/>
  <c r="O211" i="10"/>
  <c r="M212" i="10"/>
  <c r="N212" i="10"/>
  <c r="O212" i="10"/>
  <c r="M213" i="10"/>
  <c r="N213" i="10"/>
  <c r="O213" i="10"/>
  <c r="M214" i="10"/>
  <c r="N214" i="10"/>
  <c r="O214" i="10"/>
  <c r="M215" i="10"/>
  <c r="N215" i="10"/>
  <c r="O215" i="10"/>
  <c r="M216" i="10"/>
  <c r="N216" i="10"/>
  <c r="O216" i="10"/>
  <c r="M217" i="10"/>
  <c r="N217" i="10"/>
  <c r="O217" i="10"/>
  <c r="M218" i="10"/>
  <c r="N218" i="10"/>
  <c r="O218" i="10"/>
  <c r="M219" i="10"/>
  <c r="N219" i="10"/>
  <c r="O219" i="10"/>
  <c r="M220" i="10"/>
  <c r="N220" i="10"/>
  <c r="O220" i="10"/>
  <c r="M221" i="10"/>
  <c r="N221" i="10"/>
  <c r="O221" i="10"/>
  <c r="M222" i="10"/>
  <c r="N222" i="10"/>
  <c r="O222" i="10"/>
  <c r="M223" i="10"/>
  <c r="N223" i="10"/>
  <c r="O223" i="10"/>
  <c r="M224" i="10"/>
  <c r="N224" i="10"/>
  <c r="O224" i="10"/>
  <c r="M225" i="10"/>
  <c r="N225" i="10"/>
  <c r="O225" i="10"/>
  <c r="M226" i="10"/>
  <c r="N226" i="10"/>
  <c r="O226" i="10"/>
  <c r="M227" i="10"/>
  <c r="N227" i="10"/>
  <c r="O227" i="10"/>
  <c r="M228" i="10"/>
  <c r="N228" i="10"/>
  <c r="O228" i="10"/>
  <c r="M229" i="10"/>
  <c r="N229" i="10"/>
  <c r="O229" i="10"/>
  <c r="M230" i="10"/>
  <c r="N230" i="10"/>
  <c r="O230" i="10"/>
  <c r="M231" i="10"/>
  <c r="N231" i="10"/>
  <c r="O231" i="10"/>
  <c r="M232" i="10"/>
  <c r="N232" i="10"/>
  <c r="O232" i="10"/>
  <c r="M233" i="10"/>
  <c r="N233" i="10"/>
  <c r="O233" i="10"/>
  <c r="M234" i="10"/>
  <c r="N234" i="10"/>
  <c r="O234" i="10"/>
  <c r="M235" i="10"/>
  <c r="N235" i="10"/>
  <c r="O235" i="10"/>
  <c r="M236" i="10"/>
  <c r="N236" i="10"/>
  <c r="O236" i="10"/>
  <c r="M237" i="10"/>
  <c r="N237" i="10"/>
  <c r="O237" i="10"/>
  <c r="M238" i="10"/>
  <c r="N238" i="10"/>
  <c r="O238" i="10"/>
  <c r="M239" i="10"/>
  <c r="N239" i="10"/>
  <c r="O239" i="10"/>
  <c r="M240" i="10"/>
  <c r="N240" i="10"/>
  <c r="O240" i="10"/>
  <c r="M241" i="10"/>
  <c r="N241" i="10"/>
  <c r="O241" i="10"/>
  <c r="M242" i="10"/>
  <c r="N242" i="10"/>
  <c r="O242" i="10"/>
  <c r="M243" i="10"/>
  <c r="N243" i="10"/>
  <c r="O243" i="10"/>
  <c r="M244" i="10"/>
  <c r="N244" i="10"/>
  <c r="O244" i="10"/>
  <c r="M245" i="10"/>
  <c r="N245" i="10"/>
  <c r="O245" i="10"/>
  <c r="M246" i="10"/>
  <c r="N246" i="10"/>
  <c r="O246" i="10"/>
  <c r="M247" i="10"/>
  <c r="N247" i="10"/>
  <c r="O247" i="10"/>
  <c r="M248" i="10"/>
  <c r="N248" i="10"/>
  <c r="O248" i="10"/>
  <c r="M249" i="10"/>
  <c r="N249" i="10"/>
  <c r="O249" i="10"/>
  <c r="M250" i="10"/>
  <c r="N250" i="10"/>
  <c r="O250" i="10"/>
  <c r="M251" i="10"/>
  <c r="N251" i="10"/>
  <c r="O251" i="10"/>
  <c r="M252" i="10"/>
  <c r="N252" i="10"/>
  <c r="O252" i="10"/>
  <c r="M253" i="10"/>
  <c r="N253" i="10"/>
  <c r="O253" i="10"/>
  <c r="M254" i="10"/>
  <c r="N254" i="10"/>
  <c r="O254" i="10"/>
  <c r="M255" i="10"/>
  <c r="N255" i="10"/>
  <c r="O255" i="10"/>
  <c r="M256" i="10"/>
  <c r="N256" i="10"/>
  <c r="O256" i="10"/>
  <c r="M257" i="10"/>
  <c r="N257" i="10"/>
  <c r="O257" i="10"/>
  <c r="M258" i="10"/>
  <c r="N258" i="10"/>
  <c r="O258" i="10"/>
  <c r="M259" i="10"/>
  <c r="N259" i="10"/>
  <c r="O259" i="10"/>
  <c r="M260" i="10"/>
  <c r="N260" i="10"/>
  <c r="O260" i="10"/>
  <c r="M261" i="10"/>
  <c r="N261" i="10"/>
  <c r="O261" i="10"/>
  <c r="M262" i="10"/>
  <c r="N262" i="10"/>
  <c r="O262" i="10"/>
  <c r="M263" i="10"/>
  <c r="N263" i="10"/>
  <c r="O263" i="10"/>
  <c r="M264" i="10"/>
  <c r="N264" i="10"/>
  <c r="O264" i="10"/>
  <c r="M265" i="10"/>
  <c r="N265" i="10"/>
  <c r="O265" i="10"/>
  <c r="M266" i="10"/>
  <c r="N266" i="10"/>
  <c r="O266" i="10"/>
  <c r="M267" i="10"/>
  <c r="N267" i="10"/>
  <c r="O267" i="10"/>
  <c r="M268" i="10"/>
  <c r="N268" i="10"/>
  <c r="O268" i="10"/>
  <c r="M269" i="10"/>
  <c r="N269" i="10"/>
  <c r="O269" i="10"/>
  <c r="M270" i="10"/>
  <c r="N270" i="10"/>
  <c r="O270" i="10"/>
  <c r="M271" i="10"/>
  <c r="N271" i="10"/>
  <c r="O271" i="10"/>
  <c r="M272" i="10"/>
  <c r="N272" i="10"/>
  <c r="O272" i="10"/>
  <c r="M273" i="10"/>
  <c r="N273" i="10"/>
  <c r="O273" i="10"/>
  <c r="M274" i="10"/>
  <c r="N274" i="10"/>
  <c r="O274" i="10"/>
  <c r="M275" i="10"/>
  <c r="N275" i="10"/>
  <c r="O275" i="10"/>
  <c r="M276" i="10"/>
  <c r="N276" i="10"/>
  <c r="O276" i="10"/>
  <c r="M277" i="10"/>
  <c r="N277" i="10"/>
  <c r="O277" i="10"/>
  <c r="M278" i="10"/>
  <c r="N278" i="10"/>
  <c r="O278" i="10"/>
  <c r="M279" i="10"/>
  <c r="N279" i="10"/>
  <c r="O279" i="10"/>
  <c r="M280" i="10"/>
  <c r="N280" i="10"/>
  <c r="O280" i="10"/>
  <c r="M281" i="10"/>
  <c r="N281" i="10"/>
  <c r="O281" i="10"/>
  <c r="M282" i="10"/>
  <c r="N282" i="10"/>
  <c r="O282" i="10"/>
  <c r="M283" i="10"/>
  <c r="N283" i="10"/>
  <c r="O283" i="10"/>
  <c r="M284" i="10"/>
  <c r="N284" i="10"/>
  <c r="O284" i="10"/>
  <c r="M285" i="10"/>
  <c r="N285" i="10"/>
  <c r="O285" i="10"/>
  <c r="M286" i="10"/>
  <c r="N286" i="10"/>
  <c r="O286" i="10"/>
  <c r="M287" i="10"/>
  <c r="N287" i="10"/>
  <c r="O287" i="10"/>
  <c r="M288" i="10"/>
  <c r="N288" i="10"/>
  <c r="O288" i="10"/>
  <c r="M289" i="10"/>
  <c r="N289" i="10"/>
  <c r="O289" i="10"/>
  <c r="M290" i="10"/>
  <c r="N290" i="10"/>
  <c r="O290" i="10"/>
  <c r="M291" i="10"/>
  <c r="N291" i="10"/>
  <c r="O291" i="10"/>
  <c r="M292" i="10"/>
  <c r="N292" i="10"/>
  <c r="O292" i="10"/>
  <c r="M293" i="10"/>
  <c r="N293" i="10"/>
  <c r="O293" i="10"/>
  <c r="M294" i="10"/>
  <c r="N294" i="10"/>
  <c r="O294" i="10"/>
  <c r="M295" i="10"/>
  <c r="N295" i="10"/>
  <c r="O295" i="10"/>
  <c r="M296" i="10"/>
  <c r="N296" i="10"/>
  <c r="O296" i="10"/>
  <c r="M297" i="10"/>
  <c r="N297" i="10"/>
  <c r="O297" i="10"/>
  <c r="M298" i="10"/>
  <c r="N298" i="10"/>
  <c r="O298" i="10"/>
  <c r="M299" i="10"/>
  <c r="N299" i="10"/>
  <c r="O299" i="10"/>
  <c r="M300" i="10"/>
  <c r="N300" i="10"/>
  <c r="O300" i="10"/>
  <c r="M301" i="10"/>
  <c r="N301" i="10"/>
  <c r="O301" i="10"/>
  <c r="M302" i="10"/>
  <c r="N302" i="10"/>
  <c r="O302" i="10"/>
  <c r="M303" i="10"/>
  <c r="N303" i="10"/>
  <c r="O303" i="10"/>
  <c r="M304" i="10"/>
  <c r="N304" i="10"/>
  <c r="O304" i="10"/>
  <c r="M305" i="10"/>
  <c r="N305" i="10"/>
  <c r="O305" i="10"/>
  <c r="M306" i="10"/>
  <c r="N306" i="10"/>
  <c r="O306" i="10"/>
  <c r="M307" i="10"/>
  <c r="N307" i="10"/>
  <c r="O307" i="10"/>
  <c r="M308" i="10"/>
  <c r="N308" i="10"/>
  <c r="O308" i="10"/>
  <c r="M309" i="10"/>
  <c r="N309" i="10"/>
  <c r="O309" i="10"/>
  <c r="M310" i="10"/>
  <c r="N310" i="10"/>
  <c r="O310" i="10"/>
  <c r="M311" i="10"/>
  <c r="N311" i="10"/>
  <c r="O311" i="10"/>
  <c r="M312" i="10"/>
  <c r="N312" i="10"/>
  <c r="O312" i="10"/>
  <c r="M313" i="10"/>
  <c r="N313" i="10"/>
  <c r="O313" i="10"/>
  <c r="M314" i="10"/>
  <c r="N314" i="10"/>
  <c r="O314" i="10"/>
  <c r="M315" i="10"/>
  <c r="N315" i="10"/>
  <c r="O315" i="10"/>
  <c r="M316" i="10"/>
  <c r="N316" i="10"/>
  <c r="O316" i="10"/>
  <c r="M317" i="10"/>
  <c r="N317" i="10"/>
  <c r="O317" i="10"/>
  <c r="M318" i="10"/>
  <c r="N318" i="10"/>
  <c r="O318" i="10"/>
  <c r="M319" i="10"/>
  <c r="N319" i="10"/>
  <c r="O319" i="10"/>
  <c r="M320" i="10"/>
  <c r="N320" i="10"/>
  <c r="O320" i="10"/>
  <c r="M321" i="10"/>
  <c r="N321" i="10"/>
  <c r="O321" i="10"/>
  <c r="M322" i="10"/>
  <c r="N322" i="10"/>
  <c r="O322" i="10"/>
  <c r="M323" i="10"/>
  <c r="N323" i="10"/>
  <c r="O323" i="10"/>
  <c r="M324" i="10"/>
  <c r="N324" i="10"/>
  <c r="O324" i="10"/>
  <c r="M325" i="10"/>
  <c r="N325" i="10"/>
  <c r="O325" i="10"/>
  <c r="M326" i="10"/>
  <c r="N326" i="10"/>
  <c r="O326" i="10"/>
  <c r="M327" i="10"/>
  <c r="N327" i="10"/>
  <c r="O327" i="10"/>
  <c r="M328" i="10"/>
  <c r="N328" i="10"/>
  <c r="O328" i="10"/>
  <c r="M329" i="10"/>
  <c r="N329" i="10"/>
  <c r="O329" i="10"/>
  <c r="M330" i="10"/>
  <c r="N330" i="10"/>
  <c r="O330" i="10"/>
  <c r="M331" i="10"/>
  <c r="N331" i="10"/>
  <c r="O331" i="10"/>
  <c r="M332" i="10"/>
  <c r="N332" i="10"/>
  <c r="O332" i="10"/>
  <c r="M333" i="10"/>
  <c r="N333" i="10"/>
  <c r="O333" i="10"/>
  <c r="M334" i="10"/>
  <c r="N334" i="10"/>
  <c r="O334" i="10"/>
  <c r="M335" i="10"/>
  <c r="N335" i="10"/>
  <c r="O335" i="10"/>
  <c r="M336" i="10"/>
  <c r="N336" i="10"/>
  <c r="O336" i="10"/>
  <c r="M337" i="10"/>
  <c r="N337" i="10"/>
  <c r="O337" i="10"/>
  <c r="M338" i="10"/>
  <c r="N338" i="10"/>
  <c r="O338" i="10"/>
  <c r="M339" i="10"/>
  <c r="N339" i="10"/>
  <c r="O339" i="10"/>
  <c r="M340" i="10"/>
  <c r="N340" i="10"/>
  <c r="O340" i="10"/>
  <c r="M341" i="10"/>
  <c r="N341" i="10"/>
  <c r="O341" i="10"/>
  <c r="M342" i="10"/>
  <c r="N342" i="10"/>
  <c r="O342" i="10"/>
  <c r="M343" i="10"/>
  <c r="N343" i="10"/>
  <c r="O343" i="10"/>
  <c r="M344" i="10"/>
  <c r="N344" i="10"/>
  <c r="O344" i="10"/>
  <c r="M345" i="10"/>
  <c r="N345" i="10"/>
  <c r="O345" i="10"/>
  <c r="M346" i="10"/>
  <c r="N346" i="10"/>
  <c r="O346" i="10"/>
  <c r="M347" i="10"/>
  <c r="N347" i="10"/>
  <c r="O347" i="10"/>
  <c r="M348" i="10"/>
  <c r="N348" i="10"/>
  <c r="O348" i="10"/>
  <c r="M349" i="10"/>
  <c r="N349" i="10"/>
  <c r="O349" i="10"/>
  <c r="M350" i="10"/>
  <c r="N350" i="10"/>
  <c r="O350" i="10"/>
  <c r="M351" i="10"/>
  <c r="N351" i="10"/>
  <c r="O351" i="10"/>
  <c r="M352" i="10"/>
  <c r="N352" i="10"/>
  <c r="O352" i="10"/>
  <c r="M353" i="10"/>
  <c r="N353" i="10"/>
  <c r="O353" i="10"/>
  <c r="M354" i="10"/>
  <c r="N354" i="10"/>
  <c r="O354" i="10"/>
  <c r="M355" i="10"/>
  <c r="N355" i="10"/>
  <c r="O355" i="10"/>
  <c r="M356" i="10"/>
  <c r="N356" i="10"/>
  <c r="O356" i="10"/>
  <c r="M357" i="10"/>
  <c r="N357" i="10"/>
  <c r="O357" i="10"/>
  <c r="M358" i="10"/>
  <c r="N358" i="10"/>
  <c r="O358" i="10"/>
  <c r="M359" i="10"/>
  <c r="N359" i="10"/>
  <c r="O359" i="10"/>
  <c r="M360" i="10"/>
  <c r="N360" i="10"/>
  <c r="O360" i="10"/>
  <c r="M361" i="10"/>
  <c r="N361" i="10"/>
  <c r="O361" i="10"/>
  <c r="M362" i="10"/>
  <c r="N362" i="10"/>
  <c r="O362" i="10"/>
  <c r="M363" i="10"/>
  <c r="N363" i="10"/>
  <c r="O363" i="10"/>
  <c r="M364" i="10"/>
  <c r="N364" i="10"/>
  <c r="O364" i="10"/>
  <c r="M365" i="10"/>
  <c r="N365" i="10"/>
  <c r="O365" i="10"/>
  <c r="M366" i="10"/>
  <c r="N366" i="10"/>
  <c r="O366" i="10"/>
  <c r="M367" i="10"/>
  <c r="N367" i="10"/>
  <c r="O367" i="10"/>
  <c r="M368" i="10"/>
  <c r="N368" i="10"/>
  <c r="O368" i="10"/>
  <c r="M369" i="10"/>
  <c r="N369" i="10"/>
  <c r="O369" i="10"/>
  <c r="M370" i="10"/>
  <c r="N370" i="10"/>
  <c r="O370" i="10"/>
  <c r="M371" i="10"/>
  <c r="N371" i="10"/>
  <c r="O371" i="10"/>
  <c r="M372" i="10"/>
  <c r="N372" i="10"/>
  <c r="O372" i="10"/>
  <c r="M373" i="10"/>
  <c r="N373" i="10"/>
  <c r="O373" i="10"/>
  <c r="M374" i="10"/>
  <c r="N374" i="10"/>
  <c r="O374" i="10"/>
  <c r="M375" i="10"/>
  <c r="N375" i="10"/>
  <c r="O375" i="10"/>
  <c r="M376" i="10"/>
  <c r="N376" i="10"/>
  <c r="O376" i="10"/>
  <c r="M377" i="10"/>
  <c r="N377" i="10"/>
  <c r="O377" i="10"/>
  <c r="M378" i="10"/>
  <c r="N378" i="10"/>
  <c r="O378" i="10"/>
  <c r="M379" i="10"/>
  <c r="N379" i="10"/>
  <c r="O379" i="10"/>
  <c r="M380" i="10"/>
  <c r="N380" i="10"/>
  <c r="O380" i="10"/>
  <c r="M381" i="10"/>
  <c r="N381" i="10"/>
  <c r="O381" i="10"/>
  <c r="M382" i="10"/>
  <c r="N382" i="10"/>
  <c r="O382" i="10"/>
  <c r="M383" i="10"/>
  <c r="N383" i="10"/>
  <c r="O383" i="10"/>
  <c r="M384" i="10"/>
  <c r="N384" i="10"/>
  <c r="O384" i="10"/>
  <c r="M385" i="10"/>
  <c r="N385" i="10"/>
  <c r="O385" i="10"/>
  <c r="M386" i="10"/>
  <c r="N386" i="10"/>
  <c r="O386" i="10"/>
  <c r="M387" i="10"/>
  <c r="N387" i="10"/>
  <c r="O387" i="10"/>
  <c r="M388" i="10"/>
  <c r="N388" i="10"/>
  <c r="O388" i="10"/>
  <c r="M389" i="10"/>
  <c r="N389" i="10"/>
  <c r="O389" i="10"/>
  <c r="M390" i="10"/>
  <c r="N390" i="10"/>
  <c r="O390" i="10"/>
  <c r="M391" i="10"/>
  <c r="N391" i="10"/>
  <c r="O391" i="10"/>
  <c r="M392" i="10"/>
  <c r="N392" i="10"/>
  <c r="O392" i="10"/>
  <c r="M393" i="10"/>
  <c r="N393" i="10"/>
  <c r="O393" i="10"/>
  <c r="M394" i="10"/>
  <c r="N394" i="10"/>
  <c r="O394" i="10"/>
  <c r="M395" i="10"/>
  <c r="N395" i="10"/>
  <c r="O395" i="10"/>
  <c r="M396" i="10"/>
  <c r="N396" i="10"/>
  <c r="O396" i="10"/>
  <c r="M397" i="10"/>
  <c r="N397" i="10"/>
  <c r="O397" i="10"/>
  <c r="M398" i="10"/>
  <c r="N398" i="10"/>
  <c r="O398" i="10"/>
  <c r="M399" i="10"/>
  <c r="N399" i="10"/>
  <c r="O399" i="10"/>
  <c r="M400" i="10"/>
  <c r="N400" i="10"/>
  <c r="O400" i="10"/>
  <c r="M401" i="10"/>
  <c r="N401" i="10"/>
  <c r="O401" i="10"/>
  <c r="M402" i="10"/>
  <c r="N402" i="10"/>
  <c r="O402" i="10"/>
  <c r="M403" i="10"/>
  <c r="N403" i="10"/>
  <c r="O403" i="10"/>
  <c r="M404" i="10"/>
  <c r="N404" i="10"/>
  <c r="O404" i="10"/>
  <c r="M405" i="10"/>
  <c r="N405" i="10"/>
  <c r="O405" i="10"/>
  <c r="M406" i="10"/>
  <c r="N406" i="10"/>
  <c r="O406" i="10"/>
  <c r="M407" i="10"/>
  <c r="N407" i="10"/>
  <c r="O407" i="10"/>
  <c r="M408" i="10"/>
  <c r="N408" i="10"/>
  <c r="O408" i="10"/>
  <c r="M409" i="10"/>
  <c r="N409" i="10"/>
  <c r="M410" i="10"/>
  <c r="N410" i="10"/>
  <c r="O410" i="10"/>
  <c r="M411" i="10"/>
  <c r="N411" i="10"/>
  <c r="O411" i="10"/>
  <c r="M412" i="10"/>
  <c r="N412" i="10"/>
  <c r="O412" i="10"/>
  <c r="M413" i="10"/>
  <c r="N413" i="10"/>
  <c r="O413" i="10"/>
  <c r="M414" i="10"/>
  <c r="N414" i="10"/>
  <c r="O414" i="10"/>
  <c r="M415" i="10"/>
  <c r="N415" i="10"/>
  <c r="O415" i="10"/>
  <c r="M416" i="10"/>
  <c r="N416" i="10"/>
  <c r="O416" i="10"/>
  <c r="M417" i="10"/>
  <c r="N417" i="10"/>
  <c r="O417" i="10"/>
  <c r="M418" i="10"/>
  <c r="N418" i="10"/>
  <c r="O418" i="10"/>
  <c r="M419" i="10"/>
  <c r="N419" i="10"/>
  <c r="O419" i="10"/>
  <c r="M420" i="10"/>
  <c r="N420" i="10"/>
  <c r="O420" i="10"/>
  <c r="M421" i="10"/>
  <c r="O421" i="10"/>
  <c r="M422" i="10"/>
  <c r="N422" i="10"/>
  <c r="O422" i="10"/>
  <c r="M423" i="10"/>
  <c r="N423" i="10"/>
  <c r="O423" i="10"/>
  <c r="M424" i="10"/>
  <c r="N424" i="10"/>
  <c r="O424" i="10"/>
  <c r="M425" i="10"/>
  <c r="N425" i="10"/>
  <c r="O425" i="10"/>
  <c r="M426" i="10"/>
  <c r="N426" i="10"/>
  <c r="O426" i="10"/>
  <c r="M427" i="10"/>
  <c r="N427" i="10"/>
  <c r="O427" i="10"/>
  <c r="M428" i="10"/>
  <c r="N428" i="10"/>
  <c r="O428" i="10"/>
  <c r="N429" i="10"/>
  <c r="O429" i="10"/>
  <c r="M430" i="10"/>
  <c r="N430" i="10"/>
  <c r="O430" i="10"/>
  <c r="M431" i="10"/>
  <c r="N431" i="10"/>
  <c r="O431" i="10"/>
  <c r="M432" i="10"/>
  <c r="N432" i="10"/>
  <c r="O432" i="10"/>
  <c r="M433" i="10"/>
  <c r="N433" i="10"/>
  <c r="O433" i="10"/>
  <c r="M434" i="10"/>
  <c r="N434" i="10"/>
  <c r="O434" i="10"/>
  <c r="M435" i="10"/>
  <c r="N435" i="10"/>
  <c r="O435" i="10"/>
  <c r="M436" i="10"/>
  <c r="N436" i="10"/>
  <c r="O436" i="10"/>
  <c r="M437" i="10"/>
  <c r="N437" i="10"/>
  <c r="O437" i="10"/>
  <c r="O7" i="10"/>
  <c r="N7" i="10"/>
  <c r="K8" i="9"/>
  <c r="L8" i="9"/>
  <c r="M8" i="9"/>
  <c r="K9" i="9"/>
  <c r="L9" i="9"/>
  <c r="M9" i="9"/>
  <c r="K10" i="9"/>
  <c r="L10" i="9"/>
  <c r="M10" i="9"/>
  <c r="K11" i="9"/>
  <c r="L11" i="9"/>
  <c r="M11" i="9"/>
  <c r="K12" i="9"/>
  <c r="L12" i="9"/>
  <c r="M12" i="9"/>
  <c r="K13" i="9"/>
  <c r="L13" i="9"/>
  <c r="M13" i="9"/>
  <c r="K14" i="9"/>
  <c r="L14" i="9"/>
  <c r="M14" i="9"/>
  <c r="K15" i="9"/>
  <c r="L15" i="9"/>
  <c r="M15" i="9"/>
  <c r="K16" i="9"/>
  <c r="L16" i="9"/>
  <c r="M16" i="9"/>
  <c r="K17" i="9"/>
  <c r="L17" i="9"/>
  <c r="M17" i="9"/>
  <c r="K18" i="9"/>
  <c r="L18" i="9"/>
  <c r="M18" i="9"/>
  <c r="K19" i="9"/>
  <c r="L19" i="9"/>
  <c r="M19" i="9"/>
  <c r="K20" i="9"/>
  <c r="L20" i="9"/>
  <c r="M20" i="9"/>
  <c r="K21" i="9"/>
  <c r="L21" i="9"/>
  <c r="M21" i="9"/>
  <c r="K22" i="9"/>
  <c r="L22" i="9"/>
  <c r="M22" i="9"/>
  <c r="K23" i="9"/>
  <c r="L23" i="9"/>
  <c r="M23" i="9"/>
  <c r="K24" i="9"/>
  <c r="L24" i="9"/>
  <c r="M24" i="9"/>
  <c r="K25" i="9"/>
  <c r="L25" i="9"/>
  <c r="M25" i="9"/>
  <c r="K26" i="9"/>
  <c r="L26" i="9"/>
  <c r="M26" i="9"/>
  <c r="K27" i="9"/>
  <c r="L27" i="9"/>
  <c r="M27" i="9"/>
  <c r="K28" i="9"/>
  <c r="L28" i="9"/>
  <c r="M28" i="9"/>
  <c r="K29" i="9"/>
  <c r="L29" i="9"/>
  <c r="M29" i="9"/>
  <c r="K30" i="9"/>
  <c r="L30" i="9"/>
  <c r="M30" i="9"/>
  <c r="K31" i="9"/>
  <c r="L31" i="9"/>
  <c r="M31" i="9"/>
  <c r="K32" i="9"/>
  <c r="L32" i="9"/>
  <c r="M32" i="9"/>
  <c r="K33" i="9"/>
  <c r="L33" i="9"/>
  <c r="M33" i="9"/>
  <c r="K34" i="9"/>
  <c r="L34" i="9"/>
  <c r="M34" i="9"/>
  <c r="K35" i="9"/>
  <c r="L35" i="9"/>
  <c r="M35" i="9"/>
  <c r="K36" i="9"/>
  <c r="L36" i="9"/>
  <c r="M36" i="9"/>
  <c r="K37" i="9"/>
  <c r="L37" i="9"/>
  <c r="M37" i="9"/>
  <c r="K38" i="9"/>
  <c r="L38" i="9"/>
  <c r="M38" i="9"/>
  <c r="K39" i="9"/>
  <c r="L39" i="9"/>
  <c r="M39" i="9"/>
  <c r="K40" i="9"/>
  <c r="L40" i="9"/>
  <c r="M40" i="9"/>
  <c r="K41" i="9"/>
  <c r="L41" i="9"/>
  <c r="M41" i="9"/>
  <c r="K42" i="9"/>
  <c r="L42" i="9"/>
  <c r="M42" i="9"/>
  <c r="K43" i="9"/>
  <c r="L43" i="9"/>
  <c r="M43" i="9"/>
  <c r="K44" i="9"/>
  <c r="L44" i="9"/>
  <c r="M44" i="9"/>
  <c r="K45" i="9"/>
  <c r="L45" i="9"/>
  <c r="M45" i="9"/>
  <c r="K46" i="9"/>
  <c r="L46" i="9"/>
  <c r="M46" i="9"/>
  <c r="K47" i="9"/>
  <c r="L47" i="9"/>
  <c r="M47" i="9"/>
  <c r="K48" i="9"/>
  <c r="L48" i="9"/>
  <c r="M48" i="9"/>
  <c r="K49" i="9"/>
  <c r="L49" i="9"/>
  <c r="M49" i="9"/>
  <c r="K50" i="9"/>
  <c r="L50" i="9"/>
  <c r="M50" i="9"/>
  <c r="K51" i="9"/>
  <c r="L51" i="9"/>
  <c r="M51" i="9"/>
  <c r="K52" i="9"/>
  <c r="L52" i="9"/>
  <c r="M52" i="9"/>
  <c r="K53" i="9"/>
  <c r="L53" i="9"/>
  <c r="M53" i="9"/>
  <c r="K54" i="9"/>
  <c r="L54" i="9"/>
  <c r="M54" i="9"/>
  <c r="K55" i="9"/>
  <c r="L55" i="9"/>
  <c r="M55" i="9"/>
  <c r="K56" i="9"/>
  <c r="L56" i="9"/>
  <c r="M56" i="9"/>
  <c r="K57" i="9"/>
  <c r="L57" i="9"/>
  <c r="M57" i="9"/>
  <c r="K58" i="9"/>
  <c r="L58" i="9"/>
  <c r="M58" i="9"/>
  <c r="K59" i="9"/>
  <c r="L59" i="9"/>
  <c r="M59" i="9"/>
  <c r="K60" i="9"/>
  <c r="L60" i="9"/>
  <c r="M60" i="9"/>
  <c r="K61" i="9"/>
  <c r="L61" i="9"/>
  <c r="M61" i="9"/>
  <c r="K62" i="9"/>
  <c r="L62" i="9"/>
  <c r="M62" i="9"/>
  <c r="K63" i="9"/>
  <c r="L63" i="9"/>
  <c r="M63" i="9"/>
  <c r="K64" i="9"/>
  <c r="L64" i="9"/>
  <c r="M64" i="9"/>
  <c r="K65" i="9"/>
  <c r="L65" i="9"/>
  <c r="M65" i="9"/>
  <c r="K66" i="9"/>
  <c r="L66" i="9"/>
  <c r="M66" i="9"/>
  <c r="K67" i="9"/>
  <c r="L67" i="9"/>
  <c r="M67" i="9"/>
  <c r="K68" i="9"/>
  <c r="L68" i="9"/>
  <c r="M68" i="9"/>
  <c r="K69" i="9"/>
  <c r="L69" i="9"/>
  <c r="M69" i="9"/>
  <c r="K70" i="9"/>
  <c r="L70" i="9"/>
  <c r="M70" i="9"/>
  <c r="K71" i="9"/>
  <c r="L71" i="9"/>
  <c r="M71" i="9"/>
  <c r="K72" i="9"/>
  <c r="L72" i="9"/>
  <c r="M72" i="9"/>
  <c r="K73" i="9"/>
  <c r="L73" i="9"/>
  <c r="M73" i="9"/>
  <c r="K74" i="9"/>
  <c r="L74" i="9"/>
  <c r="M74" i="9"/>
  <c r="K75" i="9"/>
  <c r="L75" i="9"/>
  <c r="M75" i="9"/>
  <c r="K76" i="9"/>
  <c r="L76" i="9"/>
  <c r="M76" i="9"/>
  <c r="K77" i="9"/>
  <c r="L77" i="9"/>
  <c r="M77" i="9"/>
  <c r="K78" i="9"/>
  <c r="L78" i="9"/>
  <c r="M78" i="9"/>
  <c r="K79" i="9"/>
  <c r="L79" i="9"/>
  <c r="M79" i="9"/>
  <c r="K80" i="9"/>
  <c r="L80" i="9"/>
  <c r="M80" i="9"/>
  <c r="K81" i="9"/>
  <c r="L81" i="9"/>
  <c r="M81" i="9"/>
  <c r="K82" i="9"/>
  <c r="L82" i="9"/>
  <c r="M82" i="9"/>
  <c r="K83" i="9"/>
  <c r="L83" i="9"/>
  <c r="M83" i="9"/>
  <c r="K84" i="9"/>
  <c r="L84" i="9"/>
  <c r="M84" i="9"/>
  <c r="K85" i="9"/>
  <c r="L85" i="9"/>
  <c r="M85" i="9"/>
  <c r="K86" i="9"/>
  <c r="L86" i="9"/>
  <c r="M86" i="9"/>
  <c r="K87" i="9"/>
  <c r="L87" i="9"/>
  <c r="M87" i="9"/>
  <c r="K88" i="9"/>
  <c r="L88" i="9"/>
  <c r="M88" i="9"/>
  <c r="K89" i="9"/>
  <c r="L89" i="9"/>
  <c r="M89" i="9"/>
  <c r="K90" i="9"/>
  <c r="L90" i="9"/>
  <c r="M90" i="9"/>
  <c r="K91" i="9"/>
  <c r="L91" i="9"/>
  <c r="M91" i="9"/>
  <c r="K92" i="9"/>
  <c r="L92" i="9"/>
  <c r="M92" i="9"/>
  <c r="K93" i="9"/>
  <c r="L93" i="9"/>
  <c r="M93" i="9"/>
  <c r="K94" i="9"/>
  <c r="L94" i="9"/>
  <c r="M94" i="9"/>
  <c r="K95" i="9"/>
  <c r="L95" i="9"/>
  <c r="M95" i="9"/>
  <c r="K96" i="9"/>
  <c r="L96" i="9"/>
  <c r="M96" i="9"/>
  <c r="K97" i="9"/>
  <c r="L97" i="9"/>
  <c r="M97" i="9"/>
  <c r="K98" i="9"/>
  <c r="L98" i="9"/>
  <c r="M98" i="9"/>
  <c r="K99" i="9"/>
  <c r="L99" i="9"/>
  <c r="M99" i="9"/>
  <c r="K100" i="9"/>
  <c r="L100" i="9"/>
  <c r="M100" i="9"/>
  <c r="K101" i="9"/>
  <c r="L101" i="9"/>
  <c r="M101" i="9"/>
  <c r="K102" i="9"/>
  <c r="L102" i="9"/>
  <c r="M102" i="9"/>
  <c r="K103" i="9"/>
  <c r="L103" i="9"/>
  <c r="M103" i="9"/>
  <c r="K104" i="9"/>
  <c r="L104" i="9"/>
  <c r="M104" i="9"/>
  <c r="K105" i="9"/>
  <c r="L105" i="9"/>
  <c r="M105" i="9"/>
  <c r="K106" i="9"/>
  <c r="L106" i="9"/>
  <c r="M106" i="9"/>
  <c r="K107" i="9"/>
  <c r="L107" i="9"/>
  <c r="M107" i="9"/>
  <c r="K108" i="9"/>
  <c r="L108" i="9"/>
  <c r="M108" i="9"/>
  <c r="K109" i="9"/>
  <c r="L109" i="9"/>
  <c r="M109" i="9"/>
  <c r="K110" i="9"/>
  <c r="L110" i="9"/>
  <c r="M110" i="9"/>
  <c r="K111" i="9"/>
  <c r="L111" i="9"/>
  <c r="M111" i="9"/>
  <c r="K112" i="9"/>
  <c r="L112" i="9"/>
  <c r="M112" i="9"/>
  <c r="K113" i="9"/>
  <c r="L113" i="9"/>
  <c r="M113" i="9"/>
  <c r="K114" i="9"/>
  <c r="L114" i="9"/>
  <c r="M114" i="9"/>
  <c r="K115" i="9"/>
  <c r="L115" i="9"/>
  <c r="M115" i="9"/>
  <c r="K116" i="9"/>
  <c r="L116" i="9"/>
  <c r="M116" i="9"/>
  <c r="K117" i="9"/>
  <c r="L117" i="9"/>
  <c r="M117" i="9"/>
  <c r="K118" i="9"/>
  <c r="L118" i="9"/>
  <c r="M118" i="9"/>
  <c r="K119" i="9"/>
  <c r="L119" i="9"/>
  <c r="M119" i="9"/>
  <c r="K120" i="9"/>
  <c r="L120" i="9"/>
  <c r="M120" i="9"/>
  <c r="K121" i="9"/>
  <c r="L121" i="9"/>
  <c r="M121" i="9"/>
  <c r="K122" i="9"/>
  <c r="L122" i="9"/>
  <c r="M122" i="9"/>
  <c r="K123" i="9"/>
  <c r="L123" i="9"/>
  <c r="M123" i="9"/>
  <c r="K124" i="9"/>
  <c r="L124" i="9"/>
  <c r="M124" i="9"/>
  <c r="K125" i="9"/>
  <c r="L125" i="9"/>
  <c r="M125" i="9"/>
  <c r="K126" i="9"/>
  <c r="L126" i="9"/>
  <c r="M126" i="9"/>
  <c r="K127" i="9"/>
  <c r="L127" i="9"/>
  <c r="M127" i="9"/>
  <c r="K128" i="9"/>
  <c r="L128" i="9"/>
  <c r="M128" i="9"/>
  <c r="K129" i="9"/>
  <c r="L129" i="9"/>
  <c r="M129" i="9"/>
  <c r="K130" i="9"/>
  <c r="L130" i="9"/>
  <c r="M130" i="9"/>
  <c r="K131" i="9"/>
  <c r="L131" i="9"/>
  <c r="M131" i="9"/>
  <c r="K132" i="9"/>
  <c r="L132" i="9"/>
  <c r="M132" i="9"/>
  <c r="K133" i="9"/>
  <c r="L133" i="9"/>
  <c r="M133" i="9"/>
  <c r="K134" i="9"/>
  <c r="L134" i="9"/>
  <c r="M134" i="9"/>
  <c r="K135" i="9"/>
  <c r="L135" i="9"/>
  <c r="M135" i="9"/>
  <c r="K136" i="9"/>
  <c r="L136" i="9"/>
  <c r="M136" i="9"/>
  <c r="K137" i="9"/>
  <c r="L137" i="9"/>
  <c r="M137" i="9"/>
  <c r="K138" i="9"/>
  <c r="L138" i="9"/>
  <c r="M138" i="9"/>
  <c r="K139" i="9"/>
  <c r="L139" i="9"/>
  <c r="M139" i="9"/>
  <c r="K140" i="9"/>
  <c r="L140" i="9"/>
  <c r="M140" i="9"/>
  <c r="K141" i="9"/>
  <c r="L141" i="9"/>
  <c r="M141" i="9"/>
  <c r="K142" i="9"/>
  <c r="L142" i="9"/>
  <c r="M142" i="9"/>
  <c r="K143" i="9"/>
  <c r="L143" i="9"/>
  <c r="M143" i="9"/>
  <c r="K144" i="9"/>
  <c r="L144" i="9"/>
  <c r="M144" i="9"/>
  <c r="K145" i="9"/>
  <c r="L145" i="9"/>
  <c r="M145" i="9"/>
  <c r="K146" i="9"/>
  <c r="L146" i="9"/>
  <c r="M146" i="9"/>
  <c r="K147" i="9"/>
  <c r="L147" i="9"/>
  <c r="M147" i="9"/>
  <c r="K148" i="9"/>
  <c r="L148" i="9"/>
  <c r="M148" i="9"/>
  <c r="K149" i="9"/>
  <c r="L149" i="9"/>
  <c r="M149" i="9"/>
  <c r="K150" i="9"/>
  <c r="L150" i="9"/>
  <c r="M150" i="9"/>
  <c r="K151" i="9"/>
  <c r="L151" i="9"/>
  <c r="M151" i="9"/>
  <c r="K152" i="9"/>
  <c r="L152" i="9"/>
  <c r="M152" i="9"/>
  <c r="K153" i="9"/>
  <c r="L153" i="9"/>
  <c r="M153" i="9"/>
  <c r="K154" i="9"/>
  <c r="L154" i="9"/>
  <c r="M154" i="9"/>
  <c r="K155" i="9"/>
  <c r="L155" i="9"/>
  <c r="M155" i="9"/>
  <c r="K156" i="9"/>
  <c r="L156" i="9"/>
  <c r="M156" i="9"/>
  <c r="K157" i="9"/>
  <c r="L157" i="9"/>
  <c r="M157" i="9"/>
  <c r="K158" i="9"/>
  <c r="L158" i="9"/>
  <c r="M158" i="9"/>
  <c r="K159" i="9"/>
  <c r="L159" i="9"/>
  <c r="M159" i="9"/>
  <c r="K160" i="9"/>
  <c r="L160" i="9"/>
  <c r="M160" i="9"/>
  <c r="K161" i="9"/>
  <c r="L161" i="9"/>
  <c r="M161" i="9"/>
  <c r="K162" i="9"/>
  <c r="L162" i="9"/>
  <c r="M162" i="9"/>
  <c r="K163" i="9"/>
  <c r="L163" i="9"/>
  <c r="M163" i="9"/>
  <c r="K164" i="9"/>
  <c r="L164" i="9"/>
  <c r="M164" i="9"/>
  <c r="K165" i="9"/>
  <c r="L165" i="9"/>
  <c r="M165" i="9"/>
  <c r="K166" i="9"/>
  <c r="L166" i="9"/>
  <c r="M166" i="9"/>
  <c r="K167" i="9"/>
  <c r="L167" i="9"/>
  <c r="M167" i="9"/>
  <c r="K168" i="9"/>
  <c r="L168" i="9"/>
  <c r="M168" i="9"/>
  <c r="K169" i="9"/>
  <c r="L169" i="9"/>
  <c r="M169" i="9"/>
  <c r="K170" i="9"/>
  <c r="L170" i="9"/>
  <c r="M170" i="9"/>
  <c r="K171" i="9"/>
  <c r="L171" i="9"/>
  <c r="M171" i="9"/>
  <c r="K172" i="9"/>
  <c r="L172" i="9"/>
  <c r="M172" i="9"/>
  <c r="K173" i="9"/>
  <c r="L173" i="9"/>
  <c r="M173" i="9"/>
  <c r="K174" i="9"/>
  <c r="L174" i="9"/>
  <c r="M174" i="9"/>
  <c r="K175" i="9"/>
  <c r="L175" i="9"/>
  <c r="M175" i="9"/>
  <c r="K176" i="9"/>
  <c r="L176" i="9"/>
  <c r="M176" i="9"/>
  <c r="K177" i="9"/>
  <c r="L177" i="9"/>
  <c r="M177" i="9"/>
  <c r="K178" i="9"/>
  <c r="L178" i="9"/>
  <c r="M178" i="9"/>
  <c r="K179" i="9"/>
  <c r="L179" i="9"/>
  <c r="M179" i="9"/>
  <c r="K180" i="9"/>
  <c r="L180" i="9"/>
  <c r="M180" i="9"/>
  <c r="K181" i="9"/>
  <c r="L181" i="9"/>
  <c r="M181" i="9"/>
  <c r="K182" i="9"/>
  <c r="L182" i="9"/>
  <c r="M182" i="9"/>
  <c r="K183" i="9"/>
  <c r="L183" i="9"/>
  <c r="M183" i="9"/>
  <c r="K184" i="9"/>
  <c r="L184" i="9"/>
  <c r="M184" i="9"/>
  <c r="K185" i="9"/>
  <c r="L185" i="9"/>
  <c r="M185" i="9"/>
  <c r="K186" i="9"/>
  <c r="L186" i="9"/>
  <c r="M186" i="9"/>
  <c r="K187" i="9"/>
  <c r="L187" i="9"/>
  <c r="M187" i="9"/>
  <c r="K188" i="9"/>
  <c r="L188" i="9"/>
  <c r="M188" i="9"/>
  <c r="K189" i="9"/>
  <c r="L189" i="9"/>
  <c r="M189" i="9"/>
  <c r="K190" i="9"/>
  <c r="L190" i="9"/>
  <c r="M190" i="9"/>
  <c r="K191" i="9"/>
  <c r="L191" i="9"/>
  <c r="M191" i="9"/>
  <c r="K192" i="9"/>
  <c r="L192" i="9"/>
  <c r="M192" i="9"/>
  <c r="K193" i="9"/>
  <c r="L193" i="9"/>
  <c r="M193" i="9"/>
  <c r="K194" i="9"/>
  <c r="L194" i="9"/>
  <c r="M194" i="9"/>
  <c r="K195" i="9"/>
  <c r="L195" i="9"/>
  <c r="M195" i="9"/>
  <c r="K196" i="9"/>
  <c r="L196" i="9"/>
  <c r="M196" i="9"/>
  <c r="K197" i="9"/>
  <c r="L197" i="9"/>
  <c r="M197" i="9"/>
  <c r="K198" i="9"/>
  <c r="L198" i="9"/>
  <c r="M198" i="9"/>
  <c r="K199" i="9"/>
  <c r="L199" i="9"/>
  <c r="M199" i="9"/>
  <c r="K200" i="9"/>
  <c r="L200" i="9"/>
  <c r="M200" i="9"/>
  <c r="K201" i="9"/>
  <c r="L201" i="9"/>
  <c r="M201" i="9"/>
  <c r="K202" i="9"/>
  <c r="L202" i="9"/>
  <c r="M202" i="9"/>
  <c r="K203" i="9"/>
  <c r="L203" i="9"/>
  <c r="M203" i="9"/>
  <c r="K204" i="9"/>
  <c r="L204" i="9"/>
  <c r="M204" i="9"/>
  <c r="K205" i="9"/>
  <c r="L205" i="9"/>
  <c r="M205" i="9"/>
  <c r="K206" i="9"/>
  <c r="L206" i="9"/>
  <c r="M206" i="9"/>
  <c r="K207" i="9"/>
  <c r="L207" i="9"/>
  <c r="M207" i="9"/>
  <c r="K208" i="9"/>
  <c r="L208" i="9"/>
  <c r="M208" i="9"/>
  <c r="K209" i="9"/>
  <c r="L209" i="9"/>
  <c r="M209" i="9"/>
  <c r="K210" i="9"/>
  <c r="L210" i="9"/>
  <c r="M210" i="9"/>
  <c r="K211" i="9"/>
  <c r="L211" i="9"/>
  <c r="M211" i="9"/>
  <c r="K212" i="9"/>
  <c r="L212" i="9"/>
  <c r="M212" i="9"/>
  <c r="K213" i="9"/>
  <c r="L213" i="9"/>
  <c r="M213" i="9"/>
  <c r="K214" i="9"/>
  <c r="L214" i="9"/>
  <c r="M214" i="9"/>
  <c r="K215" i="9"/>
  <c r="L215" i="9"/>
  <c r="M215" i="9"/>
  <c r="K216" i="9"/>
  <c r="L216" i="9"/>
  <c r="M216" i="9"/>
  <c r="K217" i="9"/>
  <c r="L217" i="9"/>
  <c r="M217" i="9"/>
  <c r="K218" i="9"/>
  <c r="L218" i="9"/>
  <c r="M218" i="9"/>
  <c r="K219" i="9"/>
  <c r="L219" i="9"/>
  <c r="M219" i="9"/>
  <c r="K220" i="9"/>
  <c r="L220" i="9"/>
  <c r="M220" i="9"/>
  <c r="K221" i="9"/>
  <c r="L221" i="9"/>
  <c r="M221" i="9"/>
  <c r="K222" i="9"/>
  <c r="L222" i="9"/>
  <c r="M222" i="9"/>
  <c r="K223" i="9"/>
  <c r="L223" i="9"/>
  <c r="M223" i="9"/>
  <c r="K224" i="9"/>
  <c r="L224" i="9"/>
  <c r="M224" i="9"/>
  <c r="K225" i="9"/>
  <c r="L225" i="9"/>
  <c r="M225" i="9"/>
  <c r="K226" i="9"/>
  <c r="L226" i="9"/>
  <c r="M226" i="9"/>
  <c r="K227" i="9"/>
  <c r="L227" i="9"/>
  <c r="M227" i="9"/>
  <c r="K228" i="9"/>
  <c r="L228" i="9"/>
  <c r="M228" i="9"/>
  <c r="K229" i="9"/>
  <c r="L229" i="9"/>
  <c r="M229" i="9"/>
  <c r="K230" i="9"/>
  <c r="L230" i="9"/>
  <c r="M230" i="9"/>
  <c r="K231" i="9"/>
  <c r="L231" i="9"/>
  <c r="M231" i="9"/>
  <c r="K232" i="9"/>
  <c r="L232" i="9"/>
  <c r="M232" i="9"/>
  <c r="K233" i="9"/>
  <c r="L233" i="9"/>
  <c r="M233" i="9"/>
  <c r="K234" i="9"/>
  <c r="L234" i="9"/>
  <c r="M234" i="9"/>
  <c r="K235" i="9"/>
  <c r="L235" i="9"/>
  <c r="M235" i="9"/>
  <c r="K236" i="9"/>
  <c r="L236" i="9"/>
  <c r="M236" i="9"/>
  <c r="K237" i="9"/>
  <c r="L237" i="9"/>
  <c r="M237" i="9"/>
  <c r="K238" i="9"/>
  <c r="L238" i="9"/>
  <c r="M238" i="9"/>
  <c r="K239" i="9"/>
  <c r="L239" i="9"/>
  <c r="M239" i="9"/>
  <c r="K240" i="9"/>
  <c r="L240" i="9"/>
  <c r="M240" i="9"/>
  <c r="K241" i="9"/>
  <c r="L241" i="9"/>
  <c r="M241" i="9"/>
  <c r="K242" i="9"/>
  <c r="L242" i="9"/>
  <c r="M242" i="9"/>
  <c r="K243" i="9"/>
  <c r="L243" i="9"/>
  <c r="M243" i="9"/>
  <c r="K244" i="9"/>
  <c r="L244" i="9"/>
  <c r="M244" i="9"/>
  <c r="K245" i="9"/>
  <c r="L245" i="9"/>
  <c r="M245" i="9"/>
  <c r="K246" i="9"/>
  <c r="L246" i="9"/>
  <c r="M246" i="9"/>
  <c r="K247" i="9"/>
  <c r="L247" i="9"/>
  <c r="M247" i="9"/>
  <c r="K248" i="9"/>
  <c r="L248" i="9"/>
  <c r="M248" i="9"/>
  <c r="K249" i="9"/>
  <c r="L249" i="9"/>
  <c r="M249" i="9"/>
  <c r="K250" i="9"/>
  <c r="L250" i="9"/>
  <c r="M250" i="9"/>
  <c r="K251" i="9"/>
  <c r="L251" i="9"/>
  <c r="M251" i="9"/>
  <c r="K252" i="9"/>
  <c r="L252" i="9"/>
  <c r="M252" i="9"/>
  <c r="K253" i="9"/>
  <c r="L253" i="9"/>
  <c r="M253" i="9"/>
  <c r="K254" i="9"/>
  <c r="L254" i="9"/>
  <c r="M254" i="9"/>
  <c r="K255" i="9"/>
  <c r="L255" i="9"/>
  <c r="M255" i="9"/>
  <c r="K256" i="9"/>
  <c r="L256" i="9"/>
  <c r="M256" i="9"/>
  <c r="K257" i="9"/>
  <c r="L257" i="9"/>
  <c r="M257" i="9"/>
  <c r="K258" i="9"/>
  <c r="L258" i="9"/>
  <c r="M258" i="9"/>
  <c r="K259" i="9"/>
  <c r="L259" i="9"/>
  <c r="M259" i="9"/>
  <c r="K260" i="9"/>
  <c r="L260" i="9"/>
  <c r="M260" i="9"/>
  <c r="K261" i="9"/>
  <c r="L261" i="9"/>
  <c r="M261" i="9"/>
  <c r="K262" i="9"/>
  <c r="L262" i="9"/>
  <c r="M262" i="9"/>
  <c r="K263" i="9"/>
  <c r="L263" i="9"/>
  <c r="M263" i="9"/>
  <c r="K264" i="9"/>
  <c r="L264" i="9"/>
  <c r="M264" i="9"/>
  <c r="K265" i="9"/>
  <c r="L265" i="9"/>
  <c r="M265" i="9"/>
  <c r="K266" i="9"/>
  <c r="L266" i="9"/>
  <c r="M266" i="9"/>
  <c r="K267" i="9"/>
  <c r="L267" i="9"/>
  <c r="M267" i="9"/>
  <c r="K268" i="9"/>
  <c r="L268" i="9"/>
  <c r="M268" i="9"/>
  <c r="K269" i="9"/>
  <c r="L269" i="9"/>
  <c r="M269" i="9"/>
  <c r="K270" i="9"/>
  <c r="L270" i="9"/>
  <c r="M270" i="9"/>
  <c r="K271" i="9"/>
  <c r="L271" i="9"/>
  <c r="M271" i="9"/>
  <c r="K272" i="9"/>
  <c r="L272" i="9"/>
  <c r="M272" i="9"/>
  <c r="K273" i="9"/>
  <c r="L273" i="9"/>
  <c r="M273" i="9"/>
  <c r="K274" i="9"/>
  <c r="L274" i="9"/>
  <c r="M274" i="9"/>
  <c r="K275" i="9"/>
  <c r="L275" i="9"/>
  <c r="M275" i="9"/>
  <c r="K276" i="9"/>
  <c r="L276" i="9"/>
  <c r="M276" i="9"/>
  <c r="K277" i="9"/>
  <c r="L277" i="9"/>
  <c r="M277" i="9"/>
  <c r="K278" i="9"/>
  <c r="L278" i="9"/>
  <c r="M278" i="9"/>
  <c r="K279" i="9"/>
  <c r="L279" i="9"/>
  <c r="M279" i="9"/>
  <c r="K280" i="9"/>
  <c r="L280" i="9"/>
  <c r="M280" i="9"/>
  <c r="K281" i="9"/>
  <c r="L281" i="9"/>
  <c r="M281" i="9"/>
  <c r="K282" i="9"/>
  <c r="L282" i="9"/>
  <c r="M282" i="9"/>
  <c r="K283" i="9"/>
  <c r="L283" i="9"/>
  <c r="M283" i="9"/>
  <c r="K284" i="9"/>
  <c r="L284" i="9"/>
  <c r="M284" i="9"/>
  <c r="K285" i="9"/>
  <c r="L285" i="9"/>
  <c r="M285" i="9"/>
  <c r="K286" i="9"/>
  <c r="L286" i="9"/>
  <c r="M286" i="9"/>
  <c r="K287" i="9"/>
  <c r="L287" i="9"/>
  <c r="M287" i="9"/>
  <c r="K288" i="9"/>
  <c r="L288" i="9"/>
  <c r="M288" i="9"/>
  <c r="K289" i="9"/>
  <c r="L289" i="9"/>
  <c r="M289" i="9"/>
  <c r="K290" i="9"/>
  <c r="L290" i="9"/>
  <c r="M290" i="9"/>
  <c r="K291" i="9"/>
  <c r="L291" i="9"/>
  <c r="M291" i="9"/>
  <c r="K292" i="9"/>
  <c r="L292" i="9"/>
  <c r="M292" i="9"/>
  <c r="K293" i="9"/>
  <c r="L293" i="9"/>
  <c r="M293" i="9"/>
  <c r="K294" i="9"/>
  <c r="L294" i="9"/>
  <c r="M294" i="9"/>
  <c r="K295" i="9"/>
  <c r="L295" i="9"/>
  <c r="M295" i="9"/>
  <c r="K296" i="9"/>
  <c r="L296" i="9"/>
  <c r="M296" i="9"/>
  <c r="K297" i="9"/>
  <c r="L297" i="9"/>
  <c r="M297" i="9"/>
  <c r="K298" i="9"/>
  <c r="L298" i="9"/>
  <c r="M298" i="9"/>
  <c r="K299" i="9"/>
  <c r="L299" i="9"/>
  <c r="M299" i="9"/>
  <c r="K300" i="9"/>
  <c r="L300" i="9"/>
  <c r="M300" i="9"/>
  <c r="K301" i="9"/>
  <c r="L301" i="9"/>
  <c r="M301" i="9"/>
  <c r="K302" i="9"/>
  <c r="L302" i="9"/>
  <c r="M302" i="9"/>
  <c r="K303" i="9"/>
  <c r="L303" i="9"/>
  <c r="M303" i="9"/>
  <c r="K304" i="9"/>
  <c r="L304" i="9"/>
  <c r="M304" i="9"/>
  <c r="K305" i="9"/>
  <c r="L305" i="9"/>
  <c r="M305" i="9"/>
  <c r="K306" i="9"/>
  <c r="L306" i="9"/>
  <c r="M306" i="9"/>
  <c r="K307" i="9"/>
  <c r="L307" i="9"/>
  <c r="M307" i="9"/>
  <c r="K308" i="9"/>
  <c r="L308" i="9"/>
  <c r="M308" i="9"/>
  <c r="K309" i="9"/>
  <c r="L309" i="9"/>
  <c r="M309" i="9"/>
  <c r="K310" i="9"/>
  <c r="L310" i="9"/>
  <c r="M310" i="9"/>
  <c r="K311" i="9"/>
  <c r="L311" i="9"/>
  <c r="M311" i="9"/>
  <c r="K312" i="9"/>
  <c r="L312" i="9"/>
  <c r="M312" i="9"/>
  <c r="K313" i="9"/>
  <c r="L313" i="9"/>
  <c r="M313" i="9"/>
  <c r="K314" i="9"/>
  <c r="L314" i="9"/>
  <c r="M314" i="9"/>
  <c r="K315" i="9"/>
  <c r="L315" i="9"/>
  <c r="M315" i="9"/>
  <c r="K316" i="9"/>
  <c r="L316" i="9"/>
  <c r="M316" i="9"/>
  <c r="K317" i="9"/>
  <c r="L317" i="9"/>
  <c r="M317" i="9"/>
  <c r="K318" i="9"/>
  <c r="L318" i="9"/>
  <c r="M318" i="9"/>
  <c r="K319" i="9"/>
  <c r="L319" i="9"/>
  <c r="M319" i="9"/>
  <c r="K320" i="9"/>
  <c r="L320" i="9"/>
  <c r="M320" i="9"/>
  <c r="K321" i="9"/>
  <c r="L321" i="9"/>
  <c r="M321" i="9"/>
  <c r="K322" i="9"/>
  <c r="L322" i="9"/>
  <c r="M322" i="9"/>
  <c r="K323" i="9"/>
  <c r="L323" i="9"/>
  <c r="M323" i="9"/>
  <c r="K324" i="9"/>
  <c r="L324" i="9"/>
  <c r="M324" i="9"/>
  <c r="K325" i="9"/>
  <c r="L325" i="9"/>
  <c r="M325" i="9"/>
  <c r="K326" i="9"/>
  <c r="L326" i="9"/>
  <c r="M326" i="9"/>
  <c r="K327" i="9"/>
  <c r="L327" i="9"/>
  <c r="M327" i="9"/>
  <c r="K328" i="9"/>
  <c r="L328" i="9"/>
  <c r="M328" i="9"/>
  <c r="K329" i="9"/>
  <c r="L329" i="9"/>
  <c r="M329" i="9"/>
  <c r="K330" i="9"/>
  <c r="L330" i="9"/>
  <c r="M330" i="9"/>
  <c r="K331" i="9"/>
  <c r="L331" i="9"/>
  <c r="M331" i="9"/>
  <c r="K332" i="9"/>
  <c r="L332" i="9"/>
  <c r="M332" i="9"/>
  <c r="K333" i="9"/>
  <c r="L333" i="9"/>
  <c r="M333" i="9"/>
  <c r="K334" i="9"/>
  <c r="L334" i="9"/>
  <c r="M334" i="9"/>
  <c r="K335" i="9"/>
  <c r="L335" i="9"/>
  <c r="M335" i="9"/>
  <c r="K336" i="9"/>
  <c r="L336" i="9"/>
  <c r="M336" i="9"/>
  <c r="K337" i="9"/>
  <c r="L337" i="9"/>
  <c r="M337" i="9"/>
  <c r="K338" i="9"/>
  <c r="L338" i="9"/>
  <c r="M338" i="9"/>
  <c r="K339" i="9"/>
  <c r="L339" i="9"/>
  <c r="M339" i="9"/>
  <c r="K340" i="9"/>
  <c r="L340" i="9"/>
  <c r="M340" i="9"/>
  <c r="K341" i="9"/>
  <c r="L341" i="9"/>
  <c r="M341" i="9"/>
  <c r="K342" i="9"/>
  <c r="L342" i="9"/>
  <c r="M342" i="9"/>
  <c r="K343" i="9"/>
  <c r="L343" i="9"/>
  <c r="M343" i="9"/>
  <c r="K344" i="9"/>
  <c r="L344" i="9"/>
  <c r="M344" i="9"/>
  <c r="K345" i="9"/>
  <c r="L345" i="9"/>
  <c r="M345" i="9"/>
  <c r="K346" i="9"/>
  <c r="L346" i="9"/>
  <c r="M346" i="9"/>
  <c r="K347" i="9"/>
  <c r="L347" i="9"/>
  <c r="M347" i="9"/>
  <c r="K348" i="9"/>
  <c r="L348" i="9"/>
  <c r="M348" i="9"/>
  <c r="K349" i="9"/>
  <c r="L349" i="9"/>
  <c r="M349" i="9"/>
  <c r="K350" i="9"/>
  <c r="L350" i="9"/>
  <c r="M350" i="9"/>
  <c r="K351" i="9"/>
  <c r="L351" i="9"/>
  <c r="M351" i="9"/>
  <c r="K352" i="9"/>
  <c r="L352" i="9"/>
  <c r="M352" i="9"/>
  <c r="K353" i="9"/>
  <c r="L353" i="9"/>
  <c r="M353" i="9"/>
  <c r="K354" i="9"/>
  <c r="L354" i="9"/>
  <c r="M354" i="9"/>
  <c r="K355" i="9"/>
  <c r="L355" i="9"/>
  <c r="M355" i="9"/>
  <c r="K356" i="9"/>
  <c r="L356" i="9"/>
  <c r="M356" i="9"/>
  <c r="K357" i="9"/>
  <c r="L357" i="9"/>
  <c r="M357" i="9"/>
  <c r="K358" i="9"/>
  <c r="L358" i="9"/>
  <c r="M358" i="9"/>
  <c r="K359" i="9"/>
  <c r="L359" i="9"/>
  <c r="M359" i="9"/>
  <c r="K360" i="9"/>
  <c r="L360" i="9"/>
  <c r="M360" i="9"/>
  <c r="K361" i="9"/>
  <c r="L361" i="9"/>
  <c r="M361" i="9"/>
  <c r="K362" i="9"/>
  <c r="L362" i="9"/>
  <c r="M362" i="9"/>
  <c r="K363" i="9"/>
  <c r="L363" i="9"/>
  <c r="M363" i="9"/>
  <c r="K364" i="9"/>
  <c r="L364" i="9"/>
  <c r="M364" i="9"/>
  <c r="K365" i="9"/>
  <c r="L365" i="9"/>
  <c r="M365" i="9"/>
  <c r="K366" i="9"/>
  <c r="L366" i="9"/>
  <c r="M366" i="9"/>
  <c r="K367" i="9"/>
  <c r="L367" i="9"/>
  <c r="M367" i="9"/>
  <c r="K368" i="9"/>
  <c r="L368" i="9"/>
  <c r="M368" i="9"/>
  <c r="K369" i="9"/>
  <c r="L369" i="9"/>
  <c r="M369" i="9"/>
  <c r="K370" i="9"/>
  <c r="L370" i="9"/>
  <c r="M370" i="9"/>
  <c r="K371" i="9"/>
  <c r="L371" i="9"/>
  <c r="M371" i="9"/>
  <c r="K372" i="9"/>
  <c r="L372" i="9"/>
  <c r="M372" i="9"/>
  <c r="K373" i="9"/>
  <c r="L373" i="9"/>
  <c r="M373" i="9"/>
  <c r="K374" i="9"/>
  <c r="L374" i="9"/>
  <c r="M374" i="9"/>
  <c r="K375" i="9"/>
  <c r="L375" i="9"/>
  <c r="M375" i="9"/>
  <c r="K376" i="9"/>
  <c r="L376" i="9"/>
  <c r="M376" i="9"/>
  <c r="K377" i="9"/>
  <c r="L377" i="9"/>
  <c r="M377" i="9"/>
  <c r="K378" i="9"/>
  <c r="L378" i="9"/>
  <c r="M378" i="9"/>
  <c r="K379" i="9"/>
  <c r="L379" i="9"/>
  <c r="M379" i="9"/>
  <c r="K380" i="9"/>
  <c r="L380" i="9"/>
  <c r="M380" i="9"/>
  <c r="K381" i="9"/>
  <c r="L381" i="9"/>
  <c r="M381" i="9"/>
  <c r="K382" i="9"/>
  <c r="L382" i="9"/>
  <c r="M382" i="9"/>
  <c r="K383" i="9"/>
  <c r="L383" i="9"/>
  <c r="M383" i="9"/>
  <c r="K384" i="9"/>
  <c r="L384" i="9"/>
  <c r="M384" i="9"/>
  <c r="K385" i="9"/>
  <c r="L385" i="9"/>
  <c r="M385" i="9"/>
  <c r="K386" i="9"/>
  <c r="L386" i="9"/>
  <c r="M386" i="9"/>
  <c r="K387" i="9"/>
  <c r="L387" i="9"/>
  <c r="M387" i="9"/>
  <c r="K388" i="9"/>
  <c r="L388" i="9"/>
  <c r="M388" i="9"/>
  <c r="K389" i="9"/>
  <c r="L389" i="9"/>
  <c r="M389" i="9"/>
  <c r="K390" i="9"/>
  <c r="L390" i="9"/>
  <c r="M390" i="9"/>
  <c r="K391" i="9"/>
  <c r="L391" i="9"/>
  <c r="M391" i="9"/>
  <c r="K392" i="9"/>
  <c r="L392" i="9"/>
  <c r="M392" i="9"/>
  <c r="K393" i="9"/>
  <c r="L393" i="9"/>
  <c r="M393" i="9"/>
  <c r="K394" i="9"/>
  <c r="L394" i="9"/>
  <c r="M394" i="9"/>
  <c r="K395" i="9"/>
  <c r="L395" i="9"/>
  <c r="M395" i="9"/>
  <c r="K396" i="9"/>
  <c r="L396" i="9"/>
  <c r="M396" i="9"/>
  <c r="K397" i="9"/>
  <c r="L397" i="9"/>
  <c r="M397" i="9"/>
  <c r="K398" i="9"/>
  <c r="L398" i="9"/>
  <c r="M398" i="9"/>
  <c r="K399" i="9"/>
  <c r="L399" i="9"/>
  <c r="M399" i="9"/>
  <c r="K400" i="9"/>
  <c r="L400" i="9"/>
  <c r="M400" i="9"/>
  <c r="K401" i="9"/>
  <c r="L401" i="9"/>
  <c r="M401" i="9"/>
  <c r="K402" i="9"/>
  <c r="L402" i="9"/>
  <c r="M402" i="9"/>
  <c r="K403" i="9"/>
  <c r="L403" i="9"/>
  <c r="M403" i="9"/>
  <c r="K404" i="9"/>
  <c r="L404" i="9"/>
  <c r="M404" i="9"/>
  <c r="K405" i="9"/>
  <c r="L405" i="9"/>
  <c r="M405" i="9"/>
  <c r="K406" i="9"/>
  <c r="L406" i="9"/>
  <c r="M406" i="9"/>
  <c r="K407" i="9"/>
  <c r="L407" i="9"/>
  <c r="M407" i="9"/>
  <c r="K408" i="9"/>
  <c r="L408" i="9"/>
  <c r="M408" i="9"/>
  <c r="K409" i="9"/>
  <c r="L409" i="9"/>
  <c r="M409" i="9"/>
  <c r="K410" i="9"/>
  <c r="L410" i="9"/>
  <c r="M410" i="9"/>
  <c r="K411" i="9"/>
  <c r="L411" i="9"/>
  <c r="M411" i="9"/>
  <c r="K412" i="9"/>
  <c r="L412" i="9"/>
  <c r="M412" i="9"/>
  <c r="K413" i="9"/>
  <c r="L413" i="9"/>
  <c r="M413" i="9"/>
  <c r="K414" i="9"/>
  <c r="L414" i="9"/>
  <c r="M414" i="9"/>
  <c r="K415" i="9"/>
  <c r="L415" i="9"/>
  <c r="M415" i="9"/>
  <c r="K416" i="9"/>
  <c r="L416" i="9"/>
  <c r="M416" i="9"/>
  <c r="K417" i="9"/>
  <c r="L417" i="9"/>
  <c r="M417" i="9"/>
  <c r="K418" i="9"/>
  <c r="L418" i="9"/>
  <c r="M418" i="9"/>
  <c r="K419" i="9"/>
  <c r="L419" i="9"/>
  <c r="M419" i="9"/>
  <c r="K420" i="9"/>
  <c r="L420" i="9"/>
  <c r="M420" i="9"/>
  <c r="K421" i="9"/>
  <c r="L421" i="9"/>
  <c r="M421" i="9"/>
  <c r="K422" i="9"/>
  <c r="L422" i="9"/>
  <c r="M422" i="9"/>
  <c r="K423" i="9"/>
  <c r="L423" i="9"/>
  <c r="M423" i="9"/>
  <c r="K424" i="9"/>
  <c r="L424" i="9"/>
  <c r="M424" i="9"/>
  <c r="K425" i="9"/>
  <c r="L425" i="9"/>
  <c r="M425" i="9"/>
  <c r="K426" i="9"/>
  <c r="L426" i="9"/>
  <c r="M426" i="9"/>
  <c r="K427" i="9"/>
  <c r="L427" i="9"/>
  <c r="M427" i="9"/>
  <c r="K428" i="9"/>
  <c r="L428" i="9"/>
  <c r="M428" i="9"/>
  <c r="K429" i="9"/>
  <c r="L429" i="9"/>
  <c r="M429" i="9"/>
  <c r="K430" i="9"/>
  <c r="L430" i="9"/>
  <c r="M430" i="9"/>
  <c r="K431" i="9"/>
  <c r="L431" i="9"/>
  <c r="M431" i="9"/>
  <c r="K432" i="9"/>
  <c r="L432" i="9"/>
  <c r="M432" i="9"/>
  <c r="K433" i="9"/>
  <c r="L433" i="9"/>
  <c r="M433" i="9"/>
  <c r="K434" i="9"/>
  <c r="L434" i="9"/>
  <c r="M434" i="9"/>
  <c r="K435" i="9"/>
  <c r="L435" i="9"/>
  <c r="M435" i="9"/>
  <c r="K436" i="9"/>
  <c r="L436" i="9"/>
  <c r="M436" i="9"/>
  <c r="K437" i="9"/>
  <c r="L437" i="9"/>
  <c r="M437" i="9"/>
  <c r="M7" i="9"/>
  <c r="L7" i="9"/>
  <c r="Q92" i="5"/>
  <c r="Q94" i="5"/>
  <c r="Q95" i="5"/>
  <c r="Q96" i="5"/>
  <c r="Q97" i="5"/>
  <c r="Q98" i="5"/>
  <c r="Q91" i="5"/>
  <c r="Q90" i="5"/>
  <c r="H94" i="5"/>
  <c r="H95" i="5"/>
  <c r="H97" i="5"/>
  <c r="H98" i="5"/>
  <c r="H91" i="5"/>
  <c r="H90" i="5"/>
  <c r="Q86" i="5"/>
  <c r="Q80" i="5"/>
  <c r="Q81" i="5"/>
  <c r="Q82" i="5"/>
  <c r="Q83" i="5"/>
  <c r="Q84" i="5"/>
  <c r="Q79" i="5"/>
  <c r="Q78" i="5"/>
  <c r="H86" i="5"/>
  <c r="H82" i="5"/>
  <c r="H83" i="5"/>
  <c r="H81" i="5"/>
  <c r="H79" i="5"/>
  <c r="H78" i="5"/>
  <c r="O98" i="5"/>
  <c r="P98" i="5" s="1"/>
  <c r="F98" i="5"/>
  <c r="G98" i="5" s="1"/>
  <c r="O97" i="5"/>
  <c r="P97" i="5" s="1"/>
  <c r="F97" i="5"/>
  <c r="G97" i="5" s="1"/>
  <c r="O96" i="5"/>
  <c r="P96" i="5" s="1"/>
  <c r="O95" i="5"/>
  <c r="P95" i="5" s="1"/>
  <c r="F95" i="5"/>
  <c r="G95" i="5" s="1"/>
  <c r="O94" i="5"/>
  <c r="P94" i="5" s="1"/>
  <c r="F94" i="5"/>
  <c r="G94" i="5" s="1"/>
  <c r="P92" i="5"/>
  <c r="O92" i="5"/>
  <c r="O91" i="5"/>
  <c r="P91" i="5" s="1"/>
  <c r="F91" i="5"/>
  <c r="G91" i="5" s="1"/>
  <c r="O90" i="5"/>
  <c r="P90" i="5" s="1"/>
  <c r="F90" i="5"/>
  <c r="G90" i="5" s="1"/>
  <c r="O86" i="5"/>
  <c r="P86" i="5" s="1"/>
  <c r="F86" i="5"/>
  <c r="G86" i="5" s="1"/>
  <c r="O84" i="5"/>
  <c r="P84" i="5" s="1"/>
  <c r="O83" i="5"/>
  <c r="P83" i="5" s="1"/>
  <c r="F83" i="5"/>
  <c r="G83" i="5" s="1"/>
  <c r="O82" i="5"/>
  <c r="P82" i="5" s="1"/>
  <c r="F82" i="5"/>
  <c r="G82" i="5" s="1"/>
  <c r="O81" i="5"/>
  <c r="P81" i="5" s="1"/>
  <c r="G81" i="5"/>
  <c r="F81" i="5"/>
  <c r="P80" i="5"/>
  <c r="O80" i="5"/>
  <c r="O79" i="5"/>
  <c r="P79" i="5" s="1"/>
  <c r="F79" i="5"/>
  <c r="G79" i="5" s="1"/>
  <c r="O78" i="5"/>
  <c r="P78" i="5" s="1"/>
  <c r="F78" i="5"/>
  <c r="G78" i="5" s="1"/>
  <c r="Q74" i="5"/>
  <c r="Q68" i="5"/>
  <c r="Q69" i="5"/>
  <c r="Q70" i="5"/>
  <c r="Q71" i="5"/>
  <c r="Q72" i="5"/>
  <c r="Q73" i="5"/>
  <c r="Q67" i="5"/>
  <c r="Q66" i="5"/>
  <c r="H66" i="5"/>
  <c r="H74" i="5"/>
  <c r="H67" i="5"/>
  <c r="H69" i="5"/>
  <c r="H70" i="5"/>
  <c r="H71" i="5"/>
  <c r="H73" i="5"/>
  <c r="H64" i="5"/>
  <c r="P74" i="5"/>
  <c r="O74" i="5"/>
  <c r="F74" i="5"/>
  <c r="G74" i="5"/>
  <c r="N5" i="8"/>
  <c r="N6" i="8"/>
  <c r="N7" i="8"/>
  <c r="N8" i="8"/>
  <c r="N9" i="8"/>
  <c r="N10" i="8"/>
  <c r="Q1" i="8" s="1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Q2" i="8" s="1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" i="8"/>
  <c r="Q2" i="7"/>
  <c r="Q1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" i="7"/>
  <c r="Q63" i="5"/>
  <c r="Q56" i="5"/>
  <c r="Q57" i="5"/>
  <c r="Q58" i="5"/>
  <c r="Q59" i="5"/>
  <c r="Q60" i="5"/>
  <c r="Q61" i="5"/>
  <c r="Q62" i="5"/>
  <c r="Q64" i="5"/>
  <c r="Q65" i="5"/>
  <c r="H57" i="5"/>
  <c r="H58" i="5"/>
  <c r="H59" i="5"/>
  <c r="H60" i="5"/>
  <c r="H61" i="5"/>
  <c r="H62" i="5"/>
  <c r="H63" i="5"/>
  <c r="H65" i="5"/>
  <c r="H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56" i="5"/>
  <c r="G57" i="5"/>
  <c r="G58" i="5"/>
  <c r="G59" i="5"/>
  <c r="G60" i="5"/>
  <c r="G61" i="5"/>
  <c r="G62" i="5"/>
  <c r="G63" i="5"/>
  <c r="G64" i="5"/>
  <c r="G65" i="5"/>
  <c r="G66" i="5"/>
  <c r="G67" i="5"/>
  <c r="G69" i="5"/>
  <c r="G70" i="5"/>
  <c r="G71" i="5"/>
  <c r="G73" i="5"/>
  <c r="G56" i="5"/>
  <c r="O73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56" i="5"/>
  <c r="F71" i="5"/>
  <c r="F57" i="5"/>
  <c r="F58" i="5"/>
  <c r="F59" i="5"/>
  <c r="F60" i="5"/>
  <c r="F61" i="5"/>
  <c r="F62" i="5"/>
  <c r="F63" i="5"/>
  <c r="F64" i="5"/>
  <c r="F65" i="5"/>
  <c r="F66" i="5"/>
  <c r="F67" i="5"/>
  <c r="F69" i="5"/>
  <c r="F70" i="5"/>
  <c r="F73" i="5"/>
  <c r="F56" i="5"/>
  <c r="S2" i="6"/>
  <c r="T2" i="6"/>
  <c r="U2" i="6"/>
  <c r="S3" i="6"/>
  <c r="T3" i="6"/>
  <c r="U3" i="6"/>
  <c r="S4" i="6"/>
  <c r="T4" i="6"/>
  <c r="U4" i="6"/>
  <c r="S5" i="6"/>
  <c r="T5" i="6"/>
  <c r="U5" i="6"/>
  <c r="S6" i="6"/>
  <c r="T6" i="6"/>
  <c r="U6" i="6"/>
  <c r="S7" i="6"/>
  <c r="T7" i="6"/>
  <c r="U7" i="6"/>
  <c r="S8" i="6"/>
  <c r="T8" i="6"/>
  <c r="U8" i="6"/>
  <c r="S9" i="6"/>
  <c r="T9" i="6"/>
  <c r="U9" i="6"/>
  <c r="S10" i="6"/>
  <c r="T10" i="6"/>
  <c r="U10" i="6"/>
  <c r="S11" i="6"/>
  <c r="T11" i="6"/>
  <c r="U11" i="6"/>
  <c r="S12" i="6"/>
  <c r="T12" i="6"/>
  <c r="U12" i="6"/>
  <c r="S13" i="6"/>
  <c r="T13" i="6"/>
  <c r="U13" i="6"/>
  <c r="S14" i="6"/>
  <c r="T14" i="6"/>
  <c r="U14" i="6"/>
  <c r="S15" i="6"/>
  <c r="T15" i="6"/>
  <c r="U15" i="6"/>
  <c r="S16" i="6"/>
  <c r="T16" i="6"/>
  <c r="U16" i="6"/>
  <c r="S17" i="6"/>
  <c r="T17" i="6"/>
  <c r="U17" i="6"/>
  <c r="S18" i="6"/>
  <c r="T18" i="6"/>
  <c r="U18" i="6"/>
  <c r="S19" i="6"/>
  <c r="T19" i="6"/>
  <c r="U19" i="6"/>
  <c r="S20" i="6"/>
  <c r="T20" i="6"/>
  <c r="U20" i="6"/>
  <c r="S21" i="6"/>
  <c r="T21" i="6"/>
  <c r="U21" i="6"/>
  <c r="S22" i="6"/>
  <c r="T22" i="6"/>
  <c r="U22" i="6"/>
  <c r="S23" i="6"/>
  <c r="T23" i="6"/>
  <c r="U23" i="6"/>
  <c r="S24" i="6"/>
  <c r="T24" i="6"/>
  <c r="U24" i="6"/>
  <c r="S25" i="6"/>
  <c r="T25" i="6"/>
  <c r="U25" i="6"/>
  <c r="S26" i="6"/>
  <c r="T26" i="6"/>
  <c r="U26" i="6"/>
  <c r="S27" i="6"/>
  <c r="T27" i="6"/>
  <c r="U27" i="6"/>
  <c r="S28" i="6"/>
  <c r="T28" i="6"/>
  <c r="U28" i="6"/>
  <c r="S29" i="6"/>
  <c r="T29" i="6"/>
  <c r="U29" i="6"/>
  <c r="S30" i="6"/>
  <c r="T30" i="6"/>
  <c r="U30" i="6"/>
  <c r="S31" i="6"/>
  <c r="T31" i="6"/>
  <c r="U31" i="6"/>
  <c r="S32" i="6"/>
  <c r="T32" i="6"/>
  <c r="U32" i="6"/>
  <c r="S33" i="6"/>
  <c r="T33" i="6"/>
  <c r="U33" i="6"/>
  <c r="S34" i="6"/>
  <c r="T34" i="6"/>
  <c r="U34" i="6"/>
  <c r="S35" i="6"/>
  <c r="T35" i="6"/>
  <c r="U35" i="6"/>
  <c r="S36" i="6"/>
  <c r="T36" i="6"/>
  <c r="U36" i="6"/>
  <c r="S37" i="6"/>
  <c r="T37" i="6"/>
  <c r="U37" i="6"/>
  <c r="S38" i="6"/>
  <c r="T38" i="6"/>
  <c r="U38" i="6"/>
  <c r="S39" i="6"/>
  <c r="T39" i="6"/>
  <c r="U39" i="6"/>
  <c r="S40" i="6"/>
  <c r="T40" i="6"/>
  <c r="U40" i="6"/>
  <c r="S41" i="6"/>
  <c r="T41" i="6"/>
  <c r="U41" i="6"/>
  <c r="S42" i="6"/>
  <c r="T42" i="6"/>
  <c r="U42" i="6"/>
  <c r="S43" i="6"/>
  <c r="T43" i="6"/>
  <c r="U43" i="6"/>
  <c r="S44" i="6"/>
  <c r="T44" i="6"/>
  <c r="U44" i="6"/>
  <c r="S45" i="6"/>
  <c r="T45" i="6"/>
  <c r="U45" i="6"/>
  <c r="S46" i="6"/>
  <c r="T46" i="6"/>
  <c r="U46" i="6"/>
  <c r="S47" i="6"/>
  <c r="T47" i="6"/>
  <c r="U47" i="6"/>
  <c r="S48" i="6"/>
  <c r="T48" i="6"/>
  <c r="U48" i="6"/>
  <c r="S49" i="6"/>
  <c r="T49" i="6"/>
  <c r="U49" i="6"/>
  <c r="S50" i="6"/>
  <c r="T50" i="6"/>
  <c r="U50" i="6"/>
  <c r="S51" i="6"/>
  <c r="T51" i="6"/>
  <c r="U51" i="6"/>
  <c r="S52" i="6"/>
  <c r="T52" i="6"/>
  <c r="U52" i="6"/>
  <c r="S53" i="6"/>
  <c r="T53" i="6"/>
  <c r="U53" i="6"/>
  <c r="S54" i="6"/>
  <c r="T54" i="6"/>
  <c r="U54" i="6"/>
  <c r="S55" i="6"/>
  <c r="T55" i="6"/>
  <c r="U55" i="6"/>
  <c r="S56" i="6"/>
  <c r="T56" i="6"/>
  <c r="U56" i="6"/>
  <c r="S57" i="6"/>
  <c r="T57" i="6"/>
  <c r="U57" i="6"/>
  <c r="S58" i="6"/>
  <c r="T58" i="6"/>
  <c r="U58" i="6"/>
  <c r="S59" i="6"/>
  <c r="T59" i="6"/>
  <c r="U59" i="6"/>
  <c r="S60" i="6"/>
  <c r="T60" i="6"/>
  <c r="U60" i="6"/>
  <c r="S61" i="6"/>
  <c r="T61" i="6"/>
  <c r="U61" i="6"/>
  <c r="S62" i="6"/>
  <c r="T62" i="6"/>
  <c r="U62" i="6"/>
  <c r="S63" i="6"/>
  <c r="T63" i="6"/>
  <c r="U63" i="6"/>
  <c r="S64" i="6"/>
  <c r="T64" i="6"/>
  <c r="U64" i="6"/>
  <c r="S65" i="6"/>
  <c r="T65" i="6"/>
  <c r="U65" i="6"/>
  <c r="S66" i="6"/>
  <c r="T66" i="6"/>
  <c r="U66" i="6"/>
  <c r="S67" i="6"/>
  <c r="T67" i="6"/>
  <c r="U67" i="6"/>
  <c r="S68" i="6"/>
  <c r="T68" i="6"/>
  <c r="U68" i="6"/>
  <c r="S69" i="6"/>
  <c r="T69" i="6"/>
  <c r="U69" i="6"/>
  <c r="S70" i="6"/>
  <c r="T70" i="6"/>
  <c r="U70" i="6"/>
  <c r="S71" i="6"/>
  <c r="T71" i="6"/>
  <c r="U71" i="6"/>
  <c r="S72" i="6"/>
  <c r="T72" i="6"/>
  <c r="U72" i="6"/>
  <c r="S73" i="6"/>
  <c r="T73" i="6"/>
  <c r="U73" i="6"/>
  <c r="S74" i="6"/>
  <c r="T74" i="6"/>
  <c r="U74" i="6"/>
  <c r="S75" i="6"/>
  <c r="T75" i="6"/>
  <c r="U75" i="6"/>
  <c r="S76" i="6"/>
  <c r="T76" i="6"/>
  <c r="U76" i="6"/>
  <c r="S77" i="6"/>
  <c r="T77" i="6"/>
  <c r="U77" i="6"/>
  <c r="S78" i="6"/>
  <c r="T78" i="6"/>
  <c r="U78" i="6"/>
  <c r="S79" i="6"/>
  <c r="T79" i="6"/>
  <c r="U79" i="6"/>
  <c r="S80" i="6"/>
  <c r="T80" i="6"/>
  <c r="U80" i="6"/>
  <c r="S81" i="6"/>
  <c r="T81" i="6"/>
  <c r="U81" i="6"/>
  <c r="S82" i="6"/>
  <c r="T82" i="6"/>
  <c r="U82" i="6"/>
  <c r="S83" i="6"/>
  <c r="T83" i="6"/>
  <c r="U83" i="6"/>
  <c r="S84" i="6"/>
  <c r="T84" i="6"/>
  <c r="U84" i="6"/>
  <c r="S85" i="6"/>
  <c r="T85" i="6"/>
  <c r="U85" i="6"/>
  <c r="S86" i="6"/>
  <c r="T86" i="6"/>
  <c r="U86" i="6"/>
  <c r="S87" i="6"/>
  <c r="T87" i="6"/>
  <c r="U87" i="6"/>
  <c r="S88" i="6"/>
  <c r="T88" i="6"/>
  <c r="U88" i="6"/>
  <c r="S89" i="6"/>
  <c r="T89" i="6"/>
  <c r="U89" i="6"/>
  <c r="S90" i="6"/>
  <c r="T90" i="6"/>
  <c r="U90" i="6"/>
  <c r="S91" i="6"/>
  <c r="T91" i="6"/>
  <c r="U91" i="6"/>
  <c r="S92" i="6"/>
  <c r="T92" i="6"/>
  <c r="U92" i="6"/>
  <c r="S93" i="6"/>
  <c r="T93" i="6"/>
  <c r="U93" i="6"/>
  <c r="S94" i="6"/>
  <c r="T94" i="6"/>
  <c r="U94" i="6"/>
  <c r="S95" i="6"/>
  <c r="T95" i="6"/>
  <c r="U95" i="6"/>
  <c r="S96" i="6"/>
  <c r="T96" i="6"/>
  <c r="U96" i="6"/>
  <c r="S97" i="6"/>
  <c r="T97" i="6"/>
  <c r="U97" i="6"/>
  <c r="S98" i="6"/>
  <c r="T98" i="6"/>
  <c r="U98" i="6"/>
  <c r="S99" i="6"/>
  <c r="T99" i="6"/>
  <c r="U99" i="6"/>
  <c r="S100" i="6"/>
  <c r="T100" i="6"/>
  <c r="U100" i="6"/>
  <c r="S101" i="6"/>
  <c r="T101" i="6"/>
  <c r="U101" i="6"/>
  <c r="S102" i="6"/>
  <c r="T102" i="6"/>
  <c r="U102" i="6"/>
  <c r="S103" i="6"/>
  <c r="T103" i="6"/>
  <c r="U103" i="6"/>
  <c r="S104" i="6"/>
  <c r="T104" i="6"/>
  <c r="U104" i="6"/>
  <c r="S105" i="6"/>
  <c r="T105" i="6"/>
  <c r="U105" i="6"/>
  <c r="S106" i="6"/>
  <c r="T106" i="6"/>
  <c r="U106" i="6"/>
  <c r="S107" i="6"/>
  <c r="T107" i="6"/>
  <c r="U107" i="6"/>
  <c r="S108" i="6"/>
  <c r="T108" i="6"/>
  <c r="U108" i="6"/>
  <c r="S109" i="6"/>
  <c r="T109" i="6"/>
  <c r="U109" i="6"/>
  <c r="S110" i="6"/>
  <c r="T110" i="6"/>
  <c r="U110" i="6"/>
  <c r="S111" i="6"/>
  <c r="T111" i="6"/>
  <c r="U111" i="6"/>
  <c r="S112" i="6"/>
  <c r="T112" i="6"/>
  <c r="U112" i="6"/>
  <c r="S113" i="6"/>
  <c r="T113" i="6"/>
  <c r="U113" i="6"/>
  <c r="S114" i="6"/>
  <c r="T114" i="6"/>
  <c r="U114" i="6"/>
  <c r="S115" i="6"/>
  <c r="T115" i="6"/>
  <c r="U115" i="6"/>
  <c r="S116" i="6"/>
  <c r="T116" i="6"/>
  <c r="U116" i="6"/>
  <c r="S117" i="6"/>
  <c r="T117" i="6"/>
  <c r="U117" i="6"/>
  <c r="S118" i="6"/>
  <c r="T118" i="6"/>
  <c r="U118" i="6"/>
  <c r="S119" i="6"/>
  <c r="T119" i="6"/>
  <c r="U119" i="6"/>
  <c r="S120" i="6"/>
  <c r="T120" i="6"/>
  <c r="U120" i="6"/>
  <c r="S121" i="6"/>
  <c r="T121" i="6"/>
  <c r="U121" i="6"/>
  <c r="S122" i="6"/>
  <c r="T122" i="6"/>
  <c r="U122" i="6"/>
  <c r="S123" i="6"/>
  <c r="T123" i="6"/>
  <c r="U123" i="6"/>
  <c r="S124" i="6"/>
  <c r="T124" i="6"/>
  <c r="U124" i="6"/>
  <c r="S125" i="6"/>
  <c r="T125" i="6"/>
  <c r="U125" i="6"/>
  <c r="S126" i="6"/>
  <c r="T126" i="6"/>
  <c r="U126" i="6"/>
  <c r="S127" i="6"/>
  <c r="T127" i="6"/>
  <c r="U127" i="6"/>
  <c r="S128" i="6"/>
  <c r="T128" i="6"/>
  <c r="U128" i="6"/>
  <c r="S129" i="6"/>
  <c r="T129" i="6"/>
  <c r="U129" i="6"/>
  <c r="S130" i="6"/>
  <c r="T130" i="6"/>
  <c r="U130" i="6"/>
  <c r="S131" i="6"/>
  <c r="T131" i="6"/>
  <c r="U131" i="6"/>
  <c r="S132" i="6"/>
  <c r="T132" i="6"/>
  <c r="U132" i="6"/>
  <c r="S133" i="6"/>
  <c r="T133" i="6"/>
  <c r="U133" i="6"/>
  <c r="S134" i="6"/>
  <c r="T134" i="6"/>
  <c r="U134" i="6"/>
  <c r="S135" i="6"/>
  <c r="T135" i="6"/>
  <c r="U135" i="6"/>
  <c r="S136" i="6"/>
  <c r="T136" i="6"/>
  <c r="U136" i="6"/>
  <c r="S137" i="6"/>
  <c r="T137" i="6"/>
  <c r="U137" i="6"/>
  <c r="S138" i="6"/>
  <c r="T138" i="6"/>
  <c r="U138" i="6"/>
  <c r="S139" i="6"/>
  <c r="T139" i="6"/>
  <c r="U139" i="6"/>
  <c r="S140" i="6"/>
  <c r="T140" i="6"/>
  <c r="U140" i="6"/>
  <c r="S141" i="6"/>
  <c r="T141" i="6"/>
  <c r="U141" i="6"/>
  <c r="S142" i="6"/>
  <c r="T142" i="6"/>
  <c r="U142" i="6"/>
  <c r="S143" i="6"/>
  <c r="T143" i="6"/>
  <c r="U143" i="6"/>
  <c r="S144" i="6"/>
  <c r="T144" i="6"/>
  <c r="U144" i="6"/>
  <c r="S145" i="6"/>
  <c r="T145" i="6"/>
  <c r="U145" i="6"/>
  <c r="S146" i="6"/>
  <c r="T146" i="6"/>
  <c r="U146" i="6"/>
  <c r="S147" i="6"/>
  <c r="T147" i="6"/>
  <c r="U147" i="6"/>
  <c r="S148" i="6"/>
  <c r="T148" i="6"/>
  <c r="U148" i="6"/>
  <c r="S149" i="6"/>
  <c r="T149" i="6"/>
  <c r="U149" i="6"/>
  <c r="S150" i="6"/>
  <c r="T150" i="6"/>
  <c r="U150" i="6"/>
  <c r="S151" i="6"/>
  <c r="T151" i="6"/>
  <c r="U151" i="6"/>
  <c r="S152" i="6"/>
  <c r="T152" i="6"/>
  <c r="U152" i="6"/>
  <c r="S153" i="6"/>
  <c r="T153" i="6"/>
  <c r="U153" i="6"/>
  <c r="S154" i="6"/>
  <c r="T154" i="6"/>
  <c r="U154" i="6"/>
  <c r="S155" i="6"/>
  <c r="T155" i="6"/>
  <c r="U155" i="6"/>
  <c r="S156" i="6"/>
  <c r="T156" i="6"/>
  <c r="U156" i="6"/>
  <c r="S157" i="6"/>
  <c r="T157" i="6"/>
  <c r="U157" i="6"/>
  <c r="S158" i="6"/>
  <c r="T158" i="6"/>
  <c r="U158" i="6"/>
  <c r="S159" i="6"/>
  <c r="T159" i="6"/>
  <c r="U159" i="6"/>
  <c r="S160" i="6"/>
  <c r="T160" i="6"/>
  <c r="U160" i="6"/>
  <c r="S161" i="6"/>
  <c r="T161" i="6"/>
  <c r="U161" i="6"/>
  <c r="S162" i="6"/>
  <c r="T162" i="6"/>
  <c r="U162" i="6"/>
  <c r="S163" i="6"/>
  <c r="T163" i="6"/>
  <c r="U163" i="6"/>
  <c r="S164" i="6"/>
  <c r="T164" i="6"/>
  <c r="U164" i="6"/>
  <c r="S165" i="6"/>
  <c r="T165" i="6"/>
  <c r="U165" i="6"/>
  <c r="S166" i="6"/>
  <c r="T166" i="6"/>
  <c r="U166" i="6"/>
  <c r="S167" i="6"/>
  <c r="T167" i="6"/>
  <c r="U167" i="6"/>
  <c r="S168" i="6"/>
  <c r="T168" i="6"/>
  <c r="U168" i="6"/>
  <c r="S169" i="6"/>
  <c r="T169" i="6"/>
  <c r="U169" i="6"/>
  <c r="S170" i="6"/>
  <c r="T170" i="6"/>
  <c r="U170" i="6"/>
  <c r="S171" i="6"/>
  <c r="T171" i="6"/>
  <c r="U171" i="6"/>
  <c r="S172" i="6"/>
  <c r="T172" i="6"/>
  <c r="U172" i="6"/>
  <c r="S173" i="6"/>
  <c r="T173" i="6"/>
  <c r="U173" i="6"/>
  <c r="S174" i="6"/>
  <c r="T174" i="6"/>
  <c r="U174" i="6"/>
  <c r="S175" i="6"/>
  <c r="T175" i="6"/>
  <c r="U175" i="6"/>
  <c r="S176" i="6"/>
  <c r="T176" i="6"/>
  <c r="U176" i="6"/>
  <c r="S177" i="6"/>
  <c r="T177" i="6"/>
  <c r="U177" i="6"/>
  <c r="S178" i="6"/>
  <c r="T178" i="6"/>
  <c r="U178" i="6"/>
  <c r="S179" i="6"/>
  <c r="T179" i="6"/>
  <c r="U179" i="6"/>
  <c r="S180" i="6"/>
  <c r="T180" i="6"/>
  <c r="U180" i="6"/>
  <c r="S181" i="6"/>
  <c r="T181" i="6"/>
  <c r="U181" i="6"/>
  <c r="S182" i="6"/>
  <c r="T182" i="6"/>
  <c r="U182" i="6"/>
  <c r="S183" i="6"/>
  <c r="T183" i="6"/>
  <c r="U183" i="6"/>
  <c r="S184" i="6"/>
  <c r="T184" i="6"/>
  <c r="U184" i="6"/>
  <c r="S185" i="6"/>
  <c r="T185" i="6"/>
  <c r="U185" i="6"/>
  <c r="S186" i="6"/>
  <c r="T186" i="6"/>
  <c r="U186" i="6"/>
  <c r="S187" i="6"/>
  <c r="T187" i="6"/>
  <c r="U187" i="6"/>
  <c r="S188" i="6"/>
  <c r="T188" i="6"/>
  <c r="U188" i="6"/>
  <c r="S189" i="6"/>
  <c r="T189" i="6"/>
  <c r="U189" i="6"/>
  <c r="S190" i="6"/>
  <c r="T190" i="6"/>
  <c r="U190" i="6"/>
  <c r="S191" i="6"/>
  <c r="T191" i="6"/>
  <c r="U191" i="6"/>
  <c r="S192" i="6"/>
  <c r="T192" i="6"/>
  <c r="U192" i="6"/>
  <c r="S193" i="6"/>
  <c r="T193" i="6"/>
  <c r="U193" i="6"/>
  <c r="S194" i="6"/>
  <c r="T194" i="6"/>
  <c r="U194" i="6"/>
  <c r="S195" i="6"/>
  <c r="T195" i="6"/>
  <c r="U195" i="6"/>
  <c r="S196" i="6"/>
  <c r="T196" i="6"/>
  <c r="U196" i="6"/>
  <c r="S197" i="6"/>
  <c r="T197" i="6"/>
  <c r="U197" i="6"/>
  <c r="S198" i="6"/>
  <c r="T198" i="6"/>
  <c r="U198" i="6"/>
  <c r="S199" i="6"/>
  <c r="T199" i="6"/>
  <c r="U199" i="6"/>
  <c r="S200" i="6"/>
  <c r="T200" i="6"/>
  <c r="U200" i="6"/>
  <c r="S201" i="6"/>
  <c r="T201" i="6"/>
  <c r="U201" i="6"/>
  <c r="S202" i="6"/>
  <c r="T202" i="6"/>
  <c r="U202" i="6"/>
  <c r="S203" i="6"/>
  <c r="T203" i="6"/>
  <c r="U203" i="6"/>
  <c r="S204" i="6"/>
  <c r="T204" i="6"/>
  <c r="U204" i="6"/>
  <c r="S205" i="6"/>
  <c r="T205" i="6"/>
  <c r="U205" i="6"/>
  <c r="S206" i="6"/>
  <c r="T206" i="6"/>
  <c r="U206" i="6"/>
  <c r="S207" i="6"/>
  <c r="T207" i="6"/>
  <c r="U207" i="6"/>
  <c r="S208" i="6"/>
  <c r="T208" i="6"/>
  <c r="U208" i="6"/>
  <c r="S209" i="6"/>
  <c r="T209" i="6"/>
  <c r="U209" i="6"/>
  <c r="S210" i="6"/>
  <c r="T210" i="6"/>
  <c r="U210" i="6"/>
  <c r="S211" i="6"/>
  <c r="T211" i="6"/>
  <c r="U211" i="6"/>
  <c r="S212" i="6"/>
  <c r="T212" i="6"/>
  <c r="U212" i="6"/>
  <c r="S213" i="6"/>
  <c r="T213" i="6"/>
  <c r="U213" i="6"/>
  <c r="S214" i="6"/>
  <c r="T214" i="6"/>
  <c r="U214" i="6"/>
  <c r="S215" i="6"/>
  <c r="T215" i="6"/>
  <c r="U215" i="6"/>
  <c r="S216" i="6"/>
  <c r="T216" i="6"/>
  <c r="U216" i="6"/>
  <c r="S217" i="6"/>
  <c r="T217" i="6"/>
  <c r="U217" i="6"/>
  <c r="S218" i="6"/>
  <c r="T218" i="6"/>
  <c r="U218" i="6"/>
  <c r="S219" i="6"/>
  <c r="T219" i="6"/>
  <c r="U219" i="6"/>
  <c r="S220" i="6"/>
  <c r="T220" i="6"/>
  <c r="U220" i="6"/>
  <c r="S221" i="6"/>
  <c r="T221" i="6"/>
  <c r="U221" i="6"/>
  <c r="S222" i="6"/>
  <c r="T222" i="6"/>
  <c r="U222" i="6"/>
  <c r="S223" i="6"/>
  <c r="T223" i="6"/>
  <c r="U223" i="6"/>
  <c r="S224" i="6"/>
  <c r="T224" i="6"/>
  <c r="U224" i="6"/>
  <c r="S225" i="6"/>
  <c r="T225" i="6"/>
  <c r="U225" i="6"/>
  <c r="S226" i="6"/>
  <c r="T226" i="6"/>
  <c r="U226" i="6"/>
  <c r="S227" i="6"/>
  <c r="T227" i="6"/>
  <c r="U227" i="6"/>
  <c r="S228" i="6"/>
  <c r="T228" i="6"/>
  <c r="U228" i="6"/>
  <c r="S229" i="6"/>
  <c r="T229" i="6"/>
  <c r="U229" i="6"/>
  <c r="S230" i="6"/>
  <c r="T230" i="6"/>
  <c r="U230" i="6"/>
  <c r="S231" i="6"/>
  <c r="T231" i="6"/>
  <c r="U231" i="6"/>
  <c r="S232" i="6"/>
  <c r="T232" i="6"/>
  <c r="U232" i="6"/>
  <c r="S233" i="6"/>
  <c r="T233" i="6"/>
  <c r="U233" i="6"/>
  <c r="S234" i="6"/>
  <c r="T234" i="6"/>
  <c r="U234" i="6"/>
  <c r="S235" i="6"/>
  <c r="T235" i="6"/>
  <c r="U235" i="6"/>
  <c r="S236" i="6"/>
  <c r="T236" i="6"/>
  <c r="U236" i="6"/>
  <c r="S237" i="6"/>
  <c r="T237" i="6"/>
  <c r="U237" i="6"/>
  <c r="S238" i="6"/>
  <c r="T238" i="6"/>
  <c r="U238" i="6"/>
  <c r="S239" i="6"/>
  <c r="T239" i="6"/>
  <c r="U239" i="6"/>
  <c r="S240" i="6"/>
  <c r="T240" i="6"/>
  <c r="U240" i="6"/>
  <c r="S241" i="6"/>
  <c r="T241" i="6"/>
  <c r="U241" i="6"/>
  <c r="S242" i="6"/>
  <c r="T242" i="6"/>
  <c r="U242" i="6"/>
  <c r="S243" i="6"/>
  <c r="T243" i="6"/>
  <c r="U243" i="6"/>
  <c r="S244" i="6"/>
  <c r="T244" i="6"/>
  <c r="U244" i="6"/>
  <c r="S245" i="6"/>
  <c r="T245" i="6"/>
  <c r="U245" i="6"/>
  <c r="S246" i="6"/>
  <c r="T246" i="6"/>
  <c r="U246" i="6"/>
  <c r="S247" i="6"/>
  <c r="T247" i="6"/>
  <c r="U247" i="6"/>
  <c r="S248" i="6"/>
  <c r="T248" i="6"/>
  <c r="U248" i="6"/>
  <c r="S249" i="6"/>
  <c r="T249" i="6"/>
  <c r="U249" i="6"/>
  <c r="S250" i="6"/>
  <c r="T250" i="6"/>
  <c r="U250" i="6"/>
  <c r="S251" i="6"/>
  <c r="T251" i="6"/>
  <c r="U251" i="6"/>
  <c r="S252" i="6"/>
  <c r="T252" i="6"/>
  <c r="U252" i="6"/>
  <c r="S253" i="6"/>
  <c r="T253" i="6"/>
  <c r="U253" i="6"/>
  <c r="S254" i="6"/>
  <c r="T254" i="6"/>
  <c r="U254" i="6"/>
  <c r="S255" i="6"/>
  <c r="T255" i="6"/>
  <c r="U255" i="6"/>
  <c r="S256" i="6"/>
  <c r="T256" i="6"/>
  <c r="U256" i="6"/>
  <c r="S257" i="6"/>
  <c r="T257" i="6"/>
  <c r="U257" i="6"/>
  <c r="S258" i="6"/>
  <c r="T258" i="6"/>
  <c r="U258" i="6"/>
  <c r="S259" i="6"/>
  <c r="T259" i="6"/>
  <c r="U259" i="6"/>
  <c r="S260" i="6"/>
  <c r="T260" i="6"/>
  <c r="U260" i="6"/>
  <c r="S261" i="6"/>
  <c r="T261" i="6"/>
  <c r="U261" i="6"/>
  <c r="S262" i="6"/>
  <c r="T262" i="6"/>
  <c r="U262" i="6"/>
  <c r="S263" i="6"/>
  <c r="T263" i="6"/>
  <c r="U263" i="6"/>
  <c r="S264" i="6"/>
  <c r="T264" i="6"/>
  <c r="U264" i="6"/>
  <c r="S265" i="6"/>
  <c r="T265" i="6"/>
  <c r="U265" i="6"/>
  <c r="S266" i="6"/>
  <c r="T266" i="6"/>
  <c r="U266" i="6"/>
  <c r="S267" i="6"/>
  <c r="T267" i="6"/>
  <c r="U267" i="6"/>
  <c r="S268" i="6"/>
  <c r="T268" i="6"/>
  <c r="U268" i="6"/>
  <c r="S269" i="6"/>
  <c r="T269" i="6"/>
  <c r="U269" i="6"/>
  <c r="S270" i="6"/>
  <c r="T270" i="6"/>
  <c r="U270" i="6"/>
  <c r="S271" i="6"/>
  <c r="T271" i="6"/>
  <c r="U271" i="6"/>
  <c r="S272" i="6"/>
  <c r="T272" i="6"/>
  <c r="U272" i="6"/>
  <c r="S273" i="6"/>
  <c r="T273" i="6"/>
  <c r="U273" i="6"/>
  <c r="S274" i="6"/>
  <c r="T274" i="6"/>
  <c r="U274" i="6"/>
  <c r="S275" i="6"/>
  <c r="T275" i="6"/>
  <c r="U275" i="6"/>
  <c r="S276" i="6"/>
  <c r="T276" i="6"/>
  <c r="U276" i="6"/>
  <c r="S277" i="6"/>
  <c r="T277" i="6"/>
  <c r="U277" i="6"/>
  <c r="S278" i="6"/>
  <c r="T278" i="6"/>
  <c r="U278" i="6"/>
  <c r="S279" i="6"/>
  <c r="T279" i="6"/>
  <c r="U279" i="6"/>
  <c r="S280" i="6"/>
  <c r="T280" i="6"/>
  <c r="U280" i="6"/>
  <c r="S281" i="6"/>
  <c r="T281" i="6"/>
  <c r="U281" i="6"/>
  <c r="S282" i="6"/>
  <c r="T282" i="6"/>
  <c r="U282" i="6"/>
  <c r="S283" i="6"/>
  <c r="T283" i="6"/>
  <c r="U283" i="6"/>
  <c r="S284" i="6"/>
  <c r="T284" i="6"/>
  <c r="U284" i="6"/>
  <c r="S285" i="6"/>
  <c r="T285" i="6"/>
  <c r="U285" i="6"/>
  <c r="S286" i="6"/>
  <c r="T286" i="6"/>
  <c r="U286" i="6"/>
  <c r="S287" i="6"/>
  <c r="T287" i="6"/>
  <c r="U287" i="6"/>
  <c r="S288" i="6"/>
  <c r="T288" i="6"/>
  <c r="U288" i="6"/>
  <c r="S289" i="6"/>
  <c r="T289" i="6"/>
  <c r="U289" i="6"/>
  <c r="S290" i="6"/>
  <c r="T290" i="6"/>
  <c r="U290" i="6"/>
  <c r="S291" i="6"/>
  <c r="T291" i="6"/>
  <c r="U291" i="6"/>
  <c r="S292" i="6"/>
  <c r="T292" i="6"/>
  <c r="U292" i="6"/>
  <c r="S293" i="6"/>
  <c r="T293" i="6"/>
  <c r="U293" i="6"/>
  <c r="S294" i="6"/>
  <c r="T294" i="6"/>
  <c r="U294" i="6"/>
  <c r="S295" i="6"/>
  <c r="T295" i="6"/>
  <c r="U295" i="6"/>
  <c r="S296" i="6"/>
  <c r="T296" i="6"/>
  <c r="U296" i="6"/>
  <c r="S297" i="6"/>
  <c r="T297" i="6"/>
  <c r="U297" i="6"/>
  <c r="S298" i="6"/>
  <c r="T298" i="6"/>
  <c r="U298" i="6"/>
  <c r="S299" i="6"/>
  <c r="T299" i="6"/>
  <c r="U299" i="6"/>
  <c r="S300" i="6"/>
  <c r="T300" i="6"/>
  <c r="U300" i="6"/>
  <c r="S301" i="6"/>
  <c r="T301" i="6"/>
  <c r="U301" i="6"/>
  <c r="S302" i="6"/>
  <c r="T302" i="6"/>
  <c r="U302" i="6"/>
  <c r="S303" i="6"/>
  <c r="T303" i="6"/>
  <c r="U303" i="6"/>
  <c r="S304" i="6"/>
  <c r="T304" i="6"/>
  <c r="U304" i="6"/>
  <c r="S305" i="6"/>
  <c r="T305" i="6"/>
  <c r="U305" i="6"/>
  <c r="S306" i="6"/>
  <c r="T306" i="6"/>
  <c r="U306" i="6"/>
  <c r="S307" i="6"/>
  <c r="T307" i="6"/>
  <c r="U307" i="6"/>
  <c r="S308" i="6"/>
  <c r="T308" i="6"/>
  <c r="U308" i="6"/>
  <c r="S309" i="6"/>
  <c r="T309" i="6"/>
  <c r="U309" i="6"/>
  <c r="S310" i="6"/>
  <c r="T310" i="6"/>
  <c r="U310" i="6"/>
  <c r="S311" i="6"/>
  <c r="T311" i="6"/>
  <c r="U311" i="6"/>
  <c r="S312" i="6"/>
  <c r="T312" i="6"/>
  <c r="U312" i="6"/>
  <c r="S313" i="6"/>
  <c r="T313" i="6"/>
  <c r="U313" i="6"/>
  <c r="S314" i="6"/>
  <c r="T314" i="6"/>
  <c r="U314" i="6"/>
  <c r="S315" i="6"/>
  <c r="T315" i="6"/>
  <c r="U315" i="6"/>
  <c r="S316" i="6"/>
  <c r="T316" i="6"/>
  <c r="U316" i="6"/>
  <c r="S317" i="6"/>
  <c r="T317" i="6"/>
  <c r="U317" i="6"/>
  <c r="S318" i="6"/>
  <c r="T318" i="6"/>
  <c r="U318" i="6"/>
  <c r="S319" i="6"/>
  <c r="T319" i="6"/>
  <c r="U319" i="6"/>
  <c r="S320" i="6"/>
  <c r="T320" i="6"/>
  <c r="U320" i="6"/>
  <c r="S321" i="6"/>
  <c r="T321" i="6"/>
  <c r="U321" i="6"/>
  <c r="S322" i="6"/>
  <c r="T322" i="6"/>
  <c r="U322" i="6"/>
  <c r="S323" i="6"/>
  <c r="T323" i="6"/>
  <c r="U323" i="6"/>
  <c r="S324" i="6"/>
  <c r="T324" i="6"/>
  <c r="U324" i="6"/>
  <c r="S325" i="6"/>
  <c r="T325" i="6"/>
  <c r="U325" i="6"/>
  <c r="S326" i="6"/>
  <c r="T326" i="6"/>
  <c r="U326" i="6"/>
  <c r="S327" i="6"/>
  <c r="T327" i="6"/>
  <c r="U327" i="6"/>
  <c r="S328" i="6"/>
  <c r="T328" i="6"/>
  <c r="U328" i="6"/>
  <c r="S329" i="6"/>
  <c r="T329" i="6"/>
  <c r="U329" i="6"/>
  <c r="S330" i="6"/>
  <c r="T330" i="6"/>
  <c r="U330" i="6"/>
  <c r="S331" i="6"/>
  <c r="T331" i="6"/>
  <c r="U331" i="6"/>
  <c r="S332" i="6"/>
  <c r="T332" i="6"/>
  <c r="U332" i="6"/>
  <c r="S333" i="6"/>
  <c r="T333" i="6"/>
  <c r="U333" i="6"/>
  <c r="S334" i="6"/>
  <c r="T334" i="6"/>
  <c r="U334" i="6"/>
  <c r="S335" i="6"/>
  <c r="T335" i="6"/>
  <c r="U335" i="6"/>
  <c r="S336" i="6"/>
  <c r="T336" i="6"/>
  <c r="U336" i="6"/>
  <c r="S337" i="6"/>
  <c r="T337" i="6"/>
  <c r="U337" i="6"/>
  <c r="S338" i="6"/>
  <c r="T338" i="6"/>
  <c r="U338" i="6"/>
  <c r="S339" i="6"/>
  <c r="T339" i="6"/>
  <c r="U339" i="6"/>
  <c r="S340" i="6"/>
  <c r="T340" i="6"/>
  <c r="U340" i="6"/>
  <c r="S341" i="6"/>
  <c r="T341" i="6"/>
  <c r="U341" i="6"/>
  <c r="S342" i="6"/>
  <c r="T342" i="6"/>
  <c r="U342" i="6"/>
  <c r="S343" i="6"/>
  <c r="T343" i="6"/>
  <c r="U343" i="6"/>
  <c r="S344" i="6"/>
  <c r="T344" i="6"/>
  <c r="U344" i="6"/>
  <c r="S345" i="6"/>
  <c r="T345" i="6"/>
  <c r="U345" i="6"/>
  <c r="S346" i="6"/>
  <c r="T346" i="6"/>
  <c r="U346" i="6"/>
  <c r="S347" i="6"/>
  <c r="T347" i="6"/>
  <c r="U347" i="6"/>
  <c r="S348" i="6"/>
  <c r="T348" i="6"/>
  <c r="U348" i="6"/>
  <c r="S349" i="6"/>
  <c r="T349" i="6"/>
  <c r="U349" i="6"/>
  <c r="S350" i="6"/>
  <c r="T350" i="6"/>
  <c r="U350" i="6"/>
  <c r="S351" i="6"/>
  <c r="T351" i="6"/>
  <c r="U351" i="6"/>
  <c r="S352" i="6"/>
  <c r="T352" i="6"/>
  <c r="U352" i="6"/>
  <c r="S353" i="6"/>
  <c r="T353" i="6"/>
  <c r="U353" i="6"/>
  <c r="S354" i="6"/>
  <c r="T354" i="6"/>
  <c r="U354" i="6"/>
  <c r="S355" i="6"/>
  <c r="T355" i="6"/>
  <c r="U355" i="6"/>
  <c r="S356" i="6"/>
  <c r="T356" i="6"/>
  <c r="U356" i="6"/>
  <c r="S357" i="6"/>
  <c r="T357" i="6"/>
  <c r="U357" i="6"/>
  <c r="S358" i="6"/>
  <c r="T358" i="6"/>
  <c r="U358" i="6"/>
  <c r="S359" i="6"/>
  <c r="T359" i="6"/>
  <c r="U359" i="6"/>
  <c r="S360" i="6"/>
  <c r="T360" i="6"/>
  <c r="U360" i="6"/>
  <c r="S361" i="6"/>
  <c r="T361" i="6"/>
  <c r="U361" i="6"/>
  <c r="S362" i="6"/>
  <c r="T362" i="6"/>
  <c r="U362" i="6"/>
  <c r="S363" i="6"/>
  <c r="T363" i="6"/>
  <c r="U363" i="6"/>
  <c r="S364" i="6"/>
  <c r="T364" i="6"/>
  <c r="U364" i="6"/>
  <c r="S365" i="6"/>
  <c r="T365" i="6"/>
  <c r="U365" i="6"/>
  <c r="S366" i="6"/>
  <c r="T366" i="6"/>
  <c r="U366" i="6"/>
  <c r="S367" i="6"/>
  <c r="T367" i="6"/>
  <c r="U367" i="6"/>
  <c r="S368" i="6"/>
  <c r="T368" i="6"/>
  <c r="U368" i="6"/>
  <c r="S369" i="6"/>
  <c r="T369" i="6"/>
  <c r="U369" i="6"/>
  <c r="S370" i="6"/>
  <c r="T370" i="6"/>
  <c r="U370" i="6"/>
  <c r="S371" i="6"/>
  <c r="T371" i="6"/>
  <c r="U371" i="6"/>
  <c r="S372" i="6"/>
  <c r="T372" i="6"/>
  <c r="U372" i="6"/>
  <c r="S373" i="6"/>
  <c r="T373" i="6"/>
  <c r="U373" i="6"/>
  <c r="S374" i="6"/>
  <c r="T374" i="6"/>
  <c r="U374" i="6"/>
  <c r="S375" i="6"/>
  <c r="T375" i="6"/>
  <c r="U375" i="6"/>
  <c r="S376" i="6"/>
  <c r="T376" i="6"/>
  <c r="U376" i="6"/>
  <c r="S377" i="6"/>
  <c r="T377" i="6"/>
  <c r="U377" i="6"/>
  <c r="S378" i="6"/>
  <c r="T378" i="6"/>
  <c r="U378" i="6"/>
  <c r="S379" i="6"/>
  <c r="T379" i="6"/>
  <c r="U379" i="6"/>
  <c r="S380" i="6"/>
  <c r="T380" i="6"/>
  <c r="U380" i="6"/>
  <c r="S381" i="6"/>
  <c r="T381" i="6"/>
  <c r="U381" i="6"/>
  <c r="S382" i="6"/>
  <c r="T382" i="6"/>
  <c r="U382" i="6"/>
  <c r="S383" i="6"/>
  <c r="T383" i="6"/>
  <c r="U383" i="6"/>
  <c r="S384" i="6"/>
  <c r="T384" i="6"/>
  <c r="U384" i="6"/>
  <c r="S385" i="6"/>
  <c r="T385" i="6"/>
  <c r="U385" i="6"/>
  <c r="S386" i="6"/>
  <c r="T386" i="6"/>
  <c r="U386" i="6"/>
  <c r="S387" i="6"/>
  <c r="T387" i="6"/>
  <c r="U387" i="6"/>
  <c r="S388" i="6"/>
  <c r="T388" i="6"/>
  <c r="U388" i="6"/>
  <c r="S389" i="6"/>
  <c r="T389" i="6"/>
  <c r="U389" i="6"/>
  <c r="S390" i="6"/>
  <c r="T390" i="6"/>
  <c r="U390" i="6"/>
  <c r="S391" i="6"/>
  <c r="T391" i="6"/>
  <c r="U391" i="6"/>
  <c r="S392" i="6"/>
  <c r="T392" i="6"/>
  <c r="U392" i="6"/>
  <c r="S393" i="6"/>
  <c r="T393" i="6"/>
  <c r="U393" i="6"/>
  <c r="S394" i="6"/>
  <c r="T394" i="6"/>
  <c r="U394" i="6"/>
  <c r="S395" i="6"/>
  <c r="T395" i="6"/>
  <c r="U395" i="6"/>
  <c r="S396" i="6"/>
  <c r="T396" i="6"/>
  <c r="U396" i="6"/>
  <c r="S397" i="6"/>
  <c r="T397" i="6"/>
  <c r="U397" i="6"/>
  <c r="S398" i="6"/>
  <c r="T398" i="6"/>
  <c r="U398" i="6"/>
  <c r="S399" i="6"/>
  <c r="T399" i="6"/>
  <c r="U399" i="6"/>
  <c r="S400" i="6"/>
  <c r="T400" i="6"/>
  <c r="U400" i="6"/>
  <c r="S401" i="6"/>
  <c r="T401" i="6"/>
  <c r="U401" i="6"/>
  <c r="S402" i="6"/>
  <c r="T402" i="6"/>
  <c r="U402" i="6"/>
  <c r="S403" i="6"/>
  <c r="T403" i="6"/>
  <c r="U403" i="6"/>
  <c r="S404" i="6"/>
  <c r="T404" i="6"/>
  <c r="U404" i="6"/>
  <c r="S405" i="6"/>
  <c r="T405" i="6"/>
  <c r="U405" i="6"/>
  <c r="S406" i="6"/>
  <c r="T406" i="6"/>
  <c r="U406" i="6"/>
  <c r="S407" i="6"/>
  <c r="T407" i="6"/>
  <c r="U407" i="6"/>
  <c r="S408" i="6"/>
  <c r="T408" i="6"/>
  <c r="U408" i="6"/>
  <c r="S409" i="6"/>
  <c r="T409" i="6"/>
  <c r="U409" i="6"/>
  <c r="S410" i="6"/>
  <c r="T410" i="6"/>
  <c r="U410" i="6"/>
  <c r="S411" i="6"/>
  <c r="T411" i="6"/>
  <c r="U411" i="6"/>
  <c r="S412" i="6"/>
  <c r="T412" i="6"/>
  <c r="U412" i="6"/>
  <c r="S413" i="6"/>
  <c r="T413" i="6"/>
  <c r="U413" i="6"/>
  <c r="S414" i="6"/>
  <c r="T414" i="6"/>
  <c r="U414" i="6"/>
  <c r="S415" i="6"/>
  <c r="T415" i="6"/>
  <c r="U415" i="6"/>
  <c r="S416" i="6"/>
  <c r="T416" i="6"/>
  <c r="U416" i="6"/>
  <c r="S417" i="6"/>
  <c r="T417" i="6"/>
  <c r="U417" i="6"/>
  <c r="S418" i="6"/>
  <c r="T418" i="6"/>
  <c r="U418" i="6"/>
  <c r="S419" i="6"/>
  <c r="T419" i="6"/>
  <c r="U419" i="6"/>
  <c r="S420" i="6"/>
  <c r="T420" i="6"/>
  <c r="U420" i="6"/>
  <c r="S421" i="6"/>
  <c r="T421" i="6"/>
  <c r="U421" i="6"/>
  <c r="S422" i="6"/>
  <c r="T422" i="6"/>
  <c r="U422" i="6"/>
  <c r="S423" i="6"/>
  <c r="T423" i="6"/>
  <c r="U423" i="6"/>
  <c r="S424" i="6"/>
  <c r="T424" i="6"/>
  <c r="U424" i="6"/>
  <c r="S425" i="6"/>
  <c r="T425" i="6"/>
  <c r="U425" i="6"/>
  <c r="S426" i="6"/>
  <c r="T426" i="6"/>
  <c r="U426" i="6"/>
  <c r="S427" i="6"/>
  <c r="T427" i="6"/>
  <c r="U427" i="6"/>
  <c r="S428" i="6"/>
  <c r="T428" i="6"/>
  <c r="U428" i="6"/>
  <c r="S429" i="6"/>
  <c r="T429" i="6"/>
  <c r="U429" i="6"/>
  <c r="S430" i="6"/>
  <c r="T430" i="6"/>
  <c r="U430" i="6"/>
  <c r="S431" i="6"/>
  <c r="T431" i="6"/>
  <c r="U431" i="6"/>
  <c r="S432" i="6"/>
  <c r="T432" i="6"/>
  <c r="U43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E301" i="6"/>
  <c r="F301" i="6"/>
  <c r="G301" i="6"/>
  <c r="H301" i="6"/>
  <c r="I301" i="6"/>
  <c r="J301" i="6"/>
  <c r="K301" i="6"/>
  <c r="L301" i="6"/>
  <c r="M301" i="6"/>
  <c r="N301" i="6"/>
  <c r="O301" i="6"/>
  <c r="P301" i="6"/>
  <c r="Q301" i="6"/>
  <c r="R301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E303" i="6"/>
  <c r="F303" i="6"/>
  <c r="G303" i="6"/>
  <c r="H303" i="6"/>
  <c r="I303" i="6"/>
  <c r="J303" i="6"/>
  <c r="K303" i="6"/>
  <c r="L303" i="6"/>
  <c r="M303" i="6"/>
  <c r="N303" i="6"/>
  <c r="O303" i="6"/>
  <c r="P303" i="6"/>
  <c r="Q303" i="6"/>
  <c r="R303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E305" i="6"/>
  <c r="F305" i="6"/>
  <c r="G305" i="6"/>
  <c r="H305" i="6"/>
  <c r="I305" i="6"/>
  <c r="J305" i="6"/>
  <c r="K305" i="6"/>
  <c r="L305" i="6"/>
  <c r="M305" i="6"/>
  <c r="N305" i="6"/>
  <c r="O305" i="6"/>
  <c r="P305" i="6"/>
  <c r="Q305" i="6"/>
  <c r="R305" i="6"/>
  <c r="E306" i="6"/>
  <c r="F306" i="6"/>
  <c r="G306" i="6"/>
  <c r="H306" i="6"/>
  <c r="I306" i="6"/>
  <c r="J306" i="6"/>
  <c r="K306" i="6"/>
  <c r="L306" i="6"/>
  <c r="M306" i="6"/>
  <c r="N306" i="6"/>
  <c r="O306" i="6"/>
  <c r="P306" i="6"/>
  <c r="Q306" i="6"/>
  <c r="R306" i="6"/>
  <c r="E307" i="6"/>
  <c r="F307" i="6"/>
  <c r="G307" i="6"/>
  <c r="H307" i="6"/>
  <c r="I307" i="6"/>
  <c r="J307" i="6"/>
  <c r="K307" i="6"/>
  <c r="L307" i="6"/>
  <c r="M307" i="6"/>
  <c r="N307" i="6"/>
  <c r="O307" i="6"/>
  <c r="P307" i="6"/>
  <c r="Q307" i="6"/>
  <c r="R307" i="6"/>
  <c r="E308" i="6"/>
  <c r="F308" i="6"/>
  <c r="G308" i="6"/>
  <c r="H308" i="6"/>
  <c r="I308" i="6"/>
  <c r="J308" i="6"/>
  <c r="K308" i="6"/>
  <c r="L308" i="6"/>
  <c r="M308" i="6"/>
  <c r="N308" i="6"/>
  <c r="O308" i="6"/>
  <c r="P308" i="6"/>
  <c r="Q308" i="6"/>
  <c r="R308" i="6"/>
  <c r="E309" i="6"/>
  <c r="F309" i="6"/>
  <c r="G309" i="6"/>
  <c r="H309" i="6"/>
  <c r="I309" i="6"/>
  <c r="J309" i="6"/>
  <c r="K309" i="6"/>
  <c r="L309" i="6"/>
  <c r="M309" i="6"/>
  <c r="N309" i="6"/>
  <c r="O309" i="6"/>
  <c r="P309" i="6"/>
  <c r="Q309" i="6"/>
  <c r="R309" i="6"/>
  <c r="E310" i="6"/>
  <c r="F310" i="6"/>
  <c r="G310" i="6"/>
  <c r="H310" i="6"/>
  <c r="I310" i="6"/>
  <c r="J310" i="6"/>
  <c r="K310" i="6"/>
  <c r="L310" i="6"/>
  <c r="M310" i="6"/>
  <c r="N310" i="6"/>
  <c r="O310" i="6"/>
  <c r="P310" i="6"/>
  <c r="Q310" i="6"/>
  <c r="R310" i="6"/>
  <c r="E311" i="6"/>
  <c r="F311" i="6"/>
  <c r="G311" i="6"/>
  <c r="H311" i="6"/>
  <c r="I311" i="6"/>
  <c r="J311" i="6"/>
  <c r="K311" i="6"/>
  <c r="L311" i="6"/>
  <c r="M311" i="6"/>
  <c r="N311" i="6"/>
  <c r="O311" i="6"/>
  <c r="P311" i="6"/>
  <c r="Q311" i="6"/>
  <c r="R311" i="6"/>
  <c r="E312" i="6"/>
  <c r="F312" i="6"/>
  <c r="G312" i="6"/>
  <c r="H312" i="6"/>
  <c r="I312" i="6"/>
  <c r="J312" i="6"/>
  <c r="K312" i="6"/>
  <c r="L312" i="6"/>
  <c r="M312" i="6"/>
  <c r="N312" i="6"/>
  <c r="O312" i="6"/>
  <c r="P312" i="6"/>
  <c r="Q312" i="6"/>
  <c r="R312" i="6"/>
  <c r="E313" i="6"/>
  <c r="F313" i="6"/>
  <c r="G313" i="6"/>
  <c r="H313" i="6"/>
  <c r="I313" i="6"/>
  <c r="J313" i="6"/>
  <c r="K313" i="6"/>
  <c r="L313" i="6"/>
  <c r="M313" i="6"/>
  <c r="N313" i="6"/>
  <c r="O313" i="6"/>
  <c r="P313" i="6"/>
  <c r="Q313" i="6"/>
  <c r="R313" i="6"/>
  <c r="E314" i="6"/>
  <c r="F314" i="6"/>
  <c r="G314" i="6"/>
  <c r="H314" i="6"/>
  <c r="I314" i="6"/>
  <c r="J314" i="6"/>
  <c r="K314" i="6"/>
  <c r="L314" i="6"/>
  <c r="M314" i="6"/>
  <c r="N314" i="6"/>
  <c r="O314" i="6"/>
  <c r="P314" i="6"/>
  <c r="Q314" i="6"/>
  <c r="R314" i="6"/>
  <c r="E315" i="6"/>
  <c r="F315" i="6"/>
  <c r="G315" i="6"/>
  <c r="H315" i="6"/>
  <c r="I315" i="6"/>
  <c r="J315" i="6"/>
  <c r="K315" i="6"/>
  <c r="L315" i="6"/>
  <c r="M315" i="6"/>
  <c r="N315" i="6"/>
  <c r="O315" i="6"/>
  <c r="P315" i="6"/>
  <c r="Q315" i="6"/>
  <c r="R315" i="6"/>
  <c r="E316" i="6"/>
  <c r="F316" i="6"/>
  <c r="G316" i="6"/>
  <c r="H316" i="6"/>
  <c r="I316" i="6"/>
  <c r="J316" i="6"/>
  <c r="K316" i="6"/>
  <c r="L316" i="6"/>
  <c r="M316" i="6"/>
  <c r="N316" i="6"/>
  <c r="O316" i="6"/>
  <c r="P316" i="6"/>
  <c r="Q316" i="6"/>
  <c r="R316" i="6"/>
  <c r="E317" i="6"/>
  <c r="F317" i="6"/>
  <c r="G317" i="6"/>
  <c r="H317" i="6"/>
  <c r="I317" i="6"/>
  <c r="J317" i="6"/>
  <c r="K317" i="6"/>
  <c r="L317" i="6"/>
  <c r="M317" i="6"/>
  <c r="N317" i="6"/>
  <c r="O317" i="6"/>
  <c r="P317" i="6"/>
  <c r="Q317" i="6"/>
  <c r="R317" i="6"/>
  <c r="E318" i="6"/>
  <c r="F318" i="6"/>
  <c r="G318" i="6"/>
  <c r="H318" i="6"/>
  <c r="I318" i="6"/>
  <c r="J318" i="6"/>
  <c r="K318" i="6"/>
  <c r="L318" i="6"/>
  <c r="M318" i="6"/>
  <c r="N318" i="6"/>
  <c r="O318" i="6"/>
  <c r="P318" i="6"/>
  <c r="Q318" i="6"/>
  <c r="R318" i="6"/>
  <c r="E319" i="6"/>
  <c r="F319" i="6"/>
  <c r="G319" i="6"/>
  <c r="H319" i="6"/>
  <c r="I319" i="6"/>
  <c r="J319" i="6"/>
  <c r="K319" i="6"/>
  <c r="L319" i="6"/>
  <c r="M319" i="6"/>
  <c r="N319" i="6"/>
  <c r="O319" i="6"/>
  <c r="P319" i="6"/>
  <c r="Q319" i="6"/>
  <c r="R319" i="6"/>
  <c r="E320" i="6"/>
  <c r="F320" i="6"/>
  <c r="G320" i="6"/>
  <c r="H320" i="6"/>
  <c r="I320" i="6"/>
  <c r="J320" i="6"/>
  <c r="K320" i="6"/>
  <c r="L320" i="6"/>
  <c r="M320" i="6"/>
  <c r="N320" i="6"/>
  <c r="O320" i="6"/>
  <c r="P320" i="6"/>
  <c r="Q320" i="6"/>
  <c r="R320" i="6"/>
  <c r="E321" i="6"/>
  <c r="F321" i="6"/>
  <c r="G321" i="6"/>
  <c r="H321" i="6"/>
  <c r="I321" i="6"/>
  <c r="J321" i="6"/>
  <c r="K321" i="6"/>
  <c r="L321" i="6"/>
  <c r="M321" i="6"/>
  <c r="N321" i="6"/>
  <c r="O321" i="6"/>
  <c r="P321" i="6"/>
  <c r="Q321" i="6"/>
  <c r="R321" i="6"/>
  <c r="E322" i="6"/>
  <c r="F322" i="6"/>
  <c r="G322" i="6"/>
  <c r="H322" i="6"/>
  <c r="I322" i="6"/>
  <c r="J322" i="6"/>
  <c r="K322" i="6"/>
  <c r="L322" i="6"/>
  <c r="M322" i="6"/>
  <c r="N322" i="6"/>
  <c r="O322" i="6"/>
  <c r="P322" i="6"/>
  <c r="Q322" i="6"/>
  <c r="R322" i="6"/>
  <c r="E323" i="6"/>
  <c r="F323" i="6"/>
  <c r="G323" i="6"/>
  <c r="H323" i="6"/>
  <c r="I323" i="6"/>
  <c r="J323" i="6"/>
  <c r="K323" i="6"/>
  <c r="L323" i="6"/>
  <c r="M323" i="6"/>
  <c r="N323" i="6"/>
  <c r="O323" i="6"/>
  <c r="P323" i="6"/>
  <c r="Q323" i="6"/>
  <c r="R323" i="6"/>
  <c r="E324" i="6"/>
  <c r="F324" i="6"/>
  <c r="G324" i="6"/>
  <c r="H324" i="6"/>
  <c r="I324" i="6"/>
  <c r="J324" i="6"/>
  <c r="K324" i="6"/>
  <c r="L324" i="6"/>
  <c r="M324" i="6"/>
  <c r="N324" i="6"/>
  <c r="O324" i="6"/>
  <c r="P324" i="6"/>
  <c r="Q324" i="6"/>
  <c r="R324" i="6"/>
  <c r="E325" i="6"/>
  <c r="F325" i="6"/>
  <c r="G325" i="6"/>
  <c r="H325" i="6"/>
  <c r="I325" i="6"/>
  <c r="J325" i="6"/>
  <c r="K325" i="6"/>
  <c r="L325" i="6"/>
  <c r="M325" i="6"/>
  <c r="N325" i="6"/>
  <c r="O325" i="6"/>
  <c r="P325" i="6"/>
  <c r="Q325" i="6"/>
  <c r="R325" i="6"/>
  <c r="E326" i="6"/>
  <c r="F326" i="6"/>
  <c r="G326" i="6"/>
  <c r="H326" i="6"/>
  <c r="I326" i="6"/>
  <c r="J326" i="6"/>
  <c r="K326" i="6"/>
  <c r="L326" i="6"/>
  <c r="M326" i="6"/>
  <c r="N326" i="6"/>
  <c r="O326" i="6"/>
  <c r="P326" i="6"/>
  <c r="Q326" i="6"/>
  <c r="R326" i="6"/>
  <c r="E327" i="6"/>
  <c r="F327" i="6"/>
  <c r="G327" i="6"/>
  <c r="H327" i="6"/>
  <c r="I327" i="6"/>
  <c r="J327" i="6"/>
  <c r="K327" i="6"/>
  <c r="L327" i="6"/>
  <c r="M327" i="6"/>
  <c r="N327" i="6"/>
  <c r="O327" i="6"/>
  <c r="P327" i="6"/>
  <c r="Q327" i="6"/>
  <c r="R327" i="6"/>
  <c r="E328" i="6"/>
  <c r="F328" i="6"/>
  <c r="G328" i="6"/>
  <c r="H328" i="6"/>
  <c r="I328" i="6"/>
  <c r="J328" i="6"/>
  <c r="K328" i="6"/>
  <c r="L328" i="6"/>
  <c r="M328" i="6"/>
  <c r="N328" i="6"/>
  <c r="O328" i="6"/>
  <c r="P328" i="6"/>
  <c r="Q328" i="6"/>
  <c r="R328" i="6"/>
  <c r="E329" i="6"/>
  <c r="F329" i="6"/>
  <c r="G329" i="6"/>
  <c r="H329" i="6"/>
  <c r="I329" i="6"/>
  <c r="J329" i="6"/>
  <c r="K329" i="6"/>
  <c r="L329" i="6"/>
  <c r="M329" i="6"/>
  <c r="N329" i="6"/>
  <c r="O329" i="6"/>
  <c r="P329" i="6"/>
  <c r="Q329" i="6"/>
  <c r="R329" i="6"/>
  <c r="E330" i="6"/>
  <c r="F330" i="6"/>
  <c r="G330" i="6"/>
  <c r="H330" i="6"/>
  <c r="I330" i="6"/>
  <c r="J330" i="6"/>
  <c r="K330" i="6"/>
  <c r="L330" i="6"/>
  <c r="M330" i="6"/>
  <c r="N330" i="6"/>
  <c r="O330" i="6"/>
  <c r="P330" i="6"/>
  <c r="Q330" i="6"/>
  <c r="R330" i="6"/>
  <c r="E331" i="6"/>
  <c r="F331" i="6"/>
  <c r="G331" i="6"/>
  <c r="H331" i="6"/>
  <c r="I331" i="6"/>
  <c r="J331" i="6"/>
  <c r="K331" i="6"/>
  <c r="L331" i="6"/>
  <c r="M331" i="6"/>
  <c r="N331" i="6"/>
  <c r="O331" i="6"/>
  <c r="P331" i="6"/>
  <c r="Q331" i="6"/>
  <c r="R331" i="6"/>
  <c r="E332" i="6"/>
  <c r="F332" i="6"/>
  <c r="G332" i="6"/>
  <c r="H332" i="6"/>
  <c r="I332" i="6"/>
  <c r="J332" i="6"/>
  <c r="K332" i="6"/>
  <c r="L332" i="6"/>
  <c r="M332" i="6"/>
  <c r="N332" i="6"/>
  <c r="O332" i="6"/>
  <c r="P332" i="6"/>
  <c r="Q332" i="6"/>
  <c r="R332" i="6"/>
  <c r="E333" i="6"/>
  <c r="F333" i="6"/>
  <c r="G333" i="6"/>
  <c r="H333" i="6"/>
  <c r="I333" i="6"/>
  <c r="J333" i="6"/>
  <c r="K333" i="6"/>
  <c r="L333" i="6"/>
  <c r="M333" i="6"/>
  <c r="N333" i="6"/>
  <c r="O333" i="6"/>
  <c r="P333" i="6"/>
  <c r="Q333" i="6"/>
  <c r="R333" i="6"/>
  <c r="E334" i="6"/>
  <c r="F334" i="6"/>
  <c r="G334" i="6"/>
  <c r="H334" i="6"/>
  <c r="I334" i="6"/>
  <c r="J334" i="6"/>
  <c r="K334" i="6"/>
  <c r="L334" i="6"/>
  <c r="M334" i="6"/>
  <c r="N334" i="6"/>
  <c r="O334" i="6"/>
  <c r="P334" i="6"/>
  <c r="Q334" i="6"/>
  <c r="R334" i="6"/>
  <c r="E335" i="6"/>
  <c r="F335" i="6"/>
  <c r="G335" i="6"/>
  <c r="H335" i="6"/>
  <c r="I335" i="6"/>
  <c r="J335" i="6"/>
  <c r="K335" i="6"/>
  <c r="L335" i="6"/>
  <c r="M335" i="6"/>
  <c r="N335" i="6"/>
  <c r="O335" i="6"/>
  <c r="P335" i="6"/>
  <c r="Q335" i="6"/>
  <c r="R335" i="6"/>
  <c r="E336" i="6"/>
  <c r="F336" i="6"/>
  <c r="G336" i="6"/>
  <c r="H336" i="6"/>
  <c r="I336" i="6"/>
  <c r="J336" i="6"/>
  <c r="K336" i="6"/>
  <c r="L336" i="6"/>
  <c r="M336" i="6"/>
  <c r="N336" i="6"/>
  <c r="O336" i="6"/>
  <c r="P336" i="6"/>
  <c r="Q336" i="6"/>
  <c r="R336" i="6"/>
  <c r="E337" i="6"/>
  <c r="F337" i="6"/>
  <c r="G337" i="6"/>
  <c r="H337" i="6"/>
  <c r="I337" i="6"/>
  <c r="J337" i="6"/>
  <c r="K337" i="6"/>
  <c r="L337" i="6"/>
  <c r="M337" i="6"/>
  <c r="N337" i="6"/>
  <c r="O337" i="6"/>
  <c r="P337" i="6"/>
  <c r="Q337" i="6"/>
  <c r="R337" i="6"/>
  <c r="E338" i="6"/>
  <c r="F338" i="6"/>
  <c r="G338" i="6"/>
  <c r="H338" i="6"/>
  <c r="I338" i="6"/>
  <c r="J338" i="6"/>
  <c r="K338" i="6"/>
  <c r="L338" i="6"/>
  <c r="M338" i="6"/>
  <c r="N338" i="6"/>
  <c r="O338" i="6"/>
  <c r="P338" i="6"/>
  <c r="Q338" i="6"/>
  <c r="R338" i="6"/>
  <c r="E339" i="6"/>
  <c r="F339" i="6"/>
  <c r="G339" i="6"/>
  <c r="H339" i="6"/>
  <c r="I339" i="6"/>
  <c r="J339" i="6"/>
  <c r="K339" i="6"/>
  <c r="L339" i="6"/>
  <c r="M339" i="6"/>
  <c r="N339" i="6"/>
  <c r="O339" i="6"/>
  <c r="P339" i="6"/>
  <c r="Q339" i="6"/>
  <c r="R339" i="6"/>
  <c r="E340" i="6"/>
  <c r="F340" i="6"/>
  <c r="G340" i="6"/>
  <c r="H340" i="6"/>
  <c r="I340" i="6"/>
  <c r="J340" i="6"/>
  <c r="K340" i="6"/>
  <c r="L340" i="6"/>
  <c r="M340" i="6"/>
  <c r="N340" i="6"/>
  <c r="O340" i="6"/>
  <c r="P340" i="6"/>
  <c r="Q340" i="6"/>
  <c r="R340" i="6"/>
  <c r="E341" i="6"/>
  <c r="F341" i="6"/>
  <c r="G341" i="6"/>
  <c r="H341" i="6"/>
  <c r="I341" i="6"/>
  <c r="J341" i="6"/>
  <c r="K341" i="6"/>
  <c r="L341" i="6"/>
  <c r="M341" i="6"/>
  <c r="N341" i="6"/>
  <c r="O341" i="6"/>
  <c r="P341" i="6"/>
  <c r="Q341" i="6"/>
  <c r="R341" i="6"/>
  <c r="E342" i="6"/>
  <c r="F342" i="6"/>
  <c r="G342" i="6"/>
  <c r="H342" i="6"/>
  <c r="I342" i="6"/>
  <c r="J342" i="6"/>
  <c r="K342" i="6"/>
  <c r="L342" i="6"/>
  <c r="M342" i="6"/>
  <c r="N342" i="6"/>
  <c r="O342" i="6"/>
  <c r="P342" i="6"/>
  <c r="Q342" i="6"/>
  <c r="R342" i="6"/>
  <c r="E343" i="6"/>
  <c r="F343" i="6"/>
  <c r="G343" i="6"/>
  <c r="H343" i="6"/>
  <c r="I343" i="6"/>
  <c r="J343" i="6"/>
  <c r="K343" i="6"/>
  <c r="L343" i="6"/>
  <c r="M343" i="6"/>
  <c r="N343" i="6"/>
  <c r="O343" i="6"/>
  <c r="P343" i="6"/>
  <c r="Q343" i="6"/>
  <c r="R343" i="6"/>
  <c r="E344" i="6"/>
  <c r="F344" i="6"/>
  <c r="G344" i="6"/>
  <c r="H344" i="6"/>
  <c r="I344" i="6"/>
  <c r="J344" i="6"/>
  <c r="K344" i="6"/>
  <c r="L344" i="6"/>
  <c r="M344" i="6"/>
  <c r="N344" i="6"/>
  <c r="O344" i="6"/>
  <c r="P344" i="6"/>
  <c r="Q344" i="6"/>
  <c r="R344" i="6"/>
  <c r="E345" i="6"/>
  <c r="F345" i="6"/>
  <c r="G345" i="6"/>
  <c r="H345" i="6"/>
  <c r="I345" i="6"/>
  <c r="J345" i="6"/>
  <c r="K345" i="6"/>
  <c r="L345" i="6"/>
  <c r="M345" i="6"/>
  <c r="N345" i="6"/>
  <c r="O345" i="6"/>
  <c r="P345" i="6"/>
  <c r="Q345" i="6"/>
  <c r="R345" i="6"/>
  <c r="E346" i="6"/>
  <c r="F346" i="6"/>
  <c r="G346" i="6"/>
  <c r="H346" i="6"/>
  <c r="I346" i="6"/>
  <c r="J346" i="6"/>
  <c r="K346" i="6"/>
  <c r="L346" i="6"/>
  <c r="M346" i="6"/>
  <c r="N346" i="6"/>
  <c r="O346" i="6"/>
  <c r="P346" i="6"/>
  <c r="Q346" i="6"/>
  <c r="R346" i="6"/>
  <c r="E347" i="6"/>
  <c r="F347" i="6"/>
  <c r="G347" i="6"/>
  <c r="H347" i="6"/>
  <c r="I347" i="6"/>
  <c r="J347" i="6"/>
  <c r="K347" i="6"/>
  <c r="L347" i="6"/>
  <c r="M347" i="6"/>
  <c r="N347" i="6"/>
  <c r="O347" i="6"/>
  <c r="P347" i="6"/>
  <c r="Q347" i="6"/>
  <c r="R347" i="6"/>
  <c r="E348" i="6"/>
  <c r="F348" i="6"/>
  <c r="G348" i="6"/>
  <c r="H348" i="6"/>
  <c r="I348" i="6"/>
  <c r="J348" i="6"/>
  <c r="K348" i="6"/>
  <c r="L348" i="6"/>
  <c r="M348" i="6"/>
  <c r="N348" i="6"/>
  <c r="O348" i="6"/>
  <c r="P348" i="6"/>
  <c r="Q348" i="6"/>
  <c r="R348" i="6"/>
  <c r="E349" i="6"/>
  <c r="F349" i="6"/>
  <c r="G349" i="6"/>
  <c r="H349" i="6"/>
  <c r="I349" i="6"/>
  <c r="J349" i="6"/>
  <c r="K349" i="6"/>
  <c r="L349" i="6"/>
  <c r="M349" i="6"/>
  <c r="N349" i="6"/>
  <c r="O349" i="6"/>
  <c r="P349" i="6"/>
  <c r="Q349" i="6"/>
  <c r="R349" i="6"/>
  <c r="E350" i="6"/>
  <c r="F350" i="6"/>
  <c r="G350" i="6"/>
  <c r="H350" i="6"/>
  <c r="I350" i="6"/>
  <c r="J350" i="6"/>
  <c r="K350" i="6"/>
  <c r="L350" i="6"/>
  <c r="M350" i="6"/>
  <c r="N350" i="6"/>
  <c r="O350" i="6"/>
  <c r="P350" i="6"/>
  <c r="Q350" i="6"/>
  <c r="R350" i="6"/>
  <c r="E351" i="6"/>
  <c r="F351" i="6"/>
  <c r="G351" i="6"/>
  <c r="H351" i="6"/>
  <c r="I351" i="6"/>
  <c r="J351" i="6"/>
  <c r="K351" i="6"/>
  <c r="L351" i="6"/>
  <c r="M351" i="6"/>
  <c r="N351" i="6"/>
  <c r="O351" i="6"/>
  <c r="P351" i="6"/>
  <c r="Q351" i="6"/>
  <c r="R351" i="6"/>
  <c r="E352" i="6"/>
  <c r="F352" i="6"/>
  <c r="G352" i="6"/>
  <c r="H352" i="6"/>
  <c r="I352" i="6"/>
  <c r="J352" i="6"/>
  <c r="K352" i="6"/>
  <c r="L352" i="6"/>
  <c r="M352" i="6"/>
  <c r="N352" i="6"/>
  <c r="O352" i="6"/>
  <c r="P352" i="6"/>
  <c r="Q352" i="6"/>
  <c r="R352" i="6"/>
  <c r="E353" i="6"/>
  <c r="F353" i="6"/>
  <c r="G353" i="6"/>
  <c r="H353" i="6"/>
  <c r="I353" i="6"/>
  <c r="J353" i="6"/>
  <c r="K353" i="6"/>
  <c r="L353" i="6"/>
  <c r="M353" i="6"/>
  <c r="N353" i="6"/>
  <c r="O353" i="6"/>
  <c r="P353" i="6"/>
  <c r="Q353" i="6"/>
  <c r="R353" i="6"/>
  <c r="E354" i="6"/>
  <c r="F354" i="6"/>
  <c r="G354" i="6"/>
  <c r="H354" i="6"/>
  <c r="I354" i="6"/>
  <c r="J354" i="6"/>
  <c r="K354" i="6"/>
  <c r="L354" i="6"/>
  <c r="M354" i="6"/>
  <c r="N354" i="6"/>
  <c r="O354" i="6"/>
  <c r="P354" i="6"/>
  <c r="Q354" i="6"/>
  <c r="R354" i="6"/>
  <c r="E355" i="6"/>
  <c r="F355" i="6"/>
  <c r="G355" i="6"/>
  <c r="H355" i="6"/>
  <c r="I355" i="6"/>
  <c r="J355" i="6"/>
  <c r="K355" i="6"/>
  <c r="L355" i="6"/>
  <c r="M355" i="6"/>
  <c r="N355" i="6"/>
  <c r="O355" i="6"/>
  <c r="P355" i="6"/>
  <c r="Q355" i="6"/>
  <c r="R355" i="6"/>
  <c r="E356" i="6"/>
  <c r="F356" i="6"/>
  <c r="G356" i="6"/>
  <c r="H356" i="6"/>
  <c r="I356" i="6"/>
  <c r="J356" i="6"/>
  <c r="K356" i="6"/>
  <c r="L356" i="6"/>
  <c r="M356" i="6"/>
  <c r="N356" i="6"/>
  <c r="O356" i="6"/>
  <c r="P356" i="6"/>
  <c r="Q356" i="6"/>
  <c r="R356" i="6"/>
  <c r="E357" i="6"/>
  <c r="F357" i="6"/>
  <c r="G357" i="6"/>
  <c r="H357" i="6"/>
  <c r="I357" i="6"/>
  <c r="J357" i="6"/>
  <c r="K357" i="6"/>
  <c r="L357" i="6"/>
  <c r="M357" i="6"/>
  <c r="N357" i="6"/>
  <c r="O357" i="6"/>
  <c r="P357" i="6"/>
  <c r="Q357" i="6"/>
  <c r="R357" i="6"/>
  <c r="E358" i="6"/>
  <c r="F358" i="6"/>
  <c r="G358" i="6"/>
  <c r="H358" i="6"/>
  <c r="I358" i="6"/>
  <c r="J358" i="6"/>
  <c r="K358" i="6"/>
  <c r="L358" i="6"/>
  <c r="M358" i="6"/>
  <c r="N358" i="6"/>
  <c r="O358" i="6"/>
  <c r="P358" i="6"/>
  <c r="Q358" i="6"/>
  <c r="R358" i="6"/>
  <c r="E359" i="6"/>
  <c r="F359" i="6"/>
  <c r="G359" i="6"/>
  <c r="H359" i="6"/>
  <c r="I359" i="6"/>
  <c r="J359" i="6"/>
  <c r="K359" i="6"/>
  <c r="L359" i="6"/>
  <c r="M359" i="6"/>
  <c r="N359" i="6"/>
  <c r="O359" i="6"/>
  <c r="P359" i="6"/>
  <c r="Q359" i="6"/>
  <c r="R359" i="6"/>
  <c r="E360" i="6"/>
  <c r="F360" i="6"/>
  <c r="G360" i="6"/>
  <c r="H360" i="6"/>
  <c r="I360" i="6"/>
  <c r="J360" i="6"/>
  <c r="K360" i="6"/>
  <c r="L360" i="6"/>
  <c r="M360" i="6"/>
  <c r="N360" i="6"/>
  <c r="O360" i="6"/>
  <c r="P360" i="6"/>
  <c r="Q360" i="6"/>
  <c r="R360" i="6"/>
  <c r="E361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R361" i="6"/>
  <c r="E362" i="6"/>
  <c r="F362" i="6"/>
  <c r="G362" i="6"/>
  <c r="H362" i="6"/>
  <c r="I362" i="6"/>
  <c r="J362" i="6"/>
  <c r="K362" i="6"/>
  <c r="L362" i="6"/>
  <c r="M362" i="6"/>
  <c r="N362" i="6"/>
  <c r="O362" i="6"/>
  <c r="P362" i="6"/>
  <c r="Q362" i="6"/>
  <c r="R362" i="6"/>
  <c r="E363" i="6"/>
  <c r="F363" i="6"/>
  <c r="G363" i="6"/>
  <c r="H363" i="6"/>
  <c r="I363" i="6"/>
  <c r="J363" i="6"/>
  <c r="K363" i="6"/>
  <c r="L363" i="6"/>
  <c r="M363" i="6"/>
  <c r="N363" i="6"/>
  <c r="O363" i="6"/>
  <c r="P363" i="6"/>
  <c r="Q363" i="6"/>
  <c r="R363" i="6"/>
  <c r="E364" i="6"/>
  <c r="F364" i="6"/>
  <c r="G364" i="6"/>
  <c r="H364" i="6"/>
  <c r="I364" i="6"/>
  <c r="J364" i="6"/>
  <c r="K364" i="6"/>
  <c r="L364" i="6"/>
  <c r="M364" i="6"/>
  <c r="N364" i="6"/>
  <c r="O364" i="6"/>
  <c r="P364" i="6"/>
  <c r="Q364" i="6"/>
  <c r="R364" i="6"/>
  <c r="E365" i="6"/>
  <c r="F365" i="6"/>
  <c r="G365" i="6"/>
  <c r="H365" i="6"/>
  <c r="I365" i="6"/>
  <c r="J365" i="6"/>
  <c r="K365" i="6"/>
  <c r="L365" i="6"/>
  <c r="M365" i="6"/>
  <c r="N365" i="6"/>
  <c r="O365" i="6"/>
  <c r="P365" i="6"/>
  <c r="Q365" i="6"/>
  <c r="R365" i="6"/>
  <c r="E366" i="6"/>
  <c r="F366" i="6"/>
  <c r="G366" i="6"/>
  <c r="H366" i="6"/>
  <c r="I366" i="6"/>
  <c r="J366" i="6"/>
  <c r="K366" i="6"/>
  <c r="L366" i="6"/>
  <c r="M366" i="6"/>
  <c r="N366" i="6"/>
  <c r="O366" i="6"/>
  <c r="P366" i="6"/>
  <c r="Q366" i="6"/>
  <c r="R366" i="6"/>
  <c r="E367" i="6"/>
  <c r="F367" i="6"/>
  <c r="G367" i="6"/>
  <c r="H367" i="6"/>
  <c r="I367" i="6"/>
  <c r="J367" i="6"/>
  <c r="K367" i="6"/>
  <c r="L367" i="6"/>
  <c r="M367" i="6"/>
  <c r="N367" i="6"/>
  <c r="O367" i="6"/>
  <c r="P367" i="6"/>
  <c r="Q367" i="6"/>
  <c r="R367" i="6"/>
  <c r="E368" i="6"/>
  <c r="F368" i="6"/>
  <c r="G368" i="6"/>
  <c r="H368" i="6"/>
  <c r="I368" i="6"/>
  <c r="J368" i="6"/>
  <c r="K368" i="6"/>
  <c r="L368" i="6"/>
  <c r="M368" i="6"/>
  <c r="N368" i="6"/>
  <c r="O368" i="6"/>
  <c r="P368" i="6"/>
  <c r="Q368" i="6"/>
  <c r="R368" i="6"/>
  <c r="E369" i="6"/>
  <c r="F369" i="6"/>
  <c r="G369" i="6"/>
  <c r="H369" i="6"/>
  <c r="I369" i="6"/>
  <c r="J369" i="6"/>
  <c r="K369" i="6"/>
  <c r="L369" i="6"/>
  <c r="M369" i="6"/>
  <c r="N369" i="6"/>
  <c r="O369" i="6"/>
  <c r="P369" i="6"/>
  <c r="Q369" i="6"/>
  <c r="R369" i="6"/>
  <c r="E370" i="6"/>
  <c r="F370" i="6"/>
  <c r="G370" i="6"/>
  <c r="H370" i="6"/>
  <c r="I370" i="6"/>
  <c r="J370" i="6"/>
  <c r="K370" i="6"/>
  <c r="L370" i="6"/>
  <c r="M370" i="6"/>
  <c r="N370" i="6"/>
  <c r="O370" i="6"/>
  <c r="P370" i="6"/>
  <c r="Q370" i="6"/>
  <c r="R370" i="6"/>
  <c r="E371" i="6"/>
  <c r="F371" i="6"/>
  <c r="G371" i="6"/>
  <c r="H371" i="6"/>
  <c r="I371" i="6"/>
  <c r="J371" i="6"/>
  <c r="K371" i="6"/>
  <c r="L371" i="6"/>
  <c r="M371" i="6"/>
  <c r="N371" i="6"/>
  <c r="O371" i="6"/>
  <c r="P371" i="6"/>
  <c r="Q371" i="6"/>
  <c r="R371" i="6"/>
  <c r="E372" i="6"/>
  <c r="F372" i="6"/>
  <c r="G372" i="6"/>
  <c r="H372" i="6"/>
  <c r="I372" i="6"/>
  <c r="J372" i="6"/>
  <c r="K372" i="6"/>
  <c r="L372" i="6"/>
  <c r="M372" i="6"/>
  <c r="N372" i="6"/>
  <c r="O372" i="6"/>
  <c r="P372" i="6"/>
  <c r="Q372" i="6"/>
  <c r="R372" i="6"/>
  <c r="E373" i="6"/>
  <c r="F373" i="6"/>
  <c r="G373" i="6"/>
  <c r="H373" i="6"/>
  <c r="I373" i="6"/>
  <c r="J373" i="6"/>
  <c r="K373" i="6"/>
  <c r="L373" i="6"/>
  <c r="M373" i="6"/>
  <c r="N373" i="6"/>
  <c r="O373" i="6"/>
  <c r="P373" i="6"/>
  <c r="Q373" i="6"/>
  <c r="R373" i="6"/>
  <c r="E374" i="6"/>
  <c r="F374" i="6"/>
  <c r="G374" i="6"/>
  <c r="H374" i="6"/>
  <c r="I374" i="6"/>
  <c r="J374" i="6"/>
  <c r="K374" i="6"/>
  <c r="L374" i="6"/>
  <c r="M374" i="6"/>
  <c r="N374" i="6"/>
  <c r="O374" i="6"/>
  <c r="P374" i="6"/>
  <c r="Q374" i="6"/>
  <c r="R374" i="6"/>
  <c r="E375" i="6"/>
  <c r="F375" i="6"/>
  <c r="G375" i="6"/>
  <c r="H375" i="6"/>
  <c r="I375" i="6"/>
  <c r="J375" i="6"/>
  <c r="K375" i="6"/>
  <c r="L375" i="6"/>
  <c r="M375" i="6"/>
  <c r="N375" i="6"/>
  <c r="O375" i="6"/>
  <c r="P375" i="6"/>
  <c r="Q375" i="6"/>
  <c r="R375" i="6"/>
  <c r="E376" i="6"/>
  <c r="F376" i="6"/>
  <c r="G376" i="6"/>
  <c r="H376" i="6"/>
  <c r="I376" i="6"/>
  <c r="J376" i="6"/>
  <c r="K376" i="6"/>
  <c r="L376" i="6"/>
  <c r="M376" i="6"/>
  <c r="N376" i="6"/>
  <c r="O376" i="6"/>
  <c r="P376" i="6"/>
  <c r="Q376" i="6"/>
  <c r="R376" i="6"/>
  <c r="E377" i="6"/>
  <c r="F377" i="6"/>
  <c r="G377" i="6"/>
  <c r="H377" i="6"/>
  <c r="I377" i="6"/>
  <c r="J377" i="6"/>
  <c r="K377" i="6"/>
  <c r="L377" i="6"/>
  <c r="M377" i="6"/>
  <c r="N377" i="6"/>
  <c r="O377" i="6"/>
  <c r="P377" i="6"/>
  <c r="Q377" i="6"/>
  <c r="R377" i="6"/>
  <c r="E378" i="6"/>
  <c r="F378" i="6"/>
  <c r="G378" i="6"/>
  <c r="H378" i="6"/>
  <c r="I378" i="6"/>
  <c r="J378" i="6"/>
  <c r="K378" i="6"/>
  <c r="L378" i="6"/>
  <c r="M378" i="6"/>
  <c r="N378" i="6"/>
  <c r="O378" i="6"/>
  <c r="P378" i="6"/>
  <c r="Q378" i="6"/>
  <c r="R378" i="6"/>
  <c r="E379" i="6"/>
  <c r="F379" i="6"/>
  <c r="G379" i="6"/>
  <c r="H379" i="6"/>
  <c r="I379" i="6"/>
  <c r="J379" i="6"/>
  <c r="K379" i="6"/>
  <c r="L379" i="6"/>
  <c r="M379" i="6"/>
  <c r="N379" i="6"/>
  <c r="O379" i="6"/>
  <c r="P379" i="6"/>
  <c r="Q379" i="6"/>
  <c r="R379" i="6"/>
  <c r="E380" i="6"/>
  <c r="F380" i="6"/>
  <c r="G380" i="6"/>
  <c r="H380" i="6"/>
  <c r="I380" i="6"/>
  <c r="J380" i="6"/>
  <c r="K380" i="6"/>
  <c r="L380" i="6"/>
  <c r="M380" i="6"/>
  <c r="N380" i="6"/>
  <c r="O380" i="6"/>
  <c r="P380" i="6"/>
  <c r="Q380" i="6"/>
  <c r="R380" i="6"/>
  <c r="E381" i="6"/>
  <c r="F381" i="6"/>
  <c r="G381" i="6"/>
  <c r="H381" i="6"/>
  <c r="I381" i="6"/>
  <c r="J381" i="6"/>
  <c r="K381" i="6"/>
  <c r="L381" i="6"/>
  <c r="M381" i="6"/>
  <c r="N381" i="6"/>
  <c r="O381" i="6"/>
  <c r="P381" i="6"/>
  <c r="Q381" i="6"/>
  <c r="R381" i="6"/>
  <c r="E382" i="6"/>
  <c r="F382" i="6"/>
  <c r="G382" i="6"/>
  <c r="H382" i="6"/>
  <c r="I382" i="6"/>
  <c r="J382" i="6"/>
  <c r="K382" i="6"/>
  <c r="L382" i="6"/>
  <c r="M382" i="6"/>
  <c r="N382" i="6"/>
  <c r="O382" i="6"/>
  <c r="P382" i="6"/>
  <c r="Q382" i="6"/>
  <c r="R382" i="6"/>
  <c r="E383" i="6"/>
  <c r="F383" i="6"/>
  <c r="G383" i="6"/>
  <c r="H383" i="6"/>
  <c r="I383" i="6"/>
  <c r="J383" i="6"/>
  <c r="K383" i="6"/>
  <c r="L383" i="6"/>
  <c r="M383" i="6"/>
  <c r="N383" i="6"/>
  <c r="O383" i="6"/>
  <c r="P383" i="6"/>
  <c r="Q383" i="6"/>
  <c r="R383" i="6"/>
  <c r="E384" i="6"/>
  <c r="F384" i="6"/>
  <c r="G384" i="6"/>
  <c r="H384" i="6"/>
  <c r="I384" i="6"/>
  <c r="J384" i="6"/>
  <c r="K384" i="6"/>
  <c r="L384" i="6"/>
  <c r="M384" i="6"/>
  <c r="N384" i="6"/>
  <c r="O384" i="6"/>
  <c r="P384" i="6"/>
  <c r="Q384" i="6"/>
  <c r="R384" i="6"/>
  <c r="E385" i="6"/>
  <c r="F385" i="6"/>
  <c r="G385" i="6"/>
  <c r="H385" i="6"/>
  <c r="I385" i="6"/>
  <c r="J385" i="6"/>
  <c r="K385" i="6"/>
  <c r="L385" i="6"/>
  <c r="M385" i="6"/>
  <c r="N385" i="6"/>
  <c r="O385" i="6"/>
  <c r="P385" i="6"/>
  <c r="Q385" i="6"/>
  <c r="R385" i="6"/>
  <c r="E386" i="6"/>
  <c r="F386" i="6"/>
  <c r="G386" i="6"/>
  <c r="H386" i="6"/>
  <c r="I386" i="6"/>
  <c r="J386" i="6"/>
  <c r="K386" i="6"/>
  <c r="L386" i="6"/>
  <c r="M386" i="6"/>
  <c r="N386" i="6"/>
  <c r="O386" i="6"/>
  <c r="P386" i="6"/>
  <c r="Q386" i="6"/>
  <c r="R386" i="6"/>
  <c r="E387" i="6"/>
  <c r="F387" i="6"/>
  <c r="G387" i="6"/>
  <c r="H387" i="6"/>
  <c r="I387" i="6"/>
  <c r="J387" i="6"/>
  <c r="K387" i="6"/>
  <c r="L387" i="6"/>
  <c r="M387" i="6"/>
  <c r="N387" i="6"/>
  <c r="O387" i="6"/>
  <c r="P387" i="6"/>
  <c r="Q387" i="6"/>
  <c r="R387" i="6"/>
  <c r="E388" i="6"/>
  <c r="F388" i="6"/>
  <c r="G388" i="6"/>
  <c r="H388" i="6"/>
  <c r="I388" i="6"/>
  <c r="J388" i="6"/>
  <c r="K388" i="6"/>
  <c r="L388" i="6"/>
  <c r="M388" i="6"/>
  <c r="N388" i="6"/>
  <c r="O388" i="6"/>
  <c r="P388" i="6"/>
  <c r="Q388" i="6"/>
  <c r="R388" i="6"/>
  <c r="E389" i="6"/>
  <c r="F389" i="6"/>
  <c r="G389" i="6"/>
  <c r="H389" i="6"/>
  <c r="I389" i="6"/>
  <c r="J389" i="6"/>
  <c r="K389" i="6"/>
  <c r="L389" i="6"/>
  <c r="M389" i="6"/>
  <c r="N389" i="6"/>
  <c r="O389" i="6"/>
  <c r="P389" i="6"/>
  <c r="Q389" i="6"/>
  <c r="R389" i="6"/>
  <c r="E390" i="6"/>
  <c r="F390" i="6"/>
  <c r="G390" i="6"/>
  <c r="H390" i="6"/>
  <c r="I390" i="6"/>
  <c r="J390" i="6"/>
  <c r="K390" i="6"/>
  <c r="L390" i="6"/>
  <c r="M390" i="6"/>
  <c r="N390" i="6"/>
  <c r="O390" i="6"/>
  <c r="P390" i="6"/>
  <c r="Q390" i="6"/>
  <c r="R390" i="6"/>
  <c r="E391" i="6"/>
  <c r="F391" i="6"/>
  <c r="G391" i="6"/>
  <c r="H391" i="6"/>
  <c r="I391" i="6"/>
  <c r="J391" i="6"/>
  <c r="K391" i="6"/>
  <c r="L391" i="6"/>
  <c r="M391" i="6"/>
  <c r="N391" i="6"/>
  <c r="O391" i="6"/>
  <c r="P391" i="6"/>
  <c r="Q391" i="6"/>
  <c r="R391" i="6"/>
  <c r="E392" i="6"/>
  <c r="F392" i="6"/>
  <c r="G392" i="6"/>
  <c r="H392" i="6"/>
  <c r="I392" i="6"/>
  <c r="J392" i="6"/>
  <c r="K392" i="6"/>
  <c r="L392" i="6"/>
  <c r="M392" i="6"/>
  <c r="N392" i="6"/>
  <c r="O392" i="6"/>
  <c r="P392" i="6"/>
  <c r="Q392" i="6"/>
  <c r="R392" i="6"/>
  <c r="E393" i="6"/>
  <c r="F393" i="6"/>
  <c r="G393" i="6"/>
  <c r="H393" i="6"/>
  <c r="I393" i="6"/>
  <c r="J393" i="6"/>
  <c r="K393" i="6"/>
  <c r="L393" i="6"/>
  <c r="M393" i="6"/>
  <c r="N393" i="6"/>
  <c r="O393" i="6"/>
  <c r="P393" i="6"/>
  <c r="Q393" i="6"/>
  <c r="R393" i="6"/>
  <c r="E394" i="6"/>
  <c r="F394" i="6"/>
  <c r="G394" i="6"/>
  <c r="H394" i="6"/>
  <c r="I394" i="6"/>
  <c r="J394" i="6"/>
  <c r="K394" i="6"/>
  <c r="L394" i="6"/>
  <c r="M394" i="6"/>
  <c r="N394" i="6"/>
  <c r="O394" i="6"/>
  <c r="P394" i="6"/>
  <c r="Q394" i="6"/>
  <c r="R394" i="6"/>
  <c r="E395" i="6"/>
  <c r="F395" i="6"/>
  <c r="G395" i="6"/>
  <c r="H395" i="6"/>
  <c r="I395" i="6"/>
  <c r="J395" i="6"/>
  <c r="K395" i="6"/>
  <c r="L395" i="6"/>
  <c r="M395" i="6"/>
  <c r="N395" i="6"/>
  <c r="O395" i="6"/>
  <c r="P395" i="6"/>
  <c r="Q395" i="6"/>
  <c r="R395" i="6"/>
  <c r="E396" i="6"/>
  <c r="F396" i="6"/>
  <c r="G396" i="6"/>
  <c r="H396" i="6"/>
  <c r="I396" i="6"/>
  <c r="J396" i="6"/>
  <c r="K396" i="6"/>
  <c r="L396" i="6"/>
  <c r="M396" i="6"/>
  <c r="N396" i="6"/>
  <c r="O396" i="6"/>
  <c r="P396" i="6"/>
  <c r="Q396" i="6"/>
  <c r="R396" i="6"/>
  <c r="E397" i="6"/>
  <c r="F397" i="6"/>
  <c r="G397" i="6"/>
  <c r="H397" i="6"/>
  <c r="I397" i="6"/>
  <c r="J397" i="6"/>
  <c r="K397" i="6"/>
  <c r="L397" i="6"/>
  <c r="M397" i="6"/>
  <c r="N397" i="6"/>
  <c r="O397" i="6"/>
  <c r="P397" i="6"/>
  <c r="Q397" i="6"/>
  <c r="R397" i="6"/>
  <c r="E398" i="6"/>
  <c r="F398" i="6"/>
  <c r="G398" i="6"/>
  <c r="H398" i="6"/>
  <c r="I398" i="6"/>
  <c r="J398" i="6"/>
  <c r="K398" i="6"/>
  <c r="L398" i="6"/>
  <c r="M398" i="6"/>
  <c r="N398" i="6"/>
  <c r="O398" i="6"/>
  <c r="P398" i="6"/>
  <c r="Q398" i="6"/>
  <c r="R398" i="6"/>
  <c r="E399" i="6"/>
  <c r="F399" i="6"/>
  <c r="G399" i="6"/>
  <c r="H399" i="6"/>
  <c r="I399" i="6"/>
  <c r="J399" i="6"/>
  <c r="K399" i="6"/>
  <c r="L399" i="6"/>
  <c r="M399" i="6"/>
  <c r="N399" i="6"/>
  <c r="O399" i="6"/>
  <c r="P399" i="6"/>
  <c r="Q399" i="6"/>
  <c r="R399" i="6"/>
  <c r="E400" i="6"/>
  <c r="F400" i="6"/>
  <c r="G400" i="6"/>
  <c r="H400" i="6"/>
  <c r="I400" i="6"/>
  <c r="J400" i="6"/>
  <c r="K400" i="6"/>
  <c r="L400" i="6"/>
  <c r="M400" i="6"/>
  <c r="N400" i="6"/>
  <c r="O400" i="6"/>
  <c r="P400" i="6"/>
  <c r="Q400" i="6"/>
  <c r="R400" i="6"/>
  <c r="E401" i="6"/>
  <c r="F401" i="6"/>
  <c r="G401" i="6"/>
  <c r="H401" i="6"/>
  <c r="I401" i="6"/>
  <c r="J401" i="6"/>
  <c r="K401" i="6"/>
  <c r="L401" i="6"/>
  <c r="M401" i="6"/>
  <c r="N401" i="6"/>
  <c r="O401" i="6"/>
  <c r="P401" i="6"/>
  <c r="Q401" i="6"/>
  <c r="R401" i="6"/>
  <c r="E402" i="6"/>
  <c r="F402" i="6"/>
  <c r="G402" i="6"/>
  <c r="H402" i="6"/>
  <c r="I402" i="6"/>
  <c r="J402" i="6"/>
  <c r="K402" i="6"/>
  <c r="L402" i="6"/>
  <c r="M402" i="6"/>
  <c r="N402" i="6"/>
  <c r="O402" i="6"/>
  <c r="P402" i="6"/>
  <c r="Q402" i="6"/>
  <c r="R402" i="6"/>
  <c r="E403" i="6"/>
  <c r="F403" i="6"/>
  <c r="G403" i="6"/>
  <c r="H403" i="6"/>
  <c r="I403" i="6"/>
  <c r="J403" i="6"/>
  <c r="K403" i="6"/>
  <c r="L403" i="6"/>
  <c r="M403" i="6"/>
  <c r="N403" i="6"/>
  <c r="O403" i="6"/>
  <c r="P403" i="6"/>
  <c r="Q403" i="6"/>
  <c r="R403" i="6"/>
  <c r="E404" i="6"/>
  <c r="F404" i="6"/>
  <c r="G404" i="6"/>
  <c r="H404" i="6"/>
  <c r="I404" i="6"/>
  <c r="J404" i="6"/>
  <c r="K404" i="6"/>
  <c r="L404" i="6"/>
  <c r="M404" i="6"/>
  <c r="N404" i="6"/>
  <c r="O404" i="6"/>
  <c r="P404" i="6"/>
  <c r="Q404" i="6"/>
  <c r="R404" i="6"/>
  <c r="E405" i="6"/>
  <c r="F405" i="6"/>
  <c r="G405" i="6"/>
  <c r="H405" i="6"/>
  <c r="I405" i="6"/>
  <c r="J405" i="6"/>
  <c r="K405" i="6"/>
  <c r="L405" i="6"/>
  <c r="M405" i="6"/>
  <c r="N405" i="6"/>
  <c r="O405" i="6"/>
  <c r="P405" i="6"/>
  <c r="Q405" i="6"/>
  <c r="R405" i="6"/>
  <c r="E406" i="6"/>
  <c r="F406" i="6"/>
  <c r="G406" i="6"/>
  <c r="H406" i="6"/>
  <c r="I406" i="6"/>
  <c r="J406" i="6"/>
  <c r="K406" i="6"/>
  <c r="L406" i="6"/>
  <c r="M406" i="6"/>
  <c r="N406" i="6"/>
  <c r="O406" i="6"/>
  <c r="P406" i="6"/>
  <c r="Q406" i="6"/>
  <c r="R406" i="6"/>
  <c r="E407" i="6"/>
  <c r="F407" i="6"/>
  <c r="G407" i="6"/>
  <c r="H407" i="6"/>
  <c r="I407" i="6"/>
  <c r="J407" i="6"/>
  <c r="K407" i="6"/>
  <c r="L407" i="6"/>
  <c r="M407" i="6"/>
  <c r="N407" i="6"/>
  <c r="O407" i="6"/>
  <c r="P407" i="6"/>
  <c r="Q407" i="6"/>
  <c r="R407" i="6"/>
  <c r="E408" i="6"/>
  <c r="F408" i="6"/>
  <c r="G408" i="6"/>
  <c r="H408" i="6"/>
  <c r="I408" i="6"/>
  <c r="J408" i="6"/>
  <c r="K408" i="6"/>
  <c r="L408" i="6"/>
  <c r="M408" i="6"/>
  <c r="N408" i="6"/>
  <c r="O408" i="6"/>
  <c r="P408" i="6"/>
  <c r="Q408" i="6"/>
  <c r="R408" i="6"/>
  <c r="E409" i="6"/>
  <c r="F409" i="6"/>
  <c r="G409" i="6"/>
  <c r="H409" i="6"/>
  <c r="I409" i="6"/>
  <c r="J409" i="6"/>
  <c r="K409" i="6"/>
  <c r="L409" i="6"/>
  <c r="M409" i="6"/>
  <c r="N409" i="6"/>
  <c r="O409" i="6"/>
  <c r="P409" i="6"/>
  <c r="Q409" i="6"/>
  <c r="R409" i="6"/>
  <c r="E410" i="6"/>
  <c r="F410" i="6"/>
  <c r="G410" i="6"/>
  <c r="H410" i="6"/>
  <c r="I410" i="6"/>
  <c r="J410" i="6"/>
  <c r="K410" i="6"/>
  <c r="L410" i="6"/>
  <c r="M410" i="6"/>
  <c r="N410" i="6"/>
  <c r="O410" i="6"/>
  <c r="P410" i="6"/>
  <c r="Q410" i="6"/>
  <c r="R410" i="6"/>
  <c r="E411" i="6"/>
  <c r="F411" i="6"/>
  <c r="G411" i="6"/>
  <c r="H411" i="6"/>
  <c r="I411" i="6"/>
  <c r="J411" i="6"/>
  <c r="K411" i="6"/>
  <c r="L411" i="6"/>
  <c r="M411" i="6"/>
  <c r="N411" i="6"/>
  <c r="O411" i="6"/>
  <c r="P411" i="6"/>
  <c r="Q411" i="6"/>
  <c r="R411" i="6"/>
  <c r="E412" i="6"/>
  <c r="F412" i="6"/>
  <c r="G412" i="6"/>
  <c r="H412" i="6"/>
  <c r="I412" i="6"/>
  <c r="J412" i="6"/>
  <c r="K412" i="6"/>
  <c r="L412" i="6"/>
  <c r="M412" i="6"/>
  <c r="N412" i="6"/>
  <c r="O412" i="6"/>
  <c r="P412" i="6"/>
  <c r="Q412" i="6"/>
  <c r="R412" i="6"/>
  <c r="E413" i="6"/>
  <c r="F413" i="6"/>
  <c r="G413" i="6"/>
  <c r="H413" i="6"/>
  <c r="I413" i="6"/>
  <c r="J413" i="6"/>
  <c r="K413" i="6"/>
  <c r="L413" i="6"/>
  <c r="M413" i="6"/>
  <c r="N413" i="6"/>
  <c r="O413" i="6"/>
  <c r="P413" i="6"/>
  <c r="Q413" i="6"/>
  <c r="R413" i="6"/>
  <c r="E414" i="6"/>
  <c r="F414" i="6"/>
  <c r="G414" i="6"/>
  <c r="H414" i="6"/>
  <c r="I414" i="6"/>
  <c r="J414" i="6"/>
  <c r="K414" i="6"/>
  <c r="L414" i="6"/>
  <c r="M414" i="6"/>
  <c r="N414" i="6"/>
  <c r="O414" i="6"/>
  <c r="P414" i="6"/>
  <c r="Q414" i="6"/>
  <c r="R414" i="6"/>
  <c r="E415" i="6"/>
  <c r="F415" i="6"/>
  <c r="G415" i="6"/>
  <c r="H415" i="6"/>
  <c r="I415" i="6"/>
  <c r="J415" i="6"/>
  <c r="K415" i="6"/>
  <c r="L415" i="6"/>
  <c r="M415" i="6"/>
  <c r="N415" i="6"/>
  <c r="O415" i="6"/>
  <c r="P415" i="6"/>
  <c r="Q415" i="6"/>
  <c r="R415" i="6"/>
  <c r="E416" i="6"/>
  <c r="F416" i="6"/>
  <c r="G416" i="6"/>
  <c r="H416" i="6"/>
  <c r="I416" i="6"/>
  <c r="J416" i="6"/>
  <c r="K416" i="6"/>
  <c r="L416" i="6"/>
  <c r="M416" i="6"/>
  <c r="N416" i="6"/>
  <c r="O416" i="6"/>
  <c r="P416" i="6"/>
  <c r="Q416" i="6"/>
  <c r="R416" i="6"/>
  <c r="E417" i="6"/>
  <c r="F417" i="6"/>
  <c r="G417" i="6"/>
  <c r="H417" i="6"/>
  <c r="I417" i="6"/>
  <c r="J417" i="6"/>
  <c r="K417" i="6"/>
  <c r="L417" i="6"/>
  <c r="M417" i="6"/>
  <c r="N417" i="6"/>
  <c r="O417" i="6"/>
  <c r="P417" i="6"/>
  <c r="Q417" i="6"/>
  <c r="R417" i="6"/>
  <c r="E418" i="6"/>
  <c r="F418" i="6"/>
  <c r="G418" i="6"/>
  <c r="H418" i="6"/>
  <c r="I418" i="6"/>
  <c r="J418" i="6"/>
  <c r="K418" i="6"/>
  <c r="L418" i="6"/>
  <c r="M418" i="6"/>
  <c r="N418" i="6"/>
  <c r="O418" i="6"/>
  <c r="P418" i="6"/>
  <c r="Q418" i="6"/>
  <c r="R418" i="6"/>
  <c r="E419" i="6"/>
  <c r="F419" i="6"/>
  <c r="G419" i="6"/>
  <c r="H419" i="6"/>
  <c r="I419" i="6"/>
  <c r="J419" i="6"/>
  <c r="K419" i="6"/>
  <c r="L419" i="6"/>
  <c r="M419" i="6"/>
  <c r="N419" i="6"/>
  <c r="O419" i="6"/>
  <c r="P419" i="6"/>
  <c r="Q419" i="6"/>
  <c r="R419" i="6"/>
  <c r="E420" i="6"/>
  <c r="F420" i="6"/>
  <c r="G420" i="6"/>
  <c r="H420" i="6"/>
  <c r="I420" i="6"/>
  <c r="J420" i="6"/>
  <c r="K420" i="6"/>
  <c r="L420" i="6"/>
  <c r="M420" i="6"/>
  <c r="N420" i="6"/>
  <c r="O420" i="6"/>
  <c r="P420" i="6"/>
  <c r="Q420" i="6"/>
  <c r="R420" i="6"/>
  <c r="E421" i="6"/>
  <c r="F421" i="6"/>
  <c r="G421" i="6"/>
  <c r="H421" i="6"/>
  <c r="I421" i="6"/>
  <c r="J421" i="6"/>
  <c r="K421" i="6"/>
  <c r="L421" i="6"/>
  <c r="M421" i="6"/>
  <c r="N421" i="6"/>
  <c r="O421" i="6"/>
  <c r="P421" i="6"/>
  <c r="Q421" i="6"/>
  <c r="R421" i="6"/>
  <c r="E422" i="6"/>
  <c r="F422" i="6"/>
  <c r="G422" i="6"/>
  <c r="H422" i="6"/>
  <c r="I422" i="6"/>
  <c r="J422" i="6"/>
  <c r="K422" i="6"/>
  <c r="L422" i="6"/>
  <c r="M422" i="6"/>
  <c r="N422" i="6"/>
  <c r="O422" i="6"/>
  <c r="P422" i="6"/>
  <c r="Q422" i="6"/>
  <c r="R422" i="6"/>
  <c r="E423" i="6"/>
  <c r="F423" i="6"/>
  <c r="G423" i="6"/>
  <c r="H423" i="6"/>
  <c r="I423" i="6"/>
  <c r="J423" i="6"/>
  <c r="K423" i="6"/>
  <c r="L423" i="6"/>
  <c r="M423" i="6"/>
  <c r="N423" i="6"/>
  <c r="O423" i="6"/>
  <c r="P423" i="6"/>
  <c r="Q423" i="6"/>
  <c r="R423" i="6"/>
  <c r="E424" i="6"/>
  <c r="F424" i="6"/>
  <c r="G424" i="6"/>
  <c r="H424" i="6"/>
  <c r="I424" i="6"/>
  <c r="J424" i="6"/>
  <c r="K424" i="6"/>
  <c r="L424" i="6"/>
  <c r="M424" i="6"/>
  <c r="N424" i="6"/>
  <c r="O424" i="6"/>
  <c r="P424" i="6"/>
  <c r="Q424" i="6"/>
  <c r="R424" i="6"/>
  <c r="E425" i="6"/>
  <c r="F425" i="6"/>
  <c r="G425" i="6"/>
  <c r="H425" i="6"/>
  <c r="I425" i="6"/>
  <c r="J425" i="6"/>
  <c r="K425" i="6"/>
  <c r="L425" i="6"/>
  <c r="M425" i="6"/>
  <c r="N425" i="6"/>
  <c r="O425" i="6"/>
  <c r="P425" i="6"/>
  <c r="Q425" i="6"/>
  <c r="R425" i="6"/>
  <c r="E426" i="6"/>
  <c r="F426" i="6"/>
  <c r="G426" i="6"/>
  <c r="H426" i="6"/>
  <c r="I426" i="6"/>
  <c r="J426" i="6"/>
  <c r="K426" i="6"/>
  <c r="L426" i="6"/>
  <c r="M426" i="6"/>
  <c r="N426" i="6"/>
  <c r="O426" i="6"/>
  <c r="P426" i="6"/>
  <c r="Q426" i="6"/>
  <c r="R426" i="6"/>
  <c r="E427" i="6"/>
  <c r="F427" i="6"/>
  <c r="G427" i="6"/>
  <c r="H427" i="6"/>
  <c r="I427" i="6"/>
  <c r="J427" i="6"/>
  <c r="K427" i="6"/>
  <c r="L427" i="6"/>
  <c r="M427" i="6"/>
  <c r="N427" i="6"/>
  <c r="O427" i="6"/>
  <c r="P427" i="6"/>
  <c r="Q427" i="6"/>
  <c r="R427" i="6"/>
  <c r="E428" i="6"/>
  <c r="F428" i="6"/>
  <c r="G428" i="6"/>
  <c r="H428" i="6"/>
  <c r="I428" i="6"/>
  <c r="J428" i="6"/>
  <c r="K428" i="6"/>
  <c r="L428" i="6"/>
  <c r="M428" i="6"/>
  <c r="N428" i="6"/>
  <c r="O428" i="6"/>
  <c r="P428" i="6"/>
  <c r="Q428" i="6"/>
  <c r="R428" i="6"/>
  <c r="E429" i="6"/>
  <c r="F429" i="6"/>
  <c r="G429" i="6"/>
  <c r="H429" i="6"/>
  <c r="I429" i="6"/>
  <c r="J429" i="6"/>
  <c r="K429" i="6"/>
  <c r="L429" i="6"/>
  <c r="M429" i="6"/>
  <c r="N429" i="6"/>
  <c r="O429" i="6"/>
  <c r="P429" i="6"/>
  <c r="Q429" i="6"/>
  <c r="R429" i="6"/>
  <c r="E430" i="6"/>
  <c r="F430" i="6"/>
  <c r="G430" i="6"/>
  <c r="H430" i="6"/>
  <c r="I430" i="6"/>
  <c r="J430" i="6"/>
  <c r="K430" i="6"/>
  <c r="L430" i="6"/>
  <c r="M430" i="6"/>
  <c r="N430" i="6"/>
  <c r="O430" i="6"/>
  <c r="P430" i="6"/>
  <c r="Q430" i="6"/>
  <c r="R430" i="6"/>
  <c r="E431" i="6"/>
  <c r="F431" i="6"/>
  <c r="G431" i="6"/>
  <c r="H431" i="6"/>
  <c r="I431" i="6"/>
  <c r="J431" i="6"/>
  <c r="K431" i="6"/>
  <c r="L431" i="6"/>
  <c r="M431" i="6"/>
  <c r="N431" i="6"/>
  <c r="O431" i="6"/>
  <c r="P431" i="6"/>
  <c r="Q431" i="6"/>
  <c r="R431" i="6"/>
  <c r="E432" i="6"/>
  <c r="F432" i="6"/>
  <c r="G432" i="6"/>
  <c r="H432" i="6"/>
  <c r="I432" i="6"/>
  <c r="J432" i="6"/>
  <c r="K432" i="6"/>
  <c r="L432" i="6"/>
  <c r="M432" i="6"/>
  <c r="N432" i="6"/>
  <c r="O432" i="6"/>
  <c r="P432" i="6"/>
  <c r="Q432" i="6"/>
  <c r="R43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2" i="3"/>
  <c r="S2" i="3"/>
  <c r="T2" i="3"/>
  <c r="U2" i="3"/>
  <c r="S3" i="3"/>
  <c r="T3" i="3"/>
  <c r="U3" i="3"/>
  <c r="S4" i="3"/>
  <c r="T4" i="3"/>
  <c r="U4" i="3"/>
  <c r="S5" i="3"/>
  <c r="T5" i="3"/>
  <c r="U5" i="3"/>
  <c r="S6" i="3"/>
  <c r="T6" i="3"/>
  <c r="U6" i="3"/>
  <c r="S7" i="3"/>
  <c r="T7" i="3"/>
  <c r="U7" i="3"/>
  <c r="S8" i="3"/>
  <c r="T8" i="3"/>
  <c r="U8" i="3"/>
  <c r="S9" i="3"/>
  <c r="T9" i="3"/>
  <c r="U9" i="3"/>
  <c r="S10" i="3"/>
  <c r="T10" i="3"/>
  <c r="U10" i="3"/>
  <c r="S11" i="3"/>
  <c r="T11" i="3"/>
  <c r="U11" i="3"/>
  <c r="S12" i="3"/>
  <c r="T12" i="3"/>
  <c r="U12" i="3"/>
  <c r="S13" i="3"/>
  <c r="T13" i="3"/>
  <c r="U13" i="3"/>
  <c r="S14" i="3"/>
  <c r="T14" i="3"/>
  <c r="U14" i="3"/>
  <c r="S15" i="3"/>
  <c r="T15" i="3"/>
  <c r="U15" i="3"/>
  <c r="S16" i="3"/>
  <c r="T16" i="3"/>
  <c r="U16" i="3"/>
  <c r="S17" i="3"/>
  <c r="T17" i="3"/>
  <c r="U17" i="3"/>
  <c r="S18" i="3"/>
  <c r="T18" i="3"/>
  <c r="U18" i="3"/>
  <c r="S19" i="3"/>
  <c r="T19" i="3"/>
  <c r="U19" i="3"/>
  <c r="S20" i="3"/>
  <c r="T20" i="3"/>
  <c r="U20" i="3"/>
  <c r="S21" i="3"/>
  <c r="T21" i="3"/>
  <c r="U21" i="3"/>
  <c r="S22" i="3"/>
  <c r="T22" i="3"/>
  <c r="U22" i="3"/>
  <c r="S23" i="3"/>
  <c r="T23" i="3"/>
  <c r="U23" i="3"/>
  <c r="S24" i="3"/>
  <c r="T24" i="3"/>
  <c r="U24" i="3"/>
  <c r="S25" i="3"/>
  <c r="T25" i="3"/>
  <c r="U25" i="3"/>
  <c r="S26" i="3"/>
  <c r="T26" i="3"/>
  <c r="U26" i="3"/>
  <c r="S27" i="3"/>
  <c r="T27" i="3"/>
  <c r="U27" i="3"/>
  <c r="S28" i="3"/>
  <c r="T28" i="3"/>
  <c r="U28" i="3"/>
  <c r="S29" i="3"/>
  <c r="T29" i="3"/>
  <c r="U29" i="3"/>
  <c r="S30" i="3"/>
  <c r="T30" i="3"/>
  <c r="U30" i="3"/>
  <c r="S31" i="3"/>
  <c r="T31" i="3"/>
  <c r="U31" i="3"/>
  <c r="S32" i="3"/>
  <c r="T32" i="3"/>
  <c r="U32" i="3"/>
  <c r="S33" i="3"/>
  <c r="T33" i="3"/>
  <c r="U33" i="3"/>
  <c r="S34" i="3"/>
  <c r="T34" i="3"/>
  <c r="U34" i="3"/>
  <c r="S35" i="3"/>
  <c r="T35" i="3"/>
  <c r="U35" i="3"/>
  <c r="S36" i="3"/>
  <c r="T36" i="3"/>
  <c r="U36" i="3"/>
  <c r="S37" i="3"/>
  <c r="T37" i="3"/>
  <c r="U37" i="3"/>
  <c r="S38" i="3"/>
  <c r="T38" i="3"/>
  <c r="U38" i="3"/>
  <c r="S39" i="3"/>
  <c r="T39" i="3"/>
  <c r="U39" i="3"/>
  <c r="S40" i="3"/>
  <c r="T40" i="3"/>
  <c r="U40" i="3"/>
  <c r="S41" i="3"/>
  <c r="T41" i="3"/>
  <c r="U41" i="3"/>
  <c r="S42" i="3"/>
  <c r="T42" i="3"/>
  <c r="U42" i="3"/>
  <c r="S43" i="3"/>
  <c r="T43" i="3"/>
  <c r="U43" i="3"/>
  <c r="S44" i="3"/>
  <c r="T44" i="3"/>
  <c r="U44" i="3"/>
  <c r="S45" i="3"/>
  <c r="T45" i="3"/>
  <c r="U45" i="3"/>
  <c r="S46" i="3"/>
  <c r="T46" i="3"/>
  <c r="U46" i="3"/>
  <c r="S47" i="3"/>
  <c r="T47" i="3"/>
  <c r="U47" i="3"/>
  <c r="S48" i="3"/>
  <c r="T48" i="3"/>
  <c r="U48" i="3"/>
  <c r="S49" i="3"/>
  <c r="T49" i="3"/>
  <c r="U49" i="3"/>
  <c r="S50" i="3"/>
  <c r="T50" i="3"/>
  <c r="U50" i="3"/>
  <c r="S51" i="3"/>
  <c r="T51" i="3"/>
  <c r="U51" i="3"/>
  <c r="S52" i="3"/>
  <c r="T52" i="3"/>
  <c r="U52" i="3"/>
  <c r="S53" i="3"/>
  <c r="T53" i="3"/>
  <c r="U53" i="3"/>
  <c r="S54" i="3"/>
  <c r="T54" i="3"/>
  <c r="U54" i="3"/>
  <c r="S55" i="3"/>
  <c r="T55" i="3"/>
  <c r="U55" i="3"/>
  <c r="S56" i="3"/>
  <c r="T56" i="3"/>
  <c r="U56" i="3"/>
  <c r="S57" i="3"/>
  <c r="T57" i="3"/>
  <c r="U57" i="3"/>
  <c r="S58" i="3"/>
  <c r="T58" i="3"/>
  <c r="U58" i="3"/>
  <c r="S59" i="3"/>
  <c r="T59" i="3"/>
  <c r="U59" i="3"/>
  <c r="S60" i="3"/>
  <c r="T60" i="3"/>
  <c r="U60" i="3"/>
  <c r="S61" i="3"/>
  <c r="T61" i="3"/>
  <c r="U61" i="3"/>
  <c r="S62" i="3"/>
  <c r="T62" i="3"/>
  <c r="U62" i="3"/>
  <c r="S63" i="3"/>
  <c r="T63" i="3"/>
  <c r="U63" i="3"/>
  <c r="S64" i="3"/>
  <c r="T64" i="3"/>
  <c r="U64" i="3"/>
  <c r="S65" i="3"/>
  <c r="T65" i="3"/>
  <c r="U65" i="3"/>
  <c r="S66" i="3"/>
  <c r="T66" i="3"/>
  <c r="U66" i="3"/>
  <c r="S67" i="3"/>
  <c r="T67" i="3"/>
  <c r="U67" i="3"/>
  <c r="S68" i="3"/>
  <c r="T68" i="3"/>
  <c r="U68" i="3"/>
  <c r="S69" i="3"/>
  <c r="T69" i="3"/>
  <c r="U69" i="3"/>
  <c r="S70" i="3"/>
  <c r="T70" i="3"/>
  <c r="U70" i="3"/>
  <c r="S71" i="3"/>
  <c r="T71" i="3"/>
  <c r="U71" i="3"/>
  <c r="S72" i="3"/>
  <c r="T72" i="3"/>
  <c r="U72" i="3"/>
  <c r="S73" i="3"/>
  <c r="T73" i="3"/>
  <c r="U73" i="3"/>
  <c r="S74" i="3"/>
  <c r="T74" i="3"/>
  <c r="U74" i="3"/>
  <c r="S75" i="3"/>
  <c r="T75" i="3"/>
  <c r="U75" i="3"/>
  <c r="S76" i="3"/>
  <c r="T76" i="3"/>
  <c r="U76" i="3"/>
  <c r="S77" i="3"/>
  <c r="T77" i="3"/>
  <c r="U77" i="3"/>
  <c r="S78" i="3"/>
  <c r="T78" i="3"/>
  <c r="U78" i="3"/>
  <c r="S79" i="3"/>
  <c r="T79" i="3"/>
  <c r="U79" i="3"/>
  <c r="S80" i="3"/>
  <c r="T80" i="3"/>
  <c r="U80" i="3"/>
  <c r="S81" i="3"/>
  <c r="T81" i="3"/>
  <c r="U81" i="3"/>
  <c r="S82" i="3"/>
  <c r="T82" i="3"/>
  <c r="U82" i="3"/>
  <c r="S83" i="3"/>
  <c r="T83" i="3"/>
  <c r="U83" i="3"/>
  <c r="S84" i="3"/>
  <c r="T84" i="3"/>
  <c r="U84" i="3"/>
  <c r="S85" i="3"/>
  <c r="T85" i="3"/>
  <c r="U85" i="3"/>
  <c r="S86" i="3"/>
  <c r="T86" i="3"/>
  <c r="U86" i="3"/>
  <c r="S87" i="3"/>
  <c r="T87" i="3"/>
  <c r="U87" i="3"/>
  <c r="S88" i="3"/>
  <c r="T88" i="3"/>
  <c r="U88" i="3"/>
  <c r="S89" i="3"/>
  <c r="T89" i="3"/>
  <c r="U89" i="3"/>
  <c r="S90" i="3"/>
  <c r="T90" i="3"/>
  <c r="U90" i="3"/>
  <c r="S91" i="3"/>
  <c r="T91" i="3"/>
  <c r="U91" i="3"/>
  <c r="S92" i="3"/>
  <c r="T92" i="3"/>
  <c r="U92" i="3"/>
  <c r="S93" i="3"/>
  <c r="T93" i="3"/>
  <c r="U93" i="3"/>
  <c r="S94" i="3"/>
  <c r="T94" i="3"/>
  <c r="U94" i="3"/>
  <c r="S95" i="3"/>
  <c r="T95" i="3"/>
  <c r="U95" i="3"/>
  <c r="S96" i="3"/>
  <c r="T96" i="3"/>
  <c r="U96" i="3"/>
  <c r="S97" i="3"/>
  <c r="T97" i="3"/>
  <c r="U97" i="3"/>
  <c r="S98" i="3"/>
  <c r="T98" i="3"/>
  <c r="U98" i="3"/>
  <c r="S99" i="3"/>
  <c r="T99" i="3"/>
  <c r="U99" i="3"/>
  <c r="S100" i="3"/>
  <c r="T100" i="3"/>
  <c r="U100" i="3"/>
  <c r="S101" i="3"/>
  <c r="T101" i="3"/>
  <c r="U101" i="3"/>
  <c r="S102" i="3"/>
  <c r="T102" i="3"/>
  <c r="U102" i="3"/>
  <c r="S103" i="3"/>
  <c r="T103" i="3"/>
  <c r="U103" i="3"/>
  <c r="S104" i="3"/>
  <c r="T104" i="3"/>
  <c r="U104" i="3"/>
  <c r="S105" i="3"/>
  <c r="T105" i="3"/>
  <c r="U105" i="3"/>
  <c r="S106" i="3"/>
  <c r="T106" i="3"/>
  <c r="U106" i="3"/>
  <c r="S107" i="3"/>
  <c r="T107" i="3"/>
  <c r="U107" i="3"/>
  <c r="S108" i="3"/>
  <c r="T108" i="3"/>
  <c r="U108" i="3"/>
  <c r="S109" i="3"/>
  <c r="T109" i="3"/>
  <c r="U109" i="3"/>
  <c r="S110" i="3"/>
  <c r="T110" i="3"/>
  <c r="U110" i="3"/>
  <c r="S111" i="3"/>
  <c r="T111" i="3"/>
  <c r="U111" i="3"/>
  <c r="S112" i="3"/>
  <c r="T112" i="3"/>
  <c r="U112" i="3"/>
  <c r="S113" i="3"/>
  <c r="T113" i="3"/>
  <c r="U113" i="3"/>
  <c r="S114" i="3"/>
  <c r="T114" i="3"/>
  <c r="U114" i="3"/>
  <c r="S115" i="3"/>
  <c r="T115" i="3"/>
  <c r="U115" i="3"/>
  <c r="S116" i="3"/>
  <c r="T116" i="3"/>
  <c r="U116" i="3"/>
  <c r="S117" i="3"/>
  <c r="T117" i="3"/>
  <c r="U117" i="3"/>
  <c r="S118" i="3"/>
  <c r="T118" i="3"/>
  <c r="U118" i="3"/>
  <c r="S119" i="3"/>
  <c r="T119" i="3"/>
  <c r="U119" i="3"/>
  <c r="S120" i="3"/>
  <c r="T120" i="3"/>
  <c r="U120" i="3"/>
  <c r="S121" i="3"/>
  <c r="T121" i="3"/>
  <c r="U121" i="3"/>
  <c r="S122" i="3"/>
  <c r="T122" i="3"/>
  <c r="U122" i="3"/>
  <c r="S123" i="3"/>
  <c r="T123" i="3"/>
  <c r="U123" i="3"/>
  <c r="S124" i="3"/>
  <c r="T124" i="3"/>
  <c r="U124" i="3"/>
  <c r="S125" i="3"/>
  <c r="T125" i="3"/>
  <c r="U125" i="3"/>
  <c r="S126" i="3"/>
  <c r="T126" i="3"/>
  <c r="U126" i="3"/>
  <c r="S127" i="3"/>
  <c r="T127" i="3"/>
  <c r="U127" i="3"/>
  <c r="S128" i="3"/>
  <c r="T128" i="3"/>
  <c r="U128" i="3"/>
  <c r="S129" i="3"/>
  <c r="T129" i="3"/>
  <c r="U129" i="3"/>
  <c r="S130" i="3"/>
  <c r="T130" i="3"/>
  <c r="U130" i="3"/>
  <c r="S131" i="3"/>
  <c r="T131" i="3"/>
  <c r="U131" i="3"/>
  <c r="S132" i="3"/>
  <c r="T132" i="3"/>
  <c r="U132" i="3"/>
  <c r="S133" i="3"/>
  <c r="T133" i="3"/>
  <c r="U133" i="3"/>
  <c r="S134" i="3"/>
  <c r="T134" i="3"/>
  <c r="U134" i="3"/>
  <c r="S135" i="3"/>
  <c r="T135" i="3"/>
  <c r="U135" i="3"/>
  <c r="S136" i="3"/>
  <c r="T136" i="3"/>
  <c r="U136" i="3"/>
  <c r="S137" i="3"/>
  <c r="T137" i="3"/>
  <c r="U137" i="3"/>
  <c r="S138" i="3"/>
  <c r="T138" i="3"/>
  <c r="U138" i="3"/>
  <c r="S139" i="3"/>
  <c r="T139" i="3"/>
  <c r="U139" i="3"/>
  <c r="S140" i="3"/>
  <c r="T140" i="3"/>
  <c r="U140" i="3"/>
  <c r="S141" i="3"/>
  <c r="T141" i="3"/>
  <c r="U141" i="3"/>
  <c r="S142" i="3"/>
  <c r="T142" i="3"/>
  <c r="U142" i="3"/>
  <c r="S143" i="3"/>
  <c r="T143" i="3"/>
  <c r="U143" i="3"/>
  <c r="S144" i="3"/>
  <c r="T144" i="3"/>
  <c r="U144" i="3"/>
  <c r="S145" i="3"/>
  <c r="T145" i="3"/>
  <c r="U145" i="3"/>
  <c r="S146" i="3"/>
  <c r="T146" i="3"/>
  <c r="U146" i="3"/>
  <c r="S147" i="3"/>
  <c r="T147" i="3"/>
  <c r="U147" i="3"/>
  <c r="S148" i="3"/>
  <c r="T148" i="3"/>
  <c r="U148" i="3"/>
  <c r="S149" i="3"/>
  <c r="T149" i="3"/>
  <c r="U149" i="3"/>
  <c r="S150" i="3"/>
  <c r="T150" i="3"/>
  <c r="U150" i="3"/>
  <c r="S151" i="3"/>
  <c r="T151" i="3"/>
  <c r="U151" i="3"/>
  <c r="S152" i="3"/>
  <c r="T152" i="3"/>
  <c r="U152" i="3"/>
  <c r="S153" i="3"/>
  <c r="T153" i="3"/>
  <c r="U153" i="3"/>
  <c r="S154" i="3"/>
  <c r="T154" i="3"/>
  <c r="U154" i="3"/>
  <c r="S155" i="3"/>
  <c r="T155" i="3"/>
  <c r="U155" i="3"/>
  <c r="S156" i="3"/>
  <c r="T156" i="3"/>
  <c r="U156" i="3"/>
  <c r="S157" i="3"/>
  <c r="T157" i="3"/>
  <c r="U157" i="3"/>
  <c r="S158" i="3"/>
  <c r="T158" i="3"/>
  <c r="U158" i="3"/>
  <c r="S159" i="3"/>
  <c r="T159" i="3"/>
  <c r="U159" i="3"/>
  <c r="S160" i="3"/>
  <c r="T160" i="3"/>
  <c r="U160" i="3"/>
  <c r="S161" i="3"/>
  <c r="T161" i="3"/>
  <c r="U161" i="3"/>
  <c r="S162" i="3"/>
  <c r="T162" i="3"/>
  <c r="U162" i="3"/>
  <c r="S163" i="3"/>
  <c r="T163" i="3"/>
  <c r="U163" i="3"/>
  <c r="S164" i="3"/>
  <c r="T164" i="3"/>
  <c r="U164" i="3"/>
  <c r="S165" i="3"/>
  <c r="T165" i="3"/>
  <c r="U165" i="3"/>
  <c r="S166" i="3"/>
  <c r="T166" i="3"/>
  <c r="U166" i="3"/>
  <c r="S167" i="3"/>
  <c r="T167" i="3"/>
  <c r="U167" i="3"/>
  <c r="S168" i="3"/>
  <c r="T168" i="3"/>
  <c r="U168" i="3"/>
  <c r="S169" i="3"/>
  <c r="T169" i="3"/>
  <c r="U169" i="3"/>
  <c r="S170" i="3"/>
  <c r="T170" i="3"/>
  <c r="U170" i="3"/>
  <c r="S171" i="3"/>
  <c r="T171" i="3"/>
  <c r="U171" i="3"/>
  <c r="S172" i="3"/>
  <c r="T172" i="3"/>
  <c r="U172" i="3"/>
  <c r="S173" i="3"/>
  <c r="T173" i="3"/>
  <c r="U173" i="3"/>
  <c r="S174" i="3"/>
  <c r="T174" i="3"/>
  <c r="U174" i="3"/>
  <c r="S175" i="3"/>
  <c r="T175" i="3"/>
  <c r="U175" i="3"/>
  <c r="S176" i="3"/>
  <c r="T176" i="3"/>
  <c r="U176" i="3"/>
  <c r="S177" i="3"/>
  <c r="T177" i="3"/>
  <c r="U177" i="3"/>
  <c r="S178" i="3"/>
  <c r="T178" i="3"/>
  <c r="U178" i="3"/>
  <c r="S179" i="3"/>
  <c r="T179" i="3"/>
  <c r="U179" i="3"/>
  <c r="S180" i="3"/>
  <c r="T180" i="3"/>
  <c r="U180" i="3"/>
  <c r="S181" i="3"/>
  <c r="T181" i="3"/>
  <c r="U181" i="3"/>
  <c r="S182" i="3"/>
  <c r="T182" i="3"/>
  <c r="U182" i="3"/>
  <c r="S183" i="3"/>
  <c r="T183" i="3"/>
  <c r="U183" i="3"/>
  <c r="S184" i="3"/>
  <c r="T184" i="3"/>
  <c r="U184" i="3"/>
  <c r="S185" i="3"/>
  <c r="T185" i="3"/>
  <c r="U185" i="3"/>
  <c r="S186" i="3"/>
  <c r="T186" i="3"/>
  <c r="U186" i="3"/>
  <c r="S187" i="3"/>
  <c r="T187" i="3"/>
  <c r="U187" i="3"/>
  <c r="S188" i="3"/>
  <c r="T188" i="3"/>
  <c r="U188" i="3"/>
  <c r="S189" i="3"/>
  <c r="T189" i="3"/>
  <c r="U189" i="3"/>
  <c r="S190" i="3"/>
  <c r="T190" i="3"/>
  <c r="U190" i="3"/>
  <c r="S191" i="3"/>
  <c r="T191" i="3"/>
  <c r="U191" i="3"/>
  <c r="S192" i="3"/>
  <c r="T192" i="3"/>
  <c r="U192" i="3"/>
  <c r="S193" i="3"/>
  <c r="T193" i="3"/>
  <c r="U193" i="3"/>
  <c r="S194" i="3"/>
  <c r="T194" i="3"/>
  <c r="U194" i="3"/>
  <c r="S195" i="3"/>
  <c r="T195" i="3"/>
  <c r="U195" i="3"/>
  <c r="S196" i="3"/>
  <c r="T196" i="3"/>
  <c r="U196" i="3"/>
  <c r="S197" i="3"/>
  <c r="T197" i="3"/>
  <c r="U197" i="3"/>
  <c r="S198" i="3"/>
  <c r="T198" i="3"/>
  <c r="U198" i="3"/>
  <c r="S199" i="3"/>
  <c r="T199" i="3"/>
  <c r="U199" i="3"/>
  <c r="S200" i="3"/>
  <c r="T200" i="3"/>
  <c r="U200" i="3"/>
  <c r="S201" i="3"/>
  <c r="T201" i="3"/>
  <c r="U201" i="3"/>
  <c r="S202" i="3"/>
  <c r="T202" i="3"/>
  <c r="U202" i="3"/>
  <c r="S203" i="3"/>
  <c r="T203" i="3"/>
  <c r="U203" i="3"/>
  <c r="S204" i="3"/>
  <c r="T204" i="3"/>
  <c r="U204" i="3"/>
  <c r="S205" i="3"/>
  <c r="T205" i="3"/>
  <c r="U205" i="3"/>
  <c r="S206" i="3"/>
  <c r="T206" i="3"/>
  <c r="U206" i="3"/>
  <c r="S207" i="3"/>
  <c r="T207" i="3"/>
  <c r="U207" i="3"/>
  <c r="S208" i="3"/>
  <c r="T208" i="3"/>
  <c r="U208" i="3"/>
  <c r="S209" i="3"/>
  <c r="T209" i="3"/>
  <c r="U209" i="3"/>
  <c r="S210" i="3"/>
  <c r="T210" i="3"/>
  <c r="U210" i="3"/>
  <c r="S211" i="3"/>
  <c r="T211" i="3"/>
  <c r="U211" i="3"/>
  <c r="S212" i="3"/>
  <c r="T212" i="3"/>
  <c r="U212" i="3"/>
  <c r="S213" i="3"/>
  <c r="T213" i="3"/>
  <c r="U213" i="3"/>
  <c r="S214" i="3"/>
  <c r="T214" i="3"/>
  <c r="U214" i="3"/>
  <c r="S215" i="3"/>
  <c r="T215" i="3"/>
  <c r="U215" i="3"/>
  <c r="S216" i="3"/>
  <c r="T216" i="3"/>
  <c r="U216" i="3"/>
  <c r="S217" i="3"/>
  <c r="T217" i="3"/>
  <c r="U217" i="3"/>
  <c r="S218" i="3"/>
  <c r="T218" i="3"/>
  <c r="U218" i="3"/>
  <c r="S219" i="3"/>
  <c r="T219" i="3"/>
  <c r="U219" i="3"/>
  <c r="S220" i="3"/>
  <c r="T220" i="3"/>
  <c r="U220" i="3"/>
  <c r="S221" i="3"/>
  <c r="T221" i="3"/>
  <c r="U221" i="3"/>
  <c r="S222" i="3"/>
  <c r="T222" i="3"/>
  <c r="U222" i="3"/>
  <c r="S223" i="3"/>
  <c r="T223" i="3"/>
  <c r="U223" i="3"/>
  <c r="S224" i="3"/>
  <c r="T224" i="3"/>
  <c r="U224" i="3"/>
  <c r="S225" i="3"/>
  <c r="T225" i="3"/>
  <c r="U225" i="3"/>
  <c r="S226" i="3"/>
  <c r="T226" i="3"/>
  <c r="U226" i="3"/>
  <c r="S227" i="3"/>
  <c r="T227" i="3"/>
  <c r="U227" i="3"/>
  <c r="S228" i="3"/>
  <c r="T228" i="3"/>
  <c r="U228" i="3"/>
  <c r="S229" i="3"/>
  <c r="T229" i="3"/>
  <c r="U229" i="3"/>
  <c r="S230" i="3"/>
  <c r="T230" i="3"/>
  <c r="U230" i="3"/>
  <c r="S231" i="3"/>
  <c r="T231" i="3"/>
  <c r="U231" i="3"/>
  <c r="S232" i="3"/>
  <c r="T232" i="3"/>
  <c r="U232" i="3"/>
  <c r="S233" i="3"/>
  <c r="T233" i="3"/>
  <c r="U233" i="3"/>
  <c r="S234" i="3"/>
  <c r="T234" i="3"/>
  <c r="U234" i="3"/>
  <c r="S235" i="3"/>
  <c r="T235" i="3"/>
  <c r="U235" i="3"/>
  <c r="S236" i="3"/>
  <c r="T236" i="3"/>
  <c r="U236" i="3"/>
  <c r="S237" i="3"/>
  <c r="T237" i="3"/>
  <c r="U237" i="3"/>
  <c r="S238" i="3"/>
  <c r="T238" i="3"/>
  <c r="U238" i="3"/>
  <c r="S239" i="3"/>
  <c r="T239" i="3"/>
  <c r="U239" i="3"/>
  <c r="S240" i="3"/>
  <c r="T240" i="3"/>
  <c r="U240" i="3"/>
  <c r="S241" i="3"/>
  <c r="T241" i="3"/>
  <c r="U241" i="3"/>
  <c r="S242" i="3"/>
  <c r="T242" i="3"/>
  <c r="U242" i="3"/>
  <c r="S243" i="3"/>
  <c r="T243" i="3"/>
  <c r="U243" i="3"/>
  <c r="S244" i="3"/>
  <c r="T244" i="3"/>
  <c r="U244" i="3"/>
  <c r="S245" i="3"/>
  <c r="T245" i="3"/>
  <c r="U245" i="3"/>
  <c r="S246" i="3"/>
  <c r="T246" i="3"/>
  <c r="U246" i="3"/>
  <c r="S247" i="3"/>
  <c r="T247" i="3"/>
  <c r="U247" i="3"/>
  <c r="S248" i="3"/>
  <c r="T248" i="3"/>
  <c r="U248" i="3"/>
  <c r="S249" i="3"/>
  <c r="T249" i="3"/>
  <c r="U249" i="3"/>
  <c r="S250" i="3"/>
  <c r="T250" i="3"/>
  <c r="U250" i="3"/>
  <c r="S251" i="3"/>
  <c r="T251" i="3"/>
  <c r="U251" i="3"/>
  <c r="S252" i="3"/>
  <c r="T252" i="3"/>
  <c r="U252" i="3"/>
  <c r="S253" i="3"/>
  <c r="T253" i="3"/>
  <c r="U253" i="3"/>
  <c r="S254" i="3"/>
  <c r="T254" i="3"/>
  <c r="U254" i="3"/>
  <c r="S255" i="3"/>
  <c r="T255" i="3"/>
  <c r="U255" i="3"/>
  <c r="S256" i="3"/>
  <c r="T256" i="3"/>
  <c r="U256" i="3"/>
  <c r="S257" i="3"/>
  <c r="T257" i="3"/>
  <c r="U257" i="3"/>
  <c r="S258" i="3"/>
  <c r="T258" i="3"/>
  <c r="U258" i="3"/>
  <c r="S259" i="3"/>
  <c r="T259" i="3"/>
  <c r="U259" i="3"/>
  <c r="S260" i="3"/>
  <c r="T260" i="3"/>
  <c r="U260" i="3"/>
  <c r="S261" i="3"/>
  <c r="T261" i="3"/>
  <c r="U261" i="3"/>
  <c r="S262" i="3"/>
  <c r="T262" i="3"/>
  <c r="U262" i="3"/>
  <c r="S263" i="3"/>
  <c r="T263" i="3"/>
  <c r="U263" i="3"/>
  <c r="S264" i="3"/>
  <c r="T264" i="3"/>
  <c r="U264" i="3"/>
  <c r="S265" i="3"/>
  <c r="T265" i="3"/>
  <c r="U265" i="3"/>
  <c r="S266" i="3"/>
  <c r="T266" i="3"/>
  <c r="U266" i="3"/>
  <c r="S267" i="3"/>
  <c r="T267" i="3"/>
  <c r="U267" i="3"/>
  <c r="S268" i="3"/>
  <c r="T268" i="3"/>
  <c r="U268" i="3"/>
  <c r="S269" i="3"/>
  <c r="T269" i="3"/>
  <c r="U269" i="3"/>
  <c r="S270" i="3"/>
  <c r="T270" i="3"/>
  <c r="U270" i="3"/>
  <c r="S271" i="3"/>
  <c r="T271" i="3"/>
  <c r="U271" i="3"/>
  <c r="S272" i="3"/>
  <c r="T272" i="3"/>
  <c r="U272" i="3"/>
  <c r="S273" i="3"/>
  <c r="T273" i="3"/>
  <c r="U273" i="3"/>
  <c r="S274" i="3"/>
  <c r="T274" i="3"/>
  <c r="U274" i="3"/>
  <c r="S275" i="3"/>
  <c r="T275" i="3"/>
  <c r="U275" i="3"/>
  <c r="S276" i="3"/>
  <c r="T276" i="3"/>
  <c r="U276" i="3"/>
  <c r="S277" i="3"/>
  <c r="T277" i="3"/>
  <c r="U277" i="3"/>
  <c r="S278" i="3"/>
  <c r="T278" i="3"/>
  <c r="U278" i="3"/>
  <c r="S279" i="3"/>
  <c r="T279" i="3"/>
  <c r="U279" i="3"/>
  <c r="S280" i="3"/>
  <c r="T280" i="3"/>
  <c r="U280" i="3"/>
  <c r="S281" i="3"/>
  <c r="T281" i="3"/>
  <c r="U281" i="3"/>
  <c r="S282" i="3"/>
  <c r="T282" i="3"/>
  <c r="U282" i="3"/>
  <c r="S283" i="3"/>
  <c r="T283" i="3"/>
  <c r="U283" i="3"/>
  <c r="S284" i="3"/>
  <c r="T284" i="3"/>
  <c r="U284" i="3"/>
  <c r="S285" i="3"/>
  <c r="T285" i="3"/>
  <c r="U285" i="3"/>
  <c r="S286" i="3"/>
  <c r="T286" i="3"/>
  <c r="U286" i="3"/>
  <c r="S287" i="3"/>
  <c r="T287" i="3"/>
  <c r="U287" i="3"/>
  <c r="S288" i="3"/>
  <c r="T288" i="3"/>
  <c r="U288" i="3"/>
  <c r="S289" i="3"/>
  <c r="T289" i="3"/>
  <c r="U289" i="3"/>
  <c r="S290" i="3"/>
  <c r="T290" i="3"/>
  <c r="U290" i="3"/>
  <c r="S291" i="3"/>
  <c r="T291" i="3"/>
  <c r="U291" i="3"/>
  <c r="S292" i="3"/>
  <c r="T292" i="3"/>
  <c r="U292" i="3"/>
  <c r="S293" i="3"/>
  <c r="T293" i="3"/>
  <c r="U293" i="3"/>
  <c r="S294" i="3"/>
  <c r="T294" i="3"/>
  <c r="U294" i="3"/>
  <c r="S295" i="3"/>
  <c r="T295" i="3"/>
  <c r="U295" i="3"/>
  <c r="S296" i="3"/>
  <c r="T296" i="3"/>
  <c r="U296" i="3"/>
  <c r="S297" i="3"/>
  <c r="T297" i="3"/>
  <c r="U297" i="3"/>
  <c r="S298" i="3"/>
  <c r="T298" i="3"/>
  <c r="U298" i="3"/>
  <c r="S299" i="3"/>
  <c r="T299" i="3"/>
  <c r="U299" i="3"/>
  <c r="S300" i="3"/>
  <c r="T300" i="3"/>
  <c r="U300" i="3"/>
  <c r="S301" i="3"/>
  <c r="T301" i="3"/>
  <c r="U301" i="3"/>
  <c r="S302" i="3"/>
  <c r="T302" i="3"/>
  <c r="U302" i="3"/>
  <c r="S303" i="3"/>
  <c r="T303" i="3"/>
  <c r="U303" i="3"/>
  <c r="S304" i="3"/>
  <c r="T304" i="3"/>
  <c r="U304" i="3"/>
  <c r="S305" i="3"/>
  <c r="T305" i="3"/>
  <c r="U305" i="3"/>
  <c r="S306" i="3"/>
  <c r="T306" i="3"/>
  <c r="U306" i="3"/>
  <c r="S307" i="3"/>
  <c r="T307" i="3"/>
  <c r="U307" i="3"/>
  <c r="S308" i="3"/>
  <c r="T308" i="3"/>
  <c r="U308" i="3"/>
  <c r="S309" i="3"/>
  <c r="T309" i="3"/>
  <c r="U309" i="3"/>
  <c r="S310" i="3"/>
  <c r="T310" i="3"/>
  <c r="U310" i="3"/>
  <c r="S311" i="3"/>
  <c r="T311" i="3"/>
  <c r="U311" i="3"/>
  <c r="S312" i="3"/>
  <c r="T312" i="3"/>
  <c r="U312" i="3"/>
  <c r="S313" i="3"/>
  <c r="T313" i="3"/>
  <c r="U313" i="3"/>
  <c r="S314" i="3"/>
  <c r="T314" i="3"/>
  <c r="U314" i="3"/>
  <c r="S315" i="3"/>
  <c r="T315" i="3"/>
  <c r="U315" i="3"/>
  <c r="S316" i="3"/>
  <c r="T316" i="3"/>
  <c r="U316" i="3"/>
  <c r="S317" i="3"/>
  <c r="T317" i="3"/>
  <c r="U317" i="3"/>
  <c r="S318" i="3"/>
  <c r="T318" i="3"/>
  <c r="U318" i="3"/>
  <c r="S319" i="3"/>
  <c r="T319" i="3"/>
  <c r="U319" i="3"/>
  <c r="S320" i="3"/>
  <c r="T320" i="3"/>
  <c r="U320" i="3"/>
  <c r="S321" i="3"/>
  <c r="T321" i="3"/>
  <c r="U321" i="3"/>
  <c r="S322" i="3"/>
  <c r="T322" i="3"/>
  <c r="U322" i="3"/>
  <c r="S323" i="3"/>
  <c r="T323" i="3"/>
  <c r="U323" i="3"/>
  <c r="S324" i="3"/>
  <c r="T324" i="3"/>
  <c r="U324" i="3"/>
  <c r="S325" i="3"/>
  <c r="T325" i="3"/>
  <c r="U325" i="3"/>
  <c r="S326" i="3"/>
  <c r="T326" i="3"/>
  <c r="U326" i="3"/>
  <c r="S327" i="3"/>
  <c r="T327" i="3"/>
  <c r="U327" i="3"/>
  <c r="S328" i="3"/>
  <c r="T328" i="3"/>
  <c r="U328" i="3"/>
  <c r="S329" i="3"/>
  <c r="T329" i="3"/>
  <c r="U329" i="3"/>
  <c r="S330" i="3"/>
  <c r="T330" i="3"/>
  <c r="U330" i="3"/>
  <c r="S331" i="3"/>
  <c r="T331" i="3"/>
  <c r="U331" i="3"/>
  <c r="S332" i="3"/>
  <c r="T332" i="3"/>
  <c r="U332" i="3"/>
  <c r="S333" i="3"/>
  <c r="T333" i="3"/>
  <c r="U333" i="3"/>
  <c r="S334" i="3"/>
  <c r="T334" i="3"/>
  <c r="U334" i="3"/>
  <c r="S335" i="3"/>
  <c r="T335" i="3"/>
  <c r="U335" i="3"/>
  <c r="S336" i="3"/>
  <c r="T336" i="3"/>
  <c r="U336" i="3"/>
  <c r="S337" i="3"/>
  <c r="T337" i="3"/>
  <c r="U337" i="3"/>
  <c r="S338" i="3"/>
  <c r="T338" i="3"/>
  <c r="U338" i="3"/>
  <c r="S339" i="3"/>
  <c r="T339" i="3"/>
  <c r="U339" i="3"/>
  <c r="S340" i="3"/>
  <c r="T340" i="3"/>
  <c r="U340" i="3"/>
  <c r="S341" i="3"/>
  <c r="T341" i="3"/>
  <c r="U341" i="3"/>
  <c r="S342" i="3"/>
  <c r="T342" i="3"/>
  <c r="U342" i="3"/>
  <c r="S343" i="3"/>
  <c r="T343" i="3"/>
  <c r="U343" i="3"/>
  <c r="S344" i="3"/>
  <c r="T344" i="3"/>
  <c r="U344" i="3"/>
  <c r="S345" i="3"/>
  <c r="T345" i="3"/>
  <c r="U345" i="3"/>
  <c r="S346" i="3"/>
  <c r="T346" i="3"/>
  <c r="U346" i="3"/>
  <c r="S347" i="3"/>
  <c r="T347" i="3"/>
  <c r="U347" i="3"/>
  <c r="S348" i="3"/>
  <c r="T348" i="3"/>
  <c r="U348" i="3"/>
  <c r="S349" i="3"/>
  <c r="T349" i="3"/>
  <c r="U349" i="3"/>
  <c r="S350" i="3"/>
  <c r="T350" i="3"/>
  <c r="U350" i="3"/>
  <c r="S351" i="3"/>
  <c r="T351" i="3"/>
  <c r="U351" i="3"/>
  <c r="S352" i="3"/>
  <c r="T352" i="3"/>
  <c r="U352" i="3"/>
  <c r="S353" i="3"/>
  <c r="T353" i="3"/>
  <c r="U353" i="3"/>
  <c r="S354" i="3"/>
  <c r="T354" i="3"/>
  <c r="U354" i="3"/>
  <c r="S355" i="3"/>
  <c r="T355" i="3"/>
  <c r="U355" i="3"/>
  <c r="S356" i="3"/>
  <c r="T356" i="3"/>
  <c r="U356" i="3"/>
  <c r="S357" i="3"/>
  <c r="T357" i="3"/>
  <c r="U357" i="3"/>
  <c r="S358" i="3"/>
  <c r="T358" i="3"/>
  <c r="U358" i="3"/>
  <c r="S359" i="3"/>
  <c r="T359" i="3"/>
  <c r="U359" i="3"/>
  <c r="S360" i="3"/>
  <c r="T360" i="3"/>
  <c r="U360" i="3"/>
  <c r="S361" i="3"/>
  <c r="T361" i="3"/>
  <c r="U361" i="3"/>
  <c r="S362" i="3"/>
  <c r="T362" i="3"/>
  <c r="U362" i="3"/>
  <c r="S363" i="3"/>
  <c r="T363" i="3"/>
  <c r="U363" i="3"/>
  <c r="S364" i="3"/>
  <c r="T364" i="3"/>
  <c r="U364" i="3"/>
  <c r="S365" i="3"/>
  <c r="T365" i="3"/>
  <c r="U365" i="3"/>
  <c r="S366" i="3"/>
  <c r="T366" i="3"/>
  <c r="U366" i="3"/>
  <c r="S367" i="3"/>
  <c r="T367" i="3"/>
  <c r="U367" i="3"/>
  <c r="S368" i="3"/>
  <c r="T368" i="3"/>
  <c r="U368" i="3"/>
  <c r="S369" i="3"/>
  <c r="T369" i="3"/>
  <c r="U369" i="3"/>
  <c r="S370" i="3"/>
  <c r="T370" i="3"/>
  <c r="U370" i="3"/>
  <c r="S371" i="3"/>
  <c r="T371" i="3"/>
  <c r="U371" i="3"/>
  <c r="S372" i="3"/>
  <c r="T372" i="3"/>
  <c r="U372" i="3"/>
  <c r="S373" i="3"/>
  <c r="T373" i="3"/>
  <c r="U373" i="3"/>
  <c r="S374" i="3"/>
  <c r="T374" i="3"/>
  <c r="U374" i="3"/>
  <c r="S375" i="3"/>
  <c r="T375" i="3"/>
  <c r="U375" i="3"/>
  <c r="S376" i="3"/>
  <c r="T376" i="3"/>
  <c r="U376" i="3"/>
  <c r="S377" i="3"/>
  <c r="T377" i="3"/>
  <c r="U377" i="3"/>
  <c r="S378" i="3"/>
  <c r="T378" i="3"/>
  <c r="U378" i="3"/>
  <c r="S379" i="3"/>
  <c r="T379" i="3"/>
  <c r="U379" i="3"/>
  <c r="S380" i="3"/>
  <c r="T380" i="3"/>
  <c r="U380" i="3"/>
  <c r="S381" i="3"/>
  <c r="T381" i="3"/>
  <c r="U381" i="3"/>
  <c r="S382" i="3"/>
  <c r="T382" i="3"/>
  <c r="U382" i="3"/>
  <c r="S383" i="3"/>
  <c r="T383" i="3"/>
  <c r="U383" i="3"/>
  <c r="S384" i="3"/>
  <c r="T384" i="3"/>
  <c r="U384" i="3"/>
  <c r="S385" i="3"/>
  <c r="T385" i="3"/>
  <c r="U385" i="3"/>
  <c r="S386" i="3"/>
  <c r="T386" i="3"/>
  <c r="U386" i="3"/>
  <c r="S387" i="3"/>
  <c r="T387" i="3"/>
  <c r="U387" i="3"/>
  <c r="S388" i="3"/>
  <c r="T388" i="3"/>
  <c r="U388" i="3"/>
  <c r="S389" i="3"/>
  <c r="T389" i="3"/>
  <c r="U389" i="3"/>
  <c r="S390" i="3"/>
  <c r="T390" i="3"/>
  <c r="U390" i="3"/>
  <c r="S391" i="3"/>
  <c r="T391" i="3"/>
  <c r="U391" i="3"/>
  <c r="S392" i="3"/>
  <c r="T392" i="3"/>
  <c r="U392" i="3"/>
  <c r="S393" i="3"/>
  <c r="T393" i="3"/>
  <c r="U393" i="3"/>
  <c r="S394" i="3"/>
  <c r="T394" i="3"/>
  <c r="U394" i="3"/>
  <c r="S395" i="3"/>
  <c r="T395" i="3"/>
  <c r="U395" i="3"/>
  <c r="S396" i="3"/>
  <c r="T396" i="3"/>
  <c r="U396" i="3"/>
  <c r="S397" i="3"/>
  <c r="T397" i="3"/>
  <c r="U397" i="3"/>
  <c r="S398" i="3"/>
  <c r="T398" i="3"/>
  <c r="U398" i="3"/>
  <c r="S399" i="3"/>
  <c r="T399" i="3"/>
  <c r="U399" i="3"/>
  <c r="S400" i="3"/>
  <c r="T400" i="3"/>
  <c r="U400" i="3"/>
  <c r="S401" i="3"/>
  <c r="T401" i="3"/>
  <c r="U401" i="3"/>
  <c r="S402" i="3"/>
  <c r="T402" i="3"/>
  <c r="U402" i="3"/>
  <c r="S403" i="3"/>
  <c r="T403" i="3"/>
  <c r="U403" i="3"/>
  <c r="S404" i="3"/>
  <c r="T404" i="3"/>
  <c r="U404" i="3"/>
  <c r="S405" i="3"/>
  <c r="T405" i="3"/>
  <c r="U405" i="3"/>
  <c r="S406" i="3"/>
  <c r="T406" i="3"/>
  <c r="U406" i="3"/>
  <c r="S407" i="3"/>
  <c r="T407" i="3"/>
  <c r="U407" i="3"/>
  <c r="S408" i="3"/>
  <c r="T408" i="3"/>
  <c r="U408" i="3"/>
  <c r="S409" i="3"/>
  <c r="T409" i="3"/>
  <c r="U409" i="3"/>
  <c r="S410" i="3"/>
  <c r="T410" i="3"/>
  <c r="U410" i="3"/>
  <c r="S411" i="3"/>
  <c r="T411" i="3"/>
  <c r="U411" i="3"/>
  <c r="S412" i="3"/>
  <c r="T412" i="3"/>
  <c r="U412" i="3"/>
  <c r="S413" i="3"/>
  <c r="T413" i="3"/>
  <c r="U413" i="3"/>
  <c r="S414" i="3"/>
  <c r="T414" i="3"/>
  <c r="U414" i="3"/>
  <c r="S415" i="3"/>
  <c r="T415" i="3"/>
  <c r="U415" i="3"/>
  <c r="S416" i="3"/>
  <c r="T416" i="3"/>
  <c r="U416" i="3"/>
  <c r="S417" i="3"/>
  <c r="T417" i="3"/>
  <c r="U417" i="3"/>
  <c r="S418" i="3"/>
  <c r="T418" i="3"/>
  <c r="U418" i="3"/>
  <c r="S419" i="3"/>
  <c r="T419" i="3"/>
  <c r="U419" i="3"/>
  <c r="S420" i="3"/>
  <c r="T420" i="3"/>
  <c r="U420" i="3"/>
  <c r="S421" i="3"/>
  <c r="T421" i="3"/>
  <c r="U421" i="3"/>
  <c r="S422" i="3"/>
  <c r="T422" i="3"/>
  <c r="U422" i="3"/>
  <c r="S423" i="3"/>
  <c r="T423" i="3"/>
  <c r="U423" i="3"/>
  <c r="S424" i="3"/>
  <c r="T424" i="3"/>
  <c r="U424" i="3"/>
  <c r="S425" i="3"/>
  <c r="T425" i="3"/>
  <c r="U425" i="3"/>
  <c r="S426" i="3"/>
  <c r="T426" i="3"/>
  <c r="U426" i="3"/>
  <c r="S427" i="3"/>
  <c r="T427" i="3"/>
  <c r="U427" i="3"/>
  <c r="S428" i="3"/>
  <c r="T428" i="3"/>
  <c r="U428" i="3"/>
  <c r="S429" i="3"/>
  <c r="T429" i="3"/>
  <c r="U429" i="3"/>
  <c r="S430" i="3"/>
  <c r="T430" i="3"/>
  <c r="U430" i="3"/>
  <c r="S431" i="3"/>
  <c r="T431" i="3"/>
  <c r="U431" i="3"/>
  <c r="S432" i="3"/>
  <c r="T432" i="3"/>
  <c r="U43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2"/>
  <c r="P2" i="2"/>
  <c r="Q2" i="2"/>
  <c r="R2" i="2"/>
  <c r="S2" i="2"/>
  <c r="T2" i="2"/>
  <c r="U2" i="2"/>
  <c r="P3" i="2"/>
  <c r="Q3" i="2"/>
  <c r="R3" i="2"/>
  <c r="S3" i="2"/>
  <c r="T3" i="2"/>
  <c r="U3" i="2"/>
  <c r="P4" i="2"/>
  <c r="Q4" i="2"/>
  <c r="R4" i="2"/>
  <c r="S4" i="2"/>
  <c r="T4" i="2"/>
  <c r="U4" i="2"/>
  <c r="P5" i="2"/>
  <c r="Q5" i="2"/>
  <c r="R5" i="2"/>
  <c r="S5" i="2"/>
  <c r="T5" i="2"/>
  <c r="U5" i="2"/>
  <c r="P6" i="2"/>
  <c r="Q6" i="2"/>
  <c r="R6" i="2"/>
  <c r="S6" i="2"/>
  <c r="T6" i="2"/>
  <c r="U6" i="2"/>
  <c r="P7" i="2"/>
  <c r="Q7" i="2"/>
  <c r="R7" i="2"/>
  <c r="S7" i="2"/>
  <c r="T7" i="2"/>
  <c r="U7" i="2"/>
  <c r="P8" i="2"/>
  <c r="Q8" i="2"/>
  <c r="R8" i="2"/>
  <c r="S8" i="2"/>
  <c r="T8" i="2"/>
  <c r="U8" i="2"/>
  <c r="P9" i="2"/>
  <c r="Q9" i="2"/>
  <c r="R9" i="2"/>
  <c r="S9" i="2"/>
  <c r="T9" i="2"/>
  <c r="U9" i="2"/>
  <c r="P10" i="2"/>
  <c r="Q10" i="2"/>
  <c r="R10" i="2"/>
  <c r="S10" i="2"/>
  <c r="T10" i="2"/>
  <c r="U10" i="2"/>
  <c r="P11" i="2"/>
  <c r="Q11" i="2"/>
  <c r="R11" i="2"/>
  <c r="S11" i="2"/>
  <c r="T11" i="2"/>
  <c r="U11" i="2"/>
  <c r="P12" i="2"/>
  <c r="Q12" i="2"/>
  <c r="R12" i="2"/>
  <c r="S12" i="2"/>
  <c r="T12" i="2"/>
  <c r="U12" i="2"/>
  <c r="P13" i="2"/>
  <c r="Q13" i="2"/>
  <c r="R13" i="2"/>
  <c r="S13" i="2"/>
  <c r="T13" i="2"/>
  <c r="U13" i="2"/>
  <c r="P14" i="2"/>
  <c r="Q14" i="2"/>
  <c r="R14" i="2"/>
  <c r="S14" i="2"/>
  <c r="T14" i="2"/>
  <c r="U14" i="2"/>
  <c r="P15" i="2"/>
  <c r="Q15" i="2"/>
  <c r="R15" i="2"/>
  <c r="S15" i="2"/>
  <c r="T15" i="2"/>
  <c r="U15" i="2"/>
  <c r="P16" i="2"/>
  <c r="Q16" i="2"/>
  <c r="R16" i="2"/>
  <c r="S16" i="2"/>
  <c r="T16" i="2"/>
  <c r="U16" i="2"/>
  <c r="P17" i="2"/>
  <c r="Q17" i="2"/>
  <c r="R17" i="2"/>
  <c r="S17" i="2"/>
  <c r="T17" i="2"/>
  <c r="U17" i="2"/>
  <c r="P18" i="2"/>
  <c r="Q18" i="2"/>
  <c r="R18" i="2"/>
  <c r="S18" i="2"/>
  <c r="T18" i="2"/>
  <c r="U18" i="2"/>
  <c r="P19" i="2"/>
  <c r="Q19" i="2"/>
  <c r="R19" i="2"/>
  <c r="S19" i="2"/>
  <c r="T19" i="2"/>
  <c r="U19" i="2"/>
  <c r="P20" i="2"/>
  <c r="Q20" i="2"/>
  <c r="R20" i="2"/>
  <c r="S20" i="2"/>
  <c r="T20" i="2"/>
  <c r="U20" i="2"/>
  <c r="P21" i="2"/>
  <c r="Q21" i="2"/>
  <c r="R21" i="2"/>
  <c r="S21" i="2"/>
  <c r="T21" i="2"/>
  <c r="U21" i="2"/>
  <c r="P22" i="2"/>
  <c r="Q22" i="2"/>
  <c r="R22" i="2"/>
  <c r="S22" i="2"/>
  <c r="T22" i="2"/>
  <c r="U22" i="2"/>
  <c r="P23" i="2"/>
  <c r="Q23" i="2"/>
  <c r="R23" i="2"/>
  <c r="S23" i="2"/>
  <c r="T23" i="2"/>
  <c r="U23" i="2"/>
  <c r="P24" i="2"/>
  <c r="Q24" i="2"/>
  <c r="R24" i="2"/>
  <c r="S24" i="2"/>
  <c r="T24" i="2"/>
  <c r="U24" i="2"/>
  <c r="P25" i="2"/>
  <c r="Q25" i="2"/>
  <c r="R25" i="2"/>
  <c r="S25" i="2"/>
  <c r="T25" i="2"/>
  <c r="U25" i="2"/>
  <c r="P26" i="2"/>
  <c r="Q26" i="2"/>
  <c r="R26" i="2"/>
  <c r="S26" i="2"/>
  <c r="T26" i="2"/>
  <c r="U26" i="2"/>
  <c r="P27" i="2"/>
  <c r="Q27" i="2"/>
  <c r="R27" i="2"/>
  <c r="S27" i="2"/>
  <c r="T27" i="2"/>
  <c r="U27" i="2"/>
  <c r="P28" i="2"/>
  <c r="Q28" i="2"/>
  <c r="R28" i="2"/>
  <c r="S28" i="2"/>
  <c r="T28" i="2"/>
  <c r="U28" i="2"/>
  <c r="P29" i="2"/>
  <c r="Q29" i="2"/>
  <c r="R29" i="2"/>
  <c r="S29" i="2"/>
  <c r="T29" i="2"/>
  <c r="U29" i="2"/>
  <c r="P30" i="2"/>
  <c r="Q30" i="2"/>
  <c r="R30" i="2"/>
  <c r="S30" i="2"/>
  <c r="T30" i="2"/>
  <c r="U30" i="2"/>
  <c r="P31" i="2"/>
  <c r="Q31" i="2"/>
  <c r="R31" i="2"/>
  <c r="S31" i="2"/>
  <c r="T31" i="2"/>
  <c r="U31" i="2"/>
  <c r="P32" i="2"/>
  <c r="Q32" i="2"/>
  <c r="R32" i="2"/>
  <c r="S32" i="2"/>
  <c r="T32" i="2"/>
  <c r="U32" i="2"/>
  <c r="P33" i="2"/>
  <c r="Q33" i="2"/>
  <c r="R33" i="2"/>
  <c r="S33" i="2"/>
  <c r="T33" i="2"/>
  <c r="U33" i="2"/>
  <c r="P34" i="2"/>
  <c r="Q34" i="2"/>
  <c r="R34" i="2"/>
  <c r="S34" i="2"/>
  <c r="T34" i="2"/>
  <c r="U34" i="2"/>
  <c r="P35" i="2"/>
  <c r="Q35" i="2"/>
  <c r="R35" i="2"/>
  <c r="S35" i="2"/>
  <c r="T35" i="2"/>
  <c r="U35" i="2"/>
  <c r="P36" i="2"/>
  <c r="Q36" i="2"/>
  <c r="R36" i="2"/>
  <c r="S36" i="2"/>
  <c r="T36" i="2"/>
  <c r="U36" i="2"/>
  <c r="P37" i="2"/>
  <c r="Q37" i="2"/>
  <c r="R37" i="2"/>
  <c r="S37" i="2"/>
  <c r="T37" i="2"/>
  <c r="U37" i="2"/>
  <c r="P38" i="2"/>
  <c r="Q38" i="2"/>
  <c r="R38" i="2"/>
  <c r="S38" i="2"/>
  <c r="T38" i="2"/>
  <c r="U38" i="2"/>
  <c r="P39" i="2"/>
  <c r="Q39" i="2"/>
  <c r="R39" i="2"/>
  <c r="S39" i="2"/>
  <c r="T39" i="2"/>
  <c r="U39" i="2"/>
  <c r="P40" i="2"/>
  <c r="Q40" i="2"/>
  <c r="R40" i="2"/>
  <c r="S40" i="2"/>
  <c r="T40" i="2"/>
  <c r="U40" i="2"/>
  <c r="P41" i="2"/>
  <c r="Q41" i="2"/>
  <c r="R41" i="2"/>
  <c r="S41" i="2"/>
  <c r="T41" i="2"/>
  <c r="U41" i="2"/>
  <c r="P42" i="2"/>
  <c r="Q42" i="2"/>
  <c r="R42" i="2"/>
  <c r="S42" i="2"/>
  <c r="T42" i="2"/>
  <c r="U42" i="2"/>
  <c r="P43" i="2"/>
  <c r="Q43" i="2"/>
  <c r="R43" i="2"/>
  <c r="S43" i="2"/>
  <c r="T43" i="2"/>
  <c r="U43" i="2"/>
  <c r="P44" i="2"/>
  <c r="Q44" i="2"/>
  <c r="R44" i="2"/>
  <c r="S44" i="2"/>
  <c r="T44" i="2"/>
  <c r="U44" i="2"/>
  <c r="P45" i="2"/>
  <c r="Q45" i="2"/>
  <c r="R45" i="2"/>
  <c r="S45" i="2"/>
  <c r="T45" i="2"/>
  <c r="U45" i="2"/>
  <c r="P46" i="2"/>
  <c r="Q46" i="2"/>
  <c r="R46" i="2"/>
  <c r="S46" i="2"/>
  <c r="T46" i="2"/>
  <c r="U46" i="2"/>
  <c r="P47" i="2"/>
  <c r="Q47" i="2"/>
  <c r="R47" i="2"/>
  <c r="S47" i="2"/>
  <c r="T47" i="2"/>
  <c r="U47" i="2"/>
  <c r="P48" i="2"/>
  <c r="Q48" i="2"/>
  <c r="R48" i="2"/>
  <c r="S48" i="2"/>
  <c r="T48" i="2"/>
  <c r="U48" i="2"/>
  <c r="P49" i="2"/>
  <c r="Q49" i="2"/>
  <c r="R49" i="2"/>
  <c r="S49" i="2"/>
  <c r="T49" i="2"/>
  <c r="U49" i="2"/>
  <c r="P50" i="2"/>
  <c r="Q50" i="2"/>
  <c r="R50" i="2"/>
  <c r="S50" i="2"/>
  <c r="T50" i="2"/>
  <c r="U50" i="2"/>
  <c r="P51" i="2"/>
  <c r="Q51" i="2"/>
  <c r="R51" i="2"/>
  <c r="S51" i="2"/>
  <c r="T51" i="2"/>
  <c r="U51" i="2"/>
  <c r="P52" i="2"/>
  <c r="Q52" i="2"/>
  <c r="R52" i="2"/>
  <c r="S52" i="2"/>
  <c r="T52" i="2"/>
  <c r="U52" i="2"/>
  <c r="P53" i="2"/>
  <c r="Q53" i="2"/>
  <c r="R53" i="2"/>
  <c r="S53" i="2"/>
  <c r="T53" i="2"/>
  <c r="U53" i="2"/>
  <c r="P54" i="2"/>
  <c r="Q54" i="2"/>
  <c r="R54" i="2"/>
  <c r="S54" i="2"/>
  <c r="T54" i="2"/>
  <c r="U54" i="2"/>
  <c r="P55" i="2"/>
  <c r="Q55" i="2"/>
  <c r="R55" i="2"/>
  <c r="S55" i="2"/>
  <c r="T55" i="2"/>
  <c r="U55" i="2"/>
  <c r="P56" i="2"/>
  <c r="Q56" i="2"/>
  <c r="R56" i="2"/>
  <c r="S56" i="2"/>
  <c r="T56" i="2"/>
  <c r="U56" i="2"/>
  <c r="P57" i="2"/>
  <c r="Q57" i="2"/>
  <c r="R57" i="2"/>
  <c r="S57" i="2"/>
  <c r="T57" i="2"/>
  <c r="U57" i="2"/>
  <c r="P58" i="2"/>
  <c r="Q58" i="2"/>
  <c r="R58" i="2"/>
  <c r="S58" i="2"/>
  <c r="T58" i="2"/>
  <c r="U58" i="2"/>
  <c r="P59" i="2"/>
  <c r="Q59" i="2"/>
  <c r="R59" i="2"/>
  <c r="S59" i="2"/>
  <c r="T59" i="2"/>
  <c r="U59" i="2"/>
  <c r="P60" i="2"/>
  <c r="Q60" i="2"/>
  <c r="R60" i="2"/>
  <c r="S60" i="2"/>
  <c r="T60" i="2"/>
  <c r="U60" i="2"/>
  <c r="P61" i="2"/>
  <c r="Q61" i="2"/>
  <c r="R61" i="2"/>
  <c r="S61" i="2"/>
  <c r="T61" i="2"/>
  <c r="U61" i="2"/>
  <c r="P62" i="2"/>
  <c r="Q62" i="2"/>
  <c r="R62" i="2"/>
  <c r="S62" i="2"/>
  <c r="T62" i="2"/>
  <c r="U62" i="2"/>
  <c r="P63" i="2"/>
  <c r="Q63" i="2"/>
  <c r="R63" i="2"/>
  <c r="S63" i="2"/>
  <c r="T63" i="2"/>
  <c r="U63" i="2"/>
  <c r="P64" i="2"/>
  <c r="Q64" i="2"/>
  <c r="R64" i="2"/>
  <c r="S64" i="2"/>
  <c r="T64" i="2"/>
  <c r="U64" i="2"/>
  <c r="P65" i="2"/>
  <c r="Q65" i="2"/>
  <c r="R65" i="2"/>
  <c r="S65" i="2"/>
  <c r="T65" i="2"/>
  <c r="U65" i="2"/>
  <c r="P66" i="2"/>
  <c r="Q66" i="2"/>
  <c r="R66" i="2"/>
  <c r="S66" i="2"/>
  <c r="T66" i="2"/>
  <c r="U66" i="2"/>
  <c r="P67" i="2"/>
  <c r="Q67" i="2"/>
  <c r="R67" i="2"/>
  <c r="S67" i="2"/>
  <c r="T67" i="2"/>
  <c r="U67" i="2"/>
  <c r="P68" i="2"/>
  <c r="Q68" i="2"/>
  <c r="R68" i="2"/>
  <c r="S68" i="2"/>
  <c r="T68" i="2"/>
  <c r="U68" i="2"/>
  <c r="P69" i="2"/>
  <c r="Q69" i="2"/>
  <c r="R69" i="2"/>
  <c r="S69" i="2"/>
  <c r="T69" i="2"/>
  <c r="U69" i="2"/>
  <c r="P70" i="2"/>
  <c r="Q70" i="2"/>
  <c r="R70" i="2"/>
  <c r="S70" i="2"/>
  <c r="T70" i="2"/>
  <c r="U70" i="2"/>
  <c r="P71" i="2"/>
  <c r="Q71" i="2"/>
  <c r="R71" i="2"/>
  <c r="S71" i="2"/>
  <c r="T71" i="2"/>
  <c r="U71" i="2"/>
  <c r="P72" i="2"/>
  <c r="Q72" i="2"/>
  <c r="R72" i="2"/>
  <c r="S72" i="2"/>
  <c r="T72" i="2"/>
  <c r="U72" i="2"/>
  <c r="P73" i="2"/>
  <c r="Q73" i="2"/>
  <c r="R73" i="2"/>
  <c r="S73" i="2"/>
  <c r="T73" i="2"/>
  <c r="U73" i="2"/>
  <c r="P74" i="2"/>
  <c r="Q74" i="2"/>
  <c r="R74" i="2"/>
  <c r="S74" i="2"/>
  <c r="T74" i="2"/>
  <c r="U74" i="2"/>
  <c r="P75" i="2"/>
  <c r="Q75" i="2"/>
  <c r="R75" i="2"/>
  <c r="S75" i="2"/>
  <c r="T75" i="2"/>
  <c r="U75" i="2"/>
  <c r="P76" i="2"/>
  <c r="Q76" i="2"/>
  <c r="R76" i="2"/>
  <c r="S76" i="2"/>
  <c r="T76" i="2"/>
  <c r="U76" i="2"/>
  <c r="P77" i="2"/>
  <c r="Q77" i="2"/>
  <c r="R77" i="2"/>
  <c r="S77" i="2"/>
  <c r="T77" i="2"/>
  <c r="U77" i="2"/>
  <c r="P78" i="2"/>
  <c r="Q78" i="2"/>
  <c r="R78" i="2"/>
  <c r="S78" i="2"/>
  <c r="T78" i="2"/>
  <c r="U78" i="2"/>
  <c r="P79" i="2"/>
  <c r="Q79" i="2"/>
  <c r="R79" i="2"/>
  <c r="S79" i="2"/>
  <c r="T79" i="2"/>
  <c r="U79" i="2"/>
  <c r="P80" i="2"/>
  <c r="Q80" i="2"/>
  <c r="R80" i="2"/>
  <c r="S80" i="2"/>
  <c r="T80" i="2"/>
  <c r="U80" i="2"/>
  <c r="P81" i="2"/>
  <c r="Q81" i="2"/>
  <c r="R81" i="2"/>
  <c r="S81" i="2"/>
  <c r="T81" i="2"/>
  <c r="U81" i="2"/>
  <c r="P82" i="2"/>
  <c r="Q82" i="2"/>
  <c r="R82" i="2"/>
  <c r="S82" i="2"/>
  <c r="T82" i="2"/>
  <c r="U82" i="2"/>
  <c r="P83" i="2"/>
  <c r="Q83" i="2"/>
  <c r="R83" i="2"/>
  <c r="S83" i="2"/>
  <c r="T83" i="2"/>
  <c r="U83" i="2"/>
  <c r="P84" i="2"/>
  <c r="Q84" i="2"/>
  <c r="R84" i="2"/>
  <c r="S84" i="2"/>
  <c r="T84" i="2"/>
  <c r="U84" i="2"/>
  <c r="P85" i="2"/>
  <c r="Q85" i="2"/>
  <c r="R85" i="2"/>
  <c r="S85" i="2"/>
  <c r="T85" i="2"/>
  <c r="U85" i="2"/>
  <c r="P86" i="2"/>
  <c r="Q86" i="2"/>
  <c r="R86" i="2"/>
  <c r="S86" i="2"/>
  <c r="T86" i="2"/>
  <c r="U86" i="2"/>
  <c r="P87" i="2"/>
  <c r="Q87" i="2"/>
  <c r="R87" i="2"/>
  <c r="S87" i="2"/>
  <c r="T87" i="2"/>
  <c r="U87" i="2"/>
  <c r="P88" i="2"/>
  <c r="Q88" i="2"/>
  <c r="R88" i="2"/>
  <c r="S88" i="2"/>
  <c r="T88" i="2"/>
  <c r="U88" i="2"/>
  <c r="P89" i="2"/>
  <c r="Q89" i="2"/>
  <c r="R89" i="2"/>
  <c r="S89" i="2"/>
  <c r="T89" i="2"/>
  <c r="U89" i="2"/>
  <c r="P90" i="2"/>
  <c r="Q90" i="2"/>
  <c r="R90" i="2"/>
  <c r="S90" i="2"/>
  <c r="T90" i="2"/>
  <c r="U90" i="2"/>
  <c r="P91" i="2"/>
  <c r="Q91" i="2"/>
  <c r="R91" i="2"/>
  <c r="S91" i="2"/>
  <c r="T91" i="2"/>
  <c r="U91" i="2"/>
  <c r="P92" i="2"/>
  <c r="Q92" i="2"/>
  <c r="R92" i="2"/>
  <c r="S92" i="2"/>
  <c r="T92" i="2"/>
  <c r="U92" i="2"/>
  <c r="P93" i="2"/>
  <c r="Q93" i="2"/>
  <c r="R93" i="2"/>
  <c r="S93" i="2"/>
  <c r="T93" i="2"/>
  <c r="U93" i="2"/>
  <c r="P94" i="2"/>
  <c r="Q94" i="2"/>
  <c r="R94" i="2"/>
  <c r="S94" i="2"/>
  <c r="T94" i="2"/>
  <c r="U94" i="2"/>
  <c r="P95" i="2"/>
  <c r="Q95" i="2"/>
  <c r="R95" i="2"/>
  <c r="S95" i="2"/>
  <c r="T95" i="2"/>
  <c r="U95" i="2"/>
  <c r="P96" i="2"/>
  <c r="Q96" i="2"/>
  <c r="R96" i="2"/>
  <c r="S96" i="2"/>
  <c r="T96" i="2"/>
  <c r="U96" i="2"/>
  <c r="P97" i="2"/>
  <c r="Q97" i="2"/>
  <c r="R97" i="2"/>
  <c r="S97" i="2"/>
  <c r="T97" i="2"/>
  <c r="U97" i="2"/>
  <c r="P98" i="2"/>
  <c r="Q98" i="2"/>
  <c r="R98" i="2"/>
  <c r="S98" i="2"/>
  <c r="T98" i="2"/>
  <c r="U98" i="2"/>
  <c r="P99" i="2"/>
  <c r="Q99" i="2"/>
  <c r="R99" i="2"/>
  <c r="S99" i="2"/>
  <c r="T99" i="2"/>
  <c r="U99" i="2"/>
  <c r="P100" i="2"/>
  <c r="Q100" i="2"/>
  <c r="R100" i="2"/>
  <c r="S100" i="2"/>
  <c r="T100" i="2"/>
  <c r="U100" i="2"/>
  <c r="P101" i="2"/>
  <c r="Q101" i="2"/>
  <c r="R101" i="2"/>
  <c r="S101" i="2"/>
  <c r="T101" i="2"/>
  <c r="U101" i="2"/>
  <c r="P102" i="2"/>
  <c r="Q102" i="2"/>
  <c r="R102" i="2"/>
  <c r="S102" i="2"/>
  <c r="T102" i="2"/>
  <c r="U102" i="2"/>
  <c r="P103" i="2"/>
  <c r="Q103" i="2"/>
  <c r="R103" i="2"/>
  <c r="S103" i="2"/>
  <c r="T103" i="2"/>
  <c r="U103" i="2"/>
  <c r="P104" i="2"/>
  <c r="Q104" i="2"/>
  <c r="R104" i="2"/>
  <c r="S104" i="2"/>
  <c r="T104" i="2"/>
  <c r="U104" i="2"/>
  <c r="P105" i="2"/>
  <c r="Q105" i="2"/>
  <c r="R105" i="2"/>
  <c r="S105" i="2"/>
  <c r="T105" i="2"/>
  <c r="U105" i="2"/>
  <c r="P106" i="2"/>
  <c r="Q106" i="2"/>
  <c r="R106" i="2"/>
  <c r="S106" i="2"/>
  <c r="T106" i="2"/>
  <c r="U106" i="2"/>
  <c r="P107" i="2"/>
  <c r="Q107" i="2"/>
  <c r="R107" i="2"/>
  <c r="S107" i="2"/>
  <c r="T107" i="2"/>
  <c r="U107" i="2"/>
  <c r="P108" i="2"/>
  <c r="Q108" i="2"/>
  <c r="R108" i="2"/>
  <c r="S108" i="2"/>
  <c r="T108" i="2"/>
  <c r="U108" i="2"/>
  <c r="P109" i="2"/>
  <c r="Q109" i="2"/>
  <c r="R109" i="2"/>
  <c r="S109" i="2"/>
  <c r="T109" i="2"/>
  <c r="U109" i="2"/>
  <c r="P110" i="2"/>
  <c r="Q110" i="2"/>
  <c r="R110" i="2"/>
  <c r="S110" i="2"/>
  <c r="T110" i="2"/>
  <c r="U110" i="2"/>
  <c r="P111" i="2"/>
  <c r="Q111" i="2"/>
  <c r="R111" i="2"/>
  <c r="S111" i="2"/>
  <c r="T111" i="2"/>
  <c r="U111" i="2"/>
  <c r="P112" i="2"/>
  <c r="Q112" i="2"/>
  <c r="R112" i="2"/>
  <c r="S112" i="2"/>
  <c r="T112" i="2"/>
  <c r="U112" i="2"/>
  <c r="P113" i="2"/>
  <c r="Q113" i="2"/>
  <c r="R113" i="2"/>
  <c r="S113" i="2"/>
  <c r="T113" i="2"/>
  <c r="U113" i="2"/>
  <c r="P114" i="2"/>
  <c r="Q114" i="2"/>
  <c r="R114" i="2"/>
  <c r="S114" i="2"/>
  <c r="T114" i="2"/>
  <c r="U114" i="2"/>
  <c r="P115" i="2"/>
  <c r="Q115" i="2"/>
  <c r="R115" i="2"/>
  <c r="S115" i="2"/>
  <c r="T115" i="2"/>
  <c r="U115" i="2"/>
  <c r="P116" i="2"/>
  <c r="Q116" i="2"/>
  <c r="R116" i="2"/>
  <c r="S116" i="2"/>
  <c r="T116" i="2"/>
  <c r="U116" i="2"/>
  <c r="P117" i="2"/>
  <c r="Q117" i="2"/>
  <c r="R117" i="2"/>
  <c r="S117" i="2"/>
  <c r="T117" i="2"/>
  <c r="U117" i="2"/>
  <c r="P118" i="2"/>
  <c r="Q118" i="2"/>
  <c r="R118" i="2"/>
  <c r="S118" i="2"/>
  <c r="T118" i="2"/>
  <c r="U118" i="2"/>
  <c r="P119" i="2"/>
  <c r="Q119" i="2"/>
  <c r="R119" i="2"/>
  <c r="S119" i="2"/>
  <c r="T119" i="2"/>
  <c r="U119" i="2"/>
  <c r="P120" i="2"/>
  <c r="Q120" i="2"/>
  <c r="R120" i="2"/>
  <c r="S120" i="2"/>
  <c r="T120" i="2"/>
  <c r="U120" i="2"/>
  <c r="P121" i="2"/>
  <c r="Q121" i="2"/>
  <c r="R121" i="2"/>
  <c r="S121" i="2"/>
  <c r="T121" i="2"/>
  <c r="U121" i="2"/>
  <c r="P122" i="2"/>
  <c r="Q122" i="2"/>
  <c r="R122" i="2"/>
  <c r="S122" i="2"/>
  <c r="T122" i="2"/>
  <c r="U122" i="2"/>
  <c r="P123" i="2"/>
  <c r="Q123" i="2"/>
  <c r="R123" i="2"/>
  <c r="S123" i="2"/>
  <c r="T123" i="2"/>
  <c r="U123" i="2"/>
  <c r="P124" i="2"/>
  <c r="Q124" i="2"/>
  <c r="R124" i="2"/>
  <c r="S124" i="2"/>
  <c r="T124" i="2"/>
  <c r="U124" i="2"/>
  <c r="P125" i="2"/>
  <c r="Q125" i="2"/>
  <c r="R125" i="2"/>
  <c r="S125" i="2"/>
  <c r="T125" i="2"/>
  <c r="U125" i="2"/>
  <c r="P126" i="2"/>
  <c r="Q126" i="2"/>
  <c r="R126" i="2"/>
  <c r="S126" i="2"/>
  <c r="T126" i="2"/>
  <c r="U126" i="2"/>
  <c r="P127" i="2"/>
  <c r="Q127" i="2"/>
  <c r="R127" i="2"/>
  <c r="S127" i="2"/>
  <c r="T127" i="2"/>
  <c r="U127" i="2"/>
  <c r="P128" i="2"/>
  <c r="Q128" i="2"/>
  <c r="R128" i="2"/>
  <c r="S128" i="2"/>
  <c r="T128" i="2"/>
  <c r="U128" i="2"/>
  <c r="P129" i="2"/>
  <c r="Q129" i="2"/>
  <c r="R129" i="2"/>
  <c r="S129" i="2"/>
  <c r="T129" i="2"/>
  <c r="U129" i="2"/>
  <c r="P130" i="2"/>
  <c r="Q130" i="2"/>
  <c r="R130" i="2"/>
  <c r="S130" i="2"/>
  <c r="T130" i="2"/>
  <c r="U130" i="2"/>
  <c r="P131" i="2"/>
  <c r="Q131" i="2"/>
  <c r="R131" i="2"/>
  <c r="S131" i="2"/>
  <c r="T131" i="2"/>
  <c r="U131" i="2"/>
  <c r="P132" i="2"/>
  <c r="Q132" i="2"/>
  <c r="R132" i="2"/>
  <c r="S132" i="2"/>
  <c r="T132" i="2"/>
  <c r="U132" i="2"/>
  <c r="P133" i="2"/>
  <c r="Q133" i="2"/>
  <c r="R133" i="2"/>
  <c r="S133" i="2"/>
  <c r="T133" i="2"/>
  <c r="U133" i="2"/>
  <c r="P134" i="2"/>
  <c r="Q134" i="2"/>
  <c r="R134" i="2"/>
  <c r="S134" i="2"/>
  <c r="T134" i="2"/>
  <c r="U134" i="2"/>
  <c r="P135" i="2"/>
  <c r="Q135" i="2"/>
  <c r="R135" i="2"/>
  <c r="S135" i="2"/>
  <c r="T135" i="2"/>
  <c r="U135" i="2"/>
  <c r="P136" i="2"/>
  <c r="Q136" i="2"/>
  <c r="R136" i="2"/>
  <c r="S136" i="2"/>
  <c r="T136" i="2"/>
  <c r="U136" i="2"/>
  <c r="P137" i="2"/>
  <c r="Q137" i="2"/>
  <c r="R137" i="2"/>
  <c r="S137" i="2"/>
  <c r="T137" i="2"/>
  <c r="U137" i="2"/>
  <c r="P138" i="2"/>
  <c r="Q138" i="2"/>
  <c r="R138" i="2"/>
  <c r="S138" i="2"/>
  <c r="T138" i="2"/>
  <c r="U138" i="2"/>
  <c r="P139" i="2"/>
  <c r="Q139" i="2"/>
  <c r="R139" i="2"/>
  <c r="S139" i="2"/>
  <c r="T139" i="2"/>
  <c r="U139" i="2"/>
  <c r="P140" i="2"/>
  <c r="Q140" i="2"/>
  <c r="R140" i="2"/>
  <c r="S140" i="2"/>
  <c r="T140" i="2"/>
  <c r="U140" i="2"/>
  <c r="P141" i="2"/>
  <c r="Q141" i="2"/>
  <c r="R141" i="2"/>
  <c r="S141" i="2"/>
  <c r="T141" i="2"/>
  <c r="U141" i="2"/>
  <c r="P142" i="2"/>
  <c r="Q142" i="2"/>
  <c r="R142" i="2"/>
  <c r="S142" i="2"/>
  <c r="T142" i="2"/>
  <c r="U142" i="2"/>
  <c r="P143" i="2"/>
  <c r="Q143" i="2"/>
  <c r="R143" i="2"/>
  <c r="S143" i="2"/>
  <c r="T143" i="2"/>
  <c r="U143" i="2"/>
  <c r="P144" i="2"/>
  <c r="Q144" i="2"/>
  <c r="R144" i="2"/>
  <c r="S144" i="2"/>
  <c r="T144" i="2"/>
  <c r="U144" i="2"/>
  <c r="P145" i="2"/>
  <c r="Q145" i="2"/>
  <c r="R145" i="2"/>
  <c r="S145" i="2"/>
  <c r="T145" i="2"/>
  <c r="U145" i="2"/>
  <c r="P146" i="2"/>
  <c r="Q146" i="2"/>
  <c r="R146" i="2"/>
  <c r="S146" i="2"/>
  <c r="T146" i="2"/>
  <c r="U146" i="2"/>
  <c r="P147" i="2"/>
  <c r="Q147" i="2"/>
  <c r="R147" i="2"/>
  <c r="S147" i="2"/>
  <c r="T147" i="2"/>
  <c r="U147" i="2"/>
  <c r="P148" i="2"/>
  <c r="Q148" i="2"/>
  <c r="R148" i="2"/>
  <c r="S148" i="2"/>
  <c r="T148" i="2"/>
  <c r="U148" i="2"/>
  <c r="P149" i="2"/>
  <c r="Q149" i="2"/>
  <c r="R149" i="2"/>
  <c r="S149" i="2"/>
  <c r="T149" i="2"/>
  <c r="U149" i="2"/>
  <c r="P150" i="2"/>
  <c r="Q150" i="2"/>
  <c r="R150" i="2"/>
  <c r="S150" i="2"/>
  <c r="T150" i="2"/>
  <c r="U150" i="2"/>
  <c r="P151" i="2"/>
  <c r="Q151" i="2"/>
  <c r="R151" i="2"/>
  <c r="S151" i="2"/>
  <c r="T151" i="2"/>
  <c r="U151" i="2"/>
  <c r="P152" i="2"/>
  <c r="Q152" i="2"/>
  <c r="R152" i="2"/>
  <c r="S152" i="2"/>
  <c r="T152" i="2"/>
  <c r="U152" i="2"/>
  <c r="P153" i="2"/>
  <c r="Q153" i="2"/>
  <c r="R153" i="2"/>
  <c r="S153" i="2"/>
  <c r="T153" i="2"/>
  <c r="U153" i="2"/>
  <c r="P154" i="2"/>
  <c r="Q154" i="2"/>
  <c r="R154" i="2"/>
  <c r="S154" i="2"/>
  <c r="T154" i="2"/>
  <c r="U154" i="2"/>
  <c r="P155" i="2"/>
  <c r="Q155" i="2"/>
  <c r="R155" i="2"/>
  <c r="S155" i="2"/>
  <c r="T155" i="2"/>
  <c r="U155" i="2"/>
  <c r="P156" i="2"/>
  <c r="Q156" i="2"/>
  <c r="R156" i="2"/>
  <c r="S156" i="2"/>
  <c r="T156" i="2"/>
  <c r="U156" i="2"/>
  <c r="P157" i="2"/>
  <c r="Q157" i="2"/>
  <c r="R157" i="2"/>
  <c r="S157" i="2"/>
  <c r="T157" i="2"/>
  <c r="U157" i="2"/>
  <c r="P158" i="2"/>
  <c r="Q158" i="2"/>
  <c r="R158" i="2"/>
  <c r="S158" i="2"/>
  <c r="T158" i="2"/>
  <c r="U158" i="2"/>
  <c r="P159" i="2"/>
  <c r="Q159" i="2"/>
  <c r="R159" i="2"/>
  <c r="S159" i="2"/>
  <c r="T159" i="2"/>
  <c r="U159" i="2"/>
  <c r="P160" i="2"/>
  <c r="Q160" i="2"/>
  <c r="R160" i="2"/>
  <c r="S160" i="2"/>
  <c r="T160" i="2"/>
  <c r="U160" i="2"/>
  <c r="P161" i="2"/>
  <c r="Q161" i="2"/>
  <c r="R161" i="2"/>
  <c r="S161" i="2"/>
  <c r="T161" i="2"/>
  <c r="U161" i="2"/>
  <c r="P162" i="2"/>
  <c r="Q162" i="2"/>
  <c r="R162" i="2"/>
  <c r="S162" i="2"/>
  <c r="T162" i="2"/>
  <c r="U162" i="2"/>
  <c r="P163" i="2"/>
  <c r="Q163" i="2"/>
  <c r="R163" i="2"/>
  <c r="S163" i="2"/>
  <c r="T163" i="2"/>
  <c r="U163" i="2"/>
  <c r="P164" i="2"/>
  <c r="Q164" i="2"/>
  <c r="R164" i="2"/>
  <c r="S164" i="2"/>
  <c r="T164" i="2"/>
  <c r="U164" i="2"/>
  <c r="P165" i="2"/>
  <c r="Q165" i="2"/>
  <c r="R165" i="2"/>
  <c r="S165" i="2"/>
  <c r="T165" i="2"/>
  <c r="U165" i="2"/>
  <c r="P166" i="2"/>
  <c r="Q166" i="2"/>
  <c r="R166" i="2"/>
  <c r="S166" i="2"/>
  <c r="T166" i="2"/>
  <c r="U166" i="2"/>
  <c r="P167" i="2"/>
  <c r="Q167" i="2"/>
  <c r="R167" i="2"/>
  <c r="S167" i="2"/>
  <c r="T167" i="2"/>
  <c r="U167" i="2"/>
  <c r="P168" i="2"/>
  <c r="Q168" i="2"/>
  <c r="R168" i="2"/>
  <c r="S168" i="2"/>
  <c r="T168" i="2"/>
  <c r="U168" i="2"/>
  <c r="P169" i="2"/>
  <c r="Q169" i="2"/>
  <c r="R169" i="2"/>
  <c r="S169" i="2"/>
  <c r="T169" i="2"/>
  <c r="U169" i="2"/>
  <c r="P170" i="2"/>
  <c r="Q170" i="2"/>
  <c r="R170" i="2"/>
  <c r="S170" i="2"/>
  <c r="T170" i="2"/>
  <c r="U170" i="2"/>
  <c r="P171" i="2"/>
  <c r="Q171" i="2"/>
  <c r="R171" i="2"/>
  <c r="S171" i="2"/>
  <c r="T171" i="2"/>
  <c r="U171" i="2"/>
  <c r="P172" i="2"/>
  <c r="Q172" i="2"/>
  <c r="R172" i="2"/>
  <c r="S172" i="2"/>
  <c r="T172" i="2"/>
  <c r="U172" i="2"/>
  <c r="P173" i="2"/>
  <c r="Q173" i="2"/>
  <c r="R173" i="2"/>
  <c r="S173" i="2"/>
  <c r="T173" i="2"/>
  <c r="U173" i="2"/>
  <c r="P174" i="2"/>
  <c r="Q174" i="2"/>
  <c r="R174" i="2"/>
  <c r="S174" i="2"/>
  <c r="T174" i="2"/>
  <c r="U174" i="2"/>
  <c r="P175" i="2"/>
  <c r="Q175" i="2"/>
  <c r="R175" i="2"/>
  <c r="S175" i="2"/>
  <c r="T175" i="2"/>
  <c r="U175" i="2"/>
  <c r="P176" i="2"/>
  <c r="Q176" i="2"/>
  <c r="R176" i="2"/>
  <c r="S176" i="2"/>
  <c r="T176" i="2"/>
  <c r="U176" i="2"/>
  <c r="P177" i="2"/>
  <c r="Q177" i="2"/>
  <c r="R177" i="2"/>
  <c r="S177" i="2"/>
  <c r="T177" i="2"/>
  <c r="U177" i="2"/>
  <c r="P178" i="2"/>
  <c r="Q178" i="2"/>
  <c r="R178" i="2"/>
  <c r="S178" i="2"/>
  <c r="T178" i="2"/>
  <c r="U178" i="2"/>
  <c r="P179" i="2"/>
  <c r="Q179" i="2"/>
  <c r="R179" i="2"/>
  <c r="S179" i="2"/>
  <c r="T179" i="2"/>
  <c r="U179" i="2"/>
  <c r="P180" i="2"/>
  <c r="Q180" i="2"/>
  <c r="R180" i="2"/>
  <c r="S180" i="2"/>
  <c r="T180" i="2"/>
  <c r="U180" i="2"/>
  <c r="P181" i="2"/>
  <c r="Q181" i="2"/>
  <c r="R181" i="2"/>
  <c r="S181" i="2"/>
  <c r="T181" i="2"/>
  <c r="U181" i="2"/>
  <c r="P182" i="2"/>
  <c r="Q182" i="2"/>
  <c r="R182" i="2"/>
  <c r="S182" i="2"/>
  <c r="T182" i="2"/>
  <c r="U182" i="2"/>
  <c r="P183" i="2"/>
  <c r="Q183" i="2"/>
  <c r="R183" i="2"/>
  <c r="S183" i="2"/>
  <c r="T183" i="2"/>
  <c r="U183" i="2"/>
  <c r="P184" i="2"/>
  <c r="Q184" i="2"/>
  <c r="R184" i="2"/>
  <c r="S184" i="2"/>
  <c r="T184" i="2"/>
  <c r="U184" i="2"/>
  <c r="P185" i="2"/>
  <c r="Q185" i="2"/>
  <c r="R185" i="2"/>
  <c r="S185" i="2"/>
  <c r="T185" i="2"/>
  <c r="U185" i="2"/>
  <c r="P186" i="2"/>
  <c r="Q186" i="2"/>
  <c r="R186" i="2"/>
  <c r="S186" i="2"/>
  <c r="T186" i="2"/>
  <c r="U186" i="2"/>
  <c r="P187" i="2"/>
  <c r="Q187" i="2"/>
  <c r="R187" i="2"/>
  <c r="S187" i="2"/>
  <c r="T187" i="2"/>
  <c r="U187" i="2"/>
  <c r="P188" i="2"/>
  <c r="Q188" i="2"/>
  <c r="R188" i="2"/>
  <c r="S188" i="2"/>
  <c r="T188" i="2"/>
  <c r="U188" i="2"/>
  <c r="P189" i="2"/>
  <c r="Q189" i="2"/>
  <c r="R189" i="2"/>
  <c r="S189" i="2"/>
  <c r="T189" i="2"/>
  <c r="U189" i="2"/>
  <c r="P190" i="2"/>
  <c r="Q190" i="2"/>
  <c r="R190" i="2"/>
  <c r="S190" i="2"/>
  <c r="T190" i="2"/>
  <c r="U190" i="2"/>
  <c r="P191" i="2"/>
  <c r="Q191" i="2"/>
  <c r="R191" i="2"/>
  <c r="S191" i="2"/>
  <c r="T191" i="2"/>
  <c r="U191" i="2"/>
  <c r="P192" i="2"/>
  <c r="Q192" i="2"/>
  <c r="R192" i="2"/>
  <c r="S192" i="2"/>
  <c r="T192" i="2"/>
  <c r="U192" i="2"/>
  <c r="P193" i="2"/>
  <c r="Q193" i="2"/>
  <c r="R193" i="2"/>
  <c r="S193" i="2"/>
  <c r="T193" i="2"/>
  <c r="U193" i="2"/>
  <c r="P194" i="2"/>
  <c r="Q194" i="2"/>
  <c r="R194" i="2"/>
  <c r="S194" i="2"/>
  <c r="T194" i="2"/>
  <c r="U194" i="2"/>
  <c r="P195" i="2"/>
  <c r="Q195" i="2"/>
  <c r="R195" i="2"/>
  <c r="S195" i="2"/>
  <c r="T195" i="2"/>
  <c r="U195" i="2"/>
  <c r="P196" i="2"/>
  <c r="Q196" i="2"/>
  <c r="R196" i="2"/>
  <c r="S196" i="2"/>
  <c r="T196" i="2"/>
  <c r="U196" i="2"/>
  <c r="P197" i="2"/>
  <c r="Q197" i="2"/>
  <c r="R197" i="2"/>
  <c r="S197" i="2"/>
  <c r="T197" i="2"/>
  <c r="U197" i="2"/>
  <c r="P198" i="2"/>
  <c r="Q198" i="2"/>
  <c r="R198" i="2"/>
  <c r="S198" i="2"/>
  <c r="T198" i="2"/>
  <c r="U198" i="2"/>
  <c r="P199" i="2"/>
  <c r="Q199" i="2"/>
  <c r="R199" i="2"/>
  <c r="S199" i="2"/>
  <c r="T199" i="2"/>
  <c r="U199" i="2"/>
  <c r="P200" i="2"/>
  <c r="Q200" i="2"/>
  <c r="R200" i="2"/>
  <c r="S200" i="2"/>
  <c r="T200" i="2"/>
  <c r="U200" i="2"/>
  <c r="P201" i="2"/>
  <c r="Q201" i="2"/>
  <c r="R201" i="2"/>
  <c r="S201" i="2"/>
  <c r="T201" i="2"/>
  <c r="U201" i="2"/>
  <c r="P202" i="2"/>
  <c r="Q202" i="2"/>
  <c r="R202" i="2"/>
  <c r="S202" i="2"/>
  <c r="T202" i="2"/>
  <c r="U202" i="2"/>
  <c r="P203" i="2"/>
  <c r="Q203" i="2"/>
  <c r="R203" i="2"/>
  <c r="S203" i="2"/>
  <c r="T203" i="2"/>
  <c r="U203" i="2"/>
  <c r="P204" i="2"/>
  <c r="Q204" i="2"/>
  <c r="R204" i="2"/>
  <c r="S204" i="2"/>
  <c r="T204" i="2"/>
  <c r="U204" i="2"/>
  <c r="P205" i="2"/>
  <c r="Q205" i="2"/>
  <c r="R205" i="2"/>
  <c r="S205" i="2"/>
  <c r="T205" i="2"/>
  <c r="U205" i="2"/>
  <c r="P206" i="2"/>
  <c r="Q206" i="2"/>
  <c r="R206" i="2"/>
  <c r="S206" i="2"/>
  <c r="T206" i="2"/>
  <c r="U206" i="2"/>
  <c r="P207" i="2"/>
  <c r="Q207" i="2"/>
  <c r="R207" i="2"/>
  <c r="S207" i="2"/>
  <c r="T207" i="2"/>
  <c r="U207" i="2"/>
  <c r="P208" i="2"/>
  <c r="Q208" i="2"/>
  <c r="R208" i="2"/>
  <c r="S208" i="2"/>
  <c r="T208" i="2"/>
  <c r="U208" i="2"/>
  <c r="P209" i="2"/>
  <c r="Q209" i="2"/>
  <c r="R209" i="2"/>
  <c r="S209" i="2"/>
  <c r="T209" i="2"/>
  <c r="U209" i="2"/>
  <c r="P210" i="2"/>
  <c r="Q210" i="2"/>
  <c r="R210" i="2"/>
  <c r="S210" i="2"/>
  <c r="T210" i="2"/>
  <c r="U210" i="2"/>
  <c r="P211" i="2"/>
  <c r="Q211" i="2"/>
  <c r="R211" i="2"/>
  <c r="S211" i="2"/>
  <c r="T211" i="2"/>
  <c r="U211" i="2"/>
  <c r="P212" i="2"/>
  <c r="Q212" i="2"/>
  <c r="R212" i="2"/>
  <c r="S212" i="2"/>
  <c r="T212" i="2"/>
  <c r="U212" i="2"/>
  <c r="P213" i="2"/>
  <c r="Q213" i="2"/>
  <c r="R213" i="2"/>
  <c r="S213" i="2"/>
  <c r="T213" i="2"/>
  <c r="U213" i="2"/>
  <c r="P214" i="2"/>
  <c r="Q214" i="2"/>
  <c r="R214" i="2"/>
  <c r="S214" i="2"/>
  <c r="T214" i="2"/>
  <c r="U214" i="2"/>
  <c r="P215" i="2"/>
  <c r="Q215" i="2"/>
  <c r="R215" i="2"/>
  <c r="S215" i="2"/>
  <c r="T215" i="2"/>
  <c r="U215" i="2"/>
  <c r="P216" i="2"/>
  <c r="Q216" i="2"/>
  <c r="R216" i="2"/>
  <c r="S216" i="2"/>
  <c r="T216" i="2"/>
  <c r="U216" i="2"/>
  <c r="P217" i="2"/>
  <c r="Q217" i="2"/>
  <c r="R217" i="2"/>
  <c r="S217" i="2"/>
  <c r="T217" i="2"/>
  <c r="U217" i="2"/>
  <c r="P218" i="2"/>
  <c r="Q218" i="2"/>
  <c r="R218" i="2"/>
  <c r="S218" i="2"/>
  <c r="T218" i="2"/>
  <c r="U218" i="2"/>
  <c r="P219" i="2"/>
  <c r="Q219" i="2"/>
  <c r="R219" i="2"/>
  <c r="S219" i="2"/>
  <c r="T219" i="2"/>
  <c r="U219" i="2"/>
  <c r="P220" i="2"/>
  <c r="Q220" i="2"/>
  <c r="R220" i="2"/>
  <c r="S220" i="2"/>
  <c r="T220" i="2"/>
  <c r="U220" i="2"/>
  <c r="P221" i="2"/>
  <c r="Q221" i="2"/>
  <c r="R221" i="2"/>
  <c r="S221" i="2"/>
  <c r="T221" i="2"/>
  <c r="U221" i="2"/>
  <c r="P222" i="2"/>
  <c r="Q222" i="2"/>
  <c r="R222" i="2"/>
  <c r="S222" i="2"/>
  <c r="T222" i="2"/>
  <c r="U222" i="2"/>
  <c r="P223" i="2"/>
  <c r="Q223" i="2"/>
  <c r="R223" i="2"/>
  <c r="S223" i="2"/>
  <c r="T223" i="2"/>
  <c r="U223" i="2"/>
  <c r="P224" i="2"/>
  <c r="Q224" i="2"/>
  <c r="R224" i="2"/>
  <c r="S224" i="2"/>
  <c r="T224" i="2"/>
  <c r="U224" i="2"/>
  <c r="P225" i="2"/>
  <c r="Q225" i="2"/>
  <c r="R225" i="2"/>
  <c r="S225" i="2"/>
  <c r="T225" i="2"/>
  <c r="U225" i="2"/>
  <c r="P226" i="2"/>
  <c r="Q226" i="2"/>
  <c r="R226" i="2"/>
  <c r="S226" i="2"/>
  <c r="T226" i="2"/>
  <c r="U226" i="2"/>
  <c r="P227" i="2"/>
  <c r="Q227" i="2"/>
  <c r="R227" i="2"/>
  <c r="S227" i="2"/>
  <c r="T227" i="2"/>
  <c r="U227" i="2"/>
  <c r="P228" i="2"/>
  <c r="Q228" i="2"/>
  <c r="R228" i="2"/>
  <c r="S228" i="2"/>
  <c r="T228" i="2"/>
  <c r="U228" i="2"/>
  <c r="P229" i="2"/>
  <c r="Q229" i="2"/>
  <c r="R229" i="2"/>
  <c r="S229" i="2"/>
  <c r="T229" i="2"/>
  <c r="U229" i="2"/>
  <c r="P230" i="2"/>
  <c r="Q230" i="2"/>
  <c r="R230" i="2"/>
  <c r="S230" i="2"/>
  <c r="T230" i="2"/>
  <c r="U230" i="2"/>
  <c r="P231" i="2"/>
  <c r="Q231" i="2"/>
  <c r="R231" i="2"/>
  <c r="S231" i="2"/>
  <c r="T231" i="2"/>
  <c r="U231" i="2"/>
  <c r="P232" i="2"/>
  <c r="Q232" i="2"/>
  <c r="R232" i="2"/>
  <c r="S232" i="2"/>
  <c r="T232" i="2"/>
  <c r="U232" i="2"/>
  <c r="P233" i="2"/>
  <c r="Q233" i="2"/>
  <c r="R233" i="2"/>
  <c r="S233" i="2"/>
  <c r="T233" i="2"/>
  <c r="U233" i="2"/>
  <c r="P234" i="2"/>
  <c r="Q234" i="2"/>
  <c r="R234" i="2"/>
  <c r="S234" i="2"/>
  <c r="T234" i="2"/>
  <c r="U234" i="2"/>
  <c r="P235" i="2"/>
  <c r="Q235" i="2"/>
  <c r="R235" i="2"/>
  <c r="S235" i="2"/>
  <c r="T235" i="2"/>
  <c r="U235" i="2"/>
  <c r="P236" i="2"/>
  <c r="Q236" i="2"/>
  <c r="R236" i="2"/>
  <c r="S236" i="2"/>
  <c r="T236" i="2"/>
  <c r="U236" i="2"/>
  <c r="P237" i="2"/>
  <c r="Q237" i="2"/>
  <c r="R237" i="2"/>
  <c r="S237" i="2"/>
  <c r="T237" i="2"/>
  <c r="U237" i="2"/>
  <c r="P238" i="2"/>
  <c r="Q238" i="2"/>
  <c r="R238" i="2"/>
  <c r="S238" i="2"/>
  <c r="T238" i="2"/>
  <c r="U238" i="2"/>
  <c r="P239" i="2"/>
  <c r="Q239" i="2"/>
  <c r="R239" i="2"/>
  <c r="S239" i="2"/>
  <c r="T239" i="2"/>
  <c r="U239" i="2"/>
  <c r="P240" i="2"/>
  <c r="Q240" i="2"/>
  <c r="R240" i="2"/>
  <c r="S240" i="2"/>
  <c r="T240" i="2"/>
  <c r="U240" i="2"/>
  <c r="P241" i="2"/>
  <c r="Q241" i="2"/>
  <c r="R241" i="2"/>
  <c r="S241" i="2"/>
  <c r="T241" i="2"/>
  <c r="U241" i="2"/>
  <c r="P242" i="2"/>
  <c r="Q242" i="2"/>
  <c r="R242" i="2"/>
  <c r="S242" i="2"/>
  <c r="T242" i="2"/>
  <c r="U242" i="2"/>
  <c r="P243" i="2"/>
  <c r="Q243" i="2"/>
  <c r="R243" i="2"/>
  <c r="S243" i="2"/>
  <c r="T243" i="2"/>
  <c r="U243" i="2"/>
  <c r="P244" i="2"/>
  <c r="Q244" i="2"/>
  <c r="R244" i="2"/>
  <c r="S244" i="2"/>
  <c r="T244" i="2"/>
  <c r="U244" i="2"/>
  <c r="P245" i="2"/>
  <c r="Q245" i="2"/>
  <c r="R245" i="2"/>
  <c r="S245" i="2"/>
  <c r="T245" i="2"/>
  <c r="U245" i="2"/>
  <c r="P246" i="2"/>
  <c r="Q246" i="2"/>
  <c r="R246" i="2"/>
  <c r="S246" i="2"/>
  <c r="T246" i="2"/>
  <c r="U246" i="2"/>
  <c r="P247" i="2"/>
  <c r="Q247" i="2"/>
  <c r="R247" i="2"/>
  <c r="S247" i="2"/>
  <c r="T247" i="2"/>
  <c r="U247" i="2"/>
  <c r="P248" i="2"/>
  <c r="Q248" i="2"/>
  <c r="R248" i="2"/>
  <c r="S248" i="2"/>
  <c r="T248" i="2"/>
  <c r="U248" i="2"/>
  <c r="P249" i="2"/>
  <c r="Q249" i="2"/>
  <c r="R249" i="2"/>
  <c r="S249" i="2"/>
  <c r="T249" i="2"/>
  <c r="U249" i="2"/>
  <c r="P250" i="2"/>
  <c r="Q250" i="2"/>
  <c r="R250" i="2"/>
  <c r="S250" i="2"/>
  <c r="T250" i="2"/>
  <c r="U250" i="2"/>
  <c r="P251" i="2"/>
  <c r="Q251" i="2"/>
  <c r="R251" i="2"/>
  <c r="S251" i="2"/>
  <c r="T251" i="2"/>
  <c r="U251" i="2"/>
  <c r="P252" i="2"/>
  <c r="Q252" i="2"/>
  <c r="R252" i="2"/>
  <c r="S252" i="2"/>
  <c r="T252" i="2"/>
  <c r="U252" i="2"/>
  <c r="P253" i="2"/>
  <c r="Q253" i="2"/>
  <c r="R253" i="2"/>
  <c r="S253" i="2"/>
  <c r="T253" i="2"/>
  <c r="U253" i="2"/>
  <c r="P254" i="2"/>
  <c r="Q254" i="2"/>
  <c r="R254" i="2"/>
  <c r="S254" i="2"/>
  <c r="T254" i="2"/>
  <c r="U254" i="2"/>
  <c r="P255" i="2"/>
  <c r="Q255" i="2"/>
  <c r="R255" i="2"/>
  <c r="S255" i="2"/>
  <c r="T255" i="2"/>
  <c r="U255" i="2"/>
  <c r="P256" i="2"/>
  <c r="Q256" i="2"/>
  <c r="R256" i="2"/>
  <c r="S256" i="2"/>
  <c r="T256" i="2"/>
  <c r="U256" i="2"/>
  <c r="P257" i="2"/>
  <c r="Q257" i="2"/>
  <c r="R257" i="2"/>
  <c r="S257" i="2"/>
  <c r="T257" i="2"/>
  <c r="U257" i="2"/>
  <c r="P258" i="2"/>
  <c r="Q258" i="2"/>
  <c r="R258" i="2"/>
  <c r="S258" i="2"/>
  <c r="T258" i="2"/>
  <c r="U258" i="2"/>
  <c r="P259" i="2"/>
  <c r="Q259" i="2"/>
  <c r="R259" i="2"/>
  <c r="S259" i="2"/>
  <c r="T259" i="2"/>
  <c r="U259" i="2"/>
  <c r="P260" i="2"/>
  <c r="Q260" i="2"/>
  <c r="R260" i="2"/>
  <c r="S260" i="2"/>
  <c r="T260" i="2"/>
  <c r="U260" i="2"/>
  <c r="P261" i="2"/>
  <c r="Q261" i="2"/>
  <c r="R261" i="2"/>
  <c r="S261" i="2"/>
  <c r="T261" i="2"/>
  <c r="U261" i="2"/>
  <c r="P262" i="2"/>
  <c r="Q262" i="2"/>
  <c r="R262" i="2"/>
  <c r="S262" i="2"/>
  <c r="T262" i="2"/>
  <c r="U262" i="2"/>
  <c r="P263" i="2"/>
  <c r="Q263" i="2"/>
  <c r="R263" i="2"/>
  <c r="S263" i="2"/>
  <c r="T263" i="2"/>
  <c r="U263" i="2"/>
  <c r="P264" i="2"/>
  <c r="Q264" i="2"/>
  <c r="R264" i="2"/>
  <c r="S264" i="2"/>
  <c r="T264" i="2"/>
  <c r="U264" i="2"/>
  <c r="P265" i="2"/>
  <c r="Q265" i="2"/>
  <c r="R265" i="2"/>
  <c r="S265" i="2"/>
  <c r="T265" i="2"/>
  <c r="U265" i="2"/>
  <c r="P266" i="2"/>
  <c r="Q266" i="2"/>
  <c r="R266" i="2"/>
  <c r="S266" i="2"/>
  <c r="T266" i="2"/>
  <c r="U266" i="2"/>
  <c r="P267" i="2"/>
  <c r="Q267" i="2"/>
  <c r="R267" i="2"/>
  <c r="S267" i="2"/>
  <c r="T267" i="2"/>
  <c r="U267" i="2"/>
  <c r="P268" i="2"/>
  <c r="Q268" i="2"/>
  <c r="R268" i="2"/>
  <c r="S268" i="2"/>
  <c r="T268" i="2"/>
  <c r="U268" i="2"/>
  <c r="P269" i="2"/>
  <c r="Q269" i="2"/>
  <c r="R269" i="2"/>
  <c r="S269" i="2"/>
  <c r="T269" i="2"/>
  <c r="U269" i="2"/>
  <c r="P270" i="2"/>
  <c r="Q270" i="2"/>
  <c r="R270" i="2"/>
  <c r="S270" i="2"/>
  <c r="T270" i="2"/>
  <c r="U270" i="2"/>
  <c r="P271" i="2"/>
  <c r="Q271" i="2"/>
  <c r="R271" i="2"/>
  <c r="S271" i="2"/>
  <c r="T271" i="2"/>
  <c r="U271" i="2"/>
  <c r="P272" i="2"/>
  <c r="Q272" i="2"/>
  <c r="R272" i="2"/>
  <c r="S272" i="2"/>
  <c r="T272" i="2"/>
  <c r="U272" i="2"/>
  <c r="P273" i="2"/>
  <c r="Q273" i="2"/>
  <c r="R273" i="2"/>
  <c r="S273" i="2"/>
  <c r="T273" i="2"/>
  <c r="U273" i="2"/>
  <c r="P274" i="2"/>
  <c r="Q274" i="2"/>
  <c r="R274" i="2"/>
  <c r="S274" i="2"/>
  <c r="T274" i="2"/>
  <c r="U274" i="2"/>
  <c r="P275" i="2"/>
  <c r="Q275" i="2"/>
  <c r="R275" i="2"/>
  <c r="S275" i="2"/>
  <c r="T275" i="2"/>
  <c r="U275" i="2"/>
  <c r="P276" i="2"/>
  <c r="Q276" i="2"/>
  <c r="R276" i="2"/>
  <c r="S276" i="2"/>
  <c r="T276" i="2"/>
  <c r="U276" i="2"/>
  <c r="P277" i="2"/>
  <c r="Q277" i="2"/>
  <c r="R277" i="2"/>
  <c r="S277" i="2"/>
  <c r="T277" i="2"/>
  <c r="U277" i="2"/>
  <c r="P278" i="2"/>
  <c r="Q278" i="2"/>
  <c r="R278" i="2"/>
  <c r="S278" i="2"/>
  <c r="T278" i="2"/>
  <c r="U278" i="2"/>
  <c r="P279" i="2"/>
  <c r="Q279" i="2"/>
  <c r="R279" i="2"/>
  <c r="S279" i="2"/>
  <c r="T279" i="2"/>
  <c r="U279" i="2"/>
  <c r="P280" i="2"/>
  <c r="Q280" i="2"/>
  <c r="R280" i="2"/>
  <c r="S280" i="2"/>
  <c r="T280" i="2"/>
  <c r="U280" i="2"/>
  <c r="P281" i="2"/>
  <c r="Q281" i="2"/>
  <c r="R281" i="2"/>
  <c r="S281" i="2"/>
  <c r="T281" i="2"/>
  <c r="U281" i="2"/>
  <c r="P282" i="2"/>
  <c r="Q282" i="2"/>
  <c r="R282" i="2"/>
  <c r="S282" i="2"/>
  <c r="T282" i="2"/>
  <c r="U282" i="2"/>
  <c r="P283" i="2"/>
  <c r="Q283" i="2"/>
  <c r="R283" i="2"/>
  <c r="S283" i="2"/>
  <c r="T283" i="2"/>
  <c r="U283" i="2"/>
  <c r="P284" i="2"/>
  <c r="Q284" i="2"/>
  <c r="R284" i="2"/>
  <c r="S284" i="2"/>
  <c r="T284" i="2"/>
  <c r="U284" i="2"/>
  <c r="P285" i="2"/>
  <c r="Q285" i="2"/>
  <c r="R285" i="2"/>
  <c r="S285" i="2"/>
  <c r="T285" i="2"/>
  <c r="U285" i="2"/>
  <c r="P286" i="2"/>
  <c r="Q286" i="2"/>
  <c r="R286" i="2"/>
  <c r="S286" i="2"/>
  <c r="T286" i="2"/>
  <c r="U286" i="2"/>
  <c r="P287" i="2"/>
  <c r="Q287" i="2"/>
  <c r="R287" i="2"/>
  <c r="S287" i="2"/>
  <c r="T287" i="2"/>
  <c r="U287" i="2"/>
  <c r="P288" i="2"/>
  <c r="Q288" i="2"/>
  <c r="R288" i="2"/>
  <c r="S288" i="2"/>
  <c r="T288" i="2"/>
  <c r="U288" i="2"/>
  <c r="P289" i="2"/>
  <c r="Q289" i="2"/>
  <c r="R289" i="2"/>
  <c r="S289" i="2"/>
  <c r="T289" i="2"/>
  <c r="U289" i="2"/>
  <c r="P290" i="2"/>
  <c r="Q290" i="2"/>
  <c r="R290" i="2"/>
  <c r="S290" i="2"/>
  <c r="T290" i="2"/>
  <c r="U290" i="2"/>
  <c r="P291" i="2"/>
  <c r="Q291" i="2"/>
  <c r="R291" i="2"/>
  <c r="S291" i="2"/>
  <c r="T291" i="2"/>
  <c r="U291" i="2"/>
  <c r="P292" i="2"/>
  <c r="Q292" i="2"/>
  <c r="R292" i="2"/>
  <c r="S292" i="2"/>
  <c r="T292" i="2"/>
  <c r="U292" i="2"/>
  <c r="P293" i="2"/>
  <c r="Q293" i="2"/>
  <c r="R293" i="2"/>
  <c r="S293" i="2"/>
  <c r="T293" i="2"/>
  <c r="U293" i="2"/>
  <c r="P294" i="2"/>
  <c r="Q294" i="2"/>
  <c r="R294" i="2"/>
  <c r="S294" i="2"/>
  <c r="T294" i="2"/>
  <c r="U294" i="2"/>
  <c r="P295" i="2"/>
  <c r="Q295" i="2"/>
  <c r="R295" i="2"/>
  <c r="S295" i="2"/>
  <c r="T295" i="2"/>
  <c r="U295" i="2"/>
  <c r="P296" i="2"/>
  <c r="Q296" i="2"/>
  <c r="R296" i="2"/>
  <c r="S296" i="2"/>
  <c r="T296" i="2"/>
  <c r="U296" i="2"/>
  <c r="P297" i="2"/>
  <c r="Q297" i="2"/>
  <c r="R297" i="2"/>
  <c r="S297" i="2"/>
  <c r="T297" i="2"/>
  <c r="U297" i="2"/>
  <c r="P298" i="2"/>
  <c r="Q298" i="2"/>
  <c r="R298" i="2"/>
  <c r="S298" i="2"/>
  <c r="T298" i="2"/>
  <c r="U298" i="2"/>
  <c r="P299" i="2"/>
  <c r="Q299" i="2"/>
  <c r="R299" i="2"/>
  <c r="S299" i="2"/>
  <c r="T299" i="2"/>
  <c r="U299" i="2"/>
  <c r="P300" i="2"/>
  <c r="Q300" i="2"/>
  <c r="R300" i="2"/>
  <c r="S300" i="2"/>
  <c r="T300" i="2"/>
  <c r="U300" i="2"/>
  <c r="P301" i="2"/>
  <c r="Q301" i="2"/>
  <c r="R301" i="2"/>
  <c r="S301" i="2"/>
  <c r="T301" i="2"/>
  <c r="U301" i="2"/>
  <c r="P302" i="2"/>
  <c r="Q302" i="2"/>
  <c r="R302" i="2"/>
  <c r="S302" i="2"/>
  <c r="T302" i="2"/>
  <c r="U302" i="2"/>
  <c r="P303" i="2"/>
  <c r="Q303" i="2"/>
  <c r="R303" i="2"/>
  <c r="S303" i="2"/>
  <c r="T303" i="2"/>
  <c r="U303" i="2"/>
  <c r="P304" i="2"/>
  <c r="Q304" i="2"/>
  <c r="R304" i="2"/>
  <c r="S304" i="2"/>
  <c r="T304" i="2"/>
  <c r="U304" i="2"/>
  <c r="P305" i="2"/>
  <c r="Q305" i="2"/>
  <c r="R305" i="2"/>
  <c r="S305" i="2"/>
  <c r="T305" i="2"/>
  <c r="U305" i="2"/>
  <c r="P306" i="2"/>
  <c r="Q306" i="2"/>
  <c r="R306" i="2"/>
  <c r="S306" i="2"/>
  <c r="T306" i="2"/>
  <c r="U306" i="2"/>
  <c r="P307" i="2"/>
  <c r="Q307" i="2"/>
  <c r="R307" i="2"/>
  <c r="S307" i="2"/>
  <c r="T307" i="2"/>
  <c r="U307" i="2"/>
  <c r="P308" i="2"/>
  <c r="Q308" i="2"/>
  <c r="R308" i="2"/>
  <c r="S308" i="2"/>
  <c r="T308" i="2"/>
  <c r="U308" i="2"/>
  <c r="P309" i="2"/>
  <c r="Q309" i="2"/>
  <c r="R309" i="2"/>
  <c r="S309" i="2"/>
  <c r="T309" i="2"/>
  <c r="U309" i="2"/>
  <c r="P310" i="2"/>
  <c r="Q310" i="2"/>
  <c r="R310" i="2"/>
  <c r="S310" i="2"/>
  <c r="T310" i="2"/>
  <c r="U310" i="2"/>
  <c r="P311" i="2"/>
  <c r="Q311" i="2"/>
  <c r="R311" i="2"/>
  <c r="S311" i="2"/>
  <c r="T311" i="2"/>
  <c r="U311" i="2"/>
  <c r="P312" i="2"/>
  <c r="Q312" i="2"/>
  <c r="R312" i="2"/>
  <c r="S312" i="2"/>
  <c r="T312" i="2"/>
  <c r="U312" i="2"/>
  <c r="P313" i="2"/>
  <c r="Q313" i="2"/>
  <c r="R313" i="2"/>
  <c r="S313" i="2"/>
  <c r="T313" i="2"/>
  <c r="U313" i="2"/>
  <c r="P314" i="2"/>
  <c r="Q314" i="2"/>
  <c r="R314" i="2"/>
  <c r="S314" i="2"/>
  <c r="T314" i="2"/>
  <c r="U314" i="2"/>
  <c r="P315" i="2"/>
  <c r="Q315" i="2"/>
  <c r="R315" i="2"/>
  <c r="S315" i="2"/>
  <c r="T315" i="2"/>
  <c r="U315" i="2"/>
  <c r="P316" i="2"/>
  <c r="Q316" i="2"/>
  <c r="R316" i="2"/>
  <c r="S316" i="2"/>
  <c r="T316" i="2"/>
  <c r="U316" i="2"/>
  <c r="P317" i="2"/>
  <c r="Q317" i="2"/>
  <c r="R317" i="2"/>
  <c r="S317" i="2"/>
  <c r="T317" i="2"/>
  <c r="U317" i="2"/>
  <c r="P318" i="2"/>
  <c r="Q318" i="2"/>
  <c r="R318" i="2"/>
  <c r="S318" i="2"/>
  <c r="T318" i="2"/>
  <c r="U318" i="2"/>
  <c r="P319" i="2"/>
  <c r="Q319" i="2"/>
  <c r="R319" i="2"/>
  <c r="S319" i="2"/>
  <c r="T319" i="2"/>
  <c r="U319" i="2"/>
  <c r="P320" i="2"/>
  <c r="Q320" i="2"/>
  <c r="R320" i="2"/>
  <c r="S320" i="2"/>
  <c r="T320" i="2"/>
  <c r="U320" i="2"/>
  <c r="P321" i="2"/>
  <c r="Q321" i="2"/>
  <c r="R321" i="2"/>
  <c r="S321" i="2"/>
  <c r="T321" i="2"/>
  <c r="U321" i="2"/>
  <c r="P322" i="2"/>
  <c r="Q322" i="2"/>
  <c r="R322" i="2"/>
  <c r="S322" i="2"/>
  <c r="T322" i="2"/>
  <c r="U322" i="2"/>
  <c r="P323" i="2"/>
  <c r="Q323" i="2"/>
  <c r="R323" i="2"/>
  <c r="S323" i="2"/>
  <c r="T323" i="2"/>
  <c r="U323" i="2"/>
  <c r="P324" i="2"/>
  <c r="Q324" i="2"/>
  <c r="R324" i="2"/>
  <c r="S324" i="2"/>
  <c r="T324" i="2"/>
  <c r="U324" i="2"/>
  <c r="P325" i="2"/>
  <c r="Q325" i="2"/>
  <c r="R325" i="2"/>
  <c r="S325" i="2"/>
  <c r="T325" i="2"/>
  <c r="U325" i="2"/>
  <c r="P326" i="2"/>
  <c r="Q326" i="2"/>
  <c r="R326" i="2"/>
  <c r="S326" i="2"/>
  <c r="T326" i="2"/>
  <c r="U326" i="2"/>
  <c r="P327" i="2"/>
  <c r="Q327" i="2"/>
  <c r="R327" i="2"/>
  <c r="S327" i="2"/>
  <c r="T327" i="2"/>
  <c r="U327" i="2"/>
  <c r="P328" i="2"/>
  <c r="Q328" i="2"/>
  <c r="R328" i="2"/>
  <c r="S328" i="2"/>
  <c r="T328" i="2"/>
  <c r="U328" i="2"/>
  <c r="P329" i="2"/>
  <c r="Q329" i="2"/>
  <c r="R329" i="2"/>
  <c r="S329" i="2"/>
  <c r="T329" i="2"/>
  <c r="U329" i="2"/>
  <c r="P330" i="2"/>
  <c r="Q330" i="2"/>
  <c r="R330" i="2"/>
  <c r="S330" i="2"/>
  <c r="T330" i="2"/>
  <c r="U330" i="2"/>
  <c r="P331" i="2"/>
  <c r="Q331" i="2"/>
  <c r="R331" i="2"/>
  <c r="S331" i="2"/>
  <c r="T331" i="2"/>
  <c r="U331" i="2"/>
  <c r="P332" i="2"/>
  <c r="Q332" i="2"/>
  <c r="R332" i="2"/>
  <c r="S332" i="2"/>
  <c r="T332" i="2"/>
  <c r="U332" i="2"/>
  <c r="P333" i="2"/>
  <c r="Q333" i="2"/>
  <c r="R333" i="2"/>
  <c r="S333" i="2"/>
  <c r="T333" i="2"/>
  <c r="U333" i="2"/>
  <c r="P334" i="2"/>
  <c r="Q334" i="2"/>
  <c r="R334" i="2"/>
  <c r="S334" i="2"/>
  <c r="T334" i="2"/>
  <c r="U334" i="2"/>
  <c r="P335" i="2"/>
  <c r="Q335" i="2"/>
  <c r="R335" i="2"/>
  <c r="S335" i="2"/>
  <c r="T335" i="2"/>
  <c r="U335" i="2"/>
  <c r="P336" i="2"/>
  <c r="Q336" i="2"/>
  <c r="R336" i="2"/>
  <c r="S336" i="2"/>
  <c r="T336" i="2"/>
  <c r="U336" i="2"/>
  <c r="P337" i="2"/>
  <c r="Q337" i="2"/>
  <c r="R337" i="2"/>
  <c r="S337" i="2"/>
  <c r="T337" i="2"/>
  <c r="U337" i="2"/>
  <c r="P338" i="2"/>
  <c r="Q338" i="2"/>
  <c r="R338" i="2"/>
  <c r="S338" i="2"/>
  <c r="T338" i="2"/>
  <c r="U338" i="2"/>
  <c r="P339" i="2"/>
  <c r="Q339" i="2"/>
  <c r="R339" i="2"/>
  <c r="S339" i="2"/>
  <c r="T339" i="2"/>
  <c r="U339" i="2"/>
  <c r="P340" i="2"/>
  <c r="Q340" i="2"/>
  <c r="R340" i="2"/>
  <c r="S340" i="2"/>
  <c r="T340" i="2"/>
  <c r="U340" i="2"/>
  <c r="P341" i="2"/>
  <c r="Q341" i="2"/>
  <c r="R341" i="2"/>
  <c r="S341" i="2"/>
  <c r="T341" i="2"/>
  <c r="U341" i="2"/>
  <c r="P342" i="2"/>
  <c r="Q342" i="2"/>
  <c r="R342" i="2"/>
  <c r="S342" i="2"/>
  <c r="T342" i="2"/>
  <c r="U342" i="2"/>
  <c r="P343" i="2"/>
  <c r="Q343" i="2"/>
  <c r="R343" i="2"/>
  <c r="S343" i="2"/>
  <c r="T343" i="2"/>
  <c r="U343" i="2"/>
  <c r="P344" i="2"/>
  <c r="Q344" i="2"/>
  <c r="R344" i="2"/>
  <c r="S344" i="2"/>
  <c r="T344" i="2"/>
  <c r="U344" i="2"/>
  <c r="P345" i="2"/>
  <c r="Q345" i="2"/>
  <c r="R345" i="2"/>
  <c r="S345" i="2"/>
  <c r="T345" i="2"/>
  <c r="U345" i="2"/>
  <c r="P346" i="2"/>
  <c r="Q346" i="2"/>
  <c r="R346" i="2"/>
  <c r="S346" i="2"/>
  <c r="T346" i="2"/>
  <c r="U346" i="2"/>
  <c r="P347" i="2"/>
  <c r="Q347" i="2"/>
  <c r="R347" i="2"/>
  <c r="S347" i="2"/>
  <c r="T347" i="2"/>
  <c r="U347" i="2"/>
  <c r="P348" i="2"/>
  <c r="Q348" i="2"/>
  <c r="R348" i="2"/>
  <c r="S348" i="2"/>
  <c r="T348" i="2"/>
  <c r="U348" i="2"/>
  <c r="P349" i="2"/>
  <c r="Q349" i="2"/>
  <c r="R349" i="2"/>
  <c r="S349" i="2"/>
  <c r="T349" i="2"/>
  <c r="U349" i="2"/>
  <c r="P350" i="2"/>
  <c r="Q350" i="2"/>
  <c r="R350" i="2"/>
  <c r="S350" i="2"/>
  <c r="T350" i="2"/>
  <c r="U350" i="2"/>
  <c r="P351" i="2"/>
  <c r="Q351" i="2"/>
  <c r="R351" i="2"/>
  <c r="S351" i="2"/>
  <c r="T351" i="2"/>
  <c r="U351" i="2"/>
  <c r="P352" i="2"/>
  <c r="Q352" i="2"/>
  <c r="R352" i="2"/>
  <c r="S352" i="2"/>
  <c r="T352" i="2"/>
  <c r="U352" i="2"/>
  <c r="P353" i="2"/>
  <c r="Q353" i="2"/>
  <c r="R353" i="2"/>
  <c r="S353" i="2"/>
  <c r="T353" i="2"/>
  <c r="U353" i="2"/>
  <c r="P354" i="2"/>
  <c r="Q354" i="2"/>
  <c r="R354" i="2"/>
  <c r="S354" i="2"/>
  <c r="T354" i="2"/>
  <c r="U354" i="2"/>
  <c r="P355" i="2"/>
  <c r="Q355" i="2"/>
  <c r="R355" i="2"/>
  <c r="S355" i="2"/>
  <c r="T355" i="2"/>
  <c r="U355" i="2"/>
  <c r="P356" i="2"/>
  <c r="Q356" i="2"/>
  <c r="R356" i="2"/>
  <c r="S356" i="2"/>
  <c r="T356" i="2"/>
  <c r="U356" i="2"/>
  <c r="P357" i="2"/>
  <c r="Q357" i="2"/>
  <c r="R357" i="2"/>
  <c r="S357" i="2"/>
  <c r="T357" i="2"/>
  <c r="U357" i="2"/>
  <c r="P358" i="2"/>
  <c r="Q358" i="2"/>
  <c r="R358" i="2"/>
  <c r="S358" i="2"/>
  <c r="T358" i="2"/>
  <c r="U358" i="2"/>
  <c r="P359" i="2"/>
  <c r="Q359" i="2"/>
  <c r="R359" i="2"/>
  <c r="S359" i="2"/>
  <c r="T359" i="2"/>
  <c r="U359" i="2"/>
  <c r="P360" i="2"/>
  <c r="Q360" i="2"/>
  <c r="R360" i="2"/>
  <c r="S360" i="2"/>
  <c r="T360" i="2"/>
  <c r="U360" i="2"/>
  <c r="P361" i="2"/>
  <c r="Q361" i="2"/>
  <c r="R361" i="2"/>
  <c r="S361" i="2"/>
  <c r="T361" i="2"/>
  <c r="U361" i="2"/>
  <c r="P362" i="2"/>
  <c r="Q362" i="2"/>
  <c r="R362" i="2"/>
  <c r="S362" i="2"/>
  <c r="T362" i="2"/>
  <c r="U362" i="2"/>
  <c r="P363" i="2"/>
  <c r="Q363" i="2"/>
  <c r="R363" i="2"/>
  <c r="S363" i="2"/>
  <c r="T363" i="2"/>
  <c r="U363" i="2"/>
  <c r="P364" i="2"/>
  <c r="Q364" i="2"/>
  <c r="R364" i="2"/>
  <c r="S364" i="2"/>
  <c r="T364" i="2"/>
  <c r="U364" i="2"/>
  <c r="P365" i="2"/>
  <c r="Q365" i="2"/>
  <c r="R365" i="2"/>
  <c r="S365" i="2"/>
  <c r="T365" i="2"/>
  <c r="U365" i="2"/>
  <c r="P366" i="2"/>
  <c r="Q366" i="2"/>
  <c r="R366" i="2"/>
  <c r="S366" i="2"/>
  <c r="T366" i="2"/>
  <c r="U366" i="2"/>
  <c r="P367" i="2"/>
  <c r="Q367" i="2"/>
  <c r="R367" i="2"/>
  <c r="S367" i="2"/>
  <c r="T367" i="2"/>
  <c r="U367" i="2"/>
  <c r="P368" i="2"/>
  <c r="Q368" i="2"/>
  <c r="R368" i="2"/>
  <c r="S368" i="2"/>
  <c r="T368" i="2"/>
  <c r="U368" i="2"/>
  <c r="P369" i="2"/>
  <c r="Q369" i="2"/>
  <c r="R369" i="2"/>
  <c r="S369" i="2"/>
  <c r="T369" i="2"/>
  <c r="U369" i="2"/>
  <c r="P370" i="2"/>
  <c r="Q370" i="2"/>
  <c r="R370" i="2"/>
  <c r="S370" i="2"/>
  <c r="T370" i="2"/>
  <c r="U370" i="2"/>
  <c r="P371" i="2"/>
  <c r="Q371" i="2"/>
  <c r="R371" i="2"/>
  <c r="S371" i="2"/>
  <c r="T371" i="2"/>
  <c r="U371" i="2"/>
  <c r="P372" i="2"/>
  <c r="Q372" i="2"/>
  <c r="R372" i="2"/>
  <c r="S372" i="2"/>
  <c r="T372" i="2"/>
  <c r="U372" i="2"/>
  <c r="P373" i="2"/>
  <c r="Q373" i="2"/>
  <c r="R373" i="2"/>
  <c r="S373" i="2"/>
  <c r="T373" i="2"/>
  <c r="U373" i="2"/>
  <c r="P374" i="2"/>
  <c r="Q374" i="2"/>
  <c r="R374" i="2"/>
  <c r="S374" i="2"/>
  <c r="T374" i="2"/>
  <c r="U374" i="2"/>
  <c r="P375" i="2"/>
  <c r="Q375" i="2"/>
  <c r="R375" i="2"/>
  <c r="S375" i="2"/>
  <c r="T375" i="2"/>
  <c r="U375" i="2"/>
  <c r="P376" i="2"/>
  <c r="Q376" i="2"/>
  <c r="R376" i="2"/>
  <c r="S376" i="2"/>
  <c r="T376" i="2"/>
  <c r="U376" i="2"/>
  <c r="P377" i="2"/>
  <c r="Q377" i="2"/>
  <c r="R377" i="2"/>
  <c r="S377" i="2"/>
  <c r="T377" i="2"/>
  <c r="U377" i="2"/>
  <c r="P378" i="2"/>
  <c r="Q378" i="2"/>
  <c r="R378" i="2"/>
  <c r="S378" i="2"/>
  <c r="T378" i="2"/>
  <c r="U378" i="2"/>
  <c r="P379" i="2"/>
  <c r="Q379" i="2"/>
  <c r="R379" i="2"/>
  <c r="S379" i="2"/>
  <c r="T379" i="2"/>
  <c r="U379" i="2"/>
  <c r="P380" i="2"/>
  <c r="Q380" i="2"/>
  <c r="R380" i="2"/>
  <c r="S380" i="2"/>
  <c r="T380" i="2"/>
  <c r="U380" i="2"/>
  <c r="P381" i="2"/>
  <c r="Q381" i="2"/>
  <c r="R381" i="2"/>
  <c r="S381" i="2"/>
  <c r="T381" i="2"/>
  <c r="U381" i="2"/>
  <c r="P382" i="2"/>
  <c r="Q382" i="2"/>
  <c r="R382" i="2"/>
  <c r="S382" i="2"/>
  <c r="T382" i="2"/>
  <c r="U382" i="2"/>
  <c r="P383" i="2"/>
  <c r="Q383" i="2"/>
  <c r="R383" i="2"/>
  <c r="S383" i="2"/>
  <c r="T383" i="2"/>
  <c r="U383" i="2"/>
  <c r="P384" i="2"/>
  <c r="Q384" i="2"/>
  <c r="R384" i="2"/>
  <c r="S384" i="2"/>
  <c r="T384" i="2"/>
  <c r="U384" i="2"/>
  <c r="P385" i="2"/>
  <c r="Q385" i="2"/>
  <c r="R385" i="2"/>
  <c r="S385" i="2"/>
  <c r="T385" i="2"/>
  <c r="U385" i="2"/>
  <c r="P386" i="2"/>
  <c r="Q386" i="2"/>
  <c r="R386" i="2"/>
  <c r="S386" i="2"/>
  <c r="T386" i="2"/>
  <c r="U386" i="2"/>
  <c r="P387" i="2"/>
  <c r="Q387" i="2"/>
  <c r="R387" i="2"/>
  <c r="S387" i="2"/>
  <c r="T387" i="2"/>
  <c r="U387" i="2"/>
  <c r="P388" i="2"/>
  <c r="Q388" i="2"/>
  <c r="R388" i="2"/>
  <c r="S388" i="2"/>
  <c r="T388" i="2"/>
  <c r="U388" i="2"/>
  <c r="P389" i="2"/>
  <c r="Q389" i="2"/>
  <c r="R389" i="2"/>
  <c r="S389" i="2"/>
  <c r="T389" i="2"/>
  <c r="U389" i="2"/>
  <c r="P390" i="2"/>
  <c r="Q390" i="2"/>
  <c r="R390" i="2"/>
  <c r="S390" i="2"/>
  <c r="T390" i="2"/>
  <c r="U390" i="2"/>
  <c r="P391" i="2"/>
  <c r="Q391" i="2"/>
  <c r="R391" i="2"/>
  <c r="S391" i="2"/>
  <c r="T391" i="2"/>
  <c r="U391" i="2"/>
  <c r="P392" i="2"/>
  <c r="Q392" i="2"/>
  <c r="R392" i="2"/>
  <c r="S392" i="2"/>
  <c r="T392" i="2"/>
  <c r="U392" i="2"/>
  <c r="P393" i="2"/>
  <c r="Q393" i="2"/>
  <c r="R393" i="2"/>
  <c r="S393" i="2"/>
  <c r="T393" i="2"/>
  <c r="U393" i="2"/>
  <c r="P394" i="2"/>
  <c r="Q394" i="2"/>
  <c r="R394" i="2"/>
  <c r="S394" i="2"/>
  <c r="T394" i="2"/>
  <c r="U394" i="2"/>
  <c r="P395" i="2"/>
  <c r="Q395" i="2"/>
  <c r="R395" i="2"/>
  <c r="S395" i="2"/>
  <c r="T395" i="2"/>
  <c r="U395" i="2"/>
  <c r="P396" i="2"/>
  <c r="Q396" i="2"/>
  <c r="R396" i="2"/>
  <c r="S396" i="2"/>
  <c r="T396" i="2"/>
  <c r="U396" i="2"/>
  <c r="P397" i="2"/>
  <c r="Q397" i="2"/>
  <c r="R397" i="2"/>
  <c r="S397" i="2"/>
  <c r="T397" i="2"/>
  <c r="U397" i="2"/>
  <c r="P398" i="2"/>
  <c r="Q398" i="2"/>
  <c r="R398" i="2"/>
  <c r="S398" i="2"/>
  <c r="T398" i="2"/>
  <c r="U398" i="2"/>
  <c r="P399" i="2"/>
  <c r="Q399" i="2"/>
  <c r="R399" i="2"/>
  <c r="S399" i="2"/>
  <c r="T399" i="2"/>
  <c r="U399" i="2"/>
  <c r="P400" i="2"/>
  <c r="Q400" i="2"/>
  <c r="R400" i="2"/>
  <c r="S400" i="2"/>
  <c r="T400" i="2"/>
  <c r="U400" i="2"/>
  <c r="P401" i="2"/>
  <c r="Q401" i="2"/>
  <c r="R401" i="2"/>
  <c r="S401" i="2"/>
  <c r="T401" i="2"/>
  <c r="U401" i="2"/>
  <c r="P402" i="2"/>
  <c r="Q402" i="2"/>
  <c r="R402" i="2"/>
  <c r="S402" i="2"/>
  <c r="T402" i="2"/>
  <c r="U402" i="2"/>
  <c r="P403" i="2"/>
  <c r="Q403" i="2"/>
  <c r="R403" i="2"/>
  <c r="S403" i="2"/>
  <c r="T403" i="2"/>
  <c r="U403" i="2"/>
  <c r="P404" i="2"/>
  <c r="Q404" i="2"/>
  <c r="R404" i="2"/>
  <c r="S404" i="2"/>
  <c r="T404" i="2"/>
  <c r="U404" i="2"/>
  <c r="P405" i="2"/>
  <c r="Q405" i="2"/>
  <c r="R405" i="2"/>
  <c r="S405" i="2"/>
  <c r="T405" i="2"/>
  <c r="U405" i="2"/>
  <c r="P406" i="2"/>
  <c r="Q406" i="2"/>
  <c r="R406" i="2"/>
  <c r="S406" i="2"/>
  <c r="T406" i="2"/>
  <c r="U406" i="2"/>
  <c r="P407" i="2"/>
  <c r="Q407" i="2"/>
  <c r="R407" i="2"/>
  <c r="S407" i="2"/>
  <c r="T407" i="2"/>
  <c r="U407" i="2"/>
  <c r="P408" i="2"/>
  <c r="Q408" i="2"/>
  <c r="R408" i="2"/>
  <c r="S408" i="2"/>
  <c r="T408" i="2"/>
  <c r="U408" i="2"/>
  <c r="P409" i="2"/>
  <c r="Q409" i="2"/>
  <c r="R409" i="2"/>
  <c r="S409" i="2"/>
  <c r="T409" i="2"/>
  <c r="U409" i="2"/>
  <c r="P410" i="2"/>
  <c r="Q410" i="2"/>
  <c r="R410" i="2"/>
  <c r="S410" i="2"/>
  <c r="T410" i="2"/>
  <c r="U410" i="2"/>
  <c r="P411" i="2"/>
  <c r="Q411" i="2"/>
  <c r="R411" i="2"/>
  <c r="S411" i="2"/>
  <c r="T411" i="2"/>
  <c r="U411" i="2"/>
  <c r="P412" i="2"/>
  <c r="Q412" i="2"/>
  <c r="R412" i="2"/>
  <c r="S412" i="2"/>
  <c r="T412" i="2"/>
  <c r="U412" i="2"/>
  <c r="P413" i="2"/>
  <c r="Q413" i="2"/>
  <c r="R413" i="2"/>
  <c r="S413" i="2"/>
  <c r="T413" i="2"/>
  <c r="U413" i="2"/>
  <c r="P414" i="2"/>
  <c r="Q414" i="2"/>
  <c r="R414" i="2"/>
  <c r="S414" i="2"/>
  <c r="T414" i="2"/>
  <c r="U414" i="2"/>
  <c r="P415" i="2"/>
  <c r="Q415" i="2"/>
  <c r="R415" i="2"/>
  <c r="S415" i="2"/>
  <c r="T415" i="2"/>
  <c r="U415" i="2"/>
  <c r="P416" i="2"/>
  <c r="Q416" i="2"/>
  <c r="R416" i="2"/>
  <c r="S416" i="2"/>
  <c r="T416" i="2"/>
  <c r="U416" i="2"/>
  <c r="P417" i="2"/>
  <c r="Q417" i="2"/>
  <c r="R417" i="2"/>
  <c r="S417" i="2"/>
  <c r="T417" i="2"/>
  <c r="U417" i="2"/>
  <c r="P418" i="2"/>
  <c r="Q418" i="2"/>
  <c r="R418" i="2"/>
  <c r="S418" i="2"/>
  <c r="T418" i="2"/>
  <c r="U418" i="2"/>
  <c r="P419" i="2"/>
  <c r="Q419" i="2"/>
  <c r="R419" i="2"/>
  <c r="S419" i="2"/>
  <c r="T419" i="2"/>
  <c r="U419" i="2"/>
  <c r="P420" i="2"/>
  <c r="Q420" i="2"/>
  <c r="R420" i="2"/>
  <c r="S420" i="2"/>
  <c r="T420" i="2"/>
  <c r="U420" i="2"/>
  <c r="P421" i="2"/>
  <c r="Q421" i="2"/>
  <c r="R421" i="2"/>
  <c r="S421" i="2"/>
  <c r="T421" i="2"/>
  <c r="U421" i="2"/>
  <c r="P422" i="2"/>
  <c r="Q422" i="2"/>
  <c r="R422" i="2"/>
  <c r="S422" i="2"/>
  <c r="T422" i="2"/>
  <c r="U422" i="2"/>
  <c r="P423" i="2"/>
  <c r="Q423" i="2"/>
  <c r="R423" i="2"/>
  <c r="S423" i="2"/>
  <c r="T423" i="2"/>
  <c r="U423" i="2"/>
  <c r="P424" i="2"/>
  <c r="Q424" i="2"/>
  <c r="R424" i="2"/>
  <c r="S424" i="2"/>
  <c r="T424" i="2"/>
  <c r="U424" i="2"/>
  <c r="P425" i="2"/>
  <c r="Q425" i="2"/>
  <c r="R425" i="2"/>
  <c r="S425" i="2"/>
  <c r="T425" i="2"/>
  <c r="U425" i="2"/>
  <c r="P426" i="2"/>
  <c r="Q426" i="2"/>
  <c r="R426" i="2"/>
  <c r="S426" i="2"/>
  <c r="T426" i="2"/>
  <c r="U426" i="2"/>
  <c r="P427" i="2"/>
  <c r="Q427" i="2"/>
  <c r="R427" i="2"/>
  <c r="S427" i="2"/>
  <c r="T427" i="2"/>
  <c r="U427" i="2"/>
  <c r="P428" i="2"/>
  <c r="Q428" i="2"/>
  <c r="R428" i="2"/>
  <c r="S428" i="2"/>
  <c r="T428" i="2"/>
  <c r="U428" i="2"/>
  <c r="P429" i="2"/>
  <c r="Q429" i="2"/>
  <c r="R429" i="2"/>
  <c r="S429" i="2"/>
  <c r="T429" i="2"/>
  <c r="U429" i="2"/>
  <c r="P430" i="2"/>
  <c r="Q430" i="2"/>
  <c r="R430" i="2"/>
  <c r="S430" i="2"/>
  <c r="T430" i="2"/>
  <c r="U430" i="2"/>
  <c r="P431" i="2"/>
  <c r="Q431" i="2"/>
  <c r="R431" i="2"/>
  <c r="S431" i="2"/>
  <c r="T431" i="2"/>
  <c r="U431" i="2"/>
  <c r="P432" i="2"/>
  <c r="Q432" i="2"/>
  <c r="R432" i="2"/>
  <c r="S432" i="2"/>
  <c r="T432" i="2"/>
  <c r="U432" i="2"/>
  <c r="E2" i="2"/>
  <c r="F2" i="2"/>
  <c r="G2" i="2"/>
  <c r="H2" i="2"/>
  <c r="I2" i="2"/>
  <c r="J2" i="2"/>
  <c r="K2" i="2"/>
  <c r="L2" i="2"/>
  <c r="M2" i="2"/>
  <c r="N2" i="2"/>
  <c r="O2" i="2"/>
  <c r="E3" i="2"/>
  <c r="F3" i="2"/>
  <c r="G3" i="2"/>
  <c r="H3" i="2"/>
  <c r="I3" i="2"/>
  <c r="J3" i="2"/>
  <c r="K3" i="2"/>
  <c r="L3" i="2"/>
  <c r="M3" i="2"/>
  <c r="N3" i="2"/>
  <c r="O3" i="2"/>
  <c r="E4" i="2"/>
  <c r="F4" i="2"/>
  <c r="G4" i="2"/>
  <c r="H4" i="2"/>
  <c r="I4" i="2"/>
  <c r="J4" i="2"/>
  <c r="K4" i="2"/>
  <c r="L4" i="2"/>
  <c r="M4" i="2"/>
  <c r="N4" i="2"/>
  <c r="O4" i="2"/>
  <c r="E5" i="2"/>
  <c r="F5" i="2"/>
  <c r="G5" i="2"/>
  <c r="H5" i="2"/>
  <c r="I5" i="2"/>
  <c r="J5" i="2"/>
  <c r="K5" i="2"/>
  <c r="L5" i="2"/>
  <c r="M5" i="2"/>
  <c r="N5" i="2"/>
  <c r="O5" i="2"/>
  <c r="E6" i="2"/>
  <c r="F6" i="2"/>
  <c r="G6" i="2"/>
  <c r="H6" i="2"/>
  <c r="I6" i="2"/>
  <c r="J6" i="2"/>
  <c r="K6" i="2"/>
  <c r="L6" i="2"/>
  <c r="M6" i="2"/>
  <c r="N6" i="2"/>
  <c r="O6" i="2"/>
  <c r="E7" i="2"/>
  <c r="F7" i="2"/>
  <c r="G7" i="2"/>
  <c r="H7" i="2"/>
  <c r="I7" i="2"/>
  <c r="J7" i="2"/>
  <c r="K7" i="2"/>
  <c r="L7" i="2"/>
  <c r="M7" i="2"/>
  <c r="N7" i="2"/>
  <c r="O7" i="2"/>
  <c r="E8" i="2"/>
  <c r="F8" i="2"/>
  <c r="G8" i="2"/>
  <c r="H8" i="2"/>
  <c r="I8" i="2"/>
  <c r="J8" i="2"/>
  <c r="K8" i="2"/>
  <c r="L8" i="2"/>
  <c r="M8" i="2"/>
  <c r="N8" i="2"/>
  <c r="O8" i="2"/>
  <c r="E9" i="2"/>
  <c r="F9" i="2"/>
  <c r="G9" i="2"/>
  <c r="H9" i="2"/>
  <c r="I9" i="2"/>
  <c r="J9" i="2"/>
  <c r="K9" i="2"/>
  <c r="L9" i="2"/>
  <c r="M9" i="2"/>
  <c r="N9" i="2"/>
  <c r="O9" i="2"/>
  <c r="E10" i="2"/>
  <c r="F10" i="2"/>
  <c r="G10" i="2"/>
  <c r="H10" i="2"/>
  <c r="I10" i="2"/>
  <c r="J10" i="2"/>
  <c r="K10" i="2"/>
  <c r="L10" i="2"/>
  <c r="M10" i="2"/>
  <c r="N10" i="2"/>
  <c r="O10" i="2"/>
  <c r="E11" i="2"/>
  <c r="F11" i="2"/>
  <c r="G11" i="2"/>
  <c r="H11" i="2"/>
  <c r="I11" i="2"/>
  <c r="J11" i="2"/>
  <c r="K11" i="2"/>
  <c r="L11" i="2"/>
  <c r="M11" i="2"/>
  <c r="N11" i="2"/>
  <c r="O11" i="2"/>
  <c r="E12" i="2"/>
  <c r="F12" i="2"/>
  <c r="G12" i="2"/>
  <c r="H12" i="2"/>
  <c r="I12" i="2"/>
  <c r="J12" i="2"/>
  <c r="K12" i="2"/>
  <c r="L12" i="2"/>
  <c r="M12" i="2"/>
  <c r="N12" i="2"/>
  <c r="O12" i="2"/>
  <c r="E13" i="2"/>
  <c r="F13" i="2"/>
  <c r="G13" i="2"/>
  <c r="H13" i="2"/>
  <c r="I13" i="2"/>
  <c r="J13" i="2"/>
  <c r="K13" i="2"/>
  <c r="L13" i="2"/>
  <c r="M13" i="2"/>
  <c r="N13" i="2"/>
  <c r="O13" i="2"/>
  <c r="E14" i="2"/>
  <c r="F14" i="2"/>
  <c r="G14" i="2"/>
  <c r="H14" i="2"/>
  <c r="I14" i="2"/>
  <c r="J14" i="2"/>
  <c r="K14" i="2"/>
  <c r="L14" i="2"/>
  <c r="M14" i="2"/>
  <c r="N14" i="2"/>
  <c r="O14" i="2"/>
  <c r="E15" i="2"/>
  <c r="F15" i="2"/>
  <c r="G15" i="2"/>
  <c r="H15" i="2"/>
  <c r="I15" i="2"/>
  <c r="J15" i="2"/>
  <c r="K15" i="2"/>
  <c r="L15" i="2"/>
  <c r="M15" i="2"/>
  <c r="N15" i="2"/>
  <c r="O15" i="2"/>
  <c r="E16" i="2"/>
  <c r="F16" i="2"/>
  <c r="G16" i="2"/>
  <c r="H16" i="2"/>
  <c r="I16" i="2"/>
  <c r="J16" i="2"/>
  <c r="K16" i="2"/>
  <c r="L16" i="2"/>
  <c r="M16" i="2"/>
  <c r="N16" i="2"/>
  <c r="O16" i="2"/>
  <c r="E17" i="2"/>
  <c r="F17" i="2"/>
  <c r="G17" i="2"/>
  <c r="H17" i="2"/>
  <c r="I17" i="2"/>
  <c r="J17" i="2"/>
  <c r="K17" i="2"/>
  <c r="L17" i="2"/>
  <c r="M17" i="2"/>
  <c r="N17" i="2"/>
  <c r="O17" i="2"/>
  <c r="E18" i="2"/>
  <c r="F18" i="2"/>
  <c r="G18" i="2"/>
  <c r="H18" i="2"/>
  <c r="I18" i="2"/>
  <c r="J18" i="2"/>
  <c r="K18" i="2"/>
  <c r="L18" i="2"/>
  <c r="M18" i="2"/>
  <c r="N18" i="2"/>
  <c r="O18" i="2"/>
  <c r="E19" i="2"/>
  <c r="F19" i="2"/>
  <c r="G19" i="2"/>
  <c r="H19" i="2"/>
  <c r="I19" i="2"/>
  <c r="J19" i="2"/>
  <c r="K19" i="2"/>
  <c r="L19" i="2"/>
  <c r="M19" i="2"/>
  <c r="N19" i="2"/>
  <c r="O19" i="2"/>
  <c r="E20" i="2"/>
  <c r="F20" i="2"/>
  <c r="G20" i="2"/>
  <c r="H20" i="2"/>
  <c r="I20" i="2"/>
  <c r="J20" i="2"/>
  <c r="K20" i="2"/>
  <c r="L20" i="2"/>
  <c r="M20" i="2"/>
  <c r="N20" i="2"/>
  <c r="O20" i="2"/>
  <c r="E21" i="2"/>
  <c r="F21" i="2"/>
  <c r="G21" i="2"/>
  <c r="H21" i="2"/>
  <c r="I21" i="2"/>
  <c r="J21" i="2"/>
  <c r="K21" i="2"/>
  <c r="L21" i="2"/>
  <c r="M21" i="2"/>
  <c r="N21" i="2"/>
  <c r="O21" i="2"/>
  <c r="E22" i="2"/>
  <c r="F22" i="2"/>
  <c r="G22" i="2"/>
  <c r="H22" i="2"/>
  <c r="I22" i="2"/>
  <c r="J22" i="2"/>
  <c r="K22" i="2"/>
  <c r="L22" i="2"/>
  <c r="M22" i="2"/>
  <c r="N22" i="2"/>
  <c r="O22" i="2"/>
  <c r="E23" i="2"/>
  <c r="F23" i="2"/>
  <c r="G23" i="2"/>
  <c r="H23" i="2"/>
  <c r="I23" i="2"/>
  <c r="J23" i="2"/>
  <c r="K23" i="2"/>
  <c r="L23" i="2"/>
  <c r="M23" i="2"/>
  <c r="N23" i="2"/>
  <c r="O23" i="2"/>
  <c r="E24" i="2"/>
  <c r="F24" i="2"/>
  <c r="G24" i="2"/>
  <c r="H24" i="2"/>
  <c r="I24" i="2"/>
  <c r="J24" i="2"/>
  <c r="K24" i="2"/>
  <c r="L24" i="2"/>
  <c r="M24" i="2"/>
  <c r="N24" i="2"/>
  <c r="O24" i="2"/>
  <c r="E25" i="2"/>
  <c r="F25" i="2"/>
  <c r="G25" i="2"/>
  <c r="H25" i="2"/>
  <c r="I25" i="2"/>
  <c r="J25" i="2"/>
  <c r="K25" i="2"/>
  <c r="L25" i="2"/>
  <c r="M25" i="2"/>
  <c r="N25" i="2"/>
  <c r="O25" i="2"/>
  <c r="E26" i="2"/>
  <c r="F26" i="2"/>
  <c r="G26" i="2"/>
  <c r="H26" i="2"/>
  <c r="I26" i="2"/>
  <c r="J26" i="2"/>
  <c r="K26" i="2"/>
  <c r="L26" i="2"/>
  <c r="M26" i="2"/>
  <c r="N26" i="2"/>
  <c r="O26" i="2"/>
  <c r="E27" i="2"/>
  <c r="F27" i="2"/>
  <c r="G27" i="2"/>
  <c r="H27" i="2"/>
  <c r="I27" i="2"/>
  <c r="J27" i="2"/>
  <c r="K27" i="2"/>
  <c r="L27" i="2"/>
  <c r="M27" i="2"/>
  <c r="N27" i="2"/>
  <c r="O27" i="2"/>
  <c r="E28" i="2"/>
  <c r="F28" i="2"/>
  <c r="G28" i="2"/>
  <c r="H28" i="2"/>
  <c r="I28" i="2"/>
  <c r="J28" i="2"/>
  <c r="K28" i="2"/>
  <c r="L28" i="2"/>
  <c r="M28" i="2"/>
  <c r="N28" i="2"/>
  <c r="O28" i="2"/>
  <c r="E29" i="2"/>
  <c r="F29" i="2"/>
  <c r="G29" i="2"/>
  <c r="H29" i="2"/>
  <c r="I29" i="2"/>
  <c r="J29" i="2"/>
  <c r="K29" i="2"/>
  <c r="L29" i="2"/>
  <c r="M29" i="2"/>
  <c r="N29" i="2"/>
  <c r="O29" i="2"/>
  <c r="E30" i="2"/>
  <c r="F30" i="2"/>
  <c r="G30" i="2"/>
  <c r="H30" i="2"/>
  <c r="I30" i="2"/>
  <c r="J30" i="2"/>
  <c r="K30" i="2"/>
  <c r="L30" i="2"/>
  <c r="M30" i="2"/>
  <c r="N30" i="2"/>
  <c r="O30" i="2"/>
  <c r="E31" i="2"/>
  <c r="F31" i="2"/>
  <c r="G31" i="2"/>
  <c r="H31" i="2"/>
  <c r="I31" i="2"/>
  <c r="J31" i="2"/>
  <c r="K31" i="2"/>
  <c r="L31" i="2"/>
  <c r="M31" i="2"/>
  <c r="N31" i="2"/>
  <c r="O31" i="2"/>
  <c r="E32" i="2"/>
  <c r="F32" i="2"/>
  <c r="G32" i="2"/>
  <c r="H32" i="2"/>
  <c r="I32" i="2"/>
  <c r="J32" i="2"/>
  <c r="K32" i="2"/>
  <c r="L32" i="2"/>
  <c r="M32" i="2"/>
  <c r="N32" i="2"/>
  <c r="O32" i="2"/>
  <c r="E33" i="2"/>
  <c r="F33" i="2"/>
  <c r="G33" i="2"/>
  <c r="H33" i="2"/>
  <c r="I33" i="2"/>
  <c r="J33" i="2"/>
  <c r="K33" i="2"/>
  <c r="L33" i="2"/>
  <c r="M33" i="2"/>
  <c r="N33" i="2"/>
  <c r="O33" i="2"/>
  <c r="E34" i="2"/>
  <c r="F34" i="2"/>
  <c r="G34" i="2"/>
  <c r="H34" i="2"/>
  <c r="I34" i="2"/>
  <c r="J34" i="2"/>
  <c r="K34" i="2"/>
  <c r="L34" i="2"/>
  <c r="M34" i="2"/>
  <c r="N34" i="2"/>
  <c r="O34" i="2"/>
  <c r="E35" i="2"/>
  <c r="F35" i="2"/>
  <c r="G35" i="2"/>
  <c r="H35" i="2"/>
  <c r="I35" i="2"/>
  <c r="J35" i="2"/>
  <c r="K35" i="2"/>
  <c r="L35" i="2"/>
  <c r="M35" i="2"/>
  <c r="N35" i="2"/>
  <c r="O35" i="2"/>
  <c r="E36" i="2"/>
  <c r="F36" i="2"/>
  <c r="G36" i="2"/>
  <c r="H36" i="2"/>
  <c r="I36" i="2"/>
  <c r="J36" i="2"/>
  <c r="K36" i="2"/>
  <c r="L36" i="2"/>
  <c r="M36" i="2"/>
  <c r="N36" i="2"/>
  <c r="O36" i="2"/>
  <c r="E37" i="2"/>
  <c r="F37" i="2"/>
  <c r="G37" i="2"/>
  <c r="H37" i="2"/>
  <c r="I37" i="2"/>
  <c r="J37" i="2"/>
  <c r="K37" i="2"/>
  <c r="L37" i="2"/>
  <c r="M37" i="2"/>
  <c r="N37" i="2"/>
  <c r="O37" i="2"/>
  <c r="E38" i="2"/>
  <c r="F38" i="2"/>
  <c r="G38" i="2"/>
  <c r="H38" i="2"/>
  <c r="I38" i="2"/>
  <c r="J38" i="2"/>
  <c r="K38" i="2"/>
  <c r="L38" i="2"/>
  <c r="M38" i="2"/>
  <c r="N38" i="2"/>
  <c r="O38" i="2"/>
  <c r="E39" i="2"/>
  <c r="F39" i="2"/>
  <c r="G39" i="2"/>
  <c r="H39" i="2"/>
  <c r="I39" i="2"/>
  <c r="J39" i="2"/>
  <c r="K39" i="2"/>
  <c r="L39" i="2"/>
  <c r="M39" i="2"/>
  <c r="N39" i="2"/>
  <c r="O39" i="2"/>
  <c r="E40" i="2"/>
  <c r="F40" i="2"/>
  <c r="G40" i="2"/>
  <c r="H40" i="2"/>
  <c r="I40" i="2"/>
  <c r="J40" i="2"/>
  <c r="K40" i="2"/>
  <c r="L40" i="2"/>
  <c r="M40" i="2"/>
  <c r="N40" i="2"/>
  <c r="O40" i="2"/>
  <c r="E41" i="2"/>
  <c r="F41" i="2"/>
  <c r="G41" i="2"/>
  <c r="H41" i="2"/>
  <c r="I41" i="2"/>
  <c r="J41" i="2"/>
  <c r="K41" i="2"/>
  <c r="L41" i="2"/>
  <c r="M41" i="2"/>
  <c r="N41" i="2"/>
  <c r="O41" i="2"/>
  <c r="E42" i="2"/>
  <c r="F42" i="2"/>
  <c r="G42" i="2"/>
  <c r="H42" i="2"/>
  <c r="I42" i="2"/>
  <c r="J42" i="2"/>
  <c r="K42" i="2"/>
  <c r="L42" i="2"/>
  <c r="M42" i="2"/>
  <c r="N42" i="2"/>
  <c r="O42" i="2"/>
  <c r="E43" i="2"/>
  <c r="F43" i="2"/>
  <c r="G43" i="2"/>
  <c r="H43" i="2"/>
  <c r="I43" i="2"/>
  <c r="J43" i="2"/>
  <c r="K43" i="2"/>
  <c r="L43" i="2"/>
  <c r="M43" i="2"/>
  <c r="N43" i="2"/>
  <c r="O43" i="2"/>
  <c r="E44" i="2"/>
  <c r="F44" i="2"/>
  <c r="G44" i="2"/>
  <c r="H44" i="2"/>
  <c r="I44" i="2"/>
  <c r="J44" i="2"/>
  <c r="K44" i="2"/>
  <c r="L44" i="2"/>
  <c r="M44" i="2"/>
  <c r="N44" i="2"/>
  <c r="O44" i="2"/>
  <c r="E45" i="2"/>
  <c r="F45" i="2"/>
  <c r="G45" i="2"/>
  <c r="H45" i="2"/>
  <c r="I45" i="2"/>
  <c r="J45" i="2"/>
  <c r="K45" i="2"/>
  <c r="L45" i="2"/>
  <c r="M45" i="2"/>
  <c r="N45" i="2"/>
  <c r="O45" i="2"/>
  <c r="E46" i="2"/>
  <c r="F46" i="2"/>
  <c r="G46" i="2"/>
  <c r="H46" i="2"/>
  <c r="I46" i="2"/>
  <c r="J46" i="2"/>
  <c r="K46" i="2"/>
  <c r="L46" i="2"/>
  <c r="M46" i="2"/>
  <c r="N46" i="2"/>
  <c r="O46" i="2"/>
  <c r="E47" i="2"/>
  <c r="F47" i="2"/>
  <c r="G47" i="2"/>
  <c r="H47" i="2"/>
  <c r="I47" i="2"/>
  <c r="J47" i="2"/>
  <c r="K47" i="2"/>
  <c r="L47" i="2"/>
  <c r="M47" i="2"/>
  <c r="N47" i="2"/>
  <c r="O47" i="2"/>
  <c r="E48" i="2"/>
  <c r="F48" i="2"/>
  <c r="G48" i="2"/>
  <c r="H48" i="2"/>
  <c r="I48" i="2"/>
  <c r="J48" i="2"/>
  <c r="K48" i="2"/>
  <c r="L48" i="2"/>
  <c r="M48" i="2"/>
  <c r="N48" i="2"/>
  <c r="O48" i="2"/>
  <c r="E49" i="2"/>
  <c r="F49" i="2"/>
  <c r="G49" i="2"/>
  <c r="H49" i="2"/>
  <c r="I49" i="2"/>
  <c r="J49" i="2"/>
  <c r="K49" i="2"/>
  <c r="L49" i="2"/>
  <c r="M49" i="2"/>
  <c r="N49" i="2"/>
  <c r="O49" i="2"/>
  <c r="E50" i="2"/>
  <c r="F50" i="2"/>
  <c r="G50" i="2"/>
  <c r="H50" i="2"/>
  <c r="I50" i="2"/>
  <c r="J50" i="2"/>
  <c r="K50" i="2"/>
  <c r="L50" i="2"/>
  <c r="M50" i="2"/>
  <c r="N50" i="2"/>
  <c r="O50" i="2"/>
  <c r="E51" i="2"/>
  <c r="F51" i="2"/>
  <c r="G51" i="2"/>
  <c r="H51" i="2"/>
  <c r="I51" i="2"/>
  <c r="J51" i="2"/>
  <c r="K51" i="2"/>
  <c r="L51" i="2"/>
  <c r="M51" i="2"/>
  <c r="N51" i="2"/>
  <c r="O51" i="2"/>
  <c r="E52" i="2"/>
  <c r="F52" i="2"/>
  <c r="G52" i="2"/>
  <c r="H52" i="2"/>
  <c r="I52" i="2"/>
  <c r="J52" i="2"/>
  <c r="K52" i="2"/>
  <c r="L52" i="2"/>
  <c r="M52" i="2"/>
  <c r="N52" i="2"/>
  <c r="O52" i="2"/>
  <c r="E53" i="2"/>
  <c r="F53" i="2"/>
  <c r="G53" i="2"/>
  <c r="H53" i="2"/>
  <c r="I53" i="2"/>
  <c r="J53" i="2"/>
  <c r="K53" i="2"/>
  <c r="L53" i="2"/>
  <c r="M53" i="2"/>
  <c r="N53" i="2"/>
  <c r="O53" i="2"/>
  <c r="E54" i="2"/>
  <c r="F54" i="2"/>
  <c r="G54" i="2"/>
  <c r="H54" i="2"/>
  <c r="I54" i="2"/>
  <c r="J54" i="2"/>
  <c r="K54" i="2"/>
  <c r="L54" i="2"/>
  <c r="M54" i="2"/>
  <c r="N54" i="2"/>
  <c r="O54" i="2"/>
  <c r="E55" i="2"/>
  <c r="F55" i="2"/>
  <c r="G55" i="2"/>
  <c r="H55" i="2"/>
  <c r="I55" i="2"/>
  <c r="J55" i="2"/>
  <c r="K55" i="2"/>
  <c r="L55" i="2"/>
  <c r="M55" i="2"/>
  <c r="N55" i="2"/>
  <c r="O55" i="2"/>
  <c r="E56" i="2"/>
  <c r="F56" i="2"/>
  <c r="G56" i="2"/>
  <c r="H56" i="2"/>
  <c r="I56" i="2"/>
  <c r="J56" i="2"/>
  <c r="K56" i="2"/>
  <c r="L56" i="2"/>
  <c r="M56" i="2"/>
  <c r="N56" i="2"/>
  <c r="O56" i="2"/>
  <c r="E57" i="2"/>
  <c r="F57" i="2"/>
  <c r="G57" i="2"/>
  <c r="H57" i="2"/>
  <c r="I57" i="2"/>
  <c r="J57" i="2"/>
  <c r="K57" i="2"/>
  <c r="L57" i="2"/>
  <c r="M57" i="2"/>
  <c r="N57" i="2"/>
  <c r="O57" i="2"/>
  <c r="E58" i="2"/>
  <c r="F58" i="2"/>
  <c r="G58" i="2"/>
  <c r="H58" i="2"/>
  <c r="I58" i="2"/>
  <c r="J58" i="2"/>
  <c r="K58" i="2"/>
  <c r="L58" i="2"/>
  <c r="M58" i="2"/>
  <c r="N58" i="2"/>
  <c r="O58" i="2"/>
  <c r="E59" i="2"/>
  <c r="F59" i="2"/>
  <c r="G59" i="2"/>
  <c r="H59" i="2"/>
  <c r="I59" i="2"/>
  <c r="J59" i="2"/>
  <c r="K59" i="2"/>
  <c r="L59" i="2"/>
  <c r="M59" i="2"/>
  <c r="N59" i="2"/>
  <c r="O59" i="2"/>
  <c r="E60" i="2"/>
  <c r="F60" i="2"/>
  <c r="G60" i="2"/>
  <c r="H60" i="2"/>
  <c r="I60" i="2"/>
  <c r="J60" i="2"/>
  <c r="K60" i="2"/>
  <c r="L60" i="2"/>
  <c r="M60" i="2"/>
  <c r="N60" i="2"/>
  <c r="O60" i="2"/>
  <c r="E61" i="2"/>
  <c r="F61" i="2"/>
  <c r="G61" i="2"/>
  <c r="H61" i="2"/>
  <c r="I61" i="2"/>
  <c r="J61" i="2"/>
  <c r="K61" i="2"/>
  <c r="L61" i="2"/>
  <c r="M61" i="2"/>
  <c r="N61" i="2"/>
  <c r="O61" i="2"/>
  <c r="E62" i="2"/>
  <c r="F62" i="2"/>
  <c r="G62" i="2"/>
  <c r="H62" i="2"/>
  <c r="I62" i="2"/>
  <c r="J62" i="2"/>
  <c r="K62" i="2"/>
  <c r="L62" i="2"/>
  <c r="M62" i="2"/>
  <c r="N62" i="2"/>
  <c r="O62" i="2"/>
  <c r="E63" i="2"/>
  <c r="F63" i="2"/>
  <c r="G63" i="2"/>
  <c r="H63" i="2"/>
  <c r="I63" i="2"/>
  <c r="J63" i="2"/>
  <c r="K63" i="2"/>
  <c r="L63" i="2"/>
  <c r="M63" i="2"/>
  <c r="N63" i="2"/>
  <c r="O63" i="2"/>
  <c r="E64" i="2"/>
  <c r="F64" i="2"/>
  <c r="G64" i="2"/>
  <c r="H64" i="2"/>
  <c r="I64" i="2"/>
  <c r="J64" i="2"/>
  <c r="K64" i="2"/>
  <c r="L64" i="2"/>
  <c r="M64" i="2"/>
  <c r="N64" i="2"/>
  <c r="O64" i="2"/>
  <c r="E65" i="2"/>
  <c r="F65" i="2"/>
  <c r="G65" i="2"/>
  <c r="H65" i="2"/>
  <c r="I65" i="2"/>
  <c r="J65" i="2"/>
  <c r="K65" i="2"/>
  <c r="L65" i="2"/>
  <c r="M65" i="2"/>
  <c r="N65" i="2"/>
  <c r="O65" i="2"/>
  <c r="E66" i="2"/>
  <c r="F66" i="2"/>
  <c r="G66" i="2"/>
  <c r="H66" i="2"/>
  <c r="I66" i="2"/>
  <c r="J66" i="2"/>
  <c r="K66" i="2"/>
  <c r="L66" i="2"/>
  <c r="M66" i="2"/>
  <c r="N66" i="2"/>
  <c r="O66" i="2"/>
  <c r="E67" i="2"/>
  <c r="F67" i="2"/>
  <c r="G67" i="2"/>
  <c r="H67" i="2"/>
  <c r="I67" i="2"/>
  <c r="J67" i="2"/>
  <c r="K67" i="2"/>
  <c r="L67" i="2"/>
  <c r="M67" i="2"/>
  <c r="N67" i="2"/>
  <c r="O67" i="2"/>
  <c r="E68" i="2"/>
  <c r="F68" i="2"/>
  <c r="G68" i="2"/>
  <c r="H68" i="2"/>
  <c r="I68" i="2"/>
  <c r="J68" i="2"/>
  <c r="K68" i="2"/>
  <c r="L68" i="2"/>
  <c r="M68" i="2"/>
  <c r="N68" i="2"/>
  <c r="O68" i="2"/>
  <c r="E69" i="2"/>
  <c r="F69" i="2"/>
  <c r="G69" i="2"/>
  <c r="H69" i="2"/>
  <c r="I69" i="2"/>
  <c r="J69" i="2"/>
  <c r="K69" i="2"/>
  <c r="L69" i="2"/>
  <c r="M69" i="2"/>
  <c r="N69" i="2"/>
  <c r="O69" i="2"/>
  <c r="E70" i="2"/>
  <c r="F70" i="2"/>
  <c r="G70" i="2"/>
  <c r="H70" i="2"/>
  <c r="I70" i="2"/>
  <c r="J70" i="2"/>
  <c r="K70" i="2"/>
  <c r="L70" i="2"/>
  <c r="M70" i="2"/>
  <c r="N70" i="2"/>
  <c r="O70" i="2"/>
  <c r="E71" i="2"/>
  <c r="F71" i="2"/>
  <c r="G71" i="2"/>
  <c r="H71" i="2"/>
  <c r="I71" i="2"/>
  <c r="J71" i="2"/>
  <c r="K71" i="2"/>
  <c r="L71" i="2"/>
  <c r="M71" i="2"/>
  <c r="N71" i="2"/>
  <c r="O71" i="2"/>
  <c r="E72" i="2"/>
  <c r="F72" i="2"/>
  <c r="G72" i="2"/>
  <c r="H72" i="2"/>
  <c r="I72" i="2"/>
  <c r="J72" i="2"/>
  <c r="K72" i="2"/>
  <c r="L72" i="2"/>
  <c r="M72" i="2"/>
  <c r="N72" i="2"/>
  <c r="O72" i="2"/>
  <c r="E73" i="2"/>
  <c r="F73" i="2"/>
  <c r="G73" i="2"/>
  <c r="H73" i="2"/>
  <c r="I73" i="2"/>
  <c r="J73" i="2"/>
  <c r="K73" i="2"/>
  <c r="L73" i="2"/>
  <c r="M73" i="2"/>
  <c r="N73" i="2"/>
  <c r="O73" i="2"/>
  <c r="E74" i="2"/>
  <c r="F74" i="2"/>
  <c r="G74" i="2"/>
  <c r="H74" i="2"/>
  <c r="I74" i="2"/>
  <c r="J74" i="2"/>
  <c r="K74" i="2"/>
  <c r="L74" i="2"/>
  <c r="M74" i="2"/>
  <c r="N74" i="2"/>
  <c r="O74" i="2"/>
  <c r="E75" i="2"/>
  <c r="F75" i="2"/>
  <c r="G75" i="2"/>
  <c r="H75" i="2"/>
  <c r="I75" i="2"/>
  <c r="J75" i="2"/>
  <c r="K75" i="2"/>
  <c r="L75" i="2"/>
  <c r="M75" i="2"/>
  <c r="N75" i="2"/>
  <c r="O75" i="2"/>
  <c r="E76" i="2"/>
  <c r="F76" i="2"/>
  <c r="G76" i="2"/>
  <c r="H76" i="2"/>
  <c r="I76" i="2"/>
  <c r="J76" i="2"/>
  <c r="K76" i="2"/>
  <c r="L76" i="2"/>
  <c r="M76" i="2"/>
  <c r="N76" i="2"/>
  <c r="O76" i="2"/>
  <c r="E77" i="2"/>
  <c r="F77" i="2"/>
  <c r="G77" i="2"/>
  <c r="H77" i="2"/>
  <c r="I77" i="2"/>
  <c r="J77" i="2"/>
  <c r="K77" i="2"/>
  <c r="L77" i="2"/>
  <c r="M77" i="2"/>
  <c r="N77" i="2"/>
  <c r="O77" i="2"/>
  <c r="E78" i="2"/>
  <c r="F78" i="2"/>
  <c r="G78" i="2"/>
  <c r="H78" i="2"/>
  <c r="I78" i="2"/>
  <c r="J78" i="2"/>
  <c r="K78" i="2"/>
  <c r="L78" i="2"/>
  <c r="M78" i="2"/>
  <c r="N78" i="2"/>
  <c r="O78" i="2"/>
  <c r="E79" i="2"/>
  <c r="F79" i="2"/>
  <c r="G79" i="2"/>
  <c r="H79" i="2"/>
  <c r="I79" i="2"/>
  <c r="J79" i="2"/>
  <c r="K79" i="2"/>
  <c r="L79" i="2"/>
  <c r="M79" i="2"/>
  <c r="N79" i="2"/>
  <c r="O79" i="2"/>
  <c r="E80" i="2"/>
  <c r="F80" i="2"/>
  <c r="G80" i="2"/>
  <c r="H80" i="2"/>
  <c r="I80" i="2"/>
  <c r="J80" i="2"/>
  <c r="K80" i="2"/>
  <c r="L80" i="2"/>
  <c r="M80" i="2"/>
  <c r="N80" i="2"/>
  <c r="O80" i="2"/>
  <c r="E81" i="2"/>
  <c r="F81" i="2"/>
  <c r="G81" i="2"/>
  <c r="H81" i="2"/>
  <c r="I81" i="2"/>
  <c r="J81" i="2"/>
  <c r="K81" i="2"/>
  <c r="L81" i="2"/>
  <c r="M81" i="2"/>
  <c r="N81" i="2"/>
  <c r="O81" i="2"/>
  <c r="E82" i="2"/>
  <c r="F82" i="2"/>
  <c r="G82" i="2"/>
  <c r="H82" i="2"/>
  <c r="I82" i="2"/>
  <c r="J82" i="2"/>
  <c r="K82" i="2"/>
  <c r="L82" i="2"/>
  <c r="M82" i="2"/>
  <c r="N82" i="2"/>
  <c r="O82" i="2"/>
  <c r="E83" i="2"/>
  <c r="F83" i="2"/>
  <c r="G83" i="2"/>
  <c r="H83" i="2"/>
  <c r="I83" i="2"/>
  <c r="J83" i="2"/>
  <c r="K83" i="2"/>
  <c r="L83" i="2"/>
  <c r="M83" i="2"/>
  <c r="N83" i="2"/>
  <c r="O83" i="2"/>
  <c r="E84" i="2"/>
  <c r="F84" i="2"/>
  <c r="G84" i="2"/>
  <c r="H84" i="2"/>
  <c r="I84" i="2"/>
  <c r="J84" i="2"/>
  <c r="K84" i="2"/>
  <c r="L84" i="2"/>
  <c r="M84" i="2"/>
  <c r="N84" i="2"/>
  <c r="O84" i="2"/>
  <c r="E85" i="2"/>
  <c r="F85" i="2"/>
  <c r="G85" i="2"/>
  <c r="H85" i="2"/>
  <c r="I85" i="2"/>
  <c r="J85" i="2"/>
  <c r="K85" i="2"/>
  <c r="L85" i="2"/>
  <c r="M85" i="2"/>
  <c r="N85" i="2"/>
  <c r="O85" i="2"/>
  <c r="E86" i="2"/>
  <c r="F86" i="2"/>
  <c r="G86" i="2"/>
  <c r="H86" i="2"/>
  <c r="I86" i="2"/>
  <c r="J86" i="2"/>
  <c r="K86" i="2"/>
  <c r="L86" i="2"/>
  <c r="M86" i="2"/>
  <c r="N86" i="2"/>
  <c r="O86" i="2"/>
  <c r="E87" i="2"/>
  <c r="F87" i="2"/>
  <c r="G87" i="2"/>
  <c r="H87" i="2"/>
  <c r="I87" i="2"/>
  <c r="J87" i="2"/>
  <c r="K87" i="2"/>
  <c r="L87" i="2"/>
  <c r="M87" i="2"/>
  <c r="N87" i="2"/>
  <c r="O87" i="2"/>
  <c r="E88" i="2"/>
  <c r="F88" i="2"/>
  <c r="G88" i="2"/>
  <c r="H88" i="2"/>
  <c r="I88" i="2"/>
  <c r="J88" i="2"/>
  <c r="K88" i="2"/>
  <c r="L88" i="2"/>
  <c r="M88" i="2"/>
  <c r="N88" i="2"/>
  <c r="O88" i="2"/>
  <c r="E89" i="2"/>
  <c r="F89" i="2"/>
  <c r="G89" i="2"/>
  <c r="H89" i="2"/>
  <c r="I89" i="2"/>
  <c r="J89" i="2"/>
  <c r="K89" i="2"/>
  <c r="L89" i="2"/>
  <c r="M89" i="2"/>
  <c r="N89" i="2"/>
  <c r="O89" i="2"/>
  <c r="E90" i="2"/>
  <c r="F90" i="2"/>
  <c r="G90" i="2"/>
  <c r="H90" i="2"/>
  <c r="I90" i="2"/>
  <c r="J90" i="2"/>
  <c r="K90" i="2"/>
  <c r="L90" i="2"/>
  <c r="M90" i="2"/>
  <c r="N90" i="2"/>
  <c r="O90" i="2"/>
  <c r="E91" i="2"/>
  <c r="F91" i="2"/>
  <c r="G91" i="2"/>
  <c r="H91" i="2"/>
  <c r="I91" i="2"/>
  <c r="J91" i="2"/>
  <c r="K91" i="2"/>
  <c r="L91" i="2"/>
  <c r="M91" i="2"/>
  <c r="N91" i="2"/>
  <c r="O91" i="2"/>
  <c r="E92" i="2"/>
  <c r="F92" i="2"/>
  <c r="G92" i="2"/>
  <c r="H92" i="2"/>
  <c r="I92" i="2"/>
  <c r="J92" i="2"/>
  <c r="K92" i="2"/>
  <c r="L92" i="2"/>
  <c r="M92" i="2"/>
  <c r="N92" i="2"/>
  <c r="O92" i="2"/>
  <c r="E93" i="2"/>
  <c r="F93" i="2"/>
  <c r="G93" i="2"/>
  <c r="H93" i="2"/>
  <c r="I93" i="2"/>
  <c r="J93" i="2"/>
  <c r="K93" i="2"/>
  <c r="L93" i="2"/>
  <c r="M93" i="2"/>
  <c r="N93" i="2"/>
  <c r="O93" i="2"/>
  <c r="E94" i="2"/>
  <c r="F94" i="2"/>
  <c r="G94" i="2"/>
  <c r="H94" i="2"/>
  <c r="I94" i="2"/>
  <c r="J94" i="2"/>
  <c r="K94" i="2"/>
  <c r="L94" i="2"/>
  <c r="M94" i="2"/>
  <c r="N94" i="2"/>
  <c r="O94" i="2"/>
  <c r="E95" i="2"/>
  <c r="F95" i="2"/>
  <c r="G95" i="2"/>
  <c r="H95" i="2"/>
  <c r="I95" i="2"/>
  <c r="J95" i="2"/>
  <c r="K95" i="2"/>
  <c r="L95" i="2"/>
  <c r="M95" i="2"/>
  <c r="N95" i="2"/>
  <c r="O95" i="2"/>
  <c r="E96" i="2"/>
  <c r="F96" i="2"/>
  <c r="G96" i="2"/>
  <c r="H96" i="2"/>
  <c r="I96" i="2"/>
  <c r="J96" i="2"/>
  <c r="K96" i="2"/>
  <c r="L96" i="2"/>
  <c r="M96" i="2"/>
  <c r="N96" i="2"/>
  <c r="O96" i="2"/>
  <c r="E97" i="2"/>
  <c r="F97" i="2"/>
  <c r="G97" i="2"/>
  <c r="H97" i="2"/>
  <c r="I97" i="2"/>
  <c r="J97" i="2"/>
  <c r="K97" i="2"/>
  <c r="L97" i="2"/>
  <c r="M97" i="2"/>
  <c r="N97" i="2"/>
  <c r="O97" i="2"/>
  <c r="E98" i="2"/>
  <c r="F98" i="2"/>
  <c r="G98" i="2"/>
  <c r="H98" i="2"/>
  <c r="I98" i="2"/>
  <c r="J98" i="2"/>
  <c r="K98" i="2"/>
  <c r="L98" i="2"/>
  <c r="M98" i="2"/>
  <c r="N98" i="2"/>
  <c r="O98" i="2"/>
  <c r="E99" i="2"/>
  <c r="F99" i="2"/>
  <c r="G99" i="2"/>
  <c r="H99" i="2"/>
  <c r="I99" i="2"/>
  <c r="J99" i="2"/>
  <c r="K99" i="2"/>
  <c r="L99" i="2"/>
  <c r="M99" i="2"/>
  <c r="N99" i="2"/>
  <c r="O99" i="2"/>
  <c r="E100" i="2"/>
  <c r="F100" i="2"/>
  <c r="G100" i="2"/>
  <c r="H100" i="2"/>
  <c r="I100" i="2"/>
  <c r="J100" i="2"/>
  <c r="K100" i="2"/>
  <c r="L100" i="2"/>
  <c r="M100" i="2"/>
  <c r="N100" i="2"/>
  <c r="O100" i="2"/>
  <c r="E101" i="2"/>
  <c r="F101" i="2"/>
  <c r="G101" i="2"/>
  <c r="H101" i="2"/>
  <c r="I101" i="2"/>
  <c r="J101" i="2"/>
  <c r="K101" i="2"/>
  <c r="L101" i="2"/>
  <c r="M101" i="2"/>
  <c r="N101" i="2"/>
  <c r="O101" i="2"/>
  <c r="E102" i="2"/>
  <c r="F102" i="2"/>
  <c r="G102" i="2"/>
  <c r="H102" i="2"/>
  <c r="I102" i="2"/>
  <c r="J102" i="2"/>
  <c r="K102" i="2"/>
  <c r="L102" i="2"/>
  <c r="M102" i="2"/>
  <c r="N102" i="2"/>
  <c r="O102" i="2"/>
  <c r="E103" i="2"/>
  <c r="F103" i="2"/>
  <c r="G103" i="2"/>
  <c r="H103" i="2"/>
  <c r="I103" i="2"/>
  <c r="J103" i="2"/>
  <c r="K103" i="2"/>
  <c r="L103" i="2"/>
  <c r="M103" i="2"/>
  <c r="N103" i="2"/>
  <c r="O103" i="2"/>
  <c r="E104" i="2"/>
  <c r="F104" i="2"/>
  <c r="G104" i="2"/>
  <c r="H104" i="2"/>
  <c r="I104" i="2"/>
  <c r="J104" i="2"/>
  <c r="K104" i="2"/>
  <c r="L104" i="2"/>
  <c r="M104" i="2"/>
  <c r="N104" i="2"/>
  <c r="O104" i="2"/>
  <c r="E105" i="2"/>
  <c r="F105" i="2"/>
  <c r="G105" i="2"/>
  <c r="H105" i="2"/>
  <c r="I105" i="2"/>
  <c r="J105" i="2"/>
  <c r="K105" i="2"/>
  <c r="L105" i="2"/>
  <c r="M105" i="2"/>
  <c r="N105" i="2"/>
  <c r="O105" i="2"/>
  <c r="E106" i="2"/>
  <c r="F106" i="2"/>
  <c r="G106" i="2"/>
  <c r="H106" i="2"/>
  <c r="I106" i="2"/>
  <c r="J106" i="2"/>
  <c r="K106" i="2"/>
  <c r="L106" i="2"/>
  <c r="M106" i="2"/>
  <c r="N106" i="2"/>
  <c r="O106" i="2"/>
  <c r="E107" i="2"/>
  <c r="F107" i="2"/>
  <c r="G107" i="2"/>
  <c r="H107" i="2"/>
  <c r="I107" i="2"/>
  <c r="J107" i="2"/>
  <c r="K107" i="2"/>
  <c r="L107" i="2"/>
  <c r="M107" i="2"/>
  <c r="N107" i="2"/>
  <c r="O107" i="2"/>
  <c r="E108" i="2"/>
  <c r="F108" i="2"/>
  <c r="G108" i="2"/>
  <c r="H108" i="2"/>
  <c r="I108" i="2"/>
  <c r="J108" i="2"/>
  <c r="K108" i="2"/>
  <c r="L108" i="2"/>
  <c r="M108" i="2"/>
  <c r="N108" i="2"/>
  <c r="O108" i="2"/>
  <c r="E109" i="2"/>
  <c r="F109" i="2"/>
  <c r="G109" i="2"/>
  <c r="H109" i="2"/>
  <c r="I109" i="2"/>
  <c r="J109" i="2"/>
  <c r="K109" i="2"/>
  <c r="L109" i="2"/>
  <c r="M109" i="2"/>
  <c r="N109" i="2"/>
  <c r="O109" i="2"/>
  <c r="E110" i="2"/>
  <c r="F110" i="2"/>
  <c r="G110" i="2"/>
  <c r="H110" i="2"/>
  <c r="I110" i="2"/>
  <c r="J110" i="2"/>
  <c r="K110" i="2"/>
  <c r="L110" i="2"/>
  <c r="M110" i="2"/>
  <c r="N110" i="2"/>
  <c r="O110" i="2"/>
  <c r="E111" i="2"/>
  <c r="F111" i="2"/>
  <c r="G111" i="2"/>
  <c r="H111" i="2"/>
  <c r="I111" i="2"/>
  <c r="J111" i="2"/>
  <c r="K111" i="2"/>
  <c r="L111" i="2"/>
  <c r="M111" i="2"/>
  <c r="N111" i="2"/>
  <c r="O111" i="2"/>
  <c r="E112" i="2"/>
  <c r="F112" i="2"/>
  <c r="G112" i="2"/>
  <c r="H112" i="2"/>
  <c r="I112" i="2"/>
  <c r="J112" i="2"/>
  <c r="K112" i="2"/>
  <c r="L112" i="2"/>
  <c r="M112" i="2"/>
  <c r="N112" i="2"/>
  <c r="O112" i="2"/>
  <c r="E113" i="2"/>
  <c r="F113" i="2"/>
  <c r="G113" i="2"/>
  <c r="H113" i="2"/>
  <c r="I113" i="2"/>
  <c r="J113" i="2"/>
  <c r="K113" i="2"/>
  <c r="L113" i="2"/>
  <c r="M113" i="2"/>
  <c r="N113" i="2"/>
  <c r="O113" i="2"/>
  <c r="E114" i="2"/>
  <c r="F114" i="2"/>
  <c r="G114" i="2"/>
  <c r="H114" i="2"/>
  <c r="I114" i="2"/>
  <c r="J114" i="2"/>
  <c r="K114" i="2"/>
  <c r="L114" i="2"/>
  <c r="M114" i="2"/>
  <c r="N114" i="2"/>
  <c r="O114" i="2"/>
  <c r="E115" i="2"/>
  <c r="F115" i="2"/>
  <c r="G115" i="2"/>
  <c r="H115" i="2"/>
  <c r="I115" i="2"/>
  <c r="J115" i="2"/>
  <c r="K115" i="2"/>
  <c r="L115" i="2"/>
  <c r="M115" i="2"/>
  <c r="N115" i="2"/>
  <c r="O115" i="2"/>
  <c r="E116" i="2"/>
  <c r="F116" i="2"/>
  <c r="G116" i="2"/>
  <c r="H116" i="2"/>
  <c r="I116" i="2"/>
  <c r="J116" i="2"/>
  <c r="K116" i="2"/>
  <c r="L116" i="2"/>
  <c r="M116" i="2"/>
  <c r="N116" i="2"/>
  <c r="O116" i="2"/>
  <c r="E117" i="2"/>
  <c r="F117" i="2"/>
  <c r="G117" i="2"/>
  <c r="H117" i="2"/>
  <c r="I117" i="2"/>
  <c r="J117" i="2"/>
  <c r="K117" i="2"/>
  <c r="L117" i="2"/>
  <c r="M117" i="2"/>
  <c r="N117" i="2"/>
  <c r="O117" i="2"/>
  <c r="E118" i="2"/>
  <c r="F118" i="2"/>
  <c r="G118" i="2"/>
  <c r="H118" i="2"/>
  <c r="I118" i="2"/>
  <c r="J118" i="2"/>
  <c r="K118" i="2"/>
  <c r="L118" i="2"/>
  <c r="M118" i="2"/>
  <c r="N118" i="2"/>
  <c r="O118" i="2"/>
  <c r="E119" i="2"/>
  <c r="F119" i="2"/>
  <c r="G119" i="2"/>
  <c r="H119" i="2"/>
  <c r="I119" i="2"/>
  <c r="J119" i="2"/>
  <c r="K119" i="2"/>
  <c r="L119" i="2"/>
  <c r="M119" i="2"/>
  <c r="N119" i="2"/>
  <c r="O119" i="2"/>
  <c r="E120" i="2"/>
  <c r="F120" i="2"/>
  <c r="G120" i="2"/>
  <c r="H120" i="2"/>
  <c r="I120" i="2"/>
  <c r="J120" i="2"/>
  <c r="K120" i="2"/>
  <c r="L120" i="2"/>
  <c r="M120" i="2"/>
  <c r="N120" i="2"/>
  <c r="O120" i="2"/>
  <c r="E121" i="2"/>
  <c r="F121" i="2"/>
  <c r="G121" i="2"/>
  <c r="H121" i="2"/>
  <c r="I121" i="2"/>
  <c r="J121" i="2"/>
  <c r="K121" i="2"/>
  <c r="L121" i="2"/>
  <c r="M121" i="2"/>
  <c r="N121" i="2"/>
  <c r="O121" i="2"/>
  <c r="E122" i="2"/>
  <c r="F122" i="2"/>
  <c r="G122" i="2"/>
  <c r="H122" i="2"/>
  <c r="I122" i="2"/>
  <c r="J122" i="2"/>
  <c r="K122" i="2"/>
  <c r="L122" i="2"/>
  <c r="M122" i="2"/>
  <c r="N122" i="2"/>
  <c r="O122" i="2"/>
  <c r="E123" i="2"/>
  <c r="F123" i="2"/>
  <c r="G123" i="2"/>
  <c r="H123" i="2"/>
  <c r="I123" i="2"/>
  <c r="J123" i="2"/>
  <c r="K123" i="2"/>
  <c r="L123" i="2"/>
  <c r="M123" i="2"/>
  <c r="N123" i="2"/>
  <c r="O123" i="2"/>
  <c r="E124" i="2"/>
  <c r="F124" i="2"/>
  <c r="G124" i="2"/>
  <c r="H124" i="2"/>
  <c r="I124" i="2"/>
  <c r="J124" i="2"/>
  <c r="K124" i="2"/>
  <c r="L124" i="2"/>
  <c r="M124" i="2"/>
  <c r="N124" i="2"/>
  <c r="O124" i="2"/>
  <c r="E125" i="2"/>
  <c r="F125" i="2"/>
  <c r="G125" i="2"/>
  <c r="H125" i="2"/>
  <c r="I125" i="2"/>
  <c r="J125" i="2"/>
  <c r="K125" i="2"/>
  <c r="L125" i="2"/>
  <c r="M125" i="2"/>
  <c r="N125" i="2"/>
  <c r="O125" i="2"/>
  <c r="E126" i="2"/>
  <c r="F126" i="2"/>
  <c r="G126" i="2"/>
  <c r="H126" i="2"/>
  <c r="I126" i="2"/>
  <c r="J126" i="2"/>
  <c r="K126" i="2"/>
  <c r="L126" i="2"/>
  <c r="M126" i="2"/>
  <c r="N126" i="2"/>
  <c r="O126" i="2"/>
  <c r="E127" i="2"/>
  <c r="F127" i="2"/>
  <c r="G127" i="2"/>
  <c r="H127" i="2"/>
  <c r="I127" i="2"/>
  <c r="J127" i="2"/>
  <c r="K127" i="2"/>
  <c r="L127" i="2"/>
  <c r="M127" i="2"/>
  <c r="N127" i="2"/>
  <c r="O127" i="2"/>
  <c r="E128" i="2"/>
  <c r="F128" i="2"/>
  <c r="G128" i="2"/>
  <c r="H128" i="2"/>
  <c r="I128" i="2"/>
  <c r="J128" i="2"/>
  <c r="K128" i="2"/>
  <c r="L128" i="2"/>
  <c r="M128" i="2"/>
  <c r="N128" i="2"/>
  <c r="O128" i="2"/>
  <c r="E129" i="2"/>
  <c r="F129" i="2"/>
  <c r="G129" i="2"/>
  <c r="H129" i="2"/>
  <c r="I129" i="2"/>
  <c r="J129" i="2"/>
  <c r="K129" i="2"/>
  <c r="L129" i="2"/>
  <c r="M129" i="2"/>
  <c r="N129" i="2"/>
  <c r="O129" i="2"/>
  <c r="E130" i="2"/>
  <c r="F130" i="2"/>
  <c r="G130" i="2"/>
  <c r="H130" i="2"/>
  <c r="I130" i="2"/>
  <c r="J130" i="2"/>
  <c r="K130" i="2"/>
  <c r="L130" i="2"/>
  <c r="M130" i="2"/>
  <c r="N130" i="2"/>
  <c r="O130" i="2"/>
  <c r="E131" i="2"/>
  <c r="F131" i="2"/>
  <c r="G131" i="2"/>
  <c r="H131" i="2"/>
  <c r="I131" i="2"/>
  <c r="J131" i="2"/>
  <c r="K131" i="2"/>
  <c r="L131" i="2"/>
  <c r="M131" i="2"/>
  <c r="N131" i="2"/>
  <c r="O131" i="2"/>
  <c r="E132" i="2"/>
  <c r="F132" i="2"/>
  <c r="G132" i="2"/>
  <c r="H132" i="2"/>
  <c r="I132" i="2"/>
  <c r="J132" i="2"/>
  <c r="K132" i="2"/>
  <c r="L132" i="2"/>
  <c r="M132" i="2"/>
  <c r="N132" i="2"/>
  <c r="O132" i="2"/>
  <c r="E133" i="2"/>
  <c r="F133" i="2"/>
  <c r="G133" i="2"/>
  <c r="H133" i="2"/>
  <c r="I133" i="2"/>
  <c r="J133" i="2"/>
  <c r="K133" i="2"/>
  <c r="L133" i="2"/>
  <c r="M133" i="2"/>
  <c r="N133" i="2"/>
  <c r="O133" i="2"/>
  <c r="E134" i="2"/>
  <c r="F134" i="2"/>
  <c r="G134" i="2"/>
  <c r="H134" i="2"/>
  <c r="I134" i="2"/>
  <c r="J134" i="2"/>
  <c r="K134" i="2"/>
  <c r="L134" i="2"/>
  <c r="M134" i="2"/>
  <c r="N134" i="2"/>
  <c r="O134" i="2"/>
  <c r="E135" i="2"/>
  <c r="F135" i="2"/>
  <c r="G135" i="2"/>
  <c r="H135" i="2"/>
  <c r="I135" i="2"/>
  <c r="J135" i="2"/>
  <c r="K135" i="2"/>
  <c r="L135" i="2"/>
  <c r="M135" i="2"/>
  <c r="N135" i="2"/>
  <c r="O135" i="2"/>
  <c r="E136" i="2"/>
  <c r="F136" i="2"/>
  <c r="G136" i="2"/>
  <c r="H136" i="2"/>
  <c r="I136" i="2"/>
  <c r="J136" i="2"/>
  <c r="K136" i="2"/>
  <c r="L136" i="2"/>
  <c r="M136" i="2"/>
  <c r="N136" i="2"/>
  <c r="O136" i="2"/>
  <c r="E137" i="2"/>
  <c r="F137" i="2"/>
  <c r="G137" i="2"/>
  <c r="H137" i="2"/>
  <c r="I137" i="2"/>
  <c r="J137" i="2"/>
  <c r="K137" i="2"/>
  <c r="L137" i="2"/>
  <c r="M137" i="2"/>
  <c r="N137" i="2"/>
  <c r="O137" i="2"/>
  <c r="E138" i="2"/>
  <c r="F138" i="2"/>
  <c r="G138" i="2"/>
  <c r="H138" i="2"/>
  <c r="I138" i="2"/>
  <c r="J138" i="2"/>
  <c r="K138" i="2"/>
  <c r="L138" i="2"/>
  <c r="M138" i="2"/>
  <c r="N138" i="2"/>
  <c r="O138" i="2"/>
  <c r="E139" i="2"/>
  <c r="F139" i="2"/>
  <c r="G139" i="2"/>
  <c r="H139" i="2"/>
  <c r="I139" i="2"/>
  <c r="J139" i="2"/>
  <c r="K139" i="2"/>
  <c r="L139" i="2"/>
  <c r="M139" i="2"/>
  <c r="N139" i="2"/>
  <c r="O139" i="2"/>
  <c r="E140" i="2"/>
  <c r="F140" i="2"/>
  <c r="G140" i="2"/>
  <c r="H140" i="2"/>
  <c r="I140" i="2"/>
  <c r="J140" i="2"/>
  <c r="K140" i="2"/>
  <c r="L140" i="2"/>
  <c r="M140" i="2"/>
  <c r="N140" i="2"/>
  <c r="O140" i="2"/>
  <c r="E141" i="2"/>
  <c r="F141" i="2"/>
  <c r="G141" i="2"/>
  <c r="H141" i="2"/>
  <c r="I141" i="2"/>
  <c r="J141" i="2"/>
  <c r="K141" i="2"/>
  <c r="L141" i="2"/>
  <c r="M141" i="2"/>
  <c r="N141" i="2"/>
  <c r="O141" i="2"/>
  <c r="E142" i="2"/>
  <c r="F142" i="2"/>
  <c r="G142" i="2"/>
  <c r="H142" i="2"/>
  <c r="I142" i="2"/>
  <c r="J142" i="2"/>
  <c r="K142" i="2"/>
  <c r="L142" i="2"/>
  <c r="M142" i="2"/>
  <c r="N142" i="2"/>
  <c r="O142" i="2"/>
  <c r="E143" i="2"/>
  <c r="F143" i="2"/>
  <c r="G143" i="2"/>
  <c r="H143" i="2"/>
  <c r="I143" i="2"/>
  <c r="J143" i="2"/>
  <c r="K143" i="2"/>
  <c r="L143" i="2"/>
  <c r="M143" i="2"/>
  <c r="N143" i="2"/>
  <c r="O143" i="2"/>
  <c r="E144" i="2"/>
  <c r="F144" i="2"/>
  <c r="G144" i="2"/>
  <c r="H144" i="2"/>
  <c r="I144" i="2"/>
  <c r="J144" i="2"/>
  <c r="K144" i="2"/>
  <c r="L144" i="2"/>
  <c r="M144" i="2"/>
  <c r="N144" i="2"/>
  <c r="O144" i="2"/>
  <c r="E145" i="2"/>
  <c r="F145" i="2"/>
  <c r="G145" i="2"/>
  <c r="H145" i="2"/>
  <c r="I145" i="2"/>
  <c r="J145" i="2"/>
  <c r="K145" i="2"/>
  <c r="L145" i="2"/>
  <c r="M145" i="2"/>
  <c r="N145" i="2"/>
  <c r="O145" i="2"/>
  <c r="E146" i="2"/>
  <c r="F146" i="2"/>
  <c r="G146" i="2"/>
  <c r="H146" i="2"/>
  <c r="I146" i="2"/>
  <c r="J146" i="2"/>
  <c r="K146" i="2"/>
  <c r="L146" i="2"/>
  <c r="M146" i="2"/>
  <c r="N146" i="2"/>
  <c r="O146" i="2"/>
  <c r="E147" i="2"/>
  <c r="F147" i="2"/>
  <c r="G147" i="2"/>
  <c r="H147" i="2"/>
  <c r="I147" i="2"/>
  <c r="J147" i="2"/>
  <c r="K147" i="2"/>
  <c r="L147" i="2"/>
  <c r="M147" i="2"/>
  <c r="N147" i="2"/>
  <c r="O147" i="2"/>
  <c r="E148" i="2"/>
  <c r="F148" i="2"/>
  <c r="G148" i="2"/>
  <c r="H148" i="2"/>
  <c r="I148" i="2"/>
  <c r="J148" i="2"/>
  <c r="K148" i="2"/>
  <c r="L148" i="2"/>
  <c r="M148" i="2"/>
  <c r="N148" i="2"/>
  <c r="O148" i="2"/>
  <c r="E149" i="2"/>
  <c r="F149" i="2"/>
  <c r="G149" i="2"/>
  <c r="H149" i="2"/>
  <c r="I149" i="2"/>
  <c r="J149" i="2"/>
  <c r="K149" i="2"/>
  <c r="L149" i="2"/>
  <c r="M149" i="2"/>
  <c r="N149" i="2"/>
  <c r="O149" i="2"/>
  <c r="E150" i="2"/>
  <c r="F150" i="2"/>
  <c r="G150" i="2"/>
  <c r="H150" i="2"/>
  <c r="I150" i="2"/>
  <c r="J150" i="2"/>
  <c r="K150" i="2"/>
  <c r="L150" i="2"/>
  <c r="M150" i="2"/>
  <c r="N150" i="2"/>
  <c r="O150" i="2"/>
  <c r="E151" i="2"/>
  <c r="F151" i="2"/>
  <c r="G151" i="2"/>
  <c r="H151" i="2"/>
  <c r="I151" i="2"/>
  <c r="J151" i="2"/>
  <c r="K151" i="2"/>
  <c r="L151" i="2"/>
  <c r="M151" i="2"/>
  <c r="N151" i="2"/>
  <c r="O151" i="2"/>
  <c r="E152" i="2"/>
  <c r="F152" i="2"/>
  <c r="G152" i="2"/>
  <c r="H152" i="2"/>
  <c r="I152" i="2"/>
  <c r="J152" i="2"/>
  <c r="K152" i="2"/>
  <c r="L152" i="2"/>
  <c r="M152" i="2"/>
  <c r="N152" i="2"/>
  <c r="O152" i="2"/>
  <c r="E153" i="2"/>
  <c r="F153" i="2"/>
  <c r="G153" i="2"/>
  <c r="H153" i="2"/>
  <c r="I153" i="2"/>
  <c r="J153" i="2"/>
  <c r="K153" i="2"/>
  <c r="L153" i="2"/>
  <c r="M153" i="2"/>
  <c r="N153" i="2"/>
  <c r="O153" i="2"/>
  <c r="E154" i="2"/>
  <c r="F154" i="2"/>
  <c r="G154" i="2"/>
  <c r="H154" i="2"/>
  <c r="I154" i="2"/>
  <c r="J154" i="2"/>
  <c r="K154" i="2"/>
  <c r="L154" i="2"/>
  <c r="M154" i="2"/>
  <c r="N154" i="2"/>
  <c r="O154" i="2"/>
  <c r="E155" i="2"/>
  <c r="F155" i="2"/>
  <c r="G155" i="2"/>
  <c r="H155" i="2"/>
  <c r="I155" i="2"/>
  <c r="J155" i="2"/>
  <c r="K155" i="2"/>
  <c r="L155" i="2"/>
  <c r="M155" i="2"/>
  <c r="N155" i="2"/>
  <c r="O155" i="2"/>
  <c r="E156" i="2"/>
  <c r="F156" i="2"/>
  <c r="G156" i="2"/>
  <c r="H156" i="2"/>
  <c r="I156" i="2"/>
  <c r="J156" i="2"/>
  <c r="K156" i="2"/>
  <c r="L156" i="2"/>
  <c r="M156" i="2"/>
  <c r="N156" i="2"/>
  <c r="O156" i="2"/>
  <c r="E157" i="2"/>
  <c r="F157" i="2"/>
  <c r="G157" i="2"/>
  <c r="H157" i="2"/>
  <c r="I157" i="2"/>
  <c r="J157" i="2"/>
  <c r="K157" i="2"/>
  <c r="L157" i="2"/>
  <c r="M157" i="2"/>
  <c r="N157" i="2"/>
  <c r="O157" i="2"/>
  <c r="E158" i="2"/>
  <c r="F158" i="2"/>
  <c r="G158" i="2"/>
  <c r="H158" i="2"/>
  <c r="I158" i="2"/>
  <c r="J158" i="2"/>
  <c r="K158" i="2"/>
  <c r="L158" i="2"/>
  <c r="M158" i="2"/>
  <c r="N158" i="2"/>
  <c r="O158" i="2"/>
  <c r="E159" i="2"/>
  <c r="F159" i="2"/>
  <c r="G159" i="2"/>
  <c r="H159" i="2"/>
  <c r="I159" i="2"/>
  <c r="J159" i="2"/>
  <c r="K159" i="2"/>
  <c r="L159" i="2"/>
  <c r="M159" i="2"/>
  <c r="N159" i="2"/>
  <c r="O159" i="2"/>
  <c r="E160" i="2"/>
  <c r="F160" i="2"/>
  <c r="G160" i="2"/>
  <c r="H160" i="2"/>
  <c r="I160" i="2"/>
  <c r="J160" i="2"/>
  <c r="K160" i="2"/>
  <c r="L160" i="2"/>
  <c r="M160" i="2"/>
  <c r="N160" i="2"/>
  <c r="O160" i="2"/>
  <c r="E161" i="2"/>
  <c r="F161" i="2"/>
  <c r="G161" i="2"/>
  <c r="H161" i="2"/>
  <c r="I161" i="2"/>
  <c r="J161" i="2"/>
  <c r="K161" i="2"/>
  <c r="L161" i="2"/>
  <c r="M161" i="2"/>
  <c r="N161" i="2"/>
  <c r="O161" i="2"/>
  <c r="E162" i="2"/>
  <c r="F162" i="2"/>
  <c r="G162" i="2"/>
  <c r="H162" i="2"/>
  <c r="I162" i="2"/>
  <c r="J162" i="2"/>
  <c r="K162" i="2"/>
  <c r="L162" i="2"/>
  <c r="M162" i="2"/>
  <c r="N162" i="2"/>
  <c r="O162" i="2"/>
  <c r="E163" i="2"/>
  <c r="F163" i="2"/>
  <c r="G163" i="2"/>
  <c r="H163" i="2"/>
  <c r="I163" i="2"/>
  <c r="J163" i="2"/>
  <c r="K163" i="2"/>
  <c r="L163" i="2"/>
  <c r="M163" i="2"/>
  <c r="N163" i="2"/>
  <c r="O163" i="2"/>
  <c r="E164" i="2"/>
  <c r="F164" i="2"/>
  <c r="G164" i="2"/>
  <c r="H164" i="2"/>
  <c r="I164" i="2"/>
  <c r="J164" i="2"/>
  <c r="K164" i="2"/>
  <c r="L164" i="2"/>
  <c r="M164" i="2"/>
  <c r="N164" i="2"/>
  <c r="O164" i="2"/>
  <c r="E165" i="2"/>
  <c r="F165" i="2"/>
  <c r="G165" i="2"/>
  <c r="H165" i="2"/>
  <c r="I165" i="2"/>
  <c r="J165" i="2"/>
  <c r="K165" i="2"/>
  <c r="L165" i="2"/>
  <c r="M165" i="2"/>
  <c r="N165" i="2"/>
  <c r="O165" i="2"/>
  <c r="E166" i="2"/>
  <c r="F166" i="2"/>
  <c r="G166" i="2"/>
  <c r="H166" i="2"/>
  <c r="I166" i="2"/>
  <c r="J166" i="2"/>
  <c r="K166" i="2"/>
  <c r="L166" i="2"/>
  <c r="M166" i="2"/>
  <c r="N166" i="2"/>
  <c r="O166" i="2"/>
  <c r="E167" i="2"/>
  <c r="F167" i="2"/>
  <c r="G167" i="2"/>
  <c r="H167" i="2"/>
  <c r="I167" i="2"/>
  <c r="J167" i="2"/>
  <c r="K167" i="2"/>
  <c r="L167" i="2"/>
  <c r="M167" i="2"/>
  <c r="N167" i="2"/>
  <c r="O167" i="2"/>
  <c r="E168" i="2"/>
  <c r="F168" i="2"/>
  <c r="G168" i="2"/>
  <c r="H168" i="2"/>
  <c r="I168" i="2"/>
  <c r="J168" i="2"/>
  <c r="K168" i="2"/>
  <c r="L168" i="2"/>
  <c r="M168" i="2"/>
  <c r="N168" i="2"/>
  <c r="O168" i="2"/>
  <c r="E169" i="2"/>
  <c r="F169" i="2"/>
  <c r="G169" i="2"/>
  <c r="H169" i="2"/>
  <c r="I169" i="2"/>
  <c r="J169" i="2"/>
  <c r="K169" i="2"/>
  <c r="L169" i="2"/>
  <c r="M169" i="2"/>
  <c r="N169" i="2"/>
  <c r="O169" i="2"/>
  <c r="E170" i="2"/>
  <c r="F170" i="2"/>
  <c r="G170" i="2"/>
  <c r="H170" i="2"/>
  <c r="I170" i="2"/>
  <c r="J170" i="2"/>
  <c r="K170" i="2"/>
  <c r="L170" i="2"/>
  <c r="M170" i="2"/>
  <c r="N170" i="2"/>
  <c r="O170" i="2"/>
  <c r="E171" i="2"/>
  <c r="F171" i="2"/>
  <c r="G171" i="2"/>
  <c r="H171" i="2"/>
  <c r="I171" i="2"/>
  <c r="J171" i="2"/>
  <c r="K171" i="2"/>
  <c r="L171" i="2"/>
  <c r="M171" i="2"/>
  <c r="N171" i="2"/>
  <c r="O171" i="2"/>
  <c r="E172" i="2"/>
  <c r="F172" i="2"/>
  <c r="G172" i="2"/>
  <c r="H172" i="2"/>
  <c r="I172" i="2"/>
  <c r="J172" i="2"/>
  <c r="K172" i="2"/>
  <c r="L172" i="2"/>
  <c r="M172" i="2"/>
  <c r="N172" i="2"/>
  <c r="O172" i="2"/>
  <c r="E173" i="2"/>
  <c r="F173" i="2"/>
  <c r="G173" i="2"/>
  <c r="H173" i="2"/>
  <c r="I173" i="2"/>
  <c r="J173" i="2"/>
  <c r="K173" i="2"/>
  <c r="L173" i="2"/>
  <c r="M173" i="2"/>
  <c r="N173" i="2"/>
  <c r="O173" i="2"/>
  <c r="E174" i="2"/>
  <c r="F174" i="2"/>
  <c r="G174" i="2"/>
  <c r="H174" i="2"/>
  <c r="I174" i="2"/>
  <c r="J174" i="2"/>
  <c r="K174" i="2"/>
  <c r="L174" i="2"/>
  <c r="M174" i="2"/>
  <c r="N174" i="2"/>
  <c r="O174" i="2"/>
  <c r="E175" i="2"/>
  <c r="F175" i="2"/>
  <c r="G175" i="2"/>
  <c r="H175" i="2"/>
  <c r="I175" i="2"/>
  <c r="J175" i="2"/>
  <c r="K175" i="2"/>
  <c r="L175" i="2"/>
  <c r="M175" i="2"/>
  <c r="N175" i="2"/>
  <c r="O175" i="2"/>
  <c r="E176" i="2"/>
  <c r="F176" i="2"/>
  <c r="G176" i="2"/>
  <c r="H176" i="2"/>
  <c r="I176" i="2"/>
  <c r="J176" i="2"/>
  <c r="K176" i="2"/>
  <c r="L176" i="2"/>
  <c r="M176" i="2"/>
  <c r="N176" i="2"/>
  <c r="O176" i="2"/>
  <c r="E177" i="2"/>
  <c r="F177" i="2"/>
  <c r="G177" i="2"/>
  <c r="H177" i="2"/>
  <c r="I177" i="2"/>
  <c r="J177" i="2"/>
  <c r="K177" i="2"/>
  <c r="L177" i="2"/>
  <c r="M177" i="2"/>
  <c r="N177" i="2"/>
  <c r="O177" i="2"/>
  <c r="E178" i="2"/>
  <c r="F178" i="2"/>
  <c r="G178" i="2"/>
  <c r="H178" i="2"/>
  <c r="I178" i="2"/>
  <c r="J178" i="2"/>
  <c r="K178" i="2"/>
  <c r="L178" i="2"/>
  <c r="M178" i="2"/>
  <c r="N178" i="2"/>
  <c r="O178" i="2"/>
  <c r="E179" i="2"/>
  <c r="F179" i="2"/>
  <c r="G179" i="2"/>
  <c r="H179" i="2"/>
  <c r="I179" i="2"/>
  <c r="J179" i="2"/>
  <c r="K179" i="2"/>
  <c r="L179" i="2"/>
  <c r="M179" i="2"/>
  <c r="N179" i="2"/>
  <c r="O179" i="2"/>
  <c r="E180" i="2"/>
  <c r="F180" i="2"/>
  <c r="G180" i="2"/>
  <c r="H180" i="2"/>
  <c r="I180" i="2"/>
  <c r="J180" i="2"/>
  <c r="K180" i="2"/>
  <c r="L180" i="2"/>
  <c r="M180" i="2"/>
  <c r="N180" i="2"/>
  <c r="O180" i="2"/>
  <c r="E181" i="2"/>
  <c r="F181" i="2"/>
  <c r="G181" i="2"/>
  <c r="H181" i="2"/>
  <c r="I181" i="2"/>
  <c r="J181" i="2"/>
  <c r="K181" i="2"/>
  <c r="L181" i="2"/>
  <c r="M181" i="2"/>
  <c r="N181" i="2"/>
  <c r="O181" i="2"/>
  <c r="E182" i="2"/>
  <c r="F182" i="2"/>
  <c r="G182" i="2"/>
  <c r="H182" i="2"/>
  <c r="I182" i="2"/>
  <c r="J182" i="2"/>
  <c r="K182" i="2"/>
  <c r="L182" i="2"/>
  <c r="M182" i="2"/>
  <c r="N182" i="2"/>
  <c r="O182" i="2"/>
  <c r="E183" i="2"/>
  <c r="F183" i="2"/>
  <c r="G183" i="2"/>
  <c r="H183" i="2"/>
  <c r="I183" i="2"/>
  <c r="J183" i="2"/>
  <c r="K183" i="2"/>
  <c r="L183" i="2"/>
  <c r="M183" i="2"/>
  <c r="N183" i="2"/>
  <c r="O183" i="2"/>
  <c r="E184" i="2"/>
  <c r="F184" i="2"/>
  <c r="G184" i="2"/>
  <c r="H184" i="2"/>
  <c r="I184" i="2"/>
  <c r="J184" i="2"/>
  <c r="K184" i="2"/>
  <c r="L184" i="2"/>
  <c r="M184" i="2"/>
  <c r="N184" i="2"/>
  <c r="O184" i="2"/>
  <c r="E185" i="2"/>
  <c r="F185" i="2"/>
  <c r="G185" i="2"/>
  <c r="H185" i="2"/>
  <c r="I185" i="2"/>
  <c r="J185" i="2"/>
  <c r="K185" i="2"/>
  <c r="L185" i="2"/>
  <c r="M185" i="2"/>
  <c r="N185" i="2"/>
  <c r="O185" i="2"/>
  <c r="E186" i="2"/>
  <c r="F186" i="2"/>
  <c r="G186" i="2"/>
  <c r="H186" i="2"/>
  <c r="I186" i="2"/>
  <c r="J186" i="2"/>
  <c r="K186" i="2"/>
  <c r="L186" i="2"/>
  <c r="M186" i="2"/>
  <c r="N186" i="2"/>
  <c r="O186" i="2"/>
  <c r="E187" i="2"/>
  <c r="F187" i="2"/>
  <c r="G187" i="2"/>
  <c r="H187" i="2"/>
  <c r="I187" i="2"/>
  <c r="J187" i="2"/>
  <c r="K187" i="2"/>
  <c r="L187" i="2"/>
  <c r="M187" i="2"/>
  <c r="N187" i="2"/>
  <c r="O187" i="2"/>
  <c r="E188" i="2"/>
  <c r="F188" i="2"/>
  <c r="G188" i="2"/>
  <c r="H188" i="2"/>
  <c r="I188" i="2"/>
  <c r="J188" i="2"/>
  <c r="K188" i="2"/>
  <c r="L188" i="2"/>
  <c r="M188" i="2"/>
  <c r="N188" i="2"/>
  <c r="O188" i="2"/>
  <c r="E189" i="2"/>
  <c r="F189" i="2"/>
  <c r="G189" i="2"/>
  <c r="H189" i="2"/>
  <c r="I189" i="2"/>
  <c r="J189" i="2"/>
  <c r="K189" i="2"/>
  <c r="L189" i="2"/>
  <c r="M189" i="2"/>
  <c r="N189" i="2"/>
  <c r="O189" i="2"/>
  <c r="E190" i="2"/>
  <c r="F190" i="2"/>
  <c r="G190" i="2"/>
  <c r="H190" i="2"/>
  <c r="I190" i="2"/>
  <c r="J190" i="2"/>
  <c r="K190" i="2"/>
  <c r="L190" i="2"/>
  <c r="M190" i="2"/>
  <c r="N190" i="2"/>
  <c r="O190" i="2"/>
  <c r="E191" i="2"/>
  <c r="F191" i="2"/>
  <c r="G191" i="2"/>
  <c r="H191" i="2"/>
  <c r="I191" i="2"/>
  <c r="J191" i="2"/>
  <c r="K191" i="2"/>
  <c r="L191" i="2"/>
  <c r="M191" i="2"/>
  <c r="N191" i="2"/>
  <c r="O191" i="2"/>
  <c r="E192" i="2"/>
  <c r="F192" i="2"/>
  <c r="G192" i="2"/>
  <c r="H192" i="2"/>
  <c r="I192" i="2"/>
  <c r="J192" i="2"/>
  <c r="K192" i="2"/>
  <c r="L192" i="2"/>
  <c r="M192" i="2"/>
  <c r="N192" i="2"/>
  <c r="O192" i="2"/>
  <c r="E193" i="2"/>
  <c r="F193" i="2"/>
  <c r="G193" i="2"/>
  <c r="H193" i="2"/>
  <c r="I193" i="2"/>
  <c r="J193" i="2"/>
  <c r="K193" i="2"/>
  <c r="L193" i="2"/>
  <c r="M193" i="2"/>
  <c r="N193" i="2"/>
  <c r="O193" i="2"/>
  <c r="E194" i="2"/>
  <c r="F194" i="2"/>
  <c r="G194" i="2"/>
  <c r="H194" i="2"/>
  <c r="I194" i="2"/>
  <c r="J194" i="2"/>
  <c r="K194" i="2"/>
  <c r="L194" i="2"/>
  <c r="M194" i="2"/>
  <c r="N194" i="2"/>
  <c r="O194" i="2"/>
  <c r="E195" i="2"/>
  <c r="F195" i="2"/>
  <c r="G195" i="2"/>
  <c r="H195" i="2"/>
  <c r="I195" i="2"/>
  <c r="J195" i="2"/>
  <c r="K195" i="2"/>
  <c r="L195" i="2"/>
  <c r="M195" i="2"/>
  <c r="N195" i="2"/>
  <c r="O195" i="2"/>
  <c r="E196" i="2"/>
  <c r="F196" i="2"/>
  <c r="G196" i="2"/>
  <c r="H196" i="2"/>
  <c r="I196" i="2"/>
  <c r="J196" i="2"/>
  <c r="K196" i="2"/>
  <c r="L196" i="2"/>
  <c r="M196" i="2"/>
  <c r="N196" i="2"/>
  <c r="O196" i="2"/>
  <c r="E197" i="2"/>
  <c r="F197" i="2"/>
  <c r="G197" i="2"/>
  <c r="H197" i="2"/>
  <c r="I197" i="2"/>
  <c r="J197" i="2"/>
  <c r="K197" i="2"/>
  <c r="L197" i="2"/>
  <c r="M197" i="2"/>
  <c r="N197" i="2"/>
  <c r="O197" i="2"/>
  <c r="E198" i="2"/>
  <c r="F198" i="2"/>
  <c r="G198" i="2"/>
  <c r="H198" i="2"/>
  <c r="I198" i="2"/>
  <c r="J198" i="2"/>
  <c r="K198" i="2"/>
  <c r="L198" i="2"/>
  <c r="M198" i="2"/>
  <c r="N198" i="2"/>
  <c r="O198" i="2"/>
  <c r="E199" i="2"/>
  <c r="F199" i="2"/>
  <c r="G199" i="2"/>
  <c r="H199" i="2"/>
  <c r="I199" i="2"/>
  <c r="J199" i="2"/>
  <c r="K199" i="2"/>
  <c r="L199" i="2"/>
  <c r="M199" i="2"/>
  <c r="N199" i="2"/>
  <c r="O199" i="2"/>
  <c r="E200" i="2"/>
  <c r="F200" i="2"/>
  <c r="G200" i="2"/>
  <c r="H200" i="2"/>
  <c r="I200" i="2"/>
  <c r="J200" i="2"/>
  <c r="K200" i="2"/>
  <c r="L200" i="2"/>
  <c r="M200" i="2"/>
  <c r="N200" i="2"/>
  <c r="O200" i="2"/>
  <c r="E201" i="2"/>
  <c r="F201" i="2"/>
  <c r="G201" i="2"/>
  <c r="H201" i="2"/>
  <c r="I201" i="2"/>
  <c r="J201" i="2"/>
  <c r="K201" i="2"/>
  <c r="L201" i="2"/>
  <c r="M201" i="2"/>
  <c r="N201" i="2"/>
  <c r="O201" i="2"/>
  <c r="E202" i="2"/>
  <c r="F202" i="2"/>
  <c r="G202" i="2"/>
  <c r="H202" i="2"/>
  <c r="I202" i="2"/>
  <c r="J202" i="2"/>
  <c r="K202" i="2"/>
  <c r="L202" i="2"/>
  <c r="M202" i="2"/>
  <c r="N202" i="2"/>
  <c r="O202" i="2"/>
  <c r="E203" i="2"/>
  <c r="F203" i="2"/>
  <c r="G203" i="2"/>
  <c r="H203" i="2"/>
  <c r="I203" i="2"/>
  <c r="J203" i="2"/>
  <c r="K203" i="2"/>
  <c r="L203" i="2"/>
  <c r="M203" i="2"/>
  <c r="N203" i="2"/>
  <c r="O203" i="2"/>
  <c r="E204" i="2"/>
  <c r="F204" i="2"/>
  <c r="G204" i="2"/>
  <c r="H204" i="2"/>
  <c r="I204" i="2"/>
  <c r="J204" i="2"/>
  <c r="K204" i="2"/>
  <c r="L204" i="2"/>
  <c r="M204" i="2"/>
  <c r="N204" i="2"/>
  <c r="O204" i="2"/>
  <c r="E205" i="2"/>
  <c r="F205" i="2"/>
  <c r="G205" i="2"/>
  <c r="H205" i="2"/>
  <c r="I205" i="2"/>
  <c r="J205" i="2"/>
  <c r="K205" i="2"/>
  <c r="L205" i="2"/>
  <c r="M205" i="2"/>
  <c r="N205" i="2"/>
  <c r="O205" i="2"/>
  <c r="E206" i="2"/>
  <c r="F206" i="2"/>
  <c r="G206" i="2"/>
  <c r="H206" i="2"/>
  <c r="I206" i="2"/>
  <c r="J206" i="2"/>
  <c r="K206" i="2"/>
  <c r="L206" i="2"/>
  <c r="M206" i="2"/>
  <c r="N206" i="2"/>
  <c r="O206" i="2"/>
  <c r="E207" i="2"/>
  <c r="F207" i="2"/>
  <c r="G207" i="2"/>
  <c r="H207" i="2"/>
  <c r="I207" i="2"/>
  <c r="J207" i="2"/>
  <c r="K207" i="2"/>
  <c r="L207" i="2"/>
  <c r="M207" i="2"/>
  <c r="N207" i="2"/>
  <c r="O207" i="2"/>
  <c r="E208" i="2"/>
  <c r="F208" i="2"/>
  <c r="G208" i="2"/>
  <c r="H208" i="2"/>
  <c r="I208" i="2"/>
  <c r="J208" i="2"/>
  <c r="K208" i="2"/>
  <c r="L208" i="2"/>
  <c r="M208" i="2"/>
  <c r="N208" i="2"/>
  <c r="O208" i="2"/>
  <c r="E209" i="2"/>
  <c r="F209" i="2"/>
  <c r="G209" i="2"/>
  <c r="H209" i="2"/>
  <c r="I209" i="2"/>
  <c r="J209" i="2"/>
  <c r="K209" i="2"/>
  <c r="L209" i="2"/>
  <c r="M209" i="2"/>
  <c r="N209" i="2"/>
  <c r="O209" i="2"/>
  <c r="E210" i="2"/>
  <c r="F210" i="2"/>
  <c r="G210" i="2"/>
  <c r="H210" i="2"/>
  <c r="I210" i="2"/>
  <c r="J210" i="2"/>
  <c r="K210" i="2"/>
  <c r="L210" i="2"/>
  <c r="M210" i="2"/>
  <c r="N210" i="2"/>
  <c r="O210" i="2"/>
  <c r="E211" i="2"/>
  <c r="F211" i="2"/>
  <c r="G211" i="2"/>
  <c r="H211" i="2"/>
  <c r="I211" i="2"/>
  <c r="J211" i="2"/>
  <c r="K211" i="2"/>
  <c r="L211" i="2"/>
  <c r="M211" i="2"/>
  <c r="N211" i="2"/>
  <c r="O211" i="2"/>
  <c r="E212" i="2"/>
  <c r="F212" i="2"/>
  <c r="G212" i="2"/>
  <c r="H212" i="2"/>
  <c r="I212" i="2"/>
  <c r="J212" i="2"/>
  <c r="K212" i="2"/>
  <c r="L212" i="2"/>
  <c r="M212" i="2"/>
  <c r="N212" i="2"/>
  <c r="O212" i="2"/>
  <c r="E213" i="2"/>
  <c r="F213" i="2"/>
  <c r="G213" i="2"/>
  <c r="H213" i="2"/>
  <c r="I213" i="2"/>
  <c r="J213" i="2"/>
  <c r="K213" i="2"/>
  <c r="L213" i="2"/>
  <c r="M213" i="2"/>
  <c r="N213" i="2"/>
  <c r="O213" i="2"/>
  <c r="E214" i="2"/>
  <c r="F214" i="2"/>
  <c r="G214" i="2"/>
  <c r="H214" i="2"/>
  <c r="I214" i="2"/>
  <c r="J214" i="2"/>
  <c r="K214" i="2"/>
  <c r="L214" i="2"/>
  <c r="M214" i="2"/>
  <c r="N214" i="2"/>
  <c r="O214" i="2"/>
  <c r="E215" i="2"/>
  <c r="F215" i="2"/>
  <c r="G215" i="2"/>
  <c r="H215" i="2"/>
  <c r="I215" i="2"/>
  <c r="J215" i="2"/>
  <c r="K215" i="2"/>
  <c r="L215" i="2"/>
  <c r="M215" i="2"/>
  <c r="N215" i="2"/>
  <c r="O215" i="2"/>
  <c r="E216" i="2"/>
  <c r="F216" i="2"/>
  <c r="G216" i="2"/>
  <c r="H216" i="2"/>
  <c r="I216" i="2"/>
  <c r="J216" i="2"/>
  <c r="K216" i="2"/>
  <c r="L216" i="2"/>
  <c r="M216" i="2"/>
  <c r="N216" i="2"/>
  <c r="O216" i="2"/>
  <c r="E217" i="2"/>
  <c r="F217" i="2"/>
  <c r="G217" i="2"/>
  <c r="H217" i="2"/>
  <c r="I217" i="2"/>
  <c r="J217" i="2"/>
  <c r="K217" i="2"/>
  <c r="L217" i="2"/>
  <c r="M217" i="2"/>
  <c r="N217" i="2"/>
  <c r="O217" i="2"/>
  <c r="E218" i="2"/>
  <c r="F218" i="2"/>
  <c r="G218" i="2"/>
  <c r="H218" i="2"/>
  <c r="I218" i="2"/>
  <c r="J218" i="2"/>
  <c r="K218" i="2"/>
  <c r="L218" i="2"/>
  <c r="M218" i="2"/>
  <c r="N218" i="2"/>
  <c r="O218" i="2"/>
  <c r="E219" i="2"/>
  <c r="F219" i="2"/>
  <c r="G219" i="2"/>
  <c r="H219" i="2"/>
  <c r="I219" i="2"/>
  <c r="J219" i="2"/>
  <c r="K219" i="2"/>
  <c r="L219" i="2"/>
  <c r="M219" i="2"/>
  <c r="N219" i="2"/>
  <c r="O219" i="2"/>
  <c r="E220" i="2"/>
  <c r="F220" i="2"/>
  <c r="G220" i="2"/>
  <c r="H220" i="2"/>
  <c r="I220" i="2"/>
  <c r="J220" i="2"/>
  <c r="K220" i="2"/>
  <c r="L220" i="2"/>
  <c r="M220" i="2"/>
  <c r="N220" i="2"/>
  <c r="O220" i="2"/>
  <c r="E221" i="2"/>
  <c r="F221" i="2"/>
  <c r="G221" i="2"/>
  <c r="H221" i="2"/>
  <c r="I221" i="2"/>
  <c r="J221" i="2"/>
  <c r="K221" i="2"/>
  <c r="L221" i="2"/>
  <c r="M221" i="2"/>
  <c r="N221" i="2"/>
  <c r="O221" i="2"/>
  <c r="E222" i="2"/>
  <c r="F222" i="2"/>
  <c r="G222" i="2"/>
  <c r="H222" i="2"/>
  <c r="I222" i="2"/>
  <c r="J222" i="2"/>
  <c r="K222" i="2"/>
  <c r="L222" i="2"/>
  <c r="M222" i="2"/>
  <c r="N222" i="2"/>
  <c r="O222" i="2"/>
  <c r="E223" i="2"/>
  <c r="F223" i="2"/>
  <c r="G223" i="2"/>
  <c r="H223" i="2"/>
  <c r="I223" i="2"/>
  <c r="J223" i="2"/>
  <c r="K223" i="2"/>
  <c r="L223" i="2"/>
  <c r="M223" i="2"/>
  <c r="N223" i="2"/>
  <c r="O223" i="2"/>
  <c r="E224" i="2"/>
  <c r="F224" i="2"/>
  <c r="G224" i="2"/>
  <c r="H224" i="2"/>
  <c r="I224" i="2"/>
  <c r="J224" i="2"/>
  <c r="K224" i="2"/>
  <c r="L224" i="2"/>
  <c r="M224" i="2"/>
  <c r="N224" i="2"/>
  <c r="O224" i="2"/>
  <c r="E225" i="2"/>
  <c r="F225" i="2"/>
  <c r="G225" i="2"/>
  <c r="H225" i="2"/>
  <c r="I225" i="2"/>
  <c r="J225" i="2"/>
  <c r="K225" i="2"/>
  <c r="L225" i="2"/>
  <c r="M225" i="2"/>
  <c r="N225" i="2"/>
  <c r="O225" i="2"/>
  <c r="E226" i="2"/>
  <c r="F226" i="2"/>
  <c r="G226" i="2"/>
  <c r="H226" i="2"/>
  <c r="I226" i="2"/>
  <c r="J226" i="2"/>
  <c r="K226" i="2"/>
  <c r="L226" i="2"/>
  <c r="M226" i="2"/>
  <c r="N226" i="2"/>
  <c r="O226" i="2"/>
  <c r="E227" i="2"/>
  <c r="F227" i="2"/>
  <c r="G227" i="2"/>
  <c r="H227" i="2"/>
  <c r="I227" i="2"/>
  <c r="J227" i="2"/>
  <c r="K227" i="2"/>
  <c r="L227" i="2"/>
  <c r="M227" i="2"/>
  <c r="N227" i="2"/>
  <c r="O227" i="2"/>
  <c r="E228" i="2"/>
  <c r="F228" i="2"/>
  <c r="G228" i="2"/>
  <c r="H228" i="2"/>
  <c r="I228" i="2"/>
  <c r="J228" i="2"/>
  <c r="K228" i="2"/>
  <c r="L228" i="2"/>
  <c r="M228" i="2"/>
  <c r="N228" i="2"/>
  <c r="O228" i="2"/>
  <c r="E229" i="2"/>
  <c r="F229" i="2"/>
  <c r="G229" i="2"/>
  <c r="H229" i="2"/>
  <c r="I229" i="2"/>
  <c r="J229" i="2"/>
  <c r="K229" i="2"/>
  <c r="L229" i="2"/>
  <c r="M229" i="2"/>
  <c r="N229" i="2"/>
  <c r="O229" i="2"/>
  <c r="E230" i="2"/>
  <c r="F230" i="2"/>
  <c r="G230" i="2"/>
  <c r="H230" i="2"/>
  <c r="I230" i="2"/>
  <c r="J230" i="2"/>
  <c r="K230" i="2"/>
  <c r="L230" i="2"/>
  <c r="M230" i="2"/>
  <c r="N230" i="2"/>
  <c r="O230" i="2"/>
  <c r="E231" i="2"/>
  <c r="F231" i="2"/>
  <c r="G231" i="2"/>
  <c r="H231" i="2"/>
  <c r="I231" i="2"/>
  <c r="J231" i="2"/>
  <c r="K231" i="2"/>
  <c r="L231" i="2"/>
  <c r="M231" i="2"/>
  <c r="N231" i="2"/>
  <c r="O231" i="2"/>
  <c r="E232" i="2"/>
  <c r="F232" i="2"/>
  <c r="G232" i="2"/>
  <c r="H232" i="2"/>
  <c r="I232" i="2"/>
  <c r="J232" i="2"/>
  <c r="K232" i="2"/>
  <c r="L232" i="2"/>
  <c r="M232" i="2"/>
  <c r="N232" i="2"/>
  <c r="O232" i="2"/>
  <c r="E233" i="2"/>
  <c r="F233" i="2"/>
  <c r="G233" i="2"/>
  <c r="H233" i="2"/>
  <c r="I233" i="2"/>
  <c r="J233" i="2"/>
  <c r="K233" i="2"/>
  <c r="L233" i="2"/>
  <c r="M233" i="2"/>
  <c r="N233" i="2"/>
  <c r="O233" i="2"/>
  <c r="E234" i="2"/>
  <c r="F234" i="2"/>
  <c r="G234" i="2"/>
  <c r="H234" i="2"/>
  <c r="I234" i="2"/>
  <c r="J234" i="2"/>
  <c r="K234" i="2"/>
  <c r="L234" i="2"/>
  <c r="M234" i="2"/>
  <c r="N234" i="2"/>
  <c r="O234" i="2"/>
  <c r="E235" i="2"/>
  <c r="F235" i="2"/>
  <c r="G235" i="2"/>
  <c r="H235" i="2"/>
  <c r="I235" i="2"/>
  <c r="J235" i="2"/>
  <c r="K235" i="2"/>
  <c r="L235" i="2"/>
  <c r="M235" i="2"/>
  <c r="N235" i="2"/>
  <c r="O235" i="2"/>
  <c r="E236" i="2"/>
  <c r="F236" i="2"/>
  <c r="G236" i="2"/>
  <c r="H236" i="2"/>
  <c r="I236" i="2"/>
  <c r="J236" i="2"/>
  <c r="K236" i="2"/>
  <c r="L236" i="2"/>
  <c r="M236" i="2"/>
  <c r="N236" i="2"/>
  <c r="O236" i="2"/>
  <c r="E237" i="2"/>
  <c r="F237" i="2"/>
  <c r="G237" i="2"/>
  <c r="H237" i="2"/>
  <c r="I237" i="2"/>
  <c r="J237" i="2"/>
  <c r="K237" i="2"/>
  <c r="L237" i="2"/>
  <c r="M237" i="2"/>
  <c r="N237" i="2"/>
  <c r="O237" i="2"/>
  <c r="E238" i="2"/>
  <c r="F238" i="2"/>
  <c r="G238" i="2"/>
  <c r="H238" i="2"/>
  <c r="I238" i="2"/>
  <c r="J238" i="2"/>
  <c r="K238" i="2"/>
  <c r="L238" i="2"/>
  <c r="M238" i="2"/>
  <c r="N238" i="2"/>
  <c r="O238" i="2"/>
  <c r="E239" i="2"/>
  <c r="F239" i="2"/>
  <c r="G239" i="2"/>
  <c r="H239" i="2"/>
  <c r="I239" i="2"/>
  <c r="J239" i="2"/>
  <c r="K239" i="2"/>
  <c r="L239" i="2"/>
  <c r="M239" i="2"/>
  <c r="N239" i="2"/>
  <c r="O239" i="2"/>
  <c r="E240" i="2"/>
  <c r="F240" i="2"/>
  <c r="G240" i="2"/>
  <c r="H240" i="2"/>
  <c r="I240" i="2"/>
  <c r="J240" i="2"/>
  <c r="K240" i="2"/>
  <c r="L240" i="2"/>
  <c r="M240" i="2"/>
  <c r="N240" i="2"/>
  <c r="O240" i="2"/>
  <c r="E241" i="2"/>
  <c r="F241" i="2"/>
  <c r="G241" i="2"/>
  <c r="H241" i="2"/>
  <c r="I241" i="2"/>
  <c r="J241" i="2"/>
  <c r="K241" i="2"/>
  <c r="L241" i="2"/>
  <c r="M241" i="2"/>
  <c r="N241" i="2"/>
  <c r="O241" i="2"/>
  <c r="E242" i="2"/>
  <c r="F242" i="2"/>
  <c r="G242" i="2"/>
  <c r="H242" i="2"/>
  <c r="I242" i="2"/>
  <c r="J242" i="2"/>
  <c r="K242" i="2"/>
  <c r="L242" i="2"/>
  <c r="M242" i="2"/>
  <c r="N242" i="2"/>
  <c r="O242" i="2"/>
  <c r="E243" i="2"/>
  <c r="F243" i="2"/>
  <c r="G243" i="2"/>
  <c r="H243" i="2"/>
  <c r="I243" i="2"/>
  <c r="J243" i="2"/>
  <c r="K243" i="2"/>
  <c r="L243" i="2"/>
  <c r="M243" i="2"/>
  <c r="N243" i="2"/>
  <c r="O243" i="2"/>
  <c r="E244" i="2"/>
  <c r="F244" i="2"/>
  <c r="G244" i="2"/>
  <c r="H244" i="2"/>
  <c r="I244" i="2"/>
  <c r="J244" i="2"/>
  <c r="K244" i="2"/>
  <c r="L244" i="2"/>
  <c r="M244" i="2"/>
  <c r="N244" i="2"/>
  <c r="O244" i="2"/>
  <c r="E245" i="2"/>
  <c r="F245" i="2"/>
  <c r="G245" i="2"/>
  <c r="H245" i="2"/>
  <c r="I245" i="2"/>
  <c r="J245" i="2"/>
  <c r="K245" i="2"/>
  <c r="L245" i="2"/>
  <c r="M245" i="2"/>
  <c r="N245" i="2"/>
  <c r="O245" i="2"/>
  <c r="E246" i="2"/>
  <c r="F246" i="2"/>
  <c r="G246" i="2"/>
  <c r="H246" i="2"/>
  <c r="I246" i="2"/>
  <c r="J246" i="2"/>
  <c r="K246" i="2"/>
  <c r="L246" i="2"/>
  <c r="M246" i="2"/>
  <c r="N246" i="2"/>
  <c r="O246" i="2"/>
  <c r="E247" i="2"/>
  <c r="F247" i="2"/>
  <c r="G247" i="2"/>
  <c r="H247" i="2"/>
  <c r="I247" i="2"/>
  <c r="J247" i="2"/>
  <c r="K247" i="2"/>
  <c r="L247" i="2"/>
  <c r="M247" i="2"/>
  <c r="N247" i="2"/>
  <c r="O247" i="2"/>
  <c r="E248" i="2"/>
  <c r="F248" i="2"/>
  <c r="G248" i="2"/>
  <c r="H248" i="2"/>
  <c r="I248" i="2"/>
  <c r="J248" i="2"/>
  <c r="K248" i="2"/>
  <c r="L248" i="2"/>
  <c r="M248" i="2"/>
  <c r="N248" i="2"/>
  <c r="O248" i="2"/>
  <c r="E249" i="2"/>
  <c r="F249" i="2"/>
  <c r="G249" i="2"/>
  <c r="H249" i="2"/>
  <c r="I249" i="2"/>
  <c r="J249" i="2"/>
  <c r="K249" i="2"/>
  <c r="L249" i="2"/>
  <c r="M249" i="2"/>
  <c r="N249" i="2"/>
  <c r="O249" i="2"/>
  <c r="E250" i="2"/>
  <c r="F250" i="2"/>
  <c r="G250" i="2"/>
  <c r="H250" i="2"/>
  <c r="I250" i="2"/>
  <c r="J250" i="2"/>
  <c r="K250" i="2"/>
  <c r="L250" i="2"/>
  <c r="M250" i="2"/>
  <c r="N250" i="2"/>
  <c r="O250" i="2"/>
  <c r="E251" i="2"/>
  <c r="F251" i="2"/>
  <c r="G251" i="2"/>
  <c r="H251" i="2"/>
  <c r="I251" i="2"/>
  <c r="J251" i="2"/>
  <c r="K251" i="2"/>
  <c r="L251" i="2"/>
  <c r="M251" i="2"/>
  <c r="N251" i="2"/>
  <c r="O251" i="2"/>
  <c r="E252" i="2"/>
  <c r="F252" i="2"/>
  <c r="G252" i="2"/>
  <c r="H252" i="2"/>
  <c r="I252" i="2"/>
  <c r="J252" i="2"/>
  <c r="K252" i="2"/>
  <c r="L252" i="2"/>
  <c r="M252" i="2"/>
  <c r="N252" i="2"/>
  <c r="O252" i="2"/>
  <c r="E253" i="2"/>
  <c r="F253" i="2"/>
  <c r="G253" i="2"/>
  <c r="H253" i="2"/>
  <c r="I253" i="2"/>
  <c r="J253" i="2"/>
  <c r="K253" i="2"/>
  <c r="L253" i="2"/>
  <c r="M253" i="2"/>
  <c r="N253" i="2"/>
  <c r="O253" i="2"/>
  <c r="E254" i="2"/>
  <c r="F254" i="2"/>
  <c r="G254" i="2"/>
  <c r="H254" i="2"/>
  <c r="I254" i="2"/>
  <c r="J254" i="2"/>
  <c r="K254" i="2"/>
  <c r="L254" i="2"/>
  <c r="M254" i="2"/>
  <c r="N254" i="2"/>
  <c r="O254" i="2"/>
  <c r="E255" i="2"/>
  <c r="F255" i="2"/>
  <c r="G255" i="2"/>
  <c r="H255" i="2"/>
  <c r="I255" i="2"/>
  <c r="J255" i="2"/>
  <c r="K255" i="2"/>
  <c r="L255" i="2"/>
  <c r="M255" i="2"/>
  <c r="N255" i="2"/>
  <c r="O255" i="2"/>
  <c r="E256" i="2"/>
  <c r="F256" i="2"/>
  <c r="G256" i="2"/>
  <c r="H256" i="2"/>
  <c r="I256" i="2"/>
  <c r="J256" i="2"/>
  <c r="K256" i="2"/>
  <c r="L256" i="2"/>
  <c r="M256" i="2"/>
  <c r="N256" i="2"/>
  <c r="O256" i="2"/>
  <c r="E257" i="2"/>
  <c r="F257" i="2"/>
  <c r="G257" i="2"/>
  <c r="H257" i="2"/>
  <c r="I257" i="2"/>
  <c r="J257" i="2"/>
  <c r="K257" i="2"/>
  <c r="L257" i="2"/>
  <c r="M257" i="2"/>
  <c r="N257" i="2"/>
  <c r="O257" i="2"/>
  <c r="E258" i="2"/>
  <c r="F258" i="2"/>
  <c r="G258" i="2"/>
  <c r="H258" i="2"/>
  <c r="I258" i="2"/>
  <c r="J258" i="2"/>
  <c r="K258" i="2"/>
  <c r="L258" i="2"/>
  <c r="M258" i="2"/>
  <c r="N258" i="2"/>
  <c r="O258" i="2"/>
  <c r="E259" i="2"/>
  <c r="F259" i="2"/>
  <c r="G259" i="2"/>
  <c r="H259" i="2"/>
  <c r="I259" i="2"/>
  <c r="J259" i="2"/>
  <c r="K259" i="2"/>
  <c r="L259" i="2"/>
  <c r="M259" i="2"/>
  <c r="N259" i="2"/>
  <c r="O259" i="2"/>
  <c r="E260" i="2"/>
  <c r="F260" i="2"/>
  <c r="G260" i="2"/>
  <c r="H260" i="2"/>
  <c r="I260" i="2"/>
  <c r="J260" i="2"/>
  <c r="K260" i="2"/>
  <c r="L260" i="2"/>
  <c r="M260" i="2"/>
  <c r="N260" i="2"/>
  <c r="O260" i="2"/>
  <c r="E261" i="2"/>
  <c r="F261" i="2"/>
  <c r="G261" i="2"/>
  <c r="H261" i="2"/>
  <c r="I261" i="2"/>
  <c r="J261" i="2"/>
  <c r="K261" i="2"/>
  <c r="L261" i="2"/>
  <c r="M261" i="2"/>
  <c r="N261" i="2"/>
  <c r="O261" i="2"/>
  <c r="E262" i="2"/>
  <c r="F262" i="2"/>
  <c r="G262" i="2"/>
  <c r="H262" i="2"/>
  <c r="I262" i="2"/>
  <c r="J262" i="2"/>
  <c r="K262" i="2"/>
  <c r="L262" i="2"/>
  <c r="M262" i="2"/>
  <c r="N262" i="2"/>
  <c r="O262" i="2"/>
  <c r="E263" i="2"/>
  <c r="F263" i="2"/>
  <c r="G263" i="2"/>
  <c r="H263" i="2"/>
  <c r="I263" i="2"/>
  <c r="J263" i="2"/>
  <c r="K263" i="2"/>
  <c r="L263" i="2"/>
  <c r="M263" i="2"/>
  <c r="N263" i="2"/>
  <c r="O263" i="2"/>
  <c r="E264" i="2"/>
  <c r="F264" i="2"/>
  <c r="G264" i="2"/>
  <c r="H264" i="2"/>
  <c r="I264" i="2"/>
  <c r="J264" i="2"/>
  <c r="K264" i="2"/>
  <c r="L264" i="2"/>
  <c r="M264" i="2"/>
  <c r="N264" i="2"/>
  <c r="O264" i="2"/>
  <c r="E265" i="2"/>
  <c r="F265" i="2"/>
  <c r="G265" i="2"/>
  <c r="H265" i="2"/>
  <c r="I265" i="2"/>
  <c r="J265" i="2"/>
  <c r="K265" i="2"/>
  <c r="L265" i="2"/>
  <c r="M265" i="2"/>
  <c r="N265" i="2"/>
  <c r="O265" i="2"/>
  <c r="E266" i="2"/>
  <c r="F266" i="2"/>
  <c r="G266" i="2"/>
  <c r="H266" i="2"/>
  <c r="I266" i="2"/>
  <c r="J266" i="2"/>
  <c r="K266" i="2"/>
  <c r="L266" i="2"/>
  <c r="M266" i="2"/>
  <c r="N266" i="2"/>
  <c r="O266" i="2"/>
  <c r="E267" i="2"/>
  <c r="F267" i="2"/>
  <c r="G267" i="2"/>
  <c r="H267" i="2"/>
  <c r="I267" i="2"/>
  <c r="J267" i="2"/>
  <c r="K267" i="2"/>
  <c r="L267" i="2"/>
  <c r="M267" i="2"/>
  <c r="N267" i="2"/>
  <c r="O267" i="2"/>
  <c r="E268" i="2"/>
  <c r="F268" i="2"/>
  <c r="G268" i="2"/>
  <c r="H268" i="2"/>
  <c r="I268" i="2"/>
  <c r="J268" i="2"/>
  <c r="K268" i="2"/>
  <c r="L268" i="2"/>
  <c r="M268" i="2"/>
  <c r="N268" i="2"/>
  <c r="O268" i="2"/>
  <c r="E269" i="2"/>
  <c r="F269" i="2"/>
  <c r="G269" i="2"/>
  <c r="H269" i="2"/>
  <c r="I269" i="2"/>
  <c r="J269" i="2"/>
  <c r="K269" i="2"/>
  <c r="L269" i="2"/>
  <c r="M269" i="2"/>
  <c r="N269" i="2"/>
  <c r="O269" i="2"/>
  <c r="E270" i="2"/>
  <c r="F270" i="2"/>
  <c r="G270" i="2"/>
  <c r="H270" i="2"/>
  <c r="I270" i="2"/>
  <c r="J270" i="2"/>
  <c r="K270" i="2"/>
  <c r="L270" i="2"/>
  <c r="M270" i="2"/>
  <c r="N270" i="2"/>
  <c r="O270" i="2"/>
  <c r="E271" i="2"/>
  <c r="F271" i="2"/>
  <c r="G271" i="2"/>
  <c r="H271" i="2"/>
  <c r="I271" i="2"/>
  <c r="J271" i="2"/>
  <c r="K271" i="2"/>
  <c r="L271" i="2"/>
  <c r="M271" i="2"/>
  <c r="N271" i="2"/>
  <c r="O271" i="2"/>
  <c r="E272" i="2"/>
  <c r="F272" i="2"/>
  <c r="G272" i="2"/>
  <c r="H272" i="2"/>
  <c r="I272" i="2"/>
  <c r="J272" i="2"/>
  <c r="K272" i="2"/>
  <c r="L272" i="2"/>
  <c r="M272" i="2"/>
  <c r="N272" i="2"/>
  <c r="O272" i="2"/>
  <c r="E273" i="2"/>
  <c r="F273" i="2"/>
  <c r="G273" i="2"/>
  <c r="H273" i="2"/>
  <c r="I273" i="2"/>
  <c r="J273" i="2"/>
  <c r="K273" i="2"/>
  <c r="L273" i="2"/>
  <c r="M273" i="2"/>
  <c r="N273" i="2"/>
  <c r="O273" i="2"/>
  <c r="E274" i="2"/>
  <c r="F274" i="2"/>
  <c r="G274" i="2"/>
  <c r="H274" i="2"/>
  <c r="I274" i="2"/>
  <c r="J274" i="2"/>
  <c r="K274" i="2"/>
  <c r="L274" i="2"/>
  <c r="M274" i="2"/>
  <c r="N274" i="2"/>
  <c r="O274" i="2"/>
  <c r="E275" i="2"/>
  <c r="F275" i="2"/>
  <c r="G275" i="2"/>
  <c r="H275" i="2"/>
  <c r="I275" i="2"/>
  <c r="J275" i="2"/>
  <c r="K275" i="2"/>
  <c r="L275" i="2"/>
  <c r="M275" i="2"/>
  <c r="N275" i="2"/>
  <c r="O275" i="2"/>
  <c r="E276" i="2"/>
  <c r="F276" i="2"/>
  <c r="G276" i="2"/>
  <c r="H276" i="2"/>
  <c r="I276" i="2"/>
  <c r="J276" i="2"/>
  <c r="K276" i="2"/>
  <c r="L276" i="2"/>
  <c r="M276" i="2"/>
  <c r="N276" i="2"/>
  <c r="O276" i="2"/>
  <c r="E277" i="2"/>
  <c r="F277" i="2"/>
  <c r="G277" i="2"/>
  <c r="H277" i="2"/>
  <c r="I277" i="2"/>
  <c r="J277" i="2"/>
  <c r="K277" i="2"/>
  <c r="L277" i="2"/>
  <c r="M277" i="2"/>
  <c r="N277" i="2"/>
  <c r="O277" i="2"/>
  <c r="E278" i="2"/>
  <c r="F278" i="2"/>
  <c r="G278" i="2"/>
  <c r="H278" i="2"/>
  <c r="I278" i="2"/>
  <c r="J278" i="2"/>
  <c r="K278" i="2"/>
  <c r="L278" i="2"/>
  <c r="M278" i="2"/>
  <c r="N278" i="2"/>
  <c r="O278" i="2"/>
  <c r="E279" i="2"/>
  <c r="F279" i="2"/>
  <c r="G279" i="2"/>
  <c r="H279" i="2"/>
  <c r="I279" i="2"/>
  <c r="J279" i="2"/>
  <c r="K279" i="2"/>
  <c r="L279" i="2"/>
  <c r="M279" i="2"/>
  <c r="N279" i="2"/>
  <c r="O279" i="2"/>
  <c r="E280" i="2"/>
  <c r="F280" i="2"/>
  <c r="G280" i="2"/>
  <c r="H280" i="2"/>
  <c r="I280" i="2"/>
  <c r="J280" i="2"/>
  <c r="K280" i="2"/>
  <c r="L280" i="2"/>
  <c r="M280" i="2"/>
  <c r="N280" i="2"/>
  <c r="O280" i="2"/>
  <c r="E281" i="2"/>
  <c r="F281" i="2"/>
  <c r="G281" i="2"/>
  <c r="H281" i="2"/>
  <c r="I281" i="2"/>
  <c r="J281" i="2"/>
  <c r="K281" i="2"/>
  <c r="L281" i="2"/>
  <c r="M281" i="2"/>
  <c r="N281" i="2"/>
  <c r="O281" i="2"/>
  <c r="E282" i="2"/>
  <c r="F282" i="2"/>
  <c r="G282" i="2"/>
  <c r="H282" i="2"/>
  <c r="I282" i="2"/>
  <c r="J282" i="2"/>
  <c r="K282" i="2"/>
  <c r="L282" i="2"/>
  <c r="M282" i="2"/>
  <c r="N282" i="2"/>
  <c r="O282" i="2"/>
  <c r="E283" i="2"/>
  <c r="F283" i="2"/>
  <c r="G283" i="2"/>
  <c r="H283" i="2"/>
  <c r="I283" i="2"/>
  <c r="J283" i="2"/>
  <c r="K283" i="2"/>
  <c r="L283" i="2"/>
  <c r="M283" i="2"/>
  <c r="N283" i="2"/>
  <c r="O283" i="2"/>
  <c r="E284" i="2"/>
  <c r="F284" i="2"/>
  <c r="G284" i="2"/>
  <c r="H284" i="2"/>
  <c r="I284" i="2"/>
  <c r="J284" i="2"/>
  <c r="K284" i="2"/>
  <c r="L284" i="2"/>
  <c r="M284" i="2"/>
  <c r="N284" i="2"/>
  <c r="O284" i="2"/>
  <c r="E285" i="2"/>
  <c r="F285" i="2"/>
  <c r="G285" i="2"/>
  <c r="H285" i="2"/>
  <c r="I285" i="2"/>
  <c r="J285" i="2"/>
  <c r="K285" i="2"/>
  <c r="L285" i="2"/>
  <c r="M285" i="2"/>
  <c r="N285" i="2"/>
  <c r="O285" i="2"/>
  <c r="E286" i="2"/>
  <c r="F286" i="2"/>
  <c r="G286" i="2"/>
  <c r="H286" i="2"/>
  <c r="I286" i="2"/>
  <c r="J286" i="2"/>
  <c r="K286" i="2"/>
  <c r="L286" i="2"/>
  <c r="M286" i="2"/>
  <c r="N286" i="2"/>
  <c r="O286" i="2"/>
  <c r="E287" i="2"/>
  <c r="F287" i="2"/>
  <c r="G287" i="2"/>
  <c r="H287" i="2"/>
  <c r="I287" i="2"/>
  <c r="J287" i="2"/>
  <c r="K287" i="2"/>
  <c r="L287" i="2"/>
  <c r="M287" i="2"/>
  <c r="N287" i="2"/>
  <c r="O287" i="2"/>
  <c r="E288" i="2"/>
  <c r="F288" i="2"/>
  <c r="G288" i="2"/>
  <c r="H288" i="2"/>
  <c r="I288" i="2"/>
  <c r="J288" i="2"/>
  <c r="K288" i="2"/>
  <c r="L288" i="2"/>
  <c r="M288" i="2"/>
  <c r="N288" i="2"/>
  <c r="O288" i="2"/>
  <c r="E289" i="2"/>
  <c r="F289" i="2"/>
  <c r="G289" i="2"/>
  <c r="H289" i="2"/>
  <c r="I289" i="2"/>
  <c r="J289" i="2"/>
  <c r="K289" i="2"/>
  <c r="L289" i="2"/>
  <c r="M289" i="2"/>
  <c r="N289" i="2"/>
  <c r="O289" i="2"/>
  <c r="E290" i="2"/>
  <c r="F290" i="2"/>
  <c r="G290" i="2"/>
  <c r="H290" i="2"/>
  <c r="I290" i="2"/>
  <c r="J290" i="2"/>
  <c r="K290" i="2"/>
  <c r="L290" i="2"/>
  <c r="M290" i="2"/>
  <c r="N290" i="2"/>
  <c r="O290" i="2"/>
  <c r="E291" i="2"/>
  <c r="F291" i="2"/>
  <c r="G291" i="2"/>
  <c r="H291" i="2"/>
  <c r="I291" i="2"/>
  <c r="J291" i="2"/>
  <c r="K291" i="2"/>
  <c r="L291" i="2"/>
  <c r="M291" i="2"/>
  <c r="N291" i="2"/>
  <c r="O291" i="2"/>
  <c r="E292" i="2"/>
  <c r="F292" i="2"/>
  <c r="G292" i="2"/>
  <c r="H292" i="2"/>
  <c r="I292" i="2"/>
  <c r="J292" i="2"/>
  <c r="K292" i="2"/>
  <c r="L292" i="2"/>
  <c r="M292" i="2"/>
  <c r="N292" i="2"/>
  <c r="O292" i="2"/>
  <c r="E293" i="2"/>
  <c r="F293" i="2"/>
  <c r="G293" i="2"/>
  <c r="H293" i="2"/>
  <c r="I293" i="2"/>
  <c r="J293" i="2"/>
  <c r="K293" i="2"/>
  <c r="L293" i="2"/>
  <c r="M293" i="2"/>
  <c r="N293" i="2"/>
  <c r="O293" i="2"/>
  <c r="E294" i="2"/>
  <c r="F294" i="2"/>
  <c r="G294" i="2"/>
  <c r="H294" i="2"/>
  <c r="I294" i="2"/>
  <c r="J294" i="2"/>
  <c r="K294" i="2"/>
  <c r="L294" i="2"/>
  <c r="M294" i="2"/>
  <c r="N294" i="2"/>
  <c r="O294" i="2"/>
  <c r="E295" i="2"/>
  <c r="F295" i="2"/>
  <c r="G295" i="2"/>
  <c r="H295" i="2"/>
  <c r="I295" i="2"/>
  <c r="J295" i="2"/>
  <c r="K295" i="2"/>
  <c r="L295" i="2"/>
  <c r="M295" i="2"/>
  <c r="N295" i="2"/>
  <c r="O295" i="2"/>
  <c r="E296" i="2"/>
  <c r="F296" i="2"/>
  <c r="G296" i="2"/>
  <c r="H296" i="2"/>
  <c r="I296" i="2"/>
  <c r="J296" i="2"/>
  <c r="K296" i="2"/>
  <c r="L296" i="2"/>
  <c r="M296" i="2"/>
  <c r="N296" i="2"/>
  <c r="O296" i="2"/>
  <c r="E297" i="2"/>
  <c r="F297" i="2"/>
  <c r="G297" i="2"/>
  <c r="H297" i="2"/>
  <c r="I297" i="2"/>
  <c r="J297" i="2"/>
  <c r="K297" i="2"/>
  <c r="L297" i="2"/>
  <c r="M297" i="2"/>
  <c r="N297" i="2"/>
  <c r="O297" i="2"/>
  <c r="E298" i="2"/>
  <c r="F298" i="2"/>
  <c r="G298" i="2"/>
  <c r="H298" i="2"/>
  <c r="I298" i="2"/>
  <c r="J298" i="2"/>
  <c r="K298" i="2"/>
  <c r="L298" i="2"/>
  <c r="M298" i="2"/>
  <c r="N298" i="2"/>
  <c r="O298" i="2"/>
  <c r="E299" i="2"/>
  <c r="F299" i="2"/>
  <c r="G299" i="2"/>
  <c r="H299" i="2"/>
  <c r="I299" i="2"/>
  <c r="J299" i="2"/>
  <c r="K299" i="2"/>
  <c r="L299" i="2"/>
  <c r="M299" i="2"/>
  <c r="N299" i="2"/>
  <c r="O299" i="2"/>
  <c r="E300" i="2"/>
  <c r="F300" i="2"/>
  <c r="G300" i="2"/>
  <c r="H300" i="2"/>
  <c r="I300" i="2"/>
  <c r="J300" i="2"/>
  <c r="K300" i="2"/>
  <c r="L300" i="2"/>
  <c r="M300" i="2"/>
  <c r="N300" i="2"/>
  <c r="O300" i="2"/>
  <c r="E301" i="2"/>
  <c r="F301" i="2"/>
  <c r="G301" i="2"/>
  <c r="H301" i="2"/>
  <c r="I301" i="2"/>
  <c r="J301" i="2"/>
  <c r="K301" i="2"/>
  <c r="L301" i="2"/>
  <c r="M301" i="2"/>
  <c r="N301" i="2"/>
  <c r="O301" i="2"/>
  <c r="E302" i="2"/>
  <c r="F302" i="2"/>
  <c r="G302" i="2"/>
  <c r="H302" i="2"/>
  <c r="I302" i="2"/>
  <c r="J302" i="2"/>
  <c r="K302" i="2"/>
  <c r="L302" i="2"/>
  <c r="M302" i="2"/>
  <c r="N302" i="2"/>
  <c r="O302" i="2"/>
  <c r="E303" i="2"/>
  <c r="F303" i="2"/>
  <c r="G303" i="2"/>
  <c r="H303" i="2"/>
  <c r="I303" i="2"/>
  <c r="J303" i="2"/>
  <c r="K303" i="2"/>
  <c r="L303" i="2"/>
  <c r="M303" i="2"/>
  <c r="N303" i="2"/>
  <c r="O303" i="2"/>
  <c r="E304" i="2"/>
  <c r="F304" i="2"/>
  <c r="G304" i="2"/>
  <c r="H304" i="2"/>
  <c r="I304" i="2"/>
  <c r="J304" i="2"/>
  <c r="K304" i="2"/>
  <c r="L304" i="2"/>
  <c r="M304" i="2"/>
  <c r="N304" i="2"/>
  <c r="O304" i="2"/>
  <c r="E305" i="2"/>
  <c r="F305" i="2"/>
  <c r="G305" i="2"/>
  <c r="H305" i="2"/>
  <c r="I305" i="2"/>
  <c r="J305" i="2"/>
  <c r="K305" i="2"/>
  <c r="L305" i="2"/>
  <c r="M305" i="2"/>
  <c r="N305" i="2"/>
  <c r="O305" i="2"/>
  <c r="E306" i="2"/>
  <c r="F306" i="2"/>
  <c r="G306" i="2"/>
  <c r="H306" i="2"/>
  <c r="I306" i="2"/>
  <c r="J306" i="2"/>
  <c r="K306" i="2"/>
  <c r="L306" i="2"/>
  <c r="M306" i="2"/>
  <c r="N306" i="2"/>
  <c r="O306" i="2"/>
  <c r="E307" i="2"/>
  <c r="F307" i="2"/>
  <c r="G307" i="2"/>
  <c r="H307" i="2"/>
  <c r="I307" i="2"/>
  <c r="J307" i="2"/>
  <c r="K307" i="2"/>
  <c r="L307" i="2"/>
  <c r="M307" i="2"/>
  <c r="N307" i="2"/>
  <c r="O307" i="2"/>
  <c r="E308" i="2"/>
  <c r="F308" i="2"/>
  <c r="G308" i="2"/>
  <c r="H308" i="2"/>
  <c r="I308" i="2"/>
  <c r="J308" i="2"/>
  <c r="K308" i="2"/>
  <c r="L308" i="2"/>
  <c r="M308" i="2"/>
  <c r="N308" i="2"/>
  <c r="O308" i="2"/>
  <c r="E309" i="2"/>
  <c r="F309" i="2"/>
  <c r="G309" i="2"/>
  <c r="H309" i="2"/>
  <c r="I309" i="2"/>
  <c r="J309" i="2"/>
  <c r="K309" i="2"/>
  <c r="L309" i="2"/>
  <c r="M309" i="2"/>
  <c r="N309" i="2"/>
  <c r="O309" i="2"/>
  <c r="E310" i="2"/>
  <c r="F310" i="2"/>
  <c r="G310" i="2"/>
  <c r="H310" i="2"/>
  <c r="I310" i="2"/>
  <c r="J310" i="2"/>
  <c r="K310" i="2"/>
  <c r="L310" i="2"/>
  <c r="M310" i="2"/>
  <c r="N310" i="2"/>
  <c r="O310" i="2"/>
  <c r="E311" i="2"/>
  <c r="F311" i="2"/>
  <c r="G311" i="2"/>
  <c r="H311" i="2"/>
  <c r="I311" i="2"/>
  <c r="J311" i="2"/>
  <c r="K311" i="2"/>
  <c r="L311" i="2"/>
  <c r="M311" i="2"/>
  <c r="N311" i="2"/>
  <c r="O311" i="2"/>
  <c r="E312" i="2"/>
  <c r="F312" i="2"/>
  <c r="G312" i="2"/>
  <c r="H312" i="2"/>
  <c r="I312" i="2"/>
  <c r="J312" i="2"/>
  <c r="K312" i="2"/>
  <c r="L312" i="2"/>
  <c r="M312" i="2"/>
  <c r="N312" i="2"/>
  <c r="O312" i="2"/>
  <c r="E313" i="2"/>
  <c r="F313" i="2"/>
  <c r="G313" i="2"/>
  <c r="H313" i="2"/>
  <c r="I313" i="2"/>
  <c r="J313" i="2"/>
  <c r="K313" i="2"/>
  <c r="L313" i="2"/>
  <c r="M313" i="2"/>
  <c r="N313" i="2"/>
  <c r="O313" i="2"/>
  <c r="E314" i="2"/>
  <c r="F314" i="2"/>
  <c r="G314" i="2"/>
  <c r="H314" i="2"/>
  <c r="I314" i="2"/>
  <c r="J314" i="2"/>
  <c r="K314" i="2"/>
  <c r="L314" i="2"/>
  <c r="M314" i="2"/>
  <c r="N314" i="2"/>
  <c r="O314" i="2"/>
  <c r="E315" i="2"/>
  <c r="F315" i="2"/>
  <c r="G315" i="2"/>
  <c r="H315" i="2"/>
  <c r="I315" i="2"/>
  <c r="J315" i="2"/>
  <c r="K315" i="2"/>
  <c r="L315" i="2"/>
  <c r="M315" i="2"/>
  <c r="N315" i="2"/>
  <c r="O315" i="2"/>
  <c r="E316" i="2"/>
  <c r="F316" i="2"/>
  <c r="G316" i="2"/>
  <c r="H316" i="2"/>
  <c r="I316" i="2"/>
  <c r="J316" i="2"/>
  <c r="K316" i="2"/>
  <c r="L316" i="2"/>
  <c r="M316" i="2"/>
  <c r="N316" i="2"/>
  <c r="O316" i="2"/>
  <c r="E317" i="2"/>
  <c r="F317" i="2"/>
  <c r="G317" i="2"/>
  <c r="H317" i="2"/>
  <c r="I317" i="2"/>
  <c r="J317" i="2"/>
  <c r="K317" i="2"/>
  <c r="L317" i="2"/>
  <c r="M317" i="2"/>
  <c r="N317" i="2"/>
  <c r="O317" i="2"/>
  <c r="E318" i="2"/>
  <c r="F318" i="2"/>
  <c r="G318" i="2"/>
  <c r="H318" i="2"/>
  <c r="I318" i="2"/>
  <c r="J318" i="2"/>
  <c r="K318" i="2"/>
  <c r="L318" i="2"/>
  <c r="M318" i="2"/>
  <c r="N318" i="2"/>
  <c r="O318" i="2"/>
  <c r="E319" i="2"/>
  <c r="F319" i="2"/>
  <c r="G319" i="2"/>
  <c r="H319" i="2"/>
  <c r="I319" i="2"/>
  <c r="J319" i="2"/>
  <c r="K319" i="2"/>
  <c r="L319" i="2"/>
  <c r="M319" i="2"/>
  <c r="N319" i="2"/>
  <c r="O319" i="2"/>
  <c r="E320" i="2"/>
  <c r="F320" i="2"/>
  <c r="G320" i="2"/>
  <c r="H320" i="2"/>
  <c r="I320" i="2"/>
  <c r="J320" i="2"/>
  <c r="K320" i="2"/>
  <c r="L320" i="2"/>
  <c r="M320" i="2"/>
  <c r="N320" i="2"/>
  <c r="O320" i="2"/>
  <c r="E321" i="2"/>
  <c r="F321" i="2"/>
  <c r="G321" i="2"/>
  <c r="H321" i="2"/>
  <c r="I321" i="2"/>
  <c r="J321" i="2"/>
  <c r="K321" i="2"/>
  <c r="L321" i="2"/>
  <c r="M321" i="2"/>
  <c r="N321" i="2"/>
  <c r="O321" i="2"/>
  <c r="E322" i="2"/>
  <c r="F322" i="2"/>
  <c r="G322" i="2"/>
  <c r="H322" i="2"/>
  <c r="I322" i="2"/>
  <c r="J322" i="2"/>
  <c r="K322" i="2"/>
  <c r="L322" i="2"/>
  <c r="M322" i="2"/>
  <c r="N322" i="2"/>
  <c r="O322" i="2"/>
  <c r="E323" i="2"/>
  <c r="F323" i="2"/>
  <c r="G323" i="2"/>
  <c r="H323" i="2"/>
  <c r="I323" i="2"/>
  <c r="J323" i="2"/>
  <c r="K323" i="2"/>
  <c r="L323" i="2"/>
  <c r="M323" i="2"/>
  <c r="N323" i="2"/>
  <c r="O323" i="2"/>
  <c r="E324" i="2"/>
  <c r="F324" i="2"/>
  <c r="G324" i="2"/>
  <c r="H324" i="2"/>
  <c r="I324" i="2"/>
  <c r="J324" i="2"/>
  <c r="K324" i="2"/>
  <c r="L324" i="2"/>
  <c r="M324" i="2"/>
  <c r="N324" i="2"/>
  <c r="O324" i="2"/>
  <c r="E325" i="2"/>
  <c r="F325" i="2"/>
  <c r="G325" i="2"/>
  <c r="H325" i="2"/>
  <c r="I325" i="2"/>
  <c r="J325" i="2"/>
  <c r="K325" i="2"/>
  <c r="L325" i="2"/>
  <c r="M325" i="2"/>
  <c r="N325" i="2"/>
  <c r="O325" i="2"/>
  <c r="E326" i="2"/>
  <c r="F326" i="2"/>
  <c r="G326" i="2"/>
  <c r="H326" i="2"/>
  <c r="I326" i="2"/>
  <c r="J326" i="2"/>
  <c r="K326" i="2"/>
  <c r="L326" i="2"/>
  <c r="M326" i="2"/>
  <c r="N326" i="2"/>
  <c r="O326" i="2"/>
  <c r="E327" i="2"/>
  <c r="F327" i="2"/>
  <c r="G327" i="2"/>
  <c r="H327" i="2"/>
  <c r="I327" i="2"/>
  <c r="J327" i="2"/>
  <c r="K327" i="2"/>
  <c r="L327" i="2"/>
  <c r="M327" i="2"/>
  <c r="N327" i="2"/>
  <c r="O327" i="2"/>
  <c r="E328" i="2"/>
  <c r="F328" i="2"/>
  <c r="G328" i="2"/>
  <c r="H328" i="2"/>
  <c r="I328" i="2"/>
  <c r="J328" i="2"/>
  <c r="K328" i="2"/>
  <c r="L328" i="2"/>
  <c r="M328" i="2"/>
  <c r="N328" i="2"/>
  <c r="O328" i="2"/>
  <c r="E329" i="2"/>
  <c r="F329" i="2"/>
  <c r="G329" i="2"/>
  <c r="H329" i="2"/>
  <c r="I329" i="2"/>
  <c r="J329" i="2"/>
  <c r="K329" i="2"/>
  <c r="L329" i="2"/>
  <c r="M329" i="2"/>
  <c r="N329" i="2"/>
  <c r="O329" i="2"/>
  <c r="E330" i="2"/>
  <c r="F330" i="2"/>
  <c r="G330" i="2"/>
  <c r="H330" i="2"/>
  <c r="I330" i="2"/>
  <c r="J330" i="2"/>
  <c r="K330" i="2"/>
  <c r="L330" i="2"/>
  <c r="M330" i="2"/>
  <c r="N330" i="2"/>
  <c r="O330" i="2"/>
  <c r="E331" i="2"/>
  <c r="F331" i="2"/>
  <c r="G331" i="2"/>
  <c r="H331" i="2"/>
  <c r="I331" i="2"/>
  <c r="J331" i="2"/>
  <c r="K331" i="2"/>
  <c r="L331" i="2"/>
  <c r="M331" i="2"/>
  <c r="N331" i="2"/>
  <c r="O331" i="2"/>
  <c r="E332" i="2"/>
  <c r="F332" i="2"/>
  <c r="G332" i="2"/>
  <c r="H332" i="2"/>
  <c r="I332" i="2"/>
  <c r="J332" i="2"/>
  <c r="K332" i="2"/>
  <c r="L332" i="2"/>
  <c r="M332" i="2"/>
  <c r="N332" i="2"/>
  <c r="O332" i="2"/>
  <c r="E333" i="2"/>
  <c r="F333" i="2"/>
  <c r="G333" i="2"/>
  <c r="H333" i="2"/>
  <c r="I333" i="2"/>
  <c r="J333" i="2"/>
  <c r="K333" i="2"/>
  <c r="L333" i="2"/>
  <c r="M333" i="2"/>
  <c r="N333" i="2"/>
  <c r="O333" i="2"/>
  <c r="E334" i="2"/>
  <c r="F334" i="2"/>
  <c r="G334" i="2"/>
  <c r="H334" i="2"/>
  <c r="I334" i="2"/>
  <c r="J334" i="2"/>
  <c r="K334" i="2"/>
  <c r="L334" i="2"/>
  <c r="M334" i="2"/>
  <c r="N334" i="2"/>
  <c r="O334" i="2"/>
  <c r="E335" i="2"/>
  <c r="F335" i="2"/>
  <c r="G335" i="2"/>
  <c r="H335" i="2"/>
  <c r="I335" i="2"/>
  <c r="J335" i="2"/>
  <c r="K335" i="2"/>
  <c r="L335" i="2"/>
  <c r="M335" i="2"/>
  <c r="N335" i="2"/>
  <c r="O335" i="2"/>
  <c r="E336" i="2"/>
  <c r="F336" i="2"/>
  <c r="G336" i="2"/>
  <c r="H336" i="2"/>
  <c r="I336" i="2"/>
  <c r="J336" i="2"/>
  <c r="K336" i="2"/>
  <c r="L336" i="2"/>
  <c r="M336" i="2"/>
  <c r="N336" i="2"/>
  <c r="O336" i="2"/>
  <c r="E337" i="2"/>
  <c r="F337" i="2"/>
  <c r="G337" i="2"/>
  <c r="H337" i="2"/>
  <c r="I337" i="2"/>
  <c r="J337" i="2"/>
  <c r="K337" i="2"/>
  <c r="L337" i="2"/>
  <c r="M337" i="2"/>
  <c r="N337" i="2"/>
  <c r="O337" i="2"/>
  <c r="E338" i="2"/>
  <c r="F338" i="2"/>
  <c r="G338" i="2"/>
  <c r="H338" i="2"/>
  <c r="I338" i="2"/>
  <c r="J338" i="2"/>
  <c r="K338" i="2"/>
  <c r="L338" i="2"/>
  <c r="M338" i="2"/>
  <c r="N338" i="2"/>
  <c r="O338" i="2"/>
  <c r="E339" i="2"/>
  <c r="F339" i="2"/>
  <c r="G339" i="2"/>
  <c r="H339" i="2"/>
  <c r="I339" i="2"/>
  <c r="J339" i="2"/>
  <c r="K339" i="2"/>
  <c r="L339" i="2"/>
  <c r="M339" i="2"/>
  <c r="N339" i="2"/>
  <c r="O339" i="2"/>
  <c r="E340" i="2"/>
  <c r="F340" i="2"/>
  <c r="G340" i="2"/>
  <c r="H340" i="2"/>
  <c r="I340" i="2"/>
  <c r="J340" i="2"/>
  <c r="K340" i="2"/>
  <c r="L340" i="2"/>
  <c r="M340" i="2"/>
  <c r="N340" i="2"/>
  <c r="O340" i="2"/>
  <c r="E341" i="2"/>
  <c r="F341" i="2"/>
  <c r="G341" i="2"/>
  <c r="H341" i="2"/>
  <c r="I341" i="2"/>
  <c r="J341" i="2"/>
  <c r="K341" i="2"/>
  <c r="L341" i="2"/>
  <c r="M341" i="2"/>
  <c r="N341" i="2"/>
  <c r="O341" i="2"/>
  <c r="E342" i="2"/>
  <c r="F342" i="2"/>
  <c r="G342" i="2"/>
  <c r="H342" i="2"/>
  <c r="I342" i="2"/>
  <c r="J342" i="2"/>
  <c r="K342" i="2"/>
  <c r="L342" i="2"/>
  <c r="M342" i="2"/>
  <c r="N342" i="2"/>
  <c r="O342" i="2"/>
  <c r="E343" i="2"/>
  <c r="F343" i="2"/>
  <c r="G343" i="2"/>
  <c r="H343" i="2"/>
  <c r="I343" i="2"/>
  <c r="J343" i="2"/>
  <c r="K343" i="2"/>
  <c r="L343" i="2"/>
  <c r="M343" i="2"/>
  <c r="N343" i="2"/>
  <c r="O343" i="2"/>
  <c r="E344" i="2"/>
  <c r="F344" i="2"/>
  <c r="G344" i="2"/>
  <c r="H344" i="2"/>
  <c r="I344" i="2"/>
  <c r="J344" i="2"/>
  <c r="K344" i="2"/>
  <c r="L344" i="2"/>
  <c r="M344" i="2"/>
  <c r="N344" i="2"/>
  <c r="O344" i="2"/>
  <c r="E345" i="2"/>
  <c r="F345" i="2"/>
  <c r="G345" i="2"/>
  <c r="H345" i="2"/>
  <c r="I345" i="2"/>
  <c r="J345" i="2"/>
  <c r="K345" i="2"/>
  <c r="L345" i="2"/>
  <c r="M345" i="2"/>
  <c r="N345" i="2"/>
  <c r="O345" i="2"/>
  <c r="E346" i="2"/>
  <c r="F346" i="2"/>
  <c r="G346" i="2"/>
  <c r="H346" i="2"/>
  <c r="I346" i="2"/>
  <c r="J346" i="2"/>
  <c r="K346" i="2"/>
  <c r="L346" i="2"/>
  <c r="M346" i="2"/>
  <c r="N346" i="2"/>
  <c r="O346" i="2"/>
  <c r="E347" i="2"/>
  <c r="F347" i="2"/>
  <c r="G347" i="2"/>
  <c r="H347" i="2"/>
  <c r="I347" i="2"/>
  <c r="J347" i="2"/>
  <c r="K347" i="2"/>
  <c r="L347" i="2"/>
  <c r="M347" i="2"/>
  <c r="N347" i="2"/>
  <c r="O347" i="2"/>
  <c r="E348" i="2"/>
  <c r="F348" i="2"/>
  <c r="G348" i="2"/>
  <c r="H348" i="2"/>
  <c r="I348" i="2"/>
  <c r="J348" i="2"/>
  <c r="K348" i="2"/>
  <c r="L348" i="2"/>
  <c r="M348" i="2"/>
  <c r="N348" i="2"/>
  <c r="O348" i="2"/>
  <c r="E349" i="2"/>
  <c r="F349" i="2"/>
  <c r="G349" i="2"/>
  <c r="H349" i="2"/>
  <c r="I349" i="2"/>
  <c r="J349" i="2"/>
  <c r="K349" i="2"/>
  <c r="L349" i="2"/>
  <c r="M349" i="2"/>
  <c r="N349" i="2"/>
  <c r="O349" i="2"/>
  <c r="E350" i="2"/>
  <c r="F350" i="2"/>
  <c r="G350" i="2"/>
  <c r="H350" i="2"/>
  <c r="I350" i="2"/>
  <c r="J350" i="2"/>
  <c r="K350" i="2"/>
  <c r="L350" i="2"/>
  <c r="M350" i="2"/>
  <c r="N350" i="2"/>
  <c r="O350" i="2"/>
  <c r="E351" i="2"/>
  <c r="F351" i="2"/>
  <c r="G351" i="2"/>
  <c r="H351" i="2"/>
  <c r="I351" i="2"/>
  <c r="J351" i="2"/>
  <c r="K351" i="2"/>
  <c r="L351" i="2"/>
  <c r="M351" i="2"/>
  <c r="N351" i="2"/>
  <c r="O351" i="2"/>
  <c r="E352" i="2"/>
  <c r="F352" i="2"/>
  <c r="G352" i="2"/>
  <c r="H352" i="2"/>
  <c r="I352" i="2"/>
  <c r="J352" i="2"/>
  <c r="K352" i="2"/>
  <c r="L352" i="2"/>
  <c r="M352" i="2"/>
  <c r="N352" i="2"/>
  <c r="O352" i="2"/>
  <c r="E353" i="2"/>
  <c r="F353" i="2"/>
  <c r="G353" i="2"/>
  <c r="H353" i="2"/>
  <c r="I353" i="2"/>
  <c r="J353" i="2"/>
  <c r="K353" i="2"/>
  <c r="L353" i="2"/>
  <c r="M353" i="2"/>
  <c r="N353" i="2"/>
  <c r="O353" i="2"/>
  <c r="E354" i="2"/>
  <c r="F354" i="2"/>
  <c r="G354" i="2"/>
  <c r="H354" i="2"/>
  <c r="I354" i="2"/>
  <c r="J354" i="2"/>
  <c r="K354" i="2"/>
  <c r="L354" i="2"/>
  <c r="M354" i="2"/>
  <c r="N354" i="2"/>
  <c r="O354" i="2"/>
  <c r="E355" i="2"/>
  <c r="F355" i="2"/>
  <c r="G355" i="2"/>
  <c r="H355" i="2"/>
  <c r="I355" i="2"/>
  <c r="J355" i="2"/>
  <c r="K355" i="2"/>
  <c r="L355" i="2"/>
  <c r="M355" i="2"/>
  <c r="N355" i="2"/>
  <c r="O355" i="2"/>
  <c r="E356" i="2"/>
  <c r="F356" i="2"/>
  <c r="G356" i="2"/>
  <c r="H356" i="2"/>
  <c r="I356" i="2"/>
  <c r="J356" i="2"/>
  <c r="K356" i="2"/>
  <c r="L356" i="2"/>
  <c r="M356" i="2"/>
  <c r="N356" i="2"/>
  <c r="O356" i="2"/>
  <c r="E357" i="2"/>
  <c r="F357" i="2"/>
  <c r="G357" i="2"/>
  <c r="H357" i="2"/>
  <c r="I357" i="2"/>
  <c r="J357" i="2"/>
  <c r="K357" i="2"/>
  <c r="L357" i="2"/>
  <c r="M357" i="2"/>
  <c r="N357" i="2"/>
  <c r="O357" i="2"/>
  <c r="E358" i="2"/>
  <c r="F358" i="2"/>
  <c r="G358" i="2"/>
  <c r="H358" i="2"/>
  <c r="I358" i="2"/>
  <c r="J358" i="2"/>
  <c r="K358" i="2"/>
  <c r="L358" i="2"/>
  <c r="M358" i="2"/>
  <c r="N358" i="2"/>
  <c r="O358" i="2"/>
  <c r="E359" i="2"/>
  <c r="F359" i="2"/>
  <c r="G359" i="2"/>
  <c r="H359" i="2"/>
  <c r="I359" i="2"/>
  <c r="J359" i="2"/>
  <c r="K359" i="2"/>
  <c r="L359" i="2"/>
  <c r="M359" i="2"/>
  <c r="N359" i="2"/>
  <c r="O359" i="2"/>
  <c r="E360" i="2"/>
  <c r="F360" i="2"/>
  <c r="G360" i="2"/>
  <c r="H360" i="2"/>
  <c r="I360" i="2"/>
  <c r="J360" i="2"/>
  <c r="K360" i="2"/>
  <c r="L360" i="2"/>
  <c r="M360" i="2"/>
  <c r="N360" i="2"/>
  <c r="O360" i="2"/>
  <c r="E361" i="2"/>
  <c r="F361" i="2"/>
  <c r="G361" i="2"/>
  <c r="H361" i="2"/>
  <c r="I361" i="2"/>
  <c r="J361" i="2"/>
  <c r="K361" i="2"/>
  <c r="L361" i="2"/>
  <c r="M361" i="2"/>
  <c r="N361" i="2"/>
  <c r="O361" i="2"/>
  <c r="E362" i="2"/>
  <c r="F362" i="2"/>
  <c r="G362" i="2"/>
  <c r="H362" i="2"/>
  <c r="I362" i="2"/>
  <c r="J362" i="2"/>
  <c r="K362" i="2"/>
  <c r="L362" i="2"/>
  <c r="M362" i="2"/>
  <c r="N362" i="2"/>
  <c r="O362" i="2"/>
  <c r="E363" i="2"/>
  <c r="F363" i="2"/>
  <c r="G363" i="2"/>
  <c r="H363" i="2"/>
  <c r="I363" i="2"/>
  <c r="J363" i="2"/>
  <c r="K363" i="2"/>
  <c r="L363" i="2"/>
  <c r="M363" i="2"/>
  <c r="N363" i="2"/>
  <c r="O363" i="2"/>
  <c r="E364" i="2"/>
  <c r="F364" i="2"/>
  <c r="G364" i="2"/>
  <c r="H364" i="2"/>
  <c r="I364" i="2"/>
  <c r="J364" i="2"/>
  <c r="K364" i="2"/>
  <c r="L364" i="2"/>
  <c r="M364" i="2"/>
  <c r="N364" i="2"/>
  <c r="O364" i="2"/>
  <c r="E365" i="2"/>
  <c r="F365" i="2"/>
  <c r="G365" i="2"/>
  <c r="H365" i="2"/>
  <c r="I365" i="2"/>
  <c r="J365" i="2"/>
  <c r="K365" i="2"/>
  <c r="L365" i="2"/>
  <c r="M365" i="2"/>
  <c r="N365" i="2"/>
  <c r="O365" i="2"/>
  <c r="E366" i="2"/>
  <c r="F366" i="2"/>
  <c r="G366" i="2"/>
  <c r="H366" i="2"/>
  <c r="I366" i="2"/>
  <c r="J366" i="2"/>
  <c r="K366" i="2"/>
  <c r="L366" i="2"/>
  <c r="M366" i="2"/>
  <c r="N366" i="2"/>
  <c r="O366" i="2"/>
  <c r="E367" i="2"/>
  <c r="F367" i="2"/>
  <c r="G367" i="2"/>
  <c r="H367" i="2"/>
  <c r="I367" i="2"/>
  <c r="J367" i="2"/>
  <c r="K367" i="2"/>
  <c r="L367" i="2"/>
  <c r="M367" i="2"/>
  <c r="N367" i="2"/>
  <c r="O367" i="2"/>
  <c r="E368" i="2"/>
  <c r="F368" i="2"/>
  <c r="G368" i="2"/>
  <c r="H368" i="2"/>
  <c r="I368" i="2"/>
  <c r="J368" i="2"/>
  <c r="K368" i="2"/>
  <c r="L368" i="2"/>
  <c r="M368" i="2"/>
  <c r="N368" i="2"/>
  <c r="O368" i="2"/>
  <c r="E369" i="2"/>
  <c r="F369" i="2"/>
  <c r="G369" i="2"/>
  <c r="H369" i="2"/>
  <c r="I369" i="2"/>
  <c r="J369" i="2"/>
  <c r="K369" i="2"/>
  <c r="L369" i="2"/>
  <c r="M369" i="2"/>
  <c r="N369" i="2"/>
  <c r="O369" i="2"/>
  <c r="E370" i="2"/>
  <c r="F370" i="2"/>
  <c r="G370" i="2"/>
  <c r="H370" i="2"/>
  <c r="I370" i="2"/>
  <c r="J370" i="2"/>
  <c r="K370" i="2"/>
  <c r="L370" i="2"/>
  <c r="M370" i="2"/>
  <c r="N370" i="2"/>
  <c r="O370" i="2"/>
  <c r="E371" i="2"/>
  <c r="F371" i="2"/>
  <c r="G371" i="2"/>
  <c r="H371" i="2"/>
  <c r="I371" i="2"/>
  <c r="J371" i="2"/>
  <c r="K371" i="2"/>
  <c r="L371" i="2"/>
  <c r="M371" i="2"/>
  <c r="N371" i="2"/>
  <c r="O371" i="2"/>
  <c r="E372" i="2"/>
  <c r="F372" i="2"/>
  <c r="G372" i="2"/>
  <c r="H372" i="2"/>
  <c r="I372" i="2"/>
  <c r="J372" i="2"/>
  <c r="K372" i="2"/>
  <c r="L372" i="2"/>
  <c r="M372" i="2"/>
  <c r="N372" i="2"/>
  <c r="O372" i="2"/>
  <c r="E373" i="2"/>
  <c r="F373" i="2"/>
  <c r="G373" i="2"/>
  <c r="H373" i="2"/>
  <c r="I373" i="2"/>
  <c r="J373" i="2"/>
  <c r="K373" i="2"/>
  <c r="L373" i="2"/>
  <c r="M373" i="2"/>
  <c r="N373" i="2"/>
  <c r="O373" i="2"/>
  <c r="E374" i="2"/>
  <c r="F374" i="2"/>
  <c r="G374" i="2"/>
  <c r="H374" i="2"/>
  <c r="I374" i="2"/>
  <c r="J374" i="2"/>
  <c r="K374" i="2"/>
  <c r="L374" i="2"/>
  <c r="M374" i="2"/>
  <c r="N374" i="2"/>
  <c r="O374" i="2"/>
  <c r="E375" i="2"/>
  <c r="F375" i="2"/>
  <c r="G375" i="2"/>
  <c r="H375" i="2"/>
  <c r="I375" i="2"/>
  <c r="J375" i="2"/>
  <c r="K375" i="2"/>
  <c r="L375" i="2"/>
  <c r="M375" i="2"/>
  <c r="N375" i="2"/>
  <c r="O375" i="2"/>
  <c r="E376" i="2"/>
  <c r="F376" i="2"/>
  <c r="G376" i="2"/>
  <c r="H376" i="2"/>
  <c r="I376" i="2"/>
  <c r="J376" i="2"/>
  <c r="K376" i="2"/>
  <c r="L376" i="2"/>
  <c r="M376" i="2"/>
  <c r="N376" i="2"/>
  <c r="O376" i="2"/>
  <c r="E377" i="2"/>
  <c r="F377" i="2"/>
  <c r="G377" i="2"/>
  <c r="H377" i="2"/>
  <c r="I377" i="2"/>
  <c r="J377" i="2"/>
  <c r="K377" i="2"/>
  <c r="L377" i="2"/>
  <c r="M377" i="2"/>
  <c r="N377" i="2"/>
  <c r="O377" i="2"/>
  <c r="E378" i="2"/>
  <c r="F378" i="2"/>
  <c r="G378" i="2"/>
  <c r="H378" i="2"/>
  <c r="I378" i="2"/>
  <c r="J378" i="2"/>
  <c r="K378" i="2"/>
  <c r="L378" i="2"/>
  <c r="M378" i="2"/>
  <c r="N378" i="2"/>
  <c r="O378" i="2"/>
  <c r="E379" i="2"/>
  <c r="F379" i="2"/>
  <c r="G379" i="2"/>
  <c r="H379" i="2"/>
  <c r="I379" i="2"/>
  <c r="J379" i="2"/>
  <c r="K379" i="2"/>
  <c r="L379" i="2"/>
  <c r="M379" i="2"/>
  <c r="N379" i="2"/>
  <c r="O379" i="2"/>
  <c r="E380" i="2"/>
  <c r="F380" i="2"/>
  <c r="G380" i="2"/>
  <c r="H380" i="2"/>
  <c r="I380" i="2"/>
  <c r="J380" i="2"/>
  <c r="K380" i="2"/>
  <c r="L380" i="2"/>
  <c r="M380" i="2"/>
  <c r="N380" i="2"/>
  <c r="O380" i="2"/>
  <c r="E381" i="2"/>
  <c r="F381" i="2"/>
  <c r="G381" i="2"/>
  <c r="H381" i="2"/>
  <c r="I381" i="2"/>
  <c r="J381" i="2"/>
  <c r="K381" i="2"/>
  <c r="L381" i="2"/>
  <c r="M381" i="2"/>
  <c r="N381" i="2"/>
  <c r="O381" i="2"/>
  <c r="E382" i="2"/>
  <c r="F382" i="2"/>
  <c r="G382" i="2"/>
  <c r="H382" i="2"/>
  <c r="I382" i="2"/>
  <c r="J382" i="2"/>
  <c r="K382" i="2"/>
  <c r="L382" i="2"/>
  <c r="M382" i="2"/>
  <c r="N382" i="2"/>
  <c r="O382" i="2"/>
  <c r="E383" i="2"/>
  <c r="F383" i="2"/>
  <c r="G383" i="2"/>
  <c r="H383" i="2"/>
  <c r="I383" i="2"/>
  <c r="J383" i="2"/>
  <c r="K383" i="2"/>
  <c r="L383" i="2"/>
  <c r="M383" i="2"/>
  <c r="N383" i="2"/>
  <c r="O383" i="2"/>
  <c r="E384" i="2"/>
  <c r="F384" i="2"/>
  <c r="G384" i="2"/>
  <c r="H384" i="2"/>
  <c r="I384" i="2"/>
  <c r="J384" i="2"/>
  <c r="K384" i="2"/>
  <c r="L384" i="2"/>
  <c r="M384" i="2"/>
  <c r="N384" i="2"/>
  <c r="O384" i="2"/>
  <c r="E385" i="2"/>
  <c r="F385" i="2"/>
  <c r="G385" i="2"/>
  <c r="H385" i="2"/>
  <c r="I385" i="2"/>
  <c r="J385" i="2"/>
  <c r="K385" i="2"/>
  <c r="L385" i="2"/>
  <c r="M385" i="2"/>
  <c r="N385" i="2"/>
  <c r="O385" i="2"/>
  <c r="E386" i="2"/>
  <c r="F386" i="2"/>
  <c r="G386" i="2"/>
  <c r="H386" i="2"/>
  <c r="I386" i="2"/>
  <c r="J386" i="2"/>
  <c r="K386" i="2"/>
  <c r="L386" i="2"/>
  <c r="M386" i="2"/>
  <c r="N386" i="2"/>
  <c r="O386" i="2"/>
  <c r="E387" i="2"/>
  <c r="F387" i="2"/>
  <c r="G387" i="2"/>
  <c r="H387" i="2"/>
  <c r="I387" i="2"/>
  <c r="J387" i="2"/>
  <c r="K387" i="2"/>
  <c r="L387" i="2"/>
  <c r="M387" i="2"/>
  <c r="N387" i="2"/>
  <c r="O387" i="2"/>
  <c r="E388" i="2"/>
  <c r="F388" i="2"/>
  <c r="G388" i="2"/>
  <c r="H388" i="2"/>
  <c r="I388" i="2"/>
  <c r="J388" i="2"/>
  <c r="K388" i="2"/>
  <c r="L388" i="2"/>
  <c r="M388" i="2"/>
  <c r="N388" i="2"/>
  <c r="O388" i="2"/>
  <c r="E389" i="2"/>
  <c r="F389" i="2"/>
  <c r="G389" i="2"/>
  <c r="H389" i="2"/>
  <c r="I389" i="2"/>
  <c r="J389" i="2"/>
  <c r="K389" i="2"/>
  <c r="L389" i="2"/>
  <c r="M389" i="2"/>
  <c r="N389" i="2"/>
  <c r="O389" i="2"/>
  <c r="E390" i="2"/>
  <c r="F390" i="2"/>
  <c r="G390" i="2"/>
  <c r="H390" i="2"/>
  <c r="I390" i="2"/>
  <c r="J390" i="2"/>
  <c r="K390" i="2"/>
  <c r="L390" i="2"/>
  <c r="M390" i="2"/>
  <c r="N390" i="2"/>
  <c r="O390" i="2"/>
  <c r="E391" i="2"/>
  <c r="F391" i="2"/>
  <c r="G391" i="2"/>
  <c r="H391" i="2"/>
  <c r="I391" i="2"/>
  <c r="J391" i="2"/>
  <c r="K391" i="2"/>
  <c r="L391" i="2"/>
  <c r="M391" i="2"/>
  <c r="N391" i="2"/>
  <c r="O391" i="2"/>
  <c r="E392" i="2"/>
  <c r="F392" i="2"/>
  <c r="G392" i="2"/>
  <c r="H392" i="2"/>
  <c r="I392" i="2"/>
  <c r="J392" i="2"/>
  <c r="K392" i="2"/>
  <c r="L392" i="2"/>
  <c r="M392" i="2"/>
  <c r="N392" i="2"/>
  <c r="O392" i="2"/>
  <c r="E393" i="2"/>
  <c r="F393" i="2"/>
  <c r="G393" i="2"/>
  <c r="H393" i="2"/>
  <c r="I393" i="2"/>
  <c r="J393" i="2"/>
  <c r="K393" i="2"/>
  <c r="L393" i="2"/>
  <c r="M393" i="2"/>
  <c r="N393" i="2"/>
  <c r="O393" i="2"/>
  <c r="E394" i="2"/>
  <c r="F394" i="2"/>
  <c r="G394" i="2"/>
  <c r="H394" i="2"/>
  <c r="I394" i="2"/>
  <c r="J394" i="2"/>
  <c r="K394" i="2"/>
  <c r="L394" i="2"/>
  <c r="M394" i="2"/>
  <c r="N394" i="2"/>
  <c r="O394" i="2"/>
  <c r="E395" i="2"/>
  <c r="F395" i="2"/>
  <c r="G395" i="2"/>
  <c r="H395" i="2"/>
  <c r="I395" i="2"/>
  <c r="J395" i="2"/>
  <c r="K395" i="2"/>
  <c r="L395" i="2"/>
  <c r="M395" i="2"/>
  <c r="N395" i="2"/>
  <c r="O395" i="2"/>
  <c r="E396" i="2"/>
  <c r="F396" i="2"/>
  <c r="G396" i="2"/>
  <c r="H396" i="2"/>
  <c r="I396" i="2"/>
  <c r="J396" i="2"/>
  <c r="K396" i="2"/>
  <c r="L396" i="2"/>
  <c r="M396" i="2"/>
  <c r="N396" i="2"/>
  <c r="O396" i="2"/>
  <c r="E397" i="2"/>
  <c r="F397" i="2"/>
  <c r="G397" i="2"/>
  <c r="H397" i="2"/>
  <c r="I397" i="2"/>
  <c r="J397" i="2"/>
  <c r="K397" i="2"/>
  <c r="L397" i="2"/>
  <c r="M397" i="2"/>
  <c r="N397" i="2"/>
  <c r="O397" i="2"/>
  <c r="E398" i="2"/>
  <c r="F398" i="2"/>
  <c r="G398" i="2"/>
  <c r="H398" i="2"/>
  <c r="I398" i="2"/>
  <c r="J398" i="2"/>
  <c r="K398" i="2"/>
  <c r="L398" i="2"/>
  <c r="M398" i="2"/>
  <c r="N398" i="2"/>
  <c r="O398" i="2"/>
  <c r="E399" i="2"/>
  <c r="F399" i="2"/>
  <c r="G399" i="2"/>
  <c r="H399" i="2"/>
  <c r="I399" i="2"/>
  <c r="J399" i="2"/>
  <c r="K399" i="2"/>
  <c r="L399" i="2"/>
  <c r="M399" i="2"/>
  <c r="N399" i="2"/>
  <c r="O399" i="2"/>
  <c r="E400" i="2"/>
  <c r="F400" i="2"/>
  <c r="G400" i="2"/>
  <c r="H400" i="2"/>
  <c r="I400" i="2"/>
  <c r="J400" i="2"/>
  <c r="K400" i="2"/>
  <c r="L400" i="2"/>
  <c r="M400" i="2"/>
  <c r="N400" i="2"/>
  <c r="O400" i="2"/>
  <c r="E401" i="2"/>
  <c r="F401" i="2"/>
  <c r="G401" i="2"/>
  <c r="H401" i="2"/>
  <c r="I401" i="2"/>
  <c r="J401" i="2"/>
  <c r="K401" i="2"/>
  <c r="L401" i="2"/>
  <c r="M401" i="2"/>
  <c r="N401" i="2"/>
  <c r="O401" i="2"/>
  <c r="E402" i="2"/>
  <c r="F402" i="2"/>
  <c r="G402" i="2"/>
  <c r="H402" i="2"/>
  <c r="I402" i="2"/>
  <c r="J402" i="2"/>
  <c r="K402" i="2"/>
  <c r="L402" i="2"/>
  <c r="M402" i="2"/>
  <c r="N402" i="2"/>
  <c r="O402" i="2"/>
  <c r="E403" i="2"/>
  <c r="F403" i="2"/>
  <c r="G403" i="2"/>
  <c r="H403" i="2"/>
  <c r="I403" i="2"/>
  <c r="J403" i="2"/>
  <c r="K403" i="2"/>
  <c r="L403" i="2"/>
  <c r="M403" i="2"/>
  <c r="N403" i="2"/>
  <c r="O403" i="2"/>
  <c r="E404" i="2"/>
  <c r="F404" i="2"/>
  <c r="G404" i="2"/>
  <c r="H404" i="2"/>
  <c r="I404" i="2"/>
  <c r="J404" i="2"/>
  <c r="K404" i="2"/>
  <c r="L404" i="2"/>
  <c r="M404" i="2"/>
  <c r="N404" i="2"/>
  <c r="O404" i="2"/>
  <c r="E405" i="2"/>
  <c r="F405" i="2"/>
  <c r="G405" i="2"/>
  <c r="H405" i="2"/>
  <c r="I405" i="2"/>
  <c r="J405" i="2"/>
  <c r="K405" i="2"/>
  <c r="L405" i="2"/>
  <c r="M405" i="2"/>
  <c r="N405" i="2"/>
  <c r="O405" i="2"/>
  <c r="E406" i="2"/>
  <c r="F406" i="2"/>
  <c r="G406" i="2"/>
  <c r="H406" i="2"/>
  <c r="I406" i="2"/>
  <c r="J406" i="2"/>
  <c r="K406" i="2"/>
  <c r="L406" i="2"/>
  <c r="M406" i="2"/>
  <c r="N406" i="2"/>
  <c r="O406" i="2"/>
  <c r="E407" i="2"/>
  <c r="F407" i="2"/>
  <c r="G407" i="2"/>
  <c r="H407" i="2"/>
  <c r="I407" i="2"/>
  <c r="J407" i="2"/>
  <c r="K407" i="2"/>
  <c r="L407" i="2"/>
  <c r="M407" i="2"/>
  <c r="N407" i="2"/>
  <c r="O407" i="2"/>
  <c r="E408" i="2"/>
  <c r="F408" i="2"/>
  <c r="G408" i="2"/>
  <c r="H408" i="2"/>
  <c r="I408" i="2"/>
  <c r="J408" i="2"/>
  <c r="K408" i="2"/>
  <c r="L408" i="2"/>
  <c r="M408" i="2"/>
  <c r="N408" i="2"/>
  <c r="O408" i="2"/>
  <c r="E409" i="2"/>
  <c r="F409" i="2"/>
  <c r="G409" i="2"/>
  <c r="H409" i="2"/>
  <c r="I409" i="2"/>
  <c r="J409" i="2"/>
  <c r="K409" i="2"/>
  <c r="L409" i="2"/>
  <c r="M409" i="2"/>
  <c r="N409" i="2"/>
  <c r="O409" i="2"/>
  <c r="E410" i="2"/>
  <c r="F410" i="2"/>
  <c r="G410" i="2"/>
  <c r="H410" i="2"/>
  <c r="I410" i="2"/>
  <c r="J410" i="2"/>
  <c r="K410" i="2"/>
  <c r="L410" i="2"/>
  <c r="M410" i="2"/>
  <c r="N410" i="2"/>
  <c r="O410" i="2"/>
  <c r="E411" i="2"/>
  <c r="F411" i="2"/>
  <c r="G411" i="2"/>
  <c r="H411" i="2"/>
  <c r="I411" i="2"/>
  <c r="J411" i="2"/>
  <c r="K411" i="2"/>
  <c r="L411" i="2"/>
  <c r="M411" i="2"/>
  <c r="N411" i="2"/>
  <c r="O411" i="2"/>
  <c r="E412" i="2"/>
  <c r="F412" i="2"/>
  <c r="G412" i="2"/>
  <c r="H412" i="2"/>
  <c r="I412" i="2"/>
  <c r="J412" i="2"/>
  <c r="K412" i="2"/>
  <c r="L412" i="2"/>
  <c r="M412" i="2"/>
  <c r="N412" i="2"/>
  <c r="O412" i="2"/>
  <c r="E413" i="2"/>
  <c r="F413" i="2"/>
  <c r="G413" i="2"/>
  <c r="H413" i="2"/>
  <c r="I413" i="2"/>
  <c r="J413" i="2"/>
  <c r="K413" i="2"/>
  <c r="L413" i="2"/>
  <c r="M413" i="2"/>
  <c r="N413" i="2"/>
  <c r="O413" i="2"/>
  <c r="E414" i="2"/>
  <c r="F414" i="2"/>
  <c r="G414" i="2"/>
  <c r="H414" i="2"/>
  <c r="I414" i="2"/>
  <c r="J414" i="2"/>
  <c r="K414" i="2"/>
  <c r="L414" i="2"/>
  <c r="M414" i="2"/>
  <c r="N414" i="2"/>
  <c r="O414" i="2"/>
  <c r="E415" i="2"/>
  <c r="F415" i="2"/>
  <c r="G415" i="2"/>
  <c r="H415" i="2"/>
  <c r="I415" i="2"/>
  <c r="J415" i="2"/>
  <c r="K415" i="2"/>
  <c r="L415" i="2"/>
  <c r="M415" i="2"/>
  <c r="N415" i="2"/>
  <c r="O415" i="2"/>
  <c r="E416" i="2"/>
  <c r="F416" i="2"/>
  <c r="G416" i="2"/>
  <c r="H416" i="2"/>
  <c r="I416" i="2"/>
  <c r="J416" i="2"/>
  <c r="K416" i="2"/>
  <c r="L416" i="2"/>
  <c r="M416" i="2"/>
  <c r="N416" i="2"/>
  <c r="O416" i="2"/>
  <c r="E417" i="2"/>
  <c r="F417" i="2"/>
  <c r="G417" i="2"/>
  <c r="H417" i="2"/>
  <c r="I417" i="2"/>
  <c r="J417" i="2"/>
  <c r="K417" i="2"/>
  <c r="L417" i="2"/>
  <c r="M417" i="2"/>
  <c r="N417" i="2"/>
  <c r="O417" i="2"/>
  <c r="E418" i="2"/>
  <c r="F418" i="2"/>
  <c r="G418" i="2"/>
  <c r="H418" i="2"/>
  <c r="I418" i="2"/>
  <c r="J418" i="2"/>
  <c r="K418" i="2"/>
  <c r="L418" i="2"/>
  <c r="M418" i="2"/>
  <c r="N418" i="2"/>
  <c r="O418" i="2"/>
  <c r="E419" i="2"/>
  <c r="F419" i="2"/>
  <c r="G419" i="2"/>
  <c r="H419" i="2"/>
  <c r="I419" i="2"/>
  <c r="J419" i="2"/>
  <c r="K419" i="2"/>
  <c r="L419" i="2"/>
  <c r="M419" i="2"/>
  <c r="N419" i="2"/>
  <c r="O419" i="2"/>
  <c r="E420" i="2"/>
  <c r="F420" i="2"/>
  <c r="G420" i="2"/>
  <c r="H420" i="2"/>
  <c r="I420" i="2"/>
  <c r="J420" i="2"/>
  <c r="K420" i="2"/>
  <c r="L420" i="2"/>
  <c r="M420" i="2"/>
  <c r="N420" i="2"/>
  <c r="O420" i="2"/>
  <c r="E421" i="2"/>
  <c r="F421" i="2"/>
  <c r="G421" i="2"/>
  <c r="H421" i="2"/>
  <c r="I421" i="2"/>
  <c r="J421" i="2"/>
  <c r="K421" i="2"/>
  <c r="L421" i="2"/>
  <c r="M421" i="2"/>
  <c r="N421" i="2"/>
  <c r="O421" i="2"/>
  <c r="E422" i="2"/>
  <c r="F422" i="2"/>
  <c r="G422" i="2"/>
  <c r="H422" i="2"/>
  <c r="I422" i="2"/>
  <c r="J422" i="2"/>
  <c r="K422" i="2"/>
  <c r="L422" i="2"/>
  <c r="M422" i="2"/>
  <c r="N422" i="2"/>
  <c r="O422" i="2"/>
  <c r="E423" i="2"/>
  <c r="F423" i="2"/>
  <c r="G423" i="2"/>
  <c r="H423" i="2"/>
  <c r="I423" i="2"/>
  <c r="J423" i="2"/>
  <c r="K423" i="2"/>
  <c r="L423" i="2"/>
  <c r="M423" i="2"/>
  <c r="N423" i="2"/>
  <c r="O423" i="2"/>
  <c r="E424" i="2"/>
  <c r="F424" i="2"/>
  <c r="G424" i="2"/>
  <c r="H424" i="2"/>
  <c r="I424" i="2"/>
  <c r="J424" i="2"/>
  <c r="K424" i="2"/>
  <c r="L424" i="2"/>
  <c r="M424" i="2"/>
  <c r="N424" i="2"/>
  <c r="O424" i="2"/>
  <c r="E425" i="2"/>
  <c r="F425" i="2"/>
  <c r="G425" i="2"/>
  <c r="H425" i="2"/>
  <c r="I425" i="2"/>
  <c r="J425" i="2"/>
  <c r="K425" i="2"/>
  <c r="L425" i="2"/>
  <c r="M425" i="2"/>
  <c r="N425" i="2"/>
  <c r="O425" i="2"/>
  <c r="E426" i="2"/>
  <c r="F426" i="2"/>
  <c r="G426" i="2"/>
  <c r="H426" i="2"/>
  <c r="I426" i="2"/>
  <c r="J426" i="2"/>
  <c r="K426" i="2"/>
  <c r="L426" i="2"/>
  <c r="M426" i="2"/>
  <c r="N426" i="2"/>
  <c r="O426" i="2"/>
  <c r="E427" i="2"/>
  <c r="F427" i="2"/>
  <c r="G427" i="2"/>
  <c r="H427" i="2"/>
  <c r="I427" i="2"/>
  <c r="J427" i="2"/>
  <c r="K427" i="2"/>
  <c r="L427" i="2"/>
  <c r="M427" i="2"/>
  <c r="N427" i="2"/>
  <c r="O427" i="2"/>
  <c r="E428" i="2"/>
  <c r="F428" i="2"/>
  <c r="G428" i="2"/>
  <c r="H428" i="2"/>
  <c r="I428" i="2"/>
  <c r="J428" i="2"/>
  <c r="K428" i="2"/>
  <c r="L428" i="2"/>
  <c r="M428" i="2"/>
  <c r="N428" i="2"/>
  <c r="O428" i="2"/>
  <c r="E429" i="2"/>
  <c r="F429" i="2"/>
  <c r="G429" i="2"/>
  <c r="H429" i="2"/>
  <c r="I429" i="2"/>
  <c r="J429" i="2"/>
  <c r="K429" i="2"/>
  <c r="L429" i="2"/>
  <c r="M429" i="2"/>
  <c r="N429" i="2"/>
  <c r="O429" i="2"/>
  <c r="E430" i="2"/>
  <c r="F430" i="2"/>
  <c r="G430" i="2"/>
  <c r="H430" i="2"/>
  <c r="I430" i="2"/>
  <c r="J430" i="2"/>
  <c r="K430" i="2"/>
  <c r="L430" i="2"/>
  <c r="M430" i="2"/>
  <c r="N430" i="2"/>
  <c r="O430" i="2"/>
  <c r="E431" i="2"/>
  <c r="F431" i="2"/>
  <c r="G431" i="2"/>
  <c r="H431" i="2"/>
  <c r="I431" i="2"/>
  <c r="J431" i="2"/>
  <c r="K431" i="2"/>
  <c r="L431" i="2"/>
  <c r="M431" i="2"/>
  <c r="N431" i="2"/>
  <c r="O431" i="2"/>
  <c r="E432" i="2"/>
  <c r="F432" i="2"/>
  <c r="G432" i="2"/>
  <c r="H432" i="2"/>
  <c r="I432" i="2"/>
  <c r="J432" i="2"/>
  <c r="K432" i="2"/>
  <c r="L432" i="2"/>
  <c r="M432" i="2"/>
  <c r="N432" i="2"/>
  <c r="O432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T3" i="10" l="1"/>
  <c r="T2" i="10"/>
</calcChain>
</file>

<file path=xl/sharedStrings.xml><?xml version="1.0" encoding="utf-8"?>
<sst xmlns="http://schemas.openxmlformats.org/spreadsheetml/2006/main" count="769" uniqueCount="218">
  <si>
    <t>school</t>
  </si>
  <si>
    <t>supermarket</t>
  </si>
  <si>
    <t>PVZ</t>
  </si>
  <si>
    <t>obshepit</t>
  </si>
  <si>
    <t>hotel</t>
  </si>
  <si>
    <t>BC</t>
  </si>
  <si>
    <t>bank</t>
  </si>
  <si>
    <t>kindergarten</t>
  </si>
  <si>
    <t>polyclinic</t>
  </si>
  <si>
    <t>stop</t>
  </si>
  <si>
    <t>condition</t>
  </si>
  <si>
    <t>value</t>
  </si>
  <si>
    <t xml:space="preserve">b_n </t>
  </si>
  <si>
    <t>zone</t>
  </si>
  <si>
    <t>floors</t>
  </si>
  <si>
    <t>s_base</t>
  </si>
  <si>
    <t>complexity</t>
  </si>
  <si>
    <t>to_centre</t>
  </si>
  <si>
    <t>min</t>
  </si>
  <si>
    <t>max (k=1,5)</t>
  </si>
  <si>
    <t>max (k=3)</t>
  </si>
  <si>
    <t>id</t>
  </si>
  <si>
    <t>vosstanovleno</t>
  </si>
  <si>
    <t>sneseno</t>
  </si>
  <si>
    <t>R2 Макфаддена</t>
  </si>
  <si>
    <t>p-value</t>
  </si>
  <si>
    <t>coef</t>
  </si>
  <si>
    <t>exp_coef</t>
  </si>
  <si>
    <t>norm_exp_coef</t>
  </si>
  <si>
    <t>weight</t>
  </si>
  <si>
    <t>для к 1,5</t>
  </si>
  <si>
    <t>для к 3</t>
  </si>
  <si>
    <t>итоговые лучшие</t>
  </si>
  <si>
    <t>max</t>
  </si>
  <si>
    <t>итог</t>
  </si>
  <si>
    <t>остатки</t>
  </si>
  <si>
    <t>вес</t>
  </si>
  <si>
    <t>int_v_service</t>
  </si>
  <si>
    <t>int_s_service</t>
  </si>
  <si>
    <t>вес для всех</t>
  </si>
  <si>
    <t>вес без формы</t>
  </si>
  <si>
    <t>вес без бывшего назначения</t>
  </si>
  <si>
    <t>без формы</t>
  </si>
  <si>
    <t>без бывшего назначения</t>
  </si>
  <si>
    <t>int_v_potential</t>
  </si>
  <si>
    <t>int_v_potential_bez_complex</t>
  </si>
  <si>
    <t>int_v_potential_bez_bn</t>
  </si>
  <si>
    <t>int_s_potential</t>
  </si>
  <si>
    <t>int_s_potential_bez_complex</t>
  </si>
  <si>
    <t>int_s_potential_bez_bn</t>
  </si>
  <si>
    <t>на данных</t>
  </si>
  <si>
    <t>теоретический</t>
  </si>
  <si>
    <t>norm_int_s_potential</t>
  </si>
  <si>
    <t>norm_int_v_potential</t>
  </si>
  <si>
    <t>средний norm_int_v_potential для восстановленных</t>
  </si>
  <si>
    <t>минимальный norm_int_v_potential для восстановленных</t>
  </si>
  <si>
    <t>средний norm_int_s_potential для снесённых</t>
  </si>
  <si>
    <t>средний norm_int_v_potential для снесённых</t>
  </si>
  <si>
    <t>минимальный norm_int_v_potential для снесённых</t>
  </si>
  <si>
    <t>минимальный norm_int_s_potential для снесённых</t>
  </si>
  <si>
    <t>средний norm_int_s_potential для восстановленных</t>
  </si>
  <si>
    <t>минимальный norm_int_s_potential длявосстановленных</t>
  </si>
  <si>
    <t>сноса</t>
  </si>
  <si>
    <t>50-74</t>
  </si>
  <si>
    <t>&lt;50</t>
  </si>
  <si>
    <t>20-59</t>
  </si>
  <si>
    <t>&lt;20</t>
  </si>
  <si>
    <t>pv59_ps50</t>
  </si>
  <si>
    <t>pv59_ps74</t>
  </si>
  <si>
    <t>pv59_ps50_74</t>
  </si>
  <si>
    <t>pv20_59_ps74</t>
  </si>
  <si>
    <t>pv20_59_ps50_74</t>
  </si>
  <si>
    <t>pv20_59_ps50</t>
  </si>
  <si>
    <t>название атрибута</t>
  </si>
  <si>
    <t>кол-во случаев</t>
  </si>
  <si>
    <t>pv20_ps74</t>
  </si>
  <si>
    <t>pv20_ps50_74</t>
  </si>
  <si>
    <t>pv20_ps50</t>
  </si>
  <si>
    <t>case when "norm_int_v_potential" &gt;= 20
then (case when  "norm_int_v_potential" &lt; 59
then (case when  "norm_int_s_potential" &lt; 50
then 1
else 0
end)
else 0
end)
else 0
end</t>
  </si>
  <si>
    <t>case when "norm_int_v_potential" &gt;= 20
then (case when  "norm_int_v_potential" &lt; 59
then (case when  "norm_int_s_potential" &gt;= 50
then (case when  "norm_int_s_potential" &lt; 74
then 1
else 0
end)
else 0
end)
else 0
end)
else 0
end</t>
  </si>
  <si>
    <t>case when "norm_int_v_potential" &gt;= 20
then (case when  "norm_int_v_potential" &lt; 59
then (case when  "norm_int_s_potential" &gt;= 74
then 1
else 0
end)
else 0
end)
else 0
end</t>
  </si>
  <si>
    <t>case when "norm_int_v_potential" &lt; 20
then (case when  "norm_int_s_potential" &lt; 50
then 1
else 0
end)
else 0
end</t>
  </si>
  <si>
    <t>case when "norm_int_v_potential" &lt; 20
then (case when  "norm_int_s_potential" &gt;= 50
then (case when  "norm_int_s_potential" &lt; 74
then 1
else 0
end)
else 0
end)
else 0
end</t>
  </si>
  <si>
    <t>case when "norm_int_v_potential" &lt; 20
then (case when  "norm_int_s_potential" &gt;= 74
then 1
else 0
end)
else 0
end</t>
  </si>
  <si>
    <t>Варианты комбинаций потенциала</t>
  </si>
  <si>
    <t>&gt;= 59</t>
  </si>
  <si>
    <t>&gt;= 74</t>
  </si>
  <si>
    <t>формула</t>
  </si>
  <si>
    <t>ревитализации</t>
  </si>
  <si>
    <t>значение</t>
  </si>
  <si>
    <t>высокий потенциал ревитализации и низкий потенциал сноса</t>
  </si>
  <si>
    <t>высокий потенциал ревитализации и средний потенциал сноса</t>
  </si>
  <si>
    <t>высокий потенциал ревитализации и высокий потенциал сноса</t>
  </si>
  <si>
    <t>Потенциал ревитализации</t>
  </si>
  <si>
    <t>Потенциал сноса</t>
  </si>
  <si>
    <t>кол-во объектов</t>
  </si>
  <si>
    <t>высокий потенциал ревитализации</t>
  </si>
  <si>
    <t>средний потенциал ревитализации</t>
  </si>
  <si>
    <t>низкий потенциал ревитализации</t>
  </si>
  <si>
    <t>высокий потенциал сноса</t>
  </si>
  <si>
    <t>средний потенциал сноса</t>
  </si>
  <si>
    <t>низкий потенциал сноса</t>
  </si>
  <si>
    <t>средний потенциал ревитализации и низкий потенциал сноса</t>
  </si>
  <si>
    <t>средний потенциал ревитализации и средний потенциал сноса</t>
  </si>
  <si>
    <t>средний потенциал ревитализации и высокий потенциал сноса</t>
  </si>
  <si>
    <t>низкий потенциал ревитализации и низкий потенциал сноса</t>
  </si>
  <si>
    <t>низкий потенциал ревитализации и средний потенциал сноса</t>
  </si>
  <si>
    <t>низкий потенциал ревитализации и высокий потенциал сноса</t>
  </si>
  <si>
    <t>рекомендации</t>
  </si>
  <si>
    <t>снос</t>
  </si>
  <si>
    <t>ревитализация</t>
  </si>
  <si>
    <t>консервация</t>
  </si>
  <si>
    <t>case when "norm_int_v_potential" &gt;= 59
then (case when  "norm_int_s_potential" &lt; 50
then 1
else 0
end)
else 0
end</t>
  </si>
  <si>
    <t>case when "norm_int_v_potential" &gt;= 59
then (case when  "norm_int_s_potential" &gt;= 50
then (case when  "norm_int_s_potential" &lt; 74
then 1
else 0
end)
else 0
end)
else 0
end</t>
  </si>
  <si>
    <t>case when "norm_int_v_potential" &gt;= 59
then (case when  "norm_int_s_potential" &gt;= 74
then 1
else 0
end)
else 0
end</t>
  </si>
  <si>
    <t>значения</t>
  </si>
  <si>
    <t>количество объектов</t>
  </si>
  <si>
    <t>10-13</t>
  </si>
  <si>
    <t>1-3</t>
  </si>
  <si>
    <t>4-6</t>
  </si>
  <si>
    <t>7-9</t>
  </si>
  <si>
    <t>1-2</t>
  </si>
  <si>
    <t>3-5</t>
  </si>
  <si>
    <t>25-29</t>
  </si>
  <si>
    <t>1-8</t>
  </si>
  <si>
    <t>9-16</t>
  </si>
  <si>
    <t>17-24</t>
  </si>
  <si>
    <t>1-40</t>
  </si>
  <si>
    <t>41-80</t>
  </si>
  <si>
    <t>81-120</t>
  </si>
  <si>
    <t>121-160</t>
  </si>
  <si>
    <t>1-14</t>
  </si>
  <si>
    <t>15-28</t>
  </si>
  <si>
    <t>29-42</t>
  </si>
  <si>
    <t>43-56</t>
  </si>
  <si>
    <t>1-10</t>
  </si>
  <si>
    <t>11-20</t>
  </si>
  <si>
    <t>21-30</t>
  </si>
  <si>
    <t>31-37</t>
  </si>
  <si>
    <t>1-4</t>
  </si>
  <si>
    <t>5-8</t>
  </si>
  <si>
    <t>9-12</t>
  </si>
  <si>
    <t>13-14</t>
  </si>
  <si>
    <t>1-7</t>
  </si>
  <si>
    <t>8-14</t>
  </si>
  <si>
    <t>15-21</t>
  </si>
  <si>
    <t>22-28</t>
  </si>
  <si>
    <t>критическое</t>
  </si>
  <si>
    <t>плохое</t>
  </si>
  <si>
    <t>удовлетворительное</t>
  </si>
  <si>
    <t>хорошее</t>
  </si>
  <si>
    <t>не ОКН</t>
  </si>
  <si>
    <t>ОКН</t>
  </si>
  <si>
    <t>гражданское</t>
  </si>
  <si>
    <t>не гражданское</t>
  </si>
  <si>
    <t>специального назначения</t>
  </si>
  <si>
    <t>производственная, инженерная, транспортная</t>
  </si>
  <si>
    <t>рекреационная</t>
  </si>
  <si>
    <t>общественно-деловая</t>
  </si>
  <si>
    <t>жилая</t>
  </si>
  <si>
    <t>3-4</t>
  </si>
  <si>
    <t>5-6</t>
  </si>
  <si>
    <t>7-8</t>
  </si>
  <si>
    <t>9</t>
  </si>
  <si>
    <t>простая</t>
  </si>
  <si>
    <t>простая усложнённая</t>
  </si>
  <si>
    <t>средней сложности</t>
  </si>
  <si>
    <t>сложная</t>
  </si>
  <si>
    <t>0-5</t>
  </si>
  <si>
    <t>5-10</t>
  </si>
  <si>
    <t>10-15</t>
  </si>
  <si>
    <t>15-20</t>
  </si>
  <si>
    <t>20-24</t>
  </si>
  <si>
    <t>0-1</t>
  </si>
  <si>
    <t>2-3</t>
  </si>
  <si>
    <t>4-24</t>
  </si>
  <si>
    <t>min (минимум)</t>
  </si>
  <si>
    <t>max (максимум)</t>
  </si>
  <si>
    <t>school (школа)</t>
  </si>
  <si>
    <t>kindergarten (детский сад)</t>
  </si>
  <si>
    <t>polyclinic (поликлиника)</t>
  </si>
  <si>
    <t>supermarket (продуктовый магазин)</t>
  </si>
  <si>
    <t>PVZ (пункт выдачи заказов)</t>
  </si>
  <si>
    <t>obshepit (заведение общественного питания)</t>
  </si>
  <si>
    <t>hotel (отель/гостиница)</t>
  </si>
  <si>
    <t>BC (бизнес-центр)</t>
  </si>
  <si>
    <t>bank (отделение банка)</t>
  </si>
  <si>
    <t>stop (остановка общественного транспорта)</t>
  </si>
  <si>
    <t>to_centre (расстояние до центра города)</t>
  </si>
  <si>
    <t>condition (состояние здания)</t>
  </si>
  <si>
    <t>value (наличие статуса ОКН)</t>
  </si>
  <si>
    <t>b_n (бывшее назначение)</t>
  </si>
  <si>
    <t>zone (функциональная зона)</t>
  </si>
  <si>
    <t>floors (кол-во этажей)</t>
  </si>
  <si>
    <t>s_base (площадь основания здания)</t>
  </si>
  <si>
    <t>complexity (сложность формы здания)</t>
  </si>
  <si>
    <t>Кол-во городских сервисов в 5-минутной пешеходной зоне от заброшенного здания</t>
  </si>
  <si>
    <t>Весовой коэффициент</t>
  </si>
  <si>
    <t>для потенциала ревитализации</t>
  </si>
  <si>
    <t>для потенциала сноса</t>
  </si>
  <si>
    <t>Атрибут городского сервиса</t>
  </si>
  <si>
    <t xml:space="preserve">Атрибуты 
нормализованных показателей </t>
  </si>
  <si>
    <t>Остатки при вычитании единицы</t>
  </si>
  <si>
    <t>coef (коэффициенты логистической регрессии)</t>
  </si>
  <si>
    <t>exp_coef (проэкспонированные коэффициенты логистической регрессии)</t>
  </si>
  <si>
    <t>Веса - нормализованные остатки (сумма = 1)</t>
  </si>
  <si>
    <t>для ревитализации</t>
  </si>
  <si>
    <t>для сноса</t>
  </si>
  <si>
    <t>R^2 Макфаддена</t>
  </si>
  <si>
    <t>Значения логистической регрессии</t>
  </si>
  <si>
    <t>со случаями восстановления</t>
  </si>
  <si>
    <t>со случаями сноса</t>
  </si>
  <si>
    <t>Среднее значение потенциала ревитализации</t>
  </si>
  <si>
    <t>Минимальное значение потенциала ревитализации</t>
  </si>
  <si>
    <t>для восстановленных зданий</t>
  </si>
  <si>
    <t>для снесённых зданий</t>
  </si>
  <si>
    <t>Среднее значение потенциала сноса</t>
  </si>
  <si>
    <t>Минимальное значение потенциала сноса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</si>
</sst>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00"/>
    <numFmt numFmtId="168" formatCode="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8FC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FC26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1" xfId="0" applyFont="1" applyBorder="1"/>
    <xf numFmtId="0" fontId="3" fillId="0" borderId="2" xfId="0" applyFont="1" applyBorder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3" borderId="0" xfId="0" applyFill="1"/>
    <xf numFmtId="0" fontId="2" fillId="0" borderId="0" xfId="0" applyFont="1"/>
    <xf numFmtId="0" fontId="0" fillId="4" borderId="0" xfId="0" applyFill="1"/>
    <xf numFmtId="0" fontId="5" fillId="0" borderId="0" xfId="0" applyFont="1"/>
    <xf numFmtId="0" fontId="4" fillId="4" borderId="0" xfId="0" applyFont="1" applyFill="1"/>
    <xf numFmtId="0" fontId="0" fillId="5" borderId="0" xfId="0" applyFill="1"/>
    <xf numFmtId="0" fontId="6" fillId="0" borderId="3" xfId="0" applyFont="1" applyBorder="1"/>
    <xf numFmtId="0" fontId="0" fillId="0" borderId="4" xfId="0" applyBorder="1"/>
    <xf numFmtId="0" fontId="6" fillId="0" borderId="4" xfId="0" applyFont="1" applyBorder="1"/>
    <xf numFmtId="0" fontId="0" fillId="0" borderId="5" xfId="0" applyBorder="1"/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0" fillId="0" borderId="7" xfId="0" applyBorder="1"/>
    <xf numFmtId="0" fontId="6" fillId="0" borderId="7" xfId="0" applyFont="1" applyBorder="1"/>
    <xf numFmtId="166" fontId="0" fillId="3" borderId="0" xfId="0" applyNumberFormat="1" applyFill="1"/>
    <xf numFmtId="166" fontId="0" fillId="3" borderId="4" xfId="0" applyNumberFormat="1" applyFill="1" applyBorder="1"/>
    <xf numFmtId="166" fontId="0" fillId="3" borderId="7" xfId="0" applyNumberFormat="1" applyFill="1" applyBorder="1"/>
    <xf numFmtId="2" fontId="0" fillId="0" borderId="4" xfId="0" applyNumberFormat="1" applyBorder="1"/>
    <xf numFmtId="2" fontId="0" fillId="0" borderId="7" xfId="0" applyNumberFormat="1" applyBorder="1"/>
    <xf numFmtId="9" fontId="0" fillId="0" borderId="0" xfId="1" applyFont="1"/>
    <xf numFmtId="165" fontId="0" fillId="2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/>
    <xf numFmtId="1" fontId="0" fillId="0" borderId="8" xfId="0" applyNumberForma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1" fontId="0" fillId="0" borderId="14" xfId="0" applyNumberFormat="1" applyBorder="1"/>
    <xf numFmtId="0" fontId="0" fillId="0" borderId="16" xfId="0" applyBorder="1"/>
    <xf numFmtId="1" fontId="0" fillId="0" borderId="16" xfId="0" applyNumberFormat="1" applyBorder="1"/>
    <xf numFmtId="0" fontId="0" fillId="0" borderId="17" xfId="0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1" fontId="0" fillId="0" borderId="17" xfId="0" applyNumberFormat="1" applyBorder="1"/>
    <xf numFmtId="2" fontId="0" fillId="0" borderId="8" xfId="0" applyNumberFormat="1" applyBorder="1"/>
    <xf numFmtId="167" fontId="0" fillId="0" borderId="0" xfId="0" applyNumberFormat="1"/>
    <xf numFmtId="165" fontId="0" fillId="0" borderId="8" xfId="0" applyNumberFormat="1" applyBorder="1"/>
    <xf numFmtId="168" fontId="0" fillId="0" borderId="8" xfId="0" applyNumberFormat="1" applyBorder="1"/>
    <xf numFmtId="166" fontId="0" fillId="0" borderId="8" xfId="0" applyNumberFormat="1" applyBorder="1"/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2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colors>
    <mruColors>
      <color rgb="FFE8FCC0"/>
      <color rgb="FF8FC26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01B95-3E7A-4C3B-87F5-1BDB9CFE5497}" name="Таблица2" displayName="Таблица2" ref="A1:U432" totalsRowShown="0">
  <autoFilter ref="A1:U432" xr:uid="{91101B95-3E7A-4C3B-87F5-1BDB9CFE5497}"/>
  <tableColumns count="21">
    <tableColumn id="1" xr3:uid="{7D0F8C2E-DC0E-4581-86EF-7F09BC982390}" name="id" dataDxfId="23"/>
    <tableColumn id="2" xr3:uid="{66767547-C05D-4E25-B2A4-CEE2F2AF4EA9}" name="vosstanovleno" dataDxfId="22"/>
    <tableColumn id="3" xr3:uid="{D0152FE3-564E-4E63-9350-C1B56CC53722}" name="sneseno" dataDxfId="21"/>
    <tableColumn id="4" xr3:uid="{185C9DC8-F94B-42F1-B943-FF7FE7187D0E}" name="school">
      <calculatedColumnFormula>IF('исходные данные'!D2&gt;'минимумы и максимумы'!B$10,100,('исходные данные'!D2-'минимумы и максимумы'!B$9)/('минимумы и максимумы'!B$10-'минимумы и максимумы'!B$9)*100)</calculatedColumnFormula>
    </tableColumn>
    <tableColumn id="5" xr3:uid="{F63535D5-BD50-42B8-B2BF-A114B57973B6}" name="kindergarten">
      <calculatedColumnFormula>IF('исходные данные'!E2&gt;'минимумы и максимумы'!C$10,100,('исходные данные'!E2-'минимумы и максимумы'!C$9)/('минимумы и максимумы'!C$10-'минимумы и максимумы'!C$9)*100)</calculatedColumnFormula>
    </tableColumn>
    <tableColumn id="6" xr3:uid="{EA6BFF75-9B68-439C-8F3B-482F6220FFC2}" name="polyclinic">
      <calculatedColumnFormula>IF('исходные данные'!F2&gt;'минимумы и максимумы'!D$10,100,('исходные данные'!F2-'минимумы и максимумы'!D$9)/('минимумы и максимумы'!D$10-'минимумы и максимумы'!D$9)*100)</calculatedColumnFormula>
    </tableColumn>
    <tableColumn id="7" xr3:uid="{A6D63AC9-B2ED-4A86-BA31-31E80F0AA979}" name="supermarket">
      <calculatedColumnFormula>IF('исходные данные'!G2&gt;'минимумы и максимумы'!E$10,100,('исходные данные'!G2-'минимумы и максимумы'!E$9)/('минимумы и максимумы'!E$10-'минимумы и максимумы'!E$9)*100)</calculatedColumnFormula>
    </tableColumn>
    <tableColumn id="8" xr3:uid="{1A4F6C65-37C8-4823-9F9D-E33DEDB346E6}" name="PVZ">
      <calculatedColumnFormula>IF('исходные данные'!H2&gt;'минимумы и максимумы'!F$10,100,('исходные данные'!H2-'минимумы и максимумы'!F$9)/('минимумы и максимумы'!F$10-'минимумы и максимумы'!F$9)*100)</calculatedColumnFormula>
    </tableColumn>
    <tableColumn id="9" xr3:uid="{E7EBB6C3-07CB-46F6-90B7-40FE1C15ACCD}" name="obshepit">
      <calculatedColumnFormula>IF('исходные данные'!I2&gt;'минимумы и максимумы'!G$10,100,('исходные данные'!I2-'минимумы и максимумы'!G$9)/('минимумы и максимумы'!G$10-'минимумы и максимумы'!G$9)*100)</calculatedColumnFormula>
    </tableColumn>
    <tableColumn id="10" xr3:uid="{D54440F9-149F-4818-BB48-89AE1E355E05}" name="hotel">
      <calculatedColumnFormula>IF('исходные данные'!J2&gt;'минимумы и максимумы'!H$10,100,('исходные данные'!J2-'минимумы и максимумы'!H$9)/('минимумы и максимумы'!H$10-'минимумы и максимумы'!H$9)*100)</calculatedColumnFormula>
    </tableColumn>
    <tableColumn id="11" xr3:uid="{EA2AB38F-A367-4567-A288-AA41C7492EE0}" name="BC">
      <calculatedColumnFormula>IF('исходные данные'!K2&gt;'минимумы и максимумы'!I$10,100,('исходные данные'!K2-'минимумы и максимумы'!I$9)/('минимумы и максимумы'!I$10-'минимумы и максимумы'!I$9)*100)</calculatedColumnFormula>
    </tableColumn>
    <tableColumn id="12" xr3:uid="{E4FAF5E1-A2E5-4B90-8C37-5EA07DA51A18}" name="bank">
      <calculatedColumnFormula>IF('исходные данные'!L2&gt;'минимумы и максимумы'!J$10,100,('исходные данные'!L2-'минимумы и максимумы'!J$9)/('минимумы и максимумы'!J$10-'минимумы и максимумы'!J$9)*100)</calculatedColumnFormula>
    </tableColumn>
    <tableColumn id="13" xr3:uid="{979AEBE6-38A9-4C8F-9667-C4FCB9C37D43}" name="stop">
      <calculatedColumnFormula>IF('исходные данные'!M2&gt;'минимумы и максимумы'!K$10,100,('исходные данные'!M2-'минимумы и максимумы'!K$9)/('минимумы и максимумы'!K$10-'минимумы и максимумы'!K$9)*100)</calculatedColumnFormula>
    </tableColumn>
    <tableColumn id="14" xr3:uid="{618DE419-4DF3-4E02-A517-F2888225788B}" name="to_centre">
      <calculatedColumnFormula>IF('исходные данные'!N2&gt;'минимумы и максимумы'!L$10,100,('исходные данные'!N2-'минимумы и максимумы'!L$9)/('минимумы и максимумы'!L$10-'минимумы и максимумы'!L$9)*100)</calculatedColumnFormula>
    </tableColumn>
    <tableColumn id="15" xr3:uid="{92820EFF-3E3F-4129-9AAD-1E0976F79DFA}" name="condition">
      <calculatedColumnFormula>IF('исходные данные'!O2&gt;'минимумы и максимумы'!M$10,100,('исходные данные'!O2-'минимумы и максимумы'!M$9)/('минимумы и максимумы'!M$10-'минимумы и максимумы'!M$9)*100)</calculatedColumnFormula>
    </tableColumn>
    <tableColumn id="16" xr3:uid="{633CBBC2-BE78-4D06-93CE-FDA5A5276D54}" name="value">
      <calculatedColumnFormula>IF('исходные данные'!P2&gt;'минимумы и максимумы'!N$10,100,('исходные данные'!P2-'минимумы и максимумы'!N$9)/('минимумы и максимумы'!N$10-'минимумы и максимумы'!N$9)*100)</calculatedColumnFormula>
    </tableColumn>
    <tableColumn id="17" xr3:uid="{0ABBFF11-D111-4142-B3B8-6272E5DEB661}" name="b_n ">
      <calculatedColumnFormula>IF('исходные данные'!Q2&gt;'минимумы и максимумы'!O$10,100,('исходные данные'!Q2-'минимумы и максимумы'!O$9)/('минимумы и максимумы'!O$10-'минимумы и максимумы'!O$9)*100)</calculatedColumnFormula>
    </tableColumn>
    <tableColumn id="18" xr3:uid="{B54B8F83-3D97-484C-A7E9-5D5CC76CCFFD}" name="zone">
      <calculatedColumnFormula>IF('исходные данные'!R2&gt;'минимумы и максимумы'!P$10,100,('исходные данные'!R2-'минимумы и максимумы'!P$9)/('минимумы и максимумы'!P$10-'минимумы и максимумы'!P$9)*100)</calculatedColumnFormula>
    </tableColumn>
    <tableColumn id="19" xr3:uid="{00BE1DC2-D022-4276-9085-CBAD8548D1CF}" name="floors">
      <calculatedColumnFormula>IF('исходные данные'!S2&gt;'минимумы и максимумы'!Q$10,100,('исходные данные'!S2-'минимумы и максимумы'!Q$9)/('минимумы и максимумы'!Q$10-'минимумы и максимумы'!Q$9)*100)</calculatedColumnFormula>
    </tableColumn>
    <tableColumn id="20" xr3:uid="{88DEC73C-7818-4F95-9184-5A848207035C}" name="s_base">
      <calculatedColumnFormula>IF('исходные данные'!T2&gt;'минимумы и максимумы'!R$10,100,('исходные данные'!T2-'минимумы и максимумы'!R$9)/('минимумы и максимумы'!R$10-'минимумы и максимумы'!R$9)*100)</calculatedColumnFormula>
    </tableColumn>
    <tableColumn id="21" xr3:uid="{2B0A6E86-8F1D-4558-B9C6-C56D451AAD81}" name="complexity">
      <calculatedColumnFormula>IF('исходные данные'!U2&gt;'минимумы и максимумы'!S$10,100,('исходные данные'!U2-'минимумы и максимумы'!S$9)/('минимумы и максимумы'!S$10-'минимумы и максимумы'!S$9)*100)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27802-43FA-4F73-9D36-CC7491B34EEA}" name="Таблица1" displayName="Таблица1" ref="A1:U432" totalsRowShown="0">
  <autoFilter ref="A1:U432" xr:uid="{27227802-43FA-4F73-9D36-CC7491B34EEA}"/>
  <tableColumns count="21">
    <tableColumn id="1" xr3:uid="{26F7DE8F-780C-4CCB-ADBA-482EF9E93D78}" name="id" dataDxfId="20"/>
    <tableColumn id="2" xr3:uid="{B3333E7B-82FE-434A-8015-145EB58FA5BC}" name="vosstanovleno" dataDxfId="19"/>
    <tableColumn id="3" xr3:uid="{94F4A743-B45C-4832-B4EF-8216AFBA4583}" name="sneseno" dataDxfId="18"/>
    <tableColumn id="4" xr3:uid="{29805FFF-B377-4181-AA43-97AA73B1966C}" name="school" dataDxfId="17">
      <calculatedColumnFormula>IF('исходные данные'!D2&gt;'минимумы и максимумы'!B$3,100,('исходные данные'!D2-'минимумы и максимумы'!B$2)/('минимумы и максимумы'!B$3-'минимумы и максимумы'!B$2)*100)</calculatedColumnFormula>
    </tableColumn>
    <tableColumn id="5" xr3:uid="{90312237-756F-4CB7-A850-1CE94AEF7321}" name="kindergarten" dataDxfId="16">
      <calculatedColumnFormula>IF('исходные данные'!E2&gt;'минимумы и максимумы'!C$3,100,('исходные данные'!E2-'минимумы и максимумы'!C$2)/('минимумы и максимумы'!C$3-'минимумы и максимумы'!C$2)*100)</calculatedColumnFormula>
    </tableColumn>
    <tableColumn id="6" xr3:uid="{F4D64A3A-083E-43DC-8732-AA094775FDC6}" name="polyclinic" dataDxfId="15">
      <calculatedColumnFormula>IF('исходные данные'!F2&gt;'минимумы и максимумы'!D$3,100,('исходные данные'!F2-'минимумы и максимумы'!D$2)/('минимумы и максимумы'!D$3-'минимумы и максимумы'!D$2)*100)</calculatedColumnFormula>
    </tableColumn>
    <tableColumn id="7" xr3:uid="{9A405623-6D38-4E80-B197-4628B0CCC9D5}" name="supermarket" dataDxfId="14">
      <calculatedColumnFormula>IF('исходные данные'!G2&gt;'минимумы и максимумы'!E$3,100,('исходные данные'!G2-'минимумы и максимумы'!E$2)/('минимумы и максимумы'!E$3-'минимумы и максимумы'!E$2)*100)</calculatedColumnFormula>
    </tableColumn>
    <tableColumn id="8" xr3:uid="{30E3857B-3411-47C1-944B-FFF891DD3677}" name="PVZ" dataDxfId="13">
      <calculatedColumnFormula>IF('исходные данные'!H2&gt;'минимумы и максимумы'!F$3,100,('исходные данные'!H2-'минимумы и максимумы'!F$2)/('минимумы и максимумы'!F$3-'минимумы и максимумы'!F$2)*100)</calculatedColumnFormula>
    </tableColumn>
    <tableColumn id="9" xr3:uid="{C0AC747B-A7A1-47E0-8BD1-AE285C19A734}" name="obshepit" dataDxfId="12">
      <calculatedColumnFormula>IF('исходные данные'!I2&gt;'минимумы и максимумы'!G$3,100,('исходные данные'!I2-'минимумы и максимумы'!G$2)/('минимумы и максимумы'!G$3-'минимумы и максимумы'!G$2)*100)</calculatedColumnFormula>
    </tableColumn>
    <tableColumn id="10" xr3:uid="{645581AB-98B1-44AB-AFDF-F2D21EBFC0E0}" name="hotel" dataDxfId="11">
      <calculatedColumnFormula>IF('исходные данные'!J2&gt;'минимумы и максимумы'!H$3,100,('исходные данные'!J2-'минимумы и максимумы'!H$2)/('минимумы и максимумы'!H$3-'минимумы и максимумы'!H$2)*100)</calculatedColumnFormula>
    </tableColumn>
    <tableColumn id="11" xr3:uid="{ADECE0E5-4BF9-4063-8F09-5D28CC88F4FF}" name="BC" dataDxfId="10">
      <calculatedColumnFormula>IF('исходные данные'!K2&gt;'минимумы и максимумы'!I$3,100,('исходные данные'!K2-'минимумы и максимумы'!I$2)/('минимумы и максимумы'!I$3-'минимумы и максимумы'!I$2)*100)</calculatedColumnFormula>
    </tableColumn>
    <tableColumn id="12" xr3:uid="{DA0045FC-ACB4-452E-9979-A42C4C49C8E9}" name="bank" dataDxfId="9">
      <calculatedColumnFormula>IF('исходные данные'!L2&gt;'минимумы и максимумы'!J$3,100,('исходные данные'!L2-'минимумы и максимумы'!J$2)/('минимумы и максимумы'!J$3-'минимумы и максимумы'!J$2)*100)</calculatedColumnFormula>
    </tableColumn>
    <tableColumn id="13" xr3:uid="{259D19FF-ACD0-434E-967E-501CF7FD0B59}" name="stop" dataDxfId="8">
      <calculatedColumnFormula>IF('исходные данные'!M2&gt;'минимумы и максимумы'!K$3,100,('исходные данные'!M2-'минимумы и максимумы'!K$2)/('минимумы и максимумы'!K$3-'минимумы и максимумы'!K$2)*100)</calculatedColumnFormula>
    </tableColumn>
    <tableColumn id="14" xr3:uid="{C98A6E17-B642-479B-BADB-A3AFF0DE6DF3}" name="to_centre" dataDxfId="7">
      <calculatedColumnFormula>IF('исходные данные'!N2&gt;'минимумы и максимумы'!L$3,100,('исходные данные'!N2-'минимумы и максимумы'!L$2)/('минимумы и максимумы'!L$3-'минимумы и максимумы'!L$2)*100)</calculatedColumnFormula>
    </tableColumn>
    <tableColumn id="15" xr3:uid="{7A1D7B96-E39F-4B01-82FC-748CAF90E9E3}" name="condition" dataDxfId="6">
      <calculatedColumnFormula>IF('исходные данные'!O2&gt;'минимумы и максимумы'!M$3,100,('исходные данные'!O2-'минимумы и максимумы'!M$2)/('минимумы и максимумы'!M$3-'минимумы и максимумы'!M$2)*100)</calculatedColumnFormula>
    </tableColumn>
    <tableColumn id="16" xr3:uid="{9BD8B18A-C672-4254-ACB4-E95330719A5C}" name="value" dataDxfId="5">
      <calculatedColumnFormula>IF('исходные данные'!P2&gt;'минимумы и максимумы'!N$3,100,('исходные данные'!P2-'минимумы и максимумы'!N$2)/('минимумы и максимумы'!N$3-'минимумы и максимумы'!N$2)*100)</calculatedColumnFormula>
    </tableColumn>
    <tableColumn id="17" xr3:uid="{B07C2087-5708-4246-A877-3B47E96136CD}" name="b_n " dataDxfId="4">
      <calculatedColumnFormula>IF('исходные данные'!Q2&gt;'минимумы и максимумы'!O$3,100,('исходные данные'!Q2-'минимумы и максимумы'!O$2)/('минимумы и максимумы'!O$3-'минимумы и максимумы'!O$2)*100)</calculatedColumnFormula>
    </tableColumn>
    <tableColumn id="18" xr3:uid="{2A077C9F-7BE5-4C55-848B-854816888525}" name="zone" dataDxfId="3">
      <calculatedColumnFormula>IF('исходные данные'!R2&gt;'минимумы и максимумы'!P$3,100,('исходные данные'!R2-'минимумы и максимумы'!P$2)/('минимумы и максимумы'!P$3-'минимумы и максимумы'!P$2)*100)</calculatedColumnFormula>
    </tableColumn>
    <tableColumn id="19" xr3:uid="{97024F17-2E39-4988-9E2F-9AD89451E12E}" name="floors" dataDxfId="2">
      <calculatedColumnFormula>IF('исходные данные'!S2&gt;'минимумы и максимумы'!Q$3,100,('исходные данные'!S2-'минимумы и максимумы'!Q$2)/('минимумы и максимумы'!Q$3-'минимумы и максимумы'!Q$2)*100)</calculatedColumnFormula>
    </tableColumn>
    <tableColumn id="20" xr3:uid="{ED5DCC47-CCC8-4FB4-99B0-ACBB76068775}" name="s_base" dataDxfId="1">
      <calculatedColumnFormula>IF('исходные данные'!T2&gt;'минимумы и максимумы'!R$3,100,('исходные данные'!T2-'минимумы и максимумы'!R$2)/('минимумы и максимумы'!R$3-'минимумы и максимумы'!R$2)*100)</calculatedColumnFormula>
    </tableColumn>
    <tableColumn id="21" xr3:uid="{C5690309-D910-4E49-A305-C2FF516A7836}" name="complexity" dataDxfId="0">
      <calculatedColumnFormula>IF('исходные данные'!U2&gt;'минимумы и максимумы'!S$3,100,('исходные данные'!U2-'минимумы и максимумы'!S$2)/('минимумы и максимумы'!S$3-'минимумы и максимумы'!S$2)*100)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3512CA-64B0-4F08-AAA0-A6C5B408F662}" name="Таблица3" displayName="Таблица3" ref="A1:U433" totalsRowCount="1">
  <autoFilter ref="A1:U432" xr:uid="{FD3512CA-64B0-4F08-AAA0-A6C5B408F662}"/>
  <sortState xmlns:xlrd2="http://schemas.microsoft.com/office/spreadsheetml/2017/richdata2" ref="A2:U432">
    <sortCondition ref="A1:A432"/>
  </sortState>
  <tableColumns count="21">
    <tableColumn id="1" xr3:uid="{A40FAB4A-7B93-4D5F-986D-3ABC1675E994}" name="id" totalsRowFunction="count"/>
    <tableColumn id="2" xr3:uid="{05B0C31A-FD44-442F-8968-9B2684521E52}" name="vosstanovleno" totalsRowFunction="count"/>
    <tableColumn id="3" xr3:uid="{425637DC-E043-4EDE-987E-64445CCD88FF}" name="sneseno" totalsRowFunction="count"/>
    <tableColumn id="4" xr3:uid="{35ACDB82-90A0-403B-BD50-EB60A3020235}" name="school" totalsRowFunction="count"/>
    <tableColumn id="5" xr3:uid="{36B91CAF-A5BF-493A-85B0-F011E22E0C8A}" name="kindergarten" totalsRowFunction="count"/>
    <tableColumn id="6" xr3:uid="{416409DC-873C-4BE8-B18F-9411E0E3BF45}" name="polyclinic" totalsRowFunction="count"/>
    <tableColumn id="7" xr3:uid="{3E45D750-9349-4555-8DC9-E1D3234A8CA1}" name="supermarket" totalsRowFunction="count"/>
    <tableColumn id="8" xr3:uid="{96DC6A1B-6241-4DF2-A5DC-95AED0291184}" name="PVZ" totalsRowFunction="count"/>
    <tableColumn id="9" xr3:uid="{9BEC936E-3265-41F2-8676-3848201E37FF}" name="obshepit" totalsRowFunction="count"/>
    <tableColumn id="10" xr3:uid="{18A2408F-29D5-49AE-B5A5-ECD86D35056E}" name="hotel" totalsRowFunction="count"/>
    <tableColumn id="11" xr3:uid="{801EBD8F-AB70-4C4E-ACF1-02B96E4D12D4}" name="BC" totalsRowFunction="count"/>
    <tableColumn id="12" xr3:uid="{105BBE41-2465-42CE-AF41-EDF346570D3C}" name="bank" totalsRowFunction="count"/>
    <tableColumn id="13" xr3:uid="{1257DA26-21E0-4E02-BB09-AA6F2305721A}" name="stop" totalsRowFunction="count"/>
    <tableColumn id="14" xr3:uid="{CAD64187-DCCE-43E2-8F9E-22C2C4BFE7B1}" name="to_centre" totalsRowFunction="count"/>
    <tableColumn id="15" xr3:uid="{99D07A5B-8763-4593-A3F2-50540F558F81}" name="condition" totalsRowFunction="count"/>
    <tableColumn id="16" xr3:uid="{4969FD34-743C-41D9-97EA-910D1D06070E}" name="value" totalsRowFunction="count"/>
    <tableColumn id="17" xr3:uid="{446E46A7-6C4F-4148-9A8E-5DDA43219B04}" name="b_n " totalsRowFunction="count"/>
    <tableColumn id="18" xr3:uid="{E2FBAB8C-A5D3-440F-A3D4-BE85ADD477A2}" name="zone" totalsRowFunction="count"/>
    <tableColumn id="19" xr3:uid="{4E3A2842-0F0D-4CFF-B5EA-EBDB64B9DE17}" name="floors" totalsRowFunction="count"/>
    <tableColumn id="20" xr3:uid="{F48EE7D7-5A69-4CE4-B56F-5F4C15635180}" name="s_base" totalsRowFunction="count"/>
    <tableColumn id="21" xr3:uid="{43B9903F-DDBD-4073-8DAE-2B42F05E54B3}" name="complexity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A7" workbookViewId="0">
      <selection activeCell="M19" sqref="M19"/>
    </sheetView>
  </sheetViews>
  <sheetFormatPr defaultRowHeight="14.25" x14ac:dyDescent="0.45"/>
  <cols>
    <col min="2" max="2" width="18.1328125" customWidth="1"/>
  </cols>
  <sheetData>
    <row r="1" spans="1:19" x14ac:dyDescent="0.45">
      <c r="B1" t="s">
        <v>0</v>
      </c>
      <c r="C1" t="s">
        <v>7</v>
      </c>
      <c r="D1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9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45">
      <c r="A2" t="s">
        <v>18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 x14ac:dyDescent="0.45">
      <c r="A3" t="s">
        <v>19</v>
      </c>
      <c r="B3" s="1">
        <v>5</v>
      </c>
      <c r="C3" s="1">
        <v>10</v>
      </c>
      <c r="D3" s="1">
        <v>3</v>
      </c>
      <c r="E3" s="1">
        <v>24</v>
      </c>
      <c r="F3" s="1">
        <v>25</v>
      </c>
      <c r="G3" s="1">
        <v>53</v>
      </c>
      <c r="H3" s="1">
        <v>15</v>
      </c>
      <c r="I3" s="1">
        <v>18</v>
      </c>
      <c r="J3" s="1">
        <v>5</v>
      </c>
      <c r="K3" s="1">
        <v>31</v>
      </c>
      <c r="L3" s="1">
        <v>22197</v>
      </c>
      <c r="M3" s="1">
        <v>4</v>
      </c>
      <c r="N3" s="1">
        <v>1</v>
      </c>
      <c r="O3" s="1">
        <v>1</v>
      </c>
      <c r="P3" s="1">
        <v>4</v>
      </c>
      <c r="Q3">
        <v>6</v>
      </c>
      <c r="R3">
        <v>2273</v>
      </c>
      <c r="S3" s="1">
        <v>4</v>
      </c>
    </row>
    <row r="4" spans="1:19" x14ac:dyDescent="0.45">
      <c r="A4" t="s">
        <v>20</v>
      </c>
      <c r="B4" s="1">
        <v>8</v>
      </c>
      <c r="C4" s="1">
        <v>16</v>
      </c>
      <c r="D4" s="1">
        <v>4</v>
      </c>
      <c r="E4" s="1">
        <v>37</v>
      </c>
      <c r="F4" s="1">
        <v>38</v>
      </c>
      <c r="G4" s="1">
        <v>83</v>
      </c>
      <c r="H4" s="1">
        <v>24</v>
      </c>
      <c r="I4" s="1">
        <v>28</v>
      </c>
      <c r="J4" s="1">
        <v>8</v>
      </c>
      <c r="K4" s="1">
        <v>47</v>
      </c>
      <c r="L4" s="1">
        <v>33352</v>
      </c>
      <c r="M4" s="1">
        <v>4</v>
      </c>
      <c r="N4" s="1">
        <v>1</v>
      </c>
      <c r="O4" s="1">
        <v>1</v>
      </c>
      <c r="P4" s="1">
        <v>4</v>
      </c>
      <c r="Q4">
        <v>9</v>
      </c>
      <c r="R4">
        <v>3476</v>
      </c>
      <c r="S4" s="1">
        <v>4</v>
      </c>
    </row>
    <row r="7" spans="1:19" x14ac:dyDescent="0.45">
      <c r="A7" t="s">
        <v>32</v>
      </c>
    </row>
    <row r="8" spans="1:19" x14ac:dyDescent="0.45">
      <c r="B8" t="s">
        <v>0</v>
      </c>
      <c r="C8" t="s">
        <v>7</v>
      </c>
      <c r="D8" t="s">
        <v>8</v>
      </c>
      <c r="E8" t="s">
        <v>1</v>
      </c>
      <c r="F8" t="s">
        <v>2</v>
      </c>
      <c r="G8" t="s">
        <v>3</v>
      </c>
      <c r="H8" t="s">
        <v>4</v>
      </c>
      <c r="I8" t="s">
        <v>5</v>
      </c>
      <c r="J8" t="s">
        <v>6</v>
      </c>
      <c r="K8" t="s">
        <v>9</v>
      </c>
      <c r="L8" t="s">
        <v>17</v>
      </c>
      <c r="M8" t="s">
        <v>10</v>
      </c>
      <c r="N8" t="s">
        <v>11</v>
      </c>
      <c r="O8" t="s">
        <v>12</v>
      </c>
      <c r="P8" t="s">
        <v>13</v>
      </c>
      <c r="Q8" t="s">
        <v>14</v>
      </c>
      <c r="R8" t="s">
        <v>15</v>
      </c>
      <c r="S8" t="s">
        <v>16</v>
      </c>
    </row>
    <row r="9" spans="1:19" x14ac:dyDescent="0.45">
      <c r="A9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45">
      <c r="A10" t="s">
        <v>33</v>
      </c>
      <c r="B10">
        <v>9</v>
      </c>
      <c r="C10" s="1">
        <v>10</v>
      </c>
      <c r="D10" s="1">
        <v>3</v>
      </c>
      <c r="E10" s="1">
        <v>24</v>
      </c>
      <c r="F10" s="1">
        <v>29</v>
      </c>
      <c r="G10" s="1">
        <v>53</v>
      </c>
      <c r="H10" s="1">
        <v>15</v>
      </c>
      <c r="I10" s="1">
        <v>18</v>
      </c>
      <c r="J10">
        <v>14</v>
      </c>
      <c r="K10">
        <v>28</v>
      </c>
      <c r="L10" s="1">
        <v>22197</v>
      </c>
      <c r="M10" s="1">
        <v>4</v>
      </c>
      <c r="N10" s="1">
        <v>1</v>
      </c>
      <c r="O10" s="1">
        <v>1</v>
      </c>
      <c r="P10" s="1">
        <v>4</v>
      </c>
      <c r="Q10">
        <v>6</v>
      </c>
      <c r="R10">
        <v>3476</v>
      </c>
      <c r="S10" s="1">
        <v>4</v>
      </c>
    </row>
    <row r="13" spans="1:19" ht="14.65" thickBot="1" x14ac:dyDescent="0.5"/>
    <row r="14" spans="1:19" x14ac:dyDescent="0.45">
      <c r="D14" s="61"/>
      <c r="E14" s="62"/>
      <c r="F14" s="43" t="s">
        <v>176</v>
      </c>
      <c r="G14" s="44" t="s">
        <v>177</v>
      </c>
      <c r="H14" s="50"/>
      <c r="I14" s="43" t="s">
        <v>176</v>
      </c>
      <c r="J14" s="44" t="s">
        <v>177</v>
      </c>
    </row>
    <row r="15" spans="1:19" x14ac:dyDescent="0.45">
      <c r="D15" s="59" t="s">
        <v>196</v>
      </c>
      <c r="E15" s="41" t="s">
        <v>178</v>
      </c>
      <c r="F15" s="42">
        <v>0</v>
      </c>
      <c r="G15" s="45">
        <v>9</v>
      </c>
      <c r="H15" s="51" t="s">
        <v>188</v>
      </c>
      <c r="I15" s="42">
        <v>0</v>
      </c>
      <c r="J15" s="46">
        <v>22197</v>
      </c>
    </row>
    <row r="16" spans="1:19" x14ac:dyDescent="0.45">
      <c r="D16" s="59"/>
      <c r="E16" s="41" t="s">
        <v>179</v>
      </c>
      <c r="F16" s="42">
        <v>0</v>
      </c>
      <c r="G16" s="46">
        <v>10</v>
      </c>
      <c r="H16" s="51" t="s">
        <v>189</v>
      </c>
      <c r="I16" s="41">
        <v>1</v>
      </c>
      <c r="J16" s="46">
        <v>4</v>
      </c>
    </row>
    <row r="17" spans="4:10" x14ac:dyDescent="0.45">
      <c r="D17" s="59"/>
      <c r="E17" s="41" t="s">
        <v>180</v>
      </c>
      <c r="F17" s="42">
        <v>0</v>
      </c>
      <c r="G17" s="46">
        <v>3</v>
      </c>
      <c r="H17" s="51" t="s">
        <v>190</v>
      </c>
      <c r="I17" s="41">
        <v>0</v>
      </c>
      <c r="J17" s="46">
        <v>1</v>
      </c>
    </row>
    <row r="18" spans="4:10" x14ac:dyDescent="0.45">
      <c r="D18" s="59"/>
      <c r="E18" s="41" t="s">
        <v>181</v>
      </c>
      <c r="F18" s="42">
        <v>0</v>
      </c>
      <c r="G18" s="46">
        <v>24</v>
      </c>
      <c r="H18" s="51" t="s">
        <v>191</v>
      </c>
      <c r="I18" s="41">
        <v>0</v>
      </c>
      <c r="J18" s="46">
        <v>1</v>
      </c>
    </row>
    <row r="19" spans="4:10" x14ac:dyDescent="0.45">
      <c r="D19" s="59"/>
      <c r="E19" s="41" t="s">
        <v>182</v>
      </c>
      <c r="F19" s="42">
        <v>0</v>
      </c>
      <c r="G19" s="46">
        <v>29</v>
      </c>
      <c r="H19" s="51" t="s">
        <v>192</v>
      </c>
      <c r="I19" s="41">
        <v>0</v>
      </c>
      <c r="J19" s="46">
        <v>4</v>
      </c>
    </row>
    <row r="20" spans="4:10" x14ac:dyDescent="0.45">
      <c r="D20" s="59"/>
      <c r="E20" s="41" t="s">
        <v>183</v>
      </c>
      <c r="F20" s="42">
        <v>0</v>
      </c>
      <c r="G20" s="46">
        <v>53</v>
      </c>
      <c r="H20" s="51" t="s">
        <v>193</v>
      </c>
      <c r="I20" s="41">
        <v>0</v>
      </c>
      <c r="J20" s="45">
        <v>6</v>
      </c>
    </row>
    <row r="21" spans="4:10" x14ac:dyDescent="0.45">
      <c r="D21" s="59"/>
      <c r="E21" s="41" t="s">
        <v>184</v>
      </c>
      <c r="F21" s="42">
        <v>0</v>
      </c>
      <c r="G21" s="46">
        <v>15</v>
      </c>
      <c r="H21" s="51" t="s">
        <v>194</v>
      </c>
      <c r="I21" s="41">
        <v>0</v>
      </c>
      <c r="J21" s="45">
        <v>3476</v>
      </c>
    </row>
    <row r="22" spans="4:10" ht="14.65" thickBot="1" x14ac:dyDescent="0.5">
      <c r="D22" s="59"/>
      <c r="E22" s="41" t="s">
        <v>185</v>
      </c>
      <c r="F22" s="42">
        <v>0</v>
      </c>
      <c r="G22" s="46">
        <v>18</v>
      </c>
      <c r="H22" s="52" t="s">
        <v>195</v>
      </c>
      <c r="I22" s="47">
        <v>1</v>
      </c>
      <c r="J22" s="53">
        <v>4</v>
      </c>
    </row>
    <row r="23" spans="4:10" x14ac:dyDescent="0.45">
      <c r="D23" s="59"/>
      <c r="E23" s="41" t="s">
        <v>186</v>
      </c>
      <c r="F23" s="42">
        <v>0</v>
      </c>
      <c r="G23" s="45">
        <v>14</v>
      </c>
      <c r="H23" s="63"/>
      <c r="I23" s="64"/>
      <c r="J23" s="64"/>
    </row>
    <row r="24" spans="4:10" ht="14.65" thickBot="1" x14ac:dyDescent="0.5">
      <c r="D24" s="60"/>
      <c r="E24" s="47" t="s">
        <v>187</v>
      </c>
      <c r="F24" s="48">
        <v>0</v>
      </c>
      <c r="G24" s="49">
        <v>28</v>
      </c>
      <c r="H24" s="65"/>
      <c r="I24" s="66"/>
      <c r="J24" s="66"/>
    </row>
  </sheetData>
  <mergeCells count="3">
    <mergeCell ref="D15:D24"/>
    <mergeCell ref="D14:E14"/>
    <mergeCell ref="H23:J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1168-1F91-4621-9D37-5095B2FA6F2E}">
  <dimension ref="A1:U432"/>
  <sheetViews>
    <sheetView topLeftCell="G414" workbookViewId="0">
      <selection sqref="A1:U432"/>
    </sheetView>
  </sheetViews>
  <sheetFormatPr defaultRowHeight="14.25" x14ac:dyDescent="0.45"/>
  <cols>
    <col min="1" max="1" width="4.6640625" customWidth="1"/>
    <col min="3" max="3" width="8.3984375" customWidth="1"/>
  </cols>
  <sheetData>
    <row r="1" spans="1:21" x14ac:dyDescent="0.45">
      <c r="A1" s="4" t="s">
        <v>21</v>
      </c>
      <c r="B1" s="4" t="s">
        <v>22</v>
      </c>
      <c r="C1" s="4" t="s">
        <v>23</v>
      </c>
      <c r="D1" t="s">
        <v>0</v>
      </c>
      <c r="E1" t="s">
        <v>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9</v>
      </c>
      <c r="N1" t="s">
        <v>17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45">
      <c r="A2" s="4">
        <v>1</v>
      </c>
      <c r="B2" s="4">
        <v>0</v>
      </c>
      <c r="C2" s="4">
        <v>0</v>
      </c>
      <c r="D2">
        <v>4</v>
      </c>
      <c r="E2">
        <v>8</v>
      </c>
      <c r="F2">
        <v>1</v>
      </c>
      <c r="G2">
        <v>16</v>
      </c>
      <c r="H2">
        <v>20</v>
      </c>
      <c r="I2">
        <v>63</v>
      </c>
      <c r="J2">
        <v>22</v>
      </c>
      <c r="K2">
        <v>6</v>
      </c>
      <c r="L2">
        <v>11</v>
      </c>
      <c r="M2">
        <v>15</v>
      </c>
      <c r="N2">
        <v>2950.189483065632</v>
      </c>
      <c r="O2">
        <v>2</v>
      </c>
      <c r="P2">
        <v>1</v>
      </c>
      <c r="Q2">
        <v>1</v>
      </c>
      <c r="R2">
        <v>3</v>
      </c>
      <c r="S2">
        <v>3</v>
      </c>
      <c r="T2">
        <v>1134</v>
      </c>
      <c r="U2">
        <v>4</v>
      </c>
    </row>
    <row r="3" spans="1:21" x14ac:dyDescent="0.45">
      <c r="A3" s="4">
        <v>2</v>
      </c>
      <c r="B3" s="4">
        <v>0</v>
      </c>
      <c r="C3" s="4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4015.3888797628342</v>
      </c>
      <c r="O3">
        <v>1</v>
      </c>
      <c r="P3">
        <v>1</v>
      </c>
      <c r="Q3">
        <v>0</v>
      </c>
      <c r="R3">
        <v>1</v>
      </c>
      <c r="S3">
        <v>2</v>
      </c>
      <c r="T3">
        <v>3997</v>
      </c>
      <c r="U3">
        <v>2</v>
      </c>
    </row>
    <row r="4" spans="1:21" x14ac:dyDescent="0.45">
      <c r="A4" s="4">
        <v>3</v>
      </c>
      <c r="B4" s="4">
        <v>0</v>
      </c>
      <c r="C4" s="4">
        <v>0</v>
      </c>
      <c r="D4">
        <v>4</v>
      </c>
      <c r="E4">
        <v>4</v>
      </c>
      <c r="F4">
        <v>0</v>
      </c>
      <c r="G4">
        <v>9</v>
      </c>
      <c r="H4">
        <v>9</v>
      </c>
      <c r="I4">
        <v>53</v>
      </c>
      <c r="J4">
        <v>12</v>
      </c>
      <c r="K4">
        <v>5</v>
      </c>
      <c r="L4">
        <v>2</v>
      </c>
      <c r="M4">
        <v>12</v>
      </c>
      <c r="N4">
        <v>1994.486724229218</v>
      </c>
      <c r="O4">
        <v>1</v>
      </c>
      <c r="P4">
        <v>0</v>
      </c>
      <c r="Q4">
        <v>1</v>
      </c>
      <c r="R4">
        <v>3</v>
      </c>
      <c r="S4">
        <v>2</v>
      </c>
      <c r="T4">
        <v>189</v>
      </c>
      <c r="U4">
        <v>2</v>
      </c>
    </row>
    <row r="5" spans="1:21" x14ac:dyDescent="0.45">
      <c r="A5" s="4">
        <v>5</v>
      </c>
      <c r="B5" s="4">
        <v>0</v>
      </c>
      <c r="C5" s="4">
        <v>0</v>
      </c>
      <c r="D5">
        <v>2</v>
      </c>
      <c r="E5">
        <v>7</v>
      </c>
      <c r="F5">
        <v>0</v>
      </c>
      <c r="G5">
        <v>6</v>
      </c>
      <c r="H5">
        <v>5</v>
      </c>
      <c r="I5">
        <v>55</v>
      </c>
      <c r="J5">
        <v>7</v>
      </c>
      <c r="K5">
        <v>1</v>
      </c>
      <c r="L5">
        <v>3</v>
      </c>
      <c r="M5">
        <v>9</v>
      </c>
      <c r="N5">
        <v>2100.1040662203131</v>
      </c>
      <c r="O5">
        <v>3</v>
      </c>
      <c r="P5">
        <v>1</v>
      </c>
      <c r="Q5">
        <v>1</v>
      </c>
      <c r="R5">
        <v>3</v>
      </c>
      <c r="S5">
        <v>3</v>
      </c>
      <c r="T5">
        <v>645</v>
      </c>
      <c r="U5">
        <v>3</v>
      </c>
    </row>
    <row r="6" spans="1:21" x14ac:dyDescent="0.45">
      <c r="A6" s="4">
        <v>6</v>
      </c>
      <c r="B6" s="4">
        <v>0</v>
      </c>
      <c r="C6" s="4">
        <v>0</v>
      </c>
      <c r="D6">
        <v>4</v>
      </c>
      <c r="E6">
        <v>6</v>
      </c>
      <c r="F6">
        <v>0</v>
      </c>
      <c r="G6">
        <v>5</v>
      </c>
      <c r="H6">
        <v>5</v>
      </c>
      <c r="I6">
        <v>54</v>
      </c>
      <c r="J6">
        <v>9</v>
      </c>
      <c r="K6">
        <v>1</v>
      </c>
      <c r="L6">
        <v>3</v>
      </c>
      <c r="M6">
        <v>9</v>
      </c>
      <c r="N6">
        <v>2160.4126684067319</v>
      </c>
      <c r="O6">
        <v>4</v>
      </c>
      <c r="P6">
        <v>1</v>
      </c>
      <c r="Q6">
        <v>1</v>
      </c>
      <c r="R6">
        <v>4</v>
      </c>
      <c r="S6">
        <v>2</v>
      </c>
      <c r="T6">
        <v>1292</v>
      </c>
      <c r="U6">
        <v>4</v>
      </c>
    </row>
    <row r="7" spans="1:21" x14ac:dyDescent="0.45">
      <c r="A7" s="4">
        <v>7</v>
      </c>
      <c r="B7" s="4">
        <v>0</v>
      </c>
      <c r="C7" s="4">
        <v>0</v>
      </c>
      <c r="D7">
        <v>4</v>
      </c>
      <c r="E7">
        <v>6</v>
      </c>
      <c r="F7">
        <v>0</v>
      </c>
      <c r="G7">
        <v>7</v>
      </c>
      <c r="H7">
        <v>9</v>
      </c>
      <c r="I7">
        <v>64</v>
      </c>
      <c r="J7">
        <v>13</v>
      </c>
      <c r="K7">
        <v>4</v>
      </c>
      <c r="L7">
        <v>3</v>
      </c>
      <c r="M7">
        <v>8</v>
      </c>
      <c r="N7">
        <v>2350.987970948137</v>
      </c>
      <c r="O7">
        <v>2</v>
      </c>
      <c r="P7">
        <v>0</v>
      </c>
      <c r="Q7">
        <v>1</v>
      </c>
      <c r="R7">
        <v>4</v>
      </c>
      <c r="S7">
        <v>2</v>
      </c>
      <c r="T7">
        <v>914</v>
      </c>
      <c r="U7">
        <v>4</v>
      </c>
    </row>
    <row r="8" spans="1:21" x14ac:dyDescent="0.45">
      <c r="A8" s="4">
        <v>17</v>
      </c>
      <c r="B8" s="4">
        <v>0</v>
      </c>
      <c r="C8" s="4">
        <v>0</v>
      </c>
      <c r="D8">
        <v>0</v>
      </c>
      <c r="E8">
        <v>0</v>
      </c>
      <c r="F8">
        <v>0</v>
      </c>
      <c r="G8">
        <v>3</v>
      </c>
      <c r="H8">
        <v>2</v>
      </c>
      <c r="I8">
        <v>36</v>
      </c>
      <c r="J8">
        <v>1</v>
      </c>
      <c r="K8">
        <v>0</v>
      </c>
      <c r="L8">
        <v>0</v>
      </c>
      <c r="M8">
        <v>7</v>
      </c>
      <c r="N8">
        <v>5361.1486573204556</v>
      </c>
      <c r="O8">
        <v>3</v>
      </c>
      <c r="P8">
        <v>0</v>
      </c>
      <c r="Q8">
        <v>1</v>
      </c>
      <c r="R8">
        <v>3</v>
      </c>
      <c r="S8">
        <v>2</v>
      </c>
      <c r="T8">
        <v>139</v>
      </c>
      <c r="U8">
        <v>1</v>
      </c>
    </row>
    <row r="9" spans="1:21" x14ac:dyDescent="0.45">
      <c r="A9" s="4">
        <v>20</v>
      </c>
      <c r="B9" s="4">
        <v>0</v>
      </c>
      <c r="C9" s="4">
        <v>0</v>
      </c>
      <c r="D9">
        <v>1</v>
      </c>
      <c r="E9">
        <v>1</v>
      </c>
      <c r="F9">
        <v>1</v>
      </c>
      <c r="G9">
        <v>9</v>
      </c>
      <c r="H9">
        <v>8</v>
      </c>
      <c r="I9">
        <v>19</v>
      </c>
      <c r="J9">
        <v>9</v>
      </c>
      <c r="K9">
        <v>13</v>
      </c>
      <c r="L9">
        <v>3</v>
      </c>
      <c r="M9">
        <v>16</v>
      </c>
      <c r="N9">
        <v>4156.6120423144939</v>
      </c>
      <c r="O9">
        <v>2</v>
      </c>
      <c r="P9">
        <v>1</v>
      </c>
      <c r="Q9">
        <v>1</v>
      </c>
      <c r="R9">
        <v>3</v>
      </c>
      <c r="S9">
        <v>3</v>
      </c>
      <c r="T9">
        <v>1311</v>
      </c>
      <c r="U9">
        <v>3</v>
      </c>
    </row>
    <row r="10" spans="1:21" x14ac:dyDescent="0.45">
      <c r="A10" s="4">
        <v>21</v>
      </c>
      <c r="B10" s="4">
        <v>0</v>
      </c>
      <c r="C10" s="4">
        <v>1</v>
      </c>
      <c r="D10">
        <v>1</v>
      </c>
      <c r="E10">
        <v>3</v>
      </c>
      <c r="F10">
        <v>0</v>
      </c>
      <c r="G10">
        <v>9</v>
      </c>
      <c r="H10">
        <v>11</v>
      </c>
      <c r="I10">
        <v>32</v>
      </c>
      <c r="J10">
        <v>7</v>
      </c>
      <c r="K10">
        <v>0</v>
      </c>
      <c r="L10">
        <v>0</v>
      </c>
      <c r="M10">
        <v>10</v>
      </c>
      <c r="N10">
        <v>5138.2024676099518</v>
      </c>
      <c r="O10">
        <v>1</v>
      </c>
      <c r="P10">
        <v>0</v>
      </c>
      <c r="Q10">
        <v>1</v>
      </c>
      <c r="R10">
        <v>4</v>
      </c>
      <c r="S10">
        <v>3</v>
      </c>
      <c r="T10">
        <v>400</v>
      </c>
      <c r="U10">
        <v>4</v>
      </c>
    </row>
    <row r="11" spans="1:21" x14ac:dyDescent="0.45">
      <c r="A11" s="4">
        <v>22</v>
      </c>
      <c r="B11" s="4">
        <v>0</v>
      </c>
      <c r="C11" s="4">
        <v>0</v>
      </c>
      <c r="D11">
        <v>4</v>
      </c>
      <c r="E11">
        <v>6</v>
      </c>
      <c r="F11">
        <v>0</v>
      </c>
      <c r="G11">
        <v>5</v>
      </c>
      <c r="H11">
        <v>5</v>
      </c>
      <c r="I11">
        <v>16</v>
      </c>
      <c r="J11">
        <v>3</v>
      </c>
      <c r="K11">
        <v>8</v>
      </c>
      <c r="L11">
        <v>0</v>
      </c>
      <c r="M11">
        <v>17</v>
      </c>
      <c r="N11">
        <v>3970.05772434544</v>
      </c>
      <c r="O11">
        <v>4</v>
      </c>
      <c r="P11">
        <v>0</v>
      </c>
      <c r="Q11">
        <v>1</v>
      </c>
      <c r="R11">
        <v>3</v>
      </c>
      <c r="S11">
        <v>4</v>
      </c>
      <c r="T11">
        <v>931</v>
      </c>
      <c r="U11">
        <v>1</v>
      </c>
    </row>
    <row r="12" spans="1:21" x14ac:dyDescent="0.45">
      <c r="A12" s="4">
        <v>27</v>
      </c>
      <c r="B12" s="4">
        <v>1</v>
      </c>
      <c r="C12" s="4">
        <v>0</v>
      </c>
      <c r="D12">
        <v>4</v>
      </c>
      <c r="E12">
        <v>6</v>
      </c>
      <c r="F12">
        <v>1</v>
      </c>
      <c r="G12">
        <v>20</v>
      </c>
      <c r="H12">
        <v>20</v>
      </c>
      <c r="I12">
        <v>45</v>
      </c>
      <c r="J12">
        <v>13</v>
      </c>
      <c r="K12">
        <v>5</v>
      </c>
      <c r="L12">
        <v>10</v>
      </c>
      <c r="M12">
        <v>17</v>
      </c>
      <c r="N12">
        <v>3300.0403980542478</v>
      </c>
      <c r="O12">
        <v>3</v>
      </c>
      <c r="P12">
        <v>1</v>
      </c>
      <c r="Q12">
        <v>1</v>
      </c>
      <c r="R12">
        <v>4</v>
      </c>
      <c r="S12">
        <v>2</v>
      </c>
      <c r="T12">
        <v>274</v>
      </c>
      <c r="U12">
        <v>2</v>
      </c>
    </row>
    <row r="13" spans="1:21" x14ac:dyDescent="0.45">
      <c r="A13" s="4">
        <v>29</v>
      </c>
      <c r="B13" s="4">
        <v>0</v>
      </c>
      <c r="C13" s="4">
        <v>0</v>
      </c>
      <c r="D13">
        <v>7</v>
      </c>
      <c r="E13">
        <v>5</v>
      </c>
      <c r="F13">
        <v>2</v>
      </c>
      <c r="G13">
        <v>14</v>
      </c>
      <c r="H13">
        <v>16</v>
      </c>
      <c r="I13">
        <v>50</v>
      </c>
      <c r="J13">
        <v>16</v>
      </c>
      <c r="K13">
        <v>13</v>
      </c>
      <c r="L13">
        <v>7</v>
      </c>
      <c r="M13">
        <v>20</v>
      </c>
      <c r="N13">
        <v>2690.8462297788351</v>
      </c>
      <c r="O13">
        <v>3</v>
      </c>
      <c r="P13">
        <v>1</v>
      </c>
      <c r="Q13">
        <v>1</v>
      </c>
      <c r="R13">
        <v>4</v>
      </c>
      <c r="S13">
        <v>2</v>
      </c>
      <c r="T13">
        <v>383</v>
      </c>
      <c r="U13">
        <v>3</v>
      </c>
    </row>
    <row r="14" spans="1:21" x14ac:dyDescent="0.45">
      <c r="A14" s="4">
        <v>30</v>
      </c>
      <c r="B14" s="4">
        <v>1</v>
      </c>
      <c r="C14" s="4">
        <v>0</v>
      </c>
      <c r="D14">
        <v>7</v>
      </c>
      <c r="E14">
        <v>5</v>
      </c>
      <c r="F14">
        <v>2</v>
      </c>
      <c r="G14">
        <v>14</v>
      </c>
      <c r="H14">
        <v>16</v>
      </c>
      <c r="I14">
        <v>50</v>
      </c>
      <c r="J14">
        <v>16</v>
      </c>
      <c r="K14">
        <v>13</v>
      </c>
      <c r="L14">
        <v>7</v>
      </c>
      <c r="M14">
        <v>20</v>
      </c>
      <c r="N14">
        <v>2783.078408394857</v>
      </c>
      <c r="O14">
        <v>3</v>
      </c>
      <c r="P14">
        <v>0</v>
      </c>
      <c r="Q14">
        <v>1</v>
      </c>
      <c r="R14">
        <v>4</v>
      </c>
      <c r="S14">
        <v>4</v>
      </c>
      <c r="T14">
        <v>1055</v>
      </c>
      <c r="U14">
        <v>3</v>
      </c>
    </row>
    <row r="15" spans="1:21" x14ac:dyDescent="0.45">
      <c r="A15" s="4">
        <v>31</v>
      </c>
      <c r="B15" s="4">
        <v>0</v>
      </c>
      <c r="C15" s="4">
        <v>0</v>
      </c>
      <c r="D15">
        <v>7</v>
      </c>
      <c r="E15">
        <v>5</v>
      </c>
      <c r="F15">
        <v>2</v>
      </c>
      <c r="G15">
        <v>22</v>
      </c>
      <c r="H15">
        <v>25</v>
      </c>
      <c r="I15">
        <v>76</v>
      </c>
      <c r="J15">
        <v>21</v>
      </c>
      <c r="K15">
        <v>11</v>
      </c>
      <c r="L15">
        <v>14</v>
      </c>
      <c r="M15">
        <v>24</v>
      </c>
      <c r="N15">
        <v>2649.0531114551191</v>
      </c>
      <c r="O15">
        <v>2</v>
      </c>
      <c r="P15">
        <v>1</v>
      </c>
      <c r="Q15">
        <v>1</v>
      </c>
      <c r="R15">
        <v>4</v>
      </c>
      <c r="S15">
        <v>2</v>
      </c>
      <c r="T15">
        <v>250</v>
      </c>
      <c r="U15">
        <v>1</v>
      </c>
    </row>
    <row r="16" spans="1:21" x14ac:dyDescent="0.45">
      <c r="A16" s="4">
        <v>32</v>
      </c>
      <c r="B16" s="4">
        <v>0</v>
      </c>
      <c r="C16" s="4">
        <v>0</v>
      </c>
      <c r="D16">
        <v>7</v>
      </c>
      <c r="E16">
        <v>3</v>
      </c>
      <c r="F16">
        <v>2</v>
      </c>
      <c r="G16">
        <v>18</v>
      </c>
      <c r="H16">
        <v>18</v>
      </c>
      <c r="I16">
        <v>70</v>
      </c>
      <c r="J16">
        <v>21</v>
      </c>
      <c r="K16">
        <v>6</v>
      </c>
      <c r="L16">
        <v>7</v>
      </c>
      <c r="M16">
        <v>19</v>
      </c>
      <c r="N16">
        <v>2408.112007758843</v>
      </c>
      <c r="O16">
        <v>3</v>
      </c>
      <c r="P16">
        <v>0</v>
      </c>
      <c r="Q16">
        <v>1</v>
      </c>
      <c r="R16">
        <v>3</v>
      </c>
      <c r="S16">
        <v>2</v>
      </c>
      <c r="T16">
        <v>241</v>
      </c>
      <c r="U16">
        <v>1</v>
      </c>
    </row>
    <row r="17" spans="1:21" x14ac:dyDescent="0.45">
      <c r="A17" s="4">
        <v>33</v>
      </c>
      <c r="B17" s="4">
        <v>0</v>
      </c>
      <c r="C17" s="4">
        <v>0</v>
      </c>
      <c r="D17">
        <v>5</v>
      </c>
      <c r="E17">
        <v>3</v>
      </c>
      <c r="F17">
        <v>1</v>
      </c>
      <c r="G17">
        <v>12</v>
      </c>
      <c r="H17">
        <v>15</v>
      </c>
      <c r="I17">
        <v>51</v>
      </c>
      <c r="J17">
        <v>19</v>
      </c>
      <c r="K17">
        <v>6</v>
      </c>
      <c r="L17">
        <v>4</v>
      </c>
      <c r="M17">
        <v>17</v>
      </c>
      <c r="N17">
        <v>2319.4959200077842</v>
      </c>
      <c r="O17">
        <v>3</v>
      </c>
      <c r="P17">
        <v>0</v>
      </c>
      <c r="Q17">
        <v>1</v>
      </c>
      <c r="R17">
        <v>3</v>
      </c>
      <c r="S17">
        <v>2</v>
      </c>
      <c r="T17">
        <v>163</v>
      </c>
      <c r="U17">
        <v>1</v>
      </c>
    </row>
    <row r="18" spans="1:21" x14ac:dyDescent="0.45">
      <c r="A18" s="4">
        <v>34</v>
      </c>
      <c r="B18" s="4">
        <v>1</v>
      </c>
      <c r="C18" s="4">
        <v>0</v>
      </c>
      <c r="D18">
        <v>0</v>
      </c>
      <c r="E18">
        <v>5</v>
      </c>
      <c r="F18">
        <v>1</v>
      </c>
      <c r="G18">
        <v>10</v>
      </c>
      <c r="H18">
        <v>11</v>
      </c>
      <c r="I18">
        <v>26</v>
      </c>
      <c r="J18">
        <v>4</v>
      </c>
      <c r="K18">
        <v>18</v>
      </c>
      <c r="L18">
        <v>4</v>
      </c>
      <c r="M18">
        <v>7</v>
      </c>
      <c r="N18">
        <v>3149.1877008133788</v>
      </c>
      <c r="O18">
        <v>3</v>
      </c>
      <c r="P18">
        <v>1</v>
      </c>
      <c r="Q18">
        <v>1</v>
      </c>
      <c r="R18">
        <v>3</v>
      </c>
      <c r="S18">
        <v>3</v>
      </c>
      <c r="T18">
        <v>647</v>
      </c>
      <c r="U18">
        <v>3</v>
      </c>
    </row>
    <row r="19" spans="1:21" x14ac:dyDescent="0.45">
      <c r="A19" s="4">
        <v>35</v>
      </c>
      <c r="B19" s="4">
        <v>0</v>
      </c>
      <c r="C19" s="4">
        <v>0</v>
      </c>
      <c r="D19">
        <v>0</v>
      </c>
      <c r="E19">
        <v>5</v>
      </c>
      <c r="F19">
        <v>1</v>
      </c>
      <c r="G19">
        <v>10</v>
      </c>
      <c r="H19">
        <v>11</v>
      </c>
      <c r="I19">
        <v>26</v>
      </c>
      <c r="J19">
        <v>4</v>
      </c>
      <c r="K19">
        <v>18</v>
      </c>
      <c r="L19">
        <v>4</v>
      </c>
      <c r="M19">
        <v>7</v>
      </c>
      <c r="N19">
        <v>3223.2393043520369</v>
      </c>
      <c r="O19">
        <v>3</v>
      </c>
      <c r="P19">
        <v>1</v>
      </c>
      <c r="Q19">
        <v>1</v>
      </c>
      <c r="R19">
        <v>3</v>
      </c>
      <c r="S19">
        <v>2</v>
      </c>
      <c r="T19">
        <v>142</v>
      </c>
      <c r="U19">
        <v>1</v>
      </c>
    </row>
    <row r="20" spans="1:21" x14ac:dyDescent="0.45">
      <c r="A20" s="4">
        <v>36</v>
      </c>
      <c r="B20" s="4">
        <v>0</v>
      </c>
      <c r="C20" s="4">
        <v>0</v>
      </c>
      <c r="D20">
        <v>0</v>
      </c>
      <c r="E20">
        <v>4</v>
      </c>
      <c r="F20">
        <v>1</v>
      </c>
      <c r="G20">
        <v>14</v>
      </c>
      <c r="H20">
        <v>14</v>
      </c>
      <c r="I20">
        <v>22</v>
      </c>
      <c r="J20">
        <v>2</v>
      </c>
      <c r="K20">
        <v>18</v>
      </c>
      <c r="L20">
        <v>4</v>
      </c>
      <c r="M20">
        <v>6</v>
      </c>
      <c r="N20">
        <v>3223.2393043520369</v>
      </c>
      <c r="O20">
        <v>3</v>
      </c>
      <c r="P20">
        <v>0</v>
      </c>
      <c r="Q20">
        <v>1</v>
      </c>
      <c r="R20">
        <v>3</v>
      </c>
      <c r="S20">
        <v>5</v>
      </c>
      <c r="T20">
        <v>442</v>
      </c>
      <c r="U20">
        <v>1</v>
      </c>
    </row>
    <row r="21" spans="1:21" x14ac:dyDescent="0.45">
      <c r="A21" s="4">
        <v>42</v>
      </c>
      <c r="B21" s="4">
        <v>0</v>
      </c>
      <c r="C21" s="4">
        <v>0</v>
      </c>
      <c r="D21">
        <v>2</v>
      </c>
      <c r="E21">
        <v>3</v>
      </c>
      <c r="F21">
        <v>1</v>
      </c>
      <c r="G21">
        <v>14</v>
      </c>
      <c r="H21">
        <v>11</v>
      </c>
      <c r="I21">
        <v>31</v>
      </c>
      <c r="J21">
        <v>10</v>
      </c>
      <c r="K21">
        <v>8</v>
      </c>
      <c r="L21">
        <v>7</v>
      </c>
      <c r="M21">
        <v>9</v>
      </c>
      <c r="N21">
        <v>3475.50809392376</v>
      </c>
      <c r="O21">
        <v>3</v>
      </c>
      <c r="P21">
        <v>0</v>
      </c>
      <c r="Q21">
        <v>1</v>
      </c>
      <c r="R21">
        <v>3</v>
      </c>
      <c r="S21">
        <v>2</v>
      </c>
      <c r="T21">
        <v>145</v>
      </c>
      <c r="U21">
        <v>1</v>
      </c>
    </row>
    <row r="22" spans="1:21" x14ac:dyDescent="0.45">
      <c r="A22" s="4">
        <v>43</v>
      </c>
      <c r="B22" s="4">
        <v>1</v>
      </c>
      <c r="C22" s="4">
        <v>0</v>
      </c>
      <c r="D22">
        <v>0</v>
      </c>
      <c r="E22">
        <v>4</v>
      </c>
      <c r="F22">
        <v>1</v>
      </c>
      <c r="G22">
        <v>12</v>
      </c>
      <c r="H22">
        <v>8</v>
      </c>
      <c r="I22">
        <v>13</v>
      </c>
      <c r="J22">
        <v>3</v>
      </c>
      <c r="K22">
        <v>9</v>
      </c>
      <c r="L22">
        <v>0</v>
      </c>
      <c r="M22">
        <v>3</v>
      </c>
      <c r="N22">
        <v>3920.592211772876</v>
      </c>
      <c r="O22">
        <v>4</v>
      </c>
      <c r="P22">
        <v>0</v>
      </c>
      <c r="Q22">
        <v>1</v>
      </c>
      <c r="R22">
        <v>3</v>
      </c>
      <c r="S22">
        <v>3</v>
      </c>
      <c r="T22">
        <v>1311</v>
      </c>
      <c r="U22">
        <v>4</v>
      </c>
    </row>
    <row r="23" spans="1:21" x14ac:dyDescent="0.45">
      <c r="A23" s="4">
        <v>44</v>
      </c>
      <c r="B23" s="4">
        <v>0</v>
      </c>
      <c r="C23" s="4">
        <v>0</v>
      </c>
      <c r="D23">
        <v>2</v>
      </c>
      <c r="E23">
        <v>5</v>
      </c>
      <c r="F23">
        <v>0</v>
      </c>
      <c r="G23">
        <v>8</v>
      </c>
      <c r="H23">
        <v>11</v>
      </c>
      <c r="I23">
        <v>11</v>
      </c>
      <c r="J23">
        <v>1</v>
      </c>
      <c r="K23">
        <v>0</v>
      </c>
      <c r="L23">
        <v>1</v>
      </c>
      <c r="M23">
        <v>6</v>
      </c>
      <c r="N23">
        <v>5815.0516907177716</v>
      </c>
      <c r="O23">
        <v>4</v>
      </c>
      <c r="P23">
        <v>0</v>
      </c>
      <c r="Q23">
        <v>0</v>
      </c>
      <c r="R23">
        <v>4</v>
      </c>
      <c r="S23">
        <v>2</v>
      </c>
      <c r="T23">
        <v>1379</v>
      </c>
      <c r="U23">
        <v>1</v>
      </c>
    </row>
    <row r="24" spans="1:21" x14ac:dyDescent="0.45">
      <c r="A24" s="4">
        <v>46</v>
      </c>
      <c r="B24" s="4">
        <v>0</v>
      </c>
      <c r="C24" s="4">
        <v>0</v>
      </c>
      <c r="D24">
        <v>3</v>
      </c>
      <c r="E24">
        <v>7</v>
      </c>
      <c r="F24">
        <v>1</v>
      </c>
      <c r="G24">
        <v>9</v>
      </c>
      <c r="H24">
        <v>15</v>
      </c>
      <c r="I24">
        <v>10</v>
      </c>
      <c r="J24">
        <v>1</v>
      </c>
      <c r="K24">
        <v>0</v>
      </c>
      <c r="L24">
        <v>2</v>
      </c>
      <c r="M24">
        <v>10</v>
      </c>
      <c r="N24">
        <v>5783.8244461507693</v>
      </c>
      <c r="O24">
        <v>4</v>
      </c>
      <c r="P24">
        <v>0</v>
      </c>
      <c r="Q24">
        <v>0</v>
      </c>
      <c r="R24">
        <v>4</v>
      </c>
      <c r="S24">
        <v>2</v>
      </c>
      <c r="T24">
        <v>80</v>
      </c>
      <c r="U24">
        <v>1</v>
      </c>
    </row>
    <row r="25" spans="1:21" x14ac:dyDescent="0.45">
      <c r="A25" s="4">
        <v>48</v>
      </c>
      <c r="B25" s="4">
        <v>0</v>
      </c>
      <c r="C25" s="4">
        <v>0</v>
      </c>
      <c r="D25">
        <v>0</v>
      </c>
      <c r="E25">
        <v>3</v>
      </c>
      <c r="F25">
        <v>1</v>
      </c>
      <c r="G25">
        <v>5</v>
      </c>
      <c r="H25">
        <v>9</v>
      </c>
      <c r="I25">
        <v>13</v>
      </c>
      <c r="J25">
        <v>1</v>
      </c>
      <c r="K25">
        <v>6</v>
      </c>
      <c r="L25">
        <v>0</v>
      </c>
      <c r="M25">
        <v>7</v>
      </c>
      <c r="N25">
        <v>3884.3542758031199</v>
      </c>
      <c r="O25">
        <v>4</v>
      </c>
      <c r="P25">
        <v>0</v>
      </c>
      <c r="Q25">
        <v>0</v>
      </c>
      <c r="R25">
        <v>3</v>
      </c>
      <c r="S25">
        <v>1</v>
      </c>
      <c r="T25">
        <v>46</v>
      </c>
      <c r="U25">
        <v>1</v>
      </c>
    </row>
    <row r="26" spans="1:21" x14ac:dyDescent="0.45">
      <c r="A26" s="4">
        <v>49</v>
      </c>
      <c r="B26" s="4">
        <v>0</v>
      </c>
      <c r="C26" s="4">
        <v>0</v>
      </c>
      <c r="D26">
        <v>0</v>
      </c>
      <c r="E26">
        <v>3</v>
      </c>
      <c r="F26">
        <v>0</v>
      </c>
      <c r="G26">
        <v>8</v>
      </c>
      <c r="H26">
        <v>9</v>
      </c>
      <c r="I26">
        <v>8</v>
      </c>
      <c r="J26">
        <v>1</v>
      </c>
      <c r="K26">
        <v>7</v>
      </c>
      <c r="L26">
        <v>0</v>
      </c>
      <c r="M26">
        <v>8</v>
      </c>
      <c r="N26">
        <v>3957.678910175805</v>
      </c>
      <c r="O26">
        <v>4</v>
      </c>
      <c r="P26">
        <v>0</v>
      </c>
      <c r="Q26">
        <v>0</v>
      </c>
      <c r="R26">
        <v>3</v>
      </c>
      <c r="S26">
        <v>6</v>
      </c>
      <c r="T26">
        <v>4330</v>
      </c>
      <c r="U26">
        <v>4</v>
      </c>
    </row>
    <row r="27" spans="1:21" x14ac:dyDescent="0.45">
      <c r="A27" s="4">
        <v>50</v>
      </c>
      <c r="B27" s="4">
        <v>0</v>
      </c>
      <c r="C27" s="4">
        <v>0</v>
      </c>
      <c r="D27">
        <v>0</v>
      </c>
      <c r="E27">
        <v>1</v>
      </c>
      <c r="F27">
        <v>0</v>
      </c>
      <c r="G27">
        <v>1</v>
      </c>
      <c r="H27">
        <v>2</v>
      </c>
      <c r="I27">
        <v>3</v>
      </c>
      <c r="J27">
        <v>0</v>
      </c>
      <c r="K27">
        <v>1</v>
      </c>
      <c r="L27">
        <v>0</v>
      </c>
      <c r="M27">
        <v>2</v>
      </c>
      <c r="N27">
        <v>5490.6611388730826</v>
      </c>
      <c r="O27">
        <v>3</v>
      </c>
      <c r="P27">
        <v>1</v>
      </c>
      <c r="Q27">
        <v>1</v>
      </c>
      <c r="R27">
        <v>2</v>
      </c>
      <c r="S27">
        <v>2</v>
      </c>
      <c r="T27">
        <v>514</v>
      </c>
      <c r="U27">
        <v>2</v>
      </c>
    </row>
    <row r="28" spans="1:21" x14ac:dyDescent="0.45">
      <c r="A28" s="4">
        <v>53</v>
      </c>
      <c r="B28" s="4">
        <v>0</v>
      </c>
      <c r="C28" s="4">
        <v>0</v>
      </c>
      <c r="D28">
        <v>2</v>
      </c>
      <c r="E28">
        <v>2</v>
      </c>
      <c r="F28">
        <v>0</v>
      </c>
      <c r="G28">
        <v>3</v>
      </c>
      <c r="H28">
        <v>3</v>
      </c>
      <c r="I28">
        <v>8</v>
      </c>
      <c r="J28">
        <v>0</v>
      </c>
      <c r="K28">
        <v>0</v>
      </c>
      <c r="L28">
        <v>0</v>
      </c>
      <c r="M28">
        <v>3</v>
      </c>
      <c r="N28">
        <v>4632.2159887748567</v>
      </c>
      <c r="O28">
        <v>2</v>
      </c>
      <c r="P28">
        <v>1</v>
      </c>
      <c r="Q28">
        <v>0</v>
      </c>
      <c r="R28">
        <v>4</v>
      </c>
      <c r="S28">
        <v>7</v>
      </c>
      <c r="T28">
        <v>1438</v>
      </c>
      <c r="U28">
        <v>1</v>
      </c>
    </row>
    <row r="29" spans="1:21" x14ac:dyDescent="0.45">
      <c r="A29" s="4">
        <v>54</v>
      </c>
      <c r="B29" s="4">
        <v>0</v>
      </c>
      <c r="C29" s="4">
        <v>0</v>
      </c>
      <c r="D29">
        <v>2</v>
      </c>
      <c r="E29">
        <v>2</v>
      </c>
      <c r="F29">
        <v>0</v>
      </c>
      <c r="G29">
        <v>2</v>
      </c>
      <c r="H29">
        <v>3</v>
      </c>
      <c r="I29">
        <v>6</v>
      </c>
      <c r="J29">
        <v>0</v>
      </c>
      <c r="K29">
        <v>0</v>
      </c>
      <c r="L29">
        <v>0</v>
      </c>
      <c r="M29">
        <v>5</v>
      </c>
      <c r="N29">
        <v>4402.9834311195054</v>
      </c>
      <c r="O29">
        <v>1</v>
      </c>
      <c r="P29">
        <v>0</v>
      </c>
      <c r="Q29">
        <v>0</v>
      </c>
      <c r="R29">
        <v>4</v>
      </c>
      <c r="S29">
        <v>1</v>
      </c>
      <c r="T29">
        <v>663</v>
      </c>
      <c r="U29">
        <v>1</v>
      </c>
    </row>
    <row r="30" spans="1:21" x14ac:dyDescent="0.45">
      <c r="A30" s="4">
        <v>55</v>
      </c>
      <c r="B30" s="4">
        <v>0</v>
      </c>
      <c r="C30" s="4">
        <v>1</v>
      </c>
      <c r="D30">
        <v>2</v>
      </c>
      <c r="E30">
        <v>6</v>
      </c>
      <c r="F30">
        <v>0</v>
      </c>
      <c r="G30">
        <v>4</v>
      </c>
      <c r="H30">
        <v>4</v>
      </c>
      <c r="I30">
        <v>4</v>
      </c>
      <c r="J30">
        <v>0</v>
      </c>
      <c r="K30">
        <v>0</v>
      </c>
      <c r="L30">
        <v>0</v>
      </c>
      <c r="M30">
        <v>7</v>
      </c>
      <c r="N30">
        <v>4229.6839841415112</v>
      </c>
      <c r="O30">
        <v>3</v>
      </c>
      <c r="P30">
        <v>0</v>
      </c>
      <c r="Q30">
        <v>1</v>
      </c>
      <c r="R30">
        <v>3</v>
      </c>
      <c r="S30">
        <v>2</v>
      </c>
      <c r="T30">
        <v>1582</v>
      </c>
      <c r="U30">
        <v>1</v>
      </c>
    </row>
    <row r="31" spans="1:21" x14ac:dyDescent="0.45">
      <c r="A31" s="4">
        <v>56</v>
      </c>
      <c r="B31" s="4">
        <v>0</v>
      </c>
      <c r="C31" s="4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5281.2880685064174</v>
      </c>
      <c r="O31">
        <v>1</v>
      </c>
      <c r="P31">
        <v>0</v>
      </c>
      <c r="Q31">
        <v>1</v>
      </c>
      <c r="R31">
        <v>2</v>
      </c>
      <c r="S31">
        <v>3</v>
      </c>
      <c r="T31">
        <v>452</v>
      </c>
      <c r="U31">
        <v>2</v>
      </c>
    </row>
    <row r="32" spans="1:21" x14ac:dyDescent="0.45">
      <c r="A32" s="4">
        <v>57</v>
      </c>
      <c r="B32" s="4">
        <v>0</v>
      </c>
      <c r="C32" s="4">
        <v>0</v>
      </c>
      <c r="D32">
        <v>2</v>
      </c>
      <c r="E32">
        <v>2</v>
      </c>
      <c r="F32">
        <v>0</v>
      </c>
      <c r="G32">
        <v>6</v>
      </c>
      <c r="H32">
        <v>3</v>
      </c>
      <c r="I32">
        <v>7</v>
      </c>
      <c r="J32">
        <v>0</v>
      </c>
      <c r="K32">
        <v>1</v>
      </c>
      <c r="L32">
        <v>1</v>
      </c>
      <c r="M32">
        <v>4</v>
      </c>
      <c r="N32">
        <v>4312.3746661376972</v>
      </c>
      <c r="O32">
        <v>1</v>
      </c>
      <c r="P32">
        <v>1</v>
      </c>
      <c r="Q32">
        <v>0</v>
      </c>
      <c r="R32">
        <v>4</v>
      </c>
      <c r="S32">
        <v>6</v>
      </c>
      <c r="T32">
        <v>1362</v>
      </c>
      <c r="U32">
        <v>1</v>
      </c>
    </row>
    <row r="33" spans="1:21" x14ac:dyDescent="0.45">
      <c r="A33" s="4">
        <v>58</v>
      </c>
      <c r="B33" s="4">
        <v>0</v>
      </c>
      <c r="C33" s="4">
        <v>0</v>
      </c>
      <c r="D33">
        <v>2</v>
      </c>
      <c r="E33">
        <v>9</v>
      </c>
      <c r="F33">
        <v>1</v>
      </c>
      <c r="G33">
        <v>8</v>
      </c>
      <c r="H33">
        <v>5</v>
      </c>
      <c r="I33">
        <v>15</v>
      </c>
      <c r="J33">
        <v>1</v>
      </c>
      <c r="K33">
        <v>9</v>
      </c>
      <c r="L33">
        <v>1</v>
      </c>
      <c r="M33">
        <v>9</v>
      </c>
      <c r="N33">
        <v>3841.448790776009</v>
      </c>
      <c r="O33">
        <v>2</v>
      </c>
      <c r="P33">
        <v>0</v>
      </c>
      <c r="Q33">
        <v>1</v>
      </c>
      <c r="R33">
        <v>3</v>
      </c>
      <c r="S33">
        <v>4</v>
      </c>
      <c r="T33">
        <v>306</v>
      </c>
      <c r="U33">
        <v>1</v>
      </c>
    </row>
    <row r="34" spans="1:21" x14ac:dyDescent="0.45">
      <c r="A34" s="4">
        <v>59</v>
      </c>
      <c r="B34" s="4">
        <v>0</v>
      </c>
      <c r="C34" s="4">
        <v>0</v>
      </c>
      <c r="D34">
        <v>1</v>
      </c>
      <c r="E34">
        <v>6</v>
      </c>
      <c r="F34">
        <v>1</v>
      </c>
      <c r="G34">
        <v>6</v>
      </c>
      <c r="H34">
        <v>5</v>
      </c>
      <c r="I34">
        <v>20</v>
      </c>
      <c r="J34">
        <v>2</v>
      </c>
      <c r="K34">
        <v>11</v>
      </c>
      <c r="L34">
        <v>0</v>
      </c>
      <c r="M34">
        <v>9</v>
      </c>
      <c r="N34">
        <v>3465.8654793022738</v>
      </c>
      <c r="O34">
        <v>2</v>
      </c>
      <c r="P34">
        <v>0</v>
      </c>
      <c r="Q34">
        <v>0</v>
      </c>
      <c r="R34">
        <v>3</v>
      </c>
      <c r="S34">
        <v>2</v>
      </c>
      <c r="T34">
        <v>791</v>
      </c>
      <c r="U34">
        <v>2</v>
      </c>
    </row>
    <row r="35" spans="1:21" x14ac:dyDescent="0.45">
      <c r="A35" s="4">
        <v>61</v>
      </c>
      <c r="B35" s="4">
        <v>0</v>
      </c>
      <c r="C35" s="4">
        <v>0</v>
      </c>
      <c r="D35">
        <v>1</v>
      </c>
      <c r="E35">
        <v>9</v>
      </c>
      <c r="F35">
        <v>1</v>
      </c>
      <c r="G35">
        <v>4</v>
      </c>
      <c r="H35">
        <v>4</v>
      </c>
      <c r="I35">
        <v>10</v>
      </c>
      <c r="J35">
        <v>1</v>
      </c>
      <c r="K35">
        <v>8</v>
      </c>
      <c r="L35">
        <v>0</v>
      </c>
      <c r="M35">
        <v>11</v>
      </c>
      <c r="N35">
        <v>3503.4302807832369</v>
      </c>
      <c r="O35">
        <v>4</v>
      </c>
      <c r="P35">
        <v>0</v>
      </c>
      <c r="Q35">
        <v>1</v>
      </c>
      <c r="R35">
        <v>4</v>
      </c>
      <c r="S35">
        <v>2</v>
      </c>
      <c r="T35">
        <v>388</v>
      </c>
      <c r="U35">
        <v>2</v>
      </c>
    </row>
    <row r="36" spans="1:21" x14ac:dyDescent="0.45">
      <c r="A36" s="4">
        <v>65</v>
      </c>
      <c r="B36" s="4">
        <v>0</v>
      </c>
      <c r="C36" s="4">
        <v>0</v>
      </c>
      <c r="D36">
        <v>1</v>
      </c>
      <c r="E36">
        <v>0</v>
      </c>
      <c r="F36">
        <v>0</v>
      </c>
      <c r="G36">
        <v>3</v>
      </c>
      <c r="H36">
        <v>1</v>
      </c>
      <c r="I36">
        <v>15</v>
      </c>
      <c r="J36">
        <v>2</v>
      </c>
      <c r="K36">
        <v>2</v>
      </c>
      <c r="L36">
        <v>3</v>
      </c>
      <c r="M36">
        <v>9</v>
      </c>
      <c r="N36">
        <v>2551.2665624309038</v>
      </c>
      <c r="O36">
        <v>4</v>
      </c>
      <c r="P36">
        <v>1</v>
      </c>
      <c r="Q36">
        <v>1</v>
      </c>
      <c r="R36">
        <v>3</v>
      </c>
      <c r="S36">
        <v>5</v>
      </c>
      <c r="T36">
        <v>4782</v>
      </c>
      <c r="U36">
        <v>4</v>
      </c>
    </row>
    <row r="37" spans="1:21" x14ac:dyDescent="0.45">
      <c r="A37" s="4">
        <v>69</v>
      </c>
      <c r="B37" s="4">
        <v>0</v>
      </c>
      <c r="C37" s="4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10</v>
      </c>
      <c r="J37">
        <v>2</v>
      </c>
      <c r="K37">
        <v>0</v>
      </c>
      <c r="L37">
        <v>0</v>
      </c>
      <c r="M37">
        <v>4</v>
      </c>
      <c r="N37">
        <v>2229.2517069653868</v>
      </c>
      <c r="O37">
        <v>1</v>
      </c>
      <c r="P37">
        <v>0</v>
      </c>
      <c r="Q37">
        <v>0</v>
      </c>
      <c r="R37">
        <v>3</v>
      </c>
      <c r="S37">
        <v>1</v>
      </c>
      <c r="T37">
        <v>172</v>
      </c>
      <c r="U37">
        <v>2</v>
      </c>
    </row>
    <row r="38" spans="1:21" x14ac:dyDescent="0.45">
      <c r="A38" s="4">
        <v>72</v>
      </c>
      <c r="B38" s="4">
        <v>1</v>
      </c>
      <c r="C38" s="4">
        <v>0</v>
      </c>
      <c r="D38">
        <v>1</v>
      </c>
      <c r="E38">
        <v>2</v>
      </c>
      <c r="F38">
        <v>3</v>
      </c>
      <c r="G38">
        <v>8</v>
      </c>
      <c r="H38">
        <v>3</v>
      </c>
      <c r="I38">
        <v>19</v>
      </c>
      <c r="J38">
        <v>3</v>
      </c>
      <c r="K38">
        <v>1</v>
      </c>
      <c r="L38">
        <v>1</v>
      </c>
      <c r="M38">
        <v>13</v>
      </c>
      <c r="N38">
        <v>2307.4068429321569</v>
      </c>
      <c r="O38">
        <v>4</v>
      </c>
      <c r="P38">
        <v>0</v>
      </c>
      <c r="Q38">
        <v>1</v>
      </c>
      <c r="R38">
        <v>4</v>
      </c>
      <c r="S38">
        <v>2</v>
      </c>
      <c r="T38">
        <v>452</v>
      </c>
      <c r="U38">
        <v>1</v>
      </c>
    </row>
    <row r="39" spans="1:21" x14ac:dyDescent="0.45">
      <c r="A39" s="4">
        <v>73</v>
      </c>
      <c r="B39" s="4">
        <v>1</v>
      </c>
      <c r="C39" s="4">
        <v>0</v>
      </c>
      <c r="D39">
        <v>0</v>
      </c>
      <c r="E39">
        <v>0</v>
      </c>
      <c r="F39">
        <v>3</v>
      </c>
      <c r="G39">
        <v>7</v>
      </c>
      <c r="H39">
        <v>5</v>
      </c>
      <c r="I39">
        <v>26</v>
      </c>
      <c r="J39">
        <v>3</v>
      </c>
      <c r="K39">
        <v>8</v>
      </c>
      <c r="L39">
        <v>3</v>
      </c>
      <c r="M39">
        <v>12</v>
      </c>
      <c r="N39">
        <v>2748.4751205624279</v>
      </c>
      <c r="O39">
        <v>3</v>
      </c>
      <c r="P39">
        <v>0</v>
      </c>
      <c r="Q39">
        <v>1</v>
      </c>
      <c r="R39">
        <v>4</v>
      </c>
      <c r="S39">
        <v>5</v>
      </c>
      <c r="T39">
        <v>486</v>
      </c>
      <c r="U39">
        <v>2</v>
      </c>
    </row>
    <row r="40" spans="1:21" x14ac:dyDescent="0.45">
      <c r="A40" s="4">
        <v>74</v>
      </c>
      <c r="B40" s="4">
        <v>1</v>
      </c>
      <c r="C40" s="4">
        <v>0</v>
      </c>
      <c r="D40">
        <v>0</v>
      </c>
      <c r="E40">
        <v>0</v>
      </c>
      <c r="F40">
        <v>3</v>
      </c>
      <c r="G40">
        <v>7</v>
      </c>
      <c r="H40">
        <v>5</v>
      </c>
      <c r="I40">
        <v>26</v>
      </c>
      <c r="J40">
        <v>3</v>
      </c>
      <c r="K40">
        <v>8</v>
      </c>
      <c r="L40">
        <v>3</v>
      </c>
      <c r="M40">
        <v>12</v>
      </c>
      <c r="N40">
        <v>2748.4751205624279</v>
      </c>
      <c r="O40">
        <v>3</v>
      </c>
      <c r="P40">
        <v>0</v>
      </c>
      <c r="Q40">
        <v>1</v>
      </c>
      <c r="R40">
        <v>4</v>
      </c>
      <c r="S40">
        <v>5</v>
      </c>
      <c r="T40">
        <v>354</v>
      </c>
      <c r="U40">
        <v>3</v>
      </c>
    </row>
    <row r="41" spans="1:21" x14ac:dyDescent="0.45">
      <c r="A41" s="4">
        <v>75</v>
      </c>
      <c r="B41" s="4">
        <v>0</v>
      </c>
      <c r="C41" s="4">
        <v>0</v>
      </c>
      <c r="D41">
        <v>5</v>
      </c>
      <c r="E41">
        <v>9</v>
      </c>
      <c r="F41">
        <v>3</v>
      </c>
      <c r="G41">
        <v>19</v>
      </c>
      <c r="H41">
        <v>14</v>
      </c>
      <c r="I41">
        <v>43</v>
      </c>
      <c r="J41">
        <v>22</v>
      </c>
      <c r="K41">
        <v>7</v>
      </c>
      <c r="L41">
        <v>6</v>
      </c>
      <c r="M41">
        <v>12</v>
      </c>
      <c r="N41">
        <v>2576.2367948565739</v>
      </c>
      <c r="O41">
        <v>2</v>
      </c>
      <c r="P41">
        <v>0</v>
      </c>
      <c r="Q41">
        <v>1</v>
      </c>
      <c r="R41">
        <v>4</v>
      </c>
      <c r="S41">
        <v>7</v>
      </c>
      <c r="T41">
        <v>1700</v>
      </c>
      <c r="U41">
        <v>4</v>
      </c>
    </row>
    <row r="42" spans="1:21" x14ac:dyDescent="0.45">
      <c r="A42" s="4">
        <v>76</v>
      </c>
      <c r="B42" s="4">
        <v>1</v>
      </c>
      <c r="C42" s="4">
        <v>0</v>
      </c>
      <c r="D42">
        <v>4</v>
      </c>
      <c r="E42">
        <v>10</v>
      </c>
      <c r="F42">
        <v>1</v>
      </c>
      <c r="G42">
        <v>22</v>
      </c>
      <c r="H42">
        <v>18</v>
      </c>
      <c r="I42">
        <v>73</v>
      </c>
      <c r="J42">
        <v>21</v>
      </c>
      <c r="K42">
        <v>5</v>
      </c>
      <c r="L42">
        <v>2</v>
      </c>
      <c r="M42">
        <v>12</v>
      </c>
      <c r="N42">
        <v>2576.1008143591189</v>
      </c>
      <c r="O42">
        <v>4</v>
      </c>
      <c r="P42">
        <v>0</v>
      </c>
      <c r="Q42">
        <v>1</v>
      </c>
      <c r="R42">
        <v>4</v>
      </c>
      <c r="S42">
        <v>4</v>
      </c>
      <c r="T42">
        <v>279</v>
      </c>
      <c r="U42">
        <v>1</v>
      </c>
    </row>
    <row r="43" spans="1:21" x14ac:dyDescent="0.45">
      <c r="A43" s="4">
        <v>77</v>
      </c>
      <c r="B43" s="4">
        <v>1</v>
      </c>
      <c r="C43" s="4">
        <v>0</v>
      </c>
      <c r="D43">
        <v>8</v>
      </c>
      <c r="E43">
        <v>13</v>
      </c>
      <c r="F43">
        <v>0</v>
      </c>
      <c r="G43">
        <v>12</v>
      </c>
      <c r="H43">
        <v>16</v>
      </c>
      <c r="I43">
        <v>62</v>
      </c>
      <c r="J43">
        <v>10</v>
      </c>
      <c r="K43">
        <v>22</v>
      </c>
      <c r="L43">
        <v>11</v>
      </c>
      <c r="M43">
        <v>20</v>
      </c>
      <c r="N43">
        <v>3155.166155557044</v>
      </c>
      <c r="O43">
        <v>2</v>
      </c>
      <c r="P43">
        <v>0</v>
      </c>
      <c r="Q43">
        <v>1</v>
      </c>
      <c r="R43">
        <v>4</v>
      </c>
      <c r="S43">
        <v>5</v>
      </c>
      <c r="T43">
        <v>597</v>
      </c>
      <c r="U43">
        <v>2</v>
      </c>
    </row>
    <row r="44" spans="1:21" x14ac:dyDescent="0.45">
      <c r="A44" s="4">
        <v>79</v>
      </c>
      <c r="B44" s="4">
        <v>0</v>
      </c>
      <c r="C44" s="4">
        <v>0</v>
      </c>
      <c r="D44">
        <v>3</v>
      </c>
      <c r="E44">
        <v>9</v>
      </c>
      <c r="F44">
        <v>1</v>
      </c>
      <c r="G44">
        <v>6</v>
      </c>
      <c r="H44">
        <v>9</v>
      </c>
      <c r="I44">
        <v>21</v>
      </c>
      <c r="J44">
        <v>3</v>
      </c>
      <c r="K44">
        <v>9</v>
      </c>
      <c r="L44">
        <v>3</v>
      </c>
      <c r="M44">
        <v>16</v>
      </c>
      <c r="N44">
        <v>3223.9382824097079</v>
      </c>
      <c r="O44">
        <v>3</v>
      </c>
      <c r="P44">
        <v>0</v>
      </c>
      <c r="Q44">
        <v>0</v>
      </c>
      <c r="R44">
        <v>1</v>
      </c>
      <c r="S44">
        <v>4</v>
      </c>
      <c r="T44">
        <v>2221</v>
      </c>
      <c r="U44">
        <v>1</v>
      </c>
    </row>
    <row r="45" spans="1:21" x14ac:dyDescent="0.45">
      <c r="A45" s="4">
        <v>81</v>
      </c>
      <c r="B45" s="4">
        <v>1</v>
      </c>
      <c r="C45" s="4">
        <v>0</v>
      </c>
      <c r="D45">
        <v>1</v>
      </c>
      <c r="E45">
        <v>2</v>
      </c>
      <c r="F45">
        <v>3</v>
      </c>
      <c r="G45">
        <v>9</v>
      </c>
      <c r="H45">
        <v>6</v>
      </c>
      <c r="I45">
        <v>34</v>
      </c>
      <c r="J45">
        <v>5</v>
      </c>
      <c r="K45">
        <v>16</v>
      </c>
      <c r="L45">
        <v>2</v>
      </c>
      <c r="M45">
        <v>17</v>
      </c>
      <c r="N45">
        <v>2845.7568598124358</v>
      </c>
      <c r="O45">
        <v>3</v>
      </c>
      <c r="P45">
        <v>0</v>
      </c>
      <c r="Q45">
        <v>1</v>
      </c>
      <c r="R45">
        <v>3</v>
      </c>
      <c r="S45">
        <v>3</v>
      </c>
      <c r="T45">
        <v>671</v>
      </c>
      <c r="U45">
        <v>1</v>
      </c>
    </row>
    <row r="46" spans="1:21" x14ac:dyDescent="0.45">
      <c r="A46" s="4">
        <v>85</v>
      </c>
      <c r="B46" s="4">
        <v>1</v>
      </c>
      <c r="C46" s="4">
        <v>0</v>
      </c>
      <c r="D46">
        <v>5</v>
      </c>
      <c r="E46">
        <v>9</v>
      </c>
      <c r="F46">
        <v>2</v>
      </c>
      <c r="G46">
        <v>10</v>
      </c>
      <c r="H46">
        <v>14</v>
      </c>
      <c r="I46">
        <v>35</v>
      </c>
      <c r="J46">
        <v>6</v>
      </c>
      <c r="K46">
        <v>9</v>
      </c>
      <c r="L46">
        <v>5</v>
      </c>
      <c r="M46">
        <v>25</v>
      </c>
      <c r="N46">
        <v>4144.1289708976301</v>
      </c>
      <c r="O46">
        <v>4</v>
      </c>
      <c r="P46">
        <v>1</v>
      </c>
      <c r="Q46">
        <v>1</v>
      </c>
      <c r="R46">
        <v>4</v>
      </c>
      <c r="S46">
        <v>3</v>
      </c>
      <c r="T46">
        <v>313</v>
      </c>
      <c r="U46">
        <v>2</v>
      </c>
    </row>
    <row r="47" spans="1:21" x14ac:dyDescent="0.45">
      <c r="A47" s="4">
        <v>87</v>
      </c>
      <c r="B47" s="4">
        <v>0</v>
      </c>
      <c r="C47" s="4">
        <v>0</v>
      </c>
      <c r="D47">
        <v>5</v>
      </c>
      <c r="E47">
        <v>9</v>
      </c>
      <c r="F47">
        <v>2</v>
      </c>
      <c r="G47">
        <v>8</v>
      </c>
      <c r="H47">
        <v>10</v>
      </c>
      <c r="I47">
        <v>27</v>
      </c>
      <c r="J47">
        <v>4</v>
      </c>
      <c r="K47">
        <v>7</v>
      </c>
      <c r="L47">
        <v>5</v>
      </c>
      <c r="M47">
        <v>19</v>
      </c>
      <c r="N47">
        <v>4299.8667114249192</v>
      </c>
      <c r="O47">
        <v>4</v>
      </c>
      <c r="P47">
        <v>0</v>
      </c>
      <c r="Q47">
        <v>0</v>
      </c>
      <c r="R47">
        <v>4</v>
      </c>
      <c r="S47">
        <v>2</v>
      </c>
      <c r="T47">
        <v>59</v>
      </c>
      <c r="U47">
        <v>2</v>
      </c>
    </row>
    <row r="48" spans="1:21" x14ac:dyDescent="0.45">
      <c r="A48" s="4">
        <v>90</v>
      </c>
      <c r="B48" s="4">
        <v>0</v>
      </c>
      <c r="C48" s="4">
        <v>0</v>
      </c>
      <c r="D48">
        <v>0</v>
      </c>
      <c r="E48">
        <v>7</v>
      </c>
      <c r="F48">
        <v>1</v>
      </c>
      <c r="G48">
        <v>7</v>
      </c>
      <c r="H48">
        <v>7</v>
      </c>
      <c r="I48">
        <v>10</v>
      </c>
      <c r="J48">
        <v>2</v>
      </c>
      <c r="K48">
        <v>7</v>
      </c>
      <c r="L48">
        <v>1</v>
      </c>
      <c r="M48">
        <v>17</v>
      </c>
      <c r="N48">
        <v>4658.4858264515233</v>
      </c>
      <c r="O48">
        <v>1</v>
      </c>
      <c r="P48">
        <v>0</v>
      </c>
      <c r="Q48">
        <v>1</v>
      </c>
      <c r="R48">
        <v>4</v>
      </c>
      <c r="S48">
        <v>2</v>
      </c>
      <c r="T48">
        <v>78</v>
      </c>
      <c r="U48">
        <v>1</v>
      </c>
    </row>
    <row r="49" spans="1:21" x14ac:dyDescent="0.45">
      <c r="A49" s="4">
        <v>92</v>
      </c>
      <c r="B49" s="4">
        <v>0</v>
      </c>
      <c r="C49" s="4">
        <v>0</v>
      </c>
      <c r="D49">
        <v>1</v>
      </c>
      <c r="E49">
        <v>4</v>
      </c>
      <c r="F49">
        <v>1</v>
      </c>
      <c r="G49">
        <v>5</v>
      </c>
      <c r="H49">
        <v>7</v>
      </c>
      <c r="I49">
        <v>8</v>
      </c>
      <c r="J49">
        <v>2</v>
      </c>
      <c r="K49">
        <v>7</v>
      </c>
      <c r="L49">
        <v>1</v>
      </c>
      <c r="M49">
        <v>17</v>
      </c>
      <c r="N49">
        <v>4741.267639190517</v>
      </c>
      <c r="O49">
        <v>2</v>
      </c>
      <c r="P49">
        <v>0</v>
      </c>
      <c r="Q49">
        <v>1</v>
      </c>
      <c r="R49">
        <v>4</v>
      </c>
      <c r="S49">
        <v>2</v>
      </c>
      <c r="T49">
        <v>426</v>
      </c>
      <c r="U49">
        <v>2</v>
      </c>
    </row>
    <row r="50" spans="1:21" x14ac:dyDescent="0.45">
      <c r="A50" s="4">
        <v>96</v>
      </c>
      <c r="B50" s="4">
        <v>0</v>
      </c>
      <c r="C50" s="4">
        <v>0</v>
      </c>
      <c r="D50">
        <v>3</v>
      </c>
      <c r="E50">
        <v>3</v>
      </c>
      <c r="F50">
        <v>2</v>
      </c>
      <c r="G50">
        <v>20</v>
      </c>
      <c r="H50">
        <v>20</v>
      </c>
      <c r="I50">
        <v>58</v>
      </c>
      <c r="J50">
        <v>14</v>
      </c>
      <c r="K50">
        <v>8</v>
      </c>
      <c r="L50">
        <v>8</v>
      </c>
      <c r="M50">
        <v>12</v>
      </c>
      <c r="N50">
        <v>2891.527639579554</v>
      </c>
      <c r="O50">
        <v>4</v>
      </c>
      <c r="P50">
        <v>0</v>
      </c>
      <c r="Q50">
        <v>1</v>
      </c>
      <c r="R50">
        <v>4</v>
      </c>
      <c r="S50">
        <v>3</v>
      </c>
      <c r="T50">
        <v>262</v>
      </c>
      <c r="U50">
        <v>2</v>
      </c>
    </row>
    <row r="51" spans="1:21" x14ac:dyDescent="0.45">
      <c r="A51" s="4">
        <v>97</v>
      </c>
      <c r="B51" s="4">
        <v>0</v>
      </c>
      <c r="C51" s="4">
        <v>0</v>
      </c>
      <c r="D51">
        <v>3</v>
      </c>
      <c r="E51">
        <v>3</v>
      </c>
      <c r="F51">
        <v>1</v>
      </c>
      <c r="G51">
        <v>22</v>
      </c>
      <c r="H51">
        <v>17</v>
      </c>
      <c r="I51">
        <v>81</v>
      </c>
      <c r="J51">
        <v>12</v>
      </c>
      <c r="K51">
        <v>9</v>
      </c>
      <c r="L51">
        <v>7</v>
      </c>
      <c r="M51">
        <v>14</v>
      </c>
      <c r="N51">
        <v>2927.5795402409258</v>
      </c>
      <c r="O51">
        <v>3</v>
      </c>
      <c r="P51">
        <v>0</v>
      </c>
      <c r="Q51">
        <v>1</v>
      </c>
      <c r="R51">
        <v>4</v>
      </c>
      <c r="S51">
        <v>3</v>
      </c>
      <c r="T51">
        <v>199</v>
      </c>
      <c r="U51">
        <v>2</v>
      </c>
    </row>
    <row r="52" spans="1:21" x14ac:dyDescent="0.45">
      <c r="A52" s="4">
        <v>98</v>
      </c>
      <c r="B52" s="4">
        <v>0</v>
      </c>
      <c r="C52" s="4">
        <v>0</v>
      </c>
      <c r="D52">
        <v>1</v>
      </c>
      <c r="E52">
        <v>8</v>
      </c>
      <c r="F52">
        <v>0</v>
      </c>
      <c r="G52">
        <v>25</v>
      </c>
      <c r="H52">
        <v>23</v>
      </c>
      <c r="I52">
        <v>89</v>
      </c>
      <c r="J52">
        <v>17</v>
      </c>
      <c r="K52">
        <v>9</v>
      </c>
      <c r="L52">
        <v>6</v>
      </c>
      <c r="M52">
        <v>10</v>
      </c>
      <c r="N52">
        <v>3187.782165904011</v>
      </c>
      <c r="O52">
        <v>1</v>
      </c>
      <c r="P52">
        <v>0</v>
      </c>
      <c r="Q52">
        <v>1</v>
      </c>
      <c r="R52">
        <v>4</v>
      </c>
      <c r="S52">
        <v>2</v>
      </c>
      <c r="T52">
        <v>363</v>
      </c>
      <c r="U52">
        <v>3</v>
      </c>
    </row>
    <row r="53" spans="1:21" x14ac:dyDescent="0.45">
      <c r="A53" s="4">
        <v>100</v>
      </c>
      <c r="B53" s="4">
        <v>0</v>
      </c>
      <c r="C53" s="4">
        <v>0</v>
      </c>
      <c r="D53">
        <v>5</v>
      </c>
      <c r="E53">
        <v>4</v>
      </c>
      <c r="F53">
        <v>1</v>
      </c>
      <c r="G53">
        <v>18</v>
      </c>
      <c r="H53">
        <v>18</v>
      </c>
      <c r="I53">
        <v>62</v>
      </c>
      <c r="J53">
        <v>7</v>
      </c>
      <c r="K53">
        <v>7</v>
      </c>
      <c r="L53">
        <v>7</v>
      </c>
      <c r="M53">
        <v>12</v>
      </c>
      <c r="N53">
        <v>3204.92548865854</v>
      </c>
      <c r="O53">
        <v>3</v>
      </c>
      <c r="P53">
        <v>0</v>
      </c>
      <c r="Q53">
        <v>1</v>
      </c>
      <c r="R53">
        <v>4</v>
      </c>
      <c r="S53">
        <v>6</v>
      </c>
      <c r="T53">
        <v>159</v>
      </c>
      <c r="U53">
        <v>1</v>
      </c>
    </row>
    <row r="54" spans="1:21" x14ac:dyDescent="0.45">
      <c r="A54" s="4">
        <v>103</v>
      </c>
      <c r="B54" s="4">
        <v>0</v>
      </c>
      <c r="C54" s="4">
        <v>0</v>
      </c>
      <c r="D54">
        <v>3</v>
      </c>
      <c r="E54">
        <v>8</v>
      </c>
      <c r="F54">
        <v>1</v>
      </c>
      <c r="G54">
        <v>9</v>
      </c>
      <c r="H54">
        <v>7</v>
      </c>
      <c r="I54">
        <v>29</v>
      </c>
      <c r="J54">
        <v>4</v>
      </c>
      <c r="K54">
        <v>13</v>
      </c>
      <c r="L54">
        <v>1</v>
      </c>
      <c r="M54">
        <v>9</v>
      </c>
      <c r="N54">
        <v>3992.7206166777569</v>
      </c>
      <c r="O54">
        <v>3</v>
      </c>
      <c r="P54">
        <v>0</v>
      </c>
      <c r="Q54">
        <v>0</v>
      </c>
      <c r="R54">
        <v>4</v>
      </c>
      <c r="S54">
        <v>2</v>
      </c>
      <c r="T54">
        <v>1490</v>
      </c>
      <c r="U54">
        <v>1</v>
      </c>
    </row>
    <row r="55" spans="1:21" x14ac:dyDescent="0.45">
      <c r="A55" s="4">
        <v>105</v>
      </c>
      <c r="B55" s="4">
        <v>0</v>
      </c>
      <c r="C55" s="4">
        <v>0</v>
      </c>
      <c r="D55">
        <v>4</v>
      </c>
      <c r="E55">
        <v>7</v>
      </c>
      <c r="F55">
        <v>0</v>
      </c>
      <c r="G55">
        <v>20</v>
      </c>
      <c r="H55">
        <v>9</v>
      </c>
      <c r="I55">
        <v>43</v>
      </c>
      <c r="J55">
        <v>15</v>
      </c>
      <c r="K55">
        <v>7</v>
      </c>
      <c r="L55">
        <v>3</v>
      </c>
      <c r="M55">
        <v>13</v>
      </c>
      <c r="N55">
        <v>2114.6093101919469</v>
      </c>
      <c r="O55">
        <v>4</v>
      </c>
      <c r="P55">
        <v>1</v>
      </c>
      <c r="Q55">
        <v>1</v>
      </c>
      <c r="R55">
        <v>4</v>
      </c>
      <c r="S55">
        <v>3</v>
      </c>
      <c r="T55">
        <v>1945</v>
      </c>
      <c r="U55">
        <v>4</v>
      </c>
    </row>
    <row r="56" spans="1:21" x14ac:dyDescent="0.45">
      <c r="A56" s="4">
        <v>106</v>
      </c>
      <c r="B56" s="4">
        <v>0</v>
      </c>
      <c r="C56" s="4">
        <v>0</v>
      </c>
      <c r="D56">
        <v>4</v>
      </c>
      <c r="E56">
        <v>7</v>
      </c>
      <c r="F56">
        <v>0</v>
      </c>
      <c r="G56">
        <v>20</v>
      </c>
      <c r="H56">
        <v>9</v>
      </c>
      <c r="I56">
        <v>43</v>
      </c>
      <c r="J56">
        <v>15</v>
      </c>
      <c r="K56">
        <v>7</v>
      </c>
      <c r="L56">
        <v>3</v>
      </c>
      <c r="M56">
        <v>13</v>
      </c>
      <c r="N56">
        <v>2040.288581699959</v>
      </c>
      <c r="O56">
        <v>4</v>
      </c>
      <c r="P56">
        <v>1</v>
      </c>
      <c r="Q56">
        <v>1</v>
      </c>
      <c r="R56">
        <v>4</v>
      </c>
      <c r="S56">
        <v>2</v>
      </c>
      <c r="T56">
        <v>2435</v>
      </c>
      <c r="U56">
        <v>4</v>
      </c>
    </row>
    <row r="57" spans="1:21" x14ac:dyDescent="0.45">
      <c r="A57" s="4">
        <v>107</v>
      </c>
      <c r="B57" s="4">
        <v>0</v>
      </c>
      <c r="C57" s="4">
        <v>0</v>
      </c>
      <c r="D57">
        <v>1</v>
      </c>
      <c r="E57">
        <v>2</v>
      </c>
      <c r="F57">
        <v>0</v>
      </c>
      <c r="G57">
        <v>7</v>
      </c>
      <c r="H57">
        <v>3</v>
      </c>
      <c r="I57">
        <v>10</v>
      </c>
      <c r="J57">
        <v>4</v>
      </c>
      <c r="K57">
        <v>4</v>
      </c>
      <c r="L57">
        <v>1</v>
      </c>
      <c r="M57">
        <v>4</v>
      </c>
      <c r="N57">
        <v>1802.566593101998</v>
      </c>
      <c r="O57">
        <v>2</v>
      </c>
      <c r="P57">
        <v>0</v>
      </c>
      <c r="Q57">
        <v>0</v>
      </c>
      <c r="R57">
        <v>4</v>
      </c>
      <c r="S57">
        <v>3</v>
      </c>
      <c r="T57">
        <v>349</v>
      </c>
      <c r="U57">
        <v>1</v>
      </c>
    </row>
    <row r="58" spans="1:21" x14ac:dyDescent="0.45">
      <c r="A58" s="4">
        <v>108</v>
      </c>
      <c r="B58" s="4">
        <v>0</v>
      </c>
      <c r="C58" s="4">
        <v>0</v>
      </c>
      <c r="D58">
        <v>5</v>
      </c>
      <c r="E58">
        <v>6</v>
      </c>
      <c r="F58">
        <v>0</v>
      </c>
      <c r="G58">
        <v>14</v>
      </c>
      <c r="H58">
        <v>10</v>
      </c>
      <c r="I58">
        <v>92</v>
      </c>
      <c r="J58">
        <v>31</v>
      </c>
      <c r="K58">
        <v>5</v>
      </c>
      <c r="L58">
        <v>3</v>
      </c>
      <c r="M58">
        <v>14</v>
      </c>
      <c r="N58">
        <v>1533.5752267746591</v>
      </c>
      <c r="O58">
        <v>4</v>
      </c>
      <c r="P58">
        <v>1</v>
      </c>
      <c r="Q58">
        <v>1</v>
      </c>
      <c r="R58">
        <v>3</v>
      </c>
      <c r="S58">
        <v>3</v>
      </c>
      <c r="T58">
        <v>1329</v>
      </c>
      <c r="U58">
        <v>1</v>
      </c>
    </row>
    <row r="59" spans="1:21" x14ac:dyDescent="0.45">
      <c r="A59" s="4">
        <v>109</v>
      </c>
      <c r="B59" s="4">
        <v>0</v>
      </c>
      <c r="C59" s="4">
        <v>0</v>
      </c>
      <c r="D59">
        <v>5</v>
      </c>
      <c r="E59">
        <v>6</v>
      </c>
      <c r="F59">
        <v>0</v>
      </c>
      <c r="G59">
        <v>14</v>
      </c>
      <c r="H59">
        <v>10</v>
      </c>
      <c r="I59">
        <v>92</v>
      </c>
      <c r="J59">
        <v>31</v>
      </c>
      <c r="K59">
        <v>5</v>
      </c>
      <c r="L59">
        <v>3</v>
      </c>
      <c r="M59">
        <v>14</v>
      </c>
      <c r="N59">
        <v>1639.2249508742721</v>
      </c>
      <c r="O59">
        <v>4</v>
      </c>
      <c r="P59">
        <v>1</v>
      </c>
      <c r="Q59">
        <v>1</v>
      </c>
      <c r="R59">
        <v>3</v>
      </c>
      <c r="S59">
        <v>2</v>
      </c>
      <c r="T59">
        <v>337</v>
      </c>
      <c r="U59">
        <v>1</v>
      </c>
    </row>
    <row r="60" spans="1:21" x14ac:dyDescent="0.45">
      <c r="A60" s="4">
        <v>110</v>
      </c>
      <c r="B60" s="4">
        <v>0</v>
      </c>
      <c r="C60" s="4">
        <v>0</v>
      </c>
      <c r="D60">
        <v>5</v>
      </c>
      <c r="E60">
        <v>6</v>
      </c>
      <c r="F60">
        <v>0</v>
      </c>
      <c r="G60">
        <v>14</v>
      </c>
      <c r="H60">
        <v>10</v>
      </c>
      <c r="I60">
        <v>92</v>
      </c>
      <c r="J60">
        <v>31</v>
      </c>
      <c r="K60">
        <v>5</v>
      </c>
      <c r="L60">
        <v>3</v>
      </c>
      <c r="M60">
        <v>14</v>
      </c>
      <c r="N60">
        <v>1533.5752267746591</v>
      </c>
      <c r="O60">
        <v>4</v>
      </c>
      <c r="P60">
        <v>1</v>
      </c>
      <c r="Q60">
        <v>1</v>
      </c>
      <c r="R60">
        <v>3</v>
      </c>
      <c r="S60">
        <v>3</v>
      </c>
      <c r="T60">
        <v>295</v>
      </c>
      <c r="U60">
        <v>1</v>
      </c>
    </row>
    <row r="61" spans="1:21" x14ac:dyDescent="0.45">
      <c r="A61" s="4">
        <v>111</v>
      </c>
      <c r="B61" s="4">
        <v>0</v>
      </c>
      <c r="C61" s="4">
        <v>0</v>
      </c>
      <c r="D61">
        <v>5</v>
      </c>
      <c r="E61">
        <v>6</v>
      </c>
      <c r="F61">
        <v>0</v>
      </c>
      <c r="G61">
        <v>14</v>
      </c>
      <c r="H61">
        <v>10</v>
      </c>
      <c r="I61">
        <v>92</v>
      </c>
      <c r="J61">
        <v>31</v>
      </c>
      <c r="K61">
        <v>5</v>
      </c>
      <c r="L61">
        <v>3</v>
      </c>
      <c r="M61">
        <v>14</v>
      </c>
      <c r="N61">
        <v>1639.2249508742721</v>
      </c>
      <c r="O61">
        <v>3</v>
      </c>
      <c r="P61">
        <v>1</v>
      </c>
      <c r="Q61">
        <v>1</v>
      </c>
      <c r="R61">
        <v>3</v>
      </c>
      <c r="S61">
        <v>3</v>
      </c>
      <c r="T61">
        <v>838</v>
      </c>
      <c r="U61">
        <v>1</v>
      </c>
    </row>
    <row r="62" spans="1:21" x14ac:dyDescent="0.45">
      <c r="A62" s="4">
        <v>112</v>
      </c>
      <c r="B62" s="4">
        <v>0</v>
      </c>
      <c r="C62" s="4">
        <v>0</v>
      </c>
      <c r="D62">
        <v>4</v>
      </c>
      <c r="E62">
        <v>4</v>
      </c>
      <c r="F62">
        <v>0</v>
      </c>
      <c r="G62">
        <v>16</v>
      </c>
      <c r="H62">
        <v>14</v>
      </c>
      <c r="I62">
        <v>115</v>
      </c>
      <c r="J62">
        <v>33</v>
      </c>
      <c r="K62">
        <v>18</v>
      </c>
      <c r="L62">
        <v>9</v>
      </c>
      <c r="M62">
        <v>14</v>
      </c>
      <c r="N62">
        <v>1533.5752267746591</v>
      </c>
      <c r="O62">
        <v>4</v>
      </c>
      <c r="P62">
        <v>0</v>
      </c>
      <c r="Q62">
        <v>1</v>
      </c>
      <c r="R62">
        <v>4</v>
      </c>
      <c r="S62">
        <v>3</v>
      </c>
      <c r="T62">
        <v>852</v>
      </c>
      <c r="U62">
        <v>4</v>
      </c>
    </row>
    <row r="63" spans="1:21" x14ac:dyDescent="0.45">
      <c r="A63" s="4">
        <v>113</v>
      </c>
      <c r="B63" s="4">
        <v>0</v>
      </c>
      <c r="C63" s="4">
        <v>0</v>
      </c>
      <c r="D63">
        <v>3</v>
      </c>
      <c r="E63">
        <v>2</v>
      </c>
      <c r="F63">
        <v>0</v>
      </c>
      <c r="G63">
        <v>14</v>
      </c>
      <c r="H63">
        <v>16</v>
      </c>
      <c r="I63">
        <v>126</v>
      </c>
      <c r="J63">
        <v>38</v>
      </c>
      <c r="K63">
        <v>18</v>
      </c>
      <c r="L63">
        <v>10</v>
      </c>
      <c r="M63">
        <v>19</v>
      </c>
      <c r="N63">
        <v>1536.001252586037</v>
      </c>
      <c r="O63">
        <v>4</v>
      </c>
      <c r="P63">
        <v>1</v>
      </c>
      <c r="Q63">
        <v>1</v>
      </c>
      <c r="R63">
        <v>3</v>
      </c>
      <c r="S63">
        <v>4</v>
      </c>
      <c r="T63">
        <v>805</v>
      </c>
      <c r="U63">
        <v>1</v>
      </c>
    </row>
    <row r="64" spans="1:21" x14ac:dyDescent="0.45">
      <c r="A64" s="4">
        <v>116</v>
      </c>
      <c r="B64" s="4">
        <v>0</v>
      </c>
      <c r="C64" s="4">
        <v>0</v>
      </c>
      <c r="D64">
        <v>2</v>
      </c>
      <c r="E64">
        <v>2</v>
      </c>
      <c r="F64">
        <v>0</v>
      </c>
      <c r="G64">
        <v>16</v>
      </c>
      <c r="H64">
        <v>17</v>
      </c>
      <c r="I64">
        <v>144</v>
      </c>
      <c r="J64">
        <v>45</v>
      </c>
      <c r="K64">
        <v>20</v>
      </c>
      <c r="L64">
        <v>11</v>
      </c>
      <c r="M64">
        <v>20</v>
      </c>
      <c r="N64">
        <v>1319.687877818079</v>
      </c>
      <c r="O64">
        <v>4</v>
      </c>
      <c r="P64">
        <v>1</v>
      </c>
      <c r="Q64">
        <v>1</v>
      </c>
      <c r="R64">
        <v>3</v>
      </c>
      <c r="S64">
        <v>3</v>
      </c>
      <c r="T64">
        <v>549</v>
      </c>
      <c r="U64">
        <v>1</v>
      </c>
    </row>
    <row r="65" spans="1:21" x14ac:dyDescent="0.45">
      <c r="A65" s="4">
        <v>117</v>
      </c>
      <c r="B65" s="4">
        <v>0</v>
      </c>
      <c r="C65" s="4">
        <v>0</v>
      </c>
      <c r="D65">
        <v>2</v>
      </c>
      <c r="E65">
        <v>2</v>
      </c>
      <c r="F65">
        <v>0</v>
      </c>
      <c r="G65">
        <v>13</v>
      </c>
      <c r="H65">
        <v>12</v>
      </c>
      <c r="I65">
        <v>126</v>
      </c>
      <c r="J65">
        <v>42</v>
      </c>
      <c r="K65">
        <v>17</v>
      </c>
      <c r="L65">
        <v>9</v>
      </c>
      <c r="M65">
        <v>21</v>
      </c>
      <c r="N65">
        <v>1332.761204831055</v>
      </c>
      <c r="O65">
        <v>4</v>
      </c>
      <c r="P65">
        <v>1</v>
      </c>
      <c r="Q65">
        <v>1</v>
      </c>
      <c r="R65">
        <v>3</v>
      </c>
      <c r="S65">
        <v>3</v>
      </c>
      <c r="T65">
        <v>462</v>
      </c>
      <c r="U65">
        <v>1</v>
      </c>
    </row>
    <row r="66" spans="1:21" x14ac:dyDescent="0.45">
      <c r="A66" s="4">
        <v>118</v>
      </c>
      <c r="B66" s="4">
        <v>0</v>
      </c>
      <c r="C66" s="4">
        <v>0</v>
      </c>
      <c r="D66">
        <v>2</v>
      </c>
      <c r="E66">
        <v>2</v>
      </c>
      <c r="F66">
        <v>0</v>
      </c>
      <c r="G66">
        <v>13</v>
      </c>
      <c r="H66">
        <v>12</v>
      </c>
      <c r="I66">
        <v>126</v>
      </c>
      <c r="J66">
        <v>42</v>
      </c>
      <c r="K66">
        <v>17</v>
      </c>
      <c r="L66">
        <v>9</v>
      </c>
      <c r="M66">
        <v>21</v>
      </c>
      <c r="N66">
        <v>1373.465295377717</v>
      </c>
      <c r="O66">
        <v>4</v>
      </c>
      <c r="P66">
        <v>1</v>
      </c>
      <c r="Q66">
        <v>1</v>
      </c>
      <c r="R66">
        <v>3</v>
      </c>
      <c r="S66">
        <v>3</v>
      </c>
      <c r="T66">
        <v>452</v>
      </c>
      <c r="U66">
        <v>1</v>
      </c>
    </row>
    <row r="67" spans="1:21" x14ac:dyDescent="0.45">
      <c r="A67" s="4">
        <v>119</v>
      </c>
      <c r="B67" s="4">
        <v>0</v>
      </c>
      <c r="C67" s="4">
        <v>0</v>
      </c>
      <c r="D67">
        <v>2</v>
      </c>
      <c r="E67">
        <v>2</v>
      </c>
      <c r="F67">
        <v>0</v>
      </c>
      <c r="G67">
        <v>13</v>
      </c>
      <c r="H67">
        <v>12</v>
      </c>
      <c r="I67">
        <v>126</v>
      </c>
      <c r="J67">
        <v>42</v>
      </c>
      <c r="K67">
        <v>17</v>
      </c>
      <c r="L67">
        <v>9</v>
      </c>
      <c r="M67">
        <v>21</v>
      </c>
      <c r="N67">
        <v>1338.9135257027649</v>
      </c>
      <c r="O67">
        <v>4</v>
      </c>
      <c r="P67">
        <v>1</v>
      </c>
      <c r="Q67">
        <v>1</v>
      </c>
      <c r="R67">
        <v>3</v>
      </c>
      <c r="S67">
        <v>2</v>
      </c>
      <c r="T67">
        <v>464</v>
      </c>
      <c r="U67">
        <v>1</v>
      </c>
    </row>
    <row r="68" spans="1:21" x14ac:dyDescent="0.45">
      <c r="A68" s="4">
        <v>120</v>
      </c>
      <c r="B68" s="4">
        <v>0</v>
      </c>
      <c r="C68" s="4">
        <v>0</v>
      </c>
      <c r="D68">
        <v>4</v>
      </c>
      <c r="E68">
        <v>2</v>
      </c>
      <c r="F68">
        <v>0</v>
      </c>
      <c r="G68">
        <v>12</v>
      </c>
      <c r="H68">
        <v>6</v>
      </c>
      <c r="I68">
        <v>89</v>
      </c>
      <c r="J68">
        <v>31</v>
      </c>
      <c r="K68">
        <v>7</v>
      </c>
      <c r="L68">
        <v>7</v>
      </c>
      <c r="M68">
        <v>14</v>
      </c>
      <c r="N68">
        <v>1338.9135257027649</v>
      </c>
      <c r="O68">
        <v>4</v>
      </c>
      <c r="P68">
        <v>1</v>
      </c>
      <c r="Q68">
        <v>1</v>
      </c>
      <c r="R68">
        <v>3</v>
      </c>
      <c r="S68">
        <v>2</v>
      </c>
      <c r="T68">
        <v>446</v>
      </c>
      <c r="U68">
        <v>1</v>
      </c>
    </row>
    <row r="69" spans="1:21" x14ac:dyDescent="0.45">
      <c r="A69" s="4">
        <v>121</v>
      </c>
      <c r="B69" s="4">
        <v>0</v>
      </c>
      <c r="C69" s="4">
        <v>0</v>
      </c>
      <c r="D69">
        <v>4</v>
      </c>
      <c r="E69">
        <v>2</v>
      </c>
      <c r="F69">
        <v>0</v>
      </c>
      <c r="G69">
        <v>12</v>
      </c>
      <c r="H69">
        <v>6</v>
      </c>
      <c r="I69">
        <v>89</v>
      </c>
      <c r="J69">
        <v>31</v>
      </c>
      <c r="K69">
        <v>7</v>
      </c>
      <c r="L69">
        <v>7</v>
      </c>
      <c r="M69">
        <v>14</v>
      </c>
      <c r="N69">
        <v>1373.465295377717</v>
      </c>
      <c r="O69">
        <v>4</v>
      </c>
      <c r="P69">
        <v>1</v>
      </c>
      <c r="Q69">
        <v>1</v>
      </c>
      <c r="R69">
        <v>3</v>
      </c>
      <c r="S69">
        <v>3</v>
      </c>
      <c r="T69">
        <v>962</v>
      </c>
      <c r="U69">
        <v>1</v>
      </c>
    </row>
    <row r="70" spans="1:21" x14ac:dyDescent="0.45">
      <c r="A70" s="4">
        <v>122</v>
      </c>
      <c r="B70" s="4">
        <v>0</v>
      </c>
      <c r="C70" s="4">
        <v>0</v>
      </c>
      <c r="D70">
        <v>3</v>
      </c>
      <c r="E70">
        <v>1</v>
      </c>
      <c r="F70">
        <v>0</v>
      </c>
      <c r="G70">
        <v>10</v>
      </c>
      <c r="H70">
        <v>7</v>
      </c>
      <c r="I70">
        <v>73</v>
      </c>
      <c r="J70">
        <v>28</v>
      </c>
      <c r="K70">
        <v>5</v>
      </c>
      <c r="L70">
        <v>8</v>
      </c>
      <c r="M70">
        <v>15</v>
      </c>
      <c r="N70">
        <v>1447.758864278245</v>
      </c>
      <c r="O70">
        <v>4</v>
      </c>
      <c r="P70">
        <v>1</v>
      </c>
      <c r="Q70">
        <v>1</v>
      </c>
      <c r="R70">
        <v>3</v>
      </c>
      <c r="S70">
        <v>4</v>
      </c>
      <c r="T70">
        <v>599</v>
      </c>
      <c r="U70">
        <v>1</v>
      </c>
    </row>
    <row r="71" spans="1:21" x14ac:dyDescent="0.45">
      <c r="A71" s="4">
        <v>123</v>
      </c>
      <c r="B71" s="4">
        <v>0</v>
      </c>
      <c r="C71" s="4">
        <v>0</v>
      </c>
      <c r="D71">
        <v>2</v>
      </c>
      <c r="E71">
        <v>11</v>
      </c>
      <c r="F71">
        <v>0</v>
      </c>
      <c r="G71">
        <v>29</v>
      </c>
      <c r="H71">
        <v>26</v>
      </c>
      <c r="I71">
        <v>126</v>
      </c>
      <c r="J71">
        <v>43</v>
      </c>
      <c r="K71">
        <v>20</v>
      </c>
      <c r="L71">
        <v>11</v>
      </c>
      <c r="M71">
        <v>19</v>
      </c>
      <c r="N71">
        <v>2827.9683092495288</v>
      </c>
      <c r="O71">
        <v>4</v>
      </c>
      <c r="P71">
        <v>0</v>
      </c>
      <c r="Q71">
        <v>1</v>
      </c>
      <c r="R71">
        <v>4</v>
      </c>
      <c r="S71">
        <v>2</v>
      </c>
      <c r="T71">
        <v>1229</v>
      </c>
      <c r="U71">
        <v>4</v>
      </c>
    </row>
    <row r="72" spans="1:21" x14ac:dyDescent="0.45">
      <c r="A72" s="4">
        <v>124</v>
      </c>
      <c r="B72" s="4">
        <v>0</v>
      </c>
      <c r="C72" s="4">
        <v>0</v>
      </c>
      <c r="D72">
        <v>4</v>
      </c>
      <c r="E72">
        <v>9</v>
      </c>
      <c r="F72">
        <v>1</v>
      </c>
      <c r="G72">
        <v>25</v>
      </c>
      <c r="H72">
        <v>24</v>
      </c>
      <c r="I72">
        <v>85</v>
      </c>
      <c r="J72">
        <v>33</v>
      </c>
      <c r="K72">
        <v>23</v>
      </c>
      <c r="L72">
        <v>8</v>
      </c>
      <c r="M72">
        <v>19</v>
      </c>
      <c r="N72">
        <v>2994.5827626413179</v>
      </c>
      <c r="O72">
        <v>2</v>
      </c>
      <c r="P72">
        <v>0</v>
      </c>
      <c r="Q72">
        <v>1</v>
      </c>
      <c r="R72">
        <v>4</v>
      </c>
      <c r="S72">
        <v>3</v>
      </c>
      <c r="T72">
        <v>1489</v>
      </c>
      <c r="U72">
        <v>4</v>
      </c>
    </row>
    <row r="73" spans="1:21" x14ac:dyDescent="0.45">
      <c r="A73" s="4">
        <v>125</v>
      </c>
      <c r="B73" s="4">
        <v>1</v>
      </c>
      <c r="C73" s="4">
        <v>0</v>
      </c>
      <c r="D73">
        <v>4</v>
      </c>
      <c r="E73">
        <v>6</v>
      </c>
      <c r="F73">
        <v>0</v>
      </c>
      <c r="G73">
        <v>21</v>
      </c>
      <c r="H73">
        <v>25</v>
      </c>
      <c r="I73">
        <v>74</v>
      </c>
      <c r="J73">
        <v>17</v>
      </c>
      <c r="K73">
        <v>18</v>
      </c>
      <c r="L73">
        <v>11</v>
      </c>
      <c r="M73">
        <v>13</v>
      </c>
      <c r="N73">
        <v>3259.9636526582231</v>
      </c>
      <c r="O73">
        <v>3</v>
      </c>
      <c r="P73">
        <v>0</v>
      </c>
      <c r="Q73">
        <v>1</v>
      </c>
      <c r="R73">
        <v>4</v>
      </c>
      <c r="S73">
        <v>2</v>
      </c>
      <c r="T73">
        <v>479</v>
      </c>
      <c r="U73">
        <v>2</v>
      </c>
    </row>
    <row r="74" spans="1:21" x14ac:dyDescent="0.45">
      <c r="A74" s="4">
        <v>126</v>
      </c>
      <c r="B74" s="4">
        <v>1</v>
      </c>
      <c r="C74" s="4">
        <v>0</v>
      </c>
      <c r="D74">
        <v>5</v>
      </c>
      <c r="E74">
        <v>5</v>
      </c>
      <c r="F74">
        <v>0</v>
      </c>
      <c r="G74">
        <v>25</v>
      </c>
      <c r="H74">
        <v>29</v>
      </c>
      <c r="I74">
        <v>90</v>
      </c>
      <c r="J74">
        <v>26</v>
      </c>
      <c r="K74">
        <v>19</v>
      </c>
      <c r="L74">
        <v>9</v>
      </c>
      <c r="M74">
        <v>15</v>
      </c>
      <c r="N74">
        <v>3154.80763763399</v>
      </c>
      <c r="O74">
        <v>3</v>
      </c>
      <c r="P74">
        <v>0</v>
      </c>
      <c r="Q74">
        <v>1</v>
      </c>
      <c r="R74">
        <v>4</v>
      </c>
      <c r="S74">
        <v>3</v>
      </c>
      <c r="T74">
        <v>504</v>
      </c>
      <c r="U74">
        <v>2</v>
      </c>
    </row>
    <row r="75" spans="1:21" x14ac:dyDescent="0.45">
      <c r="A75" s="4">
        <v>127</v>
      </c>
      <c r="B75" s="4">
        <v>0</v>
      </c>
      <c r="C75" s="4">
        <v>0</v>
      </c>
      <c r="D75">
        <v>5</v>
      </c>
      <c r="E75">
        <v>5</v>
      </c>
      <c r="F75">
        <v>0</v>
      </c>
      <c r="G75">
        <v>25</v>
      </c>
      <c r="H75">
        <v>29</v>
      </c>
      <c r="I75">
        <v>90</v>
      </c>
      <c r="J75">
        <v>26</v>
      </c>
      <c r="K75">
        <v>19</v>
      </c>
      <c r="L75">
        <v>9</v>
      </c>
      <c r="M75">
        <v>15</v>
      </c>
      <c r="N75">
        <v>3154.80763763399</v>
      </c>
      <c r="O75">
        <v>3</v>
      </c>
      <c r="P75">
        <v>1</v>
      </c>
      <c r="Q75">
        <v>1</v>
      </c>
      <c r="R75">
        <v>4</v>
      </c>
      <c r="S75">
        <v>2</v>
      </c>
      <c r="T75">
        <v>429</v>
      </c>
      <c r="U75">
        <v>2</v>
      </c>
    </row>
    <row r="76" spans="1:21" x14ac:dyDescent="0.45">
      <c r="A76" s="4">
        <v>129</v>
      </c>
      <c r="B76" s="4">
        <v>0</v>
      </c>
      <c r="C76" s="4">
        <v>0</v>
      </c>
      <c r="D76">
        <v>4</v>
      </c>
      <c r="E76">
        <v>6</v>
      </c>
      <c r="F76">
        <v>0</v>
      </c>
      <c r="G76">
        <v>18</v>
      </c>
      <c r="H76">
        <v>22</v>
      </c>
      <c r="I76">
        <v>51</v>
      </c>
      <c r="J76">
        <v>14</v>
      </c>
      <c r="K76">
        <v>19</v>
      </c>
      <c r="L76">
        <v>7</v>
      </c>
      <c r="M76">
        <v>8</v>
      </c>
      <c r="N76">
        <v>3226.1741780932462</v>
      </c>
      <c r="O76">
        <v>3</v>
      </c>
      <c r="P76">
        <v>0</v>
      </c>
      <c r="Q76">
        <v>1</v>
      </c>
      <c r="R76">
        <v>4</v>
      </c>
      <c r="S76">
        <v>4</v>
      </c>
      <c r="T76">
        <v>496</v>
      </c>
      <c r="U76">
        <v>2</v>
      </c>
    </row>
    <row r="77" spans="1:21" x14ac:dyDescent="0.45">
      <c r="A77" s="4">
        <v>131</v>
      </c>
      <c r="B77" s="4">
        <v>1</v>
      </c>
      <c r="C77" s="4">
        <v>0</v>
      </c>
      <c r="D77">
        <v>4</v>
      </c>
      <c r="E77">
        <v>8</v>
      </c>
      <c r="F77">
        <v>0</v>
      </c>
      <c r="G77">
        <v>16</v>
      </c>
      <c r="H77">
        <v>21</v>
      </c>
      <c r="I77">
        <v>69</v>
      </c>
      <c r="J77">
        <v>13</v>
      </c>
      <c r="K77">
        <v>25</v>
      </c>
      <c r="L77">
        <v>8</v>
      </c>
      <c r="M77">
        <v>13</v>
      </c>
      <c r="N77">
        <v>3309.9768691425411</v>
      </c>
      <c r="O77">
        <v>4</v>
      </c>
      <c r="P77">
        <v>1</v>
      </c>
      <c r="Q77">
        <v>1</v>
      </c>
      <c r="R77">
        <v>4</v>
      </c>
      <c r="S77">
        <v>4</v>
      </c>
      <c r="T77">
        <v>652</v>
      </c>
      <c r="U77">
        <v>2</v>
      </c>
    </row>
    <row r="78" spans="1:21" x14ac:dyDescent="0.45">
      <c r="A78" s="4">
        <v>133</v>
      </c>
      <c r="B78" s="4">
        <v>1</v>
      </c>
      <c r="C78" s="4">
        <v>0</v>
      </c>
      <c r="D78">
        <v>9</v>
      </c>
      <c r="E78">
        <v>9</v>
      </c>
      <c r="F78">
        <v>2</v>
      </c>
      <c r="G78">
        <v>19</v>
      </c>
      <c r="H78">
        <v>8</v>
      </c>
      <c r="I78">
        <v>147</v>
      </c>
      <c r="J78">
        <v>56</v>
      </c>
      <c r="K78">
        <v>17</v>
      </c>
      <c r="L78">
        <v>13</v>
      </c>
      <c r="M78">
        <v>18</v>
      </c>
      <c r="N78">
        <v>2347.236871277456</v>
      </c>
      <c r="O78">
        <v>4</v>
      </c>
      <c r="P78">
        <v>0</v>
      </c>
      <c r="Q78">
        <v>1</v>
      </c>
      <c r="R78">
        <v>4</v>
      </c>
      <c r="S78">
        <v>3</v>
      </c>
      <c r="T78">
        <v>706</v>
      </c>
      <c r="U78">
        <v>3</v>
      </c>
    </row>
    <row r="79" spans="1:21" x14ac:dyDescent="0.45">
      <c r="A79" s="4">
        <v>134</v>
      </c>
      <c r="B79" s="4">
        <v>0</v>
      </c>
      <c r="C79" s="4">
        <v>0</v>
      </c>
      <c r="D79">
        <v>6</v>
      </c>
      <c r="E79">
        <v>13</v>
      </c>
      <c r="F79">
        <v>1</v>
      </c>
      <c r="G79">
        <v>22</v>
      </c>
      <c r="H79">
        <v>12</v>
      </c>
      <c r="I79">
        <v>83</v>
      </c>
      <c r="J79">
        <v>32</v>
      </c>
      <c r="K79">
        <v>9</v>
      </c>
      <c r="L79">
        <v>5</v>
      </c>
      <c r="M79">
        <v>7</v>
      </c>
      <c r="N79">
        <v>2617.9028637866791</v>
      </c>
      <c r="O79">
        <v>3</v>
      </c>
      <c r="P79">
        <v>1</v>
      </c>
      <c r="Q79">
        <v>1</v>
      </c>
      <c r="R79">
        <v>4</v>
      </c>
      <c r="S79">
        <v>2</v>
      </c>
      <c r="T79">
        <v>263</v>
      </c>
      <c r="U79">
        <v>3</v>
      </c>
    </row>
    <row r="80" spans="1:21" x14ac:dyDescent="0.45">
      <c r="A80" s="4">
        <v>135</v>
      </c>
      <c r="B80" s="4">
        <v>0</v>
      </c>
      <c r="C80" s="4">
        <v>0</v>
      </c>
      <c r="D80">
        <v>7</v>
      </c>
      <c r="E80">
        <v>10</v>
      </c>
      <c r="F80">
        <v>0</v>
      </c>
      <c r="G80">
        <v>27</v>
      </c>
      <c r="H80">
        <v>17</v>
      </c>
      <c r="I80">
        <v>123</v>
      </c>
      <c r="J80">
        <v>42</v>
      </c>
      <c r="K80">
        <v>11</v>
      </c>
      <c r="L80">
        <v>5</v>
      </c>
      <c r="M80">
        <v>11</v>
      </c>
      <c r="N80">
        <v>2626.7449273298998</v>
      </c>
      <c r="O80">
        <v>4</v>
      </c>
      <c r="P80">
        <v>1</v>
      </c>
      <c r="Q80">
        <v>1</v>
      </c>
      <c r="R80">
        <v>4</v>
      </c>
      <c r="S80">
        <v>3</v>
      </c>
      <c r="T80">
        <v>125</v>
      </c>
      <c r="U80">
        <v>1</v>
      </c>
    </row>
    <row r="81" spans="1:21" x14ac:dyDescent="0.45">
      <c r="A81" s="4">
        <v>136</v>
      </c>
      <c r="B81" s="4">
        <v>0</v>
      </c>
      <c r="C81" s="4">
        <v>0</v>
      </c>
      <c r="D81">
        <v>3</v>
      </c>
      <c r="E81">
        <v>11</v>
      </c>
      <c r="F81">
        <v>0</v>
      </c>
      <c r="G81">
        <v>12</v>
      </c>
      <c r="H81">
        <v>9</v>
      </c>
      <c r="I81">
        <v>37</v>
      </c>
      <c r="J81">
        <v>15</v>
      </c>
      <c r="K81">
        <v>9</v>
      </c>
      <c r="L81">
        <v>4</v>
      </c>
      <c r="M81">
        <v>7</v>
      </c>
      <c r="N81">
        <v>3389.632313977505</v>
      </c>
      <c r="O81">
        <v>3</v>
      </c>
      <c r="P81">
        <v>0</v>
      </c>
      <c r="Q81">
        <v>0</v>
      </c>
      <c r="R81">
        <v>3</v>
      </c>
      <c r="S81">
        <v>5</v>
      </c>
      <c r="T81">
        <v>1129</v>
      </c>
      <c r="U81">
        <v>2</v>
      </c>
    </row>
    <row r="82" spans="1:21" x14ac:dyDescent="0.45">
      <c r="A82" s="4">
        <v>139</v>
      </c>
      <c r="B82" s="4">
        <v>0</v>
      </c>
      <c r="C82" s="4">
        <v>0</v>
      </c>
      <c r="D82">
        <v>3</v>
      </c>
      <c r="E82">
        <v>7</v>
      </c>
      <c r="F82">
        <v>2</v>
      </c>
      <c r="G82">
        <v>10</v>
      </c>
      <c r="H82">
        <v>6</v>
      </c>
      <c r="I82">
        <v>23</v>
      </c>
      <c r="J82">
        <v>4</v>
      </c>
      <c r="K82">
        <v>4</v>
      </c>
      <c r="L82">
        <v>4</v>
      </c>
      <c r="M82">
        <v>11</v>
      </c>
      <c r="N82">
        <v>3949.9203439870221</v>
      </c>
      <c r="O82">
        <v>4</v>
      </c>
      <c r="P82">
        <v>0</v>
      </c>
      <c r="Q82">
        <v>1</v>
      </c>
      <c r="R82">
        <v>4</v>
      </c>
      <c r="S82">
        <v>2</v>
      </c>
      <c r="T82">
        <v>768</v>
      </c>
      <c r="U82">
        <v>1</v>
      </c>
    </row>
    <row r="83" spans="1:21" x14ac:dyDescent="0.45">
      <c r="A83" s="4">
        <v>140</v>
      </c>
      <c r="B83" s="4">
        <v>0</v>
      </c>
      <c r="C83" s="4">
        <v>0</v>
      </c>
      <c r="D83">
        <v>3</v>
      </c>
      <c r="E83">
        <v>7</v>
      </c>
      <c r="F83">
        <v>2</v>
      </c>
      <c r="G83">
        <v>10</v>
      </c>
      <c r="H83">
        <v>6</v>
      </c>
      <c r="I83">
        <v>23</v>
      </c>
      <c r="J83">
        <v>4</v>
      </c>
      <c r="K83">
        <v>4</v>
      </c>
      <c r="L83">
        <v>4</v>
      </c>
      <c r="M83">
        <v>11</v>
      </c>
      <c r="N83">
        <v>4050.8527827789321</v>
      </c>
      <c r="O83">
        <v>3</v>
      </c>
      <c r="P83">
        <v>0</v>
      </c>
      <c r="Q83">
        <v>1</v>
      </c>
      <c r="R83">
        <v>3</v>
      </c>
      <c r="S83">
        <v>1</v>
      </c>
      <c r="T83">
        <v>1564</v>
      </c>
      <c r="U83">
        <v>3</v>
      </c>
    </row>
    <row r="84" spans="1:21" x14ac:dyDescent="0.45">
      <c r="A84" s="4">
        <v>141</v>
      </c>
      <c r="B84" s="4">
        <v>0</v>
      </c>
      <c r="C84" s="4">
        <v>0</v>
      </c>
      <c r="D84">
        <v>5</v>
      </c>
      <c r="E84">
        <v>9</v>
      </c>
      <c r="F84">
        <v>0</v>
      </c>
      <c r="G84">
        <v>13</v>
      </c>
      <c r="H84">
        <v>13</v>
      </c>
      <c r="I84">
        <v>27</v>
      </c>
      <c r="J84">
        <v>8</v>
      </c>
      <c r="K84">
        <v>3</v>
      </c>
      <c r="L84">
        <v>3</v>
      </c>
      <c r="M84">
        <v>11</v>
      </c>
      <c r="N84">
        <v>3745.949146322735</v>
      </c>
      <c r="O84">
        <v>4</v>
      </c>
      <c r="P84">
        <v>1</v>
      </c>
      <c r="Q84">
        <v>1</v>
      </c>
      <c r="R84">
        <v>4</v>
      </c>
      <c r="S84">
        <v>3</v>
      </c>
      <c r="T84">
        <v>995</v>
      </c>
      <c r="U84">
        <v>1</v>
      </c>
    </row>
    <row r="85" spans="1:21" x14ac:dyDescent="0.45">
      <c r="A85" s="4">
        <v>142</v>
      </c>
      <c r="B85" s="4">
        <v>0</v>
      </c>
      <c r="C85" s="4">
        <v>0</v>
      </c>
      <c r="D85">
        <v>3</v>
      </c>
      <c r="E85">
        <v>6</v>
      </c>
      <c r="F85">
        <v>1</v>
      </c>
      <c r="G85">
        <v>9</v>
      </c>
      <c r="H85">
        <v>11</v>
      </c>
      <c r="I85">
        <v>20</v>
      </c>
      <c r="J85">
        <v>5</v>
      </c>
      <c r="K85">
        <v>8</v>
      </c>
      <c r="L85">
        <v>3</v>
      </c>
      <c r="M85">
        <v>13</v>
      </c>
      <c r="N85">
        <v>3780.36010015172</v>
      </c>
      <c r="O85">
        <v>4</v>
      </c>
      <c r="P85">
        <v>0</v>
      </c>
      <c r="Q85">
        <v>1</v>
      </c>
      <c r="R85">
        <v>4</v>
      </c>
      <c r="S85">
        <v>5</v>
      </c>
      <c r="T85">
        <v>606</v>
      </c>
      <c r="U85">
        <v>3</v>
      </c>
    </row>
    <row r="86" spans="1:21" x14ac:dyDescent="0.45">
      <c r="A86" s="4">
        <v>143</v>
      </c>
      <c r="B86" s="4">
        <v>0</v>
      </c>
      <c r="C86" s="4">
        <v>0</v>
      </c>
      <c r="D86">
        <v>5</v>
      </c>
      <c r="E86">
        <v>12</v>
      </c>
      <c r="F86">
        <v>0</v>
      </c>
      <c r="G86">
        <v>21</v>
      </c>
      <c r="H86">
        <v>14</v>
      </c>
      <c r="I86">
        <v>49</v>
      </c>
      <c r="J86">
        <v>30</v>
      </c>
      <c r="K86">
        <v>6</v>
      </c>
      <c r="L86">
        <v>4</v>
      </c>
      <c r="M86">
        <v>12</v>
      </c>
      <c r="N86">
        <v>3331.39862940591</v>
      </c>
      <c r="O86">
        <v>4</v>
      </c>
      <c r="P86">
        <v>0</v>
      </c>
      <c r="Q86">
        <v>1</v>
      </c>
      <c r="R86">
        <v>4</v>
      </c>
      <c r="S86">
        <v>4</v>
      </c>
      <c r="T86">
        <v>298</v>
      </c>
      <c r="U86">
        <v>1</v>
      </c>
    </row>
    <row r="87" spans="1:21" x14ac:dyDescent="0.45">
      <c r="A87" s="4">
        <v>144</v>
      </c>
      <c r="B87" s="4">
        <v>0</v>
      </c>
      <c r="C87" s="4">
        <v>0</v>
      </c>
      <c r="D87">
        <v>4</v>
      </c>
      <c r="E87">
        <v>7</v>
      </c>
      <c r="F87">
        <v>1</v>
      </c>
      <c r="G87">
        <v>7</v>
      </c>
      <c r="H87">
        <v>12</v>
      </c>
      <c r="I87">
        <v>15</v>
      </c>
      <c r="J87">
        <v>3</v>
      </c>
      <c r="K87">
        <v>8</v>
      </c>
      <c r="L87">
        <v>2</v>
      </c>
      <c r="M87">
        <v>12</v>
      </c>
      <c r="N87">
        <v>4007.682487858588</v>
      </c>
      <c r="O87">
        <v>2</v>
      </c>
      <c r="P87">
        <v>0</v>
      </c>
      <c r="Q87">
        <v>0</v>
      </c>
      <c r="R87">
        <v>3</v>
      </c>
      <c r="S87">
        <v>2</v>
      </c>
      <c r="T87">
        <v>465</v>
      </c>
      <c r="U87">
        <v>3</v>
      </c>
    </row>
    <row r="88" spans="1:21" x14ac:dyDescent="0.45">
      <c r="A88" s="4">
        <v>145</v>
      </c>
      <c r="B88" s="4">
        <v>0</v>
      </c>
      <c r="C88" s="4">
        <v>0</v>
      </c>
      <c r="D88">
        <v>4</v>
      </c>
      <c r="E88">
        <v>9</v>
      </c>
      <c r="F88">
        <v>1</v>
      </c>
      <c r="G88">
        <v>10</v>
      </c>
      <c r="H88">
        <v>13</v>
      </c>
      <c r="I88">
        <v>18</v>
      </c>
      <c r="J88">
        <v>4</v>
      </c>
      <c r="K88">
        <v>7</v>
      </c>
      <c r="L88">
        <v>1</v>
      </c>
      <c r="M88">
        <v>14</v>
      </c>
      <c r="N88">
        <v>3959.48516641474</v>
      </c>
      <c r="O88">
        <v>3</v>
      </c>
      <c r="P88">
        <v>0</v>
      </c>
      <c r="Q88">
        <v>1</v>
      </c>
      <c r="R88">
        <v>4</v>
      </c>
      <c r="S88">
        <v>6</v>
      </c>
      <c r="T88">
        <v>2669</v>
      </c>
      <c r="U88">
        <v>3</v>
      </c>
    </row>
    <row r="89" spans="1:21" x14ac:dyDescent="0.45">
      <c r="A89" s="4">
        <v>146</v>
      </c>
      <c r="B89" s="4">
        <v>0</v>
      </c>
      <c r="C89" s="4">
        <v>0</v>
      </c>
      <c r="D89">
        <v>2</v>
      </c>
      <c r="E89">
        <v>7</v>
      </c>
      <c r="F89">
        <v>2</v>
      </c>
      <c r="G89">
        <v>15</v>
      </c>
      <c r="H89">
        <v>12</v>
      </c>
      <c r="I89">
        <v>41</v>
      </c>
      <c r="J89">
        <v>26</v>
      </c>
      <c r="K89">
        <v>12</v>
      </c>
      <c r="L89">
        <v>6</v>
      </c>
      <c r="M89">
        <v>26</v>
      </c>
      <c r="N89">
        <v>3998.3009624077681</v>
      </c>
      <c r="O89">
        <v>3</v>
      </c>
      <c r="P89">
        <v>0</v>
      </c>
      <c r="Q89">
        <v>1</v>
      </c>
      <c r="R89">
        <v>4</v>
      </c>
      <c r="S89">
        <v>3</v>
      </c>
      <c r="T89">
        <v>309</v>
      </c>
      <c r="U89">
        <v>2</v>
      </c>
    </row>
    <row r="90" spans="1:21" x14ac:dyDescent="0.45">
      <c r="A90" s="4">
        <v>147</v>
      </c>
      <c r="B90" s="4">
        <v>0</v>
      </c>
      <c r="C90" s="4">
        <v>0</v>
      </c>
      <c r="D90">
        <v>4</v>
      </c>
      <c r="E90">
        <v>2</v>
      </c>
      <c r="F90">
        <v>0</v>
      </c>
      <c r="G90">
        <v>5</v>
      </c>
      <c r="H90">
        <v>3</v>
      </c>
      <c r="I90">
        <v>11</v>
      </c>
      <c r="J90">
        <v>4</v>
      </c>
      <c r="K90">
        <v>6</v>
      </c>
      <c r="L90">
        <v>2</v>
      </c>
      <c r="M90">
        <v>13</v>
      </c>
      <c r="N90">
        <v>4423.857949638732</v>
      </c>
      <c r="O90">
        <v>4</v>
      </c>
      <c r="P90">
        <v>0</v>
      </c>
      <c r="Q90">
        <v>1</v>
      </c>
      <c r="R90">
        <v>4</v>
      </c>
      <c r="S90">
        <v>2</v>
      </c>
      <c r="T90">
        <v>178</v>
      </c>
      <c r="U90">
        <v>2</v>
      </c>
    </row>
    <row r="91" spans="1:21" x14ac:dyDescent="0.45">
      <c r="A91" s="4">
        <v>148</v>
      </c>
      <c r="B91" s="4">
        <v>0</v>
      </c>
      <c r="C91" s="4">
        <v>0</v>
      </c>
      <c r="D91">
        <v>1</v>
      </c>
      <c r="E91">
        <v>0</v>
      </c>
      <c r="F91">
        <v>0</v>
      </c>
      <c r="G91">
        <v>6</v>
      </c>
      <c r="H91">
        <v>2</v>
      </c>
      <c r="I91">
        <v>24</v>
      </c>
      <c r="J91">
        <v>6</v>
      </c>
      <c r="K91">
        <v>7</v>
      </c>
      <c r="L91">
        <v>2</v>
      </c>
      <c r="M91">
        <v>16</v>
      </c>
      <c r="N91">
        <v>4486.3170212238138</v>
      </c>
      <c r="O91">
        <v>2</v>
      </c>
      <c r="P91">
        <v>0</v>
      </c>
      <c r="Q91">
        <v>0</v>
      </c>
      <c r="R91">
        <v>4</v>
      </c>
      <c r="S91">
        <v>2</v>
      </c>
      <c r="T91">
        <v>1168</v>
      </c>
      <c r="U91">
        <v>2</v>
      </c>
    </row>
    <row r="92" spans="1:21" x14ac:dyDescent="0.45">
      <c r="A92" s="4">
        <v>149</v>
      </c>
      <c r="B92" s="4">
        <v>0</v>
      </c>
      <c r="C92" s="4">
        <v>0</v>
      </c>
      <c r="D92">
        <v>1</v>
      </c>
      <c r="E92">
        <v>0</v>
      </c>
      <c r="F92">
        <v>0</v>
      </c>
      <c r="G92">
        <v>6</v>
      </c>
      <c r="H92">
        <v>2</v>
      </c>
      <c r="I92">
        <v>24</v>
      </c>
      <c r="J92">
        <v>6</v>
      </c>
      <c r="K92">
        <v>7</v>
      </c>
      <c r="L92">
        <v>2</v>
      </c>
      <c r="M92">
        <v>16</v>
      </c>
      <c r="N92">
        <v>4426.6147283757764</v>
      </c>
      <c r="O92">
        <v>2</v>
      </c>
      <c r="P92">
        <v>0</v>
      </c>
      <c r="Q92">
        <v>0</v>
      </c>
      <c r="R92">
        <v>4</v>
      </c>
      <c r="S92">
        <v>2</v>
      </c>
      <c r="T92">
        <v>476</v>
      </c>
      <c r="U92">
        <v>1</v>
      </c>
    </row>
    <row r="93" spans="1:21" x14ac:dyDescent="0.45">
      <c r="A93" s="4">
        <v>150</v>
      </c>
      <c r="B93" s="4">
        <v>0</v>
      </c>
      <c r="C93" s="4">
        <v>0</v>
      </c>
      <c r="D93">
        <v>1</v>
      </c>
      <c r="E93">
        <v>0</v>
      </c>
      <c r="F93">
        <v>0</v>
      </c>
      <c r="G93">
        <v>6</v>
      </c>
      <c r="H93">
        <v>2</v>
      </c>
      <c r="I93">
        <v>24</v>
      </c>
      <c r="J93">
        <v>6</v>
      </c>
      <c r="K93">
        <v>7</v>
      </c>
      <c r="L93">
        <v>2</v>
      </c>
      <c r="M93">
        <v>16</v>
      </c>
      <c r="N93">
        <v>4542.0729639519041</v>
      </c>
      <c r="O93">
        <v>2</v>
      </c>
      <c r="P93">
        <v>0</v>
      </c>
      <c r="Q93">
        <v>1</v>
      </c>
      <c r="R93">
        <v>3</v>
      </c>
      <c r="S93">
        <v>3</v>
      </c>
      <c r="T93">
        <v>890</v>
      </c>
      <c r="U93">
        <v>2</v>
      </c>
    </row>
    <row r="94" spans="1:21" x14ac:dyDescent="0.45">
      <c r="A94" s="4">
        <v>151</v>
      </c>
      <c r="B94" s="4">
        <v>0</v>
      </c>
      <c r="C94" s="4">
        <v>0</v>
      </c>
      <c r="D94">
        <v>1</v>
      </c>
      <c r="E94">
        <v>1</v>
      </c>
      <c r="F94">
        <v>0</v>
      </c>
      <c r="G94">
        <v>8</v>
      </c>
      <c r="H94">
        <v>4</v>
      </c>
      <c r="I94">
        <v>26</v>
      </c>
      <c r="J94">
        <v>8</v>
      </c>
      <c r="K94">
        <v>8</v>
      </c>
      <c r="L94">
        <v>3</v>
      </c>
      <c r="M94">
        <v>17</v>
      </c>
      <c r="N94">
        <v>4542.0729639519041</v>
      </c>
      <c r="O94">
        <v>1</v>
      </c>
      <c r="P94">
        <v>0</v>
      </c>
      <c r="Q94">
        <v>1</v>
      </c>
      <c r="R94">
        <v>3</v>
      </c>
      <c r="S94">
        <v>2</v>
      </c>
      <c r="T94">
        <v>160</v>
      </c>
      <c r="U94">
        <v>1</v>
      </c>
    </row>
    <row r="95" spans="1:21" x14ac:dyDescent="0.45">
      <c r="A95" s="4">
        <v>152</v>
      </c>
      <c r="B95" s="4">
        <v>0</v>
      </c>
      <c r="C95" s="4">
        <v>0</v>
      </c>
      <c r="D95">
        <v>1</v>
      </c>
      <c r="E95">
        <v>4</v>
      </c>
      <c r="F95">
        <v>0</v>
      </c>
      <c r="G95">
        <v>10</v>
      </c>
      <c r="H95">
        <v>9</v>
      </c>
      <c r="I95">
        <v>93</v>
      </c>
      <c r="J95">
        <v>31</v>
      </c>
      <c r="K95">
        <v>21</v>
      </c>
      <c r="L95">
        <v>7</v>
      </c>
      <c r="M95">
        <v>5</v>
      </c>
      <c r="N95">
        <v>3297.6738793102149</v>
      </c>
      <c r="O95">
        <v>3</v>
      </c>
      <c r="P95">
        <v>0</v>
      </c>
      <c r="Q95">
        <v>0</v>
      </c>
      <c r="R95">
        <v>3</v>
      </c>
      <c r="S95">
        <v>2</v>
      </c>
      <c r="T95">
        <v>563</v>
      </c>
      <c r="U95">
        <v>3</v>
      </c>
    </row>
    <row r="96" spans="1:21" x14ac:dyDescent="0.45">
      <c r="A96" s="4">
        <v>153</v>
      </c>
      <c r="B96" s="4">
        <v>1</v>
      </c>
      <c r="C96" s="4">
        <v>0</v>
      </c>
      <c r="D96">
        <v>1</v>
      </c>
      <c r="E96">
        <v>4</v>
      </c>
      <c r="F96">
        <v>0</v>
      </c>
      <c r="G96">
        <v>12</v>
      </c>
      <c r="H96">
        <v>15</v>
      </c>
      <c r="I96">
        <v>67</v>
      </c>
      <c r="J96">
        <v>18</v>
      </c>
      <c r="K96">
        <v>16</v>
      </c>
      <c r="L96">
        <v>4</v>
      </c>
      <c r="M96">
        <v>7</v>
      </c>
      <c r="N96">
        <v>3400.795781159632</v>
      </c>
      <c r="O96">
        <v>2</v>
      </c>
      <c r="P96">
        <v>0</v>
      </c>
      <c r="Q96">
        <v>1</v>
      </c>
      <c r="R96">
        <v>4</v>
      </c>
      <c r="S96">
        <v>4</v>
      </c>
      <c r="T96">
        <v>564</v>
      </c>
      <c r="U96">
        <v>3</v>
      </c>
    </row>
    <row r="97" spans="1:21" x14ac:dyDescent="0.45">
      <c r="A97" s="4">
        <v>154</v>
      </c>
      <c r="B97" s="4">
        <v>1</v>
      </c>
      <c r="C97" s="4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5</v>
      </c>
      <c r="K97">
        <v>1</v>
      </c>
      <c r="L97">
        <v>0</v>
      </c>
      <c r="M97">
        <v>3</v>
      </c>
      <c r="N97">
        <v>5239.4240586204087</v>
      </c>
      <c r="O97">
        <v>3</v>
      </c>
      <c r="P97">
        <v>1</v>
      </c>
      <c r="Q97">
        <v>0</v>
      </c>
      <c r="R97">
        <v>3</v>
      </c>
      <c r="S97">
        <v>2</v>
      </c>
      <c r="T97">
        <v>875</v>
      </c>
      <c r="U97">
        <v>1</v>
      </c>
    </row>
    <row r="98" spans="1:21" x14ac:dyDescent="0.45">
      <c r="A98" s="4">
        <v>155</v>
      </c>
      <c r="B98" s="4">
        <v>1</v>
      </c>
      <c r="C98" s="4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7</v>
      </c>
      <c r="K98">
        <v>1</v>
      </c>
      <c r="L98">
        <v>0</v>
      </c>
      <c r="M98">
        <v>2</v>
      </c>
      <c r="N98">
        <v>4908.3851062520162</v>
      </c>
      <c r="O98">
        <v>1</v>
      </c>
      <c r="P98">
        <v>1</v>
      </c>
      <c r="Q98">
        <v>1</v>
      </c>
      <c r="R98">
        <v>3</v>
      </c>
      <c r="S98">
        <v>2</v>
      </c>
      <c r="T98">
        <v>232</v>
      </c>
      <c r="U98">
        <v>1</v>
      </c>
    </row>
    <row r="99" spans="1:21" x14ac:dyDescent="0.45">
      <c r="A99" s="4">
        <v>156</v>
      </c>
      <c r="B99" s="4">
        <v>0</v>
      </c>
      <c r="C99" s="4">
        <v>0</v>
      </c>
      <c r="D99">
        <v>0</v>
      </c>
      <c r="E99">
        <v>3</v>
      </c>
      <c r="F99">
        <v>5</v>
      </c>
      <c r="G99">
        <v>5</v>
      </c>
      <c r="H99">
        <v>8</v>
      </c>
      <c r="I99">
        <v>9</v>
      </c>
      <c r="J99">
        <v>2</v>
      </c>
      <c r="K99">
        <v>3</v>
      </c>
      <c r="L99">
        <v>0</v>
      </c>
      <c r="M99">
        <v>5</v>
      </c>
      <c r="N99">
        <v>4281.0629802924695</v>
      </c>
      <c r="O99">
        <v>4</v>
      </c>
      <c r="P99">
        <v>1</v>
      </c>
      <c r="Q99">
        <v>1</v>
      </c>
      <c r="R99">
        <v>3</v>
      </c>
      <c r="S99">
        <v>1</v>
      </c>
      <c r="T99">
        <v>632</v>
      </c>
      <c r="U99">
        <v>1</v>
      </c>
    </row>
    <row r="100" spans="1:21" x14ac:dyDescent="0.45">
      <c r="A100" s="4">
        <v>157</v>
      </c>
      <c r="B100" s="4">
        <v>0</v>
      </c>
      <c r="C100" s="4">
        <v>0</v>
      </c>
      <c r="D100">
        <v>1</v>
      </c>
      <c r="E100">
        <v>3</v>
      </c>
      <c r="F100">
        <v>5</v>
      </c>
      <c r="G100">
        <v>10</v>
      </c>
      <c r="H100">
        <v>17</v>
      </c>
      <c r="I100">
        <v>22</v>
      </c>
      <c r="J100">
        <v>9</v>
      </c>
      <c r="K100">
        <v>5</v>
      </c>
      <c r="L100">
        <v>0</v>
      </c>
      <c r="M100">
        <v>2</v>
      </c>
      <c r="N100">
        <v>3878.9525804111722</v>
      </c>
      <c r="O100">
        <v>3</v>
      </c>
      <c r="P100">
        <v>1</v>
      </c>
      <c r="Q100">
        <v>1</v>
      </c>
      <c r="R100">
        <v>3</v>
      </c>
      <c r="S100">
        <v>3</v>
      </c>
      <c r="T100">
        <v>794</v>
      </c>
      <c r="U100">
        <v>3</v>
      </c>
    </row>
    <row r="101" spans="1:21" x14ac:dyDescent="0.45">
      <c r="A101" s="4">
        <v>164</v>
      </c>
      <c r="B101" s="4">
        <v>0</v>
      </c>
      <c r="C101" s="4">
        <v>0</v>
      </c>
      <c r="D101">
        <v>1</v>
      </c>
      <c r="E101">
        <v>3</v>
      </c>
      <c r="F101">
        <v>0</v>
      </c>
      <c r="G101">
        <v>5</v>
      </c>
      <c r="H101">
        <v>5</v>
      </c>
      <c r="I101">
        <v>7</v>
      </c>
      <c r="J101">
        <v>7</v>
      </c>
      <c r="K101">
        <v>3</v>
      </c>
      <c r="L101">
        <v>0</v>
      </c>
      <c r="M101">
        <v>2</v>
      </c>
      <c r="N101">
        <v>2822.5670289927348</v>
      </c>
      <c r="O101">
        <v>4</v>
      </c>
      <c r="P101">
        <v>1</v>
      </c>
      <c r="Q101">
        <v>1</v>
      </c>
      <c r="R101">
        <v>3</v>
      </c>
      <c r="S101">
        <v>1</v>
      </c>
      <c r="T101">
        <v>197</v>
      </c>
      <c r="U101">
        <v>3</v>
      </c>
    </row>
    <row r="102" spans="1:21" x14ac:dyDescent="0.45">
      <c r="A102" s="4">
        <v>165</v>
      </c>
      <c r="B102" s="4">
        <v>0</v>
      </c>
      <c r="C102" s="4">
        <v>0</v>
      </c>
      <c r="D102">
        <v>6</v>
      </c>
      <c r="E102">
        <v>9</v>
      </c>
      <c r="F102">
        <v>3</v>
      </c>
      <c r="G102">
        <v>21</v>
      </c>
      <c r="H102">
        <v>16</v>
      </c>
      <c r="I102">
        <v>97</v>
      </c>
      <c r="J102">
        <v>45</v>
      </c>
      <c r="K102">
        <v>3</v>
      </c>
      <c r="L102">
        <v>3</v>
      </c>
      <c r="M102">
        <v>23</v>
      </c>
      <c r="N102">
        <v>1855.8959973730371</v>
      </c>
      <c r="O102">
        <v>3</v>
      </c>
      <c r="P102">
        <v>1</v>
      </c>
      <c r="Q102">
        <v>1</v>
      </c>
      <c r="R102">
        <v>4</v>
      </c>
      <c r="S102">
        <v>4</v>
      </c>
      <c r="T102">
        <v>3047</v>
      </c>
      <c r="U102">
        <v>4</v>
      </c>
    </row>
    <row r="103" spans="1:21" x14ac:dyDescent="0.45">
      <c r="A103" s="4">
        <v>166</v>
      </c>
      <c r="B103" s="4">
        <v>0</v>
      </c>
      <c r="C103" s="4">
        <v>0</v>
      </c>
      <c r="D103">
        <v>6</v>
      </c>
      <c r="E103">
        <v>11</v>
      </c>
      <c r="F103">
        <v>3</v>
      </c>
      <c r="G103">
        <v>15</v>
      </c>
      <c r="H103">
        <v>11</v>
      </c>
      <c r="I103">
        <v>48</v>
      </c>
      <c r="J103">
        <v>28</v>
      </c>
      <c r="K103">
        <v>4</v>
      </c>
      <c r="L103">
        <v>0</v>
      </c>
      <c r="M103">
        <v>20</v>
      </c>
      <c r="N103">
        <v>2144.088007409729</v>
      </c>
      <c r="O103">
        <v>3</v>
      </c>
      <c r="P103">
        <v>1</v>
      </c>
      <c r="Q103">
        <v>1</v>
      </c>
      <c r="R103">
        <v>4</v>
      </c>
      <c r="S103">
        <v>5</v>
      </c>
      <c r="T103">
        <v>1358</v>
      </c>
      <c r="U103">
        <v>4</v>
      </c>
    </row>
    <row r="104" spans="1:21" x14ac:dyDescent="0.45">
      <c r="A104" s="4">
        <v>167</v>
      </c>
      <c r="B104" s="4">
        <v>0</v>
      </c>
      <c r="C104" s="4">
        <v>0</v>
      </c>
      <c r="D104">
        <v>6</v>
      </c>
      <c r="E104">
        <v>11</v>
      </c>
      <c r="F104">
        <v>3</v>
      </c>
      <c r="G104">
        <v>15</v>
      </c>
      <c r="H104">
        <v>11</v>
      </c>
      <c r="I104">
        <v>48</v>
      </c>
      <c r="J104">
        <v>28</v>
      </c>
      <c r="K104">
        <v>4</v>
      </c>
      <c r="L104">
        <v>0</v>
      </c>
      <c r="M104">
        <v>20</v>
      </c>
      <c r="N104">
        <v>2209.27780378328</v>
      </c>
      <c r="O104">
        <v>3</v>
      </c>
      <c r="P104">
        <v>0</v>
      </c>
      <c r="Q104">
        <v>1</v>
      </c>
      <c r="R104">
        <v>4</v>
      </c>
      <c r="S104">
        <v>5</v>
      </c>
      <c r="T104">
        <v>2190</v>
      </c>
      <c r="U104">
        <v>4</v>
      </c>
    </row>
    <row r="105" spans="1:21" x14ac:dyDescent="0.45">
      <c r="A105" s="4">
        <v>168</v>
      </c>
      <c r="B105" s="4">
        <v>0</v>
      </c>
      <c r="C105" s="4">
        <v>0</v>
      </c>
      <c r="D105">
        <v>4</v>
      </c>
      <c r="E105">
        <v>12</v>
      </c>
      <c r="F105">
        <v>2</v>
      </c>
      <c r="G105">
        <v>15</v>
      </c>
      <c r="H105">
        <v>11</v>
      </c>
      <c r="I105">
        <v>44</v>
      </c>
      <c r="J105">
        <v>25</v>
      </c>
      <c r="K105">
        <v>5</v>
      </c>
      <c r="L105">
        <v>0</v>
      </c>
      <c r="M105">
        <v>19</v>
      </c>
      <c r="N105">
        <v>2314.8525925432509</v>
      </c>
      <c r="O105">
        <v>4</v>
      </c>
      <c r="P105">
        <v>0</v>
      </c>
      <c r="Q105">
        <v>1</v>
      </c>
      <c r="R105">
        <v>3</v>
      </c>
      <c r="S105">
        <v>2</v>
      </c>
      <c r="T105">
        <v>680</v>
      </c>
      <c r="U105">
        <v>2</v>
      </c>
    </row>
    <row r="106" spans="1:21" x14ac:dyDescent="0.45">
      <c r="A106" s="4">
        <v>170</v>
      </c>
      <c r="B106" s="4">
        <v>1</v>
      </c>
      <c r="C106" s="4">
        <v>0</v>
      </c>
      <c r="D106">
        <v>3</v>
      </c>
      <c r="E106">
        <v>6</v>
      </c>
      <c r="F106">
        <v>2</v>
      </c>
      <c r="G106">
        <v>11</v>
      </c>
      <c r="H106">
        <v>10</v>
      </c>
      <c r="I106">
        <v>44</v>
      </c>
      <c r="J106">
        <v>12</v>
      </c>
      <c r="K106">
        <v>2</v>
      </c>
      <c r="L106">
        <v>1</v>
      </c>
      <c r="M106">
        <v>7</v>
      </c>
      <c r="N106">
        <v>1849.462919120188</v>
      </c>
      <c r="O106">
        <v>4</v>
      </c>
      <c r="P106">
        <v>1</v>
      </c>
      <c r="Q106">
        <v>1</v>
      </c>
      <c r="R106">
        <v>3</v>
      </c>
      <c r="S106">
        <v>5</v>
      </c>
      <c r="T106">
        <v>4720</v>
      </c>
      <c r="U106">
        <v>4</v>
      </c>
    </row>
    <row r="107" spans="1:21" x14ac:dyDescent="0.45">
      <c r="A107" s="4">
        <v>171</v>
      </c>
      <c r="B107" s="4">
        <v>0</v>
      </c>
      <c r="C107" s="4">
        <v>0</v>
      </c>
      <c r="D107">
        <v>4</v>
      </c>
      <c r="E107">
        <v>5</v>
      </c>
      <c r="F107">
        <v>0</v>
      </c>
      <c r="G107">
        <v>6</v>
      </c>
      <c r="H107">
        <v>8</v>
      </c>
      <c r="I107">
        <v>12</v>
      </c>
      <c r="J107">
        <v>9</v>
      </c>
      <c r="K107">
        <v>3</v>
      </c>
      <c r="L107">
        <v>0</v>
      </c>
      <c r="M107">
        <v>3</v>
      </c>
      <c r="N107">
        <v>2759.7324273206132</v>
      </c>
      <c r="O107">
        <v>3</v>
      </c>
      <c r="P107">
        <v>0</v>
      </c>
      <c r="Q107">
        <v>1</v>
      </c>
      <c r="R107">
        <v>4</v>
      </c>
      <c r="S107">
        <v>5</v>
      </c>
      <c r="T107">
        <v>1552</v>
      </c>
      <c r="U107">
        <v>1</v>
      </c>
    </row>
    <row r="108" spans="1:21" x14ac:dyDescent="0.45">
      <c r="A108" s="4">
        <v>172</v>
      </c>
      <c r="B108" s="4">
        <v>1</v>
      </c>
      <c r="C108" s="4">
        <v>0</v>
      </c>
      <c r="D108">
        <v>3</v>
      </c>
      <c r="E108">
        <v>4</v>
      </c>
      <c r="F108">
        <v>0</v>
      </c>
      <c r="G108">
        <v>6</v>
      </c>
      <c r="H108">
        <v>10</v>
      </c>
      <c r="I108">
        <v>18</v>
      </c>
      <c r="J108">
        <v>9</v>
      </c>
      <c r="K108">
        <v>3</v>
      </c>
      <c r="L108">
        <v>0</v>
      </c>
      <c r="M108">
        <v>4</v>
      </c>
      <c r="N108">
        <v>3259.5771260261122</v>
      </c>
      <c r="O108">
        <v>1</v>
      </c>
      <c r="P108">
        <v>1</v>
      </c>
      <c r="Q108">
        <v>1</v>
      </c>
      <c r="R108">
        <v>4</v>
      </c>
      <c r="S108">
        <v>4</v>
      </c>
      <c r="T108">
        <v>446</v>
      </c>
      <c r="U108">
        <v>2</v>
      </c>
    </row>
    <row r="109" spans="1:21" x14ac:dyDescent="0.45">
      <c r="A109" s="4">
        <v>173</v>
      </c>
      <c r="B109" s="4">
        <v>0</v>
      </c>
      <c r="C109" s="4">
        <v>0</v>
      </c>
      <c r="D109">
        <v>3</v>
      </c>
      <c r="E109">
        <v>4</v>
      </c>
      <c r="F109">
        <v>0</v>
      </c>
      <c r="G109">
        <v>6</v>
      </c>
      <c r="H109">
        <v>10</v>
      </c>
      <c r="I109">
        <v>18</v>
      </c>
      <c r="J109">
        <v>9</v>
      </c>
      <c r="K109">
        <v>3</v>
      </c>
      <c r="L109">
        <v>0</v>
      </c>
      <c r="M109">
        <v>4</v>
      </c>
      <c r="N109">
        <v>3349.8654447840131</v>
      </c>
      <c r="O109">
        <v>1</v>
      </c>
      <c r="P109">
        <v>0</v>
      </c>
      <c r="Q109">
        <v>1</v>
      </c>
      <c r="R109">
        <v>4</v>
      </c>
      <c r="S109">
        <v>4</v>
      </c>
      <c r="T109">
        <v>594</v>
      </c>
      <c r="U109">
        <v>2</v>
      </c>
    </row>
    <row r="110" spans="1:21" x14ac:dyDescent="0.45">
      <c r="A110" s="4">
        <v>174</v>
      </c>
      <c r="B110" s="4">
        <v>0</v>
      </c>
      <c r="C110" s="4">
        <v>1</v>
      </c>
      <c r="D110">
        <v>3</v>
      </c>
      <c r="E110">
        <v>4</v>
      </c>
      <c r="F110">
        <v>0</v>
      </c>
      <c r="G110">
        <v>6</v>
      </c>
      <c r="H110">
        <v>10</v>
      </c>
      <c r="I110">
        <v>18</v>
      </c>
      <c r="J110">
        <v>9</v>
      </c>
      <c r="K110">
        <v>3</v>
      </c>
      <c r="L110">
        <v>0</v>
      </c>
      <c r="M110">
        <v>4</v>
      </c>
      <c r="N110">
        <v>3320.3796255434731</v>
      </c>
      <c r="O110">
        <v>1</v>
      </c>
      <c r="P110">
        <v>0</v>
      </c>
      <c r="Q110">
        <v>1</v>
      </c>
      <c r="R110">
        <v>4</v>
      </c>
      <c r="S110">
        <v>4</v>
      </c>
      <c r="T110">
        <v>343</v>
      </c>
      <c r="U110">
        <v>1</v>
      </c>
    </row>
    <row r="111" spans="1:21" x14ac:dyDescent="0.45">
      <c r="A111" s="4">
        <v>175</v>
      </c>
      <c r="B111" s="4">
        <v>0</v>
      </c>
      <c r="C111" s="4">
        <v>0</v>
      </c>
      <c r="D111">
        <v>3</v>
      </c>
      <c r="E111">
        <v>2</v>
      </c>
      <c r="F111">
        <v>0</v>
      </c>
      <c r="G111">
        <v>5</v>
      </c>
      <c r="H111">
        <v>7</v>
      </c>
      <c r="I111">
        <v>9</v>
      </c>
      <c r="J111">
        <v>3</v>
      </c>
      <c r="K111">
        <v>1</v>
      </c>
      <c r="L111">
        <v>0</v>
      </c>
      <c r="M111">
        <v>4</v>
      </c>
      <c r="N111">
        <v>3349.8654447840131</v>
      </c>
      <c r="O111">
        <v>4</v>
      </c>
      <c r="P111">
        <v>0</v>
      </c>
      <c r="Q111">
        <v>1</v>
      </c>
      <c r="R111">
        <v>4</v>
      </c>
      <c r="S111">
        <v>2</v>
      </c>
      <c r="T111">
        <v>430</v>
      </c>
      <c r="U111">
        <v>2</v>
      </c>
    </row>
    <row r="112" spans="1:21" x14ac:dyDescent="0.45">
      <c r="A112" s="4">
        <v>176</v>
      </c>
      <c r="B112" s="4">
        <v>0</v>
      </c>
      <c r="C112" s="4">
        <v>0</v>
      </c>
      <c r="D112">
        <v>3</v>
      </c>
      <c r="E112">
        <v>3</v>
      </c>
      <c r="F112">
        <v>3</v>
      </c>
      <c r="G112">
        <v>5</v>
      </c>
      <c r="H112">
        <v>6</v>
      </c>
      <c r="I112">
        <v>11</v>
      </c>
      <c r="J112">
        <v>9</v>
      </c>
      <c r="K112">
        <v>2</v>
      </c>
      <c r="L112">
        <v>0</v>
      </c>
      <c r="M112">
        <v>15</v>
      </c>
      <c r="N112">
        <v>3511.9757079895098</v>
      </c>
      <c r="O112">
        <v>4</v>
      </c>
      <c r="P112">
        <v>0</v>
      </c>
      <c r="Q112">
        <v>1</v>
      </c>
      <c r="R112">
        <v>4</v>
      </c>
      <c r="S112">
        <v>6</v>
      </c>
      <c r="T112">
        <v>1035</v>
      </c>
      <c r="U112">
        <v>4</v>
      </c>
    </row>
    <row r="113" spans="1:21" x14ac:dyDescent="0.45">
      <c r="A113" s="4">
        <v>177</v>
      </c>
      <c r="B113" s="4">
        <v>1</v>
      </c>
      <c r="C113" s="4">
        <v>0</v>
      </c>
      <c r="D113">
        <v>4</v>
      </c>
      <c r="E113">
        <v>12</v>
      </c>
      <c r="F113">
        <v>1</v>
      </c>
      <c r="G113">
        <v>23</v>
      </c>
      <c r="H113">
        <v>24</v>
      </c>
      <c r="I113">
        <v>44</v>
      </c>
      <c r="J113">
        <v>14</v>
      </c>
      <c r="K113">
        <v>5</v>
      </c>
      <c r="L113">
        <v>5</v>
      </c>
      <c r="M113">
        <v>28</v>
      </c>
      <c r="N113">
        <v>2525.8734770769788</v>
      </c>
      <c r="O113">
        <v>3</v>
      </c>
      <c r="P113">
        <v>1</v>
      </c>
      <c r="Q113">
        <v>1</v>
      </c>
      <c r="R113">
        <v>3</v>
      </c>
      <c r="S113">
        <v>4</v>
      </c>
      <c r="T113">
        <v>2548</v>
      </c>
      <c r="U113">
        <v>2</v>
      </c>
    </row>
    <row r="114" spans="1:21" x14ac:dyDescent="0.45">
      <c r="A114" s="4">
        <v>178</v>
      </c>
      <c r="B114" s="4">
        <v>0</v>
      </c>
      <c r="C114" s="4">
        <v>0</v>
      </c>
      <c r="D114">
        <v>5</v>
      </c>
      <c r="E114">
        <v>5</v>
      </c>
      <c r="F114">
        <v>3</v>
      </c>
      <c r="G114">
        <v>14</v>
      </c>
      <c r="H114">
        <v>14</v>
      </c>
      <c r="I114">
        <v>19</v>
      </c>
      <c r="J114">
        <v>8</v>
      </c>
      <c r="K114">
        <v>2</v>
      </c>
      <c r="L114">
        <v>1</v>
      </c>
      <c r="M114">
        <v>21</v>
      </c>
      <c r="N114">
        <v>3343.2205976216151</v>
      </c>
      <c r="O114">
        <v>4</v>
      </c>
      <c r="P114">
        <v>0</v>
      </c>
      <c r="Q114">
        <v>1</v>
      </c>
      <c r="R114">
        <v>4</v>
      </c>
      <c r="S114">
        <v>4</v>
      </c>
      <c r="T114">
        <v>969</v>
      </c>
      <c r="U114">
        <v>3</v>
      </c>
    </row>
    <row r="115" spans="1:21" x14ac:dyDescent="0.45">
      <c r="A115" s="4">
        <v>179</v>
      </c>
      <c r="B115" s="4">
        <v>0</v>
      </c>
      <c r="C115" s="4">
        <v>1</v>
      </c>
      <c r="D115">
        <v>3</v>
      </c>
      <c r="E115">
        <v>11</v>
      </c>
      <c r="F115">
        <v>1</v>
      </c>
      <c r="G115">
        <v>16</v>
      </c>
      <c r="H115">
        <v>15</v>
      </c>
      <c r="I115">
        <v>23</v>
      </c>
      <c r="J115">
        <v>11</v>
      </c>
      <c r="K115">
        <v>4</v>
      </c>
      <c r="L115">
        <v>5</v>
      </c>
      <c r="M115">
        <v>28</v>
      </c>
      <c r="N115">
        <v>3090.5489679224552</v>
      </c>
      <c r="O115">
        <v>2</v>
      </c>
      <c r="P115">
        <v>0</v>
      </c>
      <c r="Q115">
        <v>0</v>
      </c>
      <c r="R115">
        <v>4</v>
      </c>
      <c r="S115">
        <v>2</v>
      </c>
      <c r="T115">
        <v>111</v>
      </c>
      <c r="U115">
        <v>1</v>
      </c>
    </row>
    <row r="116" spans="1:21" x14ac:dyDescent="0.45">
      <c r="A116" s="4">
        <v>180</v>
      </c>
      <c r="B116" s="4">
        <v>0</v>
      </c>
      <c r="C116" s="4">
        <v>0</v>
      </c>
      <c r="D116">
        <v>2</v>
      </c>
      <c r="E116">
        <v>8</v>
      </c>
      <c r="F116">
        <v>1</v>
      </c>
      <c r="G116">
        <v>17</v>
      </c>
      <c r="H116">
        <v>18</v>
      </c>
      <c r="I116">
        <v>32</v>
      </c>
      <c r="J116">
        <v>10</v>
      </c>
      <c r="K116">
        <v>3</v>
      </c>
      <c r="L116">
        <v>6</v>
      </c>
      <c r="M116">
        <v>28</v>
      </c>
      <c r="N116">
        <v>3084.3130085978728</v>
      </c>
      <c r="O116">
        <v>4</v>
      </c>
      <c r="P116">
        <v>1</v>
      </c>
      <c r="Q116">
        <v>1</v>
      </c>
      <c r="R116">
        <v>4</v>
      </c>
      <c r="S116">
        <v>3</v>
      </c>
      <c r="T116">
        <v>954</v>
      </c>
      <c r="U116">
        <v>3</v>
      </c>
    </row>
    <row r="117" spans="1:21" x14ac:dyDescent="0.45">
      <c r="A117" s="4">
        <v>181</v>
      </c>
      <c r="B117" s="4">
        <v>0</v>
      </c>
      <c r="C117" s="4">
        <v>0</v>
      </c>
      <c r="D117">
        <v>2</v>
      </c>
      <c r="E117">
        <v>12</v>
      </c>
      <c r="F117">
        <v>0</v>
      </c>
      <c r="G117">
        <v>17</v>
      </c>
      <c r="H117">
        <v>13</v>
      </c>
      <c r="I117">
        <v>32</v>
      </c>
      <c r="J117">
        <v>17</v>
      </c>
      <c r="K117">
        <v>6</v>
      </c>
      <c r="L117">
        <v>6</v>
      </c>
      <c r="M117">
        <v>25</v>
      </c>
      <c r="N117">
        <v>2763.7099733967239</v>
      </c>
      <c r="O117">
        <v>1</v>
      </c>
      <c r="P117">
        <v>1</v>
      </c>
      <c r="Q117">
        <v>1</v>
      </c>
      <c r="R117">
        <v>4</v>
      </c>
      <c r="S117">
        <v>4</v>
      </c>
      <c r="T117">
        <v>1025</v>
      </c>
      <c r="U117">
        <v>4</v>
      </c>
    </row>
    <row r="118" spans="1:21" x14ac:dyDescent="0.45">
      <c r="A118" s="4">
        <v>182</v>
      </c>
      <c r="B118" s="4">
        <v>0</v>
      </c>
      <c r="C118" s="4">
        <v>0</v>
      </c>
      <c r="D118">
        <v>3</v>
      </c>
      <c r="E118">
        <v>12</v>
      </c>
      <c r="F118">
        <v>1</v>
      </c>
      <c r="G118">
        <v>16</v>
      </c>
      <c r="H118">
        <v>11</v>
      </c>
      <c r="I118">
        <v>41</v>
      </c>
      <c r="J118">
        <v>19</v>
      </c>
      <c r="K118">
        <v>6</v>
      </c>
      <c r="L118">
        <v>0</v>
      </c>
      <c r="M118">
        <v>24</v>
      </c>
      <c r="N118">
        <v>2509.888845131059</v>
      </c>
      <c r="O118">
        <v>3</v>
      </c>
      <c r="P118">
        <v>1</v>
      </c>
      <c r="Q118">
        <v>1</v>
      </c>
      <c r="R118">
        <v>4</v>
      </c>
      <c r="S118">
        <v>3</v>
      </c>
      <c r="T118">
        <v>1638</v>
      </c>
      <c r="U118">
        <v>1</v>
      </c>
    </row>
    <row r="119" spans="1:21" x14ac:dyDescent="0.45">
      <c r="A119" s="4">
        <v>183</v>
      </c>
      <c r="B119" s="4">
        <v>0</v>
      </c>
      <c r="C119" s="4">
        <v>0</v>
      </c>
      <c r="D119">
        <v>2</v>
      </c>
      <c r="E119">
        <v>12</v>
      </c>
      <c r="F119">
        <v>1</v>
      </c>
      <c r="G119">
        <v>15</v>
      </c>
      <c r="H119">
        <v>12</v>
      </c>
      <c r="I119">
        <v>40</v>
      </c>
      <c r="J119">
        <v>15</v>
      </c>
      <c r="K119">
        <v>4</v>
      </c>
      <c r="L119">
        <v>7</v>
      </c>
      <c r="M119">
        <v>25</v>
      </c>
      <c r="N119">
        <v>2584.7983424253921</v>
      </c>
      <c r="O119">
        <v>4</v>
      </c>
      <c r="P119">
        <v>0</v>
      </c>
      <c r="Q119">
        <v>1</v>
      </c>
      <c r="R119">
        <v>4</v>
      </c>
      <c r="S119">
        <v>4</v>
      </c>
      <c r="T119">
        <v>912</v>
      </c>
      <c r="U119">
        <v>3</v>
      </c>
    </row>
    <row r="120" spans="1:21" x14ac:dyDescent="0.45">
      <c r="A120" s="4">
        <v>184</v>
      </c>
      <c r="B120" s="4">
        <v>1</v>
      </c>
      <c r="C120" s="4">
        <v>0</v>
      </c>
      <c r="D120">
        <v>2</v>
      </c>
      <c r="E120">
        <v>10</v>
      </c>
      <c r="F120">
        <v>0</v>
      </c>
      <c r="G120">
        <v>18</v>
      </c>
      <c r="H120">
        <v>11</v>
      </c>
      <c r="I120">
        <v>35</v>
      </c>
      <c r="J120">
        <v>14</v>
      </c>
      <c r="K120">
        <v>7</v>
      </c>
      <c r="L120">
        <v>6</v>
      </c>
      <c r="M120">
        <v>26</v>
      </c>
      <c r="N120">
        <v>2616.4637160735078</v>
      </c>
      <c r="O120">
        <v>1</v>
      </c>
      <c r="P120">
        <v>0</v>
      </c>
      <c r="Q120">
        <v>1</v>
      </c>
      <c r="R120">
        <v>4</v>
      </c>
      <c r="S120">
        <v>2</v>
      </c>
      <c r="T120">
        <v>316</v>
      </c>
      <c r="U120">
        <v>3</v>
      </c>
    </row>
    <row r="121" spans="1:21" x14ac:dyDescent="0.45">
      <c r="A121" s="4">
        <v>185</v>
      </c>
      <c r="B121" s="4">
        <v>0</v>
      </c>
      <c r="C121" s="4">
        <v>0</v>
      </c>
      <c r="D121">
        <v>2</v>
      </c>
      <c r="E121">
        <v>10</v>
      </c>
      <c r="F121">
        <v>0</v>
      </c>
      <c r="G121">
        <v>18</v>
      </c>
      <c r="H121">
        <v>11</v>
      </c>
      <c r="I121">
        <v>35</v>
      </c>
      <c r="J121">
        <v>14</v>
      </c>
      <c r="K121">
        <v>7</v>
      </c>
      <c r="L121">
        <v>6</v>
      </c>
      <c r="M121">
        <v>26</v>
      </c>
      <c r="N121">
        <v>2754.112179516887</v>
      </c>
      <c r="O121">
        <v>2</v>
      </c>
      <c r="P121">
        <v>1</v>
      </c>
      <c r="Q121">
        <v>1</v>
      </c>
      <c r="R121">
        <v>4</v>
      </c>
      <c r="S121">
        <v>3</v>
      </c>
      <c r="T121">
        <v>503</v>
      </c>
      <c r="U121">
        <v>3</v>
      </c>
    </row>
    <row r="122" spans="1:21" x14ac:dyDescent="0.45">
      <c r="A122" s="4">
        <v>186</v>
      </c>
      <c r="B122" s="4">
        <v>0</v>
      </c>
      <c r="C122" s="4">
        <v>0</v>
      </c>
      <c r="D122">
        <v>2</v>
      </c>
      <c r="E122">
        <v>4</v>
      </c>
      <c r="F122">
        <v>0</v>
      </c>
      <c r="G122">
        <v>22</v>
      </c>
      <c r="H122">
        <v>22</v>
      </c>
      <c r="I122">
        <v>160</v>
      </c>
      <c r="J122">
        <v>38</v>
      </c>
      <c r="K122">
        <v>19</v>
      </c>
      <c r="L122">
        <v>11</v>
      </c>
      <c r="M122">
        <v>17</v>
      </c>
      <c r="N122">
        <v>1716.461984595705</v>
      </c>
      <c r="O122">
        <v>1</v>
      </c>
      <c r="P122">
        <v>0</v>
      </c>
      <c r="Q122">
        <v>1</v>
      </c>
      <c r="R122">
        <v>3</v>
      </c>
      <c r="S122">
        <v>2</v>
      </c>
      <c r="T122">
        <v>786</v>
      </c>
      <c r="U122">
        <v>3</v>
      </c>
    </row>
    <row r="123" spans="1:21" x14ac:dyDescent="0.45">
      <c r="A123" s="4">
        <v>187</v>
      </c>
      <c r="B123" s="4">
        <v>1</v>
      </c>
      <c r="C123" s="4">
        <v>0</v>
      </c>
      <c r="D123">
        <v>4</v>
      </c>
      <c r="E123">
        <v>4</v>
      </c>
      <c r="F123">
        <v>0</v>
      </c>
      <c r="G123">
        <v>5</v>
      </c>
      <c r="H123">
        <v>6</v>
      </c>
      <c r="I123">
        <v>23</v>
      </c>
      <c r="J123">
        <v>8</v>
      </c>
      <c r="K123">
        <v>11</v>
      </c>
      <c r="L123">
        <v>0</v>
      </c>
      <c r="M123">
        <v>16</v>
      </c>
      <c r="N123">
        <v>4188.6169807285887</v>
      </c>
      <c r="O123">
        <v>4</v>
      </c>
      <c r="P123">
        <v>0</v>
      </c>
      <c r="Q123">
        <v>0</v>
      </c>
      <c r="R123">
        <v>4</v>
      </c>
      <c r="S123">
        <v>3</v>
      </c>
      <c r="T123">
        <v>654</v>
      </c>
      <c r="U123">
        <v>2</v>
      </c>
    </row>
    <row r="124" spans="1:21" x14ac:dyDescent="0.45">
      <c r="A124" s="4">
        <v>188</v>
      </c>
      <c r="B124" s="4">
        <v>0</v>
      </c>
      <c r="C124" s="4">
        <v>0</v>
      </c>
      <c r="D124">
        <v>4</v>
      </c>
      <c r="E124">
        <v>4</v>
      </c>
      <c r="F124">
        <v>1</v>
      </c>
      <c r="G124">
        <v>6</v>
      </c>
      <c r="H124">
        <v>8</v>
      </c>
      <c r="I124">
        <v>16</v>
      </c>
      <c r="J124">
        <v>8</v>
      </c>
      <c r="K124">
        <v>16</v>
      </c>
      <c r="L124">
        <v>0</v>
      </c>
      <c r="M124">
        <v>21</v>
      </c>
      <c r="N124">
        <v>4048.647191884003</v>
      </c>
      <c r="O124">
        <v>1</v>
      </c>
      <c r="P124">
        <v>0</v>
      </c>
      <c r="Q124">
        <v>0</v>
      </c>
      <c r="R124">
        <v>4</v>
      </c>
      <c r="S124">
        <v>2</v>
      </c>
      <c r="T124">
        <v>384</v>
      </c>
      <c r="U124">
        <v>1</v>
      </c>
    </row>
    <row r="125" spans="1:21" x14ac:dyDescent="0.45">
      <c r="A125" s="4">
        <v>189</v>
      </c>
      <c r="B125" s="4">
        <v>0</v>
      </c>
      <c r="C125" s="4">
        <v>0</v>
      </c>
      <c r="D125">
        <v>4</v>
      </c>
      <c r="E125">
        <v>1</v>
      </c>
      <c r="F125">
        <v>0</v>
      </c>
      <c r="G125">
        <v>9</v>
      </c>
      <c r="H125">
        <v>10</v>
      </c>
      <c r="I125">
        <v>23</v>
      </c>
      <c r="J125">
        <v>6</v>
      </c>
      <c r="K125">
        <v>15</v>
      </c>
      <c r="L125">
        <v>1</v>
      </c>
      <c r="M125">
        <v>5</v>
      </c>
      <c r="N125">
        <v>5222.1711107342244</v>
      </c>
      <c r="O125">
        <v>3</v>
      </c>
      <c r="P125">
        <v>0</v>
      </c>
      <c r="Q125">
        <v>1</v>
      </c>
      <c r="R125">
        <v>4</v>
      </c>
      <c r="S125">
        <v>4</v>
      </c>
      <c r="T125">
        <v>258</v>
      </c>
      <c r="U125">
        <v>1</v>
      </c>
    </row>
    <row r="126" spans="1:21" x14ac:dyDescent="0.45">
      <c r="A126" s="4">
        <v>190</v>
      </c>
      <c r="B126" s="4">
        <v>0</v>
      </c>
      <c r="C126" s="4">
        <v>0</v>
      </c>
      <c r="D126">
        <v>4</v>
      </c>
      <c r="E126">
        <v>1</v>
      </c>
      <c r="F126">
        <v>0</v>
      </c>
      <c r="G126">
        <v>9</v>
      </c>
      <c r="H126">
        <v>10</v>
      </c>
      <c r="I126">
        <v>23</v>
      </c>
      <c r="J126">
        <v>6</v>
      </c>
      <c r="K126">
        <v>15</v>
      </c>
      <c r="L126">
        <v>1</v>
      </c>
      <c r="M126">
        <v>5</v>
      </c>
      <c r="N126">
        <v>5297.5241277972746</v>
      </c>
      <c r="O126">
        <v>1</v>
      </c>
      <c r="P126">
        <v>0</v>
      </c>
      <c r="Q126">
        <v>0</v>
      </c>
      <c r="R126">
        <v>4</v>
      </c>
      <c r="S126">
        <v>1</v>
      </c>
      <c r="T126">
        <v>797</v>
      </c>
      <c r="U126">
        <v>4</v>
      </c>
    </row>
    <row r="127" spans="1:21" x14ac:dyDescent="0.45">
      <c r="A127" s="4">
        <v>191</v>
      </c>
      <c r="B127" s="4">
        <v>1</v>
      </c>
      <c r="C127" s="4">
        <v>0</v>
      </c>
      <c r="D127">
        <v>4</v>
      </c>
      <c r="E127">
        <v>1</v>
      </c>
      <c r="F127">
        <v>0</v>
      </c>
      <c r="G127">
        <v>10</v>
      </c>
      <c r="H127">
        <v>11</v>
      </c>
      <c r="I127">
        <v>34</v>
      </c>
      <c r="J127">
        <v>9</v>
      </c>
      <c r="K127">
        <v>11</v>
      </c>
      <c r="L127">
        <v>1</v>
      </c>
      <c r="M127">
        <v>11</v>
      </c>
      <c r="N127">
        <v>5356.5903647771738</v>
      </c>
      <c r="O127">
        <v>2</v>
      </c>
      <c r="P127">
        <v>0</v>
      </c>
      <c r="Q127">
        <v>1</v>
      </c>
      <c r="R127">
        <v>4</v>
      </c>
      <c r="S127">
        <v>3</v>
      </c>
      <c r="T127">
        <v>236</v>
      </c>
      <c r="U127">
        <v>1</v>
      </c>
    </row>
    <row r="128" spans="1:21" x14ac:dyDescent="0.45">
      <c r="A128" s="4">
        <v>192</v>
      </c>
      <c r="B128" s="4">
        <v>0</v>
      </c>
      <c r="C128" s="4">
        <v>0</v>
      </c>
      <c r="D128">
        <v>4</v>
      </c>
      <c r="E128">
        <v>0</v>
      </c>
      <c r="F128">
        <v>1</v>
      </c>
      <c r="G128">
        <v>6</v>
      </c>
      <c r="H128">
        <v>9</v>
      </c>
      <c r="I128">
        <v>13</v>
      </c>
      <c r="J128">
        <v>8</v>
      </c>
      <c r="K128">
        <v>12</v>
      </c>
      <c r="L128">
        <v>2</v>
      </c>
      <c r="M128">
        <v>20</v>
      </c>
      <c r="N128">
        <v>4566.2655339497869</v>
      </c>
      <c r="O128">
        <v>3</v>
      </c>
      <c r="P128">
        <v>1</v>
      </c>
      <c r="Q128">
        <v>0</v>
      </c>
      <c r="R128">
        <v>3</v>
      </c>
      <c r="S128">
        <v>1</v>
      </c>
      <c r="T128">
        <v>172</v>
      </c>
      <c r="U128">
        <v>1</v>
      </c>
    </row>
    <row r="129" spans="1:21" x14ac:dyDescent="0.45">
      <c r="A129" s="4">
        <v>193</v>
      </c>
      <c r="B129" s="4">
        <v>0</v>
      </c>
      <c r="C129" s="4">
        <v>0</v>
      </c>
      <c r="D129">
        <v>4</v>
      </c>
      <c r="E129">
        <v>0</v>
      </c>
      <c r="F129">
        <v>1</v>
      </c>
      <c r="G129">
        <v>6</v>
      </c>
      <c r="H129">
        <v>9</v>
      </c>
      <c r="I129">
        <v>13</v>
      </c>
      <c r="J129">
        <v>8</v>
      </c>
      <c r="K129">
        <v>12</v>
      </c>
      <c r="L129">
        <v>2</v>
      </c>
      <c r="M129">
        <v>20</v>
      </c>
      <c r="N129">
        <v>4566.2655339497869</v>
      </c>
      <c r="O129">
        <v>3</v>
      </c>
      <c r="P129">
        <v>1</v>
      </c>
      <c r="Q129">
        <v>0</v>
      </c>
      <c r="R129">
        <v>3</v>
      </c>
      <c r="S129">
        <v>1</v>
      </c>
      <c r="T129">
        <v>202</v>
      </c>
      <c r="U129">
        <v>1</v>
      </c>
    </row>
    <row r="130" spans="1:21" x14ac:dyDescent="0.45">
      <c r="A130" s="4">
        <v>194</v>
      </c>
      <c r="B130" s="4">
        <v>0</v>
      </c>
      <c r="C130" s="4">
        <v>0</v>
      </c>
      <c r="D130">
        <v>3</v>
      </c>
      <c r="E130">
        <v>0</v>
      </c>
      <c r="F130">
        <v>1</v>
      </c>
      <c r="G130">
        <v>7</v>
      </c>
      <c r="H130">
        <v>9</v>
      </c>
      <c r="I130">
        <v>14</v>
      </c>
      <c r="J130">
        <v>6</v>
      </c>
      <c r="K130">
        <v>11</v>
      </c>
      <c r="L130">
        <v>2</v>
      </c>
      <c r="M130">
        <v>18</v>
      </c>
      <c r="N130">
        <v>4662.7848173430039</v>
      </c>
      <c r="O130">
        <v>3</v>
      </c>
      <c r="P130">
        <v>1</v>
      </c>
      <c r="Q130">
        <v>1</v>
      </c>
      <c r="R130">
        <v>3</v>
      </c>
      <c r="S130">
        <v>3</v>
      </c>
      <c r="T130">
        <v>269</v>
      </c>
      <c r="U130">
        <v>2</v>
      </c>
    </row>
    <row r="131" spans="1:21" x14ac:dyDescent="0.45">
      <c r="A131" s="4">
        <v>195</v>
      </c>
      <c r="B131" s="4">
        <v>0</v>
      </c>
      <c r="C131" s="4">
        <v>0</v>
      </c>
      <c r="D131">
        <v>3</v>
      </c>
      <c r="E131">
        <v>1</v>
      </c>
      <c r="F131">
        <v>1</v>
      </c>
      <c r="G131">
        <v>5</v>
      </c>
      <c r="H131">
        <v>4</v>
      </c>
      <c r="I131">
        <v>15</v>
      </c>
      <c r="J131">
        <v>4</v>
      </c>
      <c r="K131">
        <v>37</v>
      </c>
      <c r="L131">
        <v>1</v>
      </c>
      <c r="M131">
        <v>8</v>
      </c>
      <c r="N131">
        <v>4383.3071412185336</v>
      </c>
      <c r="O131">
        <v>2</v>
      </c>
      <c r="P131">
        <v>1</v>
      </c>
      <c r="Q131">
        <v>0</v>
      </c>
      <c r="R131">
        <v>3</v>
      </c>
      <c r="S131">
        <v>4</v>
      </c>
      <c r="T131">
        <v>2266</v>
      </c>
      <c r="U131">
        <v>2</v>
      </c>
    </row>
    <row r="132" spans="1:21" x14ac:dyDescent="0.45">
      <c r="A132" s="4">
        <v>196</v>
      </c>
      <c r="B132" s="4">
        <v>0</v>
      </c>
      <c r="C132" s="4">
        <v>0</v>
      </c>
      <c r="D132">
        <v>1</v>
      </c>
      <c r="E132">
        <v>2</v>
      </c>
      <c r="F132">
        <v>0</v>
      </c>
      <c r="G132">
        <v>10</v>
      </c>
      <c r="H132">
        <v>8</v>
      </c>
      <c r="I132">
        <v>19</v>
      </c>
      <c r="J132">
        <v>6</v>
      </c>
      <c r="K132">
        <v>28</v>
      </c>
      <c r="L132">
        <v>1</v>
      </c>
      <c r="M132">
        <v>8</v>
      </c>
      <c r="N132">
        <v>4383.3071412185336</v>
      </c>
      <c r="O132">
        <v>3</v>
      </c>
      <c r="P132">
        <v>1</v>
      </c>
      <c r="Q132">
        <v>0</v>
      </c>
      <c r="R132">
        <v>3</v>
      </c>
      <c r="S132">
        <v>2</v>
      </c>
      <c r="T132">
        <v>582</v>
      </c>
      <c r="U132">
        <v>1</v>
      </c>
    </row>
    <row r="133" spans="1:21" x14ac:dyDescent="0.45">
      <c r="A133" s="4">
        <v>197</v>
      </c>
      <c r="B133" s="4">
        <v>0</v>
      </c>
      <c r="C133" s="4">
        <v>0</v>
      </c>
      <c r="D133">
        <v>0</v>
      </c>
      <c r="E133">
        <v>1</v>
      </c>
      <c r="F133">
        <v>0</v>
      </c>
      <c r="G133">
        <v>4</v>
      </c>
      <c r="H133">
        <v>3</v>
      </c>
      <c r="I133">
        <v>13</v>
      </c>
      <c r="J133">
        <v>3</v>
      </c>
      <c r="K133">
        <v>9</v>
      </c>
      <c r="L133">
        <v>2</v>
      </c>
      <c r="M133">
        <v>3</v>
      </c>
      <c r="N133">
        <v>4751.6972392811203</v>
      </c>
      <c r="O133">
        <v>1</v>
      </c>
      <c r="P133">
        <v>0</v>
      </c>
      <c r="Q133">
        <v>1</v>
      </c>
      <c r="R133">
        <v>3</v>
      </c>
      <c r="S133">
        <v>5</v>
      </c>
      <c r="T133">
        <v>2100</v>
      </c>
      <c r="U133">
        <v>4</v>
      </c>
    </row>
    <row r="134" spans="1:21" x14ac:dyDescent="0.45">
      <c r="A134" s="4">
        <v>198</v>
      </c>
      <c r="B134" s="4">
        <v>0</v>
      </c>
      <c r="C134" s="4">
        <v>0</v>
      </c>
      <c r="D134">
        <v>0</v>
      </c>
      <c r="E134">
        <v>1</v>
      </c>
      <c r="F134">
        <v>0</v>
      </c>
      <c r="G134">
        <v>6</v>
      </c>
      <c r="H134">
        <v>2</v>
      </c>
      <c r="I134">
        <v>15</v>
      </c>
      <c r="J134">
        <v>3</v>
      </c>
      <c r="K134">
        <v>14</v>
      </c>
      <c r="L134">
        <v>1</v>
      </c>
      <c r="M134">
        <v>7</v>
      </c>
      <c r="N134">
        <v>4383.3071412185336</v>
      </c>
      <c r="O134">
        <v>3</v>
      </c>
      <c r="P134">
        <v>1</v>
      </c>
      <c r="Q134">
        <v>0</v>
      </c>
      <c r="R134">
        <v>3</v>
      </c>
      <c r="S134">
        <v>4</v>
      </c>
      <c r="T134">
        <v>1178</v>
      </c>
      <c r="U134">
        <v>3</v>
      </c>
    </row>
    <row r="135" spans="1:21" x14ac:dyDescent="0.45">
      <c r="A135" s="4">
        <v>199</v>
      </c>
      <c r="B135" s="4">
        <v>0</v>
      </c>
      <c r="C135" s="4">
        <v>0</v>
      </c>
      <c r="D135">
        <v>2</v>
      </c>
      <c r="E135">
        <v>1</v>
      </c>
      <c r="F135">
        <v>0</v>
      </c>
      <c r="G135">
        <v>9</v>
      </c>
      <c r="H135">
        <v>9</v>
      </c>
      <c r="I135">
        <v>23</v>
      </c>
      <c r="J135">
        <v>5</v>
      </c>
      <c r="K135">
        <v>20</v>
      </c>
      <c r="L135">
        <v>1</v>
      </c>
      <c r="M135">
        <v>15</v>
      </c>
      <c r="N135">
        <v>4189.4016324136674</v>
      </c>
      <c r="O135">
        <v>2</v>
      </c>
      <c r="P135">
        <v>0</v>
      </c>
      <c r="Q135">
        <v>1</v>
      </c>
      <c r="R135">
        <v>3</v>
      </c>
      <c r="S135">
        <v>2</v>
      </c>
      <c r="T135">
        <v>517</v>
      </c>
      <c r="U135">
        <v>1</v>
      </c>
    </row>
    <row r="136" spans="1:21" x14ac:dyDescent="0.45">
      <c r="A136" s="4">
        <v>201</v>
      </c>
      <c r="B136" s="4">
        <v>0</v>
      </c>
      <c r="C136" s="4">
        <v>0</v>
      </c>
      <c r="D136">
        <v>2</v>
      </c>
      <c r="E136">
        <v>1</v>
      </c>
      <c r="F136">
        <v>0</v>
      </c>
      <c r="G136">
        <v>10</v>
      </c>
      <c r="H136">
        <v>9</v>
      </c>
      <c r="I136">
        <v>23</v>
      </c>
      <c r="J136">
        <v>5</v>
      </c>
      <c r="K136">
        <v>9</v>
      </c>
      <c r="L136">
        <v>1</v>
      </c>
      <c r="M136">
        <v>16</v>
      </c>
      <c r="N136">
        <v>3977.7038592948979</v>
      </c>
      <c r="O136">
        <v>3</v>
      </c>
      <c r="P136">
        <v>1</v>
      </c>
      <c r="Q136">
        <v>0</v>
      </c>
      <c r="R136">
        <v>3</v>
      </c>
      <c r="S136">
        <v>2</v>
      </c>
      <c r="T136">
        <v>1001</v>
      </c>
      <c r="U136">
        <v>1</v>
      </c>
    </row>
    <row r="137" spans="1:21" x14ac:dyDescent="0.45">
      <c r="A137" s="4">
        <v>202</v>
      </c>
      <c r="B137" s="4">
        <v>0</v>
      </c>
      <c r="C137" s="4">
        <v>0</v>
      </c>
      <c r="D137">
        <v>2</v>
      </c>
      <c r="E137">
        <v>1</v>
      </c>
      <c r="F137">
        <v>0</v>
      </c>
      <c r="G137">
        <v>10</v>
      </c>
      <c r="H137">
        <v>9</v>
      </c>
      <c r="I137">
        <v>23</v>
      </c>
      <c r="J137">
        <v>5</v>
      </c>
      <c r="K137">
        <v>9</v>
      </c>
      <c r="L137">
        <v>1</v>
      </c>
      <c r="M137">
        <v>16</v>
      </c>
      <c r="N137">
        <v>3977.7038592948979</v>
      </c>
      <c r="O137">
        <v>3</v>
      </c>
      <c r="P137">
        <v>1</v>
      </c>
      <c r="Q137">
        <v>0</v>
      </c>
      <c r="R137">
        <v>3</v>
      </c>
      <c r="S137">
        <v>2</v>
      </c>
      <c r="T137">
        <v>1000</v>
      </c>
      <c r="U137">
        <v>1</v>
      </c>
    </row>
    <row r="138" spans="1:21" x14ac:dyDescent="0.45">
      <c r="A138" s="4">
        <v>204</v>
      </c>
      <c r="B138" s="4">
        <v>0</v>
      </c>
      <c r="C138" s="4">
        <v>0</v>
      </c>
      <c r="D138">
        <v>1</v>
      </c>
      <c r="E138">
        <v>8</v>
      </c>
      <c r="F138">
        <v>0</v>
      </c>
      <c r="G138">
        <v>9</v>
      </c>
      <c r="H138">
        <v>8</v>
      </c>
      <c r="I138">
        <v>31</v>
      </c>
      <c r="J138">
        <v>6</v>
      </c>
      <c r="K138">
        <v>8</v>
      </c>
      <c r="L138">
        <v>2</v>
      </c>
      <c r="M138">
        <v>18</v>
      </c>
      <c r="N138">
        <v>2682.1240767595068</v>
      </c>
      <c r="O138">
        <v>1</v>
      </c>
      <c r="P138">
        <v>0</v>
      </c>
      <c r="Q138">
        <v>1</v>
      </c>
      <c r="R138">
        <v>3</v>
      </c>
      <c r="S138">
        <v>2</v>
      </c>
      <c r="T138">
        <v>647</v>
      </c>
      <c r="U138">
        <v>1</v>
      </c>
    </row>
    <row r="139" spans="1:21" x14ac:dyDescent="0.45">
      <c r="A139" s="4">
        <v>205</v>
      </c>
      <c r="B139" s="4">
        <v>0</v>
      </c>
      <c r="C139" s="4">
        <v>0</v>
      </c>
      <c r="D139">
        <v>2</v>
      </c>
      <c r="E139">
        <v>10</v>
      </c>
      <c r="F139">
        <v>0</v>
      </c>
      <c r="G139">
        <v>8</v>
      </c>
      <c r="H139">
        <v>10</v>
      </c>
      <c r="I139">
        <v>33</v>
      </c>
      <c r="J139">
        <v>7</v>
      </c>
      <c r="K139">
        <v>5</v>
      </c>
      <c r="L139">
        <v>2</v>
      </c>
      <c r="M139">
        <v>22</v>
      </c>
      <c r="N139">
        <v>2776.2171558533491</v>
      </c>
      <c r="O139">
        <v>2</v>
      </c>
      <c r="P139">
        <v>0</v>
      </c>
      <c r="Q139">
        <v>1</v>
      </c>
      <c r="R139">
        <v>3</v>
      </c>
      <c r="S139">
        <v>2</v>
      </c>
      <c r="T139">
        <v>1328</v>
      </c>
      <c r="U139">
        <v>4</v>
      </c>
    </row>
    <row r="140" spans="1:21" x14ac:dyDescent="0.45">
      <c r="A140" s="4">
        <v>207</v>
      </c>
      <c r="B140" s="4">
        <v>0</v>
      </c>
      <c r="C140" s="4">
        <v>1</v>
      </c>
      <c r="D140">
        <v>2</v>
      </c>
      <c r="E140">
        <v>7</v>
      </c>
      <c r="F140">
        <v>1</v>
      </c>
      <c r="G140">
        <v>15</v>
      </c>
      <c r="H140">
        <v>20</v>
      </c>
      <c r="I140">
        <v>59</v>
      </c>
      <c r="J140">
        <v>2</v>
      </c>
      <c r="K140">
        <v>1</v>
      </c>
      <c r="L140">
        <v>1</v>
      </c>
      <c r="M140">
        <v>10</v>
      </c>
      <c r="N140">
        <v>3910.6485953253759</v>
      </c>
      <c r="O140">
        <v>3</v>
      </c>
      <c r="P140">
        <v>0</v>
      </c>
      <c r="Q140">
        <v>1</v>
      </c>
      <c r="R140">
        <v>3</v>
      </c>
      <c r="S140">
        <v>2</v>
      </c>
      <c r="T140">
        <v>287</v>
      </c>
      <c r="U140">
        <v>1</v>
      </c>
    </row>
    <row r="141" spans="1:21" x14ac:dyDescent="0.45">
      <c r="A141" s="4">
        <v>208</v>
      </c>
      <c r="B141" s="4">
        <v>0</v>
      </c>
      <c r="C141" s="4">
        <v>0</v>
      </c>
      <c r="D141">
        <v>0</v>
      </c>
      <c r="E141">
        <v>1</v>
      </c>
      <c r="F141">
        <v>0</v>
      </c>
      <c r="G141">
        <v>2</v>
      </c>
      <c r="H141">
        <v>1</v>
      </c>
      <c r="I141">
        <v>9</v>
      </c>
      <c r="J141">
        <v>0</v>
      </c>
      <c r="K141">
        <v>5</v>
      </c>
      <c r="L141">
        <v>0</v>
      </c>
      <c r="M141">
        <v>2</v>
      </c>
      <c r="N141">
        <v>4654.3992704558123</v>
      </c>
      <c r="O141">
        <v>2</v>
      </c>
      <c r="P141">
        <v>0</v>
      </c>
      <c r="Q141">
        <v>1</v>
      </c>
      <c r="R141">
        <v>3</v>
      </c>
      <c r="S141">
        <v>3</v>
      </c>
      <c r="T141">
        <v>536</v>
      </c>
      <c r="U141">
        <v>1</v>
      </c>
    </row>
    <row r="142" spans="1:21" x14ac:dyDescent="0.45">
      <c r="A142" s="4">
        <v>209</v>
      </c>
      <c r="B142" s="4">
        <v>0</v>
      </c>
      <c r="C142" s="4">
        <v>0</v>
      </c>
      <c r="D142">
        <v>0</v>
      </c>
      <c r="E142">
        <v>8</v>
      </c>
      <c r="F142">
        <v>0</v>
      </c>
      <c r="G142">
        <v>23</v>
      </c>
      <c r="H142">
        <v>20</v>
      </c>
      <c r="I142">
        <v>52</v>
      </c>
      <c r="J142">
        <v>1</v>
      </c>
      <c r="K142">
        <v>4</v>
      </c>
      <c r="L142">
        <v>1</v>
      </c>
      <c r="M142">
        <v>3</v>
      </c>
      <c r="N142">
        <v>4352.0440640006645</v>
      </c>
      <c r="O142">
        <v>1</v>
      </c>
      <c r="P142">
        <v>1</v>
      </c>
      <c r="Q142">
        <v>0</v>
      </c>
      <c r="R142">
        <v>3</v>
      </c>
      <c r="S142">
        <v>1</v>
      </c>
      <c r="T142">
        <v>3435</v>
      </c>
      <c r="U142">
        <v>2</v>
      </c>
    </row>
    <row r="143" spans="1:21" x14ac:dyDescent="0.45">
      <c r="A143" s="4">
        <v>210</v>
      </c>
      <c r="B143" s="4">
        <v>0</v>
      </c>
      <c r="C143" s="4">
        <v>0</v>
      </c>
      <c r="D143">
        <v>0</v>
      </c>
      <c r="E143">
        <v>2</v>
      </c>
      <c r="F143">
        <v>2</v>
      </c>
      <c r="G143">
        <v>10</v>
      </c>
      <c r="H143">
        <v>4</v>
      </c>
      <c r="I143">
        <v>65</v>
      </c>
      <c r="J143">
        <v>15</v>
      </c>
      <c r="K143">
        <v>11</v>
      </c>
      <c r="L143">
        <v>4</v>
      </c>
      <c r="M143">
        <v>11</v>
      </c>
      <c r="N143">
        <v>2239.07946534549</v>
      </c>
      <c r="O143">
        <v>4</v>
      </c>
      <c r="P143">
        <v>1</v>
      </c>
      <c r="Q143">
        <v>1</v>
      </c>
      <c r="R143">
        <v>3</v>
      </c>
      <c r="S143">
        <v>5</v>
      </c>
      <c r="T143">
        <v>5364</v>
      </c>
      <c r="U143">
        <v>3</v>
      </c>
    </row>
    <row r="144" spans="1:21" x14ac:dyDescent="0.45">
      <c r="A144" s="4">
        <v>211</v>
      </c>
      <c r="B144" s="4">
        <v>0</v>
      </c>
      <c r="C144" s="4">
        <v>0</v>
      </c>
      <c r="D144">
        <v>0</v>
      </c>
      <c r="E144">
        <v>2</v>
      </c>
      <c r="F144">
        <v>2</v>
      </c>
      <c r="G144">
        <v>10</v>
      </c>
      <c r="H144">
        <v>4</v>
      </c>
      <c r="I144">
        <v>65</v>
      </c>
      <c r="J144">
        <v>15</v>
      </c>
      <c r="K144">
        <v>11</v>
      </c>
      <c r="L144">
        <v>4</v>
      </c>
      <c r="M144">
        <v>11</v>
      </c>
      <c r="N144">
        <v>2103.9513387182519</v>
      </c>
      <c r="O144">
        <v>4</v>
      </c>
      <c r="P144">
        <v>1</v>
      </c>
      <c r="Q144">
        <v>1</v>
      </c>
      <c r="R144">
        <v>3</v>
      </c>
      <c r="S144">
        <v>3</v>
      </c>
      <c r="T144">
        <v>1554</v>
      </c>
      <c r="U144">
        <v>1</v>
      </c>
    </row>
    <row r="145" spans="1:21" x14ac:dyDescent="0.45">
      <c r="A145" s="4">
        <v>213</v>
      </c>
      <c r="B145" s="4">
        <v>0</v>
      </c>
      <c r="C145" s="4">
        <v>0</v>
      </c>
      <c r="D145">
        <v>5</v>
      </c>
      <c r="E145">
        <v>6</v>
      </c>
      <c r="F145">
        <v>2</v>
      </c>
      <c r="G145">
        <v>15</v>
      </c>
      <c r="H145">
        <v>12</v>
      </c>
      <c r="I145">
        <v>50</v>
      </c>
      <c r="J145">
        <v>23</v>
      </c>
      <c r="K145">
        <v>3</v>
      </c>
      <c r="L145">
        <v>4</v>
      </c>
      <c r="M145">
        <v>9</v>
      </c>
      <c r="N145">
        <v>2245.1650034525692</v>
      </c>
      <c r="O145">
        <v>3</v>
      </c>
      <c r="P145">
        <v>0</v>
      </c>
      <c r="Q145">
        <v>1</v>
      </c>
      <c r="R145">
        <v>4</v>
      </c>
      <c r="S145">
        <v>2</v>
      </c>
      <c r="T145">
        <v>2748</v>
      </c>
      <c r="U145">
        <v>4</v>
      </c>
    </row>
    <row r="146" spans="1:21" x14ac:dyDescent="0.45">
      <c r="A146" s="4">
        <v>214</v>
      </c>
      <c r="B146" s="4">
        <v>0</v>
      </c>
      <c r="C146" s="4">
        <v>0</v>
      </c>
      <c r="D146">
        <v>4</v>
      </c>
      <c r="E146">
        <v>5</v>
      </c>
      <c r="F146">
        <v>2</v>
      </c>
      <c r="G146">
        <v>15</v>
      </c>
      <c r="H146">
        <v>13</v>
      </c>
      <c r="I146">
        <v>51</v>
      </c>
      <c r="J146">
        <v>21</v>
      </c>
      <c r="K146">
        <v>4</v>
      </c>
      <c r="L146">
        <v>2</v>
      </c>
      <c r="M146">
        <v>10</v>
      </c>
      <c r="N146">
        <v>2112.5020003181321</v>
      </c>
      <c r="O146">
        <v>3</v>
      </c>
      <c r="P146">
        <v>0</v>
      </c>
      <c r="Q146">
        <v>1</v>
      </c>
      <c r="R146">
        <v>4</v>
      </c>
      <c r="S146">
        <v>2</v>
      </c>
      <c r="T146">
        <v>2078</v>
      </c>
      <c r="U146">
        <v>4</v>
      </c>
    </row>
    <row r="147" spans="1:21" x14ac:dyDescent="0.45">
      <c r="A147" s="4">
        <v>215</v>
      </c>
      <c r="B147" s="4">
        <v>0</v>
      </c>
      <c r="C147" s="4">
        <v>0</v>
      </c>
      <c r="D147">
        <v>4</v>
      </c>
      <c r="E147">
        <v>4</v>
      </c>
      <c r="F147">
        <v>3</v>
      </c>
      <c r="G147">
        <v>12</v>
      </c>
      <c r="H147">
        <v>12</v>
      </c>
      <c r="I147">
        <v>39</v>
      </c>
      <c r="J147">
        <v>15</v>
      </c>
      <c r="K147">
        <v>3</v>
      </c>
      <c r="L147">
        <v>8</v>
      </c>
      <c r="M147">
        <v>20</v>
      </c>
      <c r="N147">
        <v>2426.3812844463432</v>
      </c>
      <c r="O147">
        <v>4</v>
      </c>
      <c r="P147">
        <v>1</v>
      </c>
      <c r="Q147">
        <v>1</v>
      </c>
      <c r="R147">
        <v>3</v>
      </c>
      <c r="S147">
        <v>2</v>
      </c>
      <c r="T147">
        <v>1101</v>
      </c>
      <c r="U147">
        <v>1</v>
      </c>
    </row>
    <row r="148" spans="1:21" x14ac:dyDescent="0.45">
      <c r="A148" s="4">
        <v>216</v>
      </c>
      <c r="B148" s="4">
        <v>1</v>
      </c>
      <c r="C148" s="4">
        <v>0</v>
      </c>
      <c r="D148">
        <v>3</v>
      </c>
      <c r="E148">
        <v>2</v>
      </c>
      <c r="F148">
        <v>0</v>
      </c>
      <c r="G148">
        <v>10</v>
      </c>
      <c r="H148">
        <v>10</v>
      </c>
      <c r="I148">
        <v>19</v>
      </c>
      <c r="J148">
        <v>7</v>
      </c>
      <c r="K148">
        <v>4</v>
      </c>
      <c r="L148">
        <v>2</v>
      </c>
      <c r="M148">
        <v>4</v>
      </c>
      <c r="N148">
        <v>2988.8052901891479</v>
      </c>
      <c r="O148">
        <v>1</v>
      </c>
      <c r="P148">
        <v>0</v>
      </c>
      <c r="Q148">
        <v>1</v>
      </c>
      <c r="R148">
        <v>4</v>
      </c>
      <c r="S148">
        <v>1</v>
      </c>
      <c r="T148">
        <v>464</v>
      </c>
      <c r="U148">
        <v>1</v>
      </c>
    </row>
    <row r="149" spans="1:21" x14ac:dyDescent="0.45">
      <c r="A149" s="4">
        <v>217</v>
      </c>
      <c r="B149" s="4">
        <v>0</v>
      </c>
      <c r="C149" s="4">
        <v>0</v>
      </c>
      <c r="D149">
        <v>9</v>
      </c>
      <c r="E149">
        <v>6</v>
      </c>
      <c r="F149">
        <v>1</v>
      </c>
      <c r="G149">
        <v>16</v>
      </c>
      <c r="H149">
        <v>12</v>
      </c>
      <c r="I149">
        <v>27</v>
      </c>
      <c r="J149">
        <v>6</v>
      </c>
      <c r="K149">
        <v>2</v>
      </c>
      <c r="L149">
        <v>1</v>
      </c>
      <c r="M149">
        <v>9</v>
      </c>
      <c r="N149">
        <v>3326.770948695133</v>
      </c>
      <c r="O149">
        <v>2</v>
      </c>
      <c r="P149">
        <v>0</v>
      </c>
      <c r="Q149">
        <v>1</v>
      </c>
      <c r="R149">
        <v>4</v>
      </c>
      <c r="S149">
        <v>4</v>
      </c>
      <c r="T149">
        <v>482</v>
      </c>
      <c r="U149">
        <v>1</v>
      </c>
    </row>
    <row r="150" spans="1:21" x14ac:dyDescent="0.45">
      <c r="A150" s="4">
        <v>218</v>
      </c>
      <c r="B150" s="4">
        <v>0</v>
      </c>
      <c r="C150" s="4">
        <v>1</v>
      </c>
      <c r="D150">
        <v>2</v>
      </c>
      <c r="E150">
        <v>2</v>
      </c>
      <c r="F150">
        <v>3</v>
      </c>
      <c r="G150">
        <v>9</v>
      </c>
      <c r="H150">
        <v>4</v>
      </c>
      <c r="I150">
        <v>14</v>
      </c>
      <c r="J150">
        <v>2</v>
      </c>
      <c r="K150">
        <v>9</v>
      </c>
      <c r="L150">
        <v>1</v>
      </c>
      <c r="M150">
        <v>13</v>
      </c>
      <c r="N150">
        <v>3556.431649378264</v>
      </c>
      <c r="O150">
        <v>4</v>
      </c>
      <c r="P150">
        <v>0</v>
      </c>
      <c r="Q150">
        <v>1</v>
      </c>
      <c r="R150">
        <v>3</v>
      </c>
      <c r="S150">
        <v>5</v>
      </c>
      <c r="T150">
        <v>1223</v>
      </c>
      <c r="U150">
        <v>1</v>
      </c>
    </row>
    <row r="151" spans="1:21" x14ac:dyDescent="0.45">
      <c r="A151" s="4">
        <v>219</v>
      </c>
      <c r="B151" s="4">
        <v>0</v>
      </c>
      <c r="C151" s="4">
        <v>0</v>
      </c>
      <c r="D151">
        <v>2</v>
      </c>
      <c r="E151">
        <v>0</v>
      </c>
      <c r="F151">
        <v>1</v>
      </c>
      <c r="G151">
        <v>6</v>
      </c>
      <c r="H151">
        <v>2</v>
      </c>
      <c r="I151">
        <v>6</v>
      </c>
      <c r="J151">
        <v>2</v>
      </c>
      <c r="K151">
        <v>7</v>
      </c>
      <c r="L151">
        <v>0</v>
      </c>
      <c r="M151">
        <v>5</v>
      </c>
      <c r="N151">
        <v>3844.8394377719769</v>
      </c>
      <c r="O151">
        <v>4</v>
      </c>
      <c r="P151">
        <v>1</v>
      </c>
      <c r="Q151">
        <v>1</v>
      </c>
      <c r="R151">
        <v>3</v>
      </c>
      <c r="S151">
        <v>3</v>
      </c>
      <c r="T151">
        <v>2200</v>
      </c>
      <c r="U151">
        <v>4</v>
      </c>
    </row>
    <row r="152" spans="1:21" x14ac:dyDescent="0.45">
      <c r="A152" s="4">
        <v>220</v>
      </c>
      <c r="B152" s="4">
        <v>0</v>
      </c>
      <c r="C152" s="4">
        <v>0</v>
      </c>
      <c r="D152">
        <v>3</v>
      </c>
      <c r="E152">
        <v>2</v>
      </c>
      <c r="F152">
        <v>1</v>
      </c>
      <c r="G152">
        <v>6</v>
      </c>
      <c r="H152">
        <v>7</v>
      </c>
      <c r="I152">
        <v>13</v>
      </c>
      <c r="J152">
        <v>5</v>
      </c>
      <c r="K152">
        <v>10</v>
      </c>
      <c r="L152">
        <v>1</v>
      </c>
      <c r="M152">
        <v>17</v>
      </c>
      <c r="N152">
        <v>4080.9910068354138</v>
      </c>
      <c r="O152">
        <v>1</v>
      </c>
      <c r="P152">
        <v>1</v>
      </c>
      <c r="Q152">
        <v>0</v>
      </c>
      <c r="R152">
        <v>3</v>
      </c>
      <c r="S152">
        <v>3</v>
      </c>
      <c r="T152">
        <v>4354</v>
      </c>
      <c r="U152">
        <v>1</v>
      </c>
    </row>
    <row r="153" spans="1:21" x14ac:dyDescent="0.45">
      <c r="A153" s="4">
        <v>221</v>
      </c>
      <c r="B153" s="4">
        <v>0</v>
      </c>
      <c r="C153" s="4">
        <v>0</v>
      </c>
      <c r="D153">
        <v>2</v>
      </c>
      <c r="E153">
        <v>2</v>
      </c>
      <c r="F153">
        <v>1</v>
      </c>
      <c r="G153">
        <v>11</v>
      </c>
      <c r="H153">
        <v>9</v>
      </c>
      <c r="I153">
        <v>20</v>
      </c>
      <c r="J153">
        <v>5</v>
      </c>
      <c r="K153">
        <v>13</v>
      </c>
      <c r="L153">
        <v>2</v>
      </c>
      <c r="M153">
        <v>15</v>
      </c>
      <c r="N153">
        <v>4149.9196729232763</v>
      </c>
      <c r="O153">
        <v>2</v>
      </c>
      <c r="P153">
        <v>0</v>
      </c>
      <c r="Q153">
        <v>1</v>
      </c>
      <c r="R153">
        <v>3</v>
      </c>
      <c r="S153">
        <v>3</v>
      </c>
      <c r="T153">
        <v>1349</v>
      </c>
      <c r="U153">
        <v>3</v>
      </c>
    </row>
    <row r="154" spans="1:21" x14ac:dyDescent="0.45">
      <c r="A154" s="4">
        <v>222</v>
      </c>
      <c r="B154" s="4">
        <v>0</v>
      </c>
      <c r="C154" s="4">
        <v>0</v>
      </c>
      <c r="D154">
        <v>3</v>
      </c>
      <c r="E154">
        <v>2</v>
      </c>
      <c r="F154">
        <v>1</v>
      </c>
      <c r="G154">
        <v>6</v>
      </c>
      <c r="H154">
        <v>6</v>
      </c>
      <c r="I154">
        <v>7</v>
      </c>
      <c r="J154">
        <v>4</v>
      </c>
      <c r="K154">
        <v>6</v>
      </c>
      <c r="L154">
        <v>0</v>
      </c>
      <c r="M154">
        <v>3</v>
      </c>
      <c r="N154">
        <v>3939.6658678650542</v>
      </c>
      <c r="O154">
        <v>3</v>
      </c>
      <c r="P154">
        <v>0</v>
      </c>
      <c r="Q154">
        <v>1</v>
      </c>
      <c r="R154">
        <v>4</v>
      </c>
      <c r="S154">
        <v>6</v>
      </c>
      <c r="T154">
        <v>3330</v>
      </c>
      <c r="U154">
        <v>4</v>
      </c>
    </row>
    <row r="155" spans="1:21" x14ac:dyDescent="0.45">
      <c r="A155" s="4">
        <v>223</v>
      </c>
      <c r="B155" s="4">
        <v>0</v>
      </c>
      <c r="C155" s="4">
        <v>0</v>
      </c>
      <c r="D155">
        <v>0</v>
      </c>
      <c r="E155">
        <v>2</v>
      </c>
      <c r="F155">
        <v>0</v>
      </c>
      <c r="G155">
        <v>9</v>
      </c>
      <c r="H155">
        <v>5</v>
      </c>
      <c r="I155">
        <v>14</v>
      </c>
      <c r="J155">
        <v>0</v>
      </c>
      <c r="K155">
        <v>9</v>
      </c>
      <c r="L155">
        <v>0</v>
      </c>
      <c r="M155">
        <v>2</v>
      </c>
      <c r="N155">
        <v>5262.0949500114384</v>
      </c>
      <c r="O155">
        <v>3</v>
      </c>
      <c r="P155">
        <v>0</v>
      </c>
      <c r="Q155">
        <v>1</v>
      </c>
      <c r="R155">
        <v>3</v>
      </c>
      <c r="S155">
        <v>5</v>
      </c>
      <c r="T155">
        <v>616</v>
      </c>
      <c r="U155">
        <v>3</v>
      </c>
    </row>
    <row r="156" spans="1:21" x14ac:dyDescent="0.45">
      <c r="A156" s="4">
        <v>224</v>
      </c>
      <c r="B156" s="4">
        <v>0</v>
      </c>
      <c r="C156" s="4">
        <v>0</v>
      </c>
      <c r="D156">
        <v>1</v>
      </c>
      <c r="E156">
        <v>3</v>
      </c>
      <c r="F156">
        <v>0</v>
      </c>
      <c r="G156">
        <v>7</v>
      </c>
      <c r="H156">
        <v>4</v>
      </c>
      <c r="I156">
        <v>4</v>
      </c>
      <c r="J156">
        <v>0</v>
      </c>
      <c r="K156">
        <v>0</v>
      </c>
      <c r="L156">
        <v>0</v>
      </c>
      <c r="M156">
        <v>13</v>
      </c>
      <c r="N156">
        <v>5574.079267675078</v>
      </c>
      <c r="O156">
        <v>2</v>
      </c>
      <c r="P156">
        <v>1</v>
      </c>
      <c r="Q156">
        <v>1</v>
      </c>
      <c r="R156">
        <v>4</v>
      </c>
      <c r="S156">
        <v>2</v>
      </c>
      <c r="T156">
        <v>421</v>
      </c>
      <c r="U156">
        <v>1</v>
      </c>
    </row>
    <row r="157" spans="1:21" x14ac:dyDescent="0.45">
      <c r="A157" s="4">
        <v>225</v>
      </c>
      <c r="B157" s="4">
        <v>0</v>
      </c>
      <c r="C157" s="4">
        <v>0</v>
      </c>
      <c r="D157">
        <v>0</v>
      </c>
      <c r="E157">
        <v>1</v>
      </c>
      <c r="F157">
        <v>0</v>
      </c>
      <c r="G157">
        <v>2</v>
      </c>
      <c r="H157">
        <v>4</v>
      </c>
      <c r="I157">
        <v>11</v>
      </c>
      <c r="J157">
        <v>2</v>
      </c>
      <c r="K157">
        <v>1</v>
      </c>
      <c r="L157">
        <v>0</v>
      </c>
      <c r="M157">
        <v>14</v>
      </c>
      <c r="N157">
        <v>7262.5020560122848</v>
      </c>
      <c r="O157">
        <v>3</v>
      </c>
      <c r="P157">
        <v>1</v>
      </c>
      <c r="Q157">
        <v>1</v>
      </c>
      <c r="R157">
        <v>2</v>
      </c>
      <c r="S157">
        <v>6</v>
      </c>
      <c r="T157">
        <v>164</v>
      </c>
      <c r="U157">
        <v>1</v>
      </c>
    </row>
    <row r="158" spans="1:21" x14ac:dyDescent="0.45">
      <c r="A158" s="4">
        <v>226</v>
      </c>
      <c r="B158" s="4">
        <v>0</v>
      </c>
      <c r="C158" s="4">
        <v>0</v>
      </c>
      <c r="D158">
        <v>4</v>
      </c>
      <c r="E158">
        <v>2</v>
      </c>
      <c r="F158">
        <v>0</v>
      </c>
      <c r="G158">
        <v>4</v>
      </c>
      <c r="H158">
        <v>6</v>
      </c>
      <c r="I158">
        <v>3</v>
      </c>
      <c r="J158">
        <v>1</v>
      </c>
      <c r="K158">
        <v>3</v>
      </c>
      <c r="L158">
        <v>0</v>
      </c>
      <c r="M158">
        <v>19</v>
      </c>
      <c r="N158">
        <v>7499.7865204561786</v>
      </c>
      <c r="O158">
        <v>2</v>
      </c>
      <c r="P158">
        <v>1</v>
      </c>
      <c r="Q158">
        <v>1</v>
      </c>
      <c r="R158">
        <v>3</v>
      </c>
      <c r="S158">
        <v>2</v>
      </c>
      <c r="T158">
        <v>381</v>
      </c>
      <c r="U158">
        <v>3</v>
      </c>
    </row>
    <row r="159" spans="1:21" x14ac:dyDescent="0.45">
      <c r="A159" s="4">
        <v>227</v>
      </c>
      <c r="B159" s="4">
        <v>1</v>
      </c>
      <c r="C159" s="4">
        <v>0</v>
      </c>
      <c r="D159">
        <v>1</v>
      </c>
      <c r="E159">
        <v>1</v>
      </c>
      <c r="F159">
        <v>1</v>
      </c>
      <c r="G159">
        <v>2</v>
      </c>
      <c r="H159">
        <v>5</v>
      </c>
      <c r="I159">
        <v>7</v>
      </c>
      <c r="J159">
        <v>3</v>
      </c>
      <c r="K159">
        <v>1</v>
      </c>
      <c r="L159">
        <v>0</v>
      </c>
      <c r="M159">
        <v>8</v>
      </c>
      <c r="N159">
        <v>7415.4061558778103</v>
      </c>
      <c r="O159">
        <v>4</v>
      </c>
      <c r="P159">
        <v>0</v>
      </c>
      <c r="Q159">
        <v>1</v>
      </c>
      <c r="R159">
        <v>4</v>
      </c>
      <c r="S159">
        <v>2</v>
      </c>
      <c r="T159">
        <v>980</v>
      </c>
      <c r="U159">
        <v>2</v>
      </c>
    </row>
    <row r="160" spans="1:21" x14ac:dyDescent="0.45">
      <c r="A160" s="4">
        <v>230</v>
      </c>
      <c r="B160" s="4">
        <v>0</v>
      </c>
      <c r="C160" s="4">
        <v>0</v>
      </c>
      <c r="D160">
        <v>2</v>
      </c>
      <c r="E160">
        <v>3</v>
      </c>
      <c r="F160">
        <v>0</v>
      </c>
      <c r="G160">
        <v>2</v>
      </c>
      <c r="H160">
        <v>4</v>
      </c>
      <c r="I160">
        <v>3</v>
      </c>
      <c r="J160">
        <v>0</v>
      </c>
      <c r="K160">
        <v>4</v>
      </c>
      <c r="L160">
        <v>1</v>
      </c>
      <c r="M160">
        <v>14</v>
      </c>
      <c r="N160">
        <v>8576.3140189110381</v>
      </c>
      <c r="O160">
        <v>2</v>
      </c>
      <c r="P160">
        <v>0</v>
      </c>
      <c r="Q160">
        <v>1</v>
      </c>
      <c r="R160">
        <v>2</v>
      </c>
      <c r="S160">
        <v>2</v>
      </c>
      <c r="T160">
        <v>774</v>
      </c>
      <c r="U160">
        <v>2</v>
      </c>
    </row>
    <row r="161" spans="1:21" x14ac:dyDescent="0.45">
      <c r="A161" s="4">
        <v>231</v>
      </c>
      <c r="B161" s="4">
        <v>1</v>
      </c>
      <c r="C161" s="4">
        <v>0</v>
      </c>
      <c r="D161">
        <v>1</v>
      </c>
      <c r="E161">
        <v>2</v>
      </c>
      <c r="F161">
        <v>0</v>
      </c>
      <c r="G161">
        <v>4</v>
      </c>
      <c r="H161">
        <v>6</v>
      </c>
      <c r="I161">
        <v>4</v>
      </c>
      <c r="J161">
        <v>0</v>
      </c>
      <c r="K161">
        <v>1</v>
      </c>
      <c r="L161">
        <v>2</v>
      </c>
      <c r="M161">
        <v>4</v>
      </c>
      <c r="N161">
        <v>8545.3482438705614</v>
      </c>
      <c r="O161">
        <v>4</v>
      </c>
      <c r="P161">
        <v>0</v>
      </c>
      <c r="Q161">
        <v>1</v>
      </c>
      <c r="R161">
        <v>4</v>
      </c>
      <c r="S161">
        <v>3</v>
      </c>
      <c r="T161">
        <v>614</v>
      </c>
      <c r="U161">
        <v>2</v>
      </c>
    </row>
    <row r="162" spans="1:21" x14ac:dyDescent="0.45">
      <c r="A162" s="4">
        <v>234</v>
      </c>
      <c r="B162" s="4">
        <v>0</v>
      </c>
      <c r="C162" s="4">
        <v>0</v>
      </c>
      <c r="D162">
        <v>0</v>
      </c>
      <c r="E162">
        <v>3</v>
      </c>
      <c r="F162">
        <v>0</v>
      </c>
      <c r="G162">
        <v>10</v>
      </c>
      <c r="H162">
        <v>16</v>
      </c>
      <c r="I162">
        <v>4</v>
      </c>
      <c r="J162">
        <v>0</v>
      </c>
      <c r="K162">
        <v>1</v>
      </c>
      <c r="L162">
        <v>1</v>
      </c>
      <c r="M162">
        <v>7</v>
      </c>
      <c r="N162">
        <v>10720.216427608681</v>
      </c>
      <c r="O162">
        <v>3</v>
      </c>
      <c r="P162">
        <v>0</v>
      </c>
      <c r="Q162">
        <v>0</v>
      </c>
      <c r="R162">
        <v>2</v>
      </c>
      <c r="S162">
        <v>1</v>
      </c>
      <c r="T162">
        <v>2945</v>
      </c>
      <c r="U162">
        <v>3</v>
      </c>
    </row>
    <row r="163" spans="1:21" x14ac:dyDescent="0.45">
      <c r="A163" s="4">
        <v>237</v>
      </c>
      <c r="B163" s="4">
        <v>0</v>
      </c>
      <c r="C163" s="4">
        <v>0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2</v>
      </c>
      <c r="J163">
        <v>1</v>
      </c>
      <c r="K163">
        <v>0</v>
      </c>
      <c r="L163">
        <v>0</v>
      </c>
      <c r="M163">
        <v>2</v>
      </c>
      <c r="N163">
        <v>13210.55837219549</v>
      </c>
      <c r="O163">
        <v>3</v>
      </c>
      <c r="P163">
        <v>0</v>
      </c>
      <c r="Q163">
        <v>1</v>
      </c>
      <c r="R163">
        <v>4</v>
      </c>
      <c r="S163">
        <v>2</v>
      </c>
      <c r="T163">
        <v>46</v>
      </c>
      <c r="U163">
        <v>1</v>
      </c>
    </row>
    <row r="164" spans="1:21" x14ac:dyDescent="0.45">
      <c r="A164" s="4">
        <v>238</v>
      </c>
      <c r="B164" s="4">
        <v>0</v>
      </c>
      <c r="C164" s="4">
        <v>0</v>
      </c>
      <c r="D164">
        <v>2</v>
      </c>
      <c r="E164">
        <v>2</v>
      </c>
      <c r="F164">
        <v>0</v>
      </c>
      <c r="G164">
        <v>1</v>
      </c>
      <c r="H164">
        <v>1</v>
      </c>
      <c r="I164">
        <v>2</v>
      </c>
      <c r="J164">
        <v>1</v>
      </c>
      <c r="K164">
        <v>0</v>
      </c>
      <c r="L164">
        <v>0</v>
      </c>
      <c r="M164">
        <v>2</v>
      </c>
      <c r="N164">
        <v>13216.242880196451</v>
      </c>
      <c r="O164">
        <v>2</v>
      </c>
      <c r="P164">
        <v>0</v>
      </c>
      <c r="Q164">
        <v>1</v>
      </c>
      <c r="R164">
        <v>4</v>
      </c>
      <c r="S164">
        <v>2</v>
      </c>
      <c r="T164">
        <v>108</v>
      </c>
      <c r="U164">
        <v>1</v>
      </c>
    </row>
    <row r="165" spans="1:21" x14ac:dyDescent="0.45">
      <c r="A165" s="4">
        <v>239</v>
      </c>
      <c r="B165" s="4">
        <v>1</v>
      </c>
      <c r="C165" s="4">
        <v>0</v>
      </c>
      <c r="D165">
        <v>1</v>
      </c>
      <c r="E165">
        <v>2</v>
      </c>
      <c r="F165">
        <v>0</v>
      </c>
      <c r="G165">
        <v>0</v>
      </c>
      <c r="H165">
        <v>2</v>
      </c>
      <c r="I165">
        <v>5</v>
      </c>
      <c r="J165">
        <v>1</v>
      </c>
      <c r="K165">
        <v>1</v>
      </c>
      <c r="L165">
        <v>0</v>
      </c>
      <c r="M165">
        <v>5</v>
      </c>
      <c r="N165">
        <v>15128.43136793934</v>
      </c>
      <c r="O165">
        <v>4</v>
      </c>
      <c r="P165">
        <v>0</v>
      </c>
      <c r="Q165">
        <v>0</v>
      </c>
      <c r="R165">
        <v>1</v>
      </c>
      <c r="S165">
        <v>5</v>
      </c>
      <c r="T165">
        <v>6124</v>
      </c>
      <c r="U165">
        <v>1</v>
      </c>
    </row>
    <row r="166" spans="1:21" x14ac:dyDescent="0.45">
      <c r="A166" s="4">
        <v>240</v>
      </c>
      <c r="B166" s="4">
        <v>1</v>
      </c>
      <c r="C166" s="4">
        <v>0</v>
      </c>
      <c r="D166">
        <v>0</v>
      </c>
      <c r="E166">
        <v>2</v>
      </c>
      <c r="F166">
        <v>0</v>
      </c>
      <c r="G166">
        <v>2</v>
      </c>
      <c r="H166">
        <v>2</v>
      </c>
      <c r="I166">
        <v>3</v>
      </c>
      <c r="J166">
        <v>0</v>
      </c>
      <c r="K166">
        <v>0</v>
      </c>
      <c r="L166">
        <v>0</v>
      </c>
      <c r="M166">
        <v>3</v>
      </c>
      <c r="N166">
        <v>17100.391900374401</v>
      </c>
      <c r="O166">
        <v>4</v>
      </c>
      <c r="P166">
        <v>0</v>
      </c>
      <c r="Q166">
        <v>1</v>
      </c>
      <c r="R166">
        <v>2</v>
      </c>
      <c r="S166">
        <v>1</v>
      </c>
      <c r="T166">
        <v>679</v>
      </c>
      <c r="U166">
        <v>3</v>
      </c>
    </row>
    <row r="167" spans="1:21" x14ac:dyDescent="0.45">
      <c r="A167" s="4">
        <v>241</v>
      </c>
      <c r="B167" s="4">
        <v>0</v>
      </c>
      <c r="C167" s="4">
        <v>0</v>
      </c>
      <c r="D167">
        <v>1</v>
      </c>
      <c r="E167">
        <v>6</v>
      </c>
      <c r="F167">
        <v>1</v>
      </c>
      <c r="G167">
        <v>18</v>
      </c>
      <c r="H167">
        <v>17</v>
      </c>
      <c r="I167">
        <v>7</v>
      </c>
      <c r="J167">
        <v>0</v>
      </c>
      <c r="K167">
        <v>0</v>
      </c>
      <c r="L167">
        <v>0</v>
      </c>
      <c r="M167">
        <v>4</v>
      </c>
      <c r="N167">
        <v>16653.841946284479</v>
      </c>
      <c r="O167">
        <v>2</v>
      </c>
      <c r="P167">
        <v>0</v>
      </c>
      <c r="Q167">
        <v>1</v>
      </c>
      <c r="R167">
        <v>4</v>
      </c>
      <c r="S167">
        <v>2</v>
      </c>
      <c r="T167">
        <v>120</v>
      </c>
      <c r="U167">
        <v>1</v>
      </c>
    </row>
    <row r="168" spans="1:21" x14ac:dyDescent="0.45">
      <c r="A168" s="4">
        <v>242</v>
      </c>
      <c r="B168" s="4">
        <v>0</v>
      </c>
      <c r="C168" s="4">
        <v>0</v>
      </c>
      <c r="D168">
        <v>1</v>
      </c>
      <c r="E168">
        <v>6</v>
      </c>
      <c r="F168">
        <v>1</v>
      </c>
      <c r="G168">
        <v>18</v>
      </c>
      <c r="H168">
        <v>17</v>
      </c>
      <c r="I168">
        <v>7</v>
      </c>
      <c r="J168">
        <v>0</v>
      </c>
      <c r="K168">
        <v>0</v>
      </c>
      <c r="L168">
        <v>0</v>
      </c>
      <c r="M168">
        <v>4</v>
      </c>
      <c r="N168">
        <v>16715.382703748332</v>
      </c>
      <c r="O168">
        <v>4</v>
      </c>
      <c r="P168">
        <v>0</v>
      </c>
      <c r="Q168">
        <v>1</v>
      </c>
      <c r="R168">
        <v>4</v>
      </c>
      <c r="S168">
        <v>2</v>
      </c>
      <c r="T168">
        <v>216</v>
      </c>
      <c r="U168">
        <v>2</v>
      </c>
    </row>
    <row r="169" spans="1:21" x14ac:dyDescent="0.45">
      <c r="A169" s="4">
        <v>244</v>
      </c>
      <c r="B169" s="4">
        <v>0</v>
      </c>
      <c r="C169" s="4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16850.579910666758</v>
      </c>
      <c r="O169">
        <v>3</v>
      </c>
      <c r="P169">
        <v>0</v>
      </c>
      <c r="Q169">
        <v>0</v>
      </c>
      <c r="R169">
        <v>1</v>
      </c>
      <c r="S169">
        <v>1</v>
      </c>
      <c r="T169">
        <v>852</v>
      </c>
      <c r="U169">
        <v>1</v>
      </c>
    </row>
    <row r="170" spans="1:21" x14ac:dyDescent="0.45">
      <c r="A170" s="4">
        <v>245</v>
      </c>
      <c r="B170" s="4">
        <v>0</v>
      </c>
      <c r="C170" s="4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15931.155922259029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91</v>
      </c>
      <c r="U170">
        <v>1</v>
      </c>
    </row>
    <row r="171" spans="1:21" x14ac:dyDescent="0.45">
      <c r="A171" s="4">
        <v>246</v>
      </c>
      <c r="B171" s="4">
        <v>0</v>
      </c>
      <c r="C171" s="4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18274.655057937522</v>
      </c>
      <c r="O171">
        <v>2</v>
      </c>
      <c r="P171">
        <v>0</v>
      </c>
      <c r="Q171">
        <v>1</v>
      </c>
      <c r="R171">
        <v>4</v>
      </c>
      <c r="S171">
        <v>2</v>
      </c>
      <c r="T171">
        <v>291</v>
      </c>
      <c r="U171">
        <v>1</v>
      </c>
    </row>
    <row r="172" spans="1:21" x14ac:dyDescent="0.45">
      <c r="A172" s="4">
        <v>248</v>
      </c>
      <c r="B172" s="4">
        <v>0</v>
      </c>
      <c r="C172" s="4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16381.10786896679</v>
      </c>
      <c r="O172">
        <v>2</v>
      </c>
      <c r="P172">
        <v>0</v>
      </c>
      <c r="Q172">
        <v>0</v>
      </c>
      <c r="R172">
        <v>2</v>
      </c>
      <c r="S172">
        <v>1</v>
      </c>
      <c r="T172">
        <v>306</v>
      </c>
      <c r="U172">
        <v>3</v>
      </c>
    </row>
    <row r="173" spans="1:21" x14ac:dyDescent="0.45">
      <c r="A173" s="4">
        <v>249</v>
      </c>
      <c r="B173" s="4">
        <v>0</v>
      </c>
      <c r="C173" s="4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18044.876806539149</v>
      </c>
      <c r="O173">
        <v>2</v>
      </c>
      <c r="P173">
        <v>0</v>
      </c>
      <c r="Q173">
        <v>1</v>
      </c>
      <c r="R173">
        <v>4</v>
      </c>
      <c r="S173">
        <v>2</v>
      </c>
      <c r="T173">
        <v>342</v>
      </c>
      <c r="U173">
        <v>2</v>
      </c>
    </row>
    <row r="174" spans="1:21" x14ac:dyDescent="0.45">
      <c r="A174" s="4">
        <v>250</v>
      </c>
      <c r="B174" s="4">
        <v>0</v>
      </c>
      <c r="C174" s="4">
        <v>1</v>
      </c>
      <c r="D174">
        <v>0</v>
      </c>
      <c r="E174">
        <v>1</v>
      </c>
      <c r="F174">
        <v>0</v>
      </c>
      <c r="G174">
        <v>0</v>
      </c>
      <c r="H174">
        <v>4</v>
      </c>
      <c r="I174">
        <v>16</v>
      </c>
      <c r="J174">
        <v>0</v>
      </c>
      <c r="K174">
        <v>4</v>
      </c>
      <c r="L174">
        <v>1</v>
      </c>
      <c r="M174">
        <v>12</v>
      </c>
      <c r="N174">
        <v>6230.2800182789297</v>
      </c>
      <c r="O174">
        <v>4</v>
      </c>
      <c r="P174">
        <v>1</v>
      </c>
      <c r="Q174">
        <v>0</v>
      </c>
      <c r="R174">
        <v>2</v>
      </c>
      <c r="S174">
        <v>2</v>
      </c>
      <c r="T174">
        <v>347</v>
      </c>
      <c r="U174">
        <v>1</v>
      </c>
    </row>
    <row r="175" spans="1:21" x14ac:dyDescent="0.45">
      <c r="A175" s="4">
        <v>253</v>
      </c>
      <c r="B175" s="4">
        <v>0</v>
      </c>
      <c r="C175" s="4">
        <v>0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5</v>
      </c>
      <c r="J175">
        <v>2</v>
      </c>
      <c r="K175">
        <v>4</v>
      </c>
      <c r="L175">
        <v>0</v>
      </c>
      <c r="M175">
        <v>8</v>
      </c>
      <c r="N175">
        <v>9387.5512149925744</v>
      </c>
      <c r="O175">
        <v>2</v>
      </c>
      <c r="P175">
        <v>0</v>
      </c>
      <c r="Q175">
        <v>1</v>
      </c>
      <c r="R175">
        <v>3</v>
      </c>
      <c r="S175">
        <v>2</v>
      </c>
      <c r="T175">
        <v>140</v>
      </c>
      <c r="U175">
        <v>1</v>
      </c>
    </row>
    <row r="176" spans="1:21" x14ac:dyDescent="0.45">
      <c r="A176" s="4">
        <v>255</v>
      </c>
      <c r="B176" s="4">
        <v>0</v>
      </c>
      <c r="C176" s="4">
        <v>0</v>
      </c>
      <c r="D176">
        <v>2</v>
      </c>
      <c r="E176">
        <v>2</v>
      </c>
      <c r="F176">
        <v>2</v>
      </c>
      <c r="G176">
        <v>10</v>
      </c>
      <c r="H176">
        <v>12</v>
      </c>
      <c r="I176">
        <v>18</v>
      </c>
      <c r="J176">
        <v>3</v>
      </c>
      <c r="K176">
        <v>8</v>
      </c>
      <c r="L176">
        <v>0</v>
      </c>
      <c r="M176">
        <v>14</v>
      </c>
      <c r="N176">
        <v>9830.8655758304103</v>
      </c>
      <c r="O176">
        <v>1</v>
      </c>
      <c r="P176">
        <v>0</v>
      </c>
      <c r="Q176">
        <v>1</v>
      </c>
      <c r="R176">
        <v>1</v>
      </c>
      <c r="S176">
        <v>2</v>
      </c>
      <c r="T176">
        <v>270</v>
      </c>
      <c r="U176">
        <v>2</v>
      </c>
    </row>
    <row r="177" spans="1:21" x14ac:dyDescent="0.45">
      <c r="A177" s="4">
        <v>256</v>
      </c>
      <c r="B177" s="4">
        <v>0</v>
      </c>
      <c r="C177" s="4">
        <v>0</v>
      </c>
      <c r="D177">
        <v>2</v>
      </c>
      <c r="E177">
        <v>2</v>
      </c>
      <c r="F177">
        <v>2</v>
      </c>
      <c r="G177">
        <v>10</v>
      </c>
      <c r="H177">
        <v>12</v>
      </c>
      <c r="I177">
        <v>18</v>
      </c>
      <c r="J177">
        <v>3</v>
      </c>
      <c r="K177">
        <v>8</v>
      </c>
      <c r="L177">
        <v>0</v>
      </c>
      <c r="M177">
        <v>14</v>
      </c>
      <c r="N177">
        <v>9957.3028520169592</v>
      </c>
      <c r="O177">
        <v>3</v>
      </c>
      <c r="P177">
        <v>0</v>
      </c>
      <c r="Q177">
        <v>1</v>
      </c>
      <c r="R177">
        <v>4</v>
      </c>
      <c r="S177">
        <v>1</v>
      </c>
      <c r="T177">
        <v>531</v>
      </c>
      <c r="U177">
        <v>1</v>
      </c>
    </row>
    <row r="178" spans="1:21" x14ac:dyDescent="0.45">
      <c r="A178" s="4">
        <v>260</v>
      </c>
      <c r="B178" s="4">
        <v>0</v>
      </c>
      <c r="C178" s="4">
        <v>0</v>
      </c>
      <c r="D178">
        <v>0</v>
      </c>
      <c r="E178">
        <v>1</v>
      </c>
      <c r="F178">
        <v>0</v>
      </c>
      <c r="G178">
        <v>2</v>
      </c>
      <c r="H178">
        <v>1</v>
      </c>
      <c r="I178">
        <v>1</v>
      </c>
      <c r="J178">
        <v>0</v>
      </c>
      <c r="K178">
        <v>2</v>
      </c>
      <c r="L178">
        <v>0</v>
      </c>
      <c r="M178">
        <v>7</v>
      </c>
      <c r="N178">
        <v>10393.04899881645</v>
      </c>
      <c r="O178">
        <v>3</v>
      </c>
      <c r="P178">
        <v>0</v>
      </c>
      <c r="Q178">
        <v>0</v>
      </c>
      <c r="R178">
        <v>4</v>
      </c>
      <c r="S178">
        <v>3</v>
      </c>
      <c r="T178">
        <v>716</v>
      </c>
      <c r="U178">
        <v>3</v>
      </c>
    </row>
    <row r="179" spans="1:21" x14ac:dyDescent="0.45">
      <c r="A179" s="4">
        <v>261</v>
      </c>
      <c r="B179" s="4">
        <v>0</v>
      </c>
      <c r="C179" s="4">
        <v>0</v>
      </c>
      <c r="D179">
        <v>0</v>
      </c>
      <c r="E179">
        <v>1</v>
      </c>
      <c r="F179">
        <v>0</v>
      </c>
      <c r="G179">
        <v>2</v>
      </c>
      <c r="H179">
        <v>1</v>
      </c>
      <c r="I179">
        <v>1</v>
      </c>
      <c r="J179">
        <v>0</v>
      </c>
      <c r="K179">
        <v>2</v>
      </c>
      <c r="L179">
        <v>0</v>
      </c>
      <c r="M179">
        <v>7</v>
      </c>
      <c r="N179">
        <v>10393.04899881645</v>
      </c>
      <c r="O179">
        <v>1</v>
      </c>
      <c r="P179">
        <v>0</v>
      </c>
      <c r="Q179">
        <v>1</v>
      </c>
      <c r="R179">
        <v>4</v>
      </c>
      <c r="S179">
        <v>1</v>
      </c>
      <c r="T179">
        <v>102</v>
      </c>
      <c r="U179">
        <v>1</v>
      </c>
    </row>
    <row r="180" spans="1:21" x14ac:dyDescent="0.45">
      <c r="A180" s="4">
        <v>262</v>
      </c>
      <c r="B180" s="4">
        <v>0</v>
      </c>
      <c r="C180" s="4">
        <v>0</v>
      </c>
      <c r="D180">
        <v>0</v>
      </c>
      <c r="E180">
        <v>0</v>
      </c>
      <c r="F180">
        <v>0</v>
      </c>
      <c r="G180">
        <v>4</v>
      </c>
      <c r="H180">
        <v>8</v>
      </c>
      <c r="I180">
        <v>3</v>
      </c>
      <c r="J180">
        <v>0</v>
      </c>
      <c r="K180">
        <v>0</v>
      </c>
      <c r="L180">
        <v>0</v>
      </c>
      <c r="M180">
        <v>7</v>
      </c>
      <c r="N180">
        <v>9940.9531724567732</v>
      </c>
      <c r="O180">
        <v>2</v>
      </c>
      <c r="P180">
        <v>0</v>
      </c>
      <c r="Q180">
        <v>1</v>
      </c>
      <c r="R180">
        <v>4</v>
      </c>
      <c r="S180">
        <v>1</v>
      </c>
      <c r="T180">
        <v>231</v>
      </c>
      <c r="U180">
        <v>1</v>
      </c>
    </row>
    <row r="181" spans="1:21" x14ac:dyDescent="0.45">
      <c r="A181" s="4">
        <v>263</v>
      </c>
      <c r="B181" s="4">
        <v>0</v>
      </c>
      <c r="C181" s="4">
        <v>0</v>
      </c>
      <c r="D181">
        <v>0</v>
      </c>
      <c r="E181">
        <v>1</v>
      </c>
      <c r="F181">
        <v>0</v>
      </c>
      <c r="G181">
        <v>6</v>
      </c>
      <c r="H181">
        <v>7</v>
      </c>
      <c r="I181">
        <v>7</v>
      </c>
      <c r="J181">
        <v>2</v>
      </c>
      <c r="K181">
        <v>3</v>
      </c>
      <c r="L181">
        <v>0</v>
      </c>
      <c r="M181">
        <v>7</v>
      </c>
      <c r="N181">
        <v>10825.152784018001</v>
      </c>
      <c r="O181">
        <v>1</v>
      </c>
      <c r="P181">
        <v>0</v>
      </c>
      <c r="Q181">
        <v>1</v>
      </c>
      <c r="R181">
        <v>4</v>
      </c>
      <c r="S181">
        <v>2</v>
      </c>
      <c r="T181">
        <v>1135</v>
      </c>
      <c r="U181">
        <v>3</v>
      </c>
    </row>
    <row r="182" spans="1:21" x14ac:dyDescent="0.45">
      <c r="A182" s="4">
        <v>264</v>
      </c>
      <c r="B182" s="4">
        <v>0</v>
      </c>
      <c r="C182" s="4">
        <v>0</v>
      </c>
      <c r="D182">
        <v>1</v>
      </c>
      <c r="E182">
        <v>0</v>
      </c>
      <c r="F182">
        <v>0</v>
      </c>
      <c r="G182">
        <v>1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6</v>
      </c>
      <c r="N182">
        <v>11101.38440857734</v>
      </c>
      <c r="O182">
        <v>1</v>
      </c>
      <c r="P182">
        <v>0</v>
      </c>
      <c r="Q182">
        <v>1</v>
      </c>
      <c r="R182">
        <v>4</v>
      </c>
      <c r="S182">
        <v>1</v>
      </c>
      <c r="T182">
        <v>123</v>
      </c>
      <c r="U182">
        <v>1</v>
      </c>
    </row>
    <row r="183" spans="1:21" x14ac:dyDescent="0.45">
      <c r="A183" s="4">
        <v>265</v>
      </c>
      <c r="B183" s="4">
        <v>0</v>
      </c>
      <c r="C183" s="4">
        <v>0</v>
      </c>
      <c r="D183">
        <v>1</v>
      </c>
      <c r="E183">
        <v>0</v>
      </c>
      <c r="F183">
        <v>0</v>
      </c>
      <c r="G183">
        <v>1</v>
      </c>
      <c r="H183">
        <v>2</v>
      </c>
      <c r="I183">
        <v>1</v>
      </c>
      <c r="J183">
        <v>0</v>
      </c>
      <c r="K183">
        <v>0</v>
      </c>
      <c r="L183">
        <v>0</v>
      </c>
      <c r="M183">
        <v>6</v>
      </c>
      <c r="N183">
        <v>11071.963938153831</v>
      </c>
      <c r="O183">
        <v>1</v>
      </c>
      <c r="P183">
        <v>0</v>
      </c>
      <c r="Q183">
        <v>1</v>
      </c>
      <c r="R183">
        <v>4</v>
      </c>
      <c r="S183">
        <v>1</v>
      </c>
      <c r="T183">
        <v>161</v>
      </c>
      <c r="U183">
        <v>1</v>
      </c>
    </row>
    <row r="184" spans="1:21" x14ac:dyDescent="0.45">
      <c r="A184" s="4">
        <v>266</v>
      </c>
      <c r="B184" s="4">
        <v>0</v>
      </c>
      <c r="C184" s="4">
        <v>0</v>
      </c>
      <c r="D184">
        <v>0</v>
      </c>
      <c r="E184">
        <v>3</v>
      </c>
      <c r="F184">
        <v>1</v>
      </c>
      <c r="G184">
        <v>5</v>
      </c>
      <c r="H184">
        <v>6</v>
      </c>
      <c r="I184">
        <v>4</v>
      </c>
      <c r="J184">
        <v>2</v>
      </c>
      <c r="K184">
        <v>0</v>
      </c>
      <c r="L184">
        <v>0</v>
      </c>
      <c r="M184">
        <v>2</v>
      </c>
      <c r="N184">
        <v>12159.455234616489</v>
      </c>
      <c r="O184">
        <v>1</v>
      </c>
      <c r="P184">
        <v>0</v>
      </c>
      <c r="Q184">
        <v>1</v>
      </c>
      <c r="R184">
        <v>4</v>
      </c>
      <c r="S184">
        <v>1</v>
      </c>
      <c r="T184">
        <v>109</v>
      </c>
      <c r="U184">
        <v>1</v>
      </c>
    </row>
    <row r="185" spans="1:21" x14ac:dyDescent="0.45">
      <c r="A185" s="4">
        <v>269</v>
      </c>
      <c r="B185" s="4">
        <v>0</v>
      </c>
      <c r="C185" s="4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3</v>
      </c>
      <c r="N185">
        <v>12706.359814337089</v>
      </c>
      <c r="O185">
        <v>1</v>
      </c>
      <c r="P185">
        <v>0</v>
      </c>
      <c r="Q185">
        <v>1</v>
      </c>
      <c r="R185">
        <v>4</v>
      </c>
      <c r="S185">
        <v>1</v>
      </c>
      <c r="T185">
        <v>985</v>
      </c>
      <c r="U185">
        <v>3</v>
      </c>
    </row>
    <row r="186" spans="1:21" x14ac:dyDescent="0.45">
      <c r="A186" s="4">
        <v>271</v>
      </c>
      <c r="B186" s="4">
        <v>0</v>
      </c>
      <c r="C186" s="4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15088.49321930143</v>
      </c>
      <c r="O186">
        <v>3</v>
      </c>
      <c r="P186">
        <v>0</v>
      </c>
      <c r="Q186">
        <v>0</v>
      </c>
      <c r="R186">
        <v>2</v>
      </c>
      <c r="S186">
        <v>4</v>
      </c>
      <c r="T186">
        <v>38</v>
      </c>
      <c r="U186">
        <v>2</v>
      </c>
    </row>
    <row r="187" spans="1:21" x14ac:dyDescent="0.45">
      <c r="A187" s="4">
        <v>273</v>
      </c>
      <c r="B187" s="4">
        <v>0</v>
      </c>
      <c r="C187" s="4">
        <v>1</v>
      </c>
      <c r="D187">
        <v>0</v>
      </c>
      <c r="E187">
        <v>1</v>
      </c>
      <c r="F187">
        <v>1</v>
      </c>
      <c r="G187">
        <v>5</v>
      </c>
      <c r="H187">
        <v>5</v>
      </c>
      <c r="I187">
        <v>6</v>
      </c>
      <c r="J187">
        <v>0</v>
      </c>
      <c r="K187">
        <v>1</v>
      </c>
      <c r="L187">
        <v>1</v>
      </c>
      <c r="M187">
        <v>2</v>
      </c>
      <c r="N187">
        <v>8013.3927788345336</v>
      </c>
      <c r="O187">
        <v>3</v>
      </c>
      <c r="P187">
        <v>0</v>
      </c>
      <c r="Q187">
        <v>0</v>
      </c>
      <c r="R187">
        <v>1</v>
      </c>
      <c r="S187">
        <v>1</v>
      </c>
      <c r="T187">
        <v>1057</v>
      </c>
      <c r="U187">
        <v>2</v>
      </c>
    </row>
    <row r="188" spans="1:21" x14ac:dyDescent="0.45">
      <c r="A188" s="4">
        <v>274</v>
      </c>
      <c r="B188" s="4">
        <v>0</v>
      </c>
      <c r="C188" s="4">
        <v>0</v>
      </c>
      <c r="D188">
        <v>0</v>
      </c>
      <c r="E188">
        <v>1</v>
      </c>
      <c r="F188">
        <v>1</v>
      </c>
      <c r="G188">
        <v>5</v>
      </c>
      <c r="H188">
        <v>3</v>
      </c>
      <c r="I188">
        <v>2</v>
      </c>
      <c r="J188">
        <v>0</v>
      </c>
      <c r="K188">
        <v>0</v>
      </c>
      <c r="L188">
        <v>0</v>
      </c>
      <c r="M188">
        <v>1</v>
      </c>
      <c r="N188">
        <v>7723.3490835672646</v>
      </c>
      <c r="O188">
        <v>2</v>
      </c>
      <c r="P188">
        <v>0</v>
      </c>
      <c r="Q188">
        <v>0</v>
      </c>
      <c r="R188">
        <v>3</v>
      </c>
      <c r="S188">
        <v>1</v>
      </c>
      <c r="T188">
        <v>119</v>
      </c>
      <c r="U188">
        <v>1</v>
      </c>
    </row>
    <row r="189" spans="1:21" x14ac:dyDescent="0.45">
      <c r="A189" s="4">
        <v>275</v>
      </c>
      <c r="B189" s="4">
        <v>0</v>
      </c>
      <c r="C189" s="4">
        <v>0</v>
      </c>
      <c r="D189">
        <v>1</v>
      </c>
      <c r="E189">
        <v>0</v>
      </c>
      <c r="F189">
        <v>0</v>
      </c>
      <c r="G189">
        <v>0</v>
      </c>
      <c r="H189">
        <v>2</v>
      </c>
      <c r="I189">
        <v>10</v>
      </c>
      <c r="J189">
        <v>1</v>
      </c>
      <c r="K189">
        <v>4</v>
      </c>
      <c r="L189">
        <v>1</v>
      </c>
      <c r="M189">
        <v>5</v>
      </c>
      <c r="N189">
        <v>8954.4800350707283</v>
      </c>
      <c r="O189">
        <v>4</v>
      </c>
      <c r="P189">
        <v>0</v>
      </c>
      <c r="Q189">
        <v>1</v>
      </c>
      <c r="R189">
        <v>0</v>
      </c>
      <c r="S189">
        <v>1</v>
      </c>
      <c r="T189">
        <v>565</v>
      </c>
      <c r="U189">
        <v>2</v>
      </c>
    </row>
    <row r="190" spans="1:21" x14ac:dyDescent="0.45">
      <c r="A190" s="4">
        <v>276</v>
      </c>
      <c r="B190" s="4">
        <v>0</v>
      </c>
      <c r="C190" s="4">
        <v>0</v>
      </c>
      <c r="D190">
        <v>2</v>
      </c>
      <c r="E190">
        <v>3</v>
      </c>
      <c r="F190">
        <v>3</v>
      </c>
      <c r="G190">
        <v>7</v>
      </c>
      <c r="H190">
        <v>4</v>
      </c>
      <c r="I190">
        <v>6</v>
      </c>
      <c r="J190">
        <v>2</v>
      </c>
      <c r="K190">
        <v>0</v>
      </c>
      <c r="L190">
        <v>0</v>
      </c>
      <c r="M190">
        <v>12</v>
      </c>
      <c r="N190">
        <v>6802.0132502442011</v>
      </c>
      <c r="O190">
        <v>1</v>
      </c>
      <c r="P190">
        <v>0</v>
      </c>
      <c r="Q190">
        <v>0</v>
      </c>
      <c r="R190">
        <v>2</v>
      </c>
      <c r="S190">
        <v>1</v>
      </c>
      <c r="T190">
        <v>44</v>
      </c>
      <c r="U190">
        <v>1</v>
      </c>
    </row>
    <row r="191" spans="1:21" x14ac:dyDescent="0.45">
      <c r="A191" s="4">
        <v>277</v>
      </c>
      <c r="B191" s="4">
        <v>0</v>
      </c>
      <c r="C191" s="4">
        <v>0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9</v>
      </c>
      <c r="J191">
        <v>0</v>
      </c>
      <c r="K191">
        <v>2</v>
      </c>
      <c r="L191">
        <v>0</v>
      </c>
      <c r="M191">
        <v>5</v>
      </c>
      <c r="N191">
        <v>8094.3736734579597</v>
      </c>
      <c r="O191">
        <v>3</v>
      </c>
      <c r="P191">
        <v>0</v>
      </c>
      <c r="Q191">
        <v>0</v>
      </c>
      <c r="R191">
        <v>1</v>
      </c>
      <c r="S191">
        <v>2</v>
      </c>
      <c r="T191">
        <v>1704</v>
      </c>
      <c r="U191">
        <v>3</v>
      </c>
    </row>
    <row r="192" spans="1:21" x14ac:dyDescent="0.45">
      <c r="A192" s="4">
        <v>278</v>
      </c>
      <c r="B192" s="4">
        <v>0</v>
      </c>
      <c r="C192" s="4">
        <v>0</v>
      </c>
      <c r="D192">
        <v>0</v>
      </c>
      <c r="E192">
        <v>0</v>
      </c>
      <c r="F192">
        <v>0</v>
      </c>
      <c r="G192">
        <v>2</v>
      </c>
      <c r="H192">
        <v>4</v>
      </c>
      <c r="I192">
        <v>8</v>
      </c>
      <c r="J192">
        <v>0</v>
      </c>
      <c r="K192">
        <v>1</v>
      </c>
      <c r="L192">
        <v>0</v>
      </c>
      <c r="M192">
        <v>6</v>
      </c>
      <c r="N192">
        <v>7991.9618062245763</v>
      </c>
      <c r="O192">
        <v>3</v>
      </c>
      <c r="P192">
        <v>0</v>
      </c>
      <c r="Q192">
        <v>0</v>
      </c>
      <c r="R192">
        <v>1</v>
      </c>
      <c r="S192">
        <v>4</v>
      </c>
      <c r="T192">
        <v>1738</v>
      </c>
      <c r="U192">
        <v>3</v>
      </c>
    </row>
    <row r="193" spans="1:21" x14ac:dyDescent="0.45">
      <c r="A193" s="4">
        <v>279</v>
      </c>
      <c r="B193" s="4">
        <v>0</v>
      </c>
      <c r="C193" s="4">
        <v>0</v>
      </c>
      <c r="D193">
        <v>0</v>
      </c>
      <c r="E193">
        <v>3</v>
      </c>
      <c r="F193">
        <v>2</v>
      </c>
      <c r="G193">
        <v>4</v>
      </c>
      <c r="H193">
        <v>5</v>
      </c>
      <c r="I193">
        <v>19</v>
      </c>
      <c r="J193">
        <v>1</v>
      </c>
      <c r="K193">
        <v>6</v>
      </c>
      <c r="L193">
        <v>2</v>
      </c>
      <c r="M193">
        <v>16</v>
      </c>
      <c r="N193">
        <v>3380.278651889038</v>
      </c>
      <c r="O193">
        <v>2</v>
      </c>
      <c r="P193">
        <v>0</v>
      </c>
      <c r="Q193">
        <v>0</v>
      </c>
      <c r="R193">
        <v>3</v>
      </c>
      <c r="S193">
        <v>2</v>
      </c>
      <c r="T193">
        <v>611</v>
      </c>
      <c r="U193">
        <v>1</v>
      </c>
    </row>
    <row r="194" spans="1:21" x14ac:dyDescent="0.45">
      <c r="A194" s="4">
        <v>280</v>
      </c>
      <c r="B194" s="4">
        <v>0</v>
      </c>
      <c r="C194" s="4">
        <v>0</v>
      </c>
      <c r="D194">
        <v>0</v>
      </c>
      <c r="E194">
        <v>3</v>
      </c>
      <c r="F194">
        <v>2</v>
      </c>
      <c r="G194">
        <v>4</v>
      </c>
      <c r="H194">
        <v>5</v>
      </c>
      <c r="I194">
        <v>19</v>
      </c>
      <c r="J194">
        <v>1</v>
      </c>
      <c r="K194">
        <v>6</v>
      </c>
      <c r="L194">
        <v>2</v>
      </c>
      <c r="M194">
        <v>16</v>
      </c>
      <c r="N194">
        <v>3477.630221732778</v>
      </c>
      <c r="O194">
        <v>3</v>
      </c>
      <c r="P194">
        <v>1</v>
      </c>
      <c r="Q194">
        <v>1</v>
      </c>
      <c r="R194">
        <v>3</v>
      </c>
      <c r="S194">
        <v>7</v>
      </c>
      <c r="T194">
        <v>3134</v>
      </c>
      <c r="U194">
        <v>4</v>
      </c>
    </row>
    <row r="195" spans="1:21" x14ac:dyDescent="0.45">
      <c r="A195" s="4">
        <v>281</v>
      </c>
      <c r="B195" s="4">
        <v>0</v>
      </c>
      <c r="C195" s="4">
        <v>0</v>
      </c>
      <c r="D195">
        <v>0</v>
      </c>
      <c r="E195">
        <v>3</v>
      </c>
      <c r="F195">
        <v>2</v>
      </c>
      <c r="G195">
        <v>4</v>
      </c>
      <c r="H195">
        <v>5</v>
      </c>
      <c r="I195">
        <v>19</v>
      </c>
      <c r="J195">
        <v>1</v>
      </c>
      <c r="K195">
        <v>6</v>
      </c>
      <c r="L195">
        <v>2</v>
      </c>
      <c r="M195">
        <v>16</v>
      </c>
      <c r="N195">
        <v>3477.630221732778</v>
      </c>
      <c r="O195">
        <v>3</v>
      </c>
      <c r="P195">
        <v>0</v>
      </c>
      <c r="Q195">
        <v>1</v>
      </c>
      <c r="R195">
        <v>3</v>
      </c>
      <c r="S195">
        <v>2</v>
      </c>
      <c r="T195">
        <v>253</v>
      </c>
      <c r="U195">
        <v>1</v>
      </c>
    </row>
    <row r="196" spans="1:21" x14ac:dyDescent="0.45">
      <c r="A196" s="4">
        <v>282</v>
      </c>
      <c r="B196" s="4">
        <v>0</v>
      </c>
      <c r="C196" s="4">
        <v>0</v>
      </c>
      <c r="D196">
        <v>0</v>
      </c>
      <c r="E196">
        <v>3</v>
      </c>
      <c r="F196">
        <v>2</v>
      </c>
      <c r="G196">
        <v>3</v>
      </c>
      <c r="H196">
        <v>4</v>
      </c>
      <c r="I196">
        <v>15</v>
      </c>
      <c r="J196">
        <v>0</v>
      </c>
      <c r="K196">
        <v>6</v>
      </c>
      <c r="L196">
        <v>2</v>
      </c>
      <c r="M196">
        <v>13</v>
      </c>
      <c r="N196">
        <v>3477.630221732778</v>
      </c>
      <c r="O196">
        <v>3</v>
      </c>
      <c r="P196">
        <v>1</v>
      </c>
      <c r="Q196">
        <v>1</v>
      </c>
      <c r="R196">
        <v>3</v>
      </c>
      <c r="S196">
        <v>2</v>
      </c>
      <c r="T196">
        <v>458</v>
      </c>
      <c r="U196">
        <v>2</v>
      </c>
    </row>
    <row r="197" spans="1:21" x14ac:dyDescent="0.45">
      <c r="A197" s="4">
        <v>283</v>
      </c>
      <c r="B197" s="4">
        <v>0</v>
      </c>
      <c r="C197" s="4">
        <v>0</v>
      </c>
      <c r="D197">
        <v>0</v>
      </c>
      <c r="E197">
        <v>3</v>
      </c>
      <c r="F197">
        <v>2</v>
      </c>
      <c r="G197">
        <v>2</v>
      </c>
      <c r="H197">
        <v>4</v>
      </c>
      <c r="I197">
        <v>15</v>
      </c>
      <c r="J197">
        <v>0</v>
      </c>
      <c r="K197">
        <v>3</v>
      </c>
      <c r="L197">
        <v>1</v>
      </c>
      <c r="M197">
        <v>14</v>
      </c>
      <c r="N197">
        <v>3596.7182220602499</v>
      </c>
      <c r="O197">
        <v>3</v>
      </c>
      <c r="P197">
        <v>1</v>
      </c>
      <c r="Q197">
        <v>1</v>
      </c>
      <c r="R197">
        <v>3</v>
      </c>
      <c r="S197">
        <v>2</v>
      </c>
      <c r="T197">
        <v>782</v>
      </c>
      <c r="U197">
        <v>2</v>
      </c>
    </row>
    <row r="198" spans="1:21" x14ac:dyDescent="0.45">
      <c r="A198" s="4">
        <v>284</v>
      </c>
      <c r="B198" s="4">
        <v>0</v>
      </c>
      <c r="C198" s="4">
        <v>0</v>
      </c>
      <c r="D198">
        <v>0</v>
      </c>
      <c r="E198">
        <v>3</v>
      </c>
      <c r="F198">
        <v>2</v>
      </c>
      <c r="G198">
        <v>3</v>
      </c>
      <c r="H198">
        <v>4</v>
      </c>
      <c r="I198">
        <v>15</v>
      </c>
      <c r="J198">
        <v>0</v>
      </c>
      <c r="K198">
        <v>6</v>
      </c>
      <c r="L198">
        <v>2</v>
      </c>
      <c r="M198">
        <v>13</v>
      </c>
      <c r="N198">
        <v>3530.8984423414558</v>
      </c>
      <c r="O198">
        <v>3</v>
      </c>
      <c r="P198">
        <v>1</v>
      </c>
      <c r="Q198">
        <v>1</v>
      </c>
      <c r="R198">
        <v>3</v>
      </c>
      <c r="S198">
        <v>3</v>
      </c>
      <c r="T198">
        <v>342</v>
      </c>
      <c r="U198">
        <v>1</v>
      </c>
    </row>
    <row r="199" spans="1:21" x14ac:dyDescent="0.45">
      <c r="A199" s="4">
        <v>285</v>
      </c>
      <c r="B199" s="4">
        <v>0</v>
      </c>
      <c r="C199" s="4">
        <v>0</v>
      </c>
      <c r="D199">
        <v>0</v>
      </c>
      <c r="E199">
        <v>3</v>
      </c>
      <c r="F199">
        <v>2</v>
      </c>
      <c r="G199">
        <v>3</v>
      </c>
      <c r="H199">
        <v>4</v>
      </c>
      <c r="I199">
        <v>15</v>
      </c>
      <c r="J199">
        <v>0</v>
      </c>
      <c r="K199">
        <v>6</v>
      </c>
      <c r="L199">
        <v>2</v>
      </c>
      <c r="M199">
        <v>13</v>
      </c>
      <c r="N199">
        <v>3477.630221732778</v>
      </c>
      <c r="O199">
        <v>3</v>
      </c>
      <c r="P199">
        <v>1</v>
      </c>
      <c r="Q199">
        <v>1</v>
      </c>
      <c r="R199">
        <v>3</v>
      </c>
      <c r="S199">
        <v>2</v>
      </c>
      <c r="T199">
        <v>204</v>
      </c>
      <c r="U199">
        <v>1</v>
      </c>
    </row>
    <row r="200" spans="1:21" x14ac:dyDescent="0.45">
      <c r="A200" s="4">
        <v>286</v>
      </c>
      <c r="B200" s="4">
        <v>0</v>
      </c>
      <c r="C200" s="4">
        <v>0</v>
      </c>
      <c r="D200">
        <v>0</v>
      </c>
      <c r="E200">
        <v>3</v>
      </c>
      <c r="F200">
        <v>2</v>
      </c>
      <c r="G200">
        <v>2</v>
      </c>
      <c r="H200">
        <v>4</v>
      </c>
      <c r="I200">
        <v>15</v>
      </c>
      <c r="J200">
        <v>0</v>
      </c>
      <c r="K200">
        <v>3</v>
      </c>
      <c r="L200">
        <v>1</v>
      </c>
      <c r="M200">
        <v>14</v>
      </c>
      <c r="N200">
        <v>3596.7182220602499</v>
      </c>
      <c r="O200">
        <v>3</v>
      </c>
      <c r="P200">
        <v>1</v>
      </c>
      <c r="Q200">
        <v>1</v>
      </c>
      <c r="R200">
        <v>3</v>
      </c>
      <c r="S200">
        <v>1</v>
      </c>
      <c r="T200">
        <v>311</v>
      </c>
      <c r="U200">
        <v>1</v>
      </c>
    </row>
    <row r="201" spans="1:21" x14ac:dyDescent="0.45">
      <c r="A201" s="4">
        <v>287</v>
      </c>
      <c r="B201" s="4">
        <v>0</v>
      </c>
      <c r="C201" s="4">
        <v>0</v>
      </c>
      <c r="D201">
        <v>0</v>
      </c>
      <c r="E201">
        <v>3</v>
      </c>
      <c r="F201">
        <v>2</v>
      </c>
      <c r="G201">
        <v>2</v>
      </c>
      <c r="H201">
        <v>4</v>
      </c>
      <c r="I201">
        <v>15</v>
      </c>
      <c r="J201">
        <v>0</v>
      </c>
      <c r="K201">
        <v>3</v>
      </c>
      <c r="L201">
        <v>1</v>
      </c>
      <c r="M201">
        <v>14</v>
      </c>
      <c r="N201">
        <v>3921.558566983942</v>
      </c>
      <c r="O201">
        <v>3</v>
      </c>
      <c r="P201">
        <v>0</v>
      </c>
      <c r="Q201">
        <v>1</v>
      </c>
      <c r="R201">
        <v>3</v>
      </c>
      <c r="S201">
        <v>2</v>
      </c>
      <c r="T201">
        <v>582</v>
      </c>
      <c r="U201">
        <v>1</v>
      </c>
    </row>
    <row r="202" spans="1:21" x14ac:dyDescent="0.45">
      <c r="A202" s="4">
        <v>288</v>
      </c>
      <c r="B202" s="4">
        <v>0</v>
      </c>
      <c r="C202" s="4">
        <v>0</v>
      </c>
      <c r="D202">
        <v>0</v>
      </c>
      <c r="E202">
        <v>3</v>
      </c>
      <c r="F202">
        <v>2</v>
      </c>
      <c r="G202">
        <v>2</v>
      </c>
      <c r="H202">
        <v>4</v>
      </c>
      <c r="I202">
        <v>15</v>
      </c>
      <c r="J202">
        <v>0</v>
      </c>
      <c r="K202">
        <v>3</v>
      </c>
      <c r="L202">
        <v>1</v>
      </c>
      <c r="M202">
        <v>14</v>
      </c>
      <c r="N202">
        <v>3669.804283695812</v>
      </c>
      <c r="O202">
        <v>3</v>
      </c>
      <c r="P202">
        <v>0</v>
      </c>
      <c r="Q202">
        <v>1</v>
      </c>
      <c r="R202">
        <v>3</v>
      </c>
      <c r="S202">
        <v>1</v>
      </c>
      <c r="T202">
        <v>124</v>
      </c>
      <c r="U202">
        <v>2</v>
      </c>
    </row>
    <row r="203" spans="1:21" x14ac:dyDescent="0.45">
      <c r="A203" s="4">
        <v>289</v>
      </c>
      <c r="B203" s="4">
        <v>0</v>
      </c>
      <c r="C203" s="4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5</v>
      </c>
      <c r="J203">
        <v>0</v>
      </c>
      <c r="K203">
        <v>2</v>
      </c>
      <c r="L203">
        <v>0</v>
      </c>
      <c r="M203">
        <v>7</v>
      </c>
      <c r="N203">
        <v>3921.558566983942</v>
      </c>
      <c r="O203">
        <v>3</v>
      </c>
      <c r="P203">
        <v>0</v>
      </c>
      <c r="Q203">
        <v>1</v>
      </c>
      <c r="R203">
        <v>3</v>
      </c>
      <c r="S203">
        <v>1</v>
      </c>
      <c r="T203">
        <v>447</v>
      </c>
      <c r="U203">
        <v>1</v>
      </c>
    </row>
    <row r="204" spans="1:21" x14ac:dyDescent="0.45">
      <c r="A204" s="4">
        <v>290</v>
      </c>
      <c r="B204" s="4">
        <v>0</v>
      </c>
      <c r="C204" s="4">
        <v>0</v>
      </c>
      <c r="D204">
        <v>0</v>
      </c>
      <c r="E204">
        <v>3</v>
      </c>
      <c r="F204">
        <v>2</v>
      </c>
      <c r="G204">
        <v>2</v>
      </c>
      <c r="H204">
        <v>4</v>
      </c>
      <c r="I204">
        <v>15</v>
      </c>
      <c r="J204">
        <v>0</v>
      </c>
      <c r="K204">
        <v>3</v>
      </c>
      <c r="L204">
        <v>1</v>
      </c>
      <c r="M204">
        <v>14</v>
      </c>
      <c r="N204">
        <v>3596.7182220602499</v>
      </c>
      <c r="O204">
        <v>3</v>
      </c>
      <c r="P204">
        <v>1</v>
      </c>
      <c r="Q204">
        <v>1</v>
      </c>
      <c r="R204">
        <v>3</v>
      </c>
      <c r="S204">
        <v>2</v>
      </c>
      <c r="T204">
        <v>1069</v>
      </c>
      <c r="U204">
        <v>3</v>
      </c>
    </row>
    <row r="205" spans="1:21" x14ac:dyDescent="0.45">
      <c r="A205" s="4">
        <v>291</v>
      </c>
      <c r="B205" s="4">
        <v>0</v>
      </c>
      <c r="C205" s="4">
        <v>0</v>
      </c>
      <c r="D205">
        <v>0</v>
      </c>
      <c r="E205">
        <v>2</v>
      </c>
      <c r="F205">
        <v>2</v>
      </c>
      <c r="G205">
        <v>1</v>
      </c>
      <c r="H205">
        <v>1</v>
      </c>
      <c r="I205">
        <v>6</v>
      </c>
      <c r="J205">
        <v>0</v>
      </c>
      <c r="K205">
        <v>1</v>
      </c>
      <c r="L205">
        <v>1</v>
      </c>
      <c r="M205">
        <v>9</v>
      </c>
      <c r="N205">
        <v>3606.6425970683699</v>
      </c>
      <c r="O205">
        <v>3</v>
      </c>
      <c r="P205">
        <v>0</v>
      </c>
      <c r="Q205">
        <v>1</v>
      </c>
      <c r="R205">
        <v>3</v>
      </c>
      <c r="S205">
        <v>2</v>
      </c>
      <c r="T205">
        <v>63</v>
      </c>
      <c r="U205">
        <v>1</v>
      </c>
    </row>
    <row r="206" spans="1:21" x14ac:dyDescent="0.45">
      <c r="A206" s="4">
        <v>292</v>
      </c>
      <c r="B206" s="4">
        <v>0</v>
      </c>
      <c r="C206" s="4">
        <v>0</v>
      </c>
      <c r="D206">
        <v>0</v>
      </c>
      <c r="E206">
        <v>2</v>
      </c>
      <c r="F206">
        <v>2</v>
      </c>
      <c r="G206">
        <v>1</v>
      </c>
      <c r="H206">
        <v>1</v>
      </c>
      <c r="I206">
        <v>6</v>
      </c>
      <c r="J206">
        <v>0</v>
      </c>
      <c r="K206">
        <v>1</v>
      </c>
      <c r="L206">
        <v>1</v>
      </c>
      <c r="M206">
        <v>9</v>
      </c>
      <c r="N206">
        <v>3977.9395652559028</v>
      </c>
      <c r="O206">
        <v>3</v>
      </c>
      <c r="P206">
        <v>1</v>
      </c>
      <c r="Q206">
        <v>1</v>
      </c>
      <c r="R206">
        <v>3</v>
      </c>
      <c r="S206">
        <v>7</v>
      </c>
      <c r="T206">
        <v>2591</v>
      </c>
      <c r="U206">
        <v>4</v>
      </c>
    </row>
    <row r="207" spans="1:21" x14ac:dyDescent="0.45">
      <c r="A207" s="4">
        <v>293</v>
      </c>
      <c r="B207" s="4">
        <v>0</v>
      </c>
      <c r="C207" s="4">
        <v>0</v>
      </c>
      <c r="D207">
        <v>0</v>
      </c>
      <c r="E207">
        <v>3</v>
      </c>
      <c r="F207">
        <v>2</v>
      </c>
      <c r="G207">
        <v>3</v>
      </c>
      <c r="H207">
        <v>1</v>
      </c>
      <c r="I207">
        <v>8</v>
      </c>
      <c r="J207">
        <v>0</v>
      </c>
      <c r="K207">
        <v>1</v>
      </c>
      <c r="L207">
        <v>1</v>
      </c>
      <c r="M207">
        <v>10</v>
      </c>
      <c r="N207">
        <v>3470.787077817623</v>
      </c>
      <c r="O207">
        <v>3</v>
      </c>
      <c r="P207">
        <v>1</v>
      </c>
      <c r="Q207">
        <v>1</v>
      </c>
      <c r="R207">
        <v>3</v>
      </c>
      <c r="S207">
        <v>2</v>
      </c>
      <c r="T207">
        <v>162</v>
      </c>
      <c r="U207">
        <v>2</v>
      </c>
    </row>
    <row r="208" spans="1:21" x14ac:dyDescent="0.45">
      <c r="A208" s="4">
        <v>294</v>
      </c>
      <c r="B208" s="4">
        <v>0</v>
      </c>
      <c r="C208" s="4">
        <v>0</v>
      </c>
      <c r="D208">
        <v>0</v>
      </c>
      <c r="E208">
        <v>3</v>
      </c>
      <c r="F208">
        <v>2</v>
      </c>
      <c r="G208">
        <v>3</v>
      </c>
      <c r="H208">
        <v>1</v>
      </c>
      <c r="I208">
        <v>8</v>
      </c>
      <c r="J208">
        <v>0</v>
      </c>
      <c r="K208">
        <v>1</v>
      </c>
      <c r="L208">
        <v>1</v>
      </c>
      <c r="M208">
        <v>10</v>
      </c>
      <c r="N208">
        <v>3470.787077817623</v>
      </c>
      <c r="O208">
        <v>3</v>
      </c>
      <c r="P208">
        <v>1</v>
      </c>
      <c r="Q208">
        <v>1</v>
      </c>
      <c r="R208">
        <v>3</v>
      </c>
      <c r="S208">
        <v>1</v>
      </c>
      <c r="T208">
        <v>117</v>
      </c>
      <c r="U208">
        <v>1</v>
      </c>
    </row>
    <row r="209" spans="1:21" x14ac:dyDescent="0.45">
      <c r="A209" s="4">
        <v>295</v>
      </c>
      <c r="B209" s="4">
        <v>0</v>
      </c>
      <c r="C209" s="4">
        <v>0</v>
      </c>
      <c r="D209">
        <v>0</v>
      </c>
      <c r="E209">
        <v>2</v>
      </c>
      <c r="F209">
        <v>2</v>
      </c>
      <c r="G209">
        <v>1</v>
      </c>
      <c r="H209">
        <v>1</v>
      </c>
      <c r="I209">
        <v>6</v>
      </c>
      <c r="J209">
        <v>0</v>
      </c>
      <c r="K209">
        <v>1</v>
      </c>
      <c r="L209">
        <v>1</v>
      </c>
      <c r="M209">
        <v>9</v>
      </c>
      <c r="N209">
        <v>3606.6425970683699</v>
      </c>
      <c r="O209">
        <v>3</v>
      </c>
      <c r="P209">
        <v>1</v>
      </c>
      <c r="Q209">
        <v>1</v>
      </c>
      <c r="R209">
        <v>3</v>
      </c>
      <c r="S209">
        <v>2</v>
      </c>
      <c r="T209">
        <v>176</v>
      </c>
      <c r="U209">
        <v>3</v>
      </c>
    </row>
    <row r="210" spans="1:21" x14ac:dyDescent="0.45">
      <c r="A210" s="4">
        <v>297</v>
      </c>
      <c r="B210" s="4">
        <v>0</v>
      </c>
      <c r="C210" s="4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3</v>
      </c>
      <c r="L210">
        <v>0</v>
      </c>
      <c r="M210">
        <v>2</v>
      </c>
      <c r="N210">
        <v>4793.0777203839516</v>
      </c>
      <c r="O210">
        <v>3</v>
      </c>
      <c r="P210">
        <v>1</v>
      </c>
      <c r="Q210">
        <v>0</v>
      </c>
      <c r="R210">
        <v>4</v>
      </c>
      <c r="S210">
        <v>3</v>
      </c>
      <c r="T210">
        <v>510</v>
      </c>
      <c r="U210">
        <v>1</v>
      </c>
    </row>
    <row r="211" spans="1:21" x14ac:dyDescent="0.45">
      <c r="A211" s="4">
        <v>298</v>
      </c>
      <c r="B211" s="4">
        <v>0</v>
      </c>
      <c r="C211" s="4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3</v>
      </c>
      <c r="L211">
        <v>0</v>
      </c>
      <c r="M211">
        <v>2</v>
      </c>
      <c r="N211">
        <v>4700.3274697332454</v>
      </c>
      <c r="O211">
        <v>3</v>
      </c>
      <c r="P211">
        <v>1</v>
      </c>
      <c r="Q211">
        <v>0</v>
      </c>
      <c r="R211">
        <v>4</v>
      </c>
      <c r="S211">
        <v>3</v>
      </c>
      <c r="T211">
        <v>1736</v>
      </c>
      <c r="U211">
        <v>2</v>
      </c>
    </row>
    <row r="212" spans="1:21" x14ac:dyDescent="0.45">
      <c r="A212" s="4">
        <v>299</v>
      </c>
      <c r="B212" s="4">
        <v>0</v>
      </c>
      <c r="C212" s="4">
        <v>0</v>
      </c>
      <c r="D212">
        <v>2</v>
      </c>
      <c r="E212">
        <v>2</v>
      </c>
      <c r="F212">
        <v>0</v>
      </c>
      <c r="G212">
        <v>1</v>
      </c>
      <c r="H212">
        <v>2</v>
      </c>
      <c r="I212">
        <v>1</v>
      </c>
      <c r="J212">
        <v>0</v>
      </c>
      <c r="K212">
        <v>1</v>
      </c>
      <c r="L212">
        <v>0</v>
      </c>
      <c r="M212">
        <v>14</v>
      </c>
      <c r="N212">
        <v>6213.505643989185</v>
      </c>
      <c r="O212">
        <v>2</v>
      </c>
      <c r="P212">
        <v>0</v>
      </c>
      <c r="Q212">
        <v>0</v>
      </c>
      <c r="R212">
        <v>1</v>
      </c>
      <c r="S212">
        <v>1</v>
      </c>
      <c r="T212">
        <v>381</v>
      </c>
      <c r="U212">
        <v>1</v>
      </c>
    </row>
    <row r="213" spans="1:21" x14ac:dyDescent="0.45">
      <c r="A213" s="4">
        <v>300</v>
      </c>
      <c r="B213" s="4">
        <v>0</v>
      </c>
      <c r="C213" s="4">
        <v>0</v>
      </c>
      <c r="D213">
        <v>2</v>
      </c>
      <c r="E213">
        <v>3</v>
      </c>
      <c r="F213">
        <v>0</v>
      </c>
      <c r="G213">
        <v>1</v>
      </c>
      <c r="H213">
        <v>3</v>
      </c>
      <c r="I213">
        <v>2</v>
      </c>
      <c r="J213">
        <v>0</v>
      </c>
      <c r="K213">
        <v>9</v>
      </c>
      <c r="L213">
        <v>0</v>
      </c>
      <c r="M213">
        <v>11</v>
      </c>
      <c r="N213">
        <v>6027.76220128553</v>
      </c>
      <c r="O213">
        <v>2</v>
      </c>
      <c r="P213">
        <v>0</v>
      </c>
      <c r="Q213">
        <v>1</v>
      </c>
      <c r="R213">
        <v>1</v>
      </c>
      <c r="S213">
        <v>2</v>
      </c>
      <c r="T213">
        <v>874</v>
      </c>
      <c r="U213">
        <v>4</v>
      </c>
    </row>
    <row r="214" spans="1:21" x14ac:dyDescent="0.45">
      <c r="A214" s="4">
        <v>301</v>
      </c>
      <c r="B214" s="4">
        <v>0</v>
      </c>
      <c r="C214" s="4">
        <v>0</v>
      </c>
      <c r="D214">
        <v>1</v>
      </c>
      <c r="E214">
        <v>2</v>
      </c>
      <c r="F214">
        <v>1</v>
      </c>
      <c r="G214">
        <v>3</v>
      </c>
      <c r="H214">
        <v>1</v>
      </c>
      <c r="I214">
        <v>11</v>
      </c>
      <c r="J214">
        <v>0</v>
      </c>
      <c r="K214">
        <v>3</v>
      </c>
      <c r="L214">
        <v>0</v>
      </c>
      <c r="M214">
        <v>15</v>
      </c>
      <c r="N214">
        <v>6085.1754849633926</v>
      </c>
      <c r="O214">
        <v>4</v>
      </c>
      <c r="P214">
        <v>0</v>
      </c>
      <c r="Q214">
        <v>1</v>
      </c>
      <c r="R214">
        <v>3</v>
      </c>
      <c r="S214">
        <v>5</v>
      </c>
      <c r="T214">
        <v>713</v>
      </c>
      <c r="U214">
        <v>1</v>
      </c>
    </row>
    <row r="215" spans="1:21" x14ac:dyDescent="0.45">
      <c r="A215" s="4">
        <v>302</v>
      </c>
      <c r="B215" s="4">
        <v>0</v>
      </c>
      <c r="C215" s="4">
        <v>0</v>
      </c>
      <c r="D215">
        <v>3</v>
      </c>
      <c r="E215">
        <v>4</v>
      </c>
      <c r="F215">
        <v>0</v>
      </c>
      <c r="G215">
        <v>6</v>
      </c>
      <c r="H215">
        <v>9</v>
      </c>
      <c r="I215">
        <v>7</v>
      </c>
      <c r="J215">
        <v>0</v>
      </c>
      <c r="K215">
        <v>12</v>
      </c>
      <c r="L215">
        <v>0</v>
      </c>
      <c r="M215">
        <v>14</v>
      </c>
      <c r="N215">
        <v>6220.0196589227226</v>
      </c>
      <c r="O215">
        <v>3</v>
      </c>
      <c r="P215">
        <v>0</v>
      </c>
      <c r="Q215">
        <v>1</v>
      </c>
      <c r="R215">
        <v>3</v>
      </c>
      <c r="S215">
        <v>4</v>
      </c>
      <c r="T215">
        <v>876</v>
      </c>
      <c r="U215">
        <v>3</v>
      </c>
    </row>
    <row r="216" spans="1:21" x14ac:dyDescent="0.45">
      <c r="A216" s="4">
        <v>303</v>
      </c>
      <c r="B216" s="4">
        <v>0</v>
      </c>
      <c r="C216" s="4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</v>
      </c>
      <c r="J216">
        <v>0</v>
      </c>
      <c r="K216">
        <v>5</v>
      </c>
      <c r="L216">
        <v>0</v>
      </c>
      <c r="M216">
        <v>10</v>
      </c>
      <c r="N216">
        <v>4258.653268264341</v>
      </c>
      <c r="O216">
        <v>3</v>
      </c>
      <c r="P216">
        <v>0</v>
      </c>
      <c r="Q216">
        <v>0</v>
      </c>
      <c r="R216">
        <v>1</v>
      </c>
      <c r="S216">
        <v>1</v>
      </c>
      <c r="T216">
        <v>400</v>
      </c>
      <c r="U216">
        <v>4</v>
      </c>
    </row>
    <row r="217" spans="1:21" x14ac:dyDescent="0.45">
      <c r="A217" s="4">
        <v>304</v>
      </c>
      <c r="B217" s="4">
        <v>1</v>
      </c>
      <c r="C217" s="4">
        <v>0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6</v>
      </c>
      <c r="J217">
        <v>0</v>
      </c>
      <c r="K217">
        <v>3</v>
      </c>
      <c r="L217">
        <v>0</v>
      </c>
      <c r="M217">
        <v>9</v>
      </c>
      <c r="N217">
        <v>4813.6429711208984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413</v>
      </c>
      <c r="U217">
        <v>1</v>
      </c>
    </row>
    <row r="218" spans="1:21" x14ac:dyDescent="0.45">
      <c r="A218" s="4">
        <v>305</v>
      </c>
      <c r="B218" s="4">
        <v>0</v>
      </c>
      <c r="C218" s="4">
        <v>1</v>
      </c>
      <c r="D218">
        <v>0</v>
      </c>
      <c r="E218">
        <v>0</v>
      </c>
      <c r="F218">
        <v>1</v>
      </c>
      <c r="G218">
        <v>1</v>
      </c>
      <c r="H218">
        <v>2</v>
      </c>
      <c r="I218">
        <v>5</v>
      </c>
      <c r="J218">
        <v>0</v>
      </c>
      <c r="K218">
        <v>5</v>
      </c>
      <c r="L218">
        <v>2</v>
      </c>
      <c r="M218">
        <v>12</v>
      </c>
      <c r="N218">
        <v>5370.8467591039634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395</v>
      </c>
      <c r="U218">
        <v>1</v>
      </c>
    </row>
    <row r="219" spans="1:21" x14ac:dyDescent="0.45">
      <c r="A219" s="4">
        <v>306</v>
      </c>
      <c r="B219" s="4">
        <v>0</v>
      </c>
      <c r="C219" s="4">
        <v>0</v>
      </c>
      <c r="D219">
        <v>0</v>
      </c>
      <c r="E219">
        <v>1</v>
      </c>
      <c r="F219">
        <v>0</v>
      </c>
      <c r="G219">
        <v>7</v>
      </c>
      <c r="H219">
        <v>7</v>
      </c>
      <c r="I219">
        <v>17</v>
      </c>
      <c r="J219">
        <v>0</v>
      </c>
      <c r="K219">
        <v>8</v>
      </c>
      <c r="L219">
        <v>0</v>
      </c>
      <c r="M219">
        <v>15</v>
      </c>
      <c r="N219">
        <v>5900.6608640136355</v>
      </c>
      <c r="O219">
        <v>1</v>
      </c>
      <c r="P219">
        <v>1</v>
      </c>
      <c r="Q219">
        <v>1</v>
      </c>
      <c r="R219">
        <v>3</v>
      </c>
      <c r="S219">
        <v>3</v>
      </c>
      <c r="T219">
        <v>468</v>
      </c>
      <c r="U219">
        <v>1</v>
      </c>
    </row>
    <row r="220" spans="1:21" x14ac:dyDescent="0.45">
      <c r="A220" s="4">
        <v>307</v>
      </c>
      <c r="B220" s="4">
        <v>0</v>
      </c>
      <c r="C220" s="4">
        <v>0</v>
      </c>
      <c r="D220">
        <v>0</v>
      </c>
      <c r="E220">
        <v>1</v>
      </c>
      <c r="F220">
        <v>0</v>
      </c>
      <c r="G220">
        <v>7</v>
      </c>
      <c r="H220">
        <v>7</v>
      </c>
      <c r="I220">
        <v>17</v>
      </c>
      <c r="J220">
        <v>0</v>
      </c>
      <c r="K220">
        <v>8</v>
      </c>
      <c r="L220">
        <v>0</v>
      </c>
      <c r="M220">
        <v>15</v>
      </c>
      <c r="N220">
        <v>5738.60419148238</v>
      </c>
      <c r="O220">
        <v>3</v>
      </c>
      <c r="P220">
        <v>1</v>
      </c>
      <c r="Q220">
        <v>1</v>
      </c>
      <c r="R220">
        <v>3</v>
      </c>
      <c r="S220">
        <v>5</v>
      </c>
      <c r="T220">
        <v>1491</v>
      </c>
      <c r="U220">
        <v>2</v>
      </c>
    </row>
    <row r="221" spans="1:21" x14ac:dyDescent="0.45">
      <c r="A221" s="4">
        <v>308</v>
      </c>
      <c r="B221" s="4">
        <v>0</v>
      </c>
      <c r="C221" s="4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2</v>
      </c>
      <c r="L221">
        <v>0</v>
      </c>
      <c r="M221">
        <v>4</v>
      </c>
      <c r="N221">
        <v>5370.1222843231362</v>
      </c>
      <c r="O221">
        <v>3</v>
      </c>
      <c r="P221">
        <v>0</v>
      </c>
      <c r="Q221">
        <v>1</v>
      </c>
      <c r="R221">
        <v>3</v>
      </c>
      <c r="S221">
        <v>5</v>
      </c>
      <c r="T221">
        <v>463</v>
      </c>
      <c r="U221">
        <v>1</v>
      </c>
    </row>
    <row r="222" spans="1:21" x14ac:dyDescent="0.45">
      <c r="A222" s="4">
        <v>309</v>
      </c>
      <c r="B222" s="4">
        <v>0</v>
      </c>
      <c r="C222" s="4">
        <v>1</v>
      </c>
      <c r="D222">
        <v>2</v>
      </c>
      <c r="E222">
        <v>2</v>
      </c>
      <c r="F222">
        <v>0</v>
      </c>
      <c r="G222">
        <v>4</v>
      </c>
      <c r="H222">
        <v>5</v>
      </c>
      <c r="I222">
        <v>6</v>
      </c>
      <c r="J222">
        <v>0</v>
      </c>
      <c r="K222">
        <v>1</v>
      </c>
      <c r="L222">
        <v>0</v>
      </c>
      <c r="M222">
        <v>20</v>
      </c>
      <c r="N222">
        <v>8702.3839541936868</v>
      </c>
      <c r="O222">
        <v>1</v>
      </c>
      <c r="P222">
        <v>0</v>
      </c>
      <c r="Q222">
        <v>1</v>
      </c>
      <c r="R222">
        <v>4</v>
      </c>
      <c r="S222">
        <v>2</v>
      </c>
      <c r="T222">
        <v>144</v>
      </c>
      <c r="U222">
        <v>1</v>
      </c>
    </row>
    <row r="223" spans="1:21" x14ac:dyDescent="0.45">
      <c r="A223" s="4">
        <v>311</v>
      </c>
      <c r="B223" s="4">
        <v>0</v>
      </c>
      <c r="C223" s="4">
        <v>1</v>
      </c>
      <c r="D223">
        <v>1</v>
      </c>
      <c r="E223">
        <v>0</v>
      </c>
      <c r="F223">
        <v>0</v>
      </c>
      <c r="G223">
        <v>4</v>
      </c>
      <c r="H223">
        <v>5</v>
      </c>
      <c r="I223">
        <v>20</v>
      </c>
      <c r="J223">
        <v>0</v>
      </c>
      <c r="K223">
        <v>1</v>
      </c>
      <c r="L223">
        <v>1</v>
      </c>
      <c r="M223">
        <v>8</v>
      </c>
      <c r="N223">
        <v>6826.4707070546037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419</v>
      </c>
      <c r="U223">
        <v>1</v>
      </c>
    </row>
    <row r="224" spans="1:21" x14ac:dyDescent="0.45">
      <c r="A224" s="4">
        <v>313</v>
      </c>
      <c r="B224" s="4">
        <v>0</v>
      </c>
      <c r="C224" s="4">
        <v>0</v>
      </c>
      <c r="D224">
        <v>1</v>
      </c>
      <c r="E224">
        <v>0</v>
      </c>
      <c r="F224">
        <v>3</v>
      </c>
      <c r="G224">
        <v>5</v>
      </c>
      <c r="H224">
        <v>9</v>
      </c>
      <c r="I224">
        <v>4</v>
      </c>
      <c r="J224">
        <v>1</v>
      </c>
      <c r="K224">
        <v>2</v>
      </c>
      <c r="L224">
        <v>1</v>
      </c>
      <c r="M224">
        <v>6</v>
      </c>
      <c r="N224">
        <v>8322.6847338748557</v>
      </c>
      <c r="O224">
        <v>1</v>
      </c>
      <c r="P224">
        <v>0</v>
      </c>
      <c r="Q224">
        <v>1</v>
      </c>
      <c r="R224">
        <v>4</v>
      </c>
      <c r="S224">
        <v>3</v>
      </c>
      <c r="T224">
        <v>645</v>
      </c>
      <c r="U224">
        <v>2</v>
      </c>
    </row>
    <row r="225" spans="1:21" x14ac:dyDescent="0.45">
      <c r="A225" s="4">
        <v>314</v>
      </c>
      <c r="B225" s="4">
        <v>0</v>
      </c>
      <c r="C225" s="4">
        <v>0</v>
      </c>
      <c r="D225">
        <v>1</v>
      </c>
      <c r="E225">
        <v>0</v>
      </c>
      <c r="F225">
        <v>3</v>
      </c>
      <c r="G225">
        <v>5</v>
      </c>
      <c r="H225">
        <v>9</v>
      </c>
      <c r="I225">
        <v>4</v>
      </c>
      <c r="J225">
        <v>1</v>
      </c>
      <c r="K225">
        <v>2</v>
      </c>
      <c r="L225">
        <v>1</v>
      </c>
      <c r="M225">
        <v>6</v>
      </c>
      <c r="N225">
        <v>8390.6373498190496</v>
      </c>
      <c r="O225">
        <v>3</v>
      </c>
      <c r="P225">
        <v>0</v>
      </c>
      <c r="Q225">
        <v>1</v>
      </c>
      <c r="R225">
        <v>4</v>
      </c>
      <c r="S225">
        <v>3</v>
      </c>
      <c r="T225">
        <v>645</v>
      </c>
      <c r="U225">
        <v>2</v>
      </c>
    </row>
    <row r="226" spans="1:21" x14ac:dyDescent="0.45">
      <c r="A226" s="4">
        <v>315</v>
      </c>
      <c r="B226" s="4">
        <v>0</v>
      </c>
      <c r="C226" s="4">
        <v>0</v>
      </c>
      <c r="D226">
        <v>1</v>
      </c>
      <c r="E226">
        <v>0</v>
      </c>
      <c r="F226">
        <v>3</v>
      </c>
      <c r="G226">
        <v>5</v>
      </c>
      <c r="H226">
        <v>9</v>
      </c>
      <c r="I226">
        <v>4</v>
      </c>
      <c r="J226">
        <v>1</v>
      </c>
      <c r="K226">
        <v>2</v>
      </c>
      <c r="L226">
        <v>1</v>
      </c>
      <c r="M226">
        <v>6</v>
      </c>
      <c r="N226">
        <v>8382.5205610261364</v>
      </c>
      <c r="O226">
        <v>3</v>
      </c>
      <c r="P226">
        <v>0</v>
      </c>
      <c r="Q226">
        <v>1</v>
      </c>
      <c r="R226">
        <v>4</v>
      </c>
      <c r="S226">
        <v>3</v>
      </c>
      <c r="T226">
        <v>645</v>
      </c>
      <c r="U226">
        <v>2</v>
      </c>
    </row>
    <row r="227" spans="1:21" x14ac:dyDescent="0.45">
      <c r="A227" s="4">
        <v>316</v>
      </c>
      <c r="B227" s="4">
        <v>0</v>
      </c>
      <c r="C227" s="4">
        <v>0</v>
      </c>
      <c r="D227">
        <v>1</v>
      </c>
      <c r="E227">
        <v>1</v>
      </c>
      <c r="F227">
        <v>3</v>
      </c>
      <c r="G227">
        <v>5</v>
      </c>
      <c r="H227">
        <v>9</v>
      </c>
      <c r="I227">
        <v>3</v>
      </c>
      <c r="J227">
        <v>0</v>
      </c>
      <c r="K227">
        <v>0</v>
      </c>
      <c r="L227">
        <v>1</v>
      </c>
      <c r="M227">
        <v>4</v>
      </c>
      <c r="N227">
        <v>9027.8123133699373</v>
      </c>
      <c r="O227">
        <v>3</v>
      </c>
      <c r="P227">
        <v>0</v>
      </c>
      <c r="Q227">
        <v>1</v>
      </c>
      <c r="R227">
        <v>3</v>
      </c>
      <c r="S227">
        <v>2</v>
      </c>
      <c r="T227">
        <v>516</v>
      </c>
      <c r="U227">
        <v>1</v>
      </c>
    </row>
    <row r="228" spans="1:21" x14ac:dyDescent="0.45">
      <c r="A228" s="4">
        <v>317</v>
      </c>
      <c r="B228" s="4">
        <v>0</v>
      </c>
      <c r="C228" s="4">
        <v>0</v>
      </c>
      <c r="D228">
        <v>0</v>
      </c>
      <c r="E228">
        <v>1</v>
      </c>
      <c r="F228">
        <v>0</v>
      </c>
      <c r="G228">
        <v>4</v>
      </c>
      <c r="H228">
        <v>6</v>
      </c>
      <c r="I228">
        <v>7</v>
      </c>
      <c r="J228">
        <v>1</v>
      </c>
      <c r="K228">
        <v>0</v>
      </c>
      <c r="L228">
        <v>0</v>
      </c>
      <c r="M228">
        <v>18</v>
      </c>
      <c r="N228">
        <v>9830.1220618451553</v>
      </c>
      <c r="O228">
        <v>1</v>
      </c>
      <c r="P228">
        <v>0</v>
      </c>
      <c r="Q228">
        <v>1</v>
      </c>
      <c r="R228">
        <v>4</v>
      </c>
      <c r="S228">
        <v>5</v>
      </c>
      <c r="T228">
        <v>762</v>
      </c>
      <c r="U228">
        <v>1</v>
      </c>
    </row>
    <row r="229" spans="1:21" x14ac:dyDescent="0.45">
      <c r="A229" s="4">
        <v>318</v>
      </c>
      <c r="B229" s="4">
        <v>0</v>
      </c>
      <c r="C229" s="4">
        <v>0</v>
      </c>
      <c r="D229">
        <v>1</v>
      </c>
      <c r="E229">
        <v>2</v>
      </c>
      <c r="F229">
        <v>1</v>
      </c>
      <c r="G229">
        <v>6</v>
      </c>
      <c r="H229">
        <v>5</v>
      </c>
      <c r="I229">
        <v>1</v>
      </c>
      <c r="J229">
        <v>0</v>
      </c>
      <c r="K229">
        <v>0</v>
      </c>
      <c r="L229">
        <v>0</v>
      </c>
      <c r="M229">
        <v>8</v>
      </c>
      <c r="N229">
        <v>11466.668009544819</v>
      </c>
      <c r="O229">
        <v>4</v>
      </c>
      <c r="P229">
        <v>0</v>
      </c>
      <c r="Q229">
        <v>1</v>
      </c>
      <c r="R229">
        <v>3</v>
      </c>
      <c r="S229">
        <v>4</v>
      </c>
      <c r="T229">
        <v>3913</v>
      </c>
      <c r="U229">
        <v>4</v>
      </c>
    </row>
    <row r="230" spans="1:21" x14ac:dyDescent="0.45">
      <c r="A230" s="4">
        <v>319</v>
      </c>
      <c r="B230" s="4">
        <v>0</v>
      </c>
      <c r="C230" s="4">
        <v>0</v>
      </c>
      <c r="D230">
        <v>3</v>
      </c>
      <c r="E230">
        <v>4</v>
      </c>
      <c r="F230">
        <v>3</v>
      </c>
      <c r="G230">
        <v>4</v>
      </c>
      <c r="H230">
        <v>4</v>
      </c>
      <c r="I230">
        <v>2</v>
      </c>
      <c r="J230">
        <v>0</v>
      </c>
      <c r="K230">
        <v>0</v>
      </c>
      <c r="L230">
        <v>0</v>
      </c>
      <c r="M230">
        <v>7</v>
      </c>
      <c r="N230">
        <v>13241.99470848871</v>
      </c>
      <c r="O230">
        <v>4</v>
      </c>
      <c r="P230">
        <v>0</v>
      </c>
      <c r="Q230">
        <v>1</v>
      </c>
      <c r="R230">
        <v>4</v>
      </c>
      <c r="S230">
        <v>2</v>
      </c>
      <c r="T230">
        <v>1051</v>
      </c>
      <c r="U230">
        <v>3</v>
      </c>
    </row>
    <row r="231" spans="1:21" x14ac:dyDescent="0.45">
      <c r="A231" s="4">
        <v>320</v>
      </c>
      <c r="B231" s="4">
        <v>0</v>
      </c>
      <c r="C231" s="4">
        <v>0</v>
      </c>
      <c r="D231">
        <v>2</v>
      </c>
      <c r="E231">
        <v>4</v>
      </c>
      <c r="F231">
        <v>1</v>
      </c>
      <c r="G231">
        <v>12</v>
      </c>
      <c r="H231">
        <v>10</v>
      </c>
      <c r="I231">
        <v>6</v>
      </c>
      <c r="J231">
        <v>1</v>
      </c>
      <c r="K231">
        <v>1</v>
      </c>
      <c r="L231">
        <v>0</v>
      </c>
      <c r="M231">
        <v>7</v>
      </c>
      <c r="N231">
        <v>13010.64463061923</v>
      </c>
      <c r="O231">
        <v>4</v>
      </c>
      <c r="P231">
        <v>0</v>
      </c>
      <c r="Q231">
        <v>1</v>
      </c>
      <c r="R231">
        <v>3</v>
      </c>
      <c r="S231">
        <v>3</v>
      </c>
      <c r="T231">
        <v>484</v>
      </c>
      <c r="U231">
        <v>2</v>
      </c>
    </row>
    <row r="232" spans="1:21" x14ac:dyDescent="0.45">
      <c r="A232" s="4">
        <v>324</v>
      </c>
      <c r="B232" s="4">
        <v>0</v>
      </c>
      <c r="C232" s="4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13873.61143430061</v>
      </c>
      <c r="O232">
        <v>2</v>
      </c>
      <c r="P232">
        <v>0</v>
      </c>
      <c r="Q232">
        <v>1</v>
      </c>
      <c r="R232">
        <v>4</v>
      </c>
      <c r="S232">
        <v>2</v>
      </c>
      <c r="T232">
        <v>399</v>
      </c>
      <c r="U232">
        <v>2</v>
      </c>
    </row>
    <row r="233" spans="1:21" x14ac:dyDescent="0.45">
      <c r="A233" s="4">
        <v>325</v>
      </c>
      <c r="B233" s="4">
        <v>0</v>
      </c>
      <c r="C233" s="4">
        <v>0</v>
      </c>
      <c r="D233">
        <v>0</v>
      </c>
      <c r="E233">
        <v>0</v>
      </c>
      <c r="F233">
        <v>0</v>
      </c>
      <c r="G233">
        <v>2</v>
      </c>
      <c r="H233">
        <v>2</v>
      </c>
      <c r="I233">
        <v>3</v>
      </c>
      <c r="J233">
        <v>0</v>
      </c>
      <c r="K233">
        <v>0</v>
      </c>
      <c r="L233">
        <v>0</v>
      </c>
      <c r="M233">
        <v>4</v>
      </c>
      <c r="N233">
        <v>13210.12465771966</v>
      </c>
      <c r="O233">
        <v>1</v>
      </c>
      <c r="P233">
        <v>0</v>
      </c>
      <c r="Q233">
        <v>1</v>
      </c>
      <c r="R233">
        <v>1</v>
      </c>
      <c r="S233">
        <v>2</v>
      </c>
      <c r="T233">
        <v>737</v>
      </c>
      <c r="U233">
        <v>1</v>
      </c>
    </row>
    <row r="234" spans="1:21" x14ac:dyDescent="0.45">
      <c r="A234" s="4">
        <v>326</v>
      </c>
      <c r="B234" s="4">
        <v>0</v>
      </c>
      <c r="C234" s="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3</v>
      </c>
      <c r="N234">
        <v>13563.40417328136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467</v>
      </c>
      <c r="U234">
        <v>3</v>
      </c>
    </row>
    <row r="235" spans="1:21" x14ac:dyDescent="0.45">
      <c r="A235" s="4">
        <v>327</v>
      </c>
      <c r="B235" s="4">
        <v>0</v>
      </c>
      <c r="C235" s="4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4</v>
      </c>
      <c r="N235">
        <v>13369.536750025791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453</v>
      </c>
      <c r="U235">
        <v>3</v>
      </c>
    </row>
    <row r="236" spans="1:21" x14ac:dyDescent="0.45">
      <c r="A236" s="4">
        <v>328</v>
      </c>
      <c r="B236" s="4">
        <v>0</v>
      </c>
      <c r="C236" s="4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4</v>
      </c>
      <c r="N236">
        <v>13355.9135653339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455</v>
      </c>
      <c r="U236">
        <v>3</v>
      </c>
    </row>
    <row r="237" spans="1:21" x14ac:dyDescent="0.45">
      <c r="A237" s="4">
        <v>329</v>
      </c>
      <c r="B237" s="4">
        <v>0</v>
      </c>
      <c r="C237" s="4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4</v>
      </c>
      <c r="N237">
        <v>13291.814292865251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453</v>
      </c>
      <c r="U237">
        <v>3</v>
      </c>
    </row>
    <row r="238" spans="1:21" x14ac:dyDescent="0.45">
      <c r="A238" s="4">
        <v>330</v>
      </c>
      <c r="B238" s="4">
        <v>0</v>
      </c>
      <c r="C238" s="4">
        <v>0</v>
      </c>
      <c r="D238">
        <v>0</v>
      </c>
      <c r="E238">
        <v>1</v>
      </c>
      <c r="F238">
        <v>0</v>
      </c>
      <c r="G238">
        <v>0</v>
      </c>
      <c r="H238">
        <v>4</v>
      </c>
      <c r="I238">
        <v>0</v>
      </c>
      <c r="J238">
        <v>1</v>
      </c>
      <c r="K238">
        <v>0</v>
      </c>
      <c r="L238">
        <v>0</v>
      </c>
      <c r="M238">
        <v>2</v>
      </c>
      <c r="N238">
        <v>11472.40700914787</v>
      </c>
      <c r="O238">
        <v>1</v>
      </c>
      <c r="P238">
        <v>0</v>
      </c>
      <c r="Q238">
        <v>1</v>
      </c>
      <c r="R238">
        <v>2</v>
      </c>
      <c r="S238">
        <v>1</v>
      </c>
      <c r="T238">
        <v>122</v>
      </c>
      <c r="U238">
        <v>1</v>
      </c>
    </row>
    <row r="239" spans="1:21" x14ac:dyDescent="0.45">
      <c r="A239" s="4">
        <v>331</v>
      </c>
      <c r="B239" s="4">
        <v>0</v>
      </c>
      <c r="C239" s="4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11906.29734824299</v>
      </c>
      <c r="O239">
        <v>1</v>
      </c>
      <c r="P239">
        <v>0</v>
      </c>
      <c r="Q239">
        <v>1</v>
      </c>
      <c r="R239">
        <v>3</v>
      </c>
      <c r="S239">
        <v>1</v>
      </c>
      <c r="T239">
        <v>79</v>
      </c>
      <c r="U239">
        <v>1</v>
      </c>
    </row>
    <row r="240" spans="1:21" x14ac:dyDescent="0.45">
      <c r="A240" s="4">
        <v>332</v>
      </c>
      <c r="B240" s="4">
        <v>0</v>
      </c>
      <c r="C240" s="4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12965.97079365335</v>
      </c>
      <c r="O240">
        <v>1</v>
      </c>
      <c r="P240">
        <v>0</v>
      </c>
      <c r="Q240">
        <v>1</v>
      </c>
      <c r="R240">
        <v>4</v>
      </c>
      <c r="S240">
        <v>1</v>
      </c>
      <c r="T240">
        <v>2117</v>
      </c>
      <c r="U240">
        <v>1</v>
      </c>
    </row>
    <row r="241" spans="1:21" x14ac:dyDescent="0.45">
      <c r="A241" s="4">
        <v>333</v>
      </c>
      <c r="B241" s="4">
        <v>0</v>
      </c>
      <c r="C241" s="4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12904.020292712819</v>
      </c>
      <c r="O241">
        <v>1</v>
      </c>
      <c r="P241">
        <v>0</v>
      </c>
      <c r="Q241">
        <v>1</v>
      </c>
      <c r="R241">
        <v>4</v>
      </c>
      <c r="S241">
        <v>1</v>
      </c>
      <c r="T241">
        <v>1215</v>
      </c>
      <c r="U241">
        <v>1</v>
      </c>
    </row>
    <row r="242" spans="1:21" x14ac:dyDescent="0.45">
      <c r="A242" s="4">
        <v>334</v>
      </c>
      <c r="B242" s="4">
        <v>0</v>
      </c>
      <c r="C242" s="4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13006.497018586961</v>
      </c>
      <c r="O242">
        <v>1</v>
      </c>
      <c r="P242">
        <v>0</v>
      </c>
      <c r="Q242">
        <v>1</v>
      </c>
      <c r="R242">
        <v>4</v>
      </c>
      <c r="S242">
        <v>1</v>
      </c>
      <c r="T242">
        <v>2235</v>
      </c>
      <c r="U242">
        <v>1</v>
      </c>
    </row>
    <row r="243" spans="1:21" x14ac:dyDescent="0.45">
      <c r="A243" s="4">
        <v>335</v>
      </c>
      <c r="B243" s="4">
        <v>0</v>
      </c>
      <c r="C243" s="4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12848.561883902579</v>
      </c>
      <c r="O243">
        <v>1</v>
      </c>
      <c r="P243">
        <v>0</v>
      </c>
      <c r="Q243">
        <v>1</v>
      </c>
      <c r="R243">
        <v>4</v>
      </c>
      <c r="S243">
        <v>1</v>
      </c>
      <c r="T243">
        <v>1379</v>
      </c>
      <c r="U243">
        <v>1</v>
      </c>
    </row>
    <row r="244" spans="1:21" x14ac:dyDescent="0.45">
      <c r="A244" s="4">
        <v>338</v>
      </c>
      <c r="B244" s="4">
        <v>0</v>
      </c>
      <c r="C244" s="4">
        <v>0</v>
      </c>
      <c r="D244">
        <v>4</v>
      </c>
      <c r="E244">
        <v>5</v>
      </c>
      <c r="F244">
        <v>1</v>
      </c>
      <c r="G244">
        <v>6</v>
      </c>
      <c r="H244">
        <v>27</v>
      </c>
      <c r="I244">
        <v>14</v>
      </c>
      <c r="J244">
        <v>0</v>
      </c>
      <c r="K244">
        <v>0</v>
      </c>
      <c r="L244">
        <v>8</v>
      </c>
      <c r="M244">
        <v>15</v>
      </c>
      <c r="N244">
        <v>10294.78528075294</v>
      </c>
      <c r="O244">
        <v>3</v>
      </c>
      <c r="P244">
        <v>0</v>
      </c>
      <c r="Q244">
        <v>0</v>
      </c>
      <c r="R244">
        <v>4</v>
      </c>
      <c r="S244">
        <v>4</v>
      </c>
      <c r="T244">
        <v>997</v>
      </c>
      <c r="U244">
        <v>1</v>
      </c>
    </row>
    <row r="245" spans="1:21" x14ac:dyDescent="0.45">
      <c r="A245" s="4">
        <v>339</v>
      </c>
      <c r="B245" s="4">
        <v>0</v>
      </c>
      <c r="C245" s="4">
        <v>0</v>
      </c>
      <c r="D245">
        <v>2</v>
      </c>
      <c r="E245">
        <v>4</v>
      </c>
      <c r="F245">
        <v>0</v>
      </c>
      <c r="G245">
        <v>2</v>
      </c>
      <c r="H245">
        <v>3</v>
      </c>
      <c r="I245">
        <v>2</v>
      </c>
      <c r="J245">
        <v>0</v>
      </c>
      <c r="K245">
        <v>0</v>
      </c>
      <c r="L245">
        <v>1</v>
      </c>
      <c r="M245">
        <v>6</v>
      </c>
      <c r="N245">
        <v>7492.970845542427</v>
      </c>
      <c r="O245">
        <v>4</v>
      </c>
      <c r="P245">
        <v>0</v>
      </c>
      <c r="Q245">
        <v>0</v>
      </c>
      <c r="R245">
        <v>1</v>
      </c>
      <c r="S245">
        <v>3</v>
      </c>
      <c r="T245">
        <v>978</v>
      </c>
      <c r="U245">
        <v>1</v>
      </c>
    </row>
    <row r="246" spans="1:21" x14ac:dyDescent="0.45">
      <c r="A246" s="4">
        <v>340</v>
      </c>
      <c r="B246" s="4">
        <v>0</v>
      </c>
      <c r="C246" s="4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12038.57689505129</v>
      </c>
      <c r="O246">
        <v>1</v>
      </c>
      <c r="P246">
        <v>0</v>
      </c>
      <c r="Q246">
        <v>0</v>
      </c>
      <c r="R246">
        <v>1</v>
      </c>
      <c r="S246">
        <v>4</v>
      </c>
      <c r="T246">
        <v>830</v>
      </c>
      <c r="U246">
        <v>1</v>
      </c>
    </row>
    <row r="247" spans="1:21" x14ac:dyDescent="0.45">
      <c r="A247" s="4">
        <v>341</v>
      </c>
      <c r="B247" s="4">
        <v>0</v>
      </c>
      <c r="C247" s="4">
        <v>0</v>
      </c>
      <c r="D247">
        <v>0</v>
      </c>
      <c r="E247">
        <v>1</v>
      </c>
      <c r="F247">
        <v>1</v>
      </c>
      <c r="G247">
        <v>2</v>
      </c>
      <c r="H247">
        <v>2</v>
      </c>
      <c r="I247">
        <v>1</v>
      </c>
      <c r="J247">
        <v>0</v>
      </c>
      <c r="K247">
        <v>1</v>
      </c>
      <c r="L247">
        <v>0</v>
      </c>
      <c r="M247">
        <v>3</v>
      </c>
      <c r="N247">
        <v>11093.04538596169</v>
      </c>
      <c r="O247">
        <v>3</v>
      </c>
      <c r="P247">
        <v>1</v>
      </c>
      <c r="Q247">
        <v>1</v>
      </c>
      <c r="R247">
        <v>3</v>
      </c>
      <c r="S247">
        <v>2</v>
      </c>
      <c r="T247">
        <v>107</v>
      </c>
      <c r="U247">
        <v>1</v>
      </c>
    </row>
    <row r="248" spans="1:21" x14ac:dyDescent="0.45">
      <c r="A248" s="4">
        <v>342</v>
      </c>
      <c r="B248" s="4">
        <v>0</v>
      </c>
      <c r="C248" s="4">
        <v>0</v>
      </c>
      <c r="D248">
        <v>1</v>
      </c>
      <c r="E248">
        <v>2</v>
      </c>
      <c r="F248">
        <v>0</v>
      </c>
      <c r="G248">
        <v>5</v>
      </c>
      <c r="H248">
        <v>9</v>
      </c>
      <c r="I248">
        <v>6</v>
      </c>
      <c r="J248">
        <v>2</v>
      </c>
      <c r="K248">
        <v>0</v>
      </c>
      <c r="L248">
        <v>1</v>
      </c>
      <c r="M248">
        <v>10</v>
      </c>
      <c r="N248">
        <v>11263.37221115845</v>
      </c>
      <c r="O248">
        <v>1</v>
      </c>
      <c r="P248">
        <v>0</v>
      </c>
      <c r="Q248">
        <v>1</v>
      </c>
      <c r="R248">
        <v>4</v>
      </c>
      <c r="S248">
        <v>3</v>
      </c>
      <c r="T248">
        <v>119</v>
      </c>
      <c r="U248">
        <v>1</v>
      </c>
    </row>
    <row r="249" spans="1:21" x14ac:dyDescent="0.45">
      <c r="A249" s="4">
        <v>343</v>
      </c>
      <c r="B249" s="4">
        <v>0</v>
      </c>
      <c r="C249" s="4">
        <v>0</v>
      </c>
      <c r="D249">
        <v>1</v>
      </c>
      <c r="E249">
        <v>2</v>
      </c>
      <c r="F249">
        <v>1</v>
      </c>
      <c r="G249">
        <v>5</v>
      </c>
      <c r="H249">
        <v>9</v>
      </c>
      <c r="I249">
        <v>6</v>
      </c>
      <c r="J249">
        <v>2</v>
      </c>
      <c r="K249">
        <v>0</v>
      </c>
      <c r="L249">
        <v>0</v>
      </c>
      <c r="M249">
        <v>10</v>
      </c>
      <c r="N249">
        <v>11014.404414517739</v>
      </c>
      <c r="O249">
        <v>3</v>
      </c>
      <c r="P249">
        <v>0</v>
      </c>
      <c r="Q249">
        <v>0</v>
      </c>
      <c r="R249">
        <v>3</v>
      </c>
      <c r="S249">
        <v>1</v>
      </c>
      <c r="T249">
        <v>198</v>
      </c>
      <c r="U249">
        <v>1</v>
      </c>
    </row>
    <row r="250" spans="1:21" x14ac:dyDescent="0.45">
      <c r="A250" s="4">
        <v>344</v>
      </c>
      <c r="B250" s="4">
        <v>0</v>
      </c>
      <c r="C250" s="4">
        <v>0</v>
      </c>
      <c r="D250">
        <v>3</v>
      </c>
      <c r="E250">
        <v>2</v>
      </c>
      <c r="F250">
        <v>0</v>
      </c>
      <c r="G250">
        <v>8</v>
      </c>
      <c r="H250">
        <v>10</v>
      </c>
      <c r="I250">
        <v>7</v>
      </c>
      <c r="J250">
        <v>2</v>
      </c>
      <c r="K250">
        <v>0</v>
      </c>
      <c r="L250">
        <v>1</v>
      </c>
      <c r="M250">
        <v>12</v>
      </c>
      <c r="N250">
        <v>10906.430365266189</v>
      </c>
      <c r="O250">
        <v>4</v>
      </c>
      <c r="P250">
        <v>0</v>
      </c>
      <c r="Q250">
        <v>1</v>
      </c>
      <c r="R250">
        <v>1</v>
      </c>
      <c r="S250">
        <v>1</v>
      </c>
      <c r="T250">
        <v>128</v>
      </c>
      <c r="U250">
        <v>1</v>
      </c>
    </row>
    <row r="251" spans="1:21" x14ac:dyDescent="0.45">
      <c r="A251" s="4">
        <v>345</v>
      </c>
      <c r="B251" s="4">
        <v>0</v>
      </c>
      <c r="C251" s="4">
        <v>1</v>
      </c>
      <c r="D251">
        <v>3</v>
      </c>
      <c r="E251">
        <v>2</v>
      </c>
      <c r="F251">
        <v>0</v>
      </c>
      <c r="G251">
        <v>8</v>
      </c>
      <c r="H251">
        <v>10</v>
      </c>
      <c r="I251">
        <v>7</v>
      </c>
      <c r="J251">
        <v>2</v>
      </c>
      <c r="K251">
        <v>0</v>
      </c>
      <c r="L251">
        <v>1</v>
      </c>
      <c r="M251">
        <v>12</v>
      </c>
      <c r="N251">
        <v>10997.49742433631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245</v>
      </c>
      <c r="U251">
        <v>1</v>
      </c>
    </row>
    <row r="252" spans="1:21" x14ac:dyDescent="0.45">
      <c r="A252" s="4">
        <v>346</v>
      </c>
      <c r="B252" s="4">
        <v>0</v>
      </c>
      <c r="C252" s="4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3</v>
      </c>
      <c r="N252">
        <v>10174.93285892619</v>
      </c>
      <c r="O252">
        <v>2</v>
      </c>
      <c r="P252">
        <v>1</v>
      </c>
      <c r="Q252">
        <v>1</v>
      </c>
      <c r="R252">
        <v>3</v>
      </c>
      <c r="S252">
        <v>2</v>
      </c>
      <c r="T252">
        <v>520</v>
      </c>
      <c r="U252">
        <v>2</v>
      </c>
    </row>
    <row r="253" spans="1:21" x14ac:dyDescent="0.45">
      <c r="A253" s="4">
        <v>347</v>
      </c>
      <c r="B253" s="4">
        <v>0</v>
      </c>
      <c r="C253" s="4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12238.248827979871</v>
      </c>
      <c r="O253">
        <v>4</v>
      </c>
      <c r="P253">
        <v>1</v>
      </c>
      <c r="Q253">
        <v>0</v>
      </c>
      <c r="R253">
        <v>2</v>
      </c>
      <c r="S253">
        <v>1</v>
      </c>
      <c r="T253">
        <v>169</v>
      </c>
      <c r="U253">
        <v>1</v>
      </c>
    </row>
    <row r="254" spans="1:21" x14ac:dyDescent="0.45">
      <c r="A254" s="4">
        <v>348</v>
      </c>
      <c r="B254" s="4">
        <v>0</v>
      </c>
      <c r="C254" s="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12122.828644175601</v>
      </c>
      <c r="O254">
        <v>4</v>
      </c>
      <c r="P254">
        <v>1</v>
      </c>
      <c r="Q254">
        <v>0</v>
      </c>
      <c r="R254">
        <v>2</v>
      </c>
      <c r="S254">
        <v>1</v>
      </c>
      <c r="T254">
        <v>168</v>
      </c>
      <c r="U254">
        <v>1</v>
      </c>
    </row>
    <row r="255" spans="1:21" x14ac:dyDescent="0.45">
      <c r="A255" s="4">
        <v>349</v>
      </c>
      <c r="B255" s="4">
        <v>0</v>
      </c>
      <c r="C255" s="4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2</v>
      </c>
      <c r="J255">
        <v>0</v>
      </c>
      <c r="K255">
        <v>1</v>
      </c>
      <c r="L255">
        <v>0</v>
      </c>
      <c r="M255">
        <v>0</v>
      </c>
      <c r="N255">
        <v>12047.194124407501</v>
      </c>
      <c r="O255">
        <v>4</v>
      </c>
      <c r="P255">
        <v>1</v>
      </c>
      <c r="Q255">
        <v>0</v>
      </c>
      <c r="R255">
        <v>2</v>
      </c>
      <c r="S255">
        <v>1</v>
      </c>
      <c r="T255">
        <v>375</v>
      </c>
      <c r="U255">
        <v>1</v>
      </c>
    </row>
    <row r="256" spans="1:21" x14ac:dyDescent="0.45">
      <c r="A256" s="4">
        <v>350</v>
      </c>
      <c r="B256" s="4">
        <v>0</v>
      </c>
      <c r="C256" s="4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11966.61296366086</v>
      </c>
      <c r="O256">
        <v>4</v>
      </c>
      <c r="P256">
        <v>0</v>
      </c>
      <c r="Q256">
        <v>0</v>
      </c>
      <c r="R256">
        <v>2</v>
      </c>
      <c r="S256">
        <v>1</v>
      </c>
      <c r="T256">
        <v>279</v>
      </c>
      <c r="U256">
        <v>1</v>
      </c>
    </row>
    <row r="257" spans="1:21" x14ac:dyDescent="0.45">
      <c r="A257" s="4">
        <v>351</v>
      </c>
      <c r="B257" s="4">
        <v>0</v>
      </c>
      <c r="C257" s="4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3</v>
      </c>
      <c r="J257">
        <v>0</v>
      </c>
      <c r="K257">
        <v>2</v>
      </c>
      <c r="L257">
        <v>0</v>
      </c>
      <c r="M257">
        <v>3</v>
      </c>
      <c r="N257">
        <v>11190.95156902177</v>
      </c>
      <c r="O257">
        <v>2</v>
      </c>
      <c r="P257">
        <v>0</v>
      </c>
      <c r="Q257">
        <v>0</v>
      </c>
      <c r="R257">
        <v>1</v>
      </c>
      <c r="S257">
        <v>1</v>
      </c>
      <c r="T257">
        <v>9</v>
      </c>
      <c r="U257">
        <v>1</v>
      </c>
    </row>
    <row r="258" spans="1:21" x14ac:dyDescent="0.45">
      <c r="A258" s="4">
        <v>352</v>
      </c>
      <c r="B258" s="4">
        <v>0</v>
      </c>
      <c r="C258" s="4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12619.15018764705</v>
      </c>
      <c r="O258">
        <v>3</v>
      </c>
      <c r="P258">
        <v>0</v>
      </c>
      <c r="Q258">
        <v>0</v>
      </c>
      <c r="R258">
        <v>2</v>
      </c>
      <c r="S258">
        <v>1</v>
      </c>
      <c r="T258">
        <v>106</v>
      </c>
      <c r="U258">
        <v>1</v>
      </c>
    </row>
    <row r="259" spans="1:21" x14ac:dyDescent="0.45">
      <c r="A259" s="4">
        <v>353</v>
      </c>
      <c r="B259" s="4">
        <v>0</v>
      </c>
      <c r="C259" s="4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12005.981154714549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19</v>
      </c>
      <c r="U259">
        <v>1</v>
      </c>
    </row>
    <row r="260" spans="1:21" x14ac:dyDescent="0.45">
      <c r="A260" s="4">
        <v>355</v>
      </c>
      <c r="B260" s="4">
        <v>0</v>
      </c>
      <c r="C260" s="4">
        <v>0</v>
      </c>
      <c r="D260">
        <v>1</v>
      </c>
      <c r="E260">
        <v>1</v>
      </c>
      <c r="F260">
        <v>0</v>
      </c>
      <c r="G260">
        <v>4</v>
      </c>
      <c r="H260">
        <v>6</v>
      </c>
      <c r="I260">
        <v>13</v>
      </c>
      <c r="J260">
        <v>0</v>
      </c>
      <c r="K260">
        <v>6</v>
      </c>
      <c r="L260">
        <v>0</v>
      </c>
      <c r="M260">
        <v>7</v>
      </c>
      <c r="N260">
        <v>7268.2338341893774</v>
      </c>
      <c r="O260">
        <v>3</v>
      </c>
      <c r="P260">
        <v>0</v>
      </c>
      <c r="Q260">
        <v>1</v>
      </c>
      <c r="R260">
        <v>1</v>
      </c>
      <c r="S260">
        <v>4</v>
      </c>
      <c r="T260">
        <v>986</v>
      </c>
      <c r="U260">
        <v>3</v>
      </c>
    </row>
    <row r="261" spans="1:21" x14ac:dyDescent="0.45">
      <c r="A261" s="4">
        <v>356</v>
      </c>
      <c r="B261" s="4">
        <v>0</v>
      </c>
      <c r="C261" s="4">
        <v>0</v>
      </c>
      <c r="D261">
        <v>1</v>
      </c>
      <c r="E261">
        <v>1</v>
      </c>
      <c r="F261">
        <v>0</v>
      </c>
      <c r="G261">
        <v>4</v>
      </c>
      <c r="H261">
        <v>6</v>
      </c>
      <c r="I261">
        <v>13</v>
      </c>
      <c r="J261">
        <v>0</v>
      </c>
      <c r="K261">
        <v>6</v>
      </c>
      <c r="L261">
        <v>0</v>
      </c>
      <c r="M261">
        <v>7</v>
      </c>
      <c r="N261">
        <v>7400.3296356388364</v>
      </c>
      <c r="O261">
        <v>3</v>
      </c>
      <c r="P261">
        <v>0</v>
      </c>
      <c r="Q261">
        <v>1</v>
      </c>
      <c r="R261">
        <v>1</v>
      </c>
      <c r="S261">
        <v>1</v>
      </c>
      <c r="T261">
        <v>299</v>
      </c>
      <c r="U261">
        <v>1</v>
      </c>
    </row>
    <row r="262" spans="1:21" x14ac:dyDescent="0.45">
      <c r="A262" s="4">
        <v>357</v>
      </c>
      <c r="B262" s="4">
        <v>0</v>
      </c>
      <c r="C262" s="4">
        <v>0</v>
      </c>
      <c r="D262">
        <v>1</v>
      </c>
      <c r="E262">
        <v>1</v>
      </c>
      <c r="F262">
        <v>0</v>
      </c>
      <c r="G262">
        <v>4</v>
      </c>
      <c r="H262">
        <v>6</v>
      </c>
      <c r="I262">
        <v>13</v>
      </c>
      <c r="J262">
        <v>0</v>
      </c>
      <c r="K262">
        <v>6</v>
      </c>
      <c r="L262">
        <v>0</v>
      </c>
      <c r="M262">
        <v>7</v>
      </c>
      <c r="N262">
        <v>7329.6998890649757</v>
      </c>
      <c r="O262">
        <v>3</v>
      </c>
      <c r="P262">
        <v>0</v>
      </c>
      <c r="Q262">
        <v>1</v>
      </c>
      <c r="R262">
        <v>1</v>
      </c>
      <c r="S262">
        <v>2</v>
      </c>
      <c r="T262">
        <v>192</v>
      </c>
      <c r="U262">
        <v>1</v>
      </c>
    </row>
    <row r="263" spans="1:21" x14ac:dyDescent="0.45">
      <c r="A263" s="4">
        <v>358</v>
      </c>
      <c r="B263" s="4">
        <v>0</v>
      </c>
      <c r="C263" s="4">
        <v>0</v>
      </c>
      <c r="D263">
        <v>1</v>
      </c>
      <c r="E263">
        <v>1</v>
      </c>
      <c r="F263">
        <v>0</v>
      </c>
      <c r="G263">
        <v>4</v>
      </c>
      <c r="H263">
        <v>6</v>
      </c>
      <c r="I263">
        <v>13</v>
      </c>
      <c r="J263">
        <v>0</v>
      </c>
      <c r="K263">
        <v>6</v>
      </c>
      <c r="L263">
        <v>0</v>
      </c>
      <c r="M263">
        <v>7</v>
      </c>
      <c r="N263">
        <v>7329.6998890649757</v>
      </c>
      <c r="O263">
        <v>3</v>
      </c>
      <c r="P263">
        <v>0</v>
      </c>
      <c r="Q263">
        <v>1</v>
      </c>
      <c r="R263">
        <v>1</v>
      </c>
      <c r="S263">
        <v>2</v>
      </c>
      <c r="T263">
        <v>197</v>
      </c>
      <c r="U263">
        <v>1</v>
      </c>
    </row>
    <row r="264" spans="1:21" x14ac:dyDescent="0.45">
      <c r="A264" s="4">
        <v>359</v>
      </c>
      <c r="B264" s="4">
        <v>0</v>
      </c>
      <c r="C264" s="4">
        <v>0</v>
      </c>
      <c r="D264">
        <v>1</v>
      </c>
      <c r="E264">
        <v>1</v>
      </c>
      <c r="F264">
        <v>0</v>
      </c>
      <c r="G264">
        <v>4</v>
      </c>
      <c r="H264">
        <v>6</v>
      </c>
      <c r="I264">
        <v>13</v>
      </c>
      <c r="J264">
        <v>0</v>
      </c>
      <c r="K264">
        <v>6</v>
      </c>
      <c r="L264">
        <v>0</v>
      </c>
      <c r="M264">
        <v>7</v>
      </c>
      <c r="N264">
        <v>7382.5501180831798</v>
      </c>
      <c r="O264">
        <v>3</v>
      </c>
      <c r="P264">
        <v>0</v>
      </c>
      <c r="Q264">
        <v>1</v>
      </c>
      <c r="R264">
        <v>1</v>
      </c>
      <c r="S264">
        <v>4</v>
      </c>
      <c r="T264">
        <v>586</v>
      </c>
      <c r="U264">
        <v>1</v>
      </c>
    </row>
    <row r="265" spans="1:21" x14ac:dyDescent="0.45">
      <c r="A265" s="4">
        <v>360</v>
      </c>
      <c r="B265" s="4">
        <v>0</v>
      </c>
      <c r="C265" s="4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3</v>
      </c>
      <c r="N265">
        <v>9308.7608567134375</v>
      </c>
      <c r="O265">
        <v>1</v>
      </c>
      <c r="P265">
        <v>1</v>
      </c>
      <c r="Q265">
        <v>0</v>
      </c>
      <c r="R265">
        <v>3</v>
      </c>
      <c r="S265">
        <v>3</v>
      </c>
      <c r="T265">
        <v>1418</v>
      </c>
      <c r="U265">
        <v>3</v>
      </c>
    </row>
    <row r="266" spans="1:21" x14ac:dyDescent="0.45">
      <c r="A266" s="4">
        <v>361</v>
      </c>
      <c r="B266" s="4">
        <v>0</v>
      </c>
      <c r="C266" s="4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9275.8525242641881</v>
      </c>
      <c r="O266">
        <v>2</v>
      </c>
      <c r="P266">
        <v>1</v>
      </c>
      <c r="Q266">
        <v>1</v>
      </c>
      <c r="R266">
        <v>3</v>
      </c>
      <c r="S266">
        <v>2</v>
      </c>
      <c r="T266">
        <v>1301</v>
      </c>
      <c r="U266">
        <v>1</v>
      </c>
    </row>
    <row r="267" spans="1:21" x14ac:dyDescent="0.45">
      <c r="A267" s="4">
        <v>362</v>
      </c>
      <c r="B267" s="4">
        <v>0</v>
      </c>
      <c r="C267" s="4">
        <v>0</v>
      </c>
      <c r="D267">
        <v>1</v>
      </c>
      <c r="E267">
        <v>5</v>
      </c>
      <c r="F267">
        <v>0</v>
      </c>
      <c r="G267">
        <v>9</v>
      </c>
      <c r="H267">
        <v>14</v>
      </c>
      <c r="I267">
        <v>13</v>
      </c>
      <c r="J267">
        <v>2</v>
      </c>
      <c r="K267">
        <v>1</v>
      </c>
      <c r="L267">
        <v>1</v>
      </c>
      <c r="M267">
        <v>19</v>
      </c>
      <c r="N267">
        <v>6403.4858490824954</v>
      </c>
      <c r="O267">
        <v>3</v>
      </c>
      <c r="P267">
        <v>0</v>
      </c>
      <c r="Q267">
        <v>1</v>
      </c>
      <c r="R267">
        <v>4</v>
      </c>
      <c r="S267">
        <v>3</v>
      </c>
      <c r="T267">
        <v>449</v>
      </c>
      <c r="U267">
        <v>2</v>
      </c>
    </row>
    <row r="268" spans="1:21" x14ac:dyDescent="0.45">
      <c r="A268" s="4">
        <v>363</v>
      </c>
      <c r="B268" s="4">
        <v>0</v>
      </c>
      <c r="C268" s="4">
        <v>0</v>
      </c>
      <c r="D268">
        <v>0</v>
      </c>
      <c r="E268">
        <v>2</v>
      </c>
      <c r="F268">
        <v>0</v>
      </c>
      <c r="G268">
        <v>6</v>
      </c>
      <c r="H268">
        <v>9</v>
      </c>
      <c r="I268">
        <v>26</v>
      </c>
      <c r="J268">
        <v>0</v>
      </c>
      <c r="K268">
        <v>11</v>
      </c>
      <c r="L268">
        <v>0</v>
      </c>
      <c r="M268">
        <v>8</v>
      </c>
      <c r="N268">
        <v>6184.8556137940759</v>
      </c>
      <c r="O268">
        <v>3</v>
      </c>
      <c r="P268">
        <v>0</v>
      </c>
      <c r="Q268">
        <v>1</v>
      </c>
      <c r="R268">
        <v>1</v>
      </c>
      <c r="S268">
        <v>2</v>
      </c>
      <c r="T268">
        <v>187</v>
      </c>
      <c r="U268">
        <v>1</v>
      </c>
    </row>
    <row r="269" spans="1:21" x14ac:dyDescent="0.45">
      <c r="A269" s="4">
        <v>364</v>
      </c>
      <c r="B269" s="4">
        <v>0</v>
      </c>
      <c r="C269" s="4">
        <v>0</v>
      </c>
      <c r="D269">
        <v>0</v>
      </c>
      <c r="E269">
        <v>0</v>
      </c>
      <c r="F269">
        <v>0</v>
      </c>
      <c r="G269">
        <v>3</v>
      </c>
      <c r="H269">
        <v>0</v>
      </c>
      <c r="I269">
        <v>23</v>
      </c>
      <c r="J269">
        <v>0</v>
      </c>
      <c r="K269">
        <v>6</v>
      </c>
      <c r="L269">
        <v>0</v>
      </c>
      <c r="M269">
        <v>8</v>
      </c>
      <c r="N269">
        <v>6774.983366836721</v>
      </c>
      <c r="O269">
        <v>1</v>
      </c>
      <c r="P269">
        <v>0</v>
      </c>
      <c r="Q269">
        <v>0</v>
      </c>
      <c r="R269">
        <v>1</v>
      </c>
      <c r="S269">
        <v>1</v>
      </c>
      <c r="T269">
        <v>1194</v>
      </c>
      <c r="U269">
        <v>1</v>
      </c>
    </row>
    <row r="270" spans="1:21" x14ac:dyDescent="0.45">
      <c r="A270" s="4">
        <v>365</v>
      </c>
      <c r="B270" s="4">
        <v>0</v>
      </c>
      <c r="C270" s="4">
        <v>0</v>
      </c>
      <c r="D270">
        <v>1</v>
      </c>
      <c r="E270">
        <v>2</v>
      </c>
      <c r="F270">
        <v>1</v>
      </c>
      <c r="G270">
        <v>4</v>
      </c>
      <c r="H270">
        <v>5</v>
      </c>
      <c r="I270">
        <v>5</v>
      </c>
      <c r="J270">
        <v>0</v>
      </c>
      <c r="K270">
        <v>1</v>
      </c>
      <c r="L270">
        <v>0</v>
      </c>
      <c r="M270">
        <v>16</v>
      </c>
      <c r="N270">
        <v>5898.1046852493446</v>
      </c>
      <c r="O270">
        <v>4</v>
      </c>
      <c r="P270">
        <v>1</v>
      </c>
      <c r="Q270">
        <v>1</v>
      </c>
      <c r="R270">
        <v>3</v>
      </c>
      <c r="S270">
        <v>4</v>
      </c>
      <c r="T270">
        <v>3356</v>
      </c>
      <c r="U270">
        <v>1</v>
      </c>
    </row>
    <row r="271" spans="1:21" x14ac:dyDescent="0.45">
      <c r="A271" s="4">
        <v>366</v>
      </c>
      <c r="B271" s="4">
        <v>0</v>
      </c>
      <c r="C271" s="4">
        <v>0</v>
      </c>
      <c r="D271">
        <v>1</v>
      </c>
      <c r="E271">
        <v>2</v>
      </c>
      <c r="F271">
        <v>1</v>
      </c>
      <c r="G271">
        <v>4</v>
      </c>
      <c r="H271">
        <v>5</v>
      </c>
      <c r="I271">
        <v>5</v>
      </c>
      <c r="J271">
        <v>0</v>
      </c>
      <c r="K271">
        <v>1</v>
      </c>
      <c r="L271">
        <v>0</v>
      </c>
      <c r="M271">
        <v>16</v>
      </c>
      <c r="N271">
        <v>5898.1046852493446</v>
      </c>
      <c r="O271">
        <v>3</v>
      </c>
      <c r="P271">
        <v>1</v>
      </c>
      <c r="Q271">
        <v>1</v>
      </c>
      <c r="R271">
        <v>3</v>
      </c>
      <c r="S271">
        <v>3</v>
      </c>
      <c r="T271">
        <v>1631</v>
      </c>
      <c r="U271">
        <v>1</v>
      </c>
    </row>
    <row r="272" spans="1:21" x14ac:dyDescent="0.45">
      <c r="A272" s="4">
        <v>367</v>
      </c>
      <c r="B272" s="4">
        <v>0</v>
      </c>
      <c r="C272" s="4">
        <v>0</v>
      </c>
      <c r="D272">
        <v>1</v>
      </c>
      <c r="E272">
        <v>3</v>
      </c>
      <c r="F272">
        <v>1</v>
      </c>
      <c r="G272">
        <v>5</v>
      </c>
      <c r="H272">
        <v>6</v>
      </c>
      <c r="I272">
        <v>5</v>
      </c>
      <c r="J272">
        <v>0</v>
      </c>
      <c r="K272">
        <v>2</v>
      </c>
      <c r="L272">
        <v>0</v>
      </c>
      <c r="M272">
        <v>18</v>
      </c>
      <c r="N272">
        <v>5898.1046852493446</v>
      </c>
      <c r="O272">
        <v>3</v>
      </c>
      <c r="P272">
        <v>1</v>
      </c>
      <c r="Q272">
        <v>1</v>
      </c>
      <c r="R272">
        <v>3</v>
      </c>
      <c r="S272">
        <v>3</v>
      </c>
      <c r="T272">
        <v>1576</v>
      </c>
      <c r="U272">
        <v>1</v>
      </c>
    </row>
    <row r="273" spans="1:21" x14ac:dyDescent="0.45">
      <c r="A273" s="4">
        <v>369</v>
      </c>
      <c r="B273" s="4">
        <v>0</v>
      </c>
      <c r="C273" s="4">
        <v>0</v>
      </c>
      <c r="D273">
        <v>2</v>
      </c>
      <c r="E273">
        <v>3</v>
      </c>
      <c r="F273">
        <v>1</v>
      </c>
      <c r="G273">
        <v>8</v>
      </c>
      <c r="H273">
        <v>9</v>
      </c>
      <c r="I273">
        <v>8</v>
      </c>
      <c r="J273">
        <v>0</v>
      </c>
      <c r="K273">
        <v>7</v>
      </c>
      <c r="L273">
        <v>7</v>
      </c>
      <c r="M273">
        <v>13</v>
      </c>
      <c r="N273">
        <v>6315.0452262609906</v>
      </c>
      <c r="O273">
        <v>4</v>
      </c>
      <c r="P273">
        <v>0</v>
      </c>
      <c r="Q273">
        <v>1</v>
      </c>
      <c r="R273">
        <v>2</v>
      </c>
      <c r="S273">
        <v>2</v>
      </c>
      <c r="T273">
        <v>480</v>
      </c>
      <c r="U273">
        <v>1</v>
      </c>
    </row>
    <row r="274" spans="1:21" x14ac:dyDescent="0.45">
      <c r="A274" s="4">
        <v>370</v>
      </c>
      <c r="B274" s="4">
        <v>1</v>
      </c>
      <c r="C274" s="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2</v>
      </c>
      <c r="L274">
        <v>0</v>
      </c>
      <c r="M274">
        <v>3</v>
      </c>
      <c r="N274">
        <v>13683.594137785431</v>
      </c>
      <c r="O274">
        <v>1</v>
      </c>
      <c r="P274">
        <v>1</v>
      </c>
      <c r="Q274">
        <v>0</v>
      </c>
      <c r="R274">
        <v>1</v>
      </c>
      <c r="S274">
        <v>2</v>
      </c>
      <c r="T274">
        <v>436</v>
      </c>
      <c r="U274">
        <v>3</v>
      </c>
    </row>
    <row r="275" spans="1:21" x14ac:dyDescent="0.45">
      <c r="A275" s="4">
        <v>371</v>
      </c>
      <c r="B275" s="4">
        <v>0</v>
      </c>
      <c r="C275" s="4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2</v>
      </c>
      <c r="L275">
        <v>0</v>
      </c>
      <c r="M275">
        <v>3</v>
      </c>
      <c r="N275">
        <v>13683.594137785431</v>
      </c>
      <c r="O275">
        <v>3</v>
      </c>
      <c r="P275">
        <v>1</v>
      </c>
      <c r="Q275">
        <v>0</v>
      </c>
      <c r="R275">
        <v>1</v>
      </c>
      <c r="S275">
        <v>2</v>
      </c>
      <c r="T275">
        <v>85</v>
      </c>
      <c r="U275">
        <v>1</v>
      </c>
    </row>
    <row r="276" spans="1:21" x14ac:dyDescent="0.45">
      <c r="A276" s="4">
        <v>372</v>
      </c>
      <c r="B276" s="4">
        <v>0</v>
      </c>
      <c r="C276" s="4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2</v>
      </c>
      <c r="L276">
        <v>0</v>
      </c>
      <c r="M276">
        <v>3</v>
      </c>
      <c r="N276">
        <v>13848.714429143771</v>
      </c>
      <c r="O276">
        <v>1</v>
      </c>
      <c r="P276">
        <v>1</v>
      </c>
      <c r="Q276">
        <v>0</v>
      </c>
      <c r="R276">
        <v>1</v>
      </c>
      <c r="S276">
        <v>2</v>
      </c>
      <c r="T276">
        <v>278</v>
      </c>
      <c r="U276">
        <v>1</v>
      </c>
    </row>
    <row r="277" spans="1:21" x14ac:dyDescent="0.45">
      <c r="A277" s="4">
        <v>373</v>
      </c>
      <c r="B277" s="4">
        <v>0</v>
      </c>
      <c r="C277" s="4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2</v>
      </c>
      <c r="L277">
        <v>0</v>
      </c>
      <c r="M277">
        <v>2</v>
      </c>
      <c r="N277">
        <v>13927.26186468625</v>
      </c>
      <c r="O277">
        <v>2</v>
      </c>
      <c r="P277">
        <v>1</v>
      </c>
      <c r="Q277">
        <v>0</v>
      </c>
      <c r="R277">
        <v>1</v>
      </c>
      <c r="S277">
        <v>2</v>
      </c>
      <c r="T277">
        <v>270</v>
      </c>
      <c r="U277">
        <v>1</v>
      </c>
    </row>
    <row r="278" spans="1:21" x14ac:dyDescent="0.45">
      <c r="A278" s="4">
        <v>374</v>
      </c>
      <c r="B278" s="4">
        <v>0</v>
      </c>
      <c r="C278" s="4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0</v>
      </c>
      <c r="K278">
        <v>2</v>
      </c>
      <c r="L278">
        <v>0</v>
      </c>
      <c r="M278">
        <v>3</v>
      </c>
      <c r="N278">
        <v>13848.714429143771</v>
      </c>
      <c r="O278">
        <v>4</v>
      </c>
      <c r="P278">
        <v>1</v>
      </c>
      <c r="Q278">
        <v>0</v>
      </c>
      <c r="R278">
        <v>1</v>
      </c>
      <c r="S278">
        <v>2</v>
      </c>
      <c r="T278">
        <v>717</v>
      </c>
      <c r="U278">
        <v>2</v>
      </c>
    </row>
    <row r="279" spans="1:21" x14ac:dyDescent="0.45">
      <c r="A279" s="4">
        <v>375</v>
      </c>
      <c r="B279" s="4">
        <v>0</v>
      </c>
      <c r="C279" s="4">
        <v>0</v>
      </c>
      <c r="D279">
        <v>0</v>
      </c>
      <c r="E279">
        <v>0</v>
      </c>
      <c r="F279">
        <v>0</v>
      </c>
      <c r="G279">
        <v>1</v>
      </c>
      <c r="H279">
        <v>2</v>
      </c>
      <c r="I279">
        <v>2</v>
      </c>
      <c r="J279">
        <v>0</v>
      </c>
      <c r="K279">
        <v>2</v>
      </c>
      <c r="L279">
        <v>0</v>
      </c>
      <c r="M279">
        <v>2</v>
      </c>
      <c r="N279">
        <v>13848.907572354359</v>
      </c>
      <c r="O279">
        <v>4</v>
      </c>
      <c r="P279">
        <v>1</v>
      </c>
      <c r="Q279">
        <v>0</v>
      </c>
      <c r="R279">
        <v>1</v>
      </c>
      <c r="S279">
        <v>4</v>
      </c>
      <c r="T279">
        <v>955</v>
      </c>
      <c r="U279">
        <v>3</v>
      </c>
    </row>
    <row r="280" spans="1:21" x14ac:dyDescent="0.45">
      <c r="A280" s="4">
        <v>376</v>
      </c>
      <c r="B280" s="4">
        <v>0</v>
      </c>
      <c r="C280" s="4">
        <v>0</v>
      </c>
      <c r="D280">
        <v>0</v>
      </c>
      <c r="E280">
        <v>1</v>
      </c>
      <c r="F280">
        <v>0</v>
      </c>
      <c r="G280">
        <v>5</v>
      </c>
      <c r="H280">
        <v>6</v>
      </c>
      <c r="I280">
        <v>2</v>
      </c>
      <c r="J280">
        <v>0</v>
      </c>
      <c r="K280">
        <v>1</v>
      </c>
      <c r="L280">
        <v>0</v>
      </c>
      <c r="M280">
        <v>3</v>
      </c>
      <c r="N280">
        <v>9112.4484078482765</v>
      </c>
      <c r="O280">
        <v>3</v>
      </c>
      <c r="P280">
        <v>1</v>
      </c>
      <c r="Q280">
        <v>1</v>
      </c>
      <c r="R280">
        <v>4</v>
      </c>
      <c r="S280">
        <v>3</v>
      </c>
      <c r="T280">
        <v>496</v>
      </c>
      <c r="U280">
        <v>3</v>
      </c>
    </row>
    <row r="281" spans="1:21" x14ac:dyDescent="0.45">
      <c r="A281" s="4">
        <v>377</v>
      </c>
      <c r="B281" s="4">
        <v>0</v>
      </c>
      <c r="C281" s="4">
        <v>0</v>
      </c>
      <c r="D281">
        <v>1</v>
      </c>
      <c r="E281">
        <v>0</v>
      </c>
      <c r="F281">
        <v>0</v>
      </c>
      <c r="G281">
        <v>3</v>
      </c>
      <c r="H281">
        <v>6</v>
      </c>
      <c r="I281">
        <v>5</v>
      </c>
      <c r="J281">
        <v>0</v>
      </c>
      <c r="K281">
        <v>0</v>
      </c>
      <c r="L281">
        <v>0</v>
      </c>
      <c r="M281">
        <v>3</v>
      </c>
      <c r="N281">
        <v>10943.00039676575</v>
      </c>
      <c r="O281">
        <v>1</v>
      </c>
      <c r="P281">
        <v>0</v>
      </c>
      <c r="Q281">
        <v>1</v>
      </c>
      <c r="R281">
        <v>4</v>
      </c>
      <c r="S281">
        <v>2</v>
      </c>
      <c r="T281">
        <v>879</v>
      </c>
      <c r="U281">
        <v>3</v>
      </c>
    </row>
    <row r="282" spans="1:21" x14ac:dyDescent="0.45">
      <c r="A282" s="4">
        <v>378</v>
      </c>
      <c r="B282" s="4">
        <v>0</v>
      </c>
      <c r="C282" s="4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2</v>
      </c>
      <c r="N282">
        <v>11106.696061093569</v>
      </c>
      <c r="O282">
        <v>2</v>
      </c>
      <c r="P282">
        <v>0</v>
      </c>
      <c r="Q282">
        <v>0</v>
      </c>
      <c r="R282">
        <v>3</v>
      </c>
      <c r="S282">
        <v>3</v>
      </c>
      <c r="T282">
        <v>203</v>
      </c>
      <c r="U282">
        <v>1</v>
      </c>
    </row>
    <row r="283" spans="1:21" x14ac:dyDescent="0.45">
      <c r="A283" s="4">
        <v>379</v>
      </c>
      <c r="B283" s="4">
        <v>0</v>
      </c>
      <c r="C283" s="4">
        <v>0</v>
      </c>
      <c r="D283">
        <v>1</v>
      </c>
      <c r="E283">
        <v>1</v>
      </c>
      <c r="F283">
        <v>0</v>
      </c>
      <c r="G283">
        <v>3</v>
      </c>
      <c r="H283">
        <v>6</v>
      </c>
      <c r="I283">
        <v>6</v>
      </c>
      <c r="J283">
        <v>0</v>
      </c>
      <c r="K283">
        <v>0</v>
      </c>
      <c r="L283">
        <v>0</v>
      </c>
      <c r="M283">
        <v>3</v>
      </c>
      <c r="N283">
        <v>10843.23156942175</v>
      </c>
      <c r="O283">
        <v>2</v>
      </c>
      <c r="P283">
        <v>0</v>
      </c>
      <c r="Q283">
        <v>0</v>
      </c>
      <c r="R283">
        <v>3</v>
      </c>
      <c r="S283">
        <v>1</v>
      </c>
      <c r="T283">
        <v>101</v>
      </c>
      <c r="U283">
        <v>1</v>
      </c>
    </row>
    <row r="284" spans="1:21" x14ac:dyDescent="0.45">
      <c r="A284" s="4">
        <v>380</v>
      </c>
      <c r="B284" s="4">
        <v>0</v>
      </c>
      <c r="C284" s="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11071.501757336589</v>
      </c>
      <c r="O284">
        <v>1</v>
      </c>
      <c r="P284">
        <v>1</v>
      </c>
      <c r="Q284">
        <v>0</v>
      </c>
      <c r="R284">
        <v>4</v>
      </c>
      <c r="S284">
        <v>6</v>
      </c>
      <c r="T284">
        <v>16400</v>
      </c>
      <c r="U284">
        <v>4</v>
      </c>
    </row>
    <row r="285" spans="1:21" x14ac:dyDescent="0.45">
      <c r="A285" s="4">
        <v>381</v>
      </c>
      <c r="B285" s="4">
        <v>0</v>
      </c>
      <c r="C285" s="4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2</v>
      </c>
      <c r="N285">
        <v>11426.951379519691</v>
      </c>
      <c r="O285">
        <v>3</v>
      </c>
      <c r="P285">
        <v>0</v>
      </c>
      <c r="Q285">
        <v>0</v>
      </c>
      <c r="R285">
        <v>3</v>
      </c>
      <c r="S285">
        <v>2</v>
      </c>
      <c r="T285">
        <v>585</v>
      </c>
      <c r="U285">
        <v>1</v>
      </c>
    </row>
    <row r="286" spans="1:21" x14ac:dyDescent="0.45">
      <c r="A286" s="4">
        <v>386</v>
      </c>
      <c r="B286" s="4">
        <v>0</v>
      </c>
      <c r="C286" s="4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20210.893444579549</v>
      </c>
      <c r="O286">
        <v>3</v>
      </c>
      <c r="P286">
        <v>0</v>
      </c>
      <c r="Q286">
        <v>0</v>
      </c>
      <c r="R286">
        <v>1</v>
      </c>
      <c r="S286">
        <v>1</v>
      </c>
      <c r="T286">
        <v>386</v>
      </c>
      <c r="U286">
        <v>1</v>
      </c>
    </row>
    <row r="287" spans="1:21" x14ac:dyDescent="0.45">
      <c r="A287" s="4">
        <v>387</v>
      </c>
      <c r="B287" s="4">
        <v>0</v>
      </c>
      <c r="C287" s="4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20251.88390815556</v>
      </c>
      <c r="O287">
        <v>2</v>
      </c>
      <c r="P287">
        <v>0</v>
      </c>
      <c r="Q287">
        <v>0</v>
      </c>
      <c r="R287">
        <v>1</v>
      </c>
      <c r="S287">
        <v>1</v>
      </c>
      <c r="T287">
        <v>635</v>
      </c>
      <c r="U287">
        <v>1</v>
      </c>
    </row>
    <row r="288" spans="1:21" x14ac:dyDescent="0.45">
      <c r="A288" s="4">
        <v>389</v>
      </c>
      <c r="B288" s="4">
        <v>0</v>
      </c>
      <c r="C288" s="4">
        <v>1</v>
      </c>
      <c r="D288">
        <v>0</v>
      </c>
      <c r="E288">
        <v>0</v>
      </c>
      <c r="F288">
        <v>0</v>
      </c>
      <c r="G288">
        <v>4</v>
      </c>
      <c r="H288">
        <v>7</v>
      </c>
      <c r="I288">
        <v>5</v>
      </c>
      <c r="J288">
        <v>0</v>
      </c>
      <c r="K288">
        <v>0</v>
      </c>
      <c r="L288">
        <v>0</v>
      </c>
      <c r="M288">
        <v>2</v>
      </c>
      <c r="N288">
        <v>18536.520834306561</v>
      </c>
      <c r="O288">
        <v>1</v>
      </c>
      <c r="P288">
        <v>0</v>
      </c>
      <c r="Q288">
        <v>1</v>
      </c>
      <c r="R288">
        <v>4</v>
      </c>
      <c r="S288">
        <v>1</v>
      </c>
      <c r="T288">
        <v>42</v>
      </c>
      <c r="U288">
        <v>1</v>
      </c>
    </row>
    <row r="289" spans="1:21" x14ac:dyDescent="0.45">
      <c r="A289" s="4">
        <v>390</v>
      </c>
      <c r="B289" s="4">
        <v>0</v>
      </c>
      <c r="C289" s="4">
        <v>0</v>
      </c>
      <c r="D289">
        <v>0</v>
      </c>
      <c r="E289">
        <v>1</v>
      </c>
      <c r="F289">
        <v>0</v>
      </c>
      <c r="G289">
        <v>1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3</v>
      </c>
      <c r="N289">
        <v>18112.29502954768</v>
      </c>
      <c r="O289">
        <v>1</v>
      </c>
      <c r="P289">
        <v>1</v>
      </c>
      <c r="Q289">
        <v>1</v>
      </c>
      <c r="R289">
        <v>2</v>
      </c>
      <c r="S289">
        <v>2</v>
      </c>
      <c r="T289">
        <v>335</v>
      </c>
      <c r="U289">
        <v>1</v>
      </c>
    </row>
    <row r="290" spans="1:21" x14ac:dyDescent="0.45">
      <c r="A290" s="4">
        <v>391</v>
      </c>
      <c r="B290" s="4">
        <v>0</v>
      </c>
      <c r="C290" s="4">
        <v>0</v>
      </c>
      <c r="D290">
        <v>0</v>
      </c>
      <c r="E290">
        <v>3</v>
      </c>
      <c r="F290">
        <v>0</v>
      </c>
      <c r="G290">
        <v>5</v>
      </c>
      <c r="H290">
        <v>8</v>
      </c>
      <c r="I290">
        <v>6</v>
      </c>
      <c r="J290">
        <v>0</v>
      </c>
      <c r="K290">
        <v>0</v>
      </c>
      <c r="L290">
        <v>0</v>
      </c>
      <c r="M290">
        <v>13</v>
      </c>
      <c r="N290">
        <v>15511.66053107822</v>
      </c>
      <c r="O290">
        <v>1</v>
      </c>
      <c r="P290">
        <v>1</v>
      </c>
      <c r="Q290">
        <v>1</v>
      </c>
      <c r="R290">
        <v>4</v>
      </c>
      <c r="S290">
        <v>2</v>
      </c>
      <c r="T290">
        <v>340</v>
      </c>
      <c r="U290">
        <v>3</v>
      </c>
    </row>
    <row r="291" spans="1:21" x14ac:dyDescent="0.45">
      <c r="A291" s="4">
        <v>392</v>
      </c>
      <c r="B291" s="4">
        <v>0</v>
      </c>
      <c r="C291" s="4">
        <v>0</v>
      </c>
      <c r="D291">
        <v>0</v>
      </c>
      <c r="E291">
        <v>1</v>
      </c>
      <c r="F291">
        <v>0</v>
      </c>
      <c r="G291">
        <v>1</v>
      </c>
      <c r="H291">
        <v>2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15228.91343223275</v>
      </c>
      <c r="O291">
        <v>3</v>
      </c>
      <c r="P291">
        <v>0</v>
      </c>
      <c r="Q291">
        <v>0</v>
      </c>
      <c r="R291">
        <v>1</v>
      </c>
      <c r="S291">
        <v>2</v>
      </c>
      <c r="T291">
        <v>1233</v>
      </c>
      <c r="U291">
        <v>1</v>
      </c>
    </row>
    <row r="292" spans="1:21" x14ac:dyDescent="0.45">
      <c r="A292" s="4">
        <v>393</v>
      </c>
      <c r="B292" s="4">
        <v>0</v>
      </c>
      <c r="C292" s="4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3</v>
      </c>
      <c r="N292">
        <v>15098.126263965771</v>
      </c>
      <c r="O292">
        <v>3</v>
      </c>
      <c r="P292">
        <v>0</v>
      </c>
      <c r="Q292">
        <v>0</v>
      </c>
      <c r="R292">
        <v>1</v>
      </c>
      <c r="S292">
        <v>2</v>
      </c>
      <c r="T292">
        <v>708</v>
      </c>
      <c r="U292">
        <v>1</v>
      </c>
    </row>
    <row r="293" spans="1:21" x14ac:dyDescent="0.45">
      <c r="A293" s="4">
        <v>394</v>
      </c>
      <c r="B293" s="4">
        <v>0</v>
      </c>
      <c r="C293" s="4">
        <v>1</v>
      </c>
      <c r="D293">
        <v>0</v>
      </c>
      <c r="E293">
        <v>1</v>
      </c>
      <c r="F293">
        <v>0</v>
      </c>
      <c r="G293">
        <v>3</v>
      </c>
      <c r="H293">
        <v>2</v>
      </c>
      <c r="I293">
        <v>1</v>
      </c>
      <c r="J293">
        <v>0</v>
      </c>
      <c r="K293">
        <v>0</v>
      </c>
      <c r="L293">
        <v>0</v>
      </c>
      <c r="M293">
        <v>11</v>
      </c>
      <c r="N293">
        <v>15005.25821295487</v>
      </c>
      <c r="O293">
        <v>3</v>
      </c>
      <c r="P293">
        <v>0</v>
      </c>
      <c r="Q293">
        <v>0</v>
      </c>
      <c r="R293">
        <v>1</v>
      </c>
      <c r="S293">
        <v>1</v>
      </c>
      <c r="T293">
        <v>117</v>
      </c>
      <c r="U293">
        <v>1</v>
      </c>
    </row>
    <row r="294" spans="1:21" x14ac:dyDescent="0.45">
      <c r="A294" s="4">
        <v>395</v>
      </c>
      <c r="B294" s="4">
        <v>0</v>
      </c>
      <c r="C294" s="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14823.176425832789</v>
      </c>
      <c r="O294">
        <v>2</v>
      </c>
      <c r="P294">
        <v>0</v>
      </c>
      <c r="Q294">
        <v>0</v>
      </c>
      <c r="R294">
        <v>2</v>
      </c>
      <c r="S294">
        <v>1</v>
      </c>
      <c r="T294">
        <v>177</v>
      </c>
      <c r="U294">
        <v>1</v>
      </c>
    </row>
    <row r="295" spans="1:21" x14ac:dyDescent="0.45">
      <c r="A295" s="4">
        <v>397</v>
      </c>
      <c r="B295" s="4">
        <v>0</v>
      </c>
      <c r="C295" s="4">
        <v>0</v>
      </c>
      <c r="D295">
        <v>1</v>
      </c>
      <c r="E295">
        <v>3</v>
      </c>
      <c r="F295">
        <v>1</v>
      </c>
      <c r="G295">
        <v>4</v>
      </c>
      <c r="H295">
        <v>7</v>
      </c>
      <c r="I295">
        <v>9</v>
      </c>
      <c r="J295">
        <v>2</v>
      </c>
      <c r="K295">
        <v>6</v>
      </c>
      <c r="L295">
        <v>0</v>
      </c>
      <c r="M295">
        <v>23</v>
      </c>
      <c r="N295">
        <v>13472.60050415031</v>
      </c>
      <c r="O295">
        <v>3</v>
      </c>
      <c r="P295">
        <v>0</v>
      </c>
      <c r="Q295">
        <v>0</v>
      </c>
      <c r="R295">
        <v>4</v>
      </c>
      <c r="S295">
        <v>1</v>
      </c>
      <c r="T295">
        <v>83</v>
      </c>
      <c r="U295">
        <v>2</v>
      </c>
    </row>
    <row r="296" spans="1:21" x14ac:dyDescent="0.45">
      <c r="A296" s="4">
        <v>398</v>
      </c>
      <c r="B296" s="4">
        <v>0</v>
      </c>
      <c r="C296" s="4">
        <v>0</v>
      </c>
      <c r="D296">
        <v>1</v>
      </c>
      <c r="E296">
        <v>6</v>
      </c>
      <c r="F296">
        <v>0</v>
      </c>
      <c r="G296">
        <v>15</v>
      </c>
      <c r="H296">
        <v>21</v>
      </c>
      <c r="I296">
        <v>15</v>
      </c>
      <c r="J296">
        <v>1</v>
      </c>
      <c r="K296">
        <v>5</v>
      </c>
      <c r="L296">
        <v>1</v>
      </c>
      <c r="M296">
        <v>17</v>
      </c>
      <c r="N296">
        <v>12774.32542985496</v>
      </c>
      <c r="O296">
        <v>3</v>
      </c>
      <c r="P296">
        <v>0</v>
      </c>
      <c r="Q296">
        <v>1</v>
      </c>
      <c r="R296">
        <v>4</v>
      </c>
      <c r="S296">
        <v>4</v>
      </c>
      <c r="T296">
        <v>733</v>
      </c>
      <c r="U296">
        <v>3</v>
      </c>
    </row>
    <row r="297" spans="1:21" x14ac:dyDescent="0.45">
      <c r="A297" s="4">
        <v>399</v>
      </c>
      <c r="B297" s="4">
        <v>0</v>
      </c>
      <c r="C297" s="4">
        <v>0</v>
      </c>
      <c r="D297">
        <v>1</v>
      </c>
      <c r="E297">
        <v>6</v>
      </c>
      <c r="F297">
        <v>0</v>
      </c>
      <c r="G297">
        <v>15</v>
      </c>
      <c r="H297">
        <v>21</v>
      </c>
      <c r="I297">
        <v>15</v>
      </c>
      <c r="J297">
        <v>1</v>
      </c>
      <c r="K297">
        <v>5</v>
      </c>
      <c r="L297">
        <v>1</v>
      </c>
      <c r="M297">
        <v>17</v>
      </c>
      <c r="N297">
        <v>12718.83818968414</v>
      </c>
      <c r="O297">
        <v>3</v>
      </c>
      <c r="P297">
        <v>0</v>
      </c>
      <c r="Q297">
        <v>1</v>
      </c>
      <c r="R297">
        <v>4</v>
      </c>
      <c r="S297">
        <v>2</v>
      </c>
      <c r="T297">
        <v>446</v>
      </c>
      <c r="U297">
        <v>1</v>
      </c>
    </row>
    <row r="298" spans="1:21" x14ac:dyDescent="0.45">
      <c r="A298" s="4">
        <v>400</v>
      </c>
      <c r="B298" s="4">
        <v>0</v>
      </c>
      <c r="C298" s="4">
        <v>0</v>
      </c>
      <c r="D298">
        <v>1</v>
      </c>
      <c r="E298">
        <v>4</v>
      </c>
      <c r="F298">
        <v>1</v>
      </c>
      <c r="G298">
        <v>7</v>
      </c>
      <c r="H298">
        <v>11</v>
      </c>
      <c r="I298">
        <v>6</v>
      </c>
      <c r="J298">
        <v>2</v>
      </c>
      <c r="K298">
        <v>1</v>
      </c>
      <c r="L298">
        <v>0</v>
      </c>
      <c r="M298">
        <v>17</v>
      </c>
      <c r="N298">
        <v>13733.93285124572</v>
      </c>
      <c r="O298">
        <v>2</v>
      </c>
      <c r="P298">
        <v>0</v>
      </c>
      <c r="Q298">
        <v>1</v>
      </c>
      <c r="R298">
        <v>4</v>
      </c>
      <c r="S298">
        <v>5</v>
      </c>
      <c r="T298">
        <v>1835</v>
      </c>
      <c r="U298">
        <v>3</v>
      </c>
    </row>
    <row r="299" spans="1:21" x14ac:dyDescent="0.45">
      <c r="A299" s="4">
        <v>401</v>
      </c>
      <c r="B299" s="4">
        <v>0</v>
      </c>
      <c r="C299" s="4">
        <v>0</v>
      </c>
      <c r="D299">
        <v>1</v>
      </c>
      <c r="E299">
        <v>3</v>
      </c>
      <c r="F299">
        <v>0</v>
      </c>
      <c r="G299">
        <v>1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2</v>
      </c>
      <c r="N299">
        <v>14491.068909977739</v>
      </c>
      <c r="O299">
        <v>1</v>
      </c>
      <c r="P299">
        <v>0</v>
      </c>
      <c r="Q299">
        <v>1</v>
      </c>
      <c r="R299">
        <v>4</v>
      </c>
      <c r="S299">
        <v>2</v>
      </c>
      <c r="T299">
        <v>551</v>
      </c>
      <c r="U299">
        <v>2</v>
      </c>
    </row>
    <row r="300" spans="1:21" x14ac:dyDescent="0.45">
      <c r="A300" s="4">
        <v>402</v>
      </c>
      <c r="B300" s="4">
        <v>0</v>
      </c>
      <c r="C300" s="4">
        <v>1</v>
      </c>
      <c r="D300">
        <v>0</v>
      </c>
      <c r="E300">
        <v>2</v>
      </c>
      <c r="F300">
        <v>0</v>
      </c>
      <c r="G300">
        <v>1</v>
      </c>
      <c r="H300">
        <v>4</v>
      </c>
      <c r="I300">
        <v>1</v>
      </c>
      <c r="J300">
        <v>0</v>
      </c>
      <c r="K300">
        <v>0</v>
      </c>
      <c r="L300">
        <v>0</v>
      </c>
      <c r="M300">
        <v>3</v>
      </c>
      <c r="N300">
        <v>14547.254614425339</v>
      </c>
      <c r="O300">
        <v>1</v>
      </c>
      <c r="P300">
        <v>0</v>
      </c>
      <c r="Q300">
        <v>1</v>
      </c>
      <c r="R300">
        <v>4</v>
      </c>
      <c r="S300">
        <v>2</v>
      </c>
      <c r="T300">
        <v>565</v>
      </c>
      <c r="U300">
        <v>2</v>
      </c>
    </row>
    <row r="301" spans="1:21" x14ac:dyDescent="0.45">
      <c r="A301" s="4">
        <v>404</v>
      </c>
      <c r="B301" s="4">
        <v>0</v>
      </c>
      <c r="C301" s="4">
        <v>0</v>
      </c>
      <c r="D301">
        <v>1</v>
      </c>
      <c r="E301">
        <v>1</v>
      </c>
      <c r="F301">
        <v>0</v>
      </c>
      <c r="G301">
        <v>4</v>
      </c>
      <c r="H301">
        <v>8</v>
      </c>
      <c r="I301">
        <v>4</v>
      </c>
      <c r="J301">
        <v>0</v>
      </c>
      <c r="K301">
        <v>0</v>
      </c>
      <c r="L301">
        <v>0</v>
      </c>
      <c r="M301">
        <v>6</v>
      </c>
      <c r="N301">
        <v>13339.66391729803</v>
      </c>
      <c r="O301">
        <v>2</v>
      </c>
      <c r="P301">
        <v>0</v>
      </c>
      <c r="Q301">
        <v>0</v>
      </c>
      <c r="R301">
        <v>3</v>
      </c>
      <c r="S301">
        <v>1</v>
      </c>
      <c r="T301">
        <v>1087</v>
      </c>
      <c r="U301">
        <v>3</v>
      </c>
    </row>
    <row r="302" spans="1:21" x14ac:dyDescent="0.45">
      <c r="A302" s="4">
        <v>405</v>
      </c>
      <c r="B302" s="4">
        <v>0</v>
      </c>
      <c r="C302" s="4">
        <v>0</v>
      </c>
      <c r="D302">
        <v>2</v>
      </c>
      <c r="E302">
        <v>2</v>
      </c>
      <c r="F302">
        <v>0</v>
      </c>
      <c r="G302">
        <v>4</v>
      </c>
      <c r="H302">
        <v>3</v>
      </c>
      <c r="I302">
        <v>4</v>
      </c>
      <c r="J302">
        <v>0</v>
      </c>
      <c r="K302">
        <v>0</v>
      </c>
      <c r="L302">
        <v>0</v>
      </c>
      <c r="M302">
        <v>4</v>
      </c>
      <c r="N302">
        <v>13004.84024882469</v>
      </c>
      <c r="O302">
        <v>1</v>
      </c>
      <c r="P302">
        <v>0</v>
      </c>
      <c r="Q302">
        <v>0</v>
      </c>
      <c r="R302">
        <v>0</v>
      </c>
      <c r="S302">
        <v>2</v>
      </c>
      <c r="T302">
        <v>162</v>
      </c>
      <c r="U302">
        <v>1</v>
      </c>
    </row>
    <row r="303" spans="1:21" x14ac:dyDescent="0.45">
      <c r="A303" s="4">
        <v>406</v>
      </c>
      <c r="B303" s="4">
        <v>0</v>
      </c>
      <c r="C303" s="4">
        <v>0</v>
      </c>
      <c r="D303">
        <v>0</v>
      </c>
      <c r="E303">
        <v>0</v>
      </c>
      <c r="F303">
        <v>0</v>
      </c>
      <c r="G303">
        <v>1</v>
      </c>
      <c r="H303">
        <v>2</v>
      </c>
      <c r="I303">
        <v>5</v>
      </c>
      <c r="J303">
        <v>0</v>
      </c>
      <c r="K303">
        <v>6</v>
      </c>
      <c r="L303">
        <v>0</v>
      </c>
      <c r="M303">
        <v>5</v>
      </c>
      <c r="N303">
        <v>6067.6896989699144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390</v>
      </c>
      <c r="U303">
        <v>1</v>
      </c>
    </row>
    <row r="304" spans="1:21" x14ac:dyDescent="0.45">
      <c r="A304" s="4">
        <v>407</v>
      </c>
      <c r="B304" s="4">
        <v>0</v>
      </c>
      <c r="C304" s="4">
        <v>1</v>
      </c>
      <c r="D304">
        <v>1</v>
      </c>
      <c r="E304">
        <v>0</v>
      </c>
      <c r="F304">
        <v>0</v>
      </c>
      <c r="G304">
        <v>1</v>
      </c>
      <c r="H304">
        <v>2</v>
      </c>
      <c r="I304">
        <v>6</v>
      </c>
      <c r="J304">
        <v>2</v>
      </c>
      <c r="K304">
        <v>6</v>
      </c>
      <c r="L304">
        <v>0</v>
      </c>
      <c r="M304">
        <v>9</v>
      </c>
      <c r="N304">
        <v>6130.7244821890354</v>
      </c>
      <c r="O304">
        <v>1</v>
      </c>
      <c r="P304">
        <v>0</v>
      </c>
      <c r="Q304">
        <v>0</v>
      </c>
      <c r="R304">
        <v>1</v>
      </c>
      <c r="S304">
        <v>2</v>
      </c>
      <c r="T304">
        <v>1376</v>
      </c>
      <c r="U304">
        <v>2</v>
      </c>
    </row>
    <row r="305" spans="1:21" x14ac:dyDescent="0.45">
      <c r="A305" s="4">
        <v>408</v>
      </c>
      <c r="B305" s="4">
        <v>0</v>
      </c>
      <c r="C305" s="4">
        <v>1</v>
      </c>
      <c r="D305">
        <v>1</v>
      </c>
      <c r="E305">
        <v>0</v>
      </c>
      <c r="F305">
        <v>0</v>
      </c>
      <c r="G305">
        <v>1</v>
      </c>
      <c r="H305">
        <v>2</v>
      </c>
      <c r="I305">
        <v>3</v>
      </c>
      <c r="J305">
        <v>0</v>
      </c>
      <c r="K305">
        <v>5</v>
      </c>
      <c r="L305">
        <v>0</v>
      </c>
      <c r="M305">
        <v>8</v>
      </c>
      <c r="N305">
        <v>6201.8505292562349</v>
      </c>
      <c r="O305">
        <v>2</v>
      </c>
      <c r="P305">
        <v>0</v>
      </c>
      <c r="Q305">
        <v>0</v>
      </c>
      <c r="R305">
        <v>1</v>
      </c>
      <c r="S305">
        <v>1</v>
      </c>
      <c r="T305">
        <v>689</v>
      </c>
      <c r="U305">
        <v>1</v>
      </c>
    </row>
    <row r="306" spans="1:21" x14ac:dyDescent="0.45">
      <c r="A306" s="4">
        <v>409</v>
      </c>
      <c r="B306" s="4">
        <v>0</v>
      </c>
      <c r="C306" s="4">
        <v>1</v>
      </c>
      <c r="D306">
        <v>1</v>
      </c>
      <c r="E306">
        <v>0</v>
      </c>
      <c r="F306">
        <v>0</v>
      </c>
      <c r="G306">
        <v>1</v>
      </c>
      <c r="H306">
        <v>2</v>
      </c>
      <c r="I306">
        <v>5</v>
      </c>
      <c r="J306">
        <v>0</v>
      </c>
      <c r="K306">
        <v>6</v>
      </c>
      <c r="L306">
        <v>0</v>
      </c>
      <c r="M306">
        <v>8</v>
      </c>
      <c r="N306">
        <v>6067.6896989699144</v>
      </c>
      <c r="O306">
        <v>3</v>
      </c>
      <c r="P306">
        <v>0</v>
      </c>
      <c r="Q306">
        <v>1</v>
      </c>
      <c r="R306">
        <v>1</v>
      </c>
      <c r="S306">
        <v>4</v>
      </c>
      <c r="T306">
        <v>811</v>
      </c>
      <c r="U306">
        <v>2</v>
      </c>
    </row>
    <row r="307" spans="1:21" x14ac:dyDescent="0.45">
      <c r="A307" s="4">
        <v>410</v>
      </c>
      <c r="B307" s="4">
        <v>0</v>
      </c>
      <c r="C307" s="4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6</v>
      </c>
      <c r="J307">
        <v>0</v>
      </c>
      <c r="K307">
        <v>1</v>
      </c>
      <c r="L307">
        <v>0</v>
      </c>
      <c r="M307">
        <v>2</v>
      </c>
      <c r="N307">
        <v>6223.8068021950521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434</v>
      </c>
      <c r="U307">
        <v>3</v>
      </c>
    </row>
    <row r="308" spans="1:21" x14ac:dyDescent="0.45">
      <c r="A308" s="4">
        <v>411</v>
      </c>
      <c r="B308" s="4">
        <v>0</v>
      </c>
      <c r="C308" s="4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6</v>
      </c>
      <c r="J308">
        <v>0</v>
      </c>
      <c r="K308">
        <v>1</v>
      </c>
      <c r="L308">
        <v>0</v>
      </c>
      <c r="M308">
        <v>2</v>
      </c>
      <c r="N308">
        <v>6194.6118311242326</v>
      </c>
      <c r="O308">
        <v>2</v>
      </c>
      <c r="P308">
        <v>0</v>
      </c>
      <c r="Q308">
        <v>1</v>
      </c>
      <c r="R308">
        <v>1</v>
      </c>
      <c r="S308">
        <v>1</v>
      </c>
      <c r="T308">
        <v>271</v>
      </c>
      <c r="U308">
        <v>1</v>
      </c>
    </row>
    <row r="309" spans="1:21" x14ac:dyDescent="0.45">
      <c r="A309" s="4">
        <v>412</v>
      </c>
      <c r="B309" s="4">
        <v>0</v>
      </c>
      <c r="C309" s="4">
        <v>0</v>
      </c>
      <c r="D309">
        <v>1</v>
      </c>
      <c r="E309">
        <v>0</v>
      </c>
      <c r="F309">
        <v>0</v>
      </c>
      <c r="G309">
        <v>1</v>
      </c>
      <c r="H309">
        <v>2</v>
      </c>
      <c r="I309">
        <v>6</v>
      </c>
      <c r="J309">
        <v>2</v>
      </c>
      <c r="K309">
        <v>5</v>
      </c>
      <c r="L309">
        <v>0</v>
      </c>
      <c r="M309">
        <v>15</v>
      </c>
      <c r="N309">
        <v>5812.9666034394686</v>
      </c>
      <c r="O309">
        <v>3</v>
      </c>
      <c r="P309">
        <v>0</v>
      </c>
      <c r="Q309">
        <v>1</v>
      </c>
      <c r="R309">
        <v>1</v>
      </c>
      <c r="S309">
        <v>4</v>
      </c>
      <c r="T309">
        <v>1358</v>
      </c>
      <c r="U309">
        <v>3</v>
      </c>
    </row>
    <row r="310" spans="1:21" x14ac:dyDescent="0.45">
      <c r="A310" s="4">
        <v>413</v>
      </c>
      <c r="B310" s="4">
        <v>0</v>
      </c>
      <c r="C310" s="4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8</v>
      </c>
      <c r="N310">
        <v>7415.9893336886216</v>
      </c>
      <c r="O310">
        <v>4</v>
      </c>
      <c r="P310">
        <v>0</v>
      </c>
      <c r="Q310">
        <v>1</v>
      </c>
      <c r="R310">
        <v>3</v>
      </c>
      <c r="S310">
        <v>3</v>
      </c>
      <c r="T310">
        <v>3340</v>
      </c>
      <c r="U310">
        <v>2</v>
      </c>
    </row>
    <row r="311" spans="1:21" x14ac:dyDescent="0.45">
      <c r="A311" s="4">
        <v>414</v>
      </c>
      <c r="B311" s="4">
        <v>0</v>
      </c>
      <c r="C311" s="4">
        <v>0</v>
      </c>
      <c r="D311">
        <v>0</v>
      </c>
      <c r="E311">
        <v>2</v>
      </c>
      <c r="F311">
        <v>0</v>
      </c>
      <c r="G311">
        <v>2</v>
      </c>
      <c r="H311">
        <v>5</v>
      </c>
      <c r="I311">
        <v>5</v>
      </c>
      <c r="J311">
        <v>2</v>
      </c>
      <c r="K311">
        <v>5</v>
      </c>
      <c r="L311">
        <v>0</v>
      </c>
      <c r="M311">
        <v>9</v>
      </c>
      <c r="N311">
        <v>7812.9730577406644</v>
      </c>
      <c r="O311">
        <v>1</v>
      </c>
      <c r="P311">
        <v>0</v>
      </c>
      <c r="Q311">
        <v>1</v>
      </c>
      <c r="R311">
        <v>3</v>
      </c>
      <c r="S311">
        <v>5</v>
      </c>
      <c r="T311">
        <v>1256</v>
      </c>
      <c r="U311">
        <v>4</v>
      </c>
    </row>
    <row r="312" spans="1:21" x14ac:dyDescent="0.45">
      <c r="A312" s="4">
        <v>415</v>
      </c>
      <c r="B312" s="4">
        <v>0</v>
      </c>
      <c r="C312" s="4">
        <v>1</v>
      </c>
      <c r="D312">
        <v>0</v>
      </c>
      <c r="E312">
        <v>2</v>
      </c>
      <c r="F312">
        <v>0</v>
      </c>
      <c r="G312">
        <v>2</v>
      </c>
      <c r="H312">
        <v>4</v>
      </c>
      <c r="I312">
        <v>5</v>
      </c>
      <c r="J312">
        <v>1</v>
      </c>
      <c r="K312">
        <v>5</v>
      </c>
      <c r="L312">
        <v>0</v>
      </c>
      <c r="M312">
        <v>9</v>
      </c>
      <c r="N312">
        <v>7877.2692715321073</v>
      </c>
      <c r="O312">
        <v>1</v>
      </c>
      <c r="P312">
        <v>0</v>
      </c>
      <c r="Q312">
        <v>1</v>
      </c>
      <c r="R312">
        <v>1</v>
      </c>
      <c r="S312">
        <v>4</v>
      </c>
      <c r="T312">
        <v>1493</v>
      </c>
      <c r="U312">
        <v>3</v>
      </c>
    </row>
    <row r="313" spans="1:21" x14ac:dyDescent="0.45">
      <c r="A313" s="4">
        <v>416</v>
      </c>
      <c r="B313" s="4">
        <v>0</v>
      </c>
      <c r="C313" s="4">
        <v>0</v>
      </c>
      <c r="D313">
        <v>1</v>
      </c>
      <c r="E313">
        <v>3</v>
      </c>
      <c r="F313">
        <v>0</v>
      </c>
      <c r="G313">
        <v>5</v>
      </c>
      <c r="H313">
        <v>8</v>
      </c>
      <c r="I313">
        <v>9</v>
      </c>
      <c r="J313">
        <v>3</v>
      </c>
      <c r="K313">
        <v>7</v>
      </c>
      <c r="L313">
        <v>0</v>
      </c>
      <c r="M313">
        <v>11</v>
      </c>
      <c r="N313">
        <v>8101.5436400535746</v>
      </c>
      <c r="O313">
        <v>4</v>
      </c>
      <c r="P313">
        <v>0</v>
      </c>
      <c r="Q313">
        <v>1</v>
      </c>
      <c r="R313">
        <v>3</v>
      </c>
      <c r="S313">
        <v>2</v>
      </c>
      <c r="T313">
        <v>189</v>
      </c>
      <c r="U313">
        <v>1</v>
      </c>
    </row>
    <row r="314" spans="1:21" x14ac:dyDescent="0.45">
      <c r="A314" s="4">
        <v>417</v>
      </c>
      <c r="B314" s="4">
        <v>0</v>
      </c>
      <c r="C314" s="4">
        <v>0</v>
      </c>
      <c r="D314">
        <v>1</v>
      </c>
      <c r="E314">
        <v>3</v>
      </c>
      <c r="F314">
        <v>0</v>
      </c>
      <c r="G314">
        <v>5</v>
      </c>
      <c r="H314">
        <v>8</v>
      </c>
      <c r="I314">
        <v>9</v>
      </c>
      <c r="J314">
        <v>3</v>
      </c>
      <c r="K314">
        <v>7</v>
      </c>
      <c r="L314">
        <v>0</v>
      </c>
      <c r="M314">
        <v>11</v>
      </c>
      <c r="N314">
        <v>8101.5436400535746</v>
      </c>
      <c r="O314">
        <v>4</v>
      </c>
      <c r="P314">
        <v>0</v>
      </c>
      <c r="Q314">
        <v>1</v>
      </c>
      <c r="R314">
        <v>3</v>
      </c>
      <c r="S314">
        <v>3</v>
      </c>
      <c r="T314">
        <v>225</v>
      </c>
      <c r="U314">
        <v>1</v>
      </c>
    </row>
    <row r="315" spans="1:21" x14ac:dyDescent="0.45">
      <c r="A315" s="4">
        <v>418</v>
      </c>
      <c r="B315" s="4">
        <v>0</v>
      </c>
      <c r="C315" s="4">
        <v>0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5</v>
      </c>
      <c r="J315">
        <v>1</v>
      </c>
      <c r="K315">
        <v>5</v>
      </c>
      <c r="L315">
        <v>0</v>
      </c>
      <c r="M315">
        <v>10</v>
      </c>
      <c r="N315">
        <v>9427.086023217842</v>
      </c>
      <c r="O315">
        <v>4</v>
      </c>
      <c r="P315">
        <v>0</v>
      </c>
      <c r="Q315">
        <v>0</v>
      </c>
      <c r="R315">
        <v>2</v>
      </c>
      <c r="S315">
        <v>1</v>
      </c>
      <c r="T315">
        <v>52</v>
      </c>
      <c r="U315">
        <v>2</v>
      </c>
    </row>
    <row r="316" spans="1:21" x14ac:dyDescent="0.45">
      <c r="A316" s="4">
        <v>421</v>
      </c>
      <c r="B316" s="4">
        <v>0</v>
      </c>
      <c r="C316" s="4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1</v>
      </c>
      <c r="K316">
        <v>4</v>
      </c>
      <c r="L316">
        <v>0</v>
      </c>
      <c r="M316">
        <v>0</v>
      </c>
      <c r="N316">
        <v>7907.0181312557479</v>
      </c>
      <c r="O316">
        <v>3</v>
      </c>
      <c r="P316">
        <v>0</v>
      </c>
      <c r="Q316">
        <v>1</v>
      </c>
      <c r="R316">
        <v>1</v>
      </c>
      <c r="S316">
        <v>2</v>
      </c>
      <c r="T316">
        <v>67</v>
      </c>
      <c r="U316">
        <v>1</v>
      </c>
    </row>
    <row r="317" spans="1:21" x14ac:dyDescent="0.45">
      <c r="A317" s="4">
        <v>422</v>
      </c>
      <c r="B317" s="4">
        <v>0</v>
      </c>
      <c r="C317" s="4">
        <v>0</v>
      </c>
      <c r="D317">
        <v>0</v>
      </c>
      <c r="E317">
        <v>3</v>
      </c>
      <c r="F317">
        <v>1</v>
      </c>
      <c r="G317">
        <v>7</v>
      </c>
      <c r="H317">
        <v>6</v>
      </c>
      <c r="I317">
        <v>1</v>
      </c>
      <c r="J317">
        <v>0</v>
      </c>
      <c r="K317">
        <v>2</v>
      </c>
      <c r="L317">
        <v>0</v>
      </c>
      <c r="M317">
        <v>4</v>
      </c>
      <c r="N317">
        <v>9222.5315762775263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748</v>
      </c>
      <c r="U317">
        <v>1</v>
      </c>
    </row>
    <row r="318" spans="1:21" x14ac:dyDescent="0.45">
      <c r="A318" s="4">
        <v>423</v>
      </c>
      <c r="B318" s="4">
        <v>1</v>
      </c>
      <c r="C318" s="4">
        <v>0</v>
      </c>
      <c r="D318">
        <v>2</v>
      </c>
      <c r="E318">
        <v>2</v>
      </c>
      <c r="F318">
        <v>0</v>
      </c>
      <c r="G318">
        <v>13</v>
      </c>
      <c r="H318">
        <v>16</v>
      </c>
      <c r="I318">
        <v>25</v>
      </c>
      <c r="J318">
        <v>6</v>
      </c>
      <c r="K318">
        <v>7</v>
      </c>
      <c r="L318">
        <v>2</v>
      </c>
      <c r="M318">
        <v>10</v>
      </c>
      <c r="N318">
        <v>8227.0053649525835</v>
      </c>
      <c r="O318">
        <v>4</v>
      </c>
      <c r="P318">
        <v>0</v>
      </c>
      <c r="Q318">
        <v>1</v>
      </c>
      <c r="R318">
        <v>3</v>
      </c>
      <c r="S318">
        <v>3</v>
      </c>
      <c r="T318">
        <v>3859</v>
      </c>
      <c r="U318">
        <v>4</v>
      </c>
    </row>
    <row r="319" spans="1:21" x14ac:dyDescent="0.45">
      <c r="A319" s="4">
        <v>424</v>
      </c>
      <c r="B319" s="4">
        <v>0</v>
      </c>
      <c r="C319" s="4">
        <v>0</v>
      </c>
      <c r="D319">
        <v>2</v>
      </c>
      <c r="E319">
        <v>3</v>
      </c>
      <c r="F319">
        <v>0</v>
      </c>
      <c r="G319">
        <v>7</v>
      </c>
      <c r="H319">
        <v>14</v>
      </c>
      <c r="I319">
        <v>18</v>
      </c>
      <c r="J319">
        <v>5</v>
      </c>
      <c r="K319">
        <v>7</v>
      </c>
      <c r="L319">
        <v>2</v>
      </c>
      <c r="M319">
        <v>13</v>
      </c>
      <c r="N319">
        <v>8070.6522988276929</v>
      </c>
      <c r="O319">
        <v>4</v>
      </c>
      <c r="P319">
        <v>0</v>
      </c>
      <c r="Q319">
        <v>1</v>
      </c>
      <c r="R319">
        <v>4</v>
      </c>
      <c r="S319">
        <v>2</v>
      </c>
      <c r="T319">
        <v>1777</v>
      </c>
      <c r="U319">
        <v>1</v>
      </c>
    </row>
    <row r="320" spans="1:21" x14ac:dyDescent="0.45">
      <c r="A320" s="4">
        <v>425</v>
      </c>
      <c r="B320" s="4">
        <v>0</v>
      </c>
      <c r="C320" s="4">
        <v>0</v>
      </c>
      <c r="D320">
        <v>2</v>
      </c>
      <c r="E320">
        <v>3</v>
      </c>
      <c r="F320">
        <v>0</v>
      </c>
      <c r="G320">
        <v>10</v>
      </c>
      <c r="H320">
        <v>18</v>
      </c>
      <c r="I320">
        <v>25</v>
      </c>
      <c r="J320">
        <v>4</v>
      </c>
      <c r="K320">
        <v>9</v>
      </c>
      <c r="L320">
        <v>2</v>
      </c>
      <c r="M320">
        <v>10</v>
      </c>
      <c r="N320">
        <v>8300.5768762790849</v>
      </c>
      <c r="O320">
        <v>3</v>
      </c>
      <c r="P320">
        <v>0</v>
      </c>
      <c r="Q320">
        <v>0</v>
      </c>
      <c r="R320">
        <v>4</v>
      </c>
      <c r="S320">
        <v>1</v>
      </c>
      <c r="T320">
        <v>44</v>
      </c>
      <c r="U320">
        <v>1</v>
      </c>
    </row>
    <row r="321" spans="1:21" x14ac:dyDescent="0.45">
      <c r="A321" s="4">
        <v>426</v>
      </c>
      <c r="B321" s="4">
        <v>0</v>
      </c>
      <c r="C321" s="4">
        <v>0</v>
      </c>
      <c r="D321">
        <v>3</v>
      </c>
      <c r="E321">
        <v>6</v>
      </c>
      <c r="F321">
        <v>1</v>
      </c>
      <c r="G321">
        <v>12</v>
      </c>
      <c r="H321">
        <v>15</v>
      </c>
      <c r="I321">
        <v>16</v>
      </c>
      <c r="J321">
        <v>2</v>
      </c>
      <c r="K321">
        <v>2</v>
      </c>
      <c r="L321">
        <v>2</v>
      </c>
      <c r="M321">
        <v>6</v>
      </c>
      <c r="N321">
        <v>8793.2202824438082</v>
      </c>
      <c r="O321">
        <v>3</v>
      </c>
      <c r="P321">
        <v>0</v>
      </c>
      <c r="Q321">
        <v>0</v>
      </c>
      <c r="R321">
        <v>3</v>
      </c>
      <c r="S321">
        <v>1</v>
      </c>
      <c r="T321">
        <v>53</v>
      </c>
      <c r="U321">
        <v>1</v>
      </c>
    </row>
    <row r="322" spans="1:21" x14ac:dyDescent="0.45">
      <c r="A322" s="4">
        <v>430</v>
      </c>
      <c r="B322" s="4">
        <v>0</v>
      </c>
      <c r="C322" s="4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</v>
      </c>
      <c r="M322">
        <v>9</v>
      </c>
      <c r="N322">
        <v>10049.344990879261</v>
      </c>
      <c r="O322">
        <v>2</v>
      </c>
      <c r="P322">
        <v>0</v>
      </c>
      <c r="Q322">
        <v>0</v>
      </c>
      <c r="R322">
        <v>1</v>
      </c>
      <c r="S322">
        <v>2</v>
      </c>
      <c r="T322">
        <v>967</v>
      </c>
      <c r="U322">
        <v>1</v>
      </c>
    </row>
    <row r="323" spans="1:21" x14ac:dyDescent="0.45">
      <c r="A323" s="4">
        <v>431</v>
      </c>
      <c r="B323" s="4">
        <v>0</v>
      </c>
      <c r="C323" s="4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7</v>
      </c>
      <c r="N323">
        <v>9975.7898770932479</v>
      </c>
      <c r="O323">
        <v>3</v>
      </c>
      <c r="P323">
        <v>0</v>
      </c>
      <c r="Q323">
        <v>0</v>
      </c>
      <c r="R323">
        <v>1</v>
      </c>
      <c r="S323">
        <v>1</v>
      </c>
      <c r="T323">
        <v>201</v>
      </c>
      <c r="U323">
        <v>1</v>
      </c>
    </row>
    <row r="324" spans="1:21" x14ac:dyDescent="0.45">
      <c r="A324" s="4">
        <v>432</v>
      </c>
      <c r="B324" s="4">
        <v>0</v>
      </c>
      <c r="C324" s="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9</v>
      </c>
      <c r="J324">
        <v>0</v>
      </c>
      <c r="K324">
        <v>1</v>
      </c>
      <c r="L324">
        <v>0</v>
      </c>
      <c r="M324">
        <v>7</v>
      </c>
      <c r="N324">
        <v>10430.380392943071</v>
      </c>
      <c r="O324">
        <v>1</v>
      </c>
      <c r="P324">
        <v>0</v>
      </c>
      <c r="Q324">
        <v>1</v>
      </c>
      <c r="R324">
        <v>2</v>
      </c>
      <c r="S324">
        <v>2</v>
      </c>
      <c r="T324">
        <v>963</v>
      </c>
      <c r="U324">
        <v>1</v>
      </c>
    </row>
    <row r="325" spans="1:21" x14ac:dyDescent="0.45">
      <c r="A325" s="4">
        <v>433</v>
      </c>
      <c r="B325" s="4">
        <v>0</v>
      </c>
      <c r="C325" s="4">
        <v>0</v>
      </c>
      <c r="D325">
        <v>1</v>
      </c>
      <c r="E325">
        <v>2</v>
      </c>
      <c r="F325">
        <v>1</v>
      </c>
      <c r="G325">
        <v>7</v>
      </c>
      <c r="H325">
        <v>15</v>
      </c>
      <c r="I325">
        <v>21</v>
      </c>
      <c r="J325">
        <v>1</v>
      </c>
      <c r="K325">
        <v>3</v>
      </c>
      <c r="L325">
        <v>7</v>
      </c>
      <c r="M325">
        <v>12</v>
      </c>
      <c r="N325">
        <v>10819.868360355331</v>
      </c>
      <c r="O325">
        <v>3</v>
      </c>
      <c r="P325">
        <v>0</v>
      </c>
      <c r="Q325">
        <v>0</v>
      </c>
      <c r="R325">
        <v>3</v>
      </c>
      <c r="S325">
        <v>1</v>
      </c>
      <c r="T325">
        <v>64</v>
      </c>
      <c r="U325">
        <v>1</v>
      </c>
    </row>
    <row r="326" spans="1:21" x14ac:dyDescent="0.45">
      <c r="A326" s="4">
        <v>434</v>
      </c>
      <c r="B326" s="4">
        <v>0</v>
      </c>
      <c r="C326" s="4">
        <v>0</v>
      </c>
      <c r="D326">
        <v>2</v>
      </c>
      <c r="E326">
        <v>5</v>
      </c>
      <c r="F326">
        <v>1</v>
      </c>
      <c r="G326">
        <v>4</v>
      </c>
      <c r="H326">
        <v>7</v>
      </c>
      <c r="I326">
        <v>7</v>
      </c>
      <c r="J326">
        <v>2</v>
      </c>
      <c r="K326">
        <v>0</v>
      </c>
      <c r="L326">
        <v>0</v>
      </c>
      <c r="M326">
        <v>8</v>
      </c>
      <c r="N326">
        <v>11725.816040057751</v>
      </c>
      <c r="O326">
        <v>1</v>
      </c>
      <c r="P326">
        <v>0</v>
      </c>
      <c r="Q326">
        <v>1</v>
      </c>
      <c r="R326">
        <v>4</v>
      </c>
      <c r="S326">
        <v>3</v>
      </c>
      <c r="T326">
        <v>785</v>
      </c>
      <c r="U326">
        <v>1</v>
      </c>
    </row>
    <row r="327" spans="1:21" x14ac:dyDescent="0.45">
      <c r="A327" s="4">
        <v>435</v>
      </c>
      <c r="B327" s="4">
        <v>0</v>
      </c>
      <c r="C327" s="4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7</v>
      </c>
      <c r="J327">
        <v>1</v>
      </c>
      <c r="K327">
        <v>0</v>
      </c>
      <c r="L327">
        <v>0</v>
      </c>
      <c r="M327">
        <v>4</v>
      </c>
      <c r="N327">
        <v>11137.622772100351</v>
      </c>
      <c r="O327">
        <v>1</v>
      </c>
      <c r="P327">
        <v>0</v>
      </c>
      <c r="Q327">
        <v>1</v>
      </c>
      <c r="R327">
        <v>1</v>
      </c>
      <c r="S327">
        <v>4</v>
      </c>
      <c r="T327">
        <v>1371</v>
      </c>
      <c r="U327">
        <v>3</v>
      </c>
    </row>
    <row r="328" spans="1:21" x14ac:dyDescent="0.45">
      <c r="A328" s="4">
        <v>436</v>
      </c>
      <c r="B328" s="4">
        <v>0</v>
      </c>
      <c r="C328" s="4">
        <v>0</v>
      </c>
      <c r="D328">
        <v>3</v>
      </c>
      <c r="E328">
        <v>1</v>
      </c>
      <c r="F328">
        <v>2</v>
      </c>
      <c r="G328">
        <v>3</v>
      </c>
      <c r="H328">
        <v>7</v>
      </c>
      <c r="I328">
        <v>14</v>
      </c>
      <c r="J328">
        <v>5</v>
      </c>
      <c r="K328">
        <v>9</v>
      </c>
      <c r="L328">
        <v>0</v>
      </c>
      <c r="M328">
        <v>8</v>
      </c>
      <c r="N328">
        <v>3327.583339453372</v>
      </c>
      <c r="O328">
        <v>1</v>
      </c>
      <c r="P328">
        <v>0</v>
      </c>
      <c r="Q328">
        <v>1</v>
      </c>
      <c r="R328">
        <v>3</v>
      </c>
      <c r="S328">
        <v>3</v>
      </c>
      <c r="T328">
        <v>1674</v>
      </c>
      <c r="U328">
        <v>3</v>
      </c>
    </row>
    <row r="329" spans="1:21" x14ac:dyDescent="0.45">
      <c r="A329" s="4">
        <v>437</v>
      </c>
      <c r="B329" s="4">
        <v>1</v>
      </c>
      <c r="C329" s="4">
        <v>0</v>
      </c>
      <c r="D329">
        <v>2</v>
      </c>
      <c r="E329">
        <v>1</v>
      </c>
      <c r="F329">
        <v>2</v>
      </c>
      <c r="G329">
        <v>7</v>
      </c>
      <c r="H329">
        <v>10</v>
      </c>
      <c r="I329">
        <v>18</v>
      </c>
      <c r="J329">
        <v>6</v>
      </c>
      <c r="K329">
        <v>10</v>
      </c>
      <c r="L329">
        <v>0</v>
      </c>
      <c r="M329">
        <v>9</v>
      </c>
      <c r="N329">
        <v>3393.964706760039</v>
      </c>
      <c r="O329">
        <v>2</v>
      </c>
      <c r="P329">
        <v>0</v>
      </c>
      <c r="Q329">
        <v>0</v>
      </c>
      <c r="R329">
        <v>3</v>
      </c>
      <c r="S329">
        <v>1</v>
      </c>
      <c r="T329">
        <v>527</v>
      </c>
      <c r="U329">
        <v>1</v>
      </c>
    </row>
    <row r="330" spans="1:21" x14ac:dyDescent="0.45">
      <c r="A330" s="4">
        <v>438</v>
      </c>
      <c r="B330" s="4">
        <v>0</v>
      </c>
      <c r="C330" s="4">
        <v>0</v>
      </c>
      <c r="D330">
        <v>1</v>
      </c>
      <c r="E330">
        <v>2</v>
      </c>
      <c r="F330">
        <v>2</v>
      </c>
      <c r="G330">
        <v>15</v>
      </c>
      <c r="H330">
        <v>17</v>
      </c>
      <c r="I330">
        <v>49</v>
      </c>
      <c r="J330">
        <v>11</v>
      </c>
      <c r="K330">
        <v>14</v>
      </c>
      <c r="L330">
        <v>5</v>
      </c>
      <c r="M330">
        <v>23</v>
      </c>
      <c r="N330">
        <v>3923.062527779291</v>
      </c>
      <c r="O330">
        <v>4</v>
      </c>
      <c r="P330">
        <v>0</v>
      </c>
      <c r="Q330">
        <v>1</v>
      </c>
      <c r="R330">
        <v>4</v>
      </c>
      <c r="S330">
        <v>3</v>
      </c>
      <c r="T330">
        <v>173</v>
      </c>
      <c r="U330">
        <v>1</v>
      </c>
    </row>
    <row r="331" spans="1:21" x14ac:dyDescent="0.45">
      <c r="A331" s="4">
        <v>439</v>
      </c>
      <c r="B331" s="4">
        <v>0</v>
      </c>
      <c r="C331" s="4">
        <v>0</v>
      </c>
      <c r="D331">
        <v>1</v>
      </c>
      <c r="E331">
        <v>1</v>
      </c>
      <c r="F331">
        <v>3</v>
      </c>
      <c r="G331">
        <v>14</v>
      </c>
      <c r="H331">
        <v>15</v>
      </c>
      <c r="I331">
        <v>46</v>
      </c>
      <c r="J331">
        <v>15</v>
      </c>
      <c r="K331">
        <v>16</v>
      </c>
      <c r="L331">
        <v>5</v>
      </c>
      <c r="M331">
        <v>19</v>
      </c>
      <c r="N331">
        <v>3834.8302991795049</v>
      </c>
      <c r="O331">
        <v>1</v>
      </c>
      <c r="P331">
        <v>0</v>
      </c>
      <c r="Q331">
        <v>1</v>
      </c>
      <c r="R331">
        <v>4</v>
      </c>
      <c r="S331">
        <v>5</v>
      </c>
      <c r="T331">
        <v>1729</v>
      </c>
      <c r="U331">
        <v>3</v>
      </c>
    </row>
    <row r="332" spans="1:21" x14ac:dyDescent="0.45">
      <c r="A332" s="4">
        <v>440</v>
      </c>
      <c r="B332" s="4">
        <v>0</v>
      </c>
      <c r="C332" s="4">
        <v>0</v>
      </c>
      <c r="D332">
        <v>1</v>
      </c>
      <c r="E332">
        <v>2</v>
      </c>
      <c r="F332">
        <v>3</v>
      </c>
      <c r="G332">
        <v>15</v>
      </c>
      <c r="H332">
        <v>13</v>
      </c>
      <c r="I332">
        <v>44</v>
      </c>
      <c r="J332">
        <v>14</v>
      </c>
      <c r="K332">
        <v>16</v>
      </c>
      <c r="L332">
        <v>5</v>
      </c>
      <c r="M332">
        <v>19</v>
      </c>
      <c r="N332">
        <v>3828.0123951408332</v>
      </c>
      <c r="O332">
        <v>4</v>
      </c>
      <c r="P332">
        <v>0</v>
      </c>
      <c r="Q332">
        <v>1</v>
      </c>
      <c r="R332">
        <v>4</v>
      </c>
      <c r="S332">
        <v>5</v>
      </c>
      <c r="T332">
        <v>707</v>
      </c>
      <c r="U332">
        <v>2</v>
      </c>
    </row>
    <row r="333" spans="1:21" x14ac:dyDescent="0.45">
      <c r="A333" s="4">
        <v>441</v>
      </c>
      <c r="B333" s="4">
        <v>0</v>
      </c>
      <c r="C333" s="4">
        <v>0</v>
      </c>
      <c r="D333">
        <v>3</v>
      </c>
      <c r="E333">
        <v>4</v>
      </c>
      <c r="F333">
        <v>1</v>
      </c>
      <c r="G333">
        <v>18</v>
      </c>
      <c r="H333">
        <v>12</v>
      </c>
      <c r="I333">
        <v>23</v>
      </c>
      <c r="J333">
        <v>13</v>
      </c>
      <c r="K333">
        <v>5</v>
      </c>
      <c r="L333">
        <v>1</v>
      </c>
      <c r="M333">
        <v>24</v>
      </c>
      <c r="N333">
        <v>4272.4223264238208</v>
      </c>
      <c r="O333">
        <v>1</v>
      </c>
      <c r="P333">
        <v>0</v>
      </c>
      <c r="Q333">
        <v>0</v>
      </c>
      <c r="R333">
        <v>4</v>
      </c>
      <c r="S333">
        <v>1</v>
      </c>
      <c r="T333">
        <v>1668</v>
      </c>
      <c r="U333">
        <v>4</v>
      </c>
    </row>
    <row r="334" spans="1:21" x14ac:dyDescent="0.45">
      <c r="A334" s="4">
        <v>442</v>
      </c>
      <c r="B334" s="4">
        <v>0</v>
      </c>
      <c r="C334" s="4">
        <v>0</v>
      </c>
      <c r="D334">
        <v>3</v>
      </c>
      <c r="E334">
        <v>5</v>
      </c>
      <c r="F334">
        <v>2</v>
      </c>
      <c r="G334">
        <v>18</v>
      </c>
      <c r="H334">
        <v>16</v>
      </c>
      <c r="I334">
        <v>26</v>
      </c>
      <c r="J334">
        <v>15</v>
      </c>
      <c r="K334">
        <v>5</v>
      </c>
      <c r="L334">
        <v>1</v>
      </c>
      <c r="M334">
        <v>25</v>
      </c>
      <c r="N334">
        <v>4206.4684124899841</v>
      </c>
      <c r="O334">
        <v>4</v>
      </c>
      <c r="P334">
        <v>0</v>
      </c>
      <c r="Q334">
        <v>1</v>
      </c>
      <c r="R334">
        <v>4</v>
      </c>
      <c r="S334">
        <v>3</v>
      </c>
      <c r="T334">
        <v>216</v>
      </c>
      <c r="U334">
        <v>1</v>
      </c>
    </row>
    <row r="335" spans="1:21" x14ac:dyDescent="0.45">
      <c r="A335" s="4">
        <v>443</v>
      </c>
      <c r="B335" s="4">
        <v>0</v>
      </c>
      <c r="C335" s="4">
        <v>0</v>
      </c>
      <c r="D335">
        <v>3</v>
      </c>
      <c r="E335">
        <v>5</v>
      </c>
      <c r="F335">
        <v>2</v>
      </c>
      <c r="G335">
        <v>18</v>
      </c>
      <c r="H335">
        <v>16</v>
      </c>
      <c r="I335">
        <v>26</v>
      </c>
      <c r="J335">
        <v>15</v>
      </c>
      <c r="K335">
        <v>5</v>
      </c>
      <c r="L335">
        <v>1</v>
      </c>
      <c r="M335">
        <v>25</v>
      </c>
      <c r="N335">
        <v>4153.1914737543784</v>
      </c>
      <c r="O335">
        <v>4</v>
      </c>
      <c r="P335">
        <v>0</v>
      </c>
      <c r="Q335">
        <v>1</v>
      </c>
      <c r="R335">
        <v>4</v>
      </c>
      <c r="S335">
        <v>2</v>
      </c>
      <c r="T335">
        <v>434</v>
      </c>
      <c r="U335">
        <v>3</v>
      </c>
    </row>
    <row r="336" spans="1:21" x14ac:dyDescent="0.45">
      <c r="A336" s="4">
        <v>444</v>
      </c>
      <c r="B336" s="4">
        <v>0</v>
      </c>
      <c r="C336" s="4">
        <v>0</v>
      </c>
      <c r="D336">
        <v>1</v>
      </c>
      <c r="E336">
        <v>4</v>
      </c>
      <c r="F336">
        <v>0</v>
      </c>
      <c r="G336">
        <v>11</v>
      </c>
      <c r="H336">
        <v>16</v>
      </c>
      <c r="I336">
        <v>47</v>
      </c>
      <c r="J336">
        <v>10</v>
      </c>
      <c r="K336">
        <v>12</v>
      </c>
      <c r="L336">
        <v>5</v>
      </c>
      <c r="M336">
        <v>28</v>
      </c>
      <c r="N336">
        <v>3931.9969007350992</v>
      </c>
      <c r="O336">
        <v>1</v>
      </c>
      <c r="P336">
        <v>0</v>
      </c>
      <c r="Q336">
        <v>1</v>
      </c>
      <c r="R336">
        <v>4</v>
      </c>
      <c r="S336">
        <v>2</v>
      </c>
      <c r="T336">
        <v>1748</v>
      </c>
      <c r="U336">
        <v>2</v>
      </c>
    </row>
    <row r="337" spans="1:21" x14ac:dyDescent="0.45">
      <c r="A337" s="4">
        <v>445</v>
      </c>
      <c r="B337" s="4">
        <v>0</v>
      </c>
      <c r="C337" s="4">
        <v>0</v>
      </c>
      <c r="D337">
        <v>1</v>
      </c>
      <c r="E337">
        <v>2</v>
      </c>
      <c r="F337">
        <v>0</v>
      </c>
      <c r="G337">
        <v>8</v>
      </c>
      <c r="H337">
        <v>8</v>
      </c>
      <c r="I337">
        <v>26</v>
      </c>
      <c r="J337">
        <v>9</v>
      </c>
      <c r="K337">
        <v>7</v>
      </c>
      <c r="L337">
        <v>3</v>
      </c>
      <c r="M337">
        <v>20</v>
      </c>
      <c r="N337">
        <v>4279.451058005784</v>
      </c>
      <c r="O337">
        <v>1</v>
      </c>
      <c r="P337">
        <v>0</v>
      </c>
      <c r="Q337">
        <v>0</v>
      </c>
      <c r="R337">
        <v>3</v>
      </c>
      <c r="S337">
        <v>1</v>
      </c>
      <c r="T337">
        <v>49</v>
      </c>
      <c r="U337">
        <v>1</v>
      </c>
    </row>
    <row r="338" spans="1:21" x14ac:dyDescent="0.45">
      <c r="A338" s="4">
        <v>446</v>
      </c>
      <c r="B338" s="4">
        <v>0</v>
      </c>
      <c r="C338" s="4">
        <v>0</v>
      </c>
      <c r="D338">
        <v>0</v>
      </c>
      <c r="E338">
        <v>1</v>
      </c>
      <c r="F338">
        <v>0</v>
      </c>
      <c r="G338">
        <v>4</v>
      </c>
      <c r="H338">
        <v>2</v>
      </c>
      <c r="I338">
        <v>3</v>
      </c>
      <c r="J338">
        <v>3</v>
      </c>
      <c r="K338">
        <v>1</v>
      </c>
      <c r="L338">
        <v>0</v>
      </c>
      <c r="M338">
        <v>18</v>
      </c>
      <c r="N338">
        <v>5746.5116749778144</v>
      </c>
      <c r="O338">
        <v>2</v>
      </c>
      <c r="P338">
        <v>0</v>
      </c>
      <c r="Q338">
        <v>1</v>
      </c>
      <c r="R338">
        <v>3</v>
      </c>
      <c r="S338">
        <v>2</v>
      </c>
      <c r="T338">
        <v>215</v>
      </c>
      <c r="U338">
        <v>1</v>
      </c>
    </row>
    <row r="339" spans="1:21" x14ac:dyDescent="0.45">
      <c r="A339" s="4">
        <v>447</v>
      </c>
      <c r="B339" s="4">
        <v>0</v>
      </c>
      <c r="C339" s="4">
        <v>0</v>
      </c>
      <c r="D339">
        <v>0</v>
      </c>
      <c r="E339">
        <v>1</v>
      </c>
      <c r="F339">
        <v>0</v>
      </c>
      <c r="G339">
        <v>4</v>
      </c>
      <c r="H339">
        <v>2</v>
      </c>
      <c r="I339">
        <v>3</v>
      </c>
      <c r="J339">
        <v>3</v>
      </c>
      <c r="K339">
        <v>1</v>
      </c>
      <c r="L339">
        <v>0</v>
      </c>
      <c r="M339">
        <v>13</v>
      </c>
      <c r="N339">
        <v>5865.873874052344</v>
      </c>
      <c r="O339">
        <v>3</v>
      </c>
      <c r="P339">
        <v>0</v>
      </c>
      <c r="Q339">
        <v>1</v>
      </c>
      <c r="R339">
        <v>3</v>
      </c>
      <c r="S339">
        <v>2</v>
      </c>
      <c r="T339">
        <v>532</v>
      </c>
      <c r="U339">
        <v>1</v>
      </c>
    </row>
    <row r="340" spans="1:21" x14ac:dyDescent="0.45">
      <c r="A340" s="4">
        <v>449</v>
      </c>
      <c r="B340" s="4">
        <v>1</v>
      </c>
      <c r="C340" s="4">
        <v>0</v>
      </c>
      <c r="D340">
        <v>0</v>
      </c>
      <c r="E340">
        <v>1</v>
      </c>
      <c r="F340">
        <v>0</v>
      </c>
      <c r="G340">
        <v>5</v>
      </c>
      <c r="H340">
        <v>2</v>
      </c>
      <c r="I340">
        <v>2</v>
      </c>
      <c r="J340">
        <v>4</v>
      </c>
      <c r="K340">
        <v>0</v>
      </c>
      <c r="L340">
        <v>0</v>
      </c>
      <c r="M340">
        <v>19</v>
      </c>
      <c r="N340">
        <v>5828.7277942659803</v>
      </c>
      <c r="O340">
        <v>3</v>
      </c>
      <c r="P340">
        <v>0</v>
      </c>
      <c r="Q340">
        <v>1</v>
      </c>
      <c r="R340">
        <v>3</v>
      </c>
      <c r="S340">
        <v>3</v>
      </c>
      <c r="T340">
        <v>269</v>
      </c>
      <c r="U340">
        <v>1</v>
      </c>
    </row>
    <row r="341" spans="1:21" x14ac:dyDescent="0.45">
      <c r="A341" s="4">
        <v>450</v>
      </c>
      <c r="B341" s="4">
        <v>0</v>
      </c>
      <c r="C341" s="4">
        <v>1</v>
      </c>
      <c r="D341">
        <v>1</v>
      </c>
      <c r="E341">
        <v>2</v>
      </c>
      <c r="F341">
        <v>0</v>
      </c>
      <c r="G341">
        <v>5</v>
      </c>
      <c r="H341">
        <v>8</v>
      </c>
      <c r="I341">
        <v>7</v>
      </c>
      <c r="J341">
        <v>1</v>
      </c>
      <c r="K341">
        <v>5</v>
      </c>
      <c r="L341">
        <v>2</v>
      </c>
      <c r="M341">
        <v>4</v>
      </c>
      <c r="N341">
        <v>9118.6731795621963</v>
      </c>
      <c r="O341">
        <v>2</v>
      </c>
      <c r="P341">
        <v>0</v>
      </c>
      <c r="Q341">
        <v>1</v>
      </c>
      <c r="R341">
        <v>1</v>
      </c>
      <c r="S341">
        <v>3</v>
      </c>
      <c r="T341">
        <v>850</v>
      </c>
      <c r="U341">
        <v>3</v>
      </c>
    </row>
    <row r="342" spans="1:21" x14ac:dyDescent="0.45">
      <c r="A342" s="4">
        <v>451</v>
      </c>
      <c r="B342" s="4">
        <v>0</v>
      </c>
      <c r="C342" s="4">
        <v>1</v>
      </c>
      <c r="D342">
        <v>0</v>
      </c>
      <c r="E342">
        <v>2</v>
      </c>
      <c r="F342">
        <v>0</v>
      </c>
      <c r="G342">
        <v>1</v>
      </c>
      <c r="H342">
        <v>2</v>
      </c>
      <c r="I342">
        <v>3</v>
      </c>
      <c r="J342">
        <v>1</v>
      </c>
      <c r="K342">
        <v>4</v>
      </c>
      <c r="L342">
        <v>0</v>
      </c>
      <c r="M342">
        <v>1</v>
      </c>
      <c r="N342">
        <v>9197.169448041097</v>
      </c>
      <c r="O342">
        <v>2</v>
      </c>
      <c r="P342">
        <v>0</v>
      </c>
      <c r="Q342">
        <v>0</v>
      </c>
      <c r="R342">
        <v>4</v>
      </c>
      <c r="S342">
        <v>1</v>
      </c>
      <c r="T342">
        <v>320</v>
      </c>
      <c r="U342">
        <v>1</v>
      </c>
    </row>
    <row r="343" spans="1:21" x14ac:dyDescent="0.45">
      <c r="A343" s="4">
        <v>452</v>
      </c>
      <c r="B343" s="4">
        <v>0</v>
      </c>
      <c r="C343" s="4">
        <v>1</v>
      </c>
      <c r="D343">
        <v>2</v>
      </c>
      <c r="E343">
        <v>3</v>
      </c>
      <c r="F343">
        <v>1</v>
      </c>
      <c r="G343">
        <v>6</v>
      </c>
      <c r="H343">
        <v>13</v>
      </c>
      <c r="I343">
        <v>3</v>
      </c>
      <c r="J343">
        <v>1</v>
      </c>
      <c r="K343">
        <v>1</v>
      </c>
      <c r="L343">
        <v>0</v>
      </c>
      <c r="M343">
        <v>12</v>
      </c>
      <c r="N343">
        <v>13464.011892425189</v>
      </c>
      <c r="O343">
        <v>3</v>
      </c>
      <c r="P343">
        <v>0</v>
      </c>
      <c r="Q343">
        <v>0</v>
      </c>
      <c r="R343">
        <v>4</v>
      </c>
      <c r="S343">
        <v>5</v>
      </c>
      <c r="T343">
        <v>624</v>
      </c>
      <c r="U343">
        <v>3</v>
      </c>
    </row>
    <row r="344" spans="1:21" x14ac:dyDescent="0.45">
      <c r="A344" s="4">
        <v>453</v>
      </c>
      <c r="B344" s="4">
        <v>0</v>
      </c>
      <c r="C344" s="4">
        <v>0</v>
      </c>
      <c r="D344">
        <v>1</v>
      </c>
      <c r="E344">
        <v>3</v>
      </c>
      <c r="F344">
        <v>1</v>
      </c>
      <c r="G344">
        <v>6</v>
      </c>
      <c r="H344">
        <v>10</v>
      </c>
      <c r="I344">
        <v>9</v>
      </c>
      <c r="J344">
        <v>0</v>
      </c>
      <c r="K344">
        <v>1</v>
      </c>
      <c r="L344">
        <v>1</v>
      </c>
      <c r="M344">
        <v>8</v>
      </c>
      <c r="N344">
        <v>13851.793782850291</v>
      </c>
      <c r="O344">
        <v>1</v>
      </c>
      <c r="P344">
        <v>0</v>
      </c>
      <c r="Q344">
        <v>1</v>
      </c>
      <c r="R344">
        <v>3</v>
      </c>
      <c r="S344">
        <v>1</v>
      </c>
      <c r="T344">
        <v>998</v>
      </c>
      <c r="U344">
        <v>2</v>
      </c>
    </row>
    <row r="345" spans="1:21" x14ac:dyDescent="0.45">
      <c r="A345" s="4">
        <v>454</v>
      </c>
      <c r="B345" s="4">
        <v>0</v>
      </c>
      <c r="C345" s="4">
        <v>0</v>
      </c>
      <c r="D345">
        <v>0</v>
      </c>
      <c r="E345">
        <v>1</v>
      </c>
      <c r="F345">
        <v>0</v>
      </c>
      <c r="G345">
        <v>9</v>
      </c>
      <c r="H345">
        <v>13</v>
      </c>
      <c r="I345">
        <v>10</v>
      </c>
      <c r="J345">
        <v>0</v>
      </c>
      <c r="K345">
        <v>0</v>
      </c>
      <c r="L345">
        <v>1</v>
      </c>
      <c r="M345">
        <v>12</v>
      </c>
      <c r="N345">
        <v>14001.276914224971</v>
      </c>
      <c r="O345">
        <v>1</v>
      </c>
      <c r="P345">
        <v>0</v>
      </c>
      <c r="Q345">
        <v>1</v>
      </c>
      <c r="R345">
        <v>3</v>
      </c>
      <c r="S345">
        <v>1</v>
      </c>
      <c r="T345">
        <v>4574</v>
      </c>
      <c r="U345">
        <v>4</v>
      </c>
    </row>
    <row r="346" spans="1:21" x14ac:dyDescent="0.45">
      <c r="A346" s="4">
        <v>455</v>
      </c>
      <c r="B346" s="4">
        <v>0</v>
      </c>
      <c r="C346" s="4">
        <v>0</v>
      </c>
      <c r="D346">
        <v>2</v>
      </c>
      <c r="E346">
        <v>3</v>
      </c>
      <c r="F346">
        <v>0</v>
      </c>
      <c r="G346">
        <v>11</v>
      </c>
      <c r="H346">
        <v>11</v>
      </c>
      <c r="I346">
        <v>6</v>
      </c>
      <c r="J346">
        <v>1</v>
      </c>
      <c r="K346">
        <v>1</v>
      </c>
      <c r="L346">
        <v>1</v>
      </c>
      <c r="M346">
        <v>12</v>
      </c>
      <c r="N346">
        <v>14051.7055095265</v>
      </c>
      <c r="O346">
        <v>1</v>
      </c>
      <c r="P346">
        <v>0</v>
      </c>
      <c r="Q346">
        <v>1</v>
      </c>
      <c r="R346">
        <v>3</v>
      </c>
      <c r="S346">
        <v>1</v>
      </c>
      <c r="T346">
        <v>2876</v>
      </c>
      <c r="U346">
        <v>4</v>
      </c>
    </row>
    <row r="347" spans="1:21" x14ac:dyDescent="0.45">
      <c r="A347" s="4">
        <v>456</v>
      </c>
      <c r="B347" s="4">
        <v>0</v>
      </c>
      <c r="C347" s="4">
        <v>0</v>
      </c>
      <c r="D347">
        <v>2</v>
      </c>
      <c r="E347">
        <v>3</v>
      </c>
      <c r="F347">
        <v>0</v>
      </c>
      <c r="G347">
        <v>11</v>
      </c>
      <c r="H347">
        <v>11</v>
      </c>
      <c r="I347">
        <v>6</v>
      </c>
      <c r="J347">
        <v>1</v>
      </c>
      <c r="K347">
        <v>1</v>
      </c>
      <c r="L347">
        <v>1</v>
      </c>
      <c r="M347">
        <v>12</v>
      </c>
      <c r="N347">
        <v>14051.7055095265</v>
      </c>
      <c r="O347">
        <v>1</v>
      </c>
      <c r="P347">
        <v>0</v>
      </c>
      <c r="Q347">
        <v>1</v>
      </c>
      <c r="R347">
        <v>3</v>
      </c>
      <c r="S347">
        <v>1</v>
      </c>
      <c r="T347">
        <v>2930</v>
      </c>
      <c r="U347">
        <v>2</v>
      </c>
    </row>
    <row r="348" spans="1:21" x14ac:dyDescent="0.45">
      <c r="A348" s="4">
        <v>457</v>
      </c>
      <c r="B348" s="4">
        <v>0</v>
      </c>
      <c r="C348" s="4">
        <v>0</v>
      </c>
      <c r="D348">
        <v>1</v>
      </c>
      <c r="E348">
        <v>2</v>
      </c>
      <c r="F348">
        <v>0</v>
      </c>
      <c r="G348">
        <v>6</v>
      </c>
      <c r="H348">
        <v>5</v>
      </c>
      <c r="I348">
        <v>1</v>
      </c>
      <c r="J348">
        <v>1</v>
      </c>
      <c r="K348">
        <v>1</v>
      </c>
      <c r="L348">
        <v>0</v>
      </c>
      <c r="M348">
        <v>9</v>
      </c>
      <c r="N348">
        <v>14188.3396637346</v>
      </c>
      <c r="O348">
        <v>1</v>
      </c>
      <c r="P348">
        <v>0</v>
      </c>
      <c r="Q348">
        <v>1</v>
      </c>
      <c r="R348">
        <v>3</v>
      </c>
      <c r="S348">
        <v>1</v>
      </c>
      <c r="T348">
        <v>2919</v>
      </c>
      <c r="U348">
        <v>2</v>
      </c>
    </row>
    <row r="349" spans="1:21" x14ac:dyDescent="0.45">
      <c r="A349" s="4">
        <v>458</v>
      </c>
      <c r="B349" s="4">
        <v>0</v>
      </c>
      <c r="C349" s="4">
        <v>0</v>
      </c>
      <c r="D349">
        <v>1</v>
      </c>
      <c r="E349">
        <v>3</v>
      </c>
      <c r="F349">
        <v>1</v>
      </c>
      <c r="G349">
        <v>7</v>
      </c>
      <c r="H349">
        <v>10</v>
      </c>
      <c r="I349">
        <v>8</v>
      </c>
      <c r="J349">
        <v>1</v>
      </c>
      <c r="K349">
        <v>2</v>
      </c>
      <c r="L349">
        <v>1</v>
      </c>
      <c r="M349">
        <v>8</v>
      </c>
      <c r="N349">
        <v>14001.276914224971</v>
      </c>
      <c r="O349">
        <v>1</v>
      </c>
      <c r="P349">
        <v>0</v>
      </c>
      <c r="Q349">
        <v>1</v>
      </c>
      <c r="R349">
        <v>3</v>
      </c>
      <c r="S349">
        <v>1</v>
      </c>
      <c r="T349">
        <v>1358</v>
      </c>
      <c r="U349">
        <v>3</v>
      </c>
    </row>
    <row r="350" spans="1:21" x14ac:dyDescent="0.45">
      <c r="A350" s="4">
        <v>459</v>
      </c>
      <c r="B350" s="4">
        <v>0</v>
      </c>
      <c r="C350" s="4">
        <v>0</v>
      </c>
      <c r="D350">
        <v>1</v>
      </c>
      <c r="E350">
        <v>3</v>
      </c>
      <c r="F350">
        <v>1</v>
      </c>
      <c r="G350">
        <v>6</v>
      </c>
      <c r="H350">
        <v>5</v>
      </c>
      <c r="I350">
        <v>3</v>
      </c>
      <c r="J350">
        <v>2</v>
      </c>
      <c r="K350">
        <v>2</v>
      </c>
      <c r="L350">
        <v>0</v>
      </c>
      <c r="M350">
        <v>11</v>
      </c>
      <c r="N350">
        <v>14052.68035685271</v>
      </c>
      <c r="O350">
        <v>1</v>
      </c>
      <c r="P350">
        <v>0</v>
      </c>
      <c r="Q350">
        <v>1</v>
      </c>
      <c r="R350">
        <v>3</v>
      </c>
      <c r="S350">
        <v>1</v>
      </c>
      <c r="T350">
        <v>1073</v>
      </c>
      <c r="U350">
        <v>3</v>
      </c>
    </row>
    <row r="351" spans="1:21" x14ac:dyDescent="0.45">
      <c r="A351" s="4">
        <v>460</v>
      </c>
      <c r="B351" s="4">
        <v>0</v>
      </c>
      <c r="C351" s="4">
        <v>0</v>
      </c>
      <c r="D351">
        <v>1</v>
      </c>
      <c r="E351">
        <v>3</v>
      </c>
      <c r="F351">
        <v>0</v>
      </c>
      <c r="G351">
        <v>9</v>
      </c>
      <c r="H351">
        <v>7</v>
      </c>
      <c r="I351">
        <v>6</v>
      </c>
      <c r="J351">
        <v>1</v>
      </c>
      <c r="K351">
        <v>1</v>
      </c>
      <c r="L351">
        <v>0</v>
      </c>
      <c r="M351">
        <v>14</v>
      </c>
      <c r="N351">
        <v>14342.116270263679</v>
      </c>
      <c r="O351">
        <v>4</v>
      </c>
      <c r="P351">
        <v>0</v>
      </c>
      <c r="Q351">
        <v>1</v>
      </c>
      <c r="R351">
        <v>3</v>
      </c>
      <c r="S351">
        <v>2</v>
      </c>
      <c r="T351">
        <v>1332</v>
      </c>
      <c r="U351">
        <v>2</v>
      </c>
    </row>
    <row r="352" spans="1:21" x14ac:dyDescent="0.45">
      <c r="A352" s="4">
        <v>461</v>
      </c>
      <c r="B352" s="4">
        <v>0</v>
      </c>
      <c r="C352" s="4">
        <v>1</v>
      </c>
      <c r="D352">
        <v>0</v>
      </c>
      <c r="E352">
        <v>0</v>
      </c>
      <c r="F352">
        <v>0</v>
      </c>
      <c r="G352">
        <v>3</v>
      </c>
      <c r="H352">
        <v>2</v>
      </c>
      <c r="I352">
        <v>4</v>
      </c>
      <c r="J352">
        <v>4</v>
      </c>
      <c r="K352">
        <v>2</v>
      </c>
      <c r="L352">
        <v>0</v>
      </c>
      <c r="M352">
        <v>1</v>
      </c>
      <c r="N352">
        <v>4554.8890931475307</v>
      </c>
      <c r="O352">
        <v>3</v>
      </c>
      <c r="P352">
        <v>0</v>
      </c>
      <c r="Q352">
        <v>1</v>
      </c>
      <c r="R352">
        <v>3</v>
      </c>
      <c r="S352">
        <v>5</v>
      </c>
      <c r="T352">
        <v>467</v>
      </c>
      <c r="U352">
        <v>1</v>
      </c>
    </row>
    <row r="353" spans="1:21" x14ac:dyDescent="0.45">
      <c r="A353" s="4">
        <v>462</v>
      </c>
      <c r="B353" s="4">
        <v>0</v>
      </c>
      <c r="C353" s="4">
        <v>0</v>
      </c>
      <c r="D353">
        <v>2</v>
      </c>
      <c r="E353">
        <v>0</v>
      </c>
      <c r="F353">
        <v>2</v>
      </c>
      <c r="G353">
        <v>4</v>
      </c>
      <c r="H353">
        <v>3</v>
      </c>
      <c r="I353">
        <v>21</v>
      </c>
      <c r="J353">
        <v>3</v>
      </c>
      <c r="K353">
        <v>22</v>
      </c>
      <c r="L353">
        <v>2</v>
      </c>
      <c r="M353">
        <v>13</v>
      </c>
      <c r="N353">
        <v>5433.4395520104608</v>
      </c>
      <c r="O353">
        <v>3</v>
      </c>
      <c r="P353">
        <v>0</v>
      </c>
      <c r="Q353">
        <v>1</v>
      </c>
      <c r="R353">
        <v>3</v>
      </c>
      <c r="S353">
        <v>1</v>
      </c>
      <c r="T353">
        <v>494</v>
      </c>
      <c r="U353">
        <v>2</v>
      </c>
    </row>
    <row r="354" spans="1:21" x14ac:dyDescent="0.45">
      <c r="A354" s="4">
        <v>465</v>
      </c>
      <c r="B354" s="4">
        <v>0</v>
      </c>
      <c r="C354" s="4">
        <v>0</v>
      </c>
      <c r="D354">
        <v>1</v>
      </c>
      <c r="E354">
        <v>0</v>
      </c>
      <c r="F354">
        <v>2</v>
      </c>
      <c r="G354">
        <v>3</v>
      </c>
      <c r="H354">
        <v>5</v>
      </c>
      <c r="I354">
        <v>13</v>
      </c>
      <c r="J354">
        <v>1</v>
      </c>
      <c r="K354">
        <v>19</v>
      </c>
      <c r="L354">
        <v>0</v>
      </c>
      <c r="M354">
        <v>3</v>
      </c>
      <c r="N354">
        <v>5930.8230669772056</v>
      </c>
      <c r="O354">
        <v>3</v>
      </c>
      <c r="P354">
        <v>0</v>
      </c>
      <c r="Q354">
        <v>0</v>
      </c>
      <c r="R354">
        <v>1</v>
      </c>
      <c r="S354">
        <v>4</v>
      </c>
      <c r="T354">
        <v>1807</v>
      </c>
      <c r="U354">
        <v>1</v>
      </c>
    </row>
    <row r="355" spans="1:21" x14ac:dyDescent="0.45">
      <c r="A355" s="4">
        <v>467</v>
      </c>
      <c r="B355" s="4">
        <v>0</v>
      </c>
      <c r="C355" s="4">
        <v>0</v>
      </c>
      <c r="D355">
        <v>2</v>
      </c>
      <c r="E355">
        <v>2</v>
      </c>
      <c r="F355">
        <v>0</v>
      </c>
      <c r="G355">
        <v>14</v>
      </c>
      <c r="H355">
        <v>11</v>
      </c>
      <c r="I355">
        <v>34</v>
      </c>
      <c r="J355">
        <v>1</v>
      </c>
      <c r="K355">
        <v>27</v>
      </c>
      <c r="L355">
        <v>3</v>
      </c>
      <c r="M355">
        <v>12</v>
      </c>
      <c r="N355">
        <v>6009.4009788470876</v>
      </c>
      <c r="O355">
        <v>3</v>
      </c>
      <c r="P355">
        <v>0</v>
      </c>
      <c r="Q355">
        <v>0</v>
      </c>
      <c r="R355">
        <v>3</v>
      </c>
      <c r="S355">
        <v>2</v>
      </c>
      <c r="T355">
        <v>180</v>
      </c>
      <c r="U355">
        <v>1</v>
      </c>
    </row>
    <row r="356" spans="1:21" x14ac:dyDescent="0.45">
      <c r="A356" s="4">
        <v>468</v>
      </c>
      <c r="B356" s="4">
        <v>0</v>
      </c>
      <c r="C356" s="4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>
        <v>5825.0381580594467</v>
      </c>
      <c r="O356">
        <v>1</v>
      </c>
      <c r="P356">
        <v>0</v>
      </c>
      <c r="Q356">
        <v>0</v>
      </c>
      <c r="R356">
        <v>1</v>
      </c>
      <c r="S356">
        <v>1</v>
      </c>
      <c r="T356">
        <v>445</v>
      </c>
      <c r="U356">
        <v>1</v>
      </c>
    </row>
    <row r="357" spans="1:21" x14ac:dyDescent="0.45">
      <c r="A357" s="4">
        <v>469</v>
      </c>
      <c r="B357" s="4">
        <v>0</v>
      </c>
      <c r="C357" s="4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1</v>
      </c>
      <c r="N357">
        <v>5754.564700042004</v>
      </c>
      <c r="O357">
        <v>1</v>
      </c>
      <c r="P357">
        <v>0</v>
      </c>
      <c r="Q357">
        <v>0</v>
      </c>
      <c r="R357">
        <v>1</v>
      </c>
      <c r="S357">
        <v>1</v>
      </c>
      <c r="T357">
        <v>382</v>
      </c>
      <c r="U357">
        <v>1</v>
      </c>
    </row>
    <row r="358" spans="1:21" x14ac:dyDescent="0.45">
      <c r="A358" s="4">
        <v>470</v>
      </c>
      <c r="B358" s="4">
        <v>0</v>
      </c>
      <c r="C358" s="4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2</v>
      </c>
      <c r="N358">
        <v>5732.534898169778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137</v>
      </c>
      <c r="U358">
        <v>1</v>
      </c>
    </row>
    <row r="359" spans="1:21" x14ac:dyDescent="0.45">
      <c r="A359" s="4">
        <v>471</v>
      </c>
      <c r="B359" s="4">
        <v>0</v>
      </c>
      <c r="C359" s="4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1</v>
      </c>
      <c r="L359">
        <v>0</v>
      </c>
      <c r="M359">
        <v>2</v>
      </c>
      <c r="N359">
        <v>5872.4704425686623</v>
      </c>
      <c r="O359">
        <v>1</v>
      </c>
      <c r="P359">
        <v>0</v>
      </c>
      <c r="Q359">
        <v>0</v>
      </c>
      <c r="R359">
        <v>1</v>
      </c>
      <c r="S359">
        <v>1</v>
      </c>
      <c r="T359">
        <v>692</v>
      </c>
      <c r="U359">
        <v>1</v>
      </c>
    </row>
    <row r="360" spans="1:21" x14ac:dyDescent="0.45">
      <c r="A360" s="4">
        <v>472</v>
      </c>
      <c r="B360" s="4">
        <v>0</v>
      </c>
      <c r="C360" s="4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0</v>
      </c>
      <c r="K360">
        <v>1</v>
      </c>
      <c r="L360">
        <v>0</v>
      </c>
      <c r="M360">
        <v>2</v>
      </c>
      <c r="N360">
        <v>5789.3523689367266</v>
      </c>
      <c r="O360">
        <v>1</v>
      </c>
      <c r="P360">
        <v>0</v>
      </c>
      <c r="Q360">
        <v>0</v>
      </c>
      <c r="R360">
        <v>1</v>
      </c>
      <c r="S360">
        <v>1</v>
      </c>
      <c r="T360">
        <v>1087</v>
      </c>
      <c r="U360">
        <v>1</v>
      </c>
    </row>
    <row r="361" spans="1:21" x14ac:dyDescent="0.45">
      <c r="A361" s="4">
        <v>473</v>
      </c>
      <c r="B361" s="4">
        <v>0</v>
      </c>
      <c r="C361" s="4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0</v>
      </c>
      <c r="K361">
        <v>1</v>
      </c>
      <c r="L361">
        <v>0</v>
      </c>
      <c r="M361">
        <v>2</v>
      </c>
      <c r="N361">
        <v>5789.3523689367266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613</v>
      </c>
      <c r="U361">
        <v>1</v>
      </c>
    </row>
    <row r="362" spans="1:21" x14ac:dyDescent="0.45">
      <c r="A362" s="4">
        <v>474</v>
      </c>
      <c r="B362" s="4">
        <v>0</v>
      </c>
      <c r="C362" s="4">
        <v>0</v>
      </c>
      <c r="D362">
        <v>3</v>
      </c>
      <c r="E362">
        <v>8</v>
      </c>
      <c r="F362">
        <v>2</v>
      </c>
      <c r="G362">
        <v>8</v>
      </c>
      <c r="H362">
        <v>15</v>
      </c>
      <c r="I362">
        <v>50</v>
      </c>
      <c r="J362">
        <v>2</v>
      </c>
      <c r="K362">
        <v>6</v>
      </c>
      <c r="L362">
        <v>9</v>
      </c>
      <c r="M362">
        <v>25</v>
      </c>
      <c r="N362">
        <v>7132.8416445631792</v>
      </c>
      <c r="O362">
        <v>3</v>
      </c>
      <c r="P362">
        <v>0</v>
      </c>
      <c r="Q362">
        <v>1</v>
      </c>
      <c r="R362">
        <v>4</v>
      </c>
      <c r="S362">
        <v>5</v>
      </c>
      <c r="T362">
        <v>386</v>
      </c>
      <c r="U362">
        <v>1</v>
      </c>
    </row>
    <row r="363" spans="1:21" x14ac:dyDescent="0.45">
      <c r="A363" s="4">
        <v>475</v>
      </c>
      <c r="B363" s="4">
        <v>0</v>
      </c>
      <c r="C363" s="4">
        <v>0</v>
      </c>
      <c r="D363">
        <v>2</v>
      </c>
      <c r="E363">
        <v>12</v>
      </c>
      <c r="F363">
        <v>0</v>
      </c>
      <c r="G363">
        <v>25</v>
      </c>
      <c r="H363">
        <v>25</v>
      </c>
      <c r="I363">
        <v>28</v>
      </c>
      <c r="J363">
        <v>3</v>
      </c>
      <c r="K363">
        <v>3</v>
      </c>
      <c r="L363">
        <v>4</v>
      </c>
      <c r="M363">
        <v>7</v>
      </c>
      <c r="N363">
        <v>4373.4754448625927</v>
      </c>
      <c r="O363">
        <v>2</v>
      </c>
      <c r="P363">
        <v>0</v>
      </c>
      <c r="Q363">
        <v>1</v>
      </c>
      <c r="R363">
        <v>4</v>
      </c>
      <c r="S363">
        <v>1</v>
      </c>
      <c r="T363">
        <v>523</v>
      </c>
      <c r="U363">
        <v>1</v>
      </c>
    </row>
    <row r="364" spans="1:21" x14ac:dyDescent="0.45">
      <c r="A364" s="4">
        <v>476</v>
      </c>
      <c r="B364" s="4">
        <v>0</v>
      </c>
      <c r="C364" s="4">
        <v>1</v>
      </c>
      <c r="D364">
        <v>2</v>
      </c>
      <c r="E364">
        <v>12</v>
      </c>
      <c r="F364">
        <v>0</v>
      </c>
      <c r="G364">
        <v>25</v>
      </c>
      <c r="H364">
        <v>25</v>
      </c>
      <c r="I364">
        <v>28</v>
      </c>
      <c r="J364">
        <v>3</v>
      </c>
      <c r="K364">
        <v>3</v>
      </c>
      <c r="L364">
        <v>4</v>
      </c>
      <c r="M364">
        <v>7</v>
      </c>
      <c r="N364">
        <v>4417.1747325710521</v>
      </c>
      <c r="O364">
        <v>2</v>
      </c>
      <c r="P364">
        <v>0</v>
      </c>
      <c r="Q364">
        <v>0</v>
      </c>
      <c r="R364">
        <v>4</v>
      </c>
      <c r="S364">
        <v>1</v>
      </c>
      <c r="T364">
        <v>109</v>
      </c>
      <c r="U364">
        <v>2</v>
      </c>
    </row>
    <row r="365" spans="1:21" x14ac:dyDescent="0.45">
      <c r="A365" s="4">
        <v>477</v>
      </c>
      <c r="B365" s="4">
        <v>0</v>
      </c>
      <c r="C365" s="4">
        <v>0</v>
      </c>
      <c r="D365">
        <v>2</v>
      </c>
      <c r="E365">
        <v>12</v>
      </c>
      <c r="F365">
        <v>0</v>
      </c>
      <c r="G365">
        <v>25</v>
      </c>
      <c r="H365">
        <v>25</v>
      </c>
      <c r="I365">
        <v>28</v>
      </c>
      <c r="J365">
        <v>3</v>
      </c>
      <c r="K365">
        <v>3</v>
      </c>
      <c r="L365">
        <v>4</v>
      </c>
      <c r="M365">
        <v>7</v>
      </c>
      <c r="N365">
        <v>4417.1747325710521</v>
      </c>
      <c r="O365">
        <v>2</v>
      </c>
      <c r="P365">
        <v>0</v>
      </c>
      <c r="Q365">
        <v>0</v>
      </c>
      <c r="R365">
        <v>4</v>
      </c>
      <c r="S365">
        <v>2</v>
      </c>
      <c r="T365">
        <v>154</v>
      </c>
      <c r="U365">
        <v>1</v>
      </c>
    </row>
    <row r="366" spans="1:21" x14ac:dyDescent="0.45">
      <c r="A366" s="4">
        <v>478</v>
      </c>
      <c r="B366" s="4">
        <v>0</v>
      </c>
      <c r="C366" s="4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2</v>
      </c>
      <c r="N366">
        <v>6558.0052586274369</v>
      </c>
      <c r="O366">
        <v>2</v>
      </c>
      <c r="P366">
        <v>0</v>
      </c>
      <c r="Q366">
        <v>0</v>
      </c>
      <c r="R366">
        <v>4</v>
      </c>
      <c r="S366">
        <v>1</v>
      </c>
      <c r="T366">
        <v>728</v>
      </c>
      <c r="U366">
        <v>1</v>
      </c>
    </row>
    <row r="367" spans="1:21" x14ac:dyDescent="0.45">
      <c r="A367" s="4">
        <v>479</v>
      </c>
      <c r="B367" s="4">
        <v>0</v>
      </c>
      <c r="C367" s="4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1</v>
      </c>
      <c r="L367">
        <v>0</v>
      </c>
      <c r="M367">
        <v>2</v>
      </c>
      <c r="N367">
        <v>5997.3960550884631</v>
      </c>
      <c r="O367">
        <v>3</v>
      </c>
      <c r="P367">
        <v>0</v>
      </c>
      <c r="Q367">
        <v>0</v>
      </c>
      <c r="R367">
        <v>3</v>
      </c>
      <c r="S367">
        <v>1</v>
      </c>
      <c r="T367">
        <v>245</v>
      </c>
      <c r="U367">
        <v>1</v>
      </c>
    </row>
    <row r="368" spans="1:21" x14ac:dyDescent="0.45">
      <c r="A368" s="4">
        <v>480</v>
      </c>
      <c r="B368" s="4">
        <v>0</v>
      </c>
      <c r="C368" s="4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1</v>
      </c>
      <c r="L368">
        <v>0</v>
      </c>
      <c r="M368">
        <v>2</v>
      </c>
      <c r="N368">
        <v>6083.4830784447649</v>
      </c>
      <c r="O368">
        <v>3</v>
      </c>
      <c r="P368">
        <v>0</v>
      </c>
      <c r="Q368">
        <v>1</v>
      </c>
      <c r="R368">
        <v>3</v>
      </c>
      <c r="S368">
        <v>2</v>
      </c>
      <c r="T368">
        <v>102</v>
      </c>
      <c r="U368">
        <v>1</v>
      </c>
    </row>
    <row r="369" spans="1:21" x14ac:dyDescent="0.45">
      <c r="A369" s="4">
        <v>481</v>
      </c>
      <c r="B369" s="4">
        <v>0</v>
      </c>
      <c r="C369" s="4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6620.0303995260228</v>
      </c>
      <c r="O369">
        <v>1</v>
      </c>
      <c r="P369">
        <v>0</v>
      </c>
      <c r="Q369">
        <v>1</v>
      </c>
      <c r="R369">
        <v>4</v>
      </c>
      <c r="S369">
        <v>3</v>
      </c>
      <c r="T369">
        <v>718</v>
      </c>
      <c r="U369">
        <v>1</v>
      </c>
    </row>
    <row r="370" spans="1:21" x14ac:dyDescent="0.45">
      <c r="A370" s="4">
        <v>482</v>
      </c>
      <c r="B370" s="4">
        <v>0</v>
      </c>
      <c r="C370" s="4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6562.3596776951217</v>
      </c>
      <c r="O370">
        <v>1</v>
      </c>
      <c r="P370">
        <v>0</v>
      </c>
      <c r="Q370">
        <v>0</v>
      </c>
      <c r="R370">
        <v>4</v>
      </c>
      <c r="S370">
        <v>1</v>
      </c>
      <c r="T370">
        <v>519</v>
      </c>
      <c r="U370">
        <v>1</v>
      </c>
    </row>
    <row r="371" spans="1:21" x14ac:dyDescent="0.45">
      <c r="A371" s="4">
        <v>483</v>
      </c>
      <c r="B371" s="4">
        <v>0</v>
      </c>
      <c r="C371" s="4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7114.9550790119893</v>
      </c>
      <c r="O371">
        <v>1</v>
      </c>
      <c r="P371">
        <v>0</v>
      </c>
      <c r="Q371">
        <v>1</v>
      </c>
      <c r="R371">
        <v>4</v>
      </c>
      <c r="S371">
        <v>1</v>
      </c>
      <c r="T371">
        <v>628</v>
      </c>
      <c r="U371">
        <v>2</v>
      </c>
    </row>
    <row r="372" spans="1:21" x14ac:dyDescent="0.45">
      <c r="A372" s="4">
        <v>484</v>
      </c>
      <c r="B372" s="4">
        <v>0</v>
      </c>
      <c r="C372" s="4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7193.0664659324848</v>
      </c>
      <c r="O372">
        <v>2</v>
      </c>
      <c r="P372">
        <v>0</v>
      </c>
      <c r="Q372">
        <v>0</v>
      </c>
      <c r="R372">
        <v>1</v>
      </c>
      <c r="S372">
        <v>1</v>
      </c>
      <c r="T372">
        <v>506</v>
      </c>
      <c r="U372">
        <v>2</v>
      </c>
    </row>
    <row r="373" spans="1:21" x14ac:dyDescent="0.45">
      <c r="A373" s="4">
        <v>489</v>
      </c>
      <c r="B373" s="4">
        <v>0</v>
      </c>
      <c r="C373" s="4">
        <v>0</v>
      </c>
      <c r="D373">
        <v>0</v>
      </c>
      <c r="E373">
        <v>3</v>
      </c>
      <c r="F373">
        <v>0</v>
      </c>
      <c r="G373">
        <v>6</v>
      </c>
      <c r="H373">
        <v>6</v>
      </c>
      <c r="I373">
        <v>3</v>
      </c>
      <c r="J373">
        <v>4</v>
      </c>
      <c r="K373">
        <v>0</v>
      </c>
      <c r="L373">
        <v>0</v>
      </c>
      <c r="M373">
        <v>4</v>
      </c>
      <c r="N373">
        <v>12153.69663383363</v>
      </c>
      <c r="O373">
        <v>4</v>
      </c>
      <c r="P373">
        <v>0</v>
      </c>
      <c r="Q373">
        <v>0</v>
      </c>
      <c r="R373">
        <v>2</v>
      </c>
      <c r="S373">
        <v>1</v>
      </c>
      <c r="T373">
        <v>89</v>
      </c>
      <c r="U373">
        <v>1</v>
      </c>
    </row>
    <row r="374" spans="1:21" x14ac:dyDescent="0.45">
      <c r="A374" s="4">
        <v>490</v>
      </c>
      <c r="B374" s="4">
        <v>0</v>
      </c>
      <c r="C374" s="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3</v>
      </c>
      <c r="N374">
        <v>12843.43516237961</v>
      </c>
      <c r="O374">
        <v>3</v>
      </c>
      <c r="P374">
        <v>0</v>
      </c>
      <c r="Q374">
        <v>0</v>
      </c>
      <c r="R374">
        <v>1</v>
      </c>
      <c r="S374">
        <v>5</v>
      </c>
      <c r="T374">
        <v>1418</v>
      </c>
      <c r="U374">
        <v>4</v>
      </c>
    </row>
    <row r="375" spans="1:21" x14ac:dyDescent="0.45">
      <c r="A375" s="4">
        <v>491</v>
      </c>
      <c r="B375" s="4">
        <v>0</v>
      </c>
      <c r="C375" s="4">
        <v>0</v>
      </c>
      <c r="D375">
        <v>1</v>
      </c>
      <c r="E375">
        <v>2</v>
      </c>
      <c r="F375">
        <v>0</v>
      </c>
      <c r="G375">
        <v>10</v>
      </c>
      <c r="H375">
        <v>18</v>
      </c>
      <c r="I375">
        <v>13</v>
      </c>
      <c r="J375">
        <v>3</v>
      </c>
      <c r="K375">
        <v>0</v>
      </c>
      <c r="L375">
        <v>1</v>
      </c>
      <c r="M375">
        <v>8</v>
      </c>
      <c r="N375">
        <v>12922.784912860439</v>
      </c>
      <c r="O375">
        <v>2</v>
      </c>
      <c r="P375">
        <v>0</v>
      </c>
      <c r="Q375">
        <v>1</v>
      </c>
      <c r="R375">
        <v>4</v>
      </c>
      <c r="S375">
        <v>1</v>
      </c>
      <c r="T375">
        <v>401</v>
      </c>
      <c r="U375">
        <v>2</v>
      </c>
    </row>
    <row r="376" spans="1:21" x14ac:dyDescent="0.45">
      <c r="A376" s="4">
        <v>492</v>
      </c>
      <c r="B376" s="4">
        <v>0</v>
      </c>
      <c r="C376" s="4">
        <v>0</v>
      </c>
      <c r="D376">
        <v>0</v>
      </c>
      <c r="E376">
        <v>1</v>
      </c>
      <c r="F376">
        <v>0</v>
      </c>
      <c r="G376">
        <v>5</v>
      </c>
      <c r="H376">
        <v>4</v>
      </c>
      <c r="I376">
        <v>3</v>
      </c>
      <c r="J376">
        <v>2</v>
      </c>
      <c r="K376">
        <v>1</v>
      </c>
      <c r="L376">
        <v>0</v>
      </c>
      <c r="M376">
        <v>3</v>
      </c>
      <c r="N376">
        <v>5797.3102707760054</v>
      </c>
      <c r="O376">
        <v>4</v>
      </c>
      <c r="P376">
        <v>0</v>
      </c>
      <c r="Q376">
        <v>1</v>
      </c>
      <c r="R376">
        <v>3</v>
      </c>
      <c r="S376">
        <v>3</v>
      </c>
      <c r="T376">
        <v>579</v>
      </c>
      <c r="U376">
        <v>2</v>
      </c>
    </row>
    <row r="377" spans="1:21" x14ac:dyDescent="0.45">
      <c r="A377" s="4">
        <v>493</v>
      </c>
      <c r="B377" s="4">
        <v>0</v>
      </c>
      <c r="C377" s="4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2</v>
      </c>
      <c r="N377">
        <v>6026.1458671492119</v>
      </c>
      <c r="O377">
        <v>3</v>
      </c>
      <c r="P377">
        <v>0</v>
      </c>
      <c r="Q377">
        <v>0</v>
      </c>
      <c r="R377">
        <v>3</v>
      </c>
      <c r="S377">
        <v>2</v>
      </c>
      <c r="T377">
        <v>1052</v>
      </c>
      <c r="U377">
        <v>1</v>
      </c>
    </row>
    <row r="378" spans="1:21" x14ac:dyDescent="0.45">
      <c r="A378" s="4">
        <v>494</v>
      </c>
      <c r="B378" s="4">
        <v>0</v>
      </c>
      <c r="C378" s="4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2</v>
      </c>
      <c r="N378">
        <v>6026.1458671492119</v>
      </c>
      <c r="O378">
        <v>3</v>
      </c>
      <c r="P378">
        <v>0</v>
      </c>
      <c r="Q378">
        <v>1</v>
      </c>
      <c r="R378">
        <v>3</v>
      </c>
      <c r="S378">
        <v>2</v>
      </c>
      <c r="T378">
        <v>1783</v>
      </c>
      <c r="U378">
        <v>1</v>
      </c>
    </row>
    <row r="379" spans="1:21" x14ac:dyDescent="0.45">
      <c r="A379" s="4">
        <v>495</v>
      </c>
      <c r="B379" s="4">
        <v>1</v>
      </c>
      <c r="C379" s="4">
        <v>0</v>
      </c>
      <c r="D379">
        <v>1</v>
      </c>
      <c r="E379">
        <v>2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5</v>
      </c>
      <c r="N379">
        <v>7777.0871648824777</v>
      </c>
      <c r="O379">
        <v>4</v>
      </c>
      <c r="P379">
        <v>0</v>
      </c>
      <c r="Q379">
        <v>1</v>
      </c>
      <c r="R379">
        <v>3</v>
      </c>
      <c r="S379">
        <v>3</v>
      </c>
      <c r="T379">
        <v>559</v>
      </c>
      <c r="U379">
        <v>3</v>
      </c>
    </row>
    <row r="380" spans="1:21" x14ac:dyDescent="0.45">
      <c r="A380" s="4">
        <v>496</v>
      </c>
      <c r="B380" s="4">
        <v>1</v>
      </c>
      <c r="C380" s="4">
        <v>0</v>
      </c>
      <c r="D380">
        <v>1</v>
      </c>
      <c r="E380">
        <v>2</v>
      </c>
      <c r="F380">
        <v>1</v>
      </c>
      <c r="G380">
        <v>2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7863.5360839075001</v>
      </c>
      <c r="O380">
        <v>4</v>
      </c>
      <c r="P380">
        <v>0</v>
      </c>
      <c r="Q380">
        <v>1</v>
      </c>
      <c r="R380">
        <v>1</v>
      </c>
      <c r="S380">
        <v>5</v>
      </c>
      <c r="T380">
        <v>804</v>
      </c>
      <c r="U380">
        <v>1</v>
      </c>
    </row>
    <row r="381" spans="1:21" x14ac:dyDescent="0.45">
      <c r="A381" s="4">
        <v>497</v>
      </c>
      <c r="B381" s="4">
        <v>0</v>
      </c>
      <c r="C381" s="4">
        <v>0</v>
      </c>
      <c r="D381">
        <v>0</v>
      </c>
      <c r="E381">
        <v>0</v>
      </c>
      <c r="F381">
        <v>0</v>
      </c>
      <c r="G381">
        <v>3</v>
      </c>
      <c r="H381">
        <v>0</v>
      </c>
      <c r="I381">
        <v>4</v>
      </c>
      <c r="J381">
        <v>0</v>
      </c>
      <c r="K381">
        <v>4</v>
      </c>
      <c r="L381">
        <v>0</v>
      </c>
      <c r="M381">
        <v>11</v>
      </c>
      <c r="N381">
        <v>6258.9614125233857</v>
      </c>
      <c r="O381">
        <v>4</v>
      </c>
      <c r="P381">
        <v>1</v>
      </c>
      <c r="Q381">
        <v>1</v>
      </c>
      <c r="R381">
        <v>3</v>
      </c>
      <c r="S381">
        <v>2</v>
      </c>
      <c r="T381">
        <v>473</v>
      </c>
      <c r="U381">
        <v>2</v>
      </c>
    </row>
    <row r="382" spans="1:21" x14ac:dyDescent="0.45">
      <c r="A382" s="4">
        <v>498</v>
      </c>
      <c r="B382" s="4">
        <v>0</v>
      </c>
      <c r="C382" s="4">
        <v>0</v>
      </c>
      <c r="D382">
        <v>0</v>
      </c>
      <c r="E382">
        <v>1</v>
      </c>
      <c r="F382">
        <v>0</v>
      </c>
      <c r="G382">
        <v>2</v>
      </c>
      <c r="H382">
        <v>0</v>
      </c>
      <c r="I382">
        <v>5</v>
      </c>
      <c r="J382">
        <v>1</v>
      </c>
      <c r="K382">
        <v>4</v>
      </c>
      <c r="L382">
        <v>0</v>
      </c>
      <c r="M382">
        <v>10</v>
      </c>
      <c r="N382">
        <v>6014.4557077351974</v>
      </c>
      <c r="O382">
        <v>4</v>
      </c>
      <c r="P382">
        <v>1</v>
      </c>
      <c r="Q382">
        <v>1</v>
      </c>
      <c r="R382">
        <v>3</v>
      </c>
      <c r="S382">
        <v>2</v>
      </c>
      <c r="T382">
        <v>757</v>
      </c>
      <c r="U382">
        <v>1</v>
      </c>
    </row>
    <row r="383" spans="1:21" x14ac:dyDescent="0.45">
      <c r="A383" s="4">
        <v>499</v>
      </c>
      <c r="B383" s="4">
        <v>0</v>
      </c>
      <c r="C383" s="4">
        <v>0</v>
      </c>
      <c r="D383">
        <v>0</v>
      </c>
      <c r="E383">
        <v>2</v>
      </c>
      <c r="F383">
        <v>0</v>
      </c>
      <c r="G383">
        <v>2</v>
      </c>
      <c r="H383">
        <v>0</v>
      </c>
      <c r="I383">
        <v>5</v>
      </c>
      <c r="J383">
        <v>1</v>
      </c>
      <c r="K383">
        <v>3</v>
      </c>
      <c r="L383">
        <v>0</v>
      </c>
      <c r="M383">
        <v>8</v>
      </c>
      <c r="N383">
        <v>6122.7134825703961</v>
      </c>
      <c r="O383">
        <v>1</v>
      </c>
      <c r="P383">
        <v>0</v>
      </c>
      <c r="Q383">
        <v>1</v>
      </c>
      <c r="R383">
        <v>2</v>
      </c>
      <c r="S383">
        <v>2</v>
      </c>
      <c r="T383">
        <v>1948</v>
      </c>
      <c r="U383">
        <v>2</v>
      </c>
    </row>
    <row r="384" spans="1:21" x14ac:dyDescent="0.45">
      <c r="A384" s="4">
        <v>500</v>
      </c>
      <c r="B384" s="4">
        <v>0</v>
      </c>
      <c r="C384" s="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14</v>
      </c>
      <c r="N384">
        <v>6949.1976094261681</v>
      </c>
      <c r="O384">
        <v>3</v>
      </c>
      <c r="P384">
        <v>0</v>
      </c>
      <c r="Q384">
        <v>0</v>
      </c>
      <c r="R384">
        <v>3</v>
      </c>
      <c r="S384">
        <v>4</v>
      </c>
      <c r="T384">
        <v>2998</v>
      </c>
      <c r="U384">
        <v>1</v>
      </c>
    </row>
    <row r="385" spans="1:21" x14ac:dyDescent="0.45">
      <c r="A385" s="4">
        <v>501</v>
      </c>
      <c r="B385" s="4">
        <v>0</v>
      </c>
      <c r="C385" s="4">
        <v>0</v>
      </c>
      <c r="D385">
        <v>0</v>
      </c>
      <c r="E385">
        <v>1</v>
      </c>
      <c r="F385">
        <v>0</v>
      </c>
      <c r="G385">
        <v>4</v>
      </c>
      <c r="H385">
        <v>4</v>
      </c>
      <c r="I385">
        <v>4</v>
      </c>
      <c r="J385">
        <v>0</v>
      </c>
      <c r="K385">
        <v>6</v>
      </c>
      <c r="L385">
        <v>0</v>
      </c>
      <c r="M385">
        <v>20</v>
      </c>
      <c r="N385">
        <v>6734.9816500795368</v>
      </c>
      <c r="O385">
        <v>3</v>
      </c>
      <c r="P385">
        <v>0</v>
      </c>
      <c r="Q385">
        <v>0</v>
      </c>
      <c r="R385">
        <v>3</v>
      </c>
      <c r="S385">
        <v>1</v>
      </c>
      <c r="T385">
        <v>42</v>
      </c>
      <c r="U385">
        <v>1</v>
      </c>
    </row>
    <row r="386" spans="1:21" x14ac:dyDescent="0.45">
      <c r="A386" s="4">
        <v>502</v>
      </c>
      <c r="B386" s="4">
        <v>0</v>
      </c>
      <c r="C386" s="4">
        <v>0</v>
      </c>
      <c r="D386">
        <v>1</v>
      </c>
      <c r="E386">
        <v>4</v>
      </c>
      <c r="F386">
        <v>0</v>
      </c>
      <c r="G386">
        <v>9</v>
      </c>
      <c r="H386">
        <v>14</v>
      </c>
      <c r="I386">
        <v>8</v>
      </c>
      <c r="J386">
        <v>4</v>
      </c>
      <c r="K386">
        <v>3</v>
      </c>
      <c r="L386">
        <v>1</v>
      </c>
      <c r="M386">
        <v>13</v>
      </c>
      <c r="N386">
        <v>6586.721093352051</v>
      </c>
      <c r="O386">
        <v>3</v>
      </c>
      <c r="P386">
        <v>0</v>
      </c>
      <c r="Q386">
        <v>1</v>
      </c>
      <c r="R386">
        <v>4</v>
      </c>
      <c r="S386">
        <v>2</v>
      </c>
      <c r="T386">
        <v>581</v>
      </c>
      <c r="U386">
        <v>3</v>
      </c>
    </row>
    <row r="387" spans="1:21" x14ac:dyDescent="0.45">
      <c r="A387" s="4">
        <v>503</v>
      </c>
      <c r="B387" s="4">
        <v>0</v>
      </c>
      <c r="C387" s="4">
        <v>0</v>
      </c>
      <c r="D387">
        <v>1</v>
      </c>
      <c r="E387">
        <v>4</v>
      </c>
      <c r="F387">
        <v>1</v>
      </c>
      <c r="G387">
        <v>10</v>
      </c>
      <c r="H387">
        <v>13</v>
      </c>
      <c r="I387">
        <v>8</v>
      </c>
      <c r="J387">
        <v>4</v>
      </c>
      <c r="K387">
        <v>1</v>
      </c>
      <c r="L387">
        <v>1</v>
      </c>
      <c r="M387">
        <v>14</v>
      </c>
      <c r="N387">
        <v>6301.027550342591</v>
      </c>
      <c r="O387">
        <v>4</v>
      </c>
      <c r="P387">
        <v>0</v>
      </c>
      <c r="Q387">
        <v>1</v>
      </c>
      <c r="R387">
        <v>4</v>
      </c>
      <c r="S387">
        <v>5</v>
      </c>
      <c r="T387">
        <v>1349</v>
      </c>
      <c r="U387">
        <v>2</v>
      </c>
    </row>
    <row r="388" spans="1:21" x14ac:dyDescent="0.45">
      <c r="A388" s="4">
        <v>504</v>
      </c>
      <c r="B388" s="4">
        <v>0</v>
      </c>
      <c r="C388" s="4">
        <v>0</v>
      </c>
      <c r="D388">
        <v>2</v>
      </c>
      <c r="E388">
        <v>4</v>
      </c>
      <c r="F388">
        <v>2</v>
      </c>
      <c r="G388">
        <v>9</v>
      </c>
      <c r="H388">
        <v>12</v>
      </c>
      <c r="I388">
        <v>5</v>
      </c>
      <c r="J388">
        <v>3</v>
      </c>
      <c r="K388">
        <v>2</v>
      </c>
      <c r="L388">
        <v>0</v>
      </c>
      <c r="M388">
        <v>8</v>
      </c>
      <c r="N388">
        <v>6340.9021884710601</v>
      </c>
      <c r="O388">
        <v>2</v>
      </c>
      <c r="P388">
        <v>1</v>
      </c>
      <c r="Q388">
        <v>1</v>
      </c>
      <c r="R388">
        <v>4</v>
      </c>
      <c r="S388">
        <v>3</v>
      </c>
      <c r="T388">
        <v>4298</v>
      </c>
      <c r="U388">
        <v>4</v>
      </c>
    </row>
    <row r="389" spans="1:21" x14ac:dyDescent="0.45">
      <c r="A389" s="4">
        <v>505</v>
      </c>
      <c r="B389" s="4">
        <v>0</v>
      </c>
      <c r="C389" s="4">
        <v>0</v>
      </c>
      <c r="D389">
        <v>2</v>
      </c>
      <c r="E389">
        <v>4</v>
      </c>
      <c r="F389">
        <v>2</v>
      </c>
      <c r="G389">
        <v>6</v>
      </c>
      <c r="H389">
        <v>5</v>
      </c>
      <c r="I389">
        <v>4</v>
      </c>
      <c r="J389">
        <v>3</v>
      </c>
      <c r="K389">
        <v>2</v>
      </c>
      <c r="L389">
        <v>0</v>
      </c>
      <c r="M389">
        <v>5</v>
      </c>
      <c r="N389">
        <v>6197.4220594063136</v>
      </c>
      <c r="O389">
        <v>2</v>
      </c>
      <c r="P389">
        <v>0</v>
      </c>
      <c r="Q389">
        <v>1</v>
      </c>
      <c r="R389">
        <v>4</v>
      </c>
      <c r="S389">
        <v>5</v>
      </c>
      <c r="T389">
        <v>2007</v>
      </c>
      <c r="U389">
        <v>3</v>
      </c>
    </row>
    <row r="390" spans="1:21" x14ac:dyDescent="0.45">
      <c r="A390" s="4">
        <v>506</v>
      </c>
      <c r="B390" s="4">
        <v>0</v>
      </c>
      <c r="C390" s="4">
        <v>0</v>
      </c>
      <c r="D390">
        <v>2</v>
      </c>
      <c r="E390">
        <v>6</v>
      </c>
      <c r="F390">
        <v>1</v>
      </c>
      <c r="G390">
        <v>9</v>
      </c>
      <c r="H390">
        <v>6</v>
      </c>
      <c r="I390">
        <v>5</v>
      </c>
      <c r="J390">
        <v>3</v>
      </c>
      <c r="K390">
        <v>2</v>
      </c>
      <c r="L390">
        <v>0</v>
      </c>
      <c r="M390">
        <v>7</v>
      </c>
      <c r="N390">
        <v>6333.1483915136068</v>
      </c>
      <c r="O390">
        <v>2</v>
      </c>
      <c r="P390">
        <v>0</v>
      </c>
      <c r="Q390">
        <v>1</v>
      </c>
      <c r="R390">
        <v>4</v>
      </c>
      <c r="S390">
        <v>5</v>
      </c>
      <c r="T390">
        <v>1624</v>
      </c>
      <c r="U390">
        <v>3</v>
      </c>
    </row>
    <row r="391" spans="1:21" x14ac:dyDescent="0.45">
      <c r="A391" s="4">
        <v>507</v>
      </c>
      <c r="B391" s="4">
        <v>0</v>
      </c>
      <c r="C391" s="4">
        <v>0</v>
      </c>
      <c r="D391">
        <v>3</v>
      </c>
      <c r="E391">
        <v>3</v>
      </c>
      <c r="F391">
        <v>2</v>
      </c>
      <c r="G391">
        <v>14</v>
      </c>
      <c r="H391">
        <v>14</v>
      </c>
      <c r="I391">
        <v>32</v>
      </c>
      <c r="J391">
        <v>3</v>
      </c>
      <c r="K391">
        <v>2</v>
      </c>
      <c r="L391">
        <v>4</v>
      </c>
      <c r="M391">
        <v>10</v>
      </c>
      <c r="N391">
        <v>5664.1231068976904</v>
      </c>
      <c r="O391">
        <v>3</v>
      </c>
      <c r="P391">
        <v>0</v>
      </c>
      <c r="Q391">
        <v>1</v>
      </c>
      <c r="R391">
        <v>4</v>
      </c>
      <c r="S391">
        <v>2</v>
      </c>
      <c r="T391">
        <v>405</v>
      </c>
      <c r="U391">
        <v>1</v>
      </c>
    </row>
    <row r="392" spans="1:21" x14ac:dyDescent="0.45">
      <c r="A392" s="4">
        <v>508</v>
      </c>
      <c r="B392" s="4">
        <v>0</v>
      </c>
      <c r="C392" s="4">
        <v>0</v>
      </c>
      <c r="D392">
        <v>1</v>
      </c>
      <c r="E392">
        <v>2</v>
      </c>
      <c r="F392">
        <v>0</v>
      </c>
      <c r="G392">
        <v>1</v>
      </c>
      <c r="H392">
        <v>0</v>
      </c>
      <c r="I392">
        <v>6</v>
      </c>
      <c r="J392">
        <v>1</v>
      </c>
      <c r="K392">
        <v>1</v>
      </c>
      <c r="L392">
        <v>0</v>
      </c>
      <c r="M392">
        <v>1</v>
      </c>
      <c r="N392">
        <v>5849.2973648028265</v>
      </c>
      <c r="O392">
        <v>2</v>
      </c>
      <c r="P392">
        <v>0</v>
      </c>
      <c r="Q392">
        <v>1</v>
      </c>
      <c r="R392">
        <v>2</v>
      </c>
      <c r="S392">
        <v>2</v>
      </c>
      <c r="T392">
        <v>2393</v>
      </c>
      <c r="U392">
        <v>3</v>
      </c>
    </row>
    <row r="393" spans="1:21" x14ac:dyDescent="0.45">
      <c r="A393" s="4">
        <v>509</v>
      </c>
      <c r="B393" s="4">
        <v>0</v>
      </c>
      <c r="C393" s="4">
        <v>0</v>
      </c>
      <c r="D393">
        <v>1</v>
      </c>
      <c r="E393">
        <v>2</v>
      </c>
      <c r="F393">
        <v>0</v>
      </c>
      <c r="G393">
        <v>4</v>
      </c>
      <c r="H393">
        <v>4</v>
      </c>
      <c r="I393">
        <v>6</v>
      </c>
      <c r="J393">
        <v>0</v>
      </c>
      <c r="K393">
        <v>1</v>
      </c>
      <c r="L393">
        <v>0</v>
      </c>
      <c r="M393">
        <v>2</v>
      </c>
      <c r="N393">
        <v>7150.4149869578323</v>
      </c>
      <c r="O393">
        <v>3</v>
      </c>
      <c r="P393">
        <v>0</v>
      </c>
      <c r="Q393">
        <v>0</v>
      </c>
      <c r="R393">
        <v>3</v>
      </c>
      <c r="S393">
        <v>7</v>
      </c>
      <c r="T393">
        <v>23834</v>
      </c>
      <c r="U393">
        <v>2</v>
      </c>
    </row>
    <row r="394" spans="1:21" x14ac:dyDescent="0.45">
      <c r="A394" s="4">
        <v>510</v>
      </c>
      <c r="B394" s="4">
        <v>0</v>
      </c>
      <c r="C394" s="4">
        <v>0</v>
      </c>
      <c r="D394">
        <v>1</v>
      </c>
      <c r="E394">
        <v>3</v>
      </c>
      <c r="F394">
        <v>0</v>
      </c>
      <c r="G394">
        <v>6</v>
      </c>
      <c r="H394">
        <v>7</v>
      </c>
      <c r="I394">
        <v>8</v>
      </c>
      <c r="J394">
        <v>0</v>
      </c>
      <c r="K394">
        <v>1</v>
      </c>
      <c r="L394">
        <v>0</v>
      </c>
      <c r="M394">
        <v>9</v>
      </c>
      <c r="N394">
        <v>7036.2828391100484</v>
      </c>
      <c r="O394">
        <v>3</v>
      </c>
      <c r="P394">
        <v>0</v>
      </c>
      <c r="Q394">
        <v>1</v>
      </c>
      <c r="R394">
        <v>4</v>
      </c>
      <c r="S394">
        <v>3</v>
      </c>
      <c r="T394">
        <v>230</v>
      </c>
      <c r="U394">
        <v>1</v>
      </c>
    </row>
    <row r="395" spans="1:21" x14ac:dyDescent="0.45">
      <c r="A395" s="4">
        <v>511</v>
      </c>
      <c r="B395" s="4">
        <v>0</v>
      </c>
      <c r="C395" s="4">
        <v>0</v>
      </c>
      <c r="D395">
        <v>1</v>
      </c>
      <c r="E395">
        <v>4</v>
      </c>
      <c r="F395">
        <v>0</v>
      </c>
      <c r="G395">
        <v>5</v>
      </c>
      <c r="H395">
        <v>4</v>
      </c>
      <c r="I395">
        <v>9</v>
      </c>
      <c r="J395">
        <v>3</v>
      </c>
      <c r="K395">
        <v>8</v>
      </c>
      <c r="L395">
        <v>0</v>
      </c>
      <c r="M395">
        <v>3</v>
      </c>
      <c r="N395">
        <v>5389.4836997395951</v>
      </c>
      <c r="O395">
        <v>3</v>
      </c>
      <c r="P395">
        <v>0</v>
      </c>
      <c r="Q395">
        <v>1</v>
      </c>
      <c r="R395">
        <v>4</v>
      </c>
      <c r="S395">
        <v>3</v>
      </c>
      <c r="T395">
        <v>257</v>
      </c>
      <c r="U395">
        <v>1</v>
      </c>
    </row>
    <row r="396" spans="1:21" x14ac:dyDescent="0.45">
      <c r="A396" s="4">
        <v>512</v>
      </c>
      <c r="B396" s="4">
        <v>0</v>
      </c>
      <c r="C396" s="4">
        <v>0</v>
      </c>
      <c r="D396">
        <v>0</v>
      </c>
      <c r="E396">
        <v>1</v>
      </c>
      <c r="F396">
        <v>0</v>
      </c>
      <c r="G396">
        <v>4</v>
      </c>
      <c r="H396">
        <v>4</v>
      </c>
      <c r="I396">
        <v>8</v>
      </c>
      <c r="J396">
        <v>0</v>
      </c>
      <c r="K396">
        <v>9</v>
      </c>
      <c r="L396">
        <v>0</v>
      </c>
      <c r="M396">
        <v>3</v>
      </c>
      <c r="N396">
        <v>5290.0017202651834</v>
      </c>
      <c r="O396">
        <v>3</v>
      </c>
      <c r="P396">
        <v>0</v>
      </c>
      <c r="Q396">
        <v>1</v>
      </c>
      <c r="R396">
        <v>3</v>
      </c>
      <c r="S396">
        <v>4</v>
      </c>
      <c r="T396">
        <v>872</v>
      </c>
      <c r="U396">
        <v>2</v>
      </c>
    </row>
    <row r="397" spans="1:21" x14ac:dyDescent="0.45">
      <c r="A397" s="4">
        <v>513</v>
      </c>
      <c r="B397" s="4">
        <v>0</v>
      </c>
      <c r="C397" s="4">
        <v>0</v>
      </c>
      <c r="D397">
        <v>1</v>
      </c>
      <c r="E397">
        <v>4</v>
      </c>
      <c r="F397">
        <v>0</v>
      </c>
      <c r="G397">
        <v>5</v>
      </c>
      <c r="H397">
        <v>6</v>
      </c>
      <c r="I397">
        <v>8</v>
      </c>
      <c r="J397">
        <v>3</v>
      </c>
      <c r="K397">
        <v>9</v>
      </c>
      <c r="L397">
        <v>0</v>
      </c>
      <c r="M397">
        <v>4</v>
      </c>
      <c r="N397">
        <v>5218.6860373721574</v>
      </c>
      <c r="O397">
        <v>4</v>
      </c>
      <c r="P397">
        <v>0</v>
      </c>
      <c r="Q397">
        <v>1</v>
      </c>
      <c r="R397">
        <v>4</v>
      </c>
      <c r="S397">
        <v>4</v>
      </c>
      <c r="T397">
        <v>276</v>
      </c>
      <c r="U397">
        <v>1</v>
      </c>
    </row>
    <row r="398" spans="1:21" x14ac:dyDescent="0.45">
      <c r="A398" s="4">
        <v>514</v>
      </c>
      <c r="B398" s="4">
        <v>0</v>
      </c>
      <c r="C398" s="4">
        <v>0</v>
      </c>
      <c r="D398">
        <v>0</v>
      </c>
      <c r="E398">
        <v>0</v>
      </c>
      <c r="F398">
        <v>0</v>
      </c>
      <c r="G398">
        <v>4</v>
      </c>
      <c r="H398">
        <v>4</v>
      </c>
      <c r="I398">
        <v>11</v>
      </c>
      <c r="J398">
        <v>3</v>
      </c>
      <c r="K398">
        <v>9</v>
      </c>
      <c r="L398">
        <v>0</v>
      </c>
      <c r="M398">
        <v>3</v>
      </c>
      <c r="N398">
        <v>4791.5174484343534</v>
      </c>
      <c r="O398">
        <v>2</v>
      </c>
      <c r="P398">
        <v>0</v>
      </c>
      <c r="Q398">
        <v>1</v>
      </c>
      <c r="R398">
        <v>3</v>
      </c>
      <c r="S398">
        <v>2</v>
      </c>
      <c r="T398">
        <v>381</v>
      </c>
      <c r="U398">
        <v>1</v>
      </c>
    </row>
    <row r="399" spans="1:21" x14ac:dyDescent="0.45">
      <c r="A399" s="4">
        <v>516</v>
      </c>
      <c r="B399" s="4">
        <v>0</v>
      </c>
      <c r="C399" s="4">
        <v>0</v>
      </c>
      <c r="D399">
        <v>0</v>
      </c>
      <c r="E399">
        <v>0</v>
      </c>
      <c r="F399">
        <v>0</v>
      </c>
      <c r="G399">
        <v>2</v>
      </c>
      <c r="H399">
        <v>1</v>
      </c>
      <c r="I399">
        <v>8</v>
      </c>
      <c r="J399">
        <v>0</v>
      </c>
      <c r="K399">
        <v>7</v>
      </c>
      <c r="L399">
        <v>0</v>
      </c>
      <c r="M399">
        <v>2</v>
      </c>
      <c r="N399">
        <v>5106.177085474108</v>
      </c>
      <c r="O399">
        <v>1</v>
      </c>
      <c r="P399">
        <v>0</v>
      </c>
      <c r="Q399">
        <v>0</v>
      </c>
      <c r="R399">
        <v>1</v>
      </c>
      <c r="S399">
        <v>4</v>
      </c>
      <c r="T399">
        <v>533</v>
      </c>
      <c r="U399">
        <v>1</v>
      </c>
    </row>
    <row r="400" spans="1:21" x14ac:dyDescent="0.45">
      <c r="A400" s="4">
        <v>517</v>
      </c>
      <c r="B400" s="4">
        <v>0</v>
      </c>
      <c r="C400" s="4">
        <v>0</v>
      </c>
      <c r="D400">
        <v>0</v>
      </c>
      <c r="E400">
        <v>0</v>
      </c>
      <c r="F400">
        <v>0</v>
      </c>
      <c r="G400">
        <v>2</v>
      </c>
      <c r="H400">
        <v>2</v>
      </c>
      <c r="I400">
        <v>7</v>
      </c>
      <c r="J400">
        <v>0</v>
      </c>
      <c r="K400">
        <v>5</v>
      </c>
      <c r="L400">
        <v>0</v>
      </c>
      <c r="M400">
        <v>1</v>
      </c>
      <c r="N400">
        <v>5357.3175171560642</v>
      </c>
      <c r="O400">
        <v>3</v>
      </c>
      <c r="P400">
        <v>0</v>
      </c>
      <c r="Q400">
        <v>1</v>
      </c>
      <c r="R400">
        <v>1</v>
      </c>
      <c r="S400">
        <v>3</v>
      </c>
      <c r="T400">
        <v>430</v>
      </c>
      <c r="U400">
        <v>2</v>
      </c>
    </row>
    <row r="401" spans="1:21" x14ac:dyDescent="0.45">
      <c r="A401" s="4">
        <v>518</v>
      </c>
      <c r="B401" s="4">
        <v>0</v>
      </c>
      <c r="C401" s="4">
        <v>0</v>
      </c>
      <c r="D401">
        <v>1</v>
      </c>
      <c r="E401">
        <v>5</v>
      </c>
      <c r="F401">
        <v>0</v>
      </c>
      <c r="G401">
        <v>7</v>
      </c>
      <c r="H401">
        <v>5</v>
      </c>
      <c r="I401">
        <v>3</v>
      </c>
      <c r="J401">
        <v>0</v>
      </c>
      <c r="K401">
        <v>4</v>
      </c>
      <c r="L401">
        <v>0</v>
      </c>
      <c r="M401">
        <v>6</v>
      </c>
      <c r="N401">
        <v>7987.1489835787761</v>
      </c>
      <c r="O401">
        <v>4</v>
      </c>
      <c r="P401">
        <v>0</v>
      </c>
      <c r="Q401">
        <v>1</v>
      </c>
      <c r="R401">
        <v>4</v>
      </c>
      <c r="S401">
        <v>2</v>
      </c>
      <c r="T401">
        <v>408</v>
      </c>
      <c r="U401">
        <v>1</v>
      </c>
    </row>
    <row r="402" spans="1:21" x14ac:dyDescent="0.45">
      <c r="A402" s="4">
        <v>519</v>
      </c>
      <c r="B402" s="4">
        <v>0</v>
      </c>
      <c r="C402" s="4">
        <v>0</v>
      </c>
      <c r="D402">
        <v>0</v>
      </c>
      <c r="E402">
        <v>0</v>
      </c>
      <c r="F402">
        <v>0</v>
      </c>
      <c r="G402">
        <v>5</v>
      </c>
      <c r="H402">
        <v>4</v>
      </c>
      <c r="I402">
        <v>3</v>
      </c>
      <c r="J402">
        <v>0</v>
      </c>
      <c r="K402">
        <v>0</v>
      </c>
      <c r="L402">
        <v>0</v>
      </c>
      <c r="M402">
        <v>5</v>
      </c>
      <c r="N402">
        <v>12696.983356347449</v>
      </c>
      <c r="O402">
        <v>3</v>
      </c>
      <c r="P402">
        <v>0</v>
      </c>
      <c r="Q402">
        <v>0</v>
      </c>
      <c r="R402">
        <v>1</v>
      </c>
      <c r="S402">
        <v>1</v>
      </c>
      <c r="T402">
        <v>124</v>
      </c>
      <c r="U402">
        <v>1</v>
      </c>
    </row>
    <row r="403" spans="1:21" x14ac:dyDescent="0.45">
      <c r="A403" s="4">
        <v>520</v>
      </c>
      <c r="B403" s="4">
        <v>0</v>
      </c>
      <c r="C403" s="4">
        <v>0</v>
      </c>
      <c r="D403">
        <v>1</v>
      </c>
      <c r="E403">
        <v>4</v>
      </c>
      <c r="F403">
        <v>1</v>
      </c>
      <c r="G403">
        <v>12</v>
      </c>
      <c r="H403">
        <v>18</v>
      </c>
      <c r="I403">
        <v>5</v>
      </c>
      <c r="J403">
        <v>0</v>
      </c>
      <c r="K403">
        <v>0</v>
      </c>
      <c r="L403">
        <v>0</v>
      </c>
      <c r="M403">
        <v>9</v>
      </c>
      <c r="N403">
        <v>11169.37010877086</v>
      </c>
      <c r="O403">
        <v>4</v>
      </c>
      <c r="P403">
        <v>1</v>
      </c>
      <c r="Q403">
        <v>1</v>
      </c>
      <c r="R403">
        <v>4</v>
      </c>
      <c r="S403">
        <v>4</v>
      </c>
      <c r="T403">
        <v>1735</v>
      </c>
      <c r="U403">
        <v>2</v>
      </c>
    </row>
    <row r="404" spans="1:21" x14ac:dyDescent="0.45">
      <c r="A404" s="4">
        <v>521</v>
      </c>
      <c r="B404" s="4">
        <v>0</v>
      </c>
      <c r="C404" s="4">
        <v>0</v>
      </c>
      <c r="D404">
        <v>5</v>
      </c>
      <c r="E404">
        <v>5</v>
      </c>
      <c r="F404">
        <v>1</v>
      </c>
      <c r="G404">
        <v>5</v>
      </c>
      <c r="H404">
        <v>9</v>
      </c>
      <c r="I404">
        <v>5</v>
      </c>
      <c r="J404">
        <v>1</v>
      </c>
      <c r="K404">
        <v>0</v>
      </c>
      <c r="L404">
        <v>0</v>
      </c>
      <c r="M404">
        <v>4</v>
      </c>
      <c r="N404">
        <v>12652.80968929793</v>
      </c>
      <c r="O404">
        <v>4</v>
      </c>
      <c r="P404">
        <v>0</v>
      </c>
      <c r="Q404">
        <v>1</v>
      </c>
      <c r="R404">
        <v>4</v>
      </c>
      <c r="S404">
        <v>3</v>
      </c>
      <c r="T404">
        <v>1814</v>
      </c>
      <c r="U404">
        <v>2</v>
      </c>
    </row>
    <row r="405" spans="1:21" x14ac:dyDescent="0.45">
      <c r="A405" s="4">
        <v>523</v>
      </c>
      <c r="B405" s="4">
        <v>0</v>
      </c>
      <c r="C405" s="4">
        <v>0</v>
      </c>
      <c r="D405">
        <v>3</v>
      </c>
      <c r="E405">
        <v>3</v>
      </c>
      <c r="F405">
        <v>0</v>
      </c>
      <c r="G405">
        <v>11</v>
      </c>
      <c r="H405">
        <v>10</v>
      </c>
      <c r="I405">
        <v>8</v>
      </c>
      <c r="J405">
        <v>0</v>
      </c>
      <c r="K405">
        <v>0</v>
      </c>
      <c r="L405">
        <v>2</v>
      </c>
      <c r="M405">
        <v>7</v>
      </c>
      <c r="N405">
        <v>12642.42099268548</v>
      </c>
      <c r="O405">
        <v>4</v>
      </c>
      <c r="P405">
        <v>0</v>
      </c>
      <c r="Q405">
        <v>1</v>
      </c>
      <c r="R405">
        <v>4</v>
      </c>
      <c r="S405">
        <v>2</v>
      </c>
      <c r="T405">
        <v>573</v>
      </c>
      <c r="U405">
        <v>1</v>
      </c>
    </row>
    <row r="406" spans="1:21" x14ac:dyDescent="0.45">
      <c r="A406" s="4">
        <v>524</v>
      </c>
      <c r="B406" s="4">
        <v>1</v>
      </c>
      <c r="C406" s="4">
        <v>0</v>
      </c>
      <c r="D406">
        <v>0</v>
      </c>
      <c r="E406">
        <v>3</v>
      </c>
      <c r="F406">
        <v>1</v>
      </c>
      <c r="G406">
        <v>12</v>
      </c>
      <c r="H406">
        <v>18</v>
      </c>
      <c r="I406">
        <v>30</v>
      </c>
      <c r="J406">
        <v>0</v>
      </c>
      <c r="K406">
        <v>1</v>
      </c>
      <c r="L406">
        <v>12</v>
      </c>
      <c r="M406">
        <v>8</v>
      </c>
      <c r="N406">
        <v>11327.597801676689</v>
      </c>
      <c r="O406">
        <v>4</v>
      </c>
      <c r="P406">
        <v>0</v>
      </c>
      <c r="Q406">
        <v>1</v>
      </c>
      <c r="R406">
        <v>4</v>
      </c>
      <c r="S406">
        <v>2</v>
      </c>
      <c r="T406">
        <v>1178</v>
      </c>
      <c r="U406">
        <v>3</v>
      </c>
    </row>
    <row r="407" spans="1:21" x14ac:dyDescent="0.45">
      <c r="A407" s="4">
        <v>525</v>
      </c>
      <c r="B407" s="4">
        <v>0</v>
      </c>
      <c r="C407" s="4">
        <v>0</v>
      </c>
      <c r="D407">
        <v>3</v>
      </c>
      <c r="E407">
        <v>4</v>
      </c>
      <c r="F407">
        <v>1</v>
      </c>
      <c r="G407">
        <v>6</v>
      </c>
      <c r="H407">
        <v>12</v>
      </c>
      <c r="I407">
        <v>7</v>
      </c>
      <c r="J407">
        <v>0</v>
      </c>
      <c r="K407">
        <v>0</v>
      </c>
      <c r="L407">
        <v>0</v>
      </c>
      <c r="M407">
        <v>23</v>
      </c>
      <c r="N407">
        <v>10956.613983099251</v>
      </c>
      <c r="O407">
        <v>3</v>
      </c>
      <c r="P407">
        <v>0</v>
      </c>
      <c r="Q407">
        <v>0</v>
      </c>
      <c r="R407">
        <v>1</v>
      </c>
      <c r="S407">
        <v>3</v>
      </c>
      <c r="T407">
        <v>829</v>
      </c>
      <c r="U407">
        <v>2</v>
      </c>
    </row>
    <row r="408" spans="1:21" x14ac:dyDescent="0.45">
      <c r="A408" s="4">
        <v>528</v>
      </c>
      <c r="B408" s="4">
        <v>0</v>
      </c>
      <c r="C408" s="4">
        <v>1</v>
      </c>
      <c r="D408">
        <v>0</v>
      </c>
      <c r="E408">
        <v>0</v>
      </c>
      <c r="F408">
        <v>0</v>
      </c>
      <c r="G408">
        <v>2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7</v>
      </c>
      <c r="N408">
        <v>18646.913811060302</v>
      </c>
      <c r="O408">
        <v>3</v>
      </c>
      <c r="P408">
        <v>0</v>
      </c>
      <c r="Q408">
        <v>0</v>
      </c>
      <c r="R408">
        <v>4</v>
      </c>
      <c r="S408">
        <v>1</v>
      </c>
      <c r="T408">
        <v>29</v>
      </c>
      <c r="U408">
        <v>1</v>
      </c>
    </row>
    <row r="409" spans="1:21" x14ac:dyDescent="0.45">
      <c r="A409" s="4">
        <v>529</v>
      </c>
      <c r="B409" s="4">
        <v>0</v>
      </c>
      <c r="C409" s="4">
        <v>1</v>
      </c>
      <c r="D409">
        <v>0</v>
      </c>
      <c r="E409">
        <v>1</v>
      </c>
      <c r="F409">
        <v>0</v>
      </c>
      <c r="G409">
        <v>2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18592.159904392651</v>
      </c>
      <c r="O409">
        <v>3</v>
      </c>
      <c r="P409">
        <v>0</v>
      </c>
      <c r="Q409">
        <v>0</v>
      </c>
      <c r="R409">
        <v>4</v>
      </c>
      <c r="S409">
        <v>1</v>
      </c>
      <c r="T409">
        <v>59</v>
      </c>
      <c r="U409">
        <v>1</v>
      </c>
    </row>
    <row r="410" spans="1:21" x14ac:dyDescent="0.45">
      <c r="A410" s="4">
        <v>530</v>
      </c>
      <c r="B410" s="4">
        <v>0</v>
      </c>
      <c r="C410" s="4">
        <v>1</v>
      </c>
      <c r="D410">
        <v>0</v>
      </c>
      <c r="E410">
        <v>1</v>
      </c>
      <c r="F410">
        <v>0</v>
      </c>
      <c r="G410">
        <v>0</v>
      </c>
      <c r="H410">
        <v>2</v>
      </c>
      <c r="I410">
        <v>1</v>
      </c>
      <c r="J410">
        <v>0</v>
      </c>
      <c r="K410">
        <v>0</v>
      </c>
      <c r="L410">
        <v>0</v>
      </c>
      <c r="M410">
        <v>5</v>
      </c>
      <c r="N410">
        <v>17577.011977295861</v>
      </c>
      <c r="O410">
        <v>3</v>
      </c>
      <c r="P410">
        <v>0</v>
      </c>
      <c r="Q410">
        <v>0</v>
      </c>
      <c r="R410">
        <v>2</v>
      </c>
      <c r="S410">
        <v>3</v>
      </c>
      <c r="T410">
        <v>150</v>
      </c>
      <c r="U410">
        <v>1</v>
      </c>
    </row>
    <row r="411" spans="1:21" x14ac:dyDescent="0.45">
      <c r="A411" s="4">
        <v>531</v>
      </c>
      <c r="B411" s="4">
        <v>0</v>
      </c>
      <c r="C411" s="4">
        <v>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</v>
      </c>
      <c r="N411">
        <v>17411.660155477231</v>
      </c>
      <c r="O411">
        <v>4</v>
      </c>
      <c r="P411">
        <v>1</v>
      </c>
      <c r="Q411">
        <v>1</v>
      </c>
      <c r="R411">
        <v>1</v>
      </c>
      <c r="S411">
        <v>2</v>
      </c>
      <c r="T411">
        <v>514</v>
      </c>
      <c r="U411">
        <v>2</v>
      </c>
    </row>
    <row r="412" spans="1:21" x14ac:dyDescent="0.45">
      <c r="A412" s="4">
        <v>532</v>
      </c>
      <c r="B412" s="4">
        <v>0</v>
      </c>
      <c r="C412" s="4">
        <v>0</v>
      </c>
      <c r="D412">
        <v>0</v>
      </c>
      <c r="E412">
        <v>0</v>
      </c>
      <c r="F412">
        <v>0</v>
      </c>
      <c r="G412">
        <v>3</v>
      </c>
      <c r="H412">
        <v>3</v>
      </c>
      <c r="I412">
        <v>5</v>
      </c>
      <c r="J412">
        <v>2</v>
      </c>
      <c r="K412">
        <v>0</v>
      </c>
      <c r="L412">
        <v>0</v>
      </c>
      <c r="M412">
        <v>15</v>
      </c>
      <c r="N412">
        <v>16374.04858283164</v>
      </c>
      <c r="O412">
        <v>1</v>
      </c>
      <c r="P412">
        <v>0</v>
      </c>
      <c r="Q412">
        <v>1</v>
      </c>
      <c r="R412">
        <v>2</v>
      </c>
      <c r="S412">
        <v>2</v>
      </c>
      <c r="T412">
        <v>197</v>
      </c>
      <c r="U412">
        <v>1</v>
      </c>
    </row>
    <row r="413" spans="1:21" x14ac:dyDescent="0.45">
      <c r="A413" s="4">
        <v>533</v>
      </c>
      <c r="B413" s="4">
        <v>0</v>
      </c>
      <c r="C413" s="4">
        <v>0</v>
      </c>
      <c r="D413">
        <v>0</v>
      </c>
      <c r="E413">
        <v>0</v>
      </c>
      <c r="F413">
        <v>0</v>
      </c>
      <c r="G413">
        <v>3</v>
      </c>
      <c r="H413">
        <v>2</v>
      </c>
      <c r="I413">
        <v>6</v>
      </c>
      <c r="J413">
        <v>2</v>
      </c>
      <c r="K413">
        <v>1</v>
      </c>
      <c r="L413">
        <v>0</v>
      </c>
      <c r="M413">
        <v>14</v>
      </c>
      <c r="N413">
        <v>16306.493589915521</v>
      </c>
      <c r="O413">
        <v>3</v>
      </c>
      <c r="P413">
        <v>1</v>
      </c>
      <c r="Q413">
        <v>1</v>
      </c>
      <c r="R413">
        <v>2</v>
      </c>
      <c r="S413">
        <v>3</v>
      </c>
      <c r="T413">
        <v>548</v>
      </c>
      <c r="U413">
        <v>1</v>
      </c>
    </row>
    <row r="414" spans="1:21" x14ac:dyDescent="0.45">
      <c r="A414" s="4">
        <v>534</v>
      </c>
      <c r="B414" s="4">
        <v>0</v>
      </c>
      <c r="C414" s="4">
        <v>0</v>
      </c>
      <c r="D414">
        <v>0</v>
      </c>
      <c r="E414">
        <v>0</v>
      </c>
      <c r="F414">
        <v>0</v>
      </c>
      <c r="G414">
        <v>3</v>
      </c>
      <c r="H414">
        <v>2</v>
      </c>
      <c r="I414">
        <v>6</v>
      </c>
      <c r="J414">
        <v>2</v>
      </c>
      <c r="K414">
        <v>1</v>
      </c>
      <c r="L414">
        <v>0</v>
      </c>
      <c r="M414">
        <v>14</v>
      </c>
      <c r="N414">
        <v>16313.821821541949</v>
      </c>
      <c r="O414">
        <v>3</v>
      </c>
      <c r="P414">
        <v>0</v>
      </c>
      <c r="Q414">
        <v>0</v>
      </c>
      <c r="R414">
        <v>2</v>
      </c>
      <c r="S414">
        <v>1</v>
      </c>
      <c r="T414">
        <v>37</v>
      </c>
      <c r="U414">
        <v>1</v>
      </c>
    </row>
    <row r="415" spans="1:21" x14ac:dyDescent="0.45">
      <c r="A415" s="4">
        <v>535</v>
      </c>
      <c r="B415" s="4">
        <v>0</v>
      </c>
      <c r="C415" s="4">
        <v>0</v>
      </c>
      <c r="D415">
        <v>0</v>
      </c>
      <c r="E415">
        <v>0</v>
      </c>
      <c r="F415">
        <v>0</v>
      </c>
      <c r="G415">
        <v>3</v>
      </c>
      <c r="H415">
        <v>2</v>
      </c>
      <c r="I415">
        <v>6</v>
      </c>
      <c r="J415">
        <v>2</v>
      </c>
      <c r="K415">
        <v>1</v>
      </c>
      <c r="L415">
        <v>0</v>
      </c>
      <c r="M415">
        <v>14</v>
      </c>
      <c r="N415">
        <v>16248.05628478934</v>
      </c>
      <c r="O415">
        <v>3</v>
      </c>
      <c r="P415">
        <v>0</v>
      </c>
      <c r="Q415">
        <v>0</v>
      </c>
      <c r="R415">
        <v>2</v>
      </c>
      <c r="S415">
        <v>1</v>
      </c>
      <c r="T415">
        <v>38</v>
      </c>
      <c r="U415">
        <v>1</v>
      </c>
    </row>
    <row r="416" spans="1:21" x14ac:dyDescent="0.45">
      <c r="A416" s="4">
        <v>536</v>
      </c>
      <c r="B416" s="4">
        <v>0</v>
      </c>
      <c r="C416" s="4">
        <v>0</v>
      </c>
      <c r="D416">
        <v>3</v>
      </c>
      <c r="E416">
        <v>4</v>
      </c>
      <c r="F416">
        <v>2</v>
      </c>
      <c r="G416">
        <v>14</v>
      </c>
      <c r="H416">
        <v>16</v>
      </c>
      <c r="I416">
        <v>7</v>
      </c>
      <c r="J416">
        <v>0</v>
      </c>
      <c r="K416">
        <v>0</v>
      </c>
      <c r="L416">
        <v>1</v>
      </c>
      <c r="M416">
        <v>17</v>
      </c>
      <c r="N416">
        <v>16756.69571634047</v>
      </c>
      <c r="O416">
        <v>1</v>
      </c>
      <c r="P416">
        <v>0</v>
      </c>
      <c r="Q416">
        <v>1</v>
      </c>
      <c r="R416">
        <v>4</v>
      </c>
      <c r="S416">
        <v>2</v>
      </c>
      <c r="T416">
        <v>646</v>
      </c>
      <c r="U416">
        <v>3</v>
      </c>
    </row>
    <row r="417" spans="1:21" x14ac:dyDescent="0.45">
      <c r="A417" s="4">
        <v>537</v>
      </c>
      <c r="B417" s="4">
        <v>0</v>
      </c>
      <c r="C417" s="4">
        <v>0</v>
      </c>
      <c r="D417">
        <v>1</v>
      </c>
      <c r="E417">
        <v>4</v>
      </c>
      <c r="F417">
        <v>2</v>
      </c>
      <c r="G417">
        <v>13</v>
      </c>
      <c r="H417">
        <v>12</v>
      </c>
      <c r="I417">
        <v>6</v>
      </c>
      <c r="J417">
        <v>1</v>
      </c>
      <c r="K417">
        <v>0</v>
      </c>
      <c r="L417">
        <v>1</v>
      </c>
      <c r="M417">
        <v>14</v>
      </c>
      <c r="N417">
        <v>17247.559811968429</v>
      </c>
      <c r="O417">
        <v>4</v>
      </c>
      <c r="P417">
        <v>0</v>
      </c>
      <c r="Q417">
        <v>1</v>
      </c>
      <c r="R417">
        <v>4</v>
      </c>
      <c r="S417">
        <v>5</v>
      </c>
      <c r="T417">
        <v>646</v>
      </c>
      <c r="U417">
        <v>1</v>
      </c>
    </row>
    <row r="418" spans="1:21" x14ac:dyDescent="0.45">
      <c r="A418" s="4">
        <v>539</v>
      </c>
      <c r="B418" s="4">
        <v>0</v>
      </c>
      <c r="C418" s="4">
        <v>0</v>
      </c>
      <c r="D418">
        <v>3</v>
      </c>
      <c r="E418">
        <v>5</v>
      </c>
      <c r="F418">
        <v>2</v>
      </c>
      <c r="G418">
        <v>8</v>
      </c>
      <c r="H418">
        <v>11</v>
      </c>
      <c r="I418">
        <v>7</v>
      </c>
      <c r="J418">
        <v>0</v>
      </c>
      <c r="K418">
        <v>0</v>
      </c>
      <c r="L418">
        <v>0</v>
      </c>
      <c r="M418">
        <v>6</v>
      </c>
      <c r="N418">
        <v>16918.503896910519</v>
      </c>
      <c r="O418">
        <v>4</v>
      </c>
      <c r="P418">
        <v>0</v>
      </c>
      <c r="Q418">
        <v>1</v>
      </c>
      <c r="R418">
        <v>4</v>
      </c>
      <c r="S418">
        <v>2</v>
      </c>
      <c r="T418">
        <v>255</v>
      </c>
      <c r="U418">
        <v>1</v>
      </c>
    </row>
    <row r="419" spans="1:21" x14ac:dyDescent="0.45">
      <c r="A419" s="4">
        <v>540</v>
      </c>
      <c r="B419" s="4">
        <v>0</v>
      </c>
      <c r="C419" s="4">
        <v>0</v>
      </c>
      <c r="D419">
        <v>3</v>
      </c>
      <c r="E419">
        <v>5</v>
      </c>
      <c r="F419">
        <v>2</v>
      </c>
      <c r="G419">
        <v>8</v>
      </c>
      <c r="H419">
        <v>11</v>
      </c>
      <c r="I419">
        <v>7</v>
      </c>
      <c r="J419">
        <v>0</v>
      </c>
      <c r="K419">
        <v>0</v>
      </c>
      <c r="L419">
        <v>0</v>
      </c>
      <c r="M419">
        <v>6</v>
      </c>
      <c r="N419">
        <v>16979.536769518349</v>
      </c>
      <c r="O419">
        <v>4</v>
      </c>
      <c r="P419">
        <v>0</v>
      </c>
      <c r="Q419">
        <v>1</v>
      </c>
      <c r="R419">
        <v>4</v>
      </c>
      <c r="S419">
        <v>2</v>
      </c>
      <c r="T419">
        <v>457</v>
      </c>
      <c r="U419">
        <v>1</v>
      </c>
    </row>
    <row r="420" spans="1:21" x14ac:dyDescent="0.45">
      <c r="A420" s="4">
        <v>541</v>
      </c>
      <c r="B420" s="4">
        <v>0</v>
      </c>
      <c r="C420" s="4">
        <v>1</v>
      </c>
      <c r="D420">
        <v>0</v>
      </c>
      <c r="E420">
        <v>0</v>
      </c>
      <c r="F420">
        <v>1</v>
      </c>
      <c r="G420">
        <v>1</v>
      </c>
      <c r="H420">
        <v>2</v>
      </c>
      <c r="I420">
        <v>1</v>
      </c>
      <c r="J420">
        <v>1</v>
      </c>
      <c r="K420">
        <v>0</v>
      </c>
      <c r="L420">
        <v>0</v>
      </c>
      <c r="M420">
        <v>2</v>
      </c>
      <c r="N420">
        <v>20156.995624437412</v>
      </c>
      <c r="O420">
        <v>3</v>
      </c>
      <c r="P420">
        <v>0</v>
      </c>
      <c r="Q420">
        <v>1</v>
      </c>
      <c r="R420">
        <v>4</v>
      </c>
      <c r="S420">
        <v>3</v>
      </c>
      <c r="T420">
        <v>563</v>
      </c>
      <c r="U420">
        <v>1</v>
      </c>
    </row>
    <row r="421" spans="1:21" x14ac:dyDescent="0.45">
      <c r="A421" s="4">
        <v>542</v>
      </c>
      <c r="B421" s="4">
        <v>0</v>
      </c>
      <c r="C421" s="4">
        <v>0</v>
      </c>
      <c r="D421">
        <v>0</v>
      </c>
      <c r="E421">
        <v>0</v>
      </c>
      <c r="F421">
        <v>0</v>
      </c>
      <c r="G421">
        <v>1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21037.966829974859</v>
      </c>
      <c r="O421">
        <v>1</v>
      </c>
      <c r="P421">
        <v>0</v>
      </c>
      <c r="Q421">
        <v>1</v>
      </c>
      <c r="R421">
        <v>4</v>
      </c>
      <c r="S421">
        <v>2</v>
      </c>
      <c r="T421">
        <v>212</v>
      </c>
      <c r="U421">
        <v>1</v>
      </c>
    </row>
    <row r="422" spans="1:21" x14ac:dyDescent="0.45">
      <c r="A422" s="4">
        <v>543</v>
      </c>
      <c r="B422" s="4">
        <v>0</v>
      </c>
      <c r="C422" s="4">
        <v>0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23375.301549598331</v>
      </c>
      <c r="O422">
        <v>3</v>
      </c>
      <c r="P422">
        <v>0</v>
      </c>
      <c r="Q422">
        <v>1</v>
      </c>
      <c r="R422">
        <v>4</v>
      </c>
      <c r="S422">
        <v>2</v>
      </c>
      <c r="T422">
        <v>958</v>
      </c>
      <c r="U422">
        <v>2</v>
      </c>
    </row>
    <row r="423" spans="1:21" x14ac:dyDescent="0.45">
      <c r="A423" s="4">
        <v>544</v>
      </c>
      <c r="B423" s="4">
        <v>0</v>
      </c>
      <c r="C423" s="4">
        <v>1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23255.726644404771</v>
      </c>
      <c r="O423">
        <v>1</v>
      </c>
      <c r="P423">
        <v>0</v>
      </c>
      <c r="Q423">
        <v>1</v>
      </c>
      <c r="R423">
        <v>4</v>
      </c>
      <c r="S423">
        <v>1</v>
      </c>
      <c r="T423">
        <v>1136</v>
      </c>
      <c r="U423">
        <v>3</v>
      </c>
    </row>
    <row r="424" spans="1:21" x14ac:dyDescent="0.45">
      <c r="A424" s="4">
        <v>545</v>
      </c>
      <c r="B424" s="4">
        <v>0</v>
      </c>
      <c r="C424" s="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22032.60730028545</v>
      </c>
      <c r="O424">
        <v>3</v>
      </c>
      <c r="P424">
        <v>0</v>
      </c>
      <c r="Q424">
        <v>1</v>
      </c>
      <c r="R424">
        <v>4</v>
      </c>
      <c r="S424">
        <v>9</v>
      </c>
      <c r="T424">
        <v>1141</v>
      </c>
      <c r="U424">
        <v>1</v>
      </c>
    </row>
    <row r="425" spans="1:21" x14ac:dyDescent="0.45">
      <c r="A425" s="4">
        <v>546</v>
      </c>
      <c r="B425" s="4">
        <v>0</v>
      </c>
      <c r="C425" s="4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22084.384850935148</v>
      </c>
      <c r="O425">
        <v>3</v>
      </c>
      <c r="P425">
        <v>0</v>
      </c>
      <c r="Q425">
        <v>1</v>
      </c>
      <c r="R425">
        <v>4</v>
      </c>
      <c r="S425">
        <v>9</v>
      </c>
      <c r="T425">
        <v>1151</v>
      </c>
      <c r="U425">
        <v>1</v>
      </c>
    </row>
    <row r="426" spans="1:21" x14ac:dyDescent="0.45">
      <c r="A426" s="4">
        <v>547</v>
      </c>
      <c r="B426" s="4">
        <v>1</v>
      </c>
      <c r="C426" s="4">
        <v>0</v>
      </c>
      <c r="D426">
        <v>1</v>
      </c>
      <c r="E426">
        <v>1</v>
      </c>
      <c r="F426">
        <v>1</v>
      </c>
      <c r="G426">
        <v>2</v>
      </c>
      <c r="H426">
        <v>2</v>
      </c>
      <c r="I426">
        <v>3</v>
      </c>
      <c r="J426">
        <v>0</v>
      </c>
      <c r="K426">
        <v>0</v>
      </c>
      <c r="L426">
        <v>0</v>
      </c>
      <c r="M426">
        <v>6</v>
      </c>
      <c r="N426">
        <v>23100.18023366838</v>
      </c>
      <c r="O426">
        <v>4</v>
      </c>
      <c r="P426">
        <v>0</v>
      </c>
      <c r="Q426">
        <v>1</v>
      </c>
      <c r="R426">
        <v>4</v>
      </c>
      <c r="S426">
        <v>2</v>
      </c>
      <c r="T426">
        <v>433</v>
      </c>
      <c r="U426">
        <v>1</v>
      </c>
    </row>
    <row r="427" spans="1:21" x14ac:dyDescent="0.45">
      <c r="A427" s="4">
        <v>548</v>
      </c>
      <c r="B427" s="4">
        <v>1</v>
      </c>
      <c r="C427" s="4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16357.86504248476</v>
      </c>
      <c r="O427">
        <v>3</v>
      </c>
      <c r="P427">
        <v>0</v>
      </c>
      <c r="Q427">
        <v>1</v>
      </c>
      <c r="R427">
        <v>3</v>
      </c>
      <c r="S427">
        <v>2</v>
      </c>
      <c r="T427">
        <v>230</v>
      </c>
      <c r="U427">
        <v>1</v>
      </c>
    </row>
    <row r="428" spans="1:21" x14ac:dyDescent="0.45">
      <c r="A428" s="4">
        <v>549</v>
      </c>
      <c r="B428" s="4">
        <v>0</v>
      </c>
      <c r="C428" s="4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16228.79716520341</v>
      </c>
      <c r="O428">
        <v>1</v>
      </c>
      <c r="P428">
        <v>0</v>
      </c>
      <c r="Q428">
        <v>1</v>
      </c>
      <c r="R428">
        <v>3</v>
      </c>
      <c r="S428">
        <v>2</v>
      </c>
      <c r="T428">
        <v>229</v>
      </c>
      <c r="U428">
        <v>1</v>
      </c>
    </row>
    <row r="429" spans="1:21" x14ac:dyDescent="0.45">
      <c r="A429" s="4">
        <v>550</v>
      </c>
      <c r="B429" s="4">
        <v>0</v>
      </c>
      <c r="C429" s="4">
        <v>1</v>
      </c>
      <c r="D429">
        <v>0</v>
      </c>
      <c r="E429">
        <v>1</v>
      </c>
      <c r="F429">
        <v>0</v>
      </c>
      <c r="G429">
        <v>1</v>
      </c>
      <c r="H429">
        <v>4</v>
      </c>
      <c r="I429">
        <v>2</v>
      </c>
      <c r="J429">
        <v>2</v>
      </c>
      <c r="K429">
        <v>0</v>
      </c>
      <c r="L429">
        <v>0</v>
      </c>
      <c r="M429">
        <v>6</v>
      </c>
      <c r="N429">
        <v>15784.578266131941</v>
      </c>
      <c r="O429">
        <v>3</v>
      </c>
      <c r="P429">
        <v>0</v>
      </c>
      <c r="Q429">
        <v>1</v>
      </c>
      <c r="R429">
        <v>4</v>
      </c>
      <c r="S429">
        <v>2</v>
      </c>
      <c r="T429">
        <v>194</v>
      </c>
      <c r="U429">
        <v>1</v>
      </c>
    </row>
    <row r="430" spans="1:21" x14ac:dyDescent="0.45">
      <c r="A430" s="4">
        <v>551</v>
      </c>
      <c r="B430" s="4">
        <v>0</v>
      </c>
      <c r="C430" s="4">
        <v>0</v>
      </c>
      <c r="D430">
        <v>6</v>
      </c>
      <c r="E430">
        <v>3</v>
      </c>
      <c r="F430">
        <v>1</v>
      </c>
      <c r="G430">
        <v>20</v>
      </c>
      <c r="H430">
        <v>13</v>
      </c>
      <c r="I430">
        <v>125</v>
      </c>
      <c r="J430">
        <v>43</v>
      </c>
      <c r="K430">
        <v>22</v>
      </c>
      <c r="L430">
        <v>4</v>
      </c>
      <c r="M430">
        <v>13</v>
      </c>
      <c r="N430">
        <v>1148.1211994580631</v>
      </c>
      <c r="O430">
        <v>1</v>
      </c>
      <c r="P430">
        <v>1</v>
      </c>
      <c r="Q430">
        <v>1</v>
      </c>
      <c r="R430">
        <v>4</v>
      </c>
      <c r="S430">
        <v>2</v>
      </c>
      <c r="T430">
        <v>2118</v>
      </c>
      <c r="U430">
        <v>1</v>
      </c>
    </row>
    <row r="431" spans="1:21" x14ac:dyDescent="0.45">
      <c r="A431" s="4">
        <v>552</v>
      </c>
      <c r="B431" s="4">
        <v>0</v>
      </c>
      <c r="C431" s="4">
        <v>0</v>
      </c>
      <c r="D431">
        <v>1</v>
      </c>
      <c r="E431">
        <v>7</v>
      </c>
      <c r="F431">
        <v>0</v>
      </c>
      <c r="G431">
        <v>11</v>
      </c>
      <c r="H431">
        <v>17</v>
      </c>
      <c r="I431">
        <v>50</v>
      </c>
      <c r="J431">
        <v>2</v>
      </c>
      <c r="K431">
        <v>3</v>
      </c>
      <c r="L431">
        <v>0</v>
      </c>
      <c r="M431">
        <v>7</v>
      </c>
      <c r="N431">
        <v>3910.6485953253759</v>
      </c>
      <c r="O431">
        <v>3</v>
      </c>
      <c r="P431">
        <v>1</v>
      </c>
      <c r="Q431">
        <v>1</v>
      </c>
      <c r="R431">
        <v>3</v>
      </c>
      <c r="S431">
        <v>2</v>
      </c>
      <c r="T431">
        <v>488</v>
      </c>
      <c r="U431">
        <v>2</v>
      </c>
    </row>
    <row r="432" spans="1:21" x14ac:dyDescent="0.45">
      <c r="A432" s="5">
        <v>553</v>
      </c>
      <c r="B432" s="5">
        <v>0</v>
      </c>
      <c r="C432" s="5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3</v>
      </c>
      <c r="N432">
        <v>9308.7608567134375</v>
      </c>
      <c r="O432">
        <v>2</v>
      </c>
      <c r="P432">
        <v>0</v>
      </c>
      <c r="Q432">
        <v>0</v>
      </c>
      <c r="R432">
        <v>3</v>
      </c>
      <c r="S432">
        <v>1</v>
      </c>
      <c r="T432">
        <v>1168</v>
      </c>
      <c r="U4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2412-279F-4623-BBAA-A2CA62D580F1}">
  <dimension ref="A1:U432"/>
  <sheetViews>
    <sheetView workbookViewId="0">
      <selection activeCell="H433" sqref="H433"/>
    </sheetView>
  </sheetViews>
  <sheetFormatPr defaultRowHeight="14.25" x14ac:dyDescent="0.45"/>
  <cols>
    <col min="2" max="2" width="15.3984375" customWidth="1"/>
    <col min="3" max="3" width="10" customWidth="1"/>
    <col min="5" max="5" width="13.06640625" customWidth="1"/>
    <col min="6" max="6" width="10.19921875" customWidth="1"/>
    <col min="7" max="7" width="13" customWidth="1"/>
    <col min="9" max="9" width="9.796875" customWidth="1"/>
    <col min="14" max="14" width="10.46484375" customWidth="1"/>
    <col min="15" max="15" width="10.33203125" customWidth="1"/>
    <col min="21" max="21" width="11.53125" customWidth="1"/>
  </cols>
  <sheetData>
    <row r="1" spans="1:21" x14ac:dyDescent="0.45">
      <c r="A1" s="4" t="s">
        <v>21</v>
      </c>
      <c r="B1" s="4" t="s">
        <v>22</v>
      </c>
      <c r="C1" s="4" t="s">
        <v>23</v>
      </c>
      <c r="D1" t="s">
        <v>0</v>
      </c>
      <c r="E1" t="s">
        <v>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9</v>
      </c>
      <c r="N1" t="s">
        <v>17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45">
      <c r="A2" s="4">
        <v>1</v>
      </c>
      <c r="B2" s="4">
        <v>0</v>
      </c>
      <c r="C2" s="4">
        <v>0</v>
      </c>
      <c r="D2">
        <f>IF('исходные данные'!D2&gt;'минимумы и максимумы'!B$10,100,('исходные данные'!D2-'минимумы и максимумы'!B$9)/('минимумы и максимумы'!B$10-'минимумы и максимумы'!B$9)*100)</f>
        <v>44.444444444444443</v>
      </c>
      <c r="E2">
        <f>IF('исходные данные'!E2&gt;'минимумы и максимумы'!C$10,100,('исходные данные'!E2-'минимумы и максимумы'!C$9)/('минимумы и максимумы'!C$10-'минимумы и максимумы'!C$9)*100)</f>
        <v>80</v>
      </c>
      <c r="F2">
        <f>IF('исходные данные'!F2&gt;'минимумы и максимумы'!D$10,100,('исходные данные'!F2-'минимумы и максимумы'!D$9)/('минимумы и максимумы'!D$10-'минимумы и максимумы'!D$9)*100)</f>
        <v>33.333333333333329</v>
      </c>
      <c r="G2">
        <f>IF('исходные данные'!G2&gt;'минимумы и максимумы'!E$10,100,('исходные данные'!G2-'минимумы и максимумы'!E$9)/('минимумы и максимумы'!E$10-'минимумы и максимумы'!E$9)*100)</f>
        <v>66.666666666666657</v>
      </c>
      <c r="H2">
        <f>IF('исходные данные'!H2&gt;'минимумы и максимумы'!F$10,100,('исходные данные'!H2-'минимумы и максимумы'!F$9)/('минимумы и максимумы'!F$10-'минимумы и максимумы'!F$9)*100)</f>
        <v>68.965517241379317</v>
      </c>
      <c r="I2">
        <f>IF('исходные данные'!I2&gt;'минимумы и максимумы'!G$10,100,('исходные данные'!I2-'минимумы и максимумы'!G$9)/('минимумы и максимумы'!G$10-'минимумы и максимумы'!G$9)*100)</f>
        <v>100</v>
      </c>
      <c r="J2">
        <f>IF('исходные данные'!J2&gt;'минимумы и максимумы'!H$10,100,('исходные данные'!J2-'минимумы и максимумы'!H$9)/('минимумы и максимумы'!H$10-'минимумы и максимумы'!H$9)*100)</f>
        <v>100</v>
      </c>
      <c r="K2">
        <f>IF('исходные данные'!K2&gt;'минимумы и максимумы'!I$10,100,('исходные данные'!K2-'минимумы и максимумы'!I$9)/('минимумы и максимумы'!I$10-'минимумы и максимумы'!I$9)*100)</f>
        <v>33.333333333333329</v>
      </c>
      <c r="L2">
        <f>IF('исходные данные'!L2&gt;'минимумы и максимумы'!J$10,100,('исходные данные'!L2-'минимумы и максимумы'!J$9)/('минимумы и максимумы'!J$10-'минимумы и максимумы'!J$9)*100)</f>
        <v>78.571428571428569</v>
      </c>
      <c r="M2">
        <f>IF('исходные данные'!M2&gt;'минимумы и максимумы'!K$10,100,('исходные данные'!M2-'минимумы и максимумы'!K$9)/('минимумы и максимумы'!K$10-'минимумы и максимумы'!K$9)*100)</f>
        <v>53.571428571428569</v>
      </c>
      <c r="N2">
        <f>IF('исходные данные'!N2&gt;'минимумы и максимумы'!L$10,100,('исходные данные'!N2-'минимумы и максимумы'!L$9)/('минимумы и максимумы'!L$10-'минимумы и максимумы'!L$9)*100)</f>
        <v>13.290937888298563</v>
      </c>
      <c r="O2">
        <f>IF('исходные данные'!O2&gt;'минимумы и максимумы'!M$10,100,('исходные данные'!O2-'минимумы и максимумы'!M$9)/('минимумы и максимумы'!M$10-'минимумы и максимумы'!M$9)*100)</f>
        <v>33.333333333333329</v>
      </c>
      <c r="P2">
        <f>IF('исходные данные'!P2&gt;'минимумы и максимумы'!N$10,100,('исходные данные'!P2-'минимумы и максимумы'!N$9)/('минимумы и максимумы'!N$10-'минимумы и максимумы'!N$9)*100)</f>
        <v>100</v>
      </c>
      <c r="Q2">
        <f>IF('исходные данные'!Q2&gt;'минимумы и максимумы'!O$10,100,('исходные данные'!Q2-'минимумы и максимумы'!O$9)/('минимумы и максимумы'!O$10-'минимумы и максимумы'!O$9)*100)</f>
        <v>100</v>
      </c>
      <c r="R2">
        <f>IF('исходные данные'!R2&gt;'минимумы и максимумы'!P$10,100,('исходные данные'!R2-'минимумы и максимумы'!P$9)/('минимумы и максимумы'!P$10-'минимумы и максимумы'!P$9)*100)</f>
        <v>75</v>
      </c>
      <c r="S2">
        <f>IF('исходные данные'!S2&gt;'минимумы и максимумы'!Q$10,100,('исходные данные'!S2-'минимумы и максимумы'!Q$9)/('минимумы и максимумы'!Q$10-'минимумы и максимумы'!Q$9)*100)</f>
        <v>50</v>
      </c>
      <c r="T2">
        <f>IF('исходные данные'!T2&gt;'минимумы и максимумы'!R$10,100,('исходные данные'!T2-'минимумы и максимумы'!R$9)/('минимумы и максимумы'!R$10-'минимумы и максимумы'!R$9)*100)</f>
        <v>32.623705408515534</v>
      </c>
      <c r="U2">
        <f>IF('исходные данные'!U2&gt;'минимумы и максимумы'!S$10,100,('исходные данные'!U2-'минимумы и максимумы'!S$9)/('минимумы и максимумы'!S$10-'минимумы и максимумы'!S$9)*100)</f>
        <v>100</v>
      </c>
    </row>
    <row r="3" spans="1:21" x14ac:dyDescent="0.45">
      <c r="A3" s="4">
        <v>2</v>
      </c>
      <c r="B3" s="4">
        <v>0</v>
      </c>
      <c r="C3" s="4">
        <v>0</v>
      </c>
      <c r="D3">
        <f>IF('исходные данные'!D3&gt;'минимумы и максимумы'!B$10,100,('исходные данные'!D3-'минимумы и максимумы'!B$9)/('минимумы и максимумы'!B$10-'минимумы и максимумы'!B$9)*100)</f>
        <v>0</v>
      </c>
      <c r="E3">
        <f>IF('исходные данные'!E3&gt;'минимумы и максимумы'!C$10,100,('исходные данные'!E3-'минимумы и максимумы'!C$9)/('минимумы и максимумы'!C$10-'минимумы и максимумы'!C$9)*100)</f>
        <v>0</v>
      </c>
      <c r="F3">
        <f>IF('исходные данные'!F3&gt;'минимумы и максимумы'!D$10,100,('исходные данные'!F3-'минимумы и максимумы'!D$9)/('минимумы и максимумы'!D$10-'минимумы и максимумы'!D$9)*100)</f>
        <v>0</v>
      </c>
      <c r="G3">
        <f>IF('исходные данные'!G3&gt;'минимумы и максимумы'!E$10,100,('исходные данные'!G3-'минимумы и максимумы'!E$9)/('минимумы и максимумы'!E$10-'минимумы и максимумы'!E$9)*100)</f>
        <v>0</v>
      </c>
      <c r="H3">
        <f>IF('исходные данные'!H3&gt;'минимумы и максимумы'!F$10,100,('исходные данные'!H3-'минимумы и максимумы'!F$9)/('минимумы и максимумы'!F$10-'минимумы и максимумы'!F$9)*100)</f>
        <v>0</v>
      </c>
      <c r="I3">
        <f>IF('исходные данные'!I3&gt;'минимумы и максимумы'!G$10,100,('исходные данные'!I3-'минимумы и максимумы'!G$9)/('минимумы и максимумы'!G$10-'минимумы и максимумы'!G$9)*100)</f>
        <v>1.8867924528301887</v>
      </c>
      <c r="J3">
        <f>IF('исходные данные'!J3&gt;'минимумы и максимумы'!H$10,100,('исходные данные'!J3-'минимумы и максимумы'!H$9)/('минимумы и максимумы'!H$10-'минимумы и максимумы'!H$9)*100)</f>
        <v>0</v>
      </c>
      <c r="K3">
        <f>IF('исходные данные'!K3&gt;'минимумы и максимумы'!I$10,100,('исходные данные'!K3-'минимумы и максимумы'!I$9)/('минимумы и максимумы'!I$10-'минимумы и максимумы'!I$9)*100)</f>
        <v>5.5555555555555554</v>
      </c>
      <c r="L3">
        <f>IF('исходные данные'!L3&gt;'минимумы и максимумы'!J$10,100,('исходные данные'!L3-'минимумы и максимумы'!J$9)/('минимумы и максимумы'!J$10-'минимумы и максимумы'!J$9)*100)</f>
        <v>0</v>
      </c>
      <c r="M3">
        <f>IF('исходные данные'!M3&gt;'минимумы и максимумы'!K$10,100,('исходные данные'!M3-'минимумы и максимумы'!K$9)/('минимумы и максимумы'!K$10-'минимумы и максимумы'!K$9)*100)</f>
        <v>3.5714285714285712</v>
      </c>
      <c r="N3">
        <f>IF('исходные данные'!N3&gt;'минимумы и максимумы'!L$10,100,('исходные данные'!N3-'минимумы и максимумы'!L$9)/('минимумы и максимумы'!L$10-'минимумы и максимумы'!L$9)*100)</f>
        <v>18.089781861345379</v>
      </c>
      <c r="O3">
        <f>IF('исходные данные'!O3&gt;'минимумы и максимумы'!M$10,100,('исходные данные'!O3-'минимумы и максимумы'!M$9)/('минимумы и максимумы'!M$10-'минимумы и максимумы'!M$9)*100)</f>
        <v>0</v>
      </c>
      <c r="P3">
        <f>IF('исходные данные'!P3&gt;'минимумы и максимумы'!N$10,100,('исходные данные'!P3-'минимумы и максимумы'!N$9)/('минимумы и максимумы'!N$10-'минимумы и максимумы'!N$9)*100)</f>
        <v>100</v>
      </c>
      <c r="Q3">
        <f>IF('исходные данные'!Q3&gt;'минимумы и максимумы'!O$10,100,('исходные данные'!Q3-'минимумы и максимумы'!O$9)/('минимумы и максимумы'!O$10-'минимумы и максимумы'!O$9)*100)</f>
        <v>0</v>
      </c>
      <c r="R3">
        <f>IF('исходные данные'!R3&gt;'минимумы и максимумы'!P$10,100,('исходные данные'!R3-'минимумы и максимумы'!P$9)/('минимумы и максимумы'!P$10-'минимумы и максимумы'!P$9)*100)</f>
        <v>25</v>
      </c>
      <c r="S3">
        <f>IF('исходные данные'!S3&gt;'минимумы и максимумы'!Q$10,100,('исходные данные'!S3-'минимумы и максимумы'!Q$9)/('минимумы и максимумы'!Q$10-'минимумы и максимумы'!Q$9)*100)</f>
        <v>33.333333333333329</v>
      </c>
      <c r="T3">
        <f>IF('исходные данные'!T3&gt;'минимумы и максимумы'!R$10,100,('исходные данные'!T3-'минимумы и максимумы'!R$9)/('минимумы и максимумы'!R$10-'минимумы и максимумы'!R$9)*100)</f>
        <v>100</v>
      </c>
      <c r="U3">
        <f>IF('исходные данные'!U3&gt;'минимумы и максимумы'!S$10,100,('исходные данные'!U3-'минимумы и максимумы'!S$9)/('минимумы и максимумы'!S$10-'минимумы и максимумы'!S$9)*100)</f>
        <v>33.333333333333329</v>
      </c>
    </row>
    <row r="4" spans="1:21" x14ac:dyDescent="0.45">
      <c r="A4" s="4">
        <v>3</v>
      </c>
      <c r="B4" s="4">
        <v>0</v>
      </c>
      <c r="C4" s="4">
        <v>0</v>
      </c>
      <c r="D4">
        <f>IF('исходные данные'!D4&gt;'минимумы и максимумы'!B$10,100,('исходные данные'!D4-'минимумы и максимумы'!B$9)/('минимумы и максимумы'!B$10-'минимумы и максимумы'!B$9)*100)</f>
        <v>44.444444444444443</v>
      </c>
      <c r="E4">
        <f>IF('исходные данные'!E4&gt;'минимумы и максимумы'!C$10,100,('исходные данные'!E4-'минимумы и максимумы'!C$9)/('минимумы и максимумы'!C$10-'минимумы и максимумы'!C$9)*100)</f>
        <v>40</v>
      </c>
      <c r="F4">
        <f>IF('исходные данные'!F4&gt;'минимумы и максимумы'!D$10,100,('исходные данные'!F4-'минимумы и максимумы'!D$9)/('минимумы и максимумы'!D$10-'минимумы и максимумы'!D$9)*100)</f>
        <v>0</v>
      </c>
      <c r="G4">
        <f>IF('исходные данные'!G4&gt;'минимумы и максимумы'!E$10,100,('исходные данные'!G4-'минимумы и максимумы'!E$9)/('минимумы и максимумы'!E$10-'минимумы и максимумы'!E$9)*100)</f>
        <v>37.5</v>
      </c>
      <c r="H4">
        <f>IF('исходные данные'!H4&gt;'минимумы и максимумы'!F$10,100,('исходные данные'!H4-'минимумы и максимумы'!F$9)/('минимумы и максимумы'!F$10-'минимумы и максимумы'!F$9)*100)</f>
        <v>31.03448275862069</v>
      </c>
      <c r="I4">
        <f>IF('исходные данные'!I4&gt;'минимумы и максимумы'!G$10,100,('исходные данные'!I4-'минимумы и максимумы'!G$9)/('минимумы и максимумы'!G$10-'минимумы и максимумы'!G$9)*100)</f>
        <v>100</v>
      </c>
      <c r="J4">
        <f>IF('исходные данные'!J4&gt;'минимумы и максимумы'!H$10,100,('исходные данные'!J4-'минимумы и максимумы'!H$9)/('минимумы и максимумы'!H$10-'минимумы и максимумы'!H$9)*100)</f>
        <v>80</v>
      </c>
      <c r="K4">
        <f>IF('исходные данные'!K4&gt;'минимумы и максимумы'!I$10,100,('исходные данные'!K4-'минимумы и максимумы'!I$9)/('минимумы и максимумы'!I$10-'минимумы и максимумы'!I$9)*100)</f>
        <v>27.777777777777779</v>
      </c>
      <c r="L4">
        <f>IF('исходные данные'!L4&gt;'минимумы и максимумы'!J$10,100,('исходные данные'!L4-'минимумы и максимумы'!J$9)/('минимумы и максимумы'!J$10-'минимумы и максимумы'!J$9)*100)</f>
        <v>14.285714285714285</v>
      </c>
      <c r="M4">
        <f>IF('исходные данные'!M4&gt;'минимумы и максимумы'!K$10,100,('исходные данные'!M4-'минимумы и максимумы'!K$9)/('минимумы и максимумы'!K$10-'минимумы и максимумы'!K$9)*100)</f>
        <v>42.857142857142854</v>
      </c>
      <c r="N4">
        <f>IF('исходные данные'!N4&gt;'минимумы и максимумы'!L$10,100,('исходные данные'!N4-'минимумы и максимумы'!L$9)/('минимумы и максимумы'!L$10-'минимумы и максимумы'!L$9)*100)</f>
        <v>8.9853886751778074</v>
      </c>
      <c r="O4">
        <f>IF('исходные данные'!O4&gt;'минимумы и максимумы'!M$10,100,('исходные данные'!O4-'минимумы и максимумы'!M$9)/('минимумы и максимумы'!M$10-'минимумы и максимумы'!M$9)*100)</f>
        <v>0</v>
      </c>
      <c r="P4">
        <f>IF('исходные данные'!P4&gt;'минимумы и максимумы'!N$10,100,('исходные данные'!P4-'минимумы и максимумы'!N$9)/('минимумы и максимумы'!N$10-'минимумы и максимумы'!N$9)*100)</f>
        <v>0</v>
      </c>
      <c r="Q4">
        <f>IF('исходные данные'!Q4&gt;'минимумы и максимумы'!O$10,100,('исходные данные'!Q4-'минимумы и максимумы'!O$9)/('минимумы и максимумы'!O$10-'минимумы и максимумы'!O$9)*100)</f>
        <v>100</v>
      </c>
      <c r="R4">
        <f>IF('исходные данные'!R4&gt;'минимумы и максимумы'!P$10,100,('исходные данные'!R4-'минимумы и максимумы'!P$9)/('минимумы и максимумы'!P$10-'минимумы и максимумы'!P$9)*100)</f>
        <v>75</v>
      </c>
      <c r="S4">
        <f>IF('исходные данные'!S4&gt;'минимумы и максимумы'!Q$10,100,('исходные данные'!S4-'минимумы и максимумы'!Q$9)/('минимумы и максимумы'!Q$10-'минимумы и максимумы'!Q$9)*100)</f>
        <v>33.333333333333329</v>
      </c>
      <c r="T4">
        <f>IF('исходные данные'!T4&gt;'минимумы и максимумы'!R$10,100,('исходные данные'!T4-'минимумы и максимумы'!R$9)/('минимумы и максимумы'!R$10-'минимумы и максимумы'!R$9)*100)</f>
        <v>5.4372842347525898</v>
      </c>
      <c r="U4">
        <f>IF('исходные данные'!U4&gt;'минимумы и максимумы'!S$10,100,('исходные данные'!U4-'минимумы и максимумы'!S$9)/('минимумы и максимумы'!S$10-'минимумы и максимумы'!S$9)*100)</f>
        <v>33.333333333333329</v>
      </c>
    </row>
    <row r="5" spans="1:21" x14ac:dyDescent="0.45">
      <c r="A5" s="4">
        <v>5</v>
      </c>
      <c r="B5" s="4">
        <v>0</v>
      </c>
      <c r="C5" s="4">
        <v>0</v>
      </c>
      <c r="D5">
        <f>IF('исходные данные'!D5&gt;'минимумы и максимумы'!B$10,100,('исходные данные'!D5-'минимумы и максимумы'!B$9)/('минимумы и максимумы'!B$10-'минимумы и максимумы'!B$9)*100)</f>
        <v>22.222222222222221</v>
      </c>
      <c r="E5">
        <f>IF('исходные данные'!E5&gt;'минимумы и максимумы'!C$10,100,('исходные данные'!E5-'минимумы и максимумы'!C$9)/('минимумы и максимумы'!C$10-'минимумы и максимумы'!C$9)*100)</f>
        <v>70</v>
      </c>
      <c r="F5">
        <f>IF('исходные данные'!F5&gt;'минимумы и максимумы'!D$10,100,('исходные данные'!F5-'минимумы и максимумы'!D$9)/('минимумы и максимумы'!D$10-'минимумы и максимумы'!D$9)*100)</f>
        <v>0</v>
      </c>
      <c r="G5">
        <f>IF('исходные данные'!G5&gt;'минимумы и максимумы'!E$10,100,('исходные данные'!G5-'минимумы и максимумы'!E$9)/('минимумы и максимумы'!E$10-'минимумы и максимумы'!E$9)*100)</f>
        <v>25</v>
      </c>
      <c r="H5">
        <f>IF('исходные данные'!H5&gt;'минимумы и максимумы'!F$10,100,('исходные данные'!H5-'минимумы и максимумы'!F$9)/('минимумы и максимумы'!F$10-'минимумы и максимумы'!F$9)*100)</f>
        <v>17.241379310344829</v>
      </c>
      <c r="I5">
        <f>IF('исходные данные'!I5&gt;'минимумы и максимумы'!G$10,100,('исходные данные'!I5-'минимумы и максимумы'!G$9)/('минимумы и максимумы'!G$10-'минимумы и максимумы'!G$9)*100)</f>
        <v>100</v>
      </c>
      <c r="J5">
        <f>IF('исходные данные'!J5&gt;'минимумы и максимумы'!H$10,100,('исходные данные'!J5-'минимумы и максимумы'!H$9)/('минимумы и максимумы'!H$10-'минимумы и максимумы'!H$9)*100)</f>
        <v>46.666666666666664</v>
      </c>
      <c r="K5">
        <f>IF('исходные данные'!K5&gt;'минимумы и максимумы'!I$10,100,('исходные данные'!K5-'минимумы и максимумы'!I$9)/('минимумы и максимумы'!I$10-'минимумы и максимумы'!I$9)*100)</f>
        <v>5.5555555555555554</v>
      </c>
      <c r="L5">
        <f>IF('исходные данные'!L5&gt;'минимумы и максимумы'!J$10,100,('исходные данные'!L5-'минимумы и максимумы'!J$9)/('минимумы и максимумы'!J$10-'минимумы и максимумы'!J$9)*100)</f>
        <v>21.428571428571427</v>
      </c>
      <c r="M5">
        <f>IF('исходные данные'!M5&gt;'минимумы и максимумы'!K$10,100,('исходные данные'!M5-'минимумы и максимумы'!K$9)/('минимумы и максимумы'!K$10-'минимумы и максимумы'!K$9)*100)</f>
        <v>32.142857142857146</v>
      </c>
      <c r="N5">
        <f>IF('исходные данные'!N5&gt;'минимумы и максимумы'!L$10,100,('исходные данные'!N5-'минимумы и максимумы'!L$9)/('минимумы и максимумы'!L$10-'минимумы и максимумы'!L$9)*100)</f>
        <v>9.461206767672719</v>
      </c>
      <c r="O5">
        <f>IF('исходные данные'!O5&gt;'минимумы и максимумы'!M$10,100,('исходные данные'!O5-'минимумы и максимумы'!M$9)/('минимумы и максимумы'!M$10-'минимумы и максимумы'!M$9)*100)</f>
        <v>66.666666666666657</v>
      </c>
      <c r="P5">
        <f>IF('исходные данные'!P5&gt;'минимумы и максимумы'!N$10,100,('исходные данные'!P5-'минимумы и максимумы'!N$9)/('минимумы и максимумы'!N$10-'минимумы и максимумы'!N$9)*100)</f>
        <v>100</v>
      </c>
      <c r="Q5">
        <f>IF('исходные данные'!Q5&gt;'минимумы и максимумы'!O$10,100,('исходные данные'!Q5-'минимумы и максимумы'!O$9)/('минимумы и максимумы'!O$10-'минимумы и максимумы'!O$9)*100)</f>
        <v>100</v>
      </c>
      <c r="R5">
        <f>IF('исходные данные'!R5&gt;'минимумы и максимумы'!P$10,100,('исходные данные'!R5-'минимумы и максимумы'!P$9)/('минимумы и максимумы'!P$10-'минимумы и максимумы'!P$9)*100)</f>
        <v>75</v>
      </c>
      <c r="S5">
        <f>IF('исходные данные'!S5&gt;'минимумы и максимумы'!Q$10,100,('исходные данные'!S5-'минимумы и максимумы'!Q$9)/('минимумы и максимумы'!Q$10-'минимумы и максимумы'!Q$9)*100)</f>
        <v>50</v>
      </c>
      <c r="T5">
        <f>IF('исходные данные'!T5&gt;'минимумы и максимумы'!R$10,100,('исходные данные'!T5-'минимумы и максимумы'!R$9)/('минимумы и максимумы'!R$10-'минимумы и максимумы'!R$9)*100)</f>
        <v>18.555811277330264</v>
      </c>
      <c r="U5">
        <f>IF('исходные данные'!U5&gt;'минимумы и максимумы'!S$10,100,('исходные данные'!U5-'минимумы и максимумы'!S$9)/('минимумы и максимумы'!S$10-'минимумы и максимумы'!S$9)*100)</f>
        <v>66.666666666666657</v>
      </c>
    </row>
    <row r="6" spans="1:21" x14ac:dyDescent="0.45">
      <c r="A6" s="4">
        <v>6</v>
      </c>
      <c r="B6" s="4">
        <v>0</v>
      </c>
      <c r="C6" s="4">
        <v>0</v>
      </c>
      <c r="D6">
        <f>IF('исходные данные'!D6&gt;'минимумы и максимумы'!B$10,100,('исходные данные'!D6-'минимумы и максимумы'!B$9)/('минимумы и максимумы'!B$10-'минимумы и максимумы'!B$9)*100)</f>
        <v>44.444444444444443</v>
      </c>
      <c r="E6">
        <f>IF('исходные данные'!E6&gt;'минимумы и максимумы'!C$10,100,('исходные данные'!E6-'минимумы и максимумы'!C$9)/('минимумы и максимумы'!C$10-'минимумы и максимумы'!C$9)*100)</f>
        <v>60</v>
      </c>
      <c r="F6">
        <f>IF('исходные данные'!F6&gt;'минимумы и максимумы'!D$10,100,('исходные данные'!F6-'минимумы и максимумы'!D$9)/('минимумы и максимумы'!D$10-'минимумы и максимумы'!D$9)*100)</f>
        <v>0</v>
      </c>
      <c r="G6">
        <f>IF('исходные данные'!G6&gt;'минимумы и максимумы'!E$10,100,('исходные данные'!G6-'минимумы и максимумы'!E$9)/('минимумы и максимумы'!E$10-'минимумы и максимумы'!E$9)*100)</f>
        <v>20.833333333333336</v>
      </c>
      <c r="H6">
        <f>IF('исходные данные'!H6&gt;'минимумы и максимумы'!F$10,100,('исходные данные'!H6-'минимумы и максимумы'!F$9)/('минимумы и максимумы'!F$10-'минимумы и максимумы'!F$9)*100)</f>
        <v>17.241379310344829</v>
      </c>
      <c r="I6">
        <f>IF('исходные данные'!I6&gt;'минимумы и максимумы'!G$10,100,('исходные данные'!I6-'минимумы и максимумы'!G$9)/('минимумы и максимумы'!G$10-'минимумы и максимумы'!G$9)*100)</f>
        <v>100</v>
      </c>
      <c r="J6">
        <f>IF('исходные данные'!J6&gt;'минимумы и максимумы'!H$10,100,('исходные данные'!J6-'минимумы и максимумы'!H$9)/('минимумы и максимумы'!H$10-'минимумы и максимумы'!H$9)*100)</f>
        <v>60</v>
      </c>
      <c r="K6">
        <f>IF('исходные данные'!K6&gt;'минимумы и максимумы'!I$10,100,('исходные данные'!K6-'минимумы и максимумы'!I$9)/('минимумы и максимумы'!I$10-'минимумы и максимумы'!I$9)*100)</f>
        <v>5.5555555555555554</v>
      </c>
      <c r="L6">
        <f>IF('исходные данные'!L6&gt;'минимумы и максимумы'!J$10,100,('исходные данные'!L6-'минимумы и максимумы'!J$9)/('минимумы и максимумы'!J$10-'минимумы и максимумы'!J$9)*100)</f>
        <v>21.428571428571427</v>
      </c>
      <c r="M6">
        <f>IF('исходные данные'!M6&gt;'минимумы и максимумы'!K$10,100,('исходные данные'!M6-'минимумы и максимумы'!K$9)/('минимумы и максимумы'!K$10-'минимумы и максимумы'!K$9)*100)</f>
        <v>32.142857142857146</v>
      </c>
      <c r="N6">
        <f>IF('исходные данные'!N6&gt;'минимумы и максимумы'!L$10,100,('исходные данные'!N6-'минимумы и максимумы'!L$9)/('минимумы и максимумы'!L$10-'минимумы и максимумы'!L$9)*100)</f>
        <v>9.7329038537042472</v>
      </c>
      <c r="O6">
        <f>IF('исходные данные'!O6&gt;'минимумы и максимумы'!M$10,100,('исходные данные'!O6-'минимумы и максимумы'!M$9)/('минимумы и максимумы'!M$10-'минимумы и максимумы'!M$9)*100)</f>
        <v>100</v>
      </c>
      <c r="P6">
        <f>IF('исходные данные'!P6&gt;'минимумы и максимумы'!N$10,100,('исходные данные'!P6-'минимумы и максимумы'!N$9)/('минимумы и максимумы'!N$10-'минимумы и максимумы'!N$9)*100)</f>
        <v>100</v>
      </c>
      <c r="Q6">
        <f>IF('исходные данные'!Q6&gt;'минимумы и максимумы'!O$10,100,('исходные данные'!Q6-'минимумы и максимумы'!O$9)/('минимумы и максимумы'!O$10-'минимумы и максимумы'!O$9)*100)</f>
        <v>100</v>
      </c>
      <c r="R6">
        <f>IF('исходные данные'!R6&gt;'минимумы и максимумы'!P$10,100,('исходные данные'!R6-'минимумы и максимумы'!P$9)/('минимумы и максимумы'!P$10-'минимумы и максимумы'!P$9)*100)</f>
        <v>100</v>
      </c>
      <c r="S6">
        <f>IF('исходные данные'!S6&gt;'минимумы и максимумы'!Q$10,100,('исходные данные'!S6-'минимумы и максимумы'!Q$9)/('минимумы и максимумы'!Q$10-'минимумы и максимумы'!Q$9)*100)</f>
        <v>33.333333333333329</v>
      </c>
      <c r="T6">
        <f>IF('исходные данные'!T6&gt;'минимумы и максимумы'!R$10,100,('исходные данные'!T6-'минимумы и максимумы'!R$9)/('минимумы и максимумы'!R$10-'минимумы и максимумы'!R$9)*100)</f>
        <v>37.16915995397008</v>
      </c>
      <c r="U6">
        <f>IF('исходные данные'!U6&gt;'минимумы и максимумы'!S$10,100,('исходные данные'!U6-'минимумы и максимумы'!S$9)/('минимумы и максимумы'!S$10-'минимумы и максимумы'!S$9)*100)</f>
        <v>100</v>
      </c>
    </row>
    <row r="7" spans="1:21" x14ac:dyDescent="0.45">
      <c r="A7" s="4">
        <v>7</v>
      </c>
      <c r="B7" s="4">
        <v>0</v>
      </c>
      <c r="C7" s="4">
        <v>0</v>
      </c>
      <c r="D7">
        <f>IF('исходные данные'!D7&gt;'минимумы и максимумы'!B$10,100,('исходные данные'!D7-'минимумы и максимумы'!B$9)/('минимумы и максимумы'!B$10-'минимумы и максимумы'!B$9)*100)</f>
        <v>44.444444444444443</v>
      </c>
      <c r="E7">
        <f>IF('исходные данные'!E7&gt;'минимумы и максимумы'!C$10,100,('исходные данные'!E7-'минимумы и максимумы'!C$9)/('минимумы и максимумы'!C$10-'минимумы и максимумы'!C$9)*100)</f>
        <v>60</v>
      </c>
      <c r="F7">
        <f>IF('исходные данные'!F7&gt;'минимумы и максимумы'!D$10,100,('исходные данные'!F7-'минимумы и максимумы'!D$9)/('минимумы и максимумы'!D$10-'минимумы и максимумы'!D$9)*100)</f>
        <v>0</v>
      </c>
      <c r="G7">
        <f>IF('исходные данные'!G7&gt;'минимумы и максимумы'!E$10,100,('исходные данные'!G7-'минимумы и максимумы'!E$9)/('минимумы и максимумы'!E$10-'минимумы и максимумы'!E$9)*100)</f>
        <v>29.166666666666668</v>
      </c>
      <c r="H7">
        <f>IF('исходные данные'!H7&gt;'минимумы и максимумы'!F$10,100,('исходные данные'!H7-'минимумы и максимумы'!F$9)/('минимумы и максимумы'!F$10-'минимумы и максимумы'!F$9)*100)</f>
        <v>31.03448275862069</v>
      </c>
      <c r="I7">
        <f>IF('исходные данные'!I7&gt;'минимумы и максимумы'!G$10,100,('исходные данные'!I7-'минимумы и максимумы'!G$9)/('минимумы и максимумы'!G$10-'минимумы и максимумы'!G$9)*100)</f>
        <v>100</v>
      </c>
      <c r="J7">
        <f>IF('исходные данные'!J7&gt;'минимумы и максимумы'!H$10,100,('исходные данные'!J7-'минимумы и максимумы'!H$9)/('минимумы и максимумы'!H$10-'минимумы и максимумы'!H$9)*100)</f>
        <v>86.666666666666671</v>
      </c>
      <c r="K7">
        <f>IF('исходные данные'!K7&gt;'минимумы и максимумы'!I$10,100,('исходные данные'!K7-'минимумы и максимумы'!I$9)/('минимумы и максимумы'!I$10-'минимумы и максимумы'!I$9)*100)</f>
        <v>22.222222222222221</v>
      </c>
      <c r="L7">
        <f>IF('исходные данные'!L7&gt;'минимумы и максимумы'!J$10,100,('исходные данные'!L7-'минимумы и максимумы'!J$9)/('минимумы и максимумы'!J$10-'минимумы и максимумы'!J$9)*100)</f>
        <v>21.428571428571427</v>
      </c>
      <c r="M7">
        <f>IF('исходные данные'!M7&gt;'минимумы и максимумы'!K$10,100,('исходные данные'!M7-'минимумы и максимумы'!K$9)/('минимумы и максимумы'!K$10-'минимумы и максимумы'!K$9)*100)</f>
        <v>28.571428571428569</v>
      </c>
      <c r="N7">
        <f>IF('исходные данные'!N7&gt;'минимумы и максимумы'!L$10,100,('исходные данные'!N7-'минимумы и максимумы'!L$9)/('минимумы и максимумы'!L$10-'минимумы и максимумы'!L$9)*100)</f>
        <v>10.591467184521047</v>
      </c>
      <c r="O7">
        <f>IF('исходные данные'!O7&gt;'минимумы и максимумы'!M$10,100,('исходные данные'!O7-'минимумы и максимумы'!M$9)/('минимумы и максимумы'!M$10-'минимумы и максимумы'!M$9)*100)</f>
        <v>33.333333333333329</v>
      </c>
      <c r="P7">
        <f>IF('исходные данные'!P7&gt;'минимумы и максимумы'!N$10,100,('исходные данные'!P7-'минимумы и максимумы'!N$9)/('минимумы и максимумы'!N$10-'минимумы и максимумы'!N$9)*100)</f>
        <v>0</v>
      </c>
      <c r="Q7">
        <f>IF('исходные данные'!Q7&gt;'минимумы и максимумы'!O$10,100,('исходные данные'!Q7-'минимумы и максимумы'!O$9)/('минимумы и максимумы'!O$10-'минимумы и максимумы'!O$9)*100)</f>
        <v>100</v>
      </c>
      <c r="R7">
        <f>IF('исходные данные'!R7&gt;'минимумы и максимумы'!P$10,100,('исходные данные'!R7-'минимумы и максимумы'!P$9)/('минимумы и максимумы'!P$10-'минимумы и максимумы'!P$9)*100)</f>
        <v>100</v>
      </c>
      <c r="S7">
        <f>IF('исходные данные'!S7&gt;'минимумы и максимумы'!Q$10,100,('исходные данные'!S7-'минимумы и максимумы'!Q$9)/('минимумы и максимумы'!Q$10-'минимумы и максимумы'!Q$9)*100)</f>
        <v>33.333333333333329</v>
      </c>
      <c r="T7">
        <f>IF('исходные данные'!T7&gt;'минимумы и максимумы'!R$10,100,('исходные данные'!T7-'минимумы и максимумы'!R$9)/('минимумы и максимумы'!R$10-'минимумы и максимумы'!R$9)*100)</f>
        <v>26.294591484464902</v>
      </c>
      <c r="U7">
        <f>IF('исходные данные'!U7&gt;'минимумы и максимумы'!S$10,100,('исходные данные'!U7-'минимумы и максимумы'!S$9)/('минимумы и максимумы'!S$10-'минимумы и максимумы'!S$9)*100)</f>
        <v>100</v>
      </c>
    </row>
    <row r="8" spans="1:21" x14ac:dyDescent="0.45">
      <c r="A8" s="4">
        <v>17</v>
      </c>
      <c r="B8" s="4">
        <v>0</v>
      </c>
      <c r="C8" s="4">
        <v>0</v>
      </c>
      <c r="D8">
        <f>IF('исходные данные'!D8&gt;'минимумы и максимумы'!B$10,100,('исходные данные'!D8-'минимумы и максимумы'!B$9)/('минимумы и максимумы'!B$10-'минимумы и максимумы'!B$9)*100)</f>
        <v>0</v>
      </c>
      <c r="E8">
        <f>IF('исходные данные'!E8&gt;'минимумы и максимумы'!C$10,100,('исходные данные'!E8-'минимумы и максимумы'!C$9)/('минимумы и максимумы'!C$10-'минимумы и максимумы'!C$9)*100)</f>
        <v>0</v>
      </c>
      <c r="F8">
        <f>IF('исходные данные'!F8&gt;'минимумы и максимумы'!D$10,100,('исходные данные'!F8-'минимумы и максимумы'!D$9)/('минимумы и максимумы'!D$10-'минимумы и максимумы'!D$9)*100)</f>
        <v>0</v>
      </c>
      <c r="G8">
        <f>IF('исходные данные'!G8&gt;'минимумы и максимумы'!E$10,100,('исходные данные'!G8-'минимумы и максимумы'!E$9)/('минимумы и максимумы'!E$10-'минимумы и максимумы'!E$9)*100)</f>
        <v>12.5</v>
      </c>
      <c r="H8">
        <f>IF('исходные данные'!H8&gt;'минимумы и максимумы'!F$10,100,('исходные данные'!H8-'минимумы и максимумы'!F$9)/('минимумы и максимумы'!F$10-'минимумы и максимумы'!F$9)*100)</f>
        <v>6.8965517241379306</v>
      </c>
      <c r="I8">
        <f>IF('исходные данные'!I8&gt;'минимумы и максимумы'!G$10,100,('исходные данные'!I8-'минимумы и максимумы'!G$9)/('минимумы и максимумы'!G$10-'минимумы и максимумы'!G$9)*100)</f>
        <v>67.924528301886795</v>
      </c>
      <c r="J8">
        <f>IF('исходные данные'!J8&gt;'минимумы и максимумы'!H$10,100,('исходные данные'!J8-'минимумы и максимумы'!H$9)/('минимумы и максимумы'!H$10-'минимумы и максимумы'!H$9)*100)</f>
        <v>6.666666666666667</v>
      </c>
      <c r="K8">
        <f>IF('исходные данные'!K8&gt;'минимумы и максимумы'!I$10,100,('исходные данные'!K8-'минимумы и максимумы'!I$9)/('минимумы и максимумы'!I$10-'минимумы и максимумы'!I$9)*100)</f>
        <v>0</v>
      </c>
      <c r="L8">
        <f>IF('исходные данные'!L8&gt;'минимумы и максимумы'!J$10,100,('исходные данные'!L8-'минимумы и максимумы'!J$9)/('минимумы и максимумы'!J$10-'минимумы и максимумы'!J$9)*100)</f>
        <v>0</v>
      </c>
      <c r="M8">
        <f>IF('исходные данные'!M8&gt;'минимумы и максимумы'!K$10,100,('исходные данные'!M8-'минимумы и максимумы'!K$9)/('минимумы и максимумы'!K$10-'минимумы и максимумы'!K$9)*100)</f>
        <v>25</v>
      </c>
      <c r="N8">
        <f>IF('исходные данные'!N8&gt;'минимумы и максимумы'!L$10,100,('исходные данные'!N8-'минимумы и максимумы'!L$9)/('минимумы и максимумы'!L$10-'минимумы и максимумы'!L$9)*100)</f>
        <v>24.152582138669441</v>
      </c>
      <c r="O8">
        <f>IF('исходные данные'!O8&gt;'минимумы и максимумы'!M$10,100,('исходные данные'!O8-'минимумы и максимумы'!M$9)/('минимумы и максимумы'!M$10-'минимумы и максимумы'!M$9)*100)</f>
        <v>66.666666666666657</v>
      </c>
      <c r="P8">
        <f>IF('исходные данные'!P8&gt;'минимумы и максимумы'!N$10,100,('исходные данные'!P8-'минимумы и максимумы'!N$9)/('минимумы и максимумы'!N$10-'минимумы и максимумы'!N$9)*100)</f>
        <v>0</v>
      </c>
      <c r="Q8">
        <f>IF('исходные данные'!Q8&gt;'минимумы и максимумы'!O$10,100,('исходные данные'!Q8-'минимумы и максимумы'!O$9)/('минимумы и максимумы'!O$10-'минимумы и максимумы'!O$9)*100)</f>
        <v>100</v>
      </c>
      <c r="R8">
        <f>IF('исходные данные'!R8&gt;'минимумы и максимумы'!P$10,100,('исходные данные'!R8-'минимумы и максимумы'!P$9)/('минимумы и максимумы'!P$10-'минимумы и максимумы'!P$9)*100)</f>
        <v>75</v>
      </c>
      <c r="S8">
        <f>IF('исходные данные'!S8&gt;'минимумы и максимумы'!Q$10,100,('исходные данные'!S8-'минимумы и максимумы'!Q$9)/('минимумы и максимумы'!Q$10-'минимумы и максимумы'!Q$9)*100)</f>
        <v>33.333333333333329</v>
      </c>
      <c r="T8">
        <f>IF('исходные данные'!T8&gt;'минимумы и максимумы'!R$10,100,('исходные данные'!T8-'минимумы и максимумы'!R$9)/('минимумы и максимумы'!R$10-'минимумы и максимумы'!R$9)*100)</f>
        <v>3.9988492520138093</v>
      </c>
      <c r="U8">
        <f>IF('исходные данные'!U8&gt;'минимумы и максимумы'!S$10,100,('исходные данные'!U8-'минимумы и максимумы'!S$9)/('минимумы и максимумы'!S$10-'минимумы и максимумы'!S$9)*100)</f>
        <v>0</v>
      </c>
    </row>
    <row r="9" spans="1:21" x14ac:dyDescent="0.45">
      <c r="A9" s="4">
        <v>20</v>
      </c>
      <c r="B9" s="4">
        <v>0</v>
      </c>
      <c r="C9" s="4">
        <v>0</v>
      </c>
      <c r="D9">
        <f>IF('исходные данные'!D9&gt;'минимумы и максимумы'!B$10,100,('исходные данные'!D9-'минимумы и максимумы'!B$9)/('минимумы и максимумы'!B$10-'минимумы и максимумы'!B$9)*100)</f>
        <v>11.111111111111111</v>
      </c>
      <c r="E9">
        <f>IF('исходные данные'!E9&gt;'минимумы и максимумы'!C$10,100,('исходные данные'!E9-'минимумы и максимумы'!C$9)/('минимумы и максимумы'!C$10-'минимумы и максимумы'!C$9)*100)</f>
        <v>10</v>
      </c>
      <c r="F9">
        <f>IF('исходные данные'!F9&gt;'минимумы и максимумы'!D$10,100,('исходные данные'!F9-'минимумы и максимумы'!D$9)/('минимумы и максимумы'!D$10-'минимумы и максимумы'!D$9)*100)</f>
        <v>33.333333333333329</v>
      </c>
      <c r="G9">
        <f>IF('исходные данные'!G9&gt;'минимумы и максимумы'!E$10,100,('исходные данные'!G9-'минимумы и максимумы'!E$9)/('минимумы и максимумы'!E$10-'минимумы и максимумы'!E$9)*100)</f>
        <v>37.5</v>
      </c>
      <c r="H9">
        <f>IF('исходные данные'!H9&gt;'минимумы и максимумы'!F$10,100,('исходные данные'!H9-'минимумы и максимумы'!F$9)/('минимумы и максимумы'!F$10-'минимумы и максимумы'!F$9)*100)</f>
        <v>27.586206896551722</v>
      </c>
      <c r="I9">
        <f>IF('исходные данные'!I9&gt;'минимумы и максимумы'!G$10,100,('исходные данные'!I9-'минимумы и максимумы'!G$9)/('минимумы и максимумы'!G$10-'минимумы и максимумы'!G$9)*100)</f>
        <v>35.849056603773583</v>
      </c>
      <c r="J9">
        <f>IF('исходные данные'!J9&gt;'минимумы и максимумы'!H$10,100,('исходные данные'!J9-'минимумы и максимумы'!H$9)/('минимумы и максимумы'!H$10-'минимумы и максимумы'!H$9)*100)</f>
        <v>60</v>
      </c>
      <c r="K9">
        <f>IF('исходные данные'!K9&gt;'минимумы и максимумы'!I$10,100,('исходные данные'!K9-'минимумы и максимумы'!I$9)/('минимумы и максимумы'!I$10-'минимумы и максимумы'!I$9)*100)</f>
        <v>72.222222222222214</v>
      </c>
      <c r="L9">
        <f>IF('исходные данные'!L9&gt;'минимумы и максимумы'!J$10,100,('исходные данные'!L9-'минимумы и максимумы'!J$9)/('минимумы и максимумы'!J$10-'минимумы и максимумы'!J$9)*100)</f>
        <v>21.428571428571427</v>
      </c>
      <c r="M9">
        <f>IF('исходные данные'!M9&gt;'минимумы и максимумы'!K$10,100,('исходные данные'!M9-'минимумы и максимумы'!K$9)/('минимумы и максимумы'!K$10-'минимумы и максимумы'!K$9)*100)</f>
        <v>57.142857142857139</v>
      </c>
      <c r="N9">
        <f>IF('исходные данные'!N9&gt;'минимумы и максимумы'!L$10,100,('исходные данные'!N9-'минимумы и максимумы'!L$9)/('минимумы и максимумы'!L$10-'минимумы и максимумы'!L$9)*100)</f>
        <v>18.726008209733269</v>
      </c>
      <c r="O9">
        <f>IF('исходные данные'!O9&gt;'минимумы и максимумы'!M$10,100,('исходные данные'!O9-'минимумы и максимумы'!M$9)/('минимумы и максимумы'!M$10-'минимумы и максимумы'!M$9)*100)</f>
        <v>33.333333333333329</v>
      </c>
      <c r="P9">
        <f>IF('исходные данные'!P9&gt;'минимумы и максимумы'!N$10,100,('исходные данные'!P9-'минимумы и максимумы'!N$9)/('минимумы и максимумы'!N$10-'минимумы и максимумы'!N$9)*100)</f>
        <v>100</v>
      </c>
      <c r="Q9">
        <f>IF('исходные данные'!Q9&gt;'минимумы и максимумы'!O$10,100,('исходные данные'!Q9-'минимумы и максимумы'!O$9)/('минимумы и максимумы'!O$10-'минимумы и максимумы'!O$9)*100)</f>
        <v>100</v>
      </c>
      <c r="R9">
        <f>IF('исходные данные'!R9&gt;'минимумы и максимумы'!P$10,100,('исходные данные'!R9-'минимумы и максимумы'!P$9)/('минимумы и максимумы'!P$10-'минимумы и максимумы'!P$9)*100)</f>
        <v>75</v>
      </c>
      <c r="S9">
        <f>IF('исходные данные'!S9&gt;'минимумы и максимумы'!Q$10,100,('исходные данные'!S9-'минимумы и максимумы'!Q$9)/('минимумы и максимумы'!Q$10-'минимумы и максимумы'!Q$9)*100)</f>
        <v>50</v>
      </c>
      <c r="T9">
        <f>IF('исходные данные'!T9&gt;'минимумы и максимумы'!R$10,100,('исходные данные'!T9-'минимумы и максимумы'!R$9)/('минимумы и максимумы'!R$10-'минимумы и максимумы'!R$9)*100)</f>
        <v>37.715765247410815</v>
      </c>
      <c r="U9">
        <f>IF('исходные данные'!U9&gt;'минимумы и максимумы'!S$10,100,('исходные данные'!U9-'минимумы и максимумы'!S$9)/('минимумы и максимумы'!S$10-'минимумы и максимумы'!S$9)*100)</f>
        <v>66.666666666666657</v>
      </c>
    </row>
    <row r="10" spans="1:21" x14ac:dyDescent="0.45">
      <c r="A10" s="4">
        <v>21</v>
      </c>
      <c r="B10" s="4">
        <v>0</v>
      </c>
      <c r="C10" s="4">
        <v>1</v>
      </c>
      <c r="D10">
        <f>IF('исходные данные'!D10&gt;'минимумы и максимумы'!B$10,100,('исходные данные'!D10-'минимумы и максимумы'!B$9)/('минимумы и максимумы'!B$10-'минимумы и максимумы'!B$9)*100)</f>
        <v>11.111111111111111</v>
      </c>
      <c r="E10">
        <f>IF('исходные данные'!E10&gt;'минимумы и максимумы'!C$10,100,('исходные данные'!E10-'минимумы и максимумы'!C$9)/('минимумы и максимумы'!C$10-'минимумы и максимумы'!C$9)*100)</f>
        <v>30</v>
      </c>
      <c r="F10">
        <f>IF('исходные данные'!F10&gt;'минимумы и максимумы'!D$10,100,('исходные данные'!F10-'минимумы и максимумы'!D$9)/('минимумы и максимумы'!D$10-'минимумы и максимумы'!D$9)*100)</f>
        <v>0</v>
      </c>
      <c r="G10">
        <f>IF('исходные данные'!G10&gt;'минимумы и максимумы'!E$10,100,('исходные данные'!G10-'минимумы и максимумы'!E$9)/('минимумы и максимумы'!E$10-'минимумы и максимумы'!E$9)*100)</f>
        <v>37.5</v>
      </c>
      <c r="H10">
        <f>IF('исходные данные'!H10&gt;'минимумы и максимумы'!F$10,100,('исходные данные'!H10-'минимумы и максимумы'!F$9)/('минимумы и максимумы'!F$10-'минимумы и максимумы'!F$9)*100)</f>
        <v>37.931034482758619</v>
      </c>
      <c r="I10">
        <f>IF('исходные данные'!I10&gt;'минимумы и максимумы'!G$10,100,('исходные данные'!I10-'минимумы и максимумы'!G$9)/('минимумы и максимумы'!G$10-'минимумы и максимумы'!G$9)*100)</f>
        <v>60.377358490566039</v>
      </c>
      <c r="J10">
        <f>IF('исходные данные'!J10&gt;'минимумы и максимумы'!H$10,100,('исходные данные'!J10-'минимумы и максимумы'!H$9)/('минимумы и максимумы'!H$10-'минимумы и максимумы'!H$9)*100)</f>
        <v>46.666666666666664</v>
      </c>
      <c r="K10">
        <f>IF('исходные данные'!K10&gt;'минимумы и максимумы'!I$10,100,('исходные данные'!K10-'минимумы и максимумы'!I$9)/('минимумы и максимумы'!I$10-'минимумы и максимумы'!I$9)*100)</f>
        <v>0</v>
      </c>
      <c r="L10">
        <f>IF('исходные данные'!L10&gt;'минимумы и максимумы'!J$10,100,('исходные данные'!L10-'минимумы и максимумы'!J$9)/('минимумы и максимумы'!J$10-'минимумы и максимумы'!J$9)*100)</f>
        <v>0</v>
      </c>
      <c r="M10">
        <f>IF('исходные данные'!M10&gt;'минимумы и максимумы'!K$10,100,('исходные данные'!M10-'минимумы и максимумы'!K$9)/('минимумы и максимумы'!K$10-'минимумы и максимумы'!K$9)*100)</f>
        <v>35.714285714285715</v>
      </c>
      <c r="N10">
        <f>IF('исходные данные'!N10&gt;'минимумы и максимумы'!L$10,100,('исходные данные'!N10-'минимумы и максимумы'!L$9)/('минимумы и максимумы'!L$10-'минимумы и максимумы'!L$9)*100)</f>
        <v>23.148184293417813</v>
      </c>
      <c r="O10">
        <f>IF('исходные данные'!O10&gt;'минимумы и максимумы'!M$10,100,('исходные данные'!O10-'минимумы и максимумы'!M$9)/('минимумы и максимумы'!M$10-'минимумы и максимумы'!M$9)*100)</f>
        <v>0</v>
      </c>
      <c r="P10">
        <f>IF('исходные данные'!P10&gt;'минимумы и максимумы'!N$10,100,('исходные данные'!P10-'минимумы и максимумы'!N$9)/('минимумы и максимумы'!N$10-'минимумы и максимумы'!N$9)*100)</f>
        <v>0</v>
      </c>
      <c r="Q10">
        <f>IF('исходные данные'!Q10&gt;'минимумы и максимумы'!O$10,100,('исходные данные'!Q10-'минимумы и максимумы'!O$9)/('минимумы и максимумы'!O$10-'минимумы и максимумы'!O$9)*100)</f>
        <v>100</v>
      </c>
      <c r="R10">
        <f>IF('исходные данные'!R10&gt;'минимумы и максимумы'!P$10,100,('исходные данные'!R10-'минимумы и максимумы'!P$9)/('минимумы и максимумы'!P$10-'минимумы и максимумы'!P$9)*100)</f>
        <v>100</v>
      </c>
      <c r="S10">
        <f>IF('исходные данные'!S10&gt;'минимумы и максимумы'!Q$10,100,('исходные данные'!S10-'минимумы и максимумы'!Q$9)/('минимумы и максимумы'!Q$10-'минимумы и максимумы'!Q$9)*100)</f>
        <v>50</v>
      </c>
      <c r="T10">
        <f>IF('исходные данные'!T10&gt;'минимумы и максимумы'!R$10,100,('исходные данные'!T10-'минимумы и максимумы'!R$9)/('минимумы и максимумы'!R$10-'минимумы и максимумы'!R$9)*100)</f>
        <v>11.507479861910241</v>
      </c>
      <c r="U10">
        <f>IF('исходные данные'!U10&gt;'минимумы и максимумы'!S$10,100,('исходные данные'!U10-'минимумы и максимумы'!S$9)/('минимумы и максимумы'!S$10-'минимумы и максимумы'!S$9)*100)</f>
        <v>100</v>
      </c>
    </row>
    <row r="11" spans="1:21" x14ac:dyDescent="0.45">
      <c r="A11" s="4">
        <v>22</v>
      </c>
      <c r="B11" s="4">
        <v>0</v>
      </c>
      <c r="C11" s="4">
        <v>0</v>
      </c>
      <c r="D11">
        <f>IF('исходные данные'!D11&gt;'минимумы и максимумы'!B$10,100,('исходные данные'!D11-'минимумы и максимумы'!B$9)/('минимумы и максимумы'!B$10-'минимумы и максимумы'!B$9)*100)</f>
        <v>44.444444444444443</v>
      </c>
      <c r="E11">
        <f>IF('исходные данные'!E11&gt;'минимумы и максимумы'!C$10,100,('исходные данные'!E11-'минимумы и максимумы'!C$9)/('минимумы и максимумы'!C$10-'минимумы и максимумы'!C$9)*100)</f>
        <v>60</v>
      </c>
      <c r="F11">
        <f>IF('исходные данные'!F11&gt;'минимумы и максимумы'!D$10,100,('исходные данные'!F11-'минимумы и максимумы'!D$9)/('минимумы и максимумы'!D$10-'минимумы и максимумы'!D$9)*100)</f>
        <v>0</v>
      </c>
      <c r="G11">
        <f>IF('исходные данные'!G11&gt;'минимумы и максимумы'!E$10,100,('исходные данные'!G11-'минимумы и максимумы'!E$9)/('минимумы и максимумы'!E$10-'минимумы и максимумы'!E$9)*100)</f>
        <v>20.833333333333336</v>
      </c>
      <c r="H11">
        <f>IF('исходные данные'!H11&gt;'минимумы и максимумы'!F$10,100,('исходные данные'!H11-'минимумы и максимумы'!F$9)/('минимумы и максимумы'!F$10-'минимумы и максимумы'!F$9)*100)</f>
        <v>17.241379310344829</v>
      </c>
      <c r="I11">
        <f>IF('исходные данные'!I11&gt;'минимумы и максимумы'!G$10,100,('исходные данные'!I11-'минимумы и максимумы'!G$9)/('минимумы и максимумы'!G$10-'минимумы и максимумы'!G$9)*100)</f>
        <v>30.188679245283019</v>
      </c>
      <c r="J11">
        <f>IF('исходные данные'!J11&gt;'минимумы и максимумы'!H$10,100,('исходные данные'!J11-'минимумы и максимумы'!H$9)/('минимумы и максимумы'!H$10-'минимумы и максимумы'!H$9)*100)</f>
        <v>20</v>
      </c>
      <c r="K11">
        <f>IF('исходные данные'!K11&gt;'минимумы и максимумы'!I$10,100,('исходные данные'!K11-'минимумы и максимумы'!I$9)/('минимумы и максимумы'!I$10-'минимумы и максимумы'!I$9)*100)</f>
        <v>44.444444444444443</v>
      </c>
      <c r="L11">
        <f>IF('исходные данные'!L11&gt;'минимумы и максимумы'!J$10,100,('исходные данные'!L11-'минимумы и максимумы'!J$9)/('минимумы и максимумы'!J$10-'минимумы и максимумы'!J$9)*100)</f>
        <v>0</v>
      </c>
      <c r="M11">
        <f>IF('исходные данные'!M11&gt;'минимумы и максимумы'!K$10,100,('исходные данные'!M11-'минимумы и максимумы'!K$9)/('минимумы и максимумы'!K$10-'минимумы и максимумы'!K$9)*100)</f>
        <v>60.714285714285708</v>
      </c>
      <c r="N11">
        <f>IF('исходные данные'!N11&gt;'минимумы и максимумы'!L$10,100,('исходные данные'!N11-'минимумы и максимумы'!L$9)/('минимумы и максимумы'!L$10-'минимумы и максимумы'!L$9)*100)</f>
        <v>17.885559870006936</v>
      </c>
      <c r="O11">
        <f>IF('исходные данные'!O11&gt;'минимумы и максимумы'!M$10,100,('исходные данные'!O11-'минимумы и максимумы'!M$9)/('минимумы и максимумы'!M$10-'минимумы и максимумы'!M$9)*100)</f>
        <v>100</v>
      </c>
      <c r="P11">
        <f>IF('исходные данные'!P11&gt;'минимумы и максимумы'!N$10,100,('исходные данные'!P11-'минимумы и максимумы'!N$9)/('минимумы и максимумы'!N$10-'минимумы и максимумы'!N$9)*100)</f>
        <v>0</v>
      </c>
      <c r="Q11">
        <f>IF('исходные данные'!Q11&gt;'минимумы и максимумы'!O$10,100,('исходные данные'!Q11-'минимумы и максимумы'!O$9)/('минимумы и максимумы'!O$10-'минимумы и максимумы'!O$9)*100)</f>
        <v>100</v>
      </c>
      <c r="R11">
        <f>IF('исходные данные'!R11&gt;'минимумы и максимумы'!P$10,100,('исходные данные'!R11-'минимумы и максимумы'!P$9)/('минимумы и максимумы'!P$10-'минимумы и максимумы'!P$9)*100)</f>
        <v>75</v>
      </c>
      <c r="S11">
        <f>IF('исходные данные'!S11&gt;'минимумы и максимумы'!Q$10,100,('исходные данные'!S11-'минимумы и максимумы'!Q$9)/('минимумы и максимумы'!Q$10-'минимумы и максимумы'!Q$9)*100)</f>
        <v>66.666666666666657</v>
      </c>
      <c r="T11">
        <f>IF('исходные данные'!T11&gt;'минимумы и максимумы'!R$10,100,('исходные данные'!T11-'минимумы и максимумы'!R$9)/('минимумы и максимумы'!R$10-'минимумы и максимумы'!R$9)*100)</f>
        <v>26.783659378596088</v>
      </c>
      <c r="U11">
        <f>IF('исходные данные'!U11&gt;'минимумы и максимумы'!S$10,100,('исходные данные'!U11-'минимумы и максимумы'!S$9)/('минимумы и максимумы'!S$10-'минимумы и максимумы'!S$9)*100)</f>
        <v>0</v>
      </c>
    </row>
    <row r="12" spans="1:21" x14ac:dyDescent="0.45">
      <c r="A12" s="4">
        <v>27</v>
      </c>
      <c r="B12" s="4">
        <v>1</v>
      </c>
      <c r="C12" s="4">
        <v>0</v>
      </c>
      <c r="D12">
        <f>IF('исходные данные'!D12&gt;'минимумы и максимумы'!B$10,100,('исходные данные'!D12-'минимумы и максимумы'!B$9)/('минимумы и максимумы'!B$10-'минимумы и максимумы'!B$9)*100)</f>
        <v>44.444444444444443</v>
      </c>
      <c r="E12">
        <f>IF('исходные данные'!E12&gt;'минимумы и максимумы'!C$10,100,('исходные данные'!E12-'минимумы и максимумы'!C$9)/('минимумы и максимумы'!C$10-'минимумы и максимумы'!C$9)*100)</f>
        <v>60</v>
      </c>
      <c r="F12">
        <f>IF('исходные данные'!F12&gt;'минимумы и максимумы'!D$10,100,('исходные данные'!F12-'минимумы и максимумы'!D$9)/('минимумы и максимумы'!D$10-'минимумы и максимумы'!D$9)*100)</f>
        <v>33.333333333333329</v>
      </c>
      <c r="G12">
        <f>IF('исходные данные'!G12&gt;'минимумы и максимумы'!E$10,100,('исходные данные'!G12-'минимумы и максимумы'!E$9)/('минимумы и максимумы'!E$10-'минимумы и максимумы'!E$9)*100)</f>
        <v>83.333333333333343</v>
      </c>
      <c r="H12">
        <f>IF('исходные данные'!H12&gt;'минимумы и максимумы'!F$10,100,('исходные данные'!H12-'минимумы и максимумы'!F$9)/('минимумы и максимумы'!F$10-'минимумы и максимумы'!F$9)*100)</f>
        <v>68.965517241379317</v>
      </c>
      <c r="I12">
        <f>IF('исходные данные'!I12&gt;'минимумы и максимумы'!G$10,100,('исходные данные'!I12-'минимумы и максимумы'!G$9)/('минимумы и максимумы'!G$10-'минимумы и максимумы'!G$9)*100)</f>
        <v>84.905660377358487</v>
      </c>
      <c r="J12">
        <f>IF('исходные данные'!J12&gt;'минимумы и максимумы'!H$10,100,('исходные данные'!J12-'минимумы и максимумы'!H$9)/('минимумы и максимумы'!H$10-'минимумы и максимумы'!H$9)*100)</f>
        <v>86.666666666666671</v>
      </c>
      <c r="K12">
        <f>IF('исходные данные'!K12&gt;'минимумы и максимумы'!I$10,100,('исходные данные'!K12-'минимумы и максимумы'!I$9)/('минимумы и максимумы'!I$10-'минимумы и максимумы'!I$9)*100)</f>
        <v>27.777777777777779</v>
      </c>
      <c r="L12">
        <f>IF('исходные данные'!L12&gt;'минимумы и максимумы'!J$10,100,('исходные данные'!L12-'минимумы и максимумы'!J$9)/('минимумы и максимумы'!J$10-'минимумы и максимумы'!J$9)*100)</f>
        <v>71.428571428571431</v>
      </c>
      <c r="M12">
        <f>IF('исходные данные'!M12&gt;'минимумы и максимумы'!K$10,100,('исходные данные'!M12-'минимумы и максимумы'!K$9)/('минимумы и максимумы'!K$10-'минимумы и максимумы'!K$9)*100)</f>
        <v>60.714285714285708</v>
      </c>
      <c r="N12">
        <f>IF('исходные данные'!N12&gt;'минимумы и максимумы'!L$10,100,('исходные данные'!N12-'минимумы и максимумы'!L$9)/('минимумы и максимумы'!L$10-'минимумы и максимумы'!L$9)*100)</f>
        <v>14.867055899690262</v>
      </c>
      <c r="O12">
        <f>IF('исходные данные'!O12&gt;'минимумы и максимумы'!M$10,100,('исходные данные'!O12-'минимумы и максимумы'!M$9)/('минимумы и максимумы'!M$10-'минимумы и максимумы'!M$9)*100)</f>
        <v>66.666666666666657</v>
      </c>
      <c r="P12">
        <f>IF('исходные данные'!P12&gt;'минимумы и максимумы'!N$10,100,('исходные данные'!P12-'минимумы и максимумы'!N$9)/('минимумы и максимумы'!N$10-'минимумы и максимумы'!N$9)*100)</f>
        <v>100</v>
      </c>
      <c r="Q12">
        <f>IF('исходные данные'!Q12&gt;'минимумы и максимумы'!O$10,100,('исходные данные'!Q12-'минимумы и максимумы'!O$9)/('минимумы и максимумы'!O$10-'минимумы и максимумы'!O$9)*100)</f>
        <v>100</v>
      </c>
      <c r="R12">
        <f>IF('исходные данные'!R12&gt;'минимумы и максимумы'!P$10,100,('исходные данные'!R12-'минимумы и максимумы'!P$9)/('минимумы и максимумы'!P$10-'минимумы и максимумы'!P$9)*100)</f>
        <v>100</v>
      </c>
      <c r="S12">
        <f>IF('исходные данные'!S12&gt;'минимумы и максимумы'!Q$10,100,('исходные данные'!S12-'минимумы и максимумы'!Q$9)/('минимумы и максимумы'!Q$10-'минимумы и максимумы'!Q$9)*100)</f>
        <v>33.333333333333329</v>
      </c>
      <c r="T12">
        <f>IF('исходные данные'!T12&gt;'минимумы и максимумы'!R$10,100,('исходные данные'!T12-'минимумы и максимумы'!R$9)/('минимумы и максимумы'!R$10-'минимумы и максимумы'!R$9)*100)</f>
        <v>7.8826237054085162</v>
      </c>
      <c r="U12">
        <f>IF('исходные данные'!U12&gt;'минимумы и максимумы'!S$10,100,('исходные данные'!U12-'минимумы и максимумы'!S$9)/('минимумы и максимумы'!S$10-'минимумы и максимумы'!S$9)*100)</f>
        <v>33.333333333333329</v>
      </c>
    </row>
    <row r="13" spans="1:21" x14ac:dyDescent="0.45">
      <c r="A13" s="4">
        <v>29</v>
      </c>
      <c r="B13" s="4">
        <v>0</v>
      </c>
      <c r="C13" s="4">
        <v>0</v>
      </c>
      <c r="D13">
        <f>IF('исходные данные'!D13&gt;'минимумы и максимумы'!B$10,100,('исходные данные'!D13-'минимумы и максимумы'!B$9)/('минимумы и максимумы'!B$10-'минимумы и максимумы'!B$9)*100)</f>
        <v>77.777777777777786</v>
      </c>
      <c r="E13">
        <f>IF('исходные данные'!E13&gt;'минимумы и максимумы'!C$10,100,('исходные данные'!E13-'минимумы и максимумы'!C$9)/('минимумы и максимумы'!C$10-'минимумы и максимумы'!C$9)*100)</f>
        <v>50</v>
      </c>
      <c r="F13">
        <f>IF('исходные данные'!F13&gt;'минимумы и максимумы'!D$10,100,('исходные данные'!F13-'минимумы и максимумы'!D$9)/('минимумы и максимумы'!D$10-'минимумы и максимумы'!D$9)*100)</f>
        <v>66.666666666666657</v>
      </c>
      <c r="G13">
        <f>IF('исходные данные'!G13&gt;'минимумы и максимумы'!E$10,100,('исходные данные'!G13-'минимумы и максимумы'!E$9)/('минимумы и максимумы'!E$10-'минимумы и максимумы'!E$9)*100)</f>
        <v>58.333333333333336</v>
      </c>
      <c r="H13">
        <f>IF('исходные данные'!H13&gt;'минимумы и максимумы'!F$10,100,('исходные данные'!H13-'минимумы и максимумы'!F$9)/('минимумы и максимумы'!F$10-'минимумы и максимумы'!F$9)*100)</f>
        <v>55.172413793103445</v>
      </c>
      <c r="I13">
        <f>IF('исходные данные'!I13&gt;'минимумы и максимумы'!G$10,100,('исходные данные'!I13-'минимумы и максимумы'!G$9)/('минимумы и максимумы'!G$10-'минимумы и максимумы'!G$9)*100)</f>
        <v>94.339622641509436</v>
      </c>
      <c r="J13">
        <f>IF('исходные данные'!J13&gt;'минимумы и максимумы'!H$10,100,('исходные данные'!J13-'минимумы и максимумы'!H$9)/('минимумы и максимумы'!H$10-'минимумы и максимумы'!H$9)*100)</f>
        <v>100</v>
      </c>
      <c r="K13">
        <f>IF('исходные данные'!K13&gt;'минимумы и максимумы'!I$10,100,('исходные данные'!K13-'минимумы и максимумы'!I$9)/('минимумы и максимумы'!I$10-'минимумы и максимумы'!I$9)*100)</f>
        <v>72.222222222222214</v>
      </c>
      <c r="L13">
        <f>IF('исходные данные'!L13&gt;'минимумы и максимумы'!J$10,100,('исходные данные'!L13-'минимумы и максимумы'!J$9)/('минимумы и максимумы'!J$10-'минимумы и максимумы'!J$9)*100)</f>
        <v>50</v>
      </c>
      <c r="M13">
        <f>IF('исходные данные'!M13&gt;'минимумы и максимумы'!K$10,100,('исходные данные'!M13-'минимумы и максимумы'!K$9)/('минимумы и максимумы'!K$10-'минимумы и максимумы'!K$9)*100)</f>
        <v>71.428571428571431</v>
      </c>
      <c r="N13">
        <f>IF('исходные данные'!N13&gt;'минимумы и максимумы'!L$10,100,('исходные данные'!N13-'минимумы и максимумы'!L$9)/('минимумы и максимумы'!L$10-'минимумы и максимумы'!L$9)*100)</f>
        <v>12.122567147717417</v>
      </c>
      <c r="O13">
        <f>IF('исходные данные'!O13&gt;'минимумы и максимумы'!M$10,100,('исходные данные'!O13-'минимумы и максимумы'!M$9)/('минимумы и максимумы'!M$10-'минимумы и максимумы'!M$9)*100)</f>
        <v>66.666666666666657</v>
      </c>
      <c r="P13">
        <f>IF('исходные данные'!P13&gt;'минимумы и максимумы'!N$10,100,('исходные данные'!P13-'минимумы и максимумы'!N$9)/('минимумы и максимумы'!N$10-'минимумы и максимумы'!N$9)*100)</f>
        <v>100</v>
      </c>
      <c r="Q13">
        <f>IF('исходные данные'!Q13&gt;'минимумы и максимумы'!O$10,100,('исходные данные'!Q13-'минимумы и максимумы'!O$9)/('минимумы и максимумы'!O$10-'минимумы и максимумы'!O$9)*100)</f>
        <v>100</v>
      </c>
      <c r="R13">
        <f>IF('исходные данные'!R13&gt;'минимумы и максимумы'!P$10,100,('исходные данные'!R13-'минимумы и максимумы'!P$9)/('минимумы и максимумы'!P$10-'минимумы и максимумы'!P$9)*100)</f>
        <v>100</v>
      </c>
      <c r="S13">
        <f>IF('исходные данные'!S13&gt;'минимумы и максимумы'!Q$10,100,('исходные данные'!S13-'минимумы и максимумы'!Q$9)/('минимумы и максимумы'!Q$10-'минимумы и максимумы'!Q$9)*100)</f>
        <v>33.333333333333329</v>
      </c>
      <c r="T13">
        <f>IF('исходные данные'!T13&gt;'минимумы и максимумы'!R$10,100,('исходные данные'!T13-'минимумы и максимумы'!R$9)/('минимумы и максимумы'!R$10-'минимумы и максимумы'!R$9)*100)</f>
        <v>11.018411967779057</v>
      </c>
      <c r="U13">
        <f>IF('исходные данные'!U13&gt;'минимумы и максимумы'!S$10,100,('исходные данные'!U13-'минимумы и максимумы'!S$9)/('минимумы и максимумы'!S$10-'минимумы и максимумы'!S$9)*100)</f>
        <v>66.666666666666657</v>
      </c>
    </row>
    <row r="14" spans="1:21" x14ac:dyDescent="0.45">
      <c r="A14" s="4">
        <v>30</v>
      </c>
      <c r="B14" s="4">
        <v>1</v>
      </c>
      <c r="C14" s="4">
        <v>0</v>
      </c>
      <c r="D14">
        <f>IF('исходные данные'!D14&gt;'минимумы и максимумы'!B$10,100,('исходные данные'!D14-'минимумы и максимумы'!B$9)/('минимумы и максимумы'!B$10-'минимумы и максимумы'!B$9)*100)</f>
        <v>77.777777777777786</v>
      </c>
      <c r="E14">
        <f>IF('исходные данные'!E14&gt;'минимумы и максимумы'!C$10,100,('исходные данные'!E14-'минимумы и максимумы'!C$9)/('минимумы и максимумы'!C$10-'минимумы и максимумы'!C$9)*100)</f>
        <v>50</v>
      </c>
      <c r="F14">
        <f>IF('исходные данные'!F14&gt;'минимумы и максимумы'!D$10,100,('исходные данные'!F14-'минимумы и максимумы'!D$9)/('минимумы и максимумы'!D$10-'минимумы и максимумы'!D$9)*100)</f>
        <v>66.666666666666657</v>
      </c>
      <c r="G14">
        <f>IF('исходные данные'!G14&gt;'минимумы и максимумы'!E$10,100,('исходные данные'!G14-'минимумы и максимумы'!E$9)/('минимумы и максимумы'!E$10-'минимумы и максимумы'!E$9)*100)</f>
        <v>58.333333333333336</v>
      </c>
      <c r="H14">
        <f>IF('исходные данные'!H14&gt;'минимумы и максимумы'!F$10,100,('исходные данные'!H14-'минимумы и максимумы'!F$9)/('минимумы и максимумы'!F$10-'минимумы и максимумы'!F$9)*100)</f>
        <v>55.172413793103445</v>
      </c>
      <c r="I14">
        <f>IF('исходные данные'!I14&gt;'минимумы и максимумы'!G$10,100,('исходные данные'!I14-'минимумы и максимумы'!G$9)/('минимумы и максимумы'!G$10-'минимумы и максимумы'!G$9)*100)</f>
        <v>94.339622641509436</v>
      </c>
      <c r="J14">
        <f>IF('исходные данные'!J14&gt;'минимумы и максимумы'!H$10,100,('исходные данные'!J14-'минимумы и максимумы'!H$9)/('минимумы и максимумы'!H$10-'минимумы и максимумы'!H$9)*100)</f>
        <v>100</v>
      </c>
      <c r="K14">
        <f>IF('исходные данные'!K14&gt;'минимумы и максимумы'!I$10,100,('исходные данные'!K14-'минимумы и максимумы'!I$9)/('минимумы и максимумы'!I$10-'минимумы и максимумы'!I$9)*100)</f>
        <v>72.222222222222214</v>
      </c>
      <c r="L14">
        <f>IF('исходные данные'!L14&gt;'минимумы и максимумы'!J$10,100,('исходные данные'!L14-'минимумы и максимумы'!J$9)/('минимумы и максимумы'!J$10-'минимумы и максимумы'!J$9)*100)</f>
        <v>50</v>
      </c>
      <c r="M14">
        <f>IF('исходные данные'!M14&gt;'минимумы и максимумы'!K$10,100,('исходные данные'!M14-'минимумы и максимумы'!K$9)/('минимумы и максимумы'!K$10-'минимумы и максимумы'!K$9)*100)</f>
        <v>71.428571428571431</v>
      </c>
      <c r="N14">
        <f>IF('исходные данные'!N14&gt;'минимумы и максимумы'!L$10,100,('исходные данные'!N14-'минимумы и максимумы'!L$9)/('минимумы и максимумы'!L$10-'минимумы и максимумы'!L$9)*100)</f>
        <v>12.538083562620431</v>
      </c>
      <c r="O14">
        <f>IF('исходные данные'!O14&gt;'минимумы и максимумы'!M$10,100,('исходные данные'!O14-'минимумы и максимумы'!M$9)/('минимумы и максимумы'!M$10-'минимумы и максимумы'!M$9)*100)</f>
        <v>66.666666666666657</v>
      </c>
      <c r="P14">
        <f>IF('исходные данные'!P14&gt;'минимумы и максимумы'!N$10,100,('исходные данные'!P14-'минимумы и максимумы'!N$9)/('минимумы и максимумы'!N$10-'минимумы и максимумы'!N$9)*100)</f>
        <v>0</v>
      </c>
      <c r="Q14">
        <f>IF('исходные данные'!Q14&gt;'минимумы и максимумы'!O$10,100,('исходные данные'!Q14-'минимумы и максимумы'!O$9)/('минимумы и максимумы'!O$10-'минимумы и максимумы'!O$9)*100)</f>
        <v>100</v>
      </c>
      <c r="R14">
        <f>IF('исходные данные'!R14&gt;'минимумы и максимумы'!P$10,100,('исходные данные'!R14-'минимумы и максимумы'!P$9)/('минимумы и максимумы'!P$10-'минимумы и максимумы'!P$9)*100)</f>
        <v>100</v>
      </c>
      <c r="S14">
        <f>IF('исходные данные'!S14&gt;'минимумы и максимумы'!Q$10,100,('исходные данные'!S14-'минимумы и максимумы'!Q$9)/('минимумы и максимумы'!Q$10-'минимумы и максимумы'!Q$9)*100)</f>
        <v>66.666666666666657</v>
      </c>
      <c r="T14">
        <f>IF('исходные данные'!T14&gt;'минимумы и максимумы'!R$10,100,('исходные данные'!T14-'минимумы и максимумы'!R$9)/('минимумы и максимумы'!R$10-'минимумы и максимумы'!R$9)*100)</f>
        <v>30.350978135788264</v>
      </c>
      <c r="U14">
        <f>IF('исходные данные'!U14&gt;'минимумы и максимумы'!S$10,100,('исходные данные'!U14-'минимумы и максимумы'!S$9)/('минимумы и максимумы'!S$10-'минимумы и максимумы'!S$9)*100)</f>
        <v>66.666666666666657</v>
      </c>
    </row>
    <row r="15" spans="1:21" x14ac:dyDescent="0.45">
      <c r="A15" s="4">
        <v>31</v>
      </c>
      <c r="B15" s="4">
        <v>0</v>
      </c>
      <c r="C15" s="4">
        <v>0</v>
      </c>
      <c r="D15">
        <f>IF('исходные данные'!D15&gt;'минимумы и максимумы'!B$10,100,('исходные данные'!D15-'минимумы и максимумы'!B$9)/('минимумы и максимумы'!B$10-'минимумы и максимумы'!B$9)*100)</f>
        <v>77.777777777777786</v>
      </c>
      <c r="E15">
        <f>IF('исходные данные'!E15&gt;'минимумы и максимумы'!C$10,100,('исходные данные'!E15-'минимумы и максимумы'!C$9)/('минимумы и максимумы'!C$10-'минимумы и максимумы'!C$9)*100)</f>
        <v>50</v>
      </c>
      <c r="F15">
        <f>IF('исходные данные'!F15&gt;'минимумы и максимумы'!D$10,100,('исходные данные'!F15-'минимумы и максимумы'!D$9)/('минимумы и максимумы'!D$10-'минимумы и максимумы'!D$9)*100)</f>
        <v>66.666666666666657</v>
      </c>
      <c r="G15">
        <f>IF('исходные данные'!G15&gt;'минимумы и максимумы'!E$10,100,('исходные данные'!G15-'минимумы и максимумы'!E$9)/('минимумы и максимумы'!E$10-'минимумы и максимумы'!E$9)*100)</f>
        <v>91.666666666666657</v>
      </c>
      <c r="H15">
        <f>IF('исходные данные'!H15&gt;'минимумы и максимумы'!F$10,100,('исходные данные'!H15-'минимумы и максимумы'!F$9)/('минимумы и максимумы'!F$10-'минимумы и максимумы'!F$9)*100)</f>
        <v>86.206896551724128</v>
      </c>
      <c r="I15">
        <f>IF('исходные данные'!I15&gt;'минимумы и максимумы'!G$10,100,('исходные данные'!I15-'минимумы и максимумы'!G$9)/('минимумы и максимумы'!G$10-'минимумы и максимумы'!G$9)*100)</f>
        <v>100</v>
      </c>
      <c r="J15">
        <f>IF('исходные данные'!J15&gt;'минимумы и максимумы'!H$10,100,('исходные данные'!J15-'минимумы и максимумы'!H$9)/('минимумы и максимумы'!H$10-'минимумы и максимумы'!H$9)*100)</f>
        <v>100</v>
      </c>
      <c r="K15">
        <f>IF('исходные данные'!K15&gt;'минимумы и максимумы'!I$10,100,('исходные данные'!K15-'минимумы и максимумы'!I$9)/('минимумы и максимумы'!I$10-'минимумы и максимумы'!I$9)*100)</f>
        <v>61.111111111111114</v>
      </c>
      <c r="L15">
        <f>IF('исходные данные'!L15&gt;'минимумы и максимумы'!J$10,100,('исходные данные'!L15-'минимумы и максимумы'!J$9)/('минимумы и максимумы'!J$10-'минимумы и максимумы'!J$9)*100)</f>
        <v>100</v>
      </c>
      <c r="M15">
        <f>IF('исходные данные'!M15&gt;'минимумы и максимумы'!K$10,100,('исходные данные'!M15-'минимумы и максимумы'!K$9)/('минимумы и максимумы'!K$10-'минимумы и максимумы'!K$9)*100)</f>
        <v>85.714285714285708</v>
      </c>
      <c r="N15">
        <f>IF('исходные данные'!N15&gt;'минимумы и максимумы'!L$10,100,('исходные данные'!N15-'минимумы и максимумы'!L$9)/('минимумы и максимумы'!L$10-'минимумы и максимумы'!L$9)*100)</f>
        <v>11.934284414358332</v>
      </c>
      <c r="O15">
        <f>IF('исходные данные'!O15&gt;'минимумы и максимумы'!M$10,100,('исходные данные'!O15-'минимумы и максимумы'!M$9)/('минимумы и максимумы'!M$10-'минимумы и максимумы'!M$9)*100)</f>
        <v>33.333333333333329</v>
      </c>
      <c r="P15">
        <f>IF('исходные данные'!P15&gt;'минимумы и максимумы'!N$10,100,('исходные данные'!P15-'минимумы и максимумы'!N$9)/('минимумы и максимумы'!N$10-'минимумы и максимумы'!N$9)*100)</f>
        <v>100</v>
      </c>
      <c r="Q15">
        <f>IF('исходные данные'!Q15&gt;'минимумы и максимумы'!O$10,100,('исходные данные'!Q15-'минимумы и максимумы'!O$9)/('минимумы и максимумы'!O$10-'минимумы и максимумы'!O$9)*100)</f>
        <v>100</v>
      </c>
      <c r="R15">
        <f>IF('исходные данные'!R15&gt;'минимумы и максимумы'!P$10,100,('исходные данные'!R15-'минимумы и максимумы'!P$9)/('минимумы и максимумы'!P$10-'минимумы и максимумы'!P$9)*100)</f>
        <v>100</v>
      </c>
      <c r="S15">
        <f>IF('исходные данные'!S15&gt;'минимумы и максимумы'!Q$10,100,('исходные данные'!S15-'минимумы и максимумы'!Q$9)/('минимумы и максимумы'!Q$10-'минимумы и максимумы'!Q$9)*100)</f>
        <v>33.333333333333329</v>
      </c>
      <c r="T15">
        <f>IF('исходные данные'!T15&gt;'минимумы и максимумы'!R$10,100,('исходные данные'!T15-'минимумы и максимумы'!R$9)/('минимумы и максимумы'!R$10-'минимумы и максимумы'!R$9)*100)</f>
        <v>7.1921749136939006</v>
      </c>
      <c r="U15">
        <f>IF('исходные данные'!U15&gt;'минимумы и максимумы'!S$10,100,('исходные данные'!U15-'минимумы и максимумы'!S$9)/('минимумы и максимумы'!S$10-'минимумы и максимумы'!S$9)*100)</f>
        <v>0</v>
      </c>
    </row>
    <row r="16" spans="1:21" x14ac:dyDescent="0.45">
      <c r="A16" s="4">
        <v>32</v>
      </c>
      <c r="B16" s="4">
        <v>0</v>
      </c>
      <c r="C16" s="4">
        <v>0</v>
      </c>
      <c r="D16">
        <f>IF('исходные данные'!D16&gt;'минимумы и максимумы'!B$10,100,('исходные данные'!D16-'минимумы и максимумы'!B$9)/('минимумы и максимумы'!B$10-'минимумы и максимумы'!B$9)*100)</f>
        <v>77.777777777777786</v>
      </c>
      <c r="E16">
        <f>IF('исходные данные'!E16&gt;'минимумы и максимумы'!C$10,100,('исходные данные'!E16-'минимумы и максимумы'!C$9)/('минимумы и максимумы'!C$10-'минимумы и максимумы'!C$9)*100)</f>
        <v>30</v>
      </c>
      <c r="F16">
        <f>IF('исходные данные'!F16&gt;'минимумы и максимумы'!D$10,100,('исходные данные'!F16-'минимумы и максимумы'!D$9)/('минимумы и максимумы'!D$10-'минимумы и максимумы'!D$9)*100)</f>
        <v>66.666666666666657</v>
      </c>
      <c r="G16">
        <f>IF('исходные данные'!G16&gt;'минимумы и максимумы'!E$10,100,('исходные данные'!G16-'минимумы и максимумы'!E$9)/('минимумы и максимумы'!E$10-'минимумы и максимумы'!E$9)*100)</f>
        <v>75</v>
      </c>
      <c r="H16">
        <f>IF('исходные данные'!H16&gt;'минимумы и максимумы'!F$10,100,('исходные данные'!H16-'минимумы и максимумы'!F$9)/('минимумы и максимумы'!F$10-'минимумы и максимумы'!F$9)*100)</f>
        <v>62.068965517241381</v>
      </c>
      <c r="I16">
        <f>IF('исходные данные'!I16&gt;'минимумы и максимумы'!G$10,100,('исходные данные'!I16-'минимумы и максимумы'!G$9)/('минимумы и максимумы'!G$10-'минимумы и максимумы'!G$9)*100)</f>
        <v>100</v>
      </c>
      <c r="J16">
        <f>IF('исходные данные'!J16&gt;'минимумы и максимумы'!H$10,100,('исходные данные'!J16-'минимумы и максимумы'!H$9)/('минимумы и максимумы'!H$10-'минимумы и максимумы'!H$9)*100)</f>
        <v>100</v>
      </c>
      <c r="K16">
        <f>IF('исходные данные'!K16&gt;'минимумы и максимумы'!I$10,100,('исходные данные'!K16-'минимумы и максимумы'!I$9)/('минимумы и максимумы'!I$10-'минимумы и максимумы'!I$9)*100)</f>
        <v>33.333333333333329</v>
      </c>
      <c r="L16">
        <f>IF('исходные данные'!L16&gt;'минимумы и максимумы'!J$10,100,('исходные данные'!L16-'минимумы и максимумы'!J$9)/('минимумы и максимумы'!J$10-'минимумы и максимумы'!J$9)*100)</f>
        <v>50</v>
      </c>
      <c r="M16">
        <f>IF('исходные данные'!M16&gt;'минимумы и максимумы'!K$10,100,('исходные данные'!M16-'минимумы и максимумы'!K$9)/('минимумы и максимумы'!K$10-'минимумы и максимумы'!K$9)*100)</f>
        <v>67.857142857142861</v>
      </c>
      <c r="N16">
        <f>IF('исходные данные'!N16&gt;'минимумы и максимумы'!L$10,100,('исходные данные'!N16-'минимумы и максимумы'!L$9)/('минимумы и максимумы'!L$10-'минимумы и максимумы'!L$9)*100)</f>
        <v>10.848817442712273</v>
      </c>
      <c r="O16">
        <f>IF('исходные данные'!O16&gt;'минимумы и максимумы'!M$10,100,('исходные данные'!O16-'минимумы и максимумы'!M$9)/('минимумы и максимумы'!M$10-'минимумы и максимумы'!M$9)*100)</f>
        <v>66.666666666666657</v>
      </c>
      <c r="P16">
        <f>IF('исходные данные'!P16&gt;'минимумы и максимумы'!N$10,100,('исходные данные'!P16-'минимумы и максимумы'!N$9)/('минимумы и максимумы'!N$10-'минимумы и максимумы'!N$9)*100)</f>
        <v>0</v>
      </c>
      <c r="Q16">
        <f>IF('исходные данные'!Q16&gt;'минимумы и максимумы'!O$10,100,('исходные данные'!Q16-'минимумы и максимумы'!O$9)/('минимумы и максимумы'!O$10-'минимумы и максимумы'!O$9)*100)</f>
        <v>100</v>
      </c>
      <c r="R16">
        <f>IF('исходные данные'!R16&gt;'минимумы и максимумы'!P$10,100,('исходные данные'!R16-'минимумы и максимумы'!P$9)/('минимумы и максимумы'!P$10-'минимумы и максимумы'!P$9)*100)</f>
        <v>75</v>
      </c>
      <c r="S16">
        <f>IF('исходные данные'!S16&gt;'минимумы и максимумы'!Q$10,100,('исходные данные'!S16-'минимумы и максимумы'!Q$9)/('минимумы и максимумы'!Q$10-'минимумы и максимумы'!Q$9)*100)</f>
        <v>33.333333333333329</v>
      </c>
      <c r="T16">
        <f>IF('исходные данные'!T16&gt;'минимумы и максимумы'!R$10,100,('исходные данные'!T16-'минимумы и максимумы'!R$9)/('минимумы и максимумы'!R$10-'минимумы и максимумы'!R$9)*100)</f>
        <v>6.9332566168009198</v>
      </c>
      <c r="U16">
        <f>IF('исходные данные'!U16&gt;'минимумы и максимумы'!S$10,100,('исходные данные'!U16-'минимумы и максимумы'!S$9)/('минимумы и максимумы'!S$10-'минимумы и максимумы'!S$9)*100)</f>
        <v>0</v>
      </c>
    </row>
    <row r="17" spans="1:21" x14ac:dyDescent="0.45">
      <c r="A17" s="4">
        <v>33</v>
      </c>
      <c r="B17" s="4">
        <v>0</v>
      </c>
      <c r="C17" s="4">
        <v>0</v>
      </c>
      <c r="D17">
        <f>IF('исходные данные'!D17&gt;'минимумы и максимумы'!B$10,100,('исходные данные'!D17-'минимумы и максимумы'!B$9)/('минимумы и максимумы'!B$10-'минимумы и максимумы'!B$9)*100)</f>
        <v>55.555555555555557</v>
      </c>
      <c r="E17">
        <f>IF('исходные данные'!E17&gt;'минимумы и максимумы'!C$10,100,('исходные данные'!E17-'минимумы и максимумы'!C$9)/('минимумы и максимумы'!C$10-'минимумы и максимумы'!C$9)*100)</f>
        <v>30</v>
      </c>
      <c r="F17">
        <f>IF('исходные данные'!F17&gt;'минимумы и максимумы'!D$10,100,('исходные данные'!F17-'минимумы и максимумы'!D$9)/('минимумы и максимумы'!D$10-'минимумы и максимумы'!D$9)*100)</f>
        <v>33.333333333333329</v>
      </c>
      <c r="G17">
        <f>IF('исходные данные'!G17&gt;'минимумы и максимумы'!E$10,100,('исходные данные'!G17-'минимумы и максимумы'!E$9)/('минимумы и максимумы'!E$10-'минимумы и максимумы'!E$9)*100)</f>
        <v>50</v>
      </c>
      <c r="H17">
        <f>IF('исходные данные'!H17&gt;'минимумы и максимумы'!F$10,100,('исходные данные'!H17-'минимумы и максимумы'!F$9)/('минимумы и максимумы'!F$10-'минимумы и максимумы'!F$9)*100)</f>
        <v>51.724137931034484</v>
      </c>
      <c r="I17">
        <f>IF('исходные данные'!I17&gt;'минимумы и максимумы'!G$10,100,('исходные данные'!I17-'минимумы и максимумы'!G$9)/('минимумы и максимумы'!G$10-'минимумы и максимумы'!G$9)*100)</f>
        <v>96.226415094339629</v>
      </c>
      <c r="J17">
        <f>IF('исходные данные'!J17&gt;'минимумы и максимумы'!H$10,100,('исходные данные'!J17-'минимумы и максимумы'!H$9)/('минимумы и максимумы'!H$10-'минимумы и максимумы'!H$9)*100)</f>
        <v>100</v>
      </c>
      <c r="K17">
        <f>IF('исходные данные'!K17&gt;'минимумы и максимумы'!I$10,100,('исходные данные'!K17-'минимумы и максимумы'!I$9)/('минимумы и максимумы'!I$10-'минимумы и максимумы'!I$9)*100)</f>
        <v>33.333333333333329</v>
      </c>
      <c r="L17">
        <f>IF('исходные данные'!L17&gt;'минимумы и максимумы'!J$10,100,('исходные данные'!L17-'минимумы и максимумы'!J$9)/('минимумы и максимумы'!J$10-'минимумы и максимумы'!J$9)*100)</f>
        <v>28.571428571428569</v>
      </c>
      <c r="M17">
        <f>IF('исходные данные'!M17&gt;'минимумы и максимумы'!K$10,100,('исходные данные'!M17-'минимумы и максимумы'!K$9)/('минимумы и максимумы'!K$10-'минимумы и максимумы'!K$9)*100)</f>
        <v>60.714285714285708</v>
      </c>
      <c r="N17">
        <f>IF('исходные данные'!N17&gt;'минимумы и максимумы'!L$10,100,('исходные данные'!N17-'минимумы и максимумы'!L$9)/('минимумы и максимумы'!L$10-'минимумы и максимумы'!L$9)*100)</f>
        <v>10.44959192687203</v>
      </c>
      <c r="O17">
        <f>IF('исходные данные'!O17&gt;'минимумы и максимумы'!M$10,100,('исходные данные'!O17-'минимумы и максимумы'!M$9)/('минимумы и максимумы'!M$10-'минимумы и максимумы'!M$9)*100)</f>
        <v>66.666666666666657</v>
      </c>
      <c r="P17">
        <f>IF('исходные данные'!P17&gt;'минимумы и максимумы'!N$10,100,('исходные данные'!P17-'минимумы и максимумы'!N$9)/('минимумы и максимумы'!N$10-'минимумы и максимумы'!N$9)*100)</f>
        <v>0</v>
      </c>
      <c r="Q17">
        <f>IF('исходные данные'!Q17&gt;'минимумы и максимумы'!O$10,100,('исходные данные'!Q17-'минимумы и максимумы'!O$9)/('минимумы и максимумы'!O$10-'минимумы и максимумы'!O$9)*100)</f>
        <v>100</v>
      </c>
      <c r="R17">
        <f>IF('исходные данные'!R17&gt;'минимумы и максимумы'!P$10,100,('исходные данные'!R17-'минимумы и максимумы'!P$9)/('минимумы и максимумы'!P$10-'минимумы и максимумы'!P$9)*100)</f>
        <v>75</v>
      </c>
      <c r="S17">
        <f>IF('исходные данные'!S17&gt;'минимумы и максимумы'!Q$10,100,('исходные данные'!S17-'минимумы и максимумы'!Q$9)/('минимумы и максимумы'!Q$10-'минимумы и максимумы'!Q$9)*100)</f>
        <v>33.333333333333329</v>
      </c>
      <c r="T17">
        <f>IF('исходные данные'!T17&gt;'минимумы и максимумы'!R$10,100,('исходные данные'!T17-'минимумы и максимумы'!R$9)/('минимумы и максимумы'!R$10-'минимумы и максимумы'!R$9)*100)</f>
        <v>4.6892980437284235</v>
      </c>
      <c r="U17">
        <f>IF('исходные данные'!U17&gt;'минимумы и максимумы'!S$10,100,('исходные данные'!U17-'минимумы и максимумы'!S$9)/('минимумы и максимумы'!S$10-'минимумы и максимумы'!S$9)*100)</f>
        <v>0</v>
      </c>
    </row>
    <row r="18" spans="1:21" x14ac:dyDescent="0.45">
      <c r="A18" s="4">
        <v>34</v>
      </c>
      <c r="B18" s="4">
        <v>1</v>
      </c>
      <c r="C18" s="4">
        <v>0</v>
      </c>
      <c r="D18">
        <f>IF('исходные данные'!D18&gt;'минимумы и максимумы'!B$10,100,('исходные данные'!D18-'минимумы и максимумы'!B$9)/('минимумы и максимумы'!B$10-'минимумы и максимумы'!B$9)*100)</f>
        <v>0</v>
      </c>
      <c r="E18">
        <f>IF('исходные данные'!E18&gt;'минимумы и максимумы'!C$10,100,('исходные данные'!E18-'минимумы и максимумы'!C$9)/('минимумы и максимумы'!C$10-'минимумы и максимумы'!C$9)*100)</f>
        <v>50</v>
      </c>
      <c r="F18">
        <f>IF('исходные данные'!F18&gt;'минимумы и максимумы'!D$10,100,('исходные данные'!F18-'минимумы и максимумы'!D$9)/('минимумы и максимумы'!D$10-'минимумы и максимумы'!D$9)*100)</f>
        <v>33.333333333333329</v>
      </c>
      <c r="G18">
        <f>IF('исходные данные'!G18&gt;'минимумы и максимумы'!E$10,100,('исходные данные'!G18-'минимумы и максимумы'!E$9)/('минимумы и максимумы'!E$10-'минимумы и максимумы'!E$9)*100)</f>
        <v>41.666666666666671</v>
      </c>
      <c r="H18">
        <f>IF('исходные данные'!H18&gt;'минимумы и максимумы'!F$10,100,('исходные данные'!H18-'минимумы и максимумы'!F$9)/('минимумы и максимумы'!F$10-'минимумы и максимумы'!F$9)*100)</f>
        <v>37.931034482758619</v>
      </c>
      <c r="I18">
        <f>IF('исходные данные'!I18&gt;'минимумы и максимумы'!G$10,100,('исходные данные'!I18-'минимумы и максимумы'!G$9)/('минимумы и максимумы'!G$10-'минимумы и максимумы'!G$9)*100)</f>
        <v>49.056603773584904</v>
      </c>
      <c r="J18">
        <f>IF('исходные данные'!J18&gt;'минимумы и максимумы'!H$10,100,('исходные данные'!J18-'минимумы и максимумы'!H$9)/('минимумы и максимумы'!H$10-'минимумы и максимумы'!H$9)*100)</f>
        <v>26.666666666666668</v>
      </c>
      <c r="K18">
        <f>IF('исходные данные'!K18&gt;'минимумы и максимумы'!I$10,100,('исходные данные'!K18-'минимумы и максимумы'!I$9)/('минимумы и максимумы'!I$10-'минимумы и максимумы'!I$9)*100)</f>
        <v>100</v>
      </c>
      <c r="L18">
        <f>IF('исходные данные'!L18&gt;'минимумы и максимумы'!J$10,100,('исходные данные'!L18-'минимумы и максимумы'!J$9)/('минимумы и максимумы'!J$10-'минимумы и максимумы'!J$9)*100)</f>
        <v>28.571428571428569</v>
      </c>
      <c r="M18">
        <f>IF('исходные данные'!M18&gt;'минимумы и максимумы'!K$10,100,('исходные данные'!M18-'минимумы и максимумы'!K$9)/('минимумы и максимумы'!K$10-'минимумы и максимумы'!K$9)*100)</f>
        <v>25</v>
      </c>
      <c r="N18">
        <f>IF('исходные данные'!N18&gt;'минимумы и максимумы'!L$10,100,('исходные данные'!N18-'минимумы и максимумы'!L$9)/('минимумы и максимумы'!L$10-'минимумы и максимумы'!L$9)*100)</f>
        <v>14.187447406466545</v>
      </c>
      <c r="O18">
        <f>IF('исходные данные'!O18&gt;'минимумы и максимумы'!M$10,100,('исходные данные'!O18-'минимумы и максимумы'!M$9)/('минимумы и максимумы'!M$10-'минимумы и максимумы'!M$9)*100)</f>
        <v>66.666666666666657</v>
      </c>
      <c r="P18">
        <f>IF('исходные данные'!P18&gt;'минимумы и максимумы'!N$10,100,('исходные данные'!P18-'минимумы и максимумы'!N$9)/('минимумы и максимумы'!N$10-'минимумы и максимумы'!N$9)*100)</f>
        <v>100</v>
      </c>
      <c r="Q18">
        <f>IF('исходные данные'!Q18&gt;'минимумы и максимумы'!O$10,100,('исходные данные'!Q18-'минимумы и максимумы'!O$9)/('минимумы и максимумы'!O$10-'минимумы и максимумы'!O$9)*100)</f>
        <v>100</v>
      </c>
      <c r="R18">
        <f>IF('исходные данные'!R18&gt;'минимумы и максимумы'!P$10,100,('исходные данные'!R18-'минимумы и максимумы'!P$9)/('минимумы и максимумы'!P$10-'минимумы и максимумы'!P$9)*100)</f>
        <v>75</v>
      </c>
      <c r="S18">
        <f>IF('исходные данные'!S18&gt;'минимумы и максимумы'!Q$10,100,('исходные данные'!S18-'минимумы и максимумы'!Q$9)/('минимумы и максимумы'!Q$10-'минимумы и максимумы'!Q$9)*100)</f>
        <v>50</v>
      </c>
      <c r="T18">
        <f>IF('исходные данные'!T18&gt;'минимумы и максимумы'!R$10,100,('исходные данные'!T18-'минимумы и максимумы'!R$9)/('минимумы и максимумы'!R$10-'минимумы и максимумы'!R$9)*100)</f>
        <v>18.613348676639816</v>
      </c>
      <c r="U18">
        <f>IF('исходные данные'!U18&gt;'минимумы и максимумы'!S$10,100,('исходные данные'!U18-'минимумы и максимумы'!S$9)/('минимумы и максимумы'!S$10-'минимумы и максимумы'!S$9)*100)</f>
        <v>66.666666666666657</v>
      </c>
    </row>
    <row r="19" spans="1:21" x14ac:dyDescent="0.45">
      <c r="A19" s="4">
        <v>35</v>
      </c>
      <c r="B19" s="4">
        <v>0</v>
      </c>
      <c r="C19" s="4">
        <v>0</v>
      </c>
      <c r="D19">
        <f>IF('исходные данные'!D19&gt;'минимумы и максимумы'!B$10,100,('исходные данные'!D19-'минимумы и максимумы'!B$9)/('минимумы и максимумы'!B$10-'минимумы и максимумы'!B$9)*100)</f>
        <v>0</v>
      </c>
      <c r="E19">
        <f>IF('исходные данные'!E19&gt;'минимумы и максимумы'!C$10,100,('исходные данные'!E19-'минимумы и максимумы'!C$9)/('минимумы и максимумы'!C$10-'минимумы и максимумы'!C$9)*100)</f>
        <v>50</v>
      </c>
      <c r="F19">
        <f>IF('исходные данные'!F19&gt;'минимумы и максимумы'!D$10,100,('исходные данные'!F19-'минимумы и максимумы'!D$9)/('минимумы и максимумы'!D$10-'минимумы и максимумы'!D$9)*100)</f>
        <v>33.333333333333329</v>
      </c>
      <c r="G19">
        <f>IF('исходные данные'!G19&gt;'минимумы и максимумы'!E$10,100,('исходные данные'!G19-'минимумы и максимумы'!E$9)/('минимумы и максимумы'!E$10-'минимумы и максимумы'!E$9)*100)</f>
        <v>41.666666666666671</v>
      </c>
      <c r="H19">
        <f>IF('исходные данные'!H19&gt;'минимумы и максимумы'!F$10,100,('исходные данные'!H19-'минимумы и максимумы'!F$9)/('минимумы и максимумы'!F$10-'минимумы и максимумы'!F$9)*100)</f>
        <v>37.931034482758619</v>
      </c>
      <c r="I19">
        <f>IF('исходные данные'!I19&gt;'минимумы и максимумы'!G$10,100,('исходные данные'!I19-'минимумы и максимумы'!G$9)/('минимумы и максимумы'!G$10-'минимумы и максимумы'!G$9)*100)</f>
        <v>49.056603773584904</v>
      </c>
      <c r="J19">
        <f>IF('исходные данные'!J19&gt;'минимумы и максимумы'!H$10,100,('исходные данные'!J19-'минимумы и максимумы'!H$9)/('минимумы и максимумы'!H$10-'минимумы и максимумы'!H$9)*100)</f>
        <v>26.666666666666668</v>
      </c>
      <c r="K19">
        <f>IF('исходные данные'!K19&gt;'минимумы и максимумы'!I$10,100,('исходные данные'!K19-'минимумы и максимумы'!I$9)/('минимумы и максимумы'!I$10-'минимумы и максимумы'!I$9)*100)</f>
        <v>100</v>
      </c>
      <c r="L19">
        <f>IF('исходные данные'!L19&gt;'минимумы и максимумы'!J$10,100,('исходные данные'!L19-'минимумы и максимумы'!J$9)/('минимумы и максимумы'!J$10-'минимумы и максимумы'!J$9)*100)</f>
        <v>28.571428571428569</v>
      </c>
      <c r="M19">
        <f>IF('исходные данные'!M19&gt;'минимумы и максимумы'!K$10,100,('исходные данные'!M19-'минимумы и максимумы'!K$9)/('минимумы и максимумы'!K$10-'минимумы и максимумы'!K$9)*100)</f>
        <v>25</v>
      </c>
      <c r="N19">
        <f>IF('исходные данные'!N19&gt;'минимумы и максимумы'!L$10,100,('исходные данные'!N19-'минимумы и максимумы'!L$9)/('минимумы и максимумы'!L$10-'минимумы и максимумы'!L$9)*100)</f>
        <v>14.521058270721435</v>
      </c>
      <c r="O19">
        <f>IF('исходные данные'!O19&gt;'минимумы и максимумы'!M$10,100,('исходные данные'!O19-'минимумы и максимумы'!M$9)/('минимумы и максимумы'!M$10-'минимумы и максимумы'!M$9)*100)</f>
        <v>66.666666666666657</v>
      </c>
      <c r="P19">
        <f>IF('исходные данные'!P19&gt;'минимумы и максимумы'!N$10,100,('исходные данные'!P19-'минимумы и максимумы'!N$9)/('минимумы и максимумы'!N$10-'минимумы и максимумы'!N$9)*100)</f>
        <v>100</v>
      </c>
      <c r="Q19">
        <f>IF('исходные данные'!Q19&gt;'минимумы и максимумы'!O$10,100,('исходные данные'!Q19-'минимумы и максимумы'!O$9)/('минимумы и максимумы'!O$10-'минимумы и максимумы'!O$9)*100)</f>
        <v>100</v>
      </c>
      <c r="R19">
        <f>IF('исходные данные'!R19&gt;'минимумы и максимумы'!P$10,100,('исходные данные'!R19-'минимумы и максимумы'!P$9)/('минимумы и максимумы'!P$10-'минимумы и максимумы'!P$9)*100)</f>
        <v>75</v>
      </c>
      <c r="S19">
        <f>IF('исходные данные'!S19&gt;'минимумы и максимумы'!Q$10,100,('исходные данные'!S19-'минимумы и максимумы'!Q$9)/('минимумы и максимумы'!Q$10-'минимумы и максимумы'!Q$9)*100)</f>
        <v>33.333333333333329</v>
      </c>
      <c r="T19">
        <f>IF('исходные данные'!T19&gt;'минимумы и максимумы'!R$10,100,('исходные данные'!T19-'минимумы и максимумы'!R$9)/('минимумы и максимумы'!R$10-'минимумы и максимумы'!R$9)*100)</f>
        <v>4.0851553509781358</v>
      </c>
      <c r="U19">
        <f>IF('исходные данные'!U19&gt;'минимумы и максимумы'!S$10,100,('исходные данные'!U19-'минимумы и максимумы'!S$9)/('минимумы и максимумы'!S$10-'минимумы и максимумы'!S$9)*100)</f>
        <v>0</v>
      </c>
    </row>
    <row r="20" spans="1:21" x14ac:dyDescent="0.45">
      <c r="A20" s="4">
        <v>36</v>
      </c>
      <c r="B20" s="4">
        <v>0</v>
      </c>
      <c r="C20" s="4">
        <v>0</v>
      </c>
      <c r="D20">
        <f>IF('исходные данные'!D20&gt;'минимумы и максимумы'!B$10,100,('исходные данные'!D20-'минимумы и максимумы'!B$9)/('минимумы и максимумы'!B$10-'минимумы и максимумы'!B$9)*100)</f>
        <v>0</v>
      </c>
      <c r="E20">
        <f>IF('исходные данные'!E20&gt;'минимумы и максимумы'!C$10,100,('исходные данные'!E20-'минимумы и максимумы'!C$9)/('минимумы и максимумы'!C$10-'минимумы и максимумы'!C$9)*100)</f>
        <v>40</v>
      </c>
      <c r="F20">
        <f>IF('исходные данные'!F20&gt;'минимумы и максимумы'!D$10,100,('исходные данные'!F20-'минимумы и максимумы'!D$9)/('минимумы и максимумы'!D$10-'минимумы и максимумы'!D$9)*100)</f>
        <v>33.333333333333329</v>
      </c>
      <c r="G20">
        <f>IF('исходные данные'!G20&gt;'минимумы и максимумы'!E$10,100,('исходные данные'!G20-'минимумы и максимумы'!E$9)/('минимумы и максимумы'!E$10-'минимумы и максимумы'!E$9)*100)</f>
        <v>58.333333333333336</v>
      </c>
      <c r="H20">
        <f>IF('исходные данные'!H20&gt;'минимумы и максимумы'!F$10,100,('исходные данные'!H20-'минимумы и максимумы'!F$9)/('минимумы и максимумы'!F$10-'минимумы и максимумы'!F$9)*100)</f>
        <v>48.275862068965516</v>
      </c>
      <c r="I20">
        <f>IF('исходные данные'!I20&gt;'минимумы и максимумы'!G$10,100,('исходные данные'!I20-'минимумы и максимумы'!G$9)/('минимумы и максимумы'!G$10-'минимумы и максимумы'!G$9)*100)</f>
        <v>41.509433962264154</v>
      </c>
      <c r="J20">
        <f>IF('исходные данные'!J20&gt;'минимумы и максимумы'!H$10,100,('исходные данные'!J20-'минимумы и максимумы'!H$9)/('минимумы и максимумы'!H$10-'минимумы и максимумы'!H$9)*100)</f>
        <v>13.333333333333334</v>
      </c>
      <c r="K20">
        <f>IF('исходные данные'!K20&gt;'минимумы и максимумы'!I$10,100,('исходные данные'!K20-'минимумы и максимумы'!I$9)/('минимумы и максимумы'!I$10-'минимумы и максимумы'!I$9)*100)</f>
        <v>100</v>
      </c>
      <c r="L20">
        <f>IF('исходные данные'!L20&gt;'минимумы и максимумы'!J$10,100,('исходные данные'!L20-'минимумы и максимумы'!J$9)/('минимумы и максимумы'!J$10-'минимумы и максимумы'!J$9)*100)</f>
        <v>28.571428571428569</v>
      </c>
      <c r="M20">
        <f>IF('исходные данные'!M20&gt;'минимумы и максимумы'!K$10,100,('исходные данные'!M20-'минимумы и максимумы'!K$9)/('минимумы и максимумы'!K$10-'минимумы и максимумы'!K$9)*100)</f>
        <v>21.428571428571427</v>
      </c>
      <c r="N20">
        <f>IF('исходные данные'!N20&gt;'минимумы и максимумы'!L$10,100,('исходные данные'!N20-'минимумы и максимумы'!L$9)/('минимумы и максимумы'!L$10-'минимумы и максимумы'!L$9)*100)</f>
        <v>14.521058270721435</v>
      </c>
      <c r="O20">
        <f>IF('исходные данные'!O20&gt;'минимумы и максимумы'!M$10,100,('исходные данные'!O20-'минимумы и максимумы'!M$9)/('минимумы и максимумы'!M$10-'минимумы и максимумы'!M$9)*100)</f>
        <v>66.666666666666657</v>
      </c>
      <c r="P20">
        <f>IF('исходные данные'!P20&gt;'минимумы и максимумы'!N$10,100,('исходные данные'!P20-'минимумы и максимумы'!N$9)/('минимумы и максимумы'!N$10-'минимумы и максимумы'!N$9)*100)</f>
        <v>0</v>
      </c>
      <c r="Q20">
        <f>IF('исходные данные'!Q20&gt;'минимумы и максимумы'!O$10,100,('исходные данные'!Q20-'минимумы и максимумы'!O$9)/('минимумы и максимумы'!O$10-'минимумы и максимумы'!O$9)*100)</f>
        <v>100</v>
      </c>
      <c r="R20">
        <f>IF('исходные данные'!R20&gt;'минимумы и максимумы'!P$10,100,('исходные данные'!R20-'минимумы и максимумы'!P$9)/('минимумы и максимумы'!P$10-'минимумы и максимумы'!P$9)*100)</f>
        <v>75</v>
      </c>
      <c r="S20">
        <f>IF('исходные данные'!S20&gt;'минимумы и максимумы'!Q$10,100,('исходные данные'!S20-'минимумы и максимумы'!Q$9)/('минимумы и максимумы'!Q$10-'минимумы и максимумы'!Q$9)*100)</f>
        <v>83.333333333333343</v>
      </c>
      <c r="T20">
        <f>IF('исходные данные'!T20&gt;'минимумы и максимумы'!R$10,100,('исходные данные'!T20-'минимумы и максимумы'!R$9)/('минимумы и максимумы'!R$10-'минимумы и максимумы'!R$9)*100)</f>
        <v>12.715765247410818</v>
      </c>
      <c r="U20">
        <f>IF('исходные данные'!U20&gt;'минимумы и максимумы'!S$10,100,('исходные данные'!U20-'минимумы и максимумы'!S$9)/('минимумы и максимумы'!S$10-'минимумы и максимумы'!S$9)*100)</f>
        <v>0</v>
      </c>
    </row>
    <row r="21" spans="1:21" x14ac:dyDescent="0.45">
      <c r="A21" s="4">
        <v>42</v>
      </c>
      <c r="B21" s="4">
        <v>0</v>
      </c>
      <c r="C21" s="4">
        <v>0</v>
      </c>
      <c r="D21">
        <f>IF('исходные данные'!D21&gt;'минимумы и максимумы'!B$10,100,('исходные данные'!D21-'минимумы и максимумы'!B$9)/('минимумы и максимумы'!B$10-'минимумы и максимумы'!B$9)*100)</f>
        <v>22.222222222222221</v>
      </c>
      <c r="E21">
        <f>IF('исходные данные'!E21&gt;'минимумы и максимумы'!C$10,100,('исходные данные'!E21-'минимумы и максимумы'!C$9)/('минимумы и максимумы'!C$10-'минимумы и максимумы'!C$9)*100)</f>
        <v>30</v>
      </c>
      <c r="F21">
        <f>IF('исходные данные'!F21&gt;'минимумы и максимумы'!D$10,100,('исходные данные'!F21-'минимумы и максимумы'!D$9)/('минимумы и максимумы'!D$10-'минимумы и максимумы'!D$9)*100)</f>
        <v>33.333333333333329</v>
      </c>
      <c r="G21">
        <f>IF('исходные данные'!G21&gt;'минимумы и максимумы'!E$10,100,('исходные данные'!G21-'минимумы и максимумы'!E$9)/('минимумы и максимумы'!E$10-'минимумы и максимумы'!E$9)*100)</f>
        <v>58.333333333333336</v>
      </c>
      <c r="H21">
        <f>IF('исходные данные'!H21&gt;'минимумы и максимумы'!F$10,100,('исходные данные'!H21-'минимумы и максимумы'!F$9)/('минимумы и максимумы'!F$10-'минимумы и максимумы'!F$9)*100)</f>
        <v>37.931034482758619</v>
      </c>
      <c r="I21">
        <f>IF('исходные данные'!I21&gt;'минимумы и максимумы'!G$10,100,('исходные данные'!I21-'минимумы и максимумы'!G$9)/('минимумы и максимумы'!G$10-'минимумы и максимумы'!G$9)*100)</f>
        <v>58.490566037735846</v>
      </c>
      <c r="J21">
        <f>IF('исходные данные'!J21&gt;'минимумы и максимумы'!H$10,100,('исходные данные'!J21-'минимумы и максимумы'!H$9)/('минимумы и максимумы'!H$10-'минимумы и максимумы'!H$9)*100)</f>
        <v>66.666666666666657</v>
      </c>
      <c r="K21">
        <f>IF('исходные данные'!K21&gt;'минимумы и максимумы'!I$10,100,('исходные данные'!K21-'минимумы и максимумы'!I$9)/('минимумы и максимумы'!I$10-'минимумы и максимумы'!I$9)*100)</f>
        <v>44.444444444444443</v>
      </c>
      <c r="L21">
        <f>IF('исходные данные'!L21&gt;'минимумы и максимумы'!J$10,100,('исходные данные'!L21-'минимумы и максимумы'!J$9)/('минимумы и максимумы'!J$10-'минимумы и максимумы'!J$9)*100)</f>
        <v>50</v>
      </c>
      <c r="M21">
        <f>IF('исходные данные'!M21&gt;'минимумы и максимумы'!K$10,100,('исходные данные'!M21-'минимумы и максимумы'!K$9)/('минимумы и максимумы'!K$10-'минимумы и максимумы'!K$9)*100)</f>
        <v>32.142857142857146</v>
      </c>
      <c r="N21">
        <f>IF('исходные данные'!N21&gt;'минимумы и максимумы'!L$10,100,('исходные данные'!N21-'минимумы и максимумы'!L$9)/('минимумы и максимумы'!L$10-'минимумы и максимумы'!L$9)*100)</f>
        <v>15.657557750703969</v>
      </c>
      <c r="O21">
        <f>IF('исходные данные'!O21&gt;'минимумы и максимумы'!M$10,100,('исходные данные'!O21-'минимумы и максимумы'!M$9)/('минимумы и максимумы'!M$10-'минимумы и максимумы'!M$9)*100)</f>
        <v>66.666666666666657</v>
      </c>
      <c r="P21">
        <f>IF('исходные данные'!P21&gt;'минимумы и максимумы'!N$10,100,('исходные данные'!P21-'минимумы и максимумы'!N$9)/('минимумы и максимумы'!N$10-'минимумы и максимумы'!N$9)*100)</f>
        <v>0</v>
      </c>
      <c r="Q21">
        <f>IF('исходные данные'!Q21&gt;'минимумы и максимумы'!O$10,100,('исходные данные'!Q21-'минимумы и максимумы'!O$9)/('минимумы и максимумы'!O$10-'минимумы и максимумы'!O$9)*100)</f>
        <v>100</v>
      </c>
      <c r="R21">
        <f>IF('исходные данные'!R21&gt;'минимумы и максимумы'!P$10,100,('исходные данные'!R21-'минимумы и максимумы'!P$9)/('минимумы и максимумы'!P$10-'минимумы и максимумы'!P$9)*100)</f>
        <v>75</v>
      </c>
      <c r="S21">
        <f>IF('исходные данные'!S21&gt;'минимумы и максимумы'!Q$10,100,('исходные данные'!S21-'минимумы и максимумы'!Q$9)/('минимумы и максимумы'!Q$10-'минимумы и максимумы'!Q$9)*100)</f>
        <v>33.333333333333329</v>
      </c>
      <c r="T21">
        <f>IF('исходные данные'!T21&gt;'минимумы и максимумы'!R$10,100,('исходные данные'!T21-'минимумы и максимумы'!R$9)/('минимумы и максимумы'!R$10-'минимумы и максимумы'!R$9)*100)</f>
        <v>4.1714614499424627</v>
      </c>
      <c r="U21">
        <f>IF('исходные данные'!U21&gt;'минимумы и максимумы'!S$10,100,('исходные данные'!U21-'минимумы и максимумы'!S$9)/('минимумы и максимумы'!S$10-'минимумы и максимумы'!S$9)*100)</f>
        <v>0</v>
      </c>
    </row>
    <row r="22" spans="1:21" x14ac:dyDescent="0.45">
      <c r="A22" s="4">
        <v>43</v>
      </c>
      <c r="B22" s="4">
        <v>1</v>
      </c>
      <c r="C22" s="4">
        <v>0</v>
      </c>
      <c r="D22">
        <f>IF('исходные данные'!D22&gt;'минимумы и максимумы'!B$10,100,('исходные данные'!D22-'минимумы и максимумы'!B$9)/('минимумы и максимумы'!B$10-'минимумы и максимумы'!B$9)*100)</f>
        <v>0</v>
      </c>
      <c r="E22">
        <f>IF('исходные данные'!E22&gt;'минимумы и максимумы'!C$10,100,('исходные данные'!E22-'минимумы и максимумы'!C$9)/('минимумы и максимумы'!C$10-'минимумы и максимумы'!C$9)*100)</f>
        <v>40</v>
      </c>
      <c r="F22">
        <f>IF('исходные данные'!F22&gt;'минимумы и максимумы'!D$10,100,('исходные данные'!F22-'минимумы и максимумы'!D$9)/('минимумы и максимумы'!D$10-'минимумы и максимумы'!D$9)*100)</f>
        <v>33.333333333333329</v>
      </c>
      <c r="G22">
        <f>IF('исходные данные'!G22&gt;'минимумы и максимумы'!E$10,100,('исходные данные'!G22-'минимумы и максимумы'!E$9)/('минимумы и максимумы'!E$10-'минимумы и максимумы'!E$9)*100)</f>
        <v>50</v>
      </c>
      <c r="H22">
        <f>IF('исходные данные'!H22&gt;'минимумы и максимумы'!F$10,100,('исходные данные'!H22-'минимумы и максимумы'!F$9)/('минимумы и максимумы'!F$10-'минимумы и максимумы'!F$9)*100)</f>
        <v>27.586206896551722</v>
      </c>
      <c r="I22">
        <f>IF('исходные данные'!I22&gt;'минимумы и максимумы'!G$10,100,('исходные данные'!I22-'минимумы и максимумы'!G$9)/('минимумы и максимумы'!G$10-'минимумы и максимумы'!G$9)*100)</f>
        <v>24.528301886792452</v>
      </c>
      <c r="J22">
        <f>IF('исходные данные'!J22&gt;'минимумы и максимумы'!H$10,100,('исходные данные'!J22-'минимумы и максимумы'!H$9)/('минимумы и максимумы'!H$10-'минимумы и максимумы'!H$9)*100)</f>
        <v>20</v>
      </c>
      <c r="K22">
        <f>IF('исходные данные'!K22&gt;'минимумы и максимумы'!I$10,100,('исходные данные'!K22-'минимумы и максимумы'!I$9)/('минимумы и максимумы'!I$10-'минимумы и максимумы'!I$9)*100)</f>
        <v>50</v>
      </c>
      <c r="L22">
        <f>IF('исходные данные'!L22&gt;'минимумы и максимумы'!J$10,100,('исходные данные'!L22-'минимумы и максимумы'!J$9)/('минимумы и максимумы'!J$10-'минимумы и максимумы'!J$9)*100)</f>
        <v>0</v>
      </c>
      <c r="M22">
        <f>IF('исходные данные'!M22&gt;'минимумы и максимумы'!K$10,100,('исходные данные'!M22-'минимумы и максимумы'!K$9)/('минимумы и максимумы'!K$10-'минимумы и максимумы'!K$9)*100)</f>
        <v>10.714285714285714</v>
      </c>
      <c r="N22">
        <f>IF('исходные данные'!N22&gt;'минимумы и максимумы'!L$10,100,('исходные данные'!N22-'минимумы и максимумы'!L$9)/('минимумы и максимумы'!L$10-'минимумы и максимумы'!L$9)*100)</f>
        <v>17.662712131246909</v>
      </c>
      <c r="O22">
        <f>IF('исходные данные'!O22&gt;'минимумы и максимумы'!M$10,100,('исходные данные'!O22-'минимумы и максимумы'!M$9)/('минимумы и максимумы'!M$10-'минимумы и максимумы'!M$9)*100)</f>
        <v>100</v>
      </c>
      <c r="P22">
        <f>IF('исходные данные'!P22&gt;'минимумы и максимумы'!N$10,100,('исходные данные'!P22-'минимумы и максимумы'!N$9)/('минимумы и максимумы'!N$10-'минимумы и максимумы'!N$9)*100)</f>
        <v>0</v>
      </c>
      <c r="Q22">
        <f>IF('исходные данные'!Q22&gt;'минимумы и максимумы'!O$10,100,('исходные данные'!Q22-'минимумы и максимумы'!O$9)/('минимумы и максимумы'!O$10-'минимумы и максимумы'!O$9)*100)</f>
        <v>100</v>
      </c>
      <c r="R22">
        <f>IF('исходные данные'!R22&gt;'минимумы и максимумы'!P$10,100,('исходные данные'!R22-'минимумы и максимумы'!P$9)/('минимумы и максимумы'!P$10-'минимумы и максимумы'!P$9)*100)</f>
        <v>75</v>
      </c>
      <c r="S22">
        <f>IF('исходные данные'!S22&gt;'минимумы и максимумы'!Q$10,100,('исходные данные'!S22-'минимумы и максимумы'!Q$9)/('минимумы и максимумы'!Q$10-'минимумы и максимумы'!Q$9)*100)</f>
        <v>50</v>
      </c>
      <c r="T22">
        <f>IF('исходные данные'!T22&gt;'минимумы и максимумы'!R$10,100,('исходные данные'!T22-'минимумы и максимумы'!R$9)/('минимумы и максимумы'!R$10-'минимумы и максимумы'!R$9)*100)</f>
        <v>37.715765247410815</v>
      </c>
      <c r="U22">
        <f>IF('исходные данные'!U22&gt;'минимумы и максимумы'!S$10,100,('исходные данные'!U22-'минимумы и максимумы'!S$9)/('минимумы и максимумы'!S$10-'минимумы и максимумы'!S$9)*100)</f>
        <v>100</v>
      </c>
    </row>
    <row r="23" spans="1:21" x14ac:dyDescent="0.45">
      <c r="A23" s="4">
        <v>44</v>
      </c>
      <c r="B23" s="4">
        <v>0</v>
      </c>
      <c r="C23" s="4">
        <v>0</v>
      </c>
      <c r="D23">
        <f>IF('исходные данные'!D23&gt;'минимумы и максимумы'!B$10,100,('исходные данные'!D23-'минимумы и максимумы'!B$9)/('минимумы и максимумы'!B$10-'минимумы и максимумы'!B$9)*100)</f>
        <v>22.222222222222221</v>
      </c>
      <c r="E23">
        <f>IF('исходные данные'!E23&gt;'минимумы и максимумы'!C$10,100,('исходные данные'!E23-'минимумы и максимумы'!C$9)/('минимумы и максимумы'!C$10-'минимумы и максимумы'!C$9)*100)</f>
        <v>50</v>
      </c>
      <c r="F23">
        <f>IF('исходные данные'!F23&gt;'минимумы и максимумы'!D$10,100,('исходные данные'!F23-'минимумы и максимумы'!D$9)/('минимумы и максимумы'!D$10-'минимумы и максимумы'!D$9)*100)</f>
        <v>0</v>
      </c>
      <c r="G23">
        <f>IF('исходные данные'!G23&gt;'минимумы и максимумы'!E$10,100,('исходные данные'!G23-'минимумы и максимумы'!E$9)/('минимумы и максимумы'!E$10-'минимумы и максимумы'!E$9)*100)</f>
        <v>33.333333333333329</v>
      </c>
      <c r="H23">
        <f>IF('исходные данные'!H23&gt;'минимумы и максимумы'!F$10,100,('исходные данные'!H23-'минимумы и максимумы'!F$9)/('минимумы и максимумы'!F$10-'минимумы и максимумы'!F$9)*100)</f>
        <v>37.931034482758619</v>
      </c>
      <c r="I23">
        <f>IF('исходные данные'!I23&gt;'минимумы и максимумы'!G$10,100,('исходные данные'!I23-'минимумы и максимумы'!G$9)/('минимумы и максимумы'!G$10-'минимумы и максимумы'!G$9)*100)</f>
        <v>20.754716981132077</v>
      </c>
      <c r="J23">
        <f>IF('исходные данные'!J23&gt;'минимумы и максимумы'!H$10,100,('исходные данные'!J23-'минимумы и максимумы'!H$9)/('минимумы и максимумы'!H$10-'минимумы и максимумы'!H$9)*100)</f>
        <v>6.666666666666667</v>
      </c>
      <c r="K23">
        <f>IF('исходные данные'!K23&gt;'минимумы и максимумы'!I$10,100,('исходные данные'!K23-'минимумы и максимумы'!I$9)/('минимумы и максимумы'!I$10-'минимумы и максимумы'!I$9)*100)</f>
        <v>0</v>
      </c>
      <c r="L23">
        <f>IF('исходные данные'!L23&gt;'минимумы и максимумы'!J$10,100,('исходные данные'!L23-'минимумы и максимумы'!J$9)/('минимумы и максимумы'!J$10-'минимумы и максимумы'!J$9)*100)</f>
        <v>7.1428571428571423</v>
      </c>
      <c r="M23">
        <f>IF('исходные данные'!M23&gt;'минимумы и максимумы'!K$10,100,('исходные данные'!M23-'минимумы и максимумы'!K$9)/('минимумы и максимумы'!K$10-'минимумы и максимумы'!K$9)*100)</f>
        <v>21.428571428571427</v>
      </c>
      <c r="N23">
        <f>IF('исходные данные'!N23&gt;'минимумы и максимумы'!L$10,100,('исходные данные'!N23-'минимумы и максимумы'!L$9)/('минимумы и максимумы'!L$10-'минимумы и максимумы'!L$9)*100)</f>
        <v>26.197466732971897</v>
      </c>
      <c r="O23">
        <f>IF('исходные данные'!O23&gt;'минимумы и максимумы'!M$10,100,('исходные данные'!O23-'минимумы и максимумы'!M$9)/('минимумы и максимумы'!M$10-'минимумы и максимумы'!M$9)*100)</f>
        <v>100</v>
      </c>
      <c r="P23">
        <f>IF('исходные данные'!P23&gt;'минимумы и максимумы'!N$10,100,('исходные данные'!P23-'минимумы и максимумы'!N$9)/('минимумы и максимумы'!N$10-'минимумы и максимумы'!N$9)*100)</f>
        <v>0</v>
      </c>
      <c r="Q23">
        <f>IF('исходные данные'!Q23&gt;'минимумы и максимумы'!O$10,100,('исходные данные'!Q23-'минимумы и максимумы'!O$9)/('минимумы и максимумы'!O$10-'минимумы и максимумы'!O$9)*100)</f>
        <v>0</v>
      </c>
      <c r="R23">
        <f>IF('исходные данные'!R23&gt;'минимумы и максимумы'!P$10,100,('исходные данные'!R23-'минимумы и максимумы'!P$9)/('минимумы и максимумы'!P$10-'минимумы и максимумы'!P$9)*100)</f>
        <v>100</v>
      </c>
      <c r="S23">
        <f>IF('исходные данные'!S23&gt;'минимумы и максимумы'!Q$10,100,('исходные данные'!S23-'минимумы и максимумы'!Q$9)/('минимумы и максимумы'!Q$10-'минимумы и максимумы'!Q$9)*100)</f>
        <v>33.333333333333329</v>
      </c>
      <c r="T23">
        <f>IF('исходные данные'!T23&gt;'минимумы и максимумы'!R$10,100,('исходные данные'!T23-'минимумы и максимумы'!R$9)/('минимумы и максимумы'!R$10-'минимумы и максимумы'!R$9)*100)</f>
        <v>39.672036823935557</v>
      </c>
      <c r="U23">
        <f>IF('исходные данные'!U23&gt;'минимумы и максимумы'!S$10,100,('исходные данные'!U23-'минимумы и максимумы'!S$9)/('минимумы и максимумы'!S$10-'минимумы и максимумы'!S$9)*100)</f>
        <v>0</v>
      </c>
    </row>
    <row r="24" spans="1:21" x14ac:dyDescent="0.45">
      <c r="A24" s="4">
        <v>46</v>
      </c>
      <c r="B24" s="4">
        <v>0</v>
      </c>
      <c r="C24" s="4">
        <v>0</v>
      </c>
      <c r="D24">
        <f>IF('исходные данные'!D24&gt;'минимумы и максимумы'!B$10,100,('исходные данные'!D24-'минимумы и максимумы'!B$9)/('минимумы и максимумы'!B$10-'минимумы и максимумы'!B$9)*100)</f>
        <v>33.333333333333329</v>
      </c>
      <c r="E24">
        <f>IF('исходные данные'!E24&gt;'минимумы и максимумы'!C$10,100,('исходные данные'!E24-'минимумы и максимумы'!C$9)/('минимумы и максимумы'!C$10-'минимумы и максимумы'!C$9)*100)</f>
        <v>70</v>
      </c>
      <c r="F24">
        <f>IF('исходные данные'!F24&gt;'минимумы и максимумы'!D$10,100,('исходные данные'!F24-'минимумы и максимумы'!D$9)/('минимумы и максимумы'!D$10-'минимумы и максимумы'!D$9)*100)</f>
        <v>33.333333333333329</v>
      </c>
      <c r="G24">
        <f>IF('исходные данные'!G24&gt;'минимумы и максимумы'!E$10,100,('исходные данные'!G24-'минимумы и максимумы'!E$9)/('минимумы и максимумы'!E$10-'минимумы и максимумы'!E$9)*100)</f>
        <v>37.5</v>
      </c>
      <c r="H24">
        <f>IF('исходные данные'!H24&gt;'минимумы и максимумы'!F$10,100,('исходные данные'!H24-'минимумы и максимумы'!F$9)/('минимумы и максимумы'!F$10-'минимумы и максимумы'!F$9)*100)</f>
        <v>51.724137931034484</v>
      </c>
      <c r="I24">
        <f>IF('исходные данные'!I24&gt;'минимумы и максимумы'!G$10,100,('исходные данные'!I24-'минимумы и максимумы'!G$9)/('минимумы и максимумы'!G$10-'минимумы и максимумы'!G$9)*100)</f>
        <v>18.867924528301888</v>
      </c>
      <c r="J24">
        <f>IF('исходные данные'!J24&gt;'минимумы и максимумы'!H$10,100,('исходные данные'!J24-'минимумы и максимумы'!H$9)/('минимумы и максимумы'!H$10-'минимумы и максимумы'!H$9)*100)</f>
        <v>6.666666666666667</v>
      </c>
      <c r="K24">
        <f>IF('исходные данные'!K24&gt;'минимумы и максимумы'!I$10,100,('исходные данные'!K24-'минимумы и максимумы'!I$9)/('минимумы и максимумы'!I$10-'минимумы и максимумы'!I$9)*100)</f>
        <v>0</v>
      </c>
      <c r="L24">
        <f>IF('исходные данные'!L24&gt;'минимумы и максимумы'!J$10,100,('исходные данные'!L24-'минимумы и максимумы'!J$9)/('минимумы и максимумы'!J$10-'минимумы и максимумы'!J$9)*100)</f>
        <v>14.285714285714285</v>
      </c>
      <c r="M24">
        <f>IF('исходные данные'!M24&gt;'минимумы и максимумы'!K$10,100,('исходные данные'!M24-'минимумы и максимумы'!K$9)/('минимумы и максимумы'!K$10-'минимумы и максимумы'!K$9)*100)</f>
        <v>35.714285714285715</v>
      </c>
      <c r="N24">
        <f>IF('исходные данные'!N24&gt;'минимумы и максимумы'!L$10,100,('исходные данные'!N24-'минимумы и максимумы'!L$9)/('минимумы и максимумы'!L$10-'минимумы и максимумы'!L$9)*100)</f>
        <v>26.056784458038333</v>
      </c>
      <c r="O24">
        <f>IF('исходные данные'!O24&gt;'минимумы и максимумы'!M$10,100,('исходные данные'!O24-'минимумы и максимумы'!M$9)/('минимумы и максимумы'!M$10-'минимумы и максимумы'!M$9)*100)</f>
        <v>100</v>
      </c>
      <c r="P24">
        <f>IF('исходные данные'!P24&gt;'минимумы и максимумы'!N$10,100,('исходные данные'!P24-'минимумы и максимумы'!N$9)/('минимумы и максимумы'!N$10-'минимумы и максимумы'!N$9)*100)</f>
        <v>0</v>
      </c>
      <c r="Q24">
        <f>IF('исходные данные'!Q24&gt;'минимумы и максимумы'!O$10,100,('исходные данные'!Q24-'минимумы и максимумы'!O$9)/('минимумы и максимумы'!O$10-'минимумы и максимумы'!O$9)*100)</f>
        <v>0</v>
      </c>
      <c r="R24">
        <f>IF('исходные данные'!R24&gt;'минимумы и максимумы'!P$10,100,('исходные данные'!R24-'минимумы и максимумы'!P$9)/('минимумы и максимумы'!P$10-'минимумы и максимумы'!P$9)*100)</f>
        <v>100</v>
      </c>
      <c r="S24">
        <f>IF('исходные данные'!S24&gt;'минимумы и максимумы'!Q$10,100,('исходные данные'!S24-'минимумы и максимумы'!Q$9)/('минимумы и максимумы'!Q$10-'минимумы и максимумы'!Q$9)*100)</f>
        <v>33.333333333333329</v>
      </c>
      <c r="T24">
        <f>IF('исходные данные'!T24&gt;'минимумы и максимумы'!R$10,100,('исходные данные'!T24-'минимумы и максимумы'!R$9)/('минимумы и максимумы'!R$10-'минимумы и максимумы'!R$9)*100)</f>
        <v>2.3014959723820483</v>
      </c>
      <c r="U24">
        <f>IF('исходные данные'!U24&gt;'минимумы и максимумы'!S$10,100,('исходные данные'!U24-'минимумы и максимумы'!S$9)/('минимумы и максимумы'!S$10-'минимумы и максимумы'!S$9)*100)</f>
        <v>0</v>
      </c>
    </row>
    <row r="25" spans="1:21" x14ac:dyDescent="0.45">
      <c r="A25" s="4">
        <v>48</v>
      </c>
      <c r="B25" s="4">
        <v>0</v>
      </c>
      <c r="C25" s="4">
        <v>0</v>
      </c>
      <c r="D25">
        <f>IF('исходные данные'!D25&gt;'минимумы и максимумы'!B$10,100,('исходные данные'!D25-'минимумы и максимумы'!B$9)/('минимумы и максимумы'!B$10-'минимумы и максимумы'!B$9)*100)</f>
        <v>0</v>
      </c>
      <c r="E25">
        <f>IF('исходные данные'!E25&gt;'минимумы и максимумы'!C$10,100,('исходные данные'!E25-'минимумы и максимумы'!C$9)/('минимумы и максимумы'!C$10-'минимумы и максимумы'!C$9)*100)</f>
        <v>30</v>
      </c>
      <c r="F25">
        <f>IF('исходные данные'!F25&gt;'минимумы и максимумы'!D$10,100,('исходные данные'!F25-'минимумы и максимумы'!D$9)/('минимумы и максимумы'!D$10-'минимумы и максимумы'!D$9)*100)</f>
        <v>33.333333333333329</v>
      </c>
      <c r="G25">
        <f>IF('исходные данные'!G25&gt;'минимумы и максимумы'!E$10,100,('исходные данные'!G25-'минимумы и максимумы'!E$9)/('минимумы и максимумы'!E$10-'минимумы и максимумы'!E$9)*100)</f>
        <v>20.833333333333336</v>
      </c>
      <c r="H25">
        <f>IF('исходные данные'!H25&gt;'минимумы и максимумы'!F$10,100,('исходные данные'!H25-'минимумы и максимумы'!F$9)/('минимумы и максимумы'!F$10-'минимумы и максимумы'!F$9)*100)</f>
        <v>31.03448275862069</v>
      </c>
      <c r="I25">
        <f>IF('исходные данные'!I25&gt;'минимумы и максимумы'!G$10,100,('исходные данные'!I25-'минимумы и максимумы'!G$9)/('минимумы и максимумы'!G$10-'минимумы и максимумы'!G$9)*100)</f>
        <v>24.528301886792452</v>
      </c>
      <c r="J25">
        <f>IF('исходные данные'!J25&gt;'минимумы и максимумы'!H$10,100,('исходные данные'!J25-'минимумы и максимумы'!H$9)/('минимумы и максимумы'!H$10-'минимумы и максимумы'!H$9)*100)</f>
        <v>6.666666666666667</v>
      </c>
      <c r="K25">
        <f>IF('исходные данные'!K25&gt;'минимумы и максимумы'!I$10,100,('исходные данные'!K25-'минимумы и максимумы'!I$9)/('минимумы и максимумы'!I$10-'минимумы и максимумы'!I$9)*100)</f>
        <v>33.333333333333329</v>
      </c>
      <c r="L25">
        <f>IF('исходные данные'!L25&gt;'минимумы и максимумы'!J$10,100,('исходные данные'!L25-'минимумы и максимумы'!J$9)/('минимумы и максимумы'!J$10-'минимумы и максимумы'!J$9)*100)</f>
        <v>0</v>
      </c>
      <c r="M25">
        <f>IF('исходные данные'!M25&gt;'минимумы и максимумы'!K$10,100,('исходные данные'!M25-'минимумы и максимумы'!K$9)/('минимумы и максимумы'!K$10-'минимумы и максимумы'!K$9)*100)</f>
        <v>25</v>
      </c>
      <c r="N25">
        <f>IF('исходные данные'!N25&gt;'минимумы и максимумы'!L$10,100,('исходные данные'!N25-'минимумы и максимумы'!L$9)/('минимумы и максимумы'!L$10-'минимумы и максимумы'!L$9)*100)</f>
        <v>17.499456123814568</v>
      </c>
      <c r="O25">
        <f>IF('исходные данные'!O25&gt;'минимумы и максимумы'!M$10,100,('исходные данные'!O25-'минимумы и максимумы'!M$9)/('минимумы и максимумы'!M$10-'минимумы и максимумы'!M$9)*100)</f>
        <v>100</v>
      </c>
      <c r="P25">
        <f>IF('исходные данные'!P25&gt;'минимумы и максимумы'!N$10,100,('исходные данные'!P25-'минимумы и максимумы'!N$9)/('минимумы и максимумы'!N$10-'минимумы и максимумы'!N$9)*100)</f>
        <v>0</v>
      </c>
      <c r="Q25">
        <f>IF('исходные данные'!Q25&gt;'минимумы и максимумы'!O$10,100,('исходные данные'!Q25-'минимумы и максимумы'!O$9)/('минимумы и максимумы'!O$10-'минимумы и максимумы'!O$9)*100)</f>
        <v>0</v>
      </c>
      <c r="R25">
        <f>IF('исходные данные'!R25&gt;'минимумы и максимумы'!P$10,100,('исходные данные'!R25-'минимумы и максимумы'!P$9)/('минимумы и максимумы'!P$10-'минимумы и максимумы'!P$9)*100)</f>
        <v>75</v>
      </c>
      <c r="S25">
        <f>IF('исходные данные'!S25&gt;'минимумы и максимумы'!Q$10,100,('исходные данные'!S25-'минимумы и максимумы'!Q$9)/('минимумы и максимумы'!Q$10-'минимумы и максимумы'!Q$9)*100)</f>
        <v>16.666666666666664</v>
      </c>
      <c r="T25">
        <f>IF('исходные данные'!T25&gt;'минимумы и максимумы'!R$10,100,('исходные данные'!T25-'минимумы и максимумы'!R$9)/('минимумы и максимумы'!R$10-'минимумы и максимумы'!R$9)*100)</f>
        <v>1.3233601841196778</v>
      </c>
      <c r="U25">
        <f>IF('исходные данные'!U25&gt;'минимумы и максимумы'!S$10,100,('исходные данные'!U25-'минимумы и максимумы'!S$9)/('минимумы и максимумы'!S$10-'минимумы и максимумы'!S$9)*100)</f>
        <v>0</v>
      </c>
    </row>
    <row r="26" spans="1:21" x14ac:dyDescent="0.45">
      <c r="A26" s="4">
        <v>49</v>
      </c>
      <c r="B26" s="4">
        <v>0</v>
      </c>
      <c r="C26" s="4">
        <v>0</v>
      </c>
      <c r="D26">
        <f>IF('исходные данные'!D26&gt;'минимумы и максимумы'!B$10,100,('исходные данные'!D26-'минимумы и максимумы'!B$9)/('минимумы и максимумы'!B$10-'минимумы и максимумы'!B$9)*100)</f>
        <v>0</v>
      </c>
      <c r="E26">
        <f>IF('исходные данные'!E26&gt;'минимумы и максимумы'!C$10,100,('исходные данные'!E26-'минимумы и максимумы'!C$9)/('минимумы и максимумы'!C$10-'минимумы и максимумы'!C$9)*100)</f>
        <v>30</v>
      </c>
      <c r="F26">
        <f>IF('исходные данные'!F26&gt;'минимумы и максимумы'!D$10,100,('исходные данные'!F26-'минимумы и максимумы'!D$9)/('минимумы и максимумы'!D$10-'минимумы и максимумы'!D$9)*100)</f>
        <v>0</v>
      </c>
      <c r="G26">
        <f>IF('исходные данные'!G26&gt;'минимумы и максимумы'!E$10,100,('исходные данные'!G26-'минимумы и максимумы'!E$9)/('минимумы и максимумы'!E$10-'минимумы и максимумы'!E$9)*100)</f>
        <v>33.333333333333329</v>
      </c>
      <c r="H26">
        <f>IF('исходные данные'!H26&gt;'минимумы и максимумы'!F$10,100,('исходные данные'!H26-'минимумы и максимумы'!F$9)/('минимумы и максимумы'!F$10-'минимумы и максимумы'!F$9)*100)</f>
        <v>31.03448275862069</v>
      </c>
      <c r="I26">
        <f>IF('исходные данные'!I26&gt;'минимумы и максимумы'!G$10,100,('исходные данные'!I26-'минимумы и максимумы'!G$9)/('минимумы и максимумы'!G$10-'минимумы и максимумы'!G$9)*100)</f>
        <v>15.09433962264151</v>
      </c>
      <c r="J26">
        <f>IF('исходные данные'!J26&gt;'минимумы и максимумы'!H$10,100,('исходные данные'!J26-'минимумы и максимумы'!H$9)/('минимумы и максимумы'!H$10-'минимумы и максимумы'!H$9)*100)</f>
        <v>6.666666666666667</v>
      </c>
      <c r="K26">
        <f>IF('исходные данные'!K26&gt;'минимумы и максимумы'!I$10,100,('исходные данные'!K26-'минимумы и максимумы'!I$9)/('минимумы и максимумы'!I$10-'минимумы и максимумы'!I$9)*100)</f>
        <v>38.888888888888893</v>
      </c>
      <c r="L26">
        <f>IF('исходные данные'!L26&gt;'минимумы и максимумы'!J$10,100,('исходные данные'!L26-'минимумы и максимумы'!J$9)/('минимумы и максимумы'!J$10-'минимумы и максимумы'!J$9)*100)</f>
        <v>0</v>
      </c>
      <c r="M26">
        <f>IF('исходные данные'!M26&gt;'минимумы и максимумы'!K$10,100,('исходные данные'!M26-'минимумы и максимумы'!K$9)/('минимумы и максимумы'!K$10-'минимумы и максимумы'!K$9)*100)</f>
        <v>28.571428571428569</v>
      </c>
      <c r="N26">
        <f>IF('исходные данные'!N26&gt;'минимумы и максимумы'!L$10,100,('исходные данные'!N26-'минимумы и максимумы'!L$9)/('минимумы и максимумы'!L$10-'минимумы и максимумы'!L$9)*100)</f>
        <v>17.829791909608527</v>
      </c>
      <c r="O26">
        <f>IF('исходные данные'!O26&gt;'минимумы и максимумы'!M$10,100,('исходные данные'!O26-'минимумы и максимумы'!M$9)/('минимумы и максимумы'!M$10-'минимумы и максимумы'!M$9)*100)</f>
        <v>100</v>
      </c>
      <c r="P26">
        <f>IF('исходные данные'!P26&gt;'минимумы и максимумы'!N$10,100,('исходные данные'!P26-'минимумы и максимумы'!N$9)/('минимумы и максимумы'!N$10-'минимумы и максимумы'!N$9)*100)</f>
        <v>0</v>
      </c>
      <c r="Q26">
        <f>IF('исходные данные'!Q26&gt;'минимумы и максимумы'!O$10,100,('исходные данные'!Q26-'минимумы и максимумы'!O$9)/('минимумы и максимумы'!O$10-'минимумы и максимумы'!O$9)*100)</f>
        <v>0</v>
      </c>
      <c r="R26">
        <f>IF('исходные данные'!R26&gt;'минимумы и максимумы'!P$10,100,('исходные данные'!R26-'минимумы и максимумы'!P$9)/('минимумы и максимумы'!P$10-'минимумы и максимумы'!P$9)*100)</f>
        <v>75</v>
      </c>
      <c r="S26">
        <f>IF('исходные данные'!S26&gt;'минимумы и максимумы'!Q$10,100,('исходные данные'!S26-'минимумы и максимумы'!Q$9)/('минимумы и максимумы'!Q$10-'минимумы и максимумы'!Q$9)*100)</f>
        <v>100</v>
      </c>
      <c r="T26">
        <f>IF('исходные данные'!T26&gt;'минимумы и максимумы'!R$10,100,('исходные данные'!T26-'минимумы и максимумы'!R$9)/('минимумы и максимумы'!R$10-'минимумы и максимумы'!R$9)*100)</f>
        <v>100</v>
      </c>
      <c r="U26">
        <f>IF('исходные данные'!U26&gt;'минимумы и максимумы'!S$10,100,('исходные данные'!U26-'минимумы и максимумы'!S$9)/('минимумы и максимумы'!S$10-'минимумы и максимумы'!S$9)*100)</f>
        <v>100</v>
      </c>
    </row>
    <row r="27" spans="1:21" x14ac:dyDescent="0.45">
      <c r="A27" s="4">
        <v>50</v>
      </c>
      <c r="B27" s="4">
        <v>0</v>
      </c>
      <c r="C27" s="4">
        <v>0</v>
      </c>
      <c r="D27">
        <f>IF('исходные данные'!D27&gt;'минимумы и максимумы'!B$10,100,('исходные данные'!D27-'минимумы и максимумы'!B$9)/('минимумы и максимумы'!B$10-'минимумы и максимумы'!B$9)*100)</f>
        <v>0</v>
      </c>
      <c r="E27">
        <f>IF('исходные данные'!E27&gt;'минимумы и максимумы'!C$10,100,('исходные данные'!E27-'минимумы и максимумы'!C$9)/('минимумы и максимумы'!C$10-'минимумы и максимумы'!C$9)*100)</f>
        <v>10</v>
      </c>
      <c r="F27">
        <f>IF('исходные данные'!F27&gt;'минимумы и максимумы'!D$10,100,('исходные данные'!F27-'минимумы и максимумы'!D$9)/('минимумы и максимумы'!D$10-'минимумы и максимумы'!D$9)*100)</f>
        <v>0</v>
      </c>
      <c r="G27">
        <f>IF('исходные данные'!G27&gt;'минимумы и максимумы'!E$10,100,('исходные данные'!G27-'минимумы и максимумы'!E$9)/('минимумы и максимумы'!E$10-'минимумы и максимумы'!E$9)*100)</f>
        <v>4.1666666666666661</v>
      </c>
      <c r="H27">
        <f>IF('исходные данные'!H27&gt;'минимумы и максимумы'!F$10,100,('исходные данные'!H27-'минимумы и максимумы'!F$9)/('минимумы и максимумы'!F$10-'минимумы и максимумы'!F$9)*100)</f>
        <v>6.8965517241379306</v>
      </c>
      <c r="I27">
        <f>IF('исходные данные'!I27&gt;'минимумы и максимумы'!G$10,100,('исходные данные'!I27-'минимумы и максимумы'!G$9)/('минимумы и максимумы'!G$10-'минимумы и максимумы'!G$9)*100)</f>
        <v>5.6603773584905666</v>
      </c>
      <c r="J27">
        <f>IF('исходные данные'!J27&gt;'минимумы и максимумы'!H$10,100,('исходные данные'!J27-'минимумы и максимумы'!H$9)/('минимумы и максимумы'!H$10-'минимумы и максимумы'!H$9)*100)</f>
        <v>0</v>
      </c>
      <c r="K27">
        <f>IF('исходные данные'!K27&gt;'минимумы и максимумы'!I$10,100,('исходные данные'!K27-'минимумы и максимумы'!I$9)/('минимумы и максимумы'!I$10-'минимумы и максимумы'!I$9)*100)</f>
        <v>5.5555555555555554</v>
      </c>
      <c r="L27">
        <f>IF('исходные данные'!L27&gt;'минимумы и максимумы'!J$10,100,('исходные данные'!L27-'минимумы и максимумы'!J$9)/('минимумы и максимумы'!J$10-'минимумы и максимумы'!J$9)*100)</f>
        <v>0</v>
      </c>
      <c r="M27">
        <f>IF('исходные данные'!M27&gt;'минимумы и максимумы'!K$10,100,('исходные данные'!M27-'минимумы и максимумы'!K$9)/('минимумы и максимумы'!K$10-'минимумы и максимумы'!K$9)*100)</f>
        <v>7.1428571428571423</v>
      </c>
      <c r="N27">
        <f>IF('исходные данные'!N27&gt;'минимумы и максимумы'!L$10,100,('исходные данные'!N27-'минимумы и максимумы'!L$9)/('минимумы и максимумы'!L$10-'минимумы и максимумы'!L$9)*100)</f>
        <v>24.736050542294375</v>
      </c>
      <c r="O27">
        <f>IF('исходные данные'!O27&gt;'минимумы и максимумы'!M$10,100,('исходные данные'!O27-'минимумы и максимумы'!M$9)/('минимумы и максимумы'!M$10-'минимумы и максимумы'!M$9)*100)</f>
        <v>66.666666666666657</v>
      </c>
      <c r="P27">
        <f>IF('исходные данные'!P27&gt;'минимумы и максимумы'!N$10,100,('исходные данные'!P27-'минимумы и максимумы'!N$9)/('минимумы и максимумы'!N$10-'минимумы и максимумы'!N$9)*100)</f>
        <v>100</v>
      </c>
      <c r="Q27">
        <f>IF('исходные данные'!Q27&gt;'минимумы и максимумы'!O$10,100,('исходные данные'!Q27-'минимумы и максимумы'!O$9)/('минимумы и максимумы'!O$10-'минимумы и максимумы'!O$9)*100)</f>
        <v>100</v>
      </c>
      <c r="R27">
        <f>IF('исходные данные'!R27&gt;'минимумы и максимумы'!P$10,100,('исходные данные'!R27-'минимумы и максимумы'!P$9)/('минимумы и максимумы'!P$10-'минимумы и максимумы'!P$9)*100)</f>
        <v>50</v>
      </c>
      <c r="S27">
        <f>IF('исходные данные'!S27&gt;'минимумы и максимумы'!Q$10,100,('исходные данные'!S27-'минимумы и максимумы'!Q$9)/('минимумы и максимумы'!Q$10-'минимумы и максимумы'!Q$9)*100)</f>
        <v>33.333333333333329</v>
      </c>
      <c r="T27">
        <f>IF('исходные данные'!T27&gt;'минимумы и максимумы'!R$10,100,('исходные данные'!T27-'минимумы и максимумы'!R$9)/('минимумы и максимумы'!R$10-'минимумы и максимумы'!R$9)*100)</f>
        <v>14.787111622554661</v>
      </c>
      <c r="U27">
        <f>IF('исходные данные'!U27&gt;'минимумы и максимумы'!S$10,100,('исходные данные'!U27-'минимумы и максимумы'!S$9)/('минимумы и максимумы'!S$10-'минимумы и максимумы'!S$9)*100)</f>
        <v>33.333333333333329</v>
      </c>
    </row>
    <row r="28" spans="1:21" x14ac:dyDescent="0.45">
      <c r="A28" s="4">
        <v>53</v>
      </c>
      <c r="B28" s="4">
        <v>0</v>
      </c>
      <c r="C28" s="4">
        <v>0</v>
      </c>
      <c r="D28">
        <f>IF('исходные данные'!D28&gt;'минимумы и максимумы'!B$10,100,('исходные данные'!D28-'минимумы и максимумы'!B$9)/('минимумы и максимумы'!B$10-'минимумы и максимумы'!B$9)*100)</f>
        <v>22.222222222222221</v>
      </c>
      <c r="E28">
        <f>IF('исходные данные'!E28&gt;'минимумы и максимумы'!C$10,100,('исходные данные'!E28-'минимумы и максимумы'!C$9)/('минимумы и максимумы'!C$10-'минимумы и максимумы'!C$9)*100)</f>
        <v>20</v>
      </c>
      <c r="F28">
        <f>IF('исходные данные'!F28&gt;'минимумы и максимумы'!D$10,100,('исходные данные'!F28-'минимумы и максимумы'!D$9)/('минимумы и максимумы'!D$10-'минимумы и максимумы'!D$9)*100)</f>
        <v>0</v>
      </c>
      <c r="G28">
        <f>IF('исходные данные'!G28&gt;'минимумы и максимумы'!E$10,100,('исходные данные'!G28-'минимумы и максимумы'!E$9)/('минимумы и максимумы'!E$10-'минимумы и максимумы'!E$9)*100)</f>
        <v>12.5</v>
      </c>
      <c r="H28">
        <f>IF('исходные данные'!H28&gt;'минимумы и максимумы'!F$10,100,('исходные данные'!H28-'минимумы и максимумы'!F$9)/('минимумы и максимумы'!F$10-'минимумы и максимумы'!F$9)*100)</f>
        <v>10.344827586206897</v>
      </c>
      <c r="I28">
        <f>IF('исходные данные'!I28&gt;'минимумы и максимумы'!G$10,100,('исходные данные'!I28-'минимумы и максимумы'!G$9)/('минимумы и максимумы'!G$10-'минимумы и максимумы'!G$9)*100)</f>
        <v>15.09433962264151</v>
      </c>
      <c r="J28">
        <f>IF('исходные данные'!J28&gt;'минимумы и максимумы'!H$10,100,('исходные данные'!J28-'минимумы и максимумы'!H$9)/('минимумы и максимумы'!H$10-'минимумы и максимумы'!H$9)*100)</f>
        <v>0</v>
      </c>
      <c r="K28">
        <f>IF('исходные данные'!K28&gt;'минимумы и максимумы'!I$10,100,('исходные данные'!K28-'минимумы и максимумы'!I$9)/('минимумы и максимумы'!I$10-'минимумы и максимумы'!I$9)*100)</f>
        <v>0</v>
      </c>
      <c r="L28">
        <f>IF('исходные данные'!L28&gt;'минимумы и максимумы'!J$10,100,('исходные данные'!L28-'минимумы и максимумы'!J$9)/('минимумы и максимумы'!J$10-'минимумы и максимумы'!J$9)*100)</f>
        <v>0</v>
      </c>
      <c r="M28">
        <f>IF('исходные данные'!M28&gt;'минимумы и максимумы'!K$10,100,('исходные данные'!M28-'минимумы и максимумы'!K$9)/('минимумы и максимумы'!K$10-'минимумы и максимумы'!K$9)*100)</f>
        <v>10.714285714285714</v>
      </c>
      <c r="N28">
        <f>IF('исходные данные'!N28&gt;'минимумы и максимумы'!L$10,100,('исходные данные'!N28-'минимумы и максимумы'!L$9)/('минимумы и максимумы'!L$10-'минимумы и максимумы'!L$9)*100)</f>
        <v>20.868657876176318</v>
      </c>
      <c r="O28">
        <f>IF('исходные данные'!O28&gt;'минимумы и максимумы'!M$10,100,('исходные данные'!O28-'минимумы и максимумы'!M$9)/('минимумы и максимумы'!M$10-'минимумы и максимумы'!M$9)*100)</f>
        <v>33.333333333333329</v>
      </c>
      <c r="P28">
        <f>IF('исходные данные'!P28&gt;'минимумы и максимумы'!N$10,100,('исходные данные'!P28-'минимумы и максимумы'!N$9)/('минимумы и максимумы'!N$10-'минимумы и максимумы'!N$9)*100)</f>
        <v>100</v>
      </c>
      <c r="Q28">
        <f>IF('исходные данные'!Q28&gt;'минимумы и максимумы'!O$10,100,('исходные данные'!Q28-'минимумы и максимумы'!O$9)/('минимумы и максимумы'!O$10-'минимумы и максимумы'!O$9)*100)</f>
        <v>0</v>
      </c>
      <c r="R28">
        <f>IF('исходные данные'!R28&gt;'минимумы и максимумы'!P$10,100,('исходные данные'!R28-'минимумы и максимумы'!P$9)/('минимумы и максимумы'!P$10-'минимумы и максимумы'!P$9)*100)</f>
        <v>100</v>
      </c>
      <c r="S28">
        <f>IF('исходные данные'!S28&gt;'минимумы и максимумы'!Q$10,100,('исходные данные'!S28-'минимумы и максимумы'!Q$9)/('минимумы и максимумы'!Q$10-'минимумы и максимумы'!Q$9)*100)</f>
        <v>100</v>
      </c>
      <c r="T28">
        <f>IF('исходные данные'!T28&gt;'минимумы и максимумы'!R$10,100,('исходные данные'!T28-'минимумы и максимумы'!R$9)/('минимумы и максимумы'!R$10-'минимумы и максимумы'!R$9)*100)</f>
        <v>41.369390103567319</v>
      </c>
      <c r="U28">
        <f>IF('исходные данные'!U28&gt;'минимумы и максимумы'!S$10,100,('исходные данные'!U28-'минимумы и максимумы'!S$9)/('минимумы и максимумы'!S$10-'минимумы и максимумы'!S$9)*100)</f>
        <v>0</v>
      </c>
    </row>
    <row r="29" spans="1:21" x14ac:dyDescent="0.45">
      <c r="A29" s="4">
        <v>54</v>
      </c>
      <c r="B29" s="4">
        <v>0</v>
      </c>
      <c r="C29" s="4">
        <v>0</v>
      </c>
      <c r="D29">
        <f>IF('исходные данные'!D29&gt;'минимумы и максимумы'!B$10,100,('исходные данные'!D29-'минимумы и максимумы'!B$9)/('минимумы и максимумы'!B$10-'минимумы и максимумы'!B$9)*100)</f>
        <v>22.222222222222221</v>
      </c>
      <c r="E29">
        <f>IF('исходные данные'!E29&gt;'минимумы и максимумы'!C$10,100,('исходные данные'!E29-'минимумы и максимумы'!C$9)/('минимумы и максимумы'!C$10-'минимумы и максимумы'!C$9)*100)</f>
        <v>20</v>
      </c>
      <c r="F29">
        <f>IF('исходные данные'!F29&gt;'минимумы и максимумы'!D$10,100,('исходные данные'!F29-'минимумы и максимумы'!D$9)/('минимумы и максимумы'!D$10-'минимумы и максимумы'!D$9)*100)</f>
        <v>0</v>
      </c>
      <c r="G29">
        <f>IF('исходные данные'!G29&gt;'минимумы и максимумы'!E$10,100,('исходные данные'!G29-'минимумы и максимумы'!E$9)/('минимумы и максимумы'!E$10-'минимумы и максимумы'!E$9)*100)</f>
        <v>8.3333333333333321</v>
      </c>
      <c r="H29">
        <f>IF('исходные данные'!H29&gt;'минимумы и максимумы'!F$10,100,('исходные данные'!H29-'минимумы и максимумы'!F$9)/('минимумы и максимумы'!F$10-'минимумы и максимумы'!F$9)*100)</f>
        <v>10.344827586206897</v>
      </c>
      <c r="I29">
        <f>IF('исходные данные'!I29&gt;'минимумы и максимумы'!G$10,100,('исходные данные'!I29-'минимумы и максимумы'!G$9)/('минимумы и максимумы'!G$10-'минимумы и максимумы'!G$9)*100)</f>
        <v>11.320754716981133</v>
      </c>
      <c r="J29">
        <f>IF('исходные данные'!J29&gt;'минимумы и максимумы'!H$10,100,('исходные данные'!J29-'минимумы и максимумы'!H$9)/('минимумы и максимумы'!H$10-'минимумы и максимумы'!H$9)*100)</f>
        <v>0</v>
      </c>
      <c r="K29">
        <f>IF('исходные данные'!K29&gt;'минимумы и максимумы'!I$10,100,('исходные данные'!K29-'минимумы и максимумы'!I$9)/('минимумы и максимумы'!I$10-'минимумы и максимумы'!I$9)*100)</f>
        <v>0</v>
      </c>
      <c r="L29">
        <f>IF('исходные данные'!L29&gt;'минимумы и максимумы'!J$10,100,('исходные данные'!L29-'минимумы и максимумы'!J$9)/('минимумы и максимумы'!J$10-'минимумы и максимумы'!J$9)*100)</f>
        <v>0</v>
      </c>
      <c r="M29">
        <f>IF('исходные данные'!M29&gt;'минимумы и максимумы'!K$10,100,('исходные данные'!M29-'минимумы и максимумы'!K$9)/('минимумы и максимумы'!K$10-'минимумы и максимумы'!K$9)*100)</f>
        <v>17.857142857142858</v>
      </c>
      <c r="N29">
        <f>IF('исходные данные'!N29&gt;'минимумы и максимумы'!L$10,100,('исходные данные'!N29-'минимумы и максимумы'!L$9)/('минимумы и максимумы'!L$10-'минимумы и максимумы'!L$9)*100)</f>
        <v>19.835939231065034</v>
      </c>
      <c r="O29">
        <f>IF('исходные данные'!O29&gt;'минимумы и максимумы'!M$10,100,('исходные данные'!O29-'минимумы и максимумы'!M$9)/('минимумы и максимумы'!M$10-'минимумы и максимумы'!M$9)*100)</f>
        <v>0</v>
      </c>
      <c r="P29">
        <f>IF('исходные данные'!P29&gt;'минимумы и максимумы'!N$10,100,('исходные данные'!P29-'минимумы и максимумы'!N$9)/('минимумы и максимумы'!N$10-'минимумы и максимумы'!N$9)*100)</f>
        <v>0</v>
      </c>
      <c r="Q29">
        <f>IF('исходные данные'!Q29&gt;'минимумы и максимумы'!O$10,100,('исходные данные'!Q29-'минимумы и максимумы'!O$9)/('минимумы и максимумы'!O$10-'минимумы и максимумы'!O$9)*100)</f>
        <v>0</v>
      </c>
      <c r="R29">
        <f>IF('исходные данные'!R29&gt;'минимумы и максимумы'!P$10,100,('исходные данные'!R29-'минимумы и максимумы'!P$9)/('минимумы и максимумы'!P$10-'минимумы и максимумы'!P$9)*100)</f>
        <v>100</v>
      </c>
      <c r="S29">
        <f>IF('исходные данные'!S29&gt;'минимумы и максимумы'!Q$10,100,('исходные данные'!S29-'минимумы и максимумы'!Q$9)/('минимумы и максимумы'!Q$10-'минимумы и максимумы'!Q$9)*100)</f>
        <v>16.666666666666664</v>
      </c>
      <c r="T29">
        <f>IF('исходные данные'!T29&gt;'минимумы и максимумы'!R$10,100,('исходные данные'!T29-'минимумы и максимумы'!R$9)/('минимумы и максимумы'!R$10-'минимумы и максимумы'!R$9)*100)</f>
        <v>19.073647871116226</v>
      </c>
      <c r="U29">
        <f>IF('исходные данные'!U29&gt;'минимумы и максимумы'!S$10,100,('исходные данные'!U29-'минимумы и максимумы'!S$9)/('минимумы и максимумы'!S$10-'минимумы и максимумы'!S$9)*100)</f>
        <v>0</v>
      </c>
    </row>
    <row r="30" spans="1:21" x14ac:dyDescent="0.45">
      <c r="A30" s="4">
        <v>55</v>
      </c>
      <c r="B30" s="4">
        <v>0</v>
      </c>
      <c r="C30" s="4">
        <v>1</v>
      </c>
      <c r="D30">
        <f>IF('исходные данные'!D30&gt;'минимумы и максимумы'!B$10,100,('исходные данные'!D30-'минимумы и максимумы'!B$9)/('минимумы и максимумы'!B$10-'минимумы и максимумы'!B$9)*100)</f>
        <v>22.222222222222221</v>
      </c>
      <c r="E30">
        <f>IF('исходные данные'!E30&gt;'минимумы и максимумы'!C$10,100,('исходные данные'!E30-'минимумы и максимумы'!C$9)/('минимумы и максимумы'!C$10-'минимумы и максимумы'!C$9)*100)</f>
        <v>60</v>
      </c>
      <c r="F30">
        <f>IF('исходные данные'!F30&gt;'минимумы и максимумы'!D$10,100,('исходные данные'!F30-'минимумы и максимумы'!D$9)/('минимумы и максимумы'!D$10-'минимумы и максимумы'!D$9)*100)</f>
        <v>0</v>
      </c>
      <c r="G30">
        <f>IF('исходные данные'!G30&gt;'минимумы и максимумы'!E$10,100,('исходные данные'!G30-'минимумы и максимумы'!E$9)/('минимумы и максимумы'!E$10-'минимумы и максимумы'!E$9)*100)</f>
        <v>16.666666666666664</v>
      </c>
      <c r="H30">
        <f>IF('исходные данные'!H30&gt;'минимумы и максимумы'!F$10,100,('исходные данные'!H30-'минимумы и максимумы'!F$9)/('минимумы и максимумы'!F$10-'минимумы и максимумы'!F$9)*100)</f>
        <v>13.793103448275861</v>
      </c>
      <c r="I30">
        <f>IF('исходные данные'!I30&gt;'минимумы и максимумы'!G$10,100,('исходные данные'!I30-'минимумы и максимумы'!G$9)/('минимумы и максимумы'!G$10-'минимумы и максимумы'!G$9)*100)</f>
        <v>7.5471698113207548</v>
      </c>
      <c r="J30">
        <f>IF('исходные данные'!J30&gt;'минимумы и максимумы'!H$10,100,('исходные данные'!J30-'минимумы и максимумы'!H$9)/('минимумы и максимумы'!H$10-'минимумы и максимумы'!H$9)*100)</f>
        <v>0</v>
      </c>
      <c r="K30">
        <f>IF('исходные данные'!K30&gt;'минимумы и максимумы'!I$10,100,('исходные данные'!K30-'минимумы и максимумы'!I$9)/('минимумы и максимумы'!I$10-'минимумы и максимумы'!I$9)*100)</f>
        <v>0</v>
      </c>
      <c r="L30">
        <f>IF('исходные данные'!L30&gt;'минимумы и максимумы'!J$10,100,('исходные данные'!L30-'минимумы и максимумы'!J$9)/('минимумы и максимумы'!J$10-'минимумы и максимумы'!J$9)*100)</f>
        <v>0</v>
      </c>
      <c r="M30">
        <f>IF('исходные данные'!M30&gt;'минимумы и максимумы'!K$10,100,('исходные данные'!M30-'минимумы и максимумы'!K$9)/('минимумы и максимумы'!K$10-'минимумы и максимумы'!K$9)*100)</f>
        <v>25</v>
      </c>
      <c r="N30">
        <f>IF('исходные данные'!N30&gt;'минимумы и максимумы'!L$10,100,('исходные данные'!N30-'минимумы и максимумы'!L$9)/('минимумы и максимумы'!L$10-'минимумы и максимумы'!L$9)*100)</f>
        <v>19.055205586978023</v>
      </c>
      <c r="O30">
        <f>IF('исходные данные'!O30&gt;'минимумы и максимумы'!M$10,100,('исходные данные'!O30-'минимумы и максимумы'!M$9)/('минимумы и максимумы'!M$10-'минимумы и максимумы'!M$9)*100)</f>
        <v>66.666666666666657</v>
      </c>
      <c r="P30">
        <f>IF('исходные данные'!P30&gt;'минимумы и максимумы'!N$10,100,('исходные данные'!P30-'минимумы и максимумы'!N$9)/('минимумы и максимумы'!N$10-'минимумы и максимумы'!N$9)*100)</f>
        <v>0</v>
      </c>
      <c r="Q30">
        <f>IF('исходные данные'!Q30&gt;'минимумы и максимумы'!O$10,100,('исходные данные'!Q30-'минимумы и максимумы'!O$9)/('минимумы и максимумы'!O$10-'минимумы и максимумы'!O$9)*100)</f>
        <v>100</v>
      </c>
      <c r="R30">
        <f>IF('исходные данные'!R30&gt;'минимумы и максимумы'!P$10,100,('исходные данные'!R30-'минимумы и максимумы'!P$9)/('минимумы и максимумы'!P$10-'минимумы и максимумы'!P$9)*100)</f>
        <v>75</v>
      </c>
      <c r="S30">
        <f>IF('исходные данные'!S30&gt;'минимумы и максимумы'!Q$10,100,('исходные данные'!S30-'минимумы и максимумы'!Q$9)/('минимумы и максимумы'!Q$10-'минимумы и максимумы'!Q$9)*100)</f>
        <v>33.333333333333329</v>
      </c>
      <c r="T30">
        <f>IF('исходные данные'!T30&gt;'минимумы и максимумы'!R$10,100,('исходные данные'!T30-'минимумы и максимумы'!R$9)/('минимумы и максимумы'!R$10-'минимумы и максимумы'!R$9)*100)</f>
        <v>45.512082853855006</v>
      </c>
      <c r="U30">
        <f>IF('исходные данные'!U30&gt;'минимумы и максимумы'!S$10,100,('исходные данные'!U30-'минимумы и максимумы'!S$9)/('минимумы и максимумы'!S$10-'минимумы и максимумы'!S$9)*100)</f>
        <v>0</v>
      </c>
    </row>
    <row r="31" spans="1:21" x14ac:dyDescent="0.45">
      <c r="A31" s="4">
        <v>56</v>
      </c>
      <c r="B31" s="4">
        <v>0</v>
      </c>
      <c r="C31" s="4">
        <v>1</v>
      </c>
      <c r="D31">
        <f>IF('исходные данные'!D31&gt;'минимумы и максимумы'!B$10,100,('исходные данные'!D31-'минимумы и максимумы'!B$9)/('минимумы и максимумы'!B$10-'минимумы и максимумы'!B$9)*100)</f>
        <v>11.111111111111111</v>
      </c>
      <c r="E31">
        <f>IF('исходные данные'!E31&gt;'минимумы и максимумы'!C$10,100,('исходные данные'!E31-'минимумы и максимумы'!C$9)/('минимумы и максимумы'!C$10-'минимумы и максимумы'!C$9)*100)</f>
        <v>10</v>
      </c>
      <c r="F31">
        <f>IF('исходные данные'!F31&gt;'минимумы и максимумы'!D$10,100,('исходные данные'!F31-'минимумы и максимумы'!D$9)/('минимумы и максимумы'!D$10-'минимумы и максимумы'!D$9)*100)</f>
        <v>0</v>
      </c>
      <c r="G31">
        <f>IF('исходные данные'!G31&gt;'минимумы и максимумы'!E$10,100,('исходные данные'!G31-'минимумы и максимумы'!E$9)/('минимумы и максимумы'!E$10-'минимумы и максимумы'!E$9)*100)</f>
        <v>0</v>
      </c>
      <c r="H31">
        <f>IF('исходные данные'!H31&gt;'минимумы и максимумы'!F$10,100,('исходные данные'!H31-'минимумы и максимумы'!F$9)/('минимумы и максимумы'!F$10-'минимумы и максимумы'!F$9)*100)</f>
        <v>0</v>
      </c>
      <c r="I31">
        <f>IF('исходные данные'!I31&gt;'минимумы и максимумы'!G$10,100,('исходные данные'!I31-'минимумы и максимумы'!G$9)/('минимумы и максимумы'!G$10-'минимумы и максимумы'!G$9)*100)</f>
        <v>0</v>
      </c>
      <c r="J31">
        <f>IF('исходные данные'!J31&gt;'минимумы и максимумы'!H$10,100,('исходные данные'!J31-'минимумы и максимумы'!H$9)/('минимумы и максимумы'!H$10-'минимумы и максимумы'!H$9)*100)</f>
        <v>0</v>
      </c>
      <c r="K31">
        <f>IF('исходные данные'!K31&gt;'минимумы и максимумы'!I$10,100,('исходные данные'!K31-'минимумы и максимумы'!I$9)/('минимумы и максимумы'!I$10-'минимумы и максимумы'!I$9)*100)</f>
        <v>0</v>
      </c>
      <c r="L31">
        <f>IF('исходные данные'!L31&gt;'минимумы и максимумы'!J$10,100,('исходные данные'!L31-'минимумы и максимумы'!J$9)/('минимумы и максимумы'!J$10-'минимумы и максимумы'!J$9)*100)</f>
        <v>0</v>
      </c>
      <c r="M31">
        <f>IF('исходные данные'!M31&gt;'минимумы и максимумы'!K$10,100,('исходные данные'!M31-'минимумы и максимумы'!K$9)/('минимумы и максимумы'!K$10-'минимумы и максимумы'!K$9)*100)</f>
        <v>0</v>
      </c>
      <c r="N31">
        <f>IF('исходные данные'!N31&gt;'минимумы и максимумы'!L$10,100,('исходные данные'!N31-'минимумы и максимумы'!L$9)/('минимумы и максимумы'!L$10-'минимумы и максимумы'!L$9)*100)</f>
        <v>23.79280113757002</v>
      </c>
      <c r="O31">
        <f>IF('исходные данные'!O31&gt;'минимумы и максимумы'!M$10,100,('исходные данные'!O31-'минимумы и максимумы'!M$9)/('минимумы и максимумы'!M$10-'минимумы и максимумы'!M$9)*100)</f>
        <v>0</v>
      </c>
      <c r="P31">
        <f>IF('исходные данные'!P31&gt;'минимумы и максимумы'!N$10,100,('исходные данные'!P31-'минимумы и максимумы'!N$9)/('минимумы и максимумы'!N$10-'минимумы и максимумы'!N$9)*100)</f>
        <v>0</v>
      </c>
      <c r="Q31">
        <f>IF('исходные данные'!Q31&gt;'минимумы и максимумы'!O$10,100,('исходные данные'!Q31-'минимумы и максимумы'!O$9)/('минимумы и максимумы'!O$10-'минимумы и максимумы'!O$9)*100)</f>
        <v>100</v>
      </c>
      <c r="R31">
        <f>IF('исходные данные'!R31&gt;'минимумы и максимумы'!P$10,100,('исходные данные'!R31-'минимумы и максимумы'!P$9)/('минимумы и максимумы'!P$10-'минимумы и максимумы'!P$9)*100)</f>
        <v>50</v>
      </c>
      <c r="S31">
        <f>IF('исходные данные'!S31&gt;'минимумы и максимумы'!Q$10,100,('исходные данные'!S31-'минимумы и максимумы'!Q$9)/('минимумы и максимумы'!Q$10-'минимумы и максимумы'!Q$9)*100)</f>
        <v>50</v>
      </c>
      <c r="T31">
        <f>IF('исходные данные'!T31&gt;'минимумы и максимумы'!R$10,100,('исходные данные'!T31-'минимумы и максимумы'!R$9)/('минимумы и максимумы'!R$10-'минимумы и максимумы'!R$9)*100)</f>
        <v>13.003452243958574</v>
      </c>
      <c r="U31">
        <f>IF('исходные данные'!U31&gt;'минимумы и максимумы'!S$10,100,('исходные данные'!U31-'минимумы и максимумы'!S$9)/('минимумы и максимумы'!S$10-'минимумы и максимумы'!S$9)*100)</f>
        <v>33.333333333333329</v>
      </c>
    </row>
    <row r="32" spans="1:21" x14ac:dyDescent="0.45">
      <c r="A32" s="4">
        <v>57</v>
      </c>
      <c r="B32" s="4">
        <v>0</v>
      </c>
      <c r="C32" s="4">
        <v>0</v>
      </c>
      <c r="D32">
        <f>IF('исходные данные'!D32&gt;'минимумы и максимумы'!B$10,100,('исходные данные'!D32-'минимумы и максимумы'!B$9)/('минимумы и максимумы'!B$10-'минимумы и максимумы'!B$9)*100)</f>
        <v>22.222222222222221</v>
      </c>
      <c r="E32">
        <f>IF('исходные данные'!E32&gt;'минимумы и максимумы'!C$10,100,('исходные данные'!E32-'минимумы и максимумы'!C$9)/('минимумы и максимумы'!C$10-'минимумы и максимумы'!C$9)*100)</f>
        <v>20</v>
      </c>
      <c r="F32">
        <f>IF('исходные данные'!F32&gt;'минимумы и максимумы'!D$10,100,('исходные данные'!F32-'минимумы и максимумы'!D$9)/('минимумы и максимумы'!D$10-'минимумы и максимумы'!D$9)*100)</f>
        <v>0</v>
      </c>
      <c r="G32">
        <f>IF('исходные данные'!G32&gt;'минимумы и максимумы'!E$10,100,('исходные данные'!G32-'минимумы и максимумы'!E$9)/('минимумы и максимумы'!E$10-'минимумы и максимумы'!E$9)*100)</f>
        <v>25</v>
      </c>
      <c r="H32">
        <f>IF('исходные данные'!H32&gt;'минимумы и максимумы'!F$10,100,('исходные данные'!H32-'минимумы и максимумы'!F$9)/('минимумы и максимумы'!F$10-'минимумы и максимумы'!F$9)*100)</f>
        <v>10.344827586206897</v>
      </c>
      <c r="I32">
        <f>IF('исходные данные'!I32&gt;'минимумы и максимумы'!G$10,100,('исходные данные'!I32-'минимумы и максимумы'!G$9)/('минимумы и максимумы'!G$10-'минимумы и максимумы'!G$9)*100)</f>
        <v>13.20754716981132</v>
      </c>
      <c r="J32">
        <f>IF('исходные данные'!J32&gt;'минимумы и максимумы'!H$10,100,('исходные данные'!J32-'минимумы и максимумы'!H$9)/('минимумы и максимумы'!H$10-'минимумы и максимумы'!H$9)*100)</f>
        <v>0</v>
      </c>
      <c r="K32">
        <f>IF('исходные данные'!K32&gt;'минимумы и максимумы'!I$10,100,('исходные данные'!K32-'минимумы и максимумы'!I$9)/('минимумы и максимумы'!I$10-'минимумы и максимумы'!I$9)*100)</f>
        <v>5.5555555555555554</v>
      </c>
      <c r="L32">
        <f>IF('исходные данные'!L32&gt;'минимумы и максимумы'!J$10,100,('исходные данные'!L32-'минимумы и максимумы'!J$9)/('минимумы и максимумы'!J$10-'минимумы и максимумы'!J$9)*100)</f>
        <v>7.1428571428571423</v>
      </c>
      <c r="M32">
        <f>IF('исходные данные'!M32&gt;'минимумы и максимумы'!K$10,100,('исходные данные'!M32-'минимумы и максимумы'!K$9)/('минимумы и максимумы'!K$10-'минимумы и максимумы'!K$9)*100)</f>
        <v>14.285714285714285</v>
      </c>
      <c r="N32">
        <f>IF('исходные данные'!N32&gt;'минимумы и максимумы'!L$10,100,('исходные данные'!N32-'минимумы и максимумы'!L$9)/('минимумы и максимумы'!L$10-'минимумы и максимумы'!L$9)*100)</f>
        <v>19.42773647852276</v>
      </c>
      <c r="O32">
        <f>IF('исходные данные'!O32&gt;'минимумы и максимумы'!M$10,100,('исходные данные'!O32-'минимумы и максимумы'!M$9)/('минимумы и максимумы'!M$10-'минимумы и максимумы'!M$9)*100)</f>
        <v>0</v>
      </c>
      <c r="P32">
        <f>IF('исходные данные'!P32&gt;'минимумы и максимумы'!N$10,100,('исходные данные'!P32-'минимумы и максимумы'!N$9)/('минимумы и максимумы'!N$10-'минимумы и максимумы'!N$9)*100)</f>
        <v>100</v>
      </c>
      <c r="Q32">
        <f>IF('исходные данные'!Q32&gt;'минимумы и максимумы'!O$10,100,('исходные данные'!Q32-'минимумы и максимумы'!O$9)/('минимумы и максимумы'!O$10-'минимумы и максимумы'!O$9)*100)</f>
        <v>0</v>
      </c>
      <c r="R32">
        <f>IF('исходные данные'!R32&gt;'минимумы и максимумы'!P$10,100,('исходные данные'!R32-'минимумы и максимумы'!P$9)/('минимумы и максимумы'!P$10-'минимумы и максимумы'!P$9)*100)</f>
        <v>100</v>
      </c>
      <c r="S32">
        <f>IF('исходные данные'!S32&gt;'минимумы и максимумы'!Q$10,100,('исходные данные'!S32-'минимумы и максимумы'!Q$9)/('минимумы и максимумы'!Q$10-'минимумы и максимумы'!Q$9)*100)</f>
        <v>100</v>
      </c>
      <c r="T32">
        <f>IF('исходные данные'!T32&gt;'минимумы и максимумы'!R$10,100,('исходные данные'!T32-'минимумы и максимумы'!R$9)/('минимумы и максимумы'!R$10-'минимумы и максимумы'!R$9)*100)</f>
        <v>39.182968929804375</v>
      </c>
      <c r="U32">
        <f>IF('исходные данные'!U32&gt;'минимумы и максимумы'!S$10,100,('исходные данные'!U32-'минимумы и максимумы'!S$9)/('минимумы и максимумы'!S$10-'минимумы и максимумы'!S$9)*100)</f>
        <v>0</v>
      </c>
    </row>
    <row r="33" spans="1:21" x14ac:dyDescent="0.45">
      <c r="A33" s="4">
        <v>58</v>
      </c>
      <c r="B33" s="4">
        <v>0</v>
      </c>
      <c r="C33" s="4">
        <v>0</v>
      </c>
      <c r="D33">
        <f>IF('исходные данные'!D33&gt;'минимумы и максимумы'!B$10,100,('исходные данные'!D33-'минимумы и максимумы'!B$9)/('минимумы и максимумы'!B$10-'минимумы и максимумы'!B$9)*100)</f>
        <v>22.222222222222221</v>
      </c>
      <c r="E33">
        <f>IF('исходные данные'!E33&gt;'минимумы и максимумы'!C$10,100,('исходные данные'!E33-'минимумы и максимумы'!C$9)/('минимумы и максимумы'!C$10-'минимумы и максимумы'!C$9)*100)</f>
        <v>90</v>
      </c>
      <c r="F33">
        <f>IF('исходные данные'!F33&gt;'минимумы и максимумы'!D$10,100,('исходные данные'!F33-'минимумы и максимумы'!D$9)/('минимумы и максимумы'!D$10-'минимумы и максимумы'!D$9)*100)</f>
        <v>33.333333333333329</v>
      </c>
      <c r="G33">
        <f>IF('исходные данные'!G33&gt;'минимумы и максимумы'!E$10,100,('исходные данные'!G33-'минимумы и максимумы'!E$9)/('минимумы и максимумы'!E$10-'минимумы и максимумы'!E$9)*100)</f>
        <v>33.333333333333329</v>
      </c>
      <c r="H33">
        <f>IF('исходные данные'!H33&gt;'минимумы и максимумы'!F$10,100,('исходные данные'!H33-'минимумы и максимумы'!F$9)/('минимумы и максимумы'!F$10-'минимумы и максимумы'!F$9)*100)</f>
        <v>17.241379310344829</v>
      </c>
      <c r="I33">
        <f>IF('исходные данные'!I33&gt;'минимумы и максимумы'!G$10,100,('исходные данные'!I33-'минимумы и максимумы'!G$9)/('минимумы и максимумы'!G$10-'минимумы и максимумы'!G$9)*100)</f>
        <v>28.30188679245283</v>
      </c>
      <c r="J33">
        <f>IF('исходные данные'!J33&gt;'минимумы и максимумы'!H$10,100,('исходные данные'!J33-'минимумы и максимумы'!H$9)/('минимумы и максимумы'!H$10-'минимумы и максимумы'!H$9)*100)</f>
        <v>6.666666666666667</v>
      </c>
      <c r="K33">
        <f>IF('исходные данные'!K33&gt;'минимумы и максимумы'!I$10,100,('исходные данные'!K33-'минимумы и максимумы'!I$9)/('минимумы и максимумы'!I$10-'минимумы и максимумы'!I$9)*100)</f>
        <v>50</v>
      </c>
      <c r="L33">
        <f>IF('исходные данные'!L33&gt;'минимумы и максимумы'!J$10,100,('исходные данные'!L33-'минимумы и максимумы'!J$9)/('минимумы и максимумы'!J$10-'минимумы и максимумы'!J$9)*100)</f>
        <v>7.1428571428571423</v>
      </c>
      <c r="M33">
        <f>IF('исходные данные'!M33&gt;'минимумы и максимумы'!K$10,100,('исходные данные'!M33-'минимумы и максимумы'!K$9)/('минимумы и максимумы'!K$10-'минимумы и максимумы'!K$9)*100)</f>
        <v>32.142857142857146</v>
      </c>
      <c r="N33">
        <f>IF('исходные данные'!N33&gt;'минимумы и максимумы'!L$10,100,('исходные данные'!N33-'минимумы и максимумы'!L$9)/('минимумы и максимумы'!L$10-'минимумы и максимумы'!L$9)*100)</f>
        <v>17.306162052421538</v>
      </c>
      <c r="O33">
        <f>IF('исходные данные'!O33&gt;'минимумы и максимумы'!M$10,100,('исходные данные'!O33-'минимумы и максимумы'!M$9)/('минимумы и максимумы'!M$10-'минимумы и максимумы'!M$9)*100)</f>
        <v>33.333333333333329</v>
      </c>
      <c r="P33">
        <f>IF('исходные данные'!P33&gt;'минимумы и максимумы'!N$10,100,('исходные данные'!P33-'минимумы и максимумы'!N$9)/('минимумы и максимумы'!N$10-'минимумы и максимумы'!N$9)*100)</f>
        <v>0</v>
      </c>
      <c r="Q33">
        <f>IF('исходные данные'!Q33&gt;'минимумы и максимумы'!O$10,100,('исходные данные'!Q33-'минимумы и максимумы'!O$9)/('минимумы и максимумы'!O$10-'минимумы и максимумы'!O$9)*100)</f>
        <v>100</v>
      </c>
      <c r="R33">
        <f>IF('исходные данные'!R33&gt;'минимумы и максимумы'!P$10,100,('исходные данные'!R33-'минимумы и максимумы'!P$9)/('минимумы и максимумы'!P$10-'минимумы и максимумы'!P$9)*100)</f>
        <v>75</v>
      </c>
      <c r="S33">
        <f>IF('исходные данные'!S33&gt;'минимумы и максимумы'!Q$10,100,('исходные данные'!S33-'минимумы и максимумы'!Q$9)/('минимумы и максимумы'!Q$10-'минимумы и максимумы'!Q$9)*100)</f>
        <v>66.666666666666657</v>
      </c>
      <c r="T33">
        <f>IF('исходные данные'!T33&gt;'минимумы и максимумы'!R$10,100,('исходные данные'!T33-'минимумы и максимумы'!R$9)/('минимумы и максимумы'!R$10-'минимумы и максимумы'!R$9)*100)</f>
        <v>8.8032220943613346</v>
      </c>
      <c r="U33">
        <f>IF('исходные данные'!U33&gt;'минимумы и максимумы'!S$10,100,('исходные данные'!U33-'минимумы и максимумы'!S$9)/('минимумы и максимумы'!S$10-'минимумы и максимумы'!S$9)*100)</f>
        <v>0</v>
      </c>
    </row>
    <row r="34" spans="1:21" x14ac:dyDescent="0.45">
      <c r="A34" s="4">
        <v>59</v>
      </c>
      <c r="B34" s="4">
        <v>0</v>
      </c>
      <c r="C34" s="4">
        <v>0</v>
      </c>
      <c r="D34">
        <f>IF('исходные данные'!D34&gt;'минимумы и максимумы'!B$10,100,('исходные данные'!D34-'минимумы и максимумы'!B$9)/('минимумы и максимумы'!B$10-'минимумы и максимумы'!B$9)*100)</f>
        <v>11.111111111111111</v>
      </c>
      <c r="E34">
        <f>IF('исходные данные'!E34&gt;'минимумы и максимумы'!C$10,100,('исходные данные'!E34-'минимумы и максимумы'!C$9)/('минимумы и максимумы'!C$10-'минимумы и максимумы'!C$9)*100)</f>
        <v>60</v>
      </c>
      <c r="F34">
        <f>IF('исходные данные'!F34&gt;'минимумы и максимумы'!D$10,100,('исходные данные'!F34-'минимумы и максимумы'!D$9)/('минимумы и максимумы'!D$10-'минимумы и максимумы'!D$9)*100)</f>
        <v>33.333333333333329</v>
      </c>
      <c r="G34">
        <f>IF('исходные данные'!G34&gt;'минимумы и максимумы'!E$10,100,('исходные данные'!G34-'минимумы и максимумы'!E$9)/('минимумы и максимумы'!E$10-'минимумы и максимумы'!E$9)*100)</f>
        <v>25</v>
      </c>
      <c r="H34">
        <f>IF('исходные данные'!H34&gt;'минимумы и максимумы'!F$10,100,('исходные данные'!H34-'минимумы и максимумы'!F$9)/('минимумы и максимумы'!F$10-'минимумы и максимумы'!F$9)*100)</f>
        <v>17.241379310344829</v>
      </c>
      <c r="I34">
        <f>IF('исходные данные'!I34&gt;'минимумы и максимумы'!G$10,100,('исходные данные'!I34-'минимумы и максимумы'!G$9)/('минимумы и максимумы'!G$10-'минимумы и максимумы'!G$9)*100)</f>
        <v>37.735849056603776</v>
      </c>
      <c r="J34">
        <f>IF('исходные данные'!J34&gt;'минимумы и максимумы'!H$10,100,('исходные данные'!J34-'минимумы и максимумы'!H$9)/('минимумы и максимумы'!H$10-'минимумы и максимумы'!H$9)*100)</f>
        <v>13.333333333333334</v>
      </c>
      <c r="K34">
        <f>IF('исходные данные'!K34&gt;'минимумы и максимумы'!I$10,100,('исходные данные'!K34-'минимумы и максимумы'!I$9)/('минимумы и максимумы'!I$10-'минимумы и максимумы'!I$9)*100)</f>
        <v>61.111111111111114</v>
      </c>
      <c r="L34">
        <f>IF('исходные данные'!L34&gt;'минимумы и максимумы'!J$10,100,('исходные данные'!L34-'минимумы и максимумы'!J$9)/('минимумы и максимумы'!J$10-'минимумы и максимумы'!J$9)*100)</f>
        <v>0</v>
      </c>
      <c r="M34">
        <f>IF('исходные данные'!M34&gt;'минимумы и максимумы'!K$10,100,('исходные данные'!M34-'минимумы и максимумы'!K$9)/('минимумы и максимумы'!K$10-'минимумы и максимумы'!K$9)*100)</f>
        <v>32.142857142857146</v>
      </c>
      <c r="N34">
        <f>IF('исходные данные'!N34&gt;'минимумы и максимумы'!L$10,100,('исходные данные'!N34-'минимумы и максимумы'!L$9)/('минимумы и максимумы'!L$10-'минимумы и максимумы'!L$9)*100)</f>
        <v>15.614116679291229</v>
      </c>
      <c r="O34">
        <f>IF('исходные данные'!O34&gt;'минимумы и максимумы'!M$10,100,('исходные данные'!O34-'минимумы и максимумы'!M$9)/('минимумы и максимумы'!M$10-'минимумы и максимумы'!M$9)*100)</f>
        <v>33.333333333333329</v>
      </c>
      <c r="P34">
        <f>IF('исходные данные'!P34&gt;'минимумы и максимумы'!N$10,100,('исходные данные'!P34-'минимумы и максимумы'!N$9)/('минимумы и максимумы'!N$10-'минимумы и максимумы'!N$9)*100)</f>
        <v>0</v>
      </c>
      <c r="Q34">
        <f>IF('исходные данные'!Q34&gt;'минимумы и максимумы'!O$10,100,('исходные данные'!Q34-'минимумы и максимумы'!O$9)/('минимумы и максимумы'!O$10-'минимумы и максимумы'!O$9)*100)</f>
        <v>0</v>
      </c>
      <c r="R34">
        <f>IF('исходные данные'!R34&gt;'минимумы и максимумы'!P$10,100,('исходные данные'!R34-'минимумы и максимумы'!P$9)/('минимумы и максимумы'!P$10-'минимумы и максимумы'!P$9)*100)</f>
        <v>75</v>
      </c>
      <c r="S34">
        <f>IF('исходные данные'!S34&gt;'минимумы и максимумы'!Q$10,100,('исходные данные'!S34-'минимумы и максимумы'!Q$9)/('минимумы и максимумы'!Q$10-'минимумы и максимумы'!Q$9)*100)</f>
        <v>33.333333333333329</v>
      </c>
      <c r="T34">
        <f>IF('исходные данные'!T34&gt;'минимумы и максимумы'!R$10,100,('исходные данные'!T34-'минимумы и максимумы'!R$9)/('минимумы и максимумы'!R$10-'минимумы и максимумы'!R$9)*100)</f>
        <v>22.756041426927503</v>
      </c>
      <c r="U34">
        <f>IF('исходные данные'!U34&gt;'минимумы и максимумы'!S$10,100,('исходные данные'!U34-'минимумы и максимумы'!S$9)/('минимумы и максимумы'!S$10-'минимумы и максимумы'!S$9)*100)</f>
        <v>33.333333333333329</v>
      </c>
    </row>
    <row r="35" spans="1:21" x14ac:dyDescent="0.45">
      <c r="A35" s="4">
        <v>61</v>
      </c>
      <c r="B35" s="4">
        <v>0</v>
      </c>
      <c r="C35" s="4">
        <v>0</v>
      </c>
      <c r="D35">
        <f>IF('исходные данные'!D35&gt;'минимумы и максимумы'!B$10,100,('исходные данные'!D35-'минимумы и максимумы'!B$9)/('минимумы и максимумы'!B$10-'минимумы и максимумы'!B$9)*100)</f>
        <v>11.111111111111111</v>
      </c>
      <c r="E35">
        <f>IF('исходные данные'!E35&gt;'минимумы и максимумы'!C$10,100,('исходные данные'!E35-'минимумы и максимумы'!C$9)/('минимумы и максимумы'!C$10-'минимумы и максимумы'!C$9)*100)</f>
        <v>90</v>
      </c>
      <c r="F35">
        <f>IF('исходные данные'!F35&gt;'минимумы и максимумы'!D$10,100,('исходные данные'!F35-'минимумы и максимумы'!D$9)/('минимумы и максимумы'!D$10-'минимумы и максимумы'!D$9)*100)</f>
        <v>33.333333333333329</v>
      </c>
      <c r="G35">
        <f>IF('исходные данные'!G35&gt;'минимумы и максимумы'!E$10,100,('исходные данные'!G35-'минимумы и максимумы'!E$9)/('минимумы и максимумы'!E$10-'минимумы и максимумы'!E$9)*100)</f>
        <v>16.666666666666664</v>
      </c>
      <c r="H35">
        <f>IF('исходные данные'!H35&gt;'минимумы и максимумы'!F$10,100,('исходные данные'!H35-'минимумы и максимумы'!F$9)/('минимумы и максимумы'!F$10-'минимумы и максимумы'!F$9)*100)</f>
        <v>13.793103448275861</v>
      </c>
      <c r="I35">
        <f>IF('исходные данные'!I35&gt;'минимумы и максимумы'!G$10,100,('исходные данные'!I35-'минимумы и максимумы'!G$9)/('минимумы и максимумы'!G$10-'минимумы и максимумы'!G$9)*100)</f>
        <v>18.867924528301888</v>
      </c>
      <c r="J35">
        <f>IF('исходные данные'!J35&gt;'минимумы и максимумы'!H$10,100,('исходные данные'!J35-'минимумы и максимумы'!H$9)/('минимумы и максимумы'!H$10-'минимумы и максимумы'!H$9)*100)</f>
        <v>6.666666666666667</v>
      </c>
      <c r="K35">
        <f>IF('исходные данные'!K35&gt;'минимумы и максимумы'!I$10,100,('исходные данные'!K35-'минимумы и максимумы'!I$9)/('минимумы и максимумы'!I$10-'минимумы и максимумы'!I$9)*100)</f>
        <v>44.444444444444443</v>
      </c>
      <c r="L35">
        <f>IF('исходные данные'!L35&gt;'минимумы и максимумы'!J$10,100,('исходные данные'!L35-'минимумы и максимумы'!J$9)/('минимумы и максимумы'!J$10-'минимумы и максимумы'!J$9)*100)</f>
        <v>0</v>
      </c>
      <c r="M35">
        <f>IF('исходные данные'!M35&gt;'минимумы и максимумы'!K$10,100,('исходные данные'!M35-'минимумы и максимумы'!K$9)/('минимумы и максимумы'!K$10-'минимумы и максимумы'!K$9)*100)</f>
        <v>39.285714285714285</v>
      </c>
      <c r="N35">
        <f>IF('исходные данные'!N35&gt;'минимумы и максимумы'!L$10,100,('исходные данные'!N35-'минимумы и максимумы'!L$9)/('минимумы и максимумы'!L$10-'минимумы и максимумы'!L$9)*100)</f>
        <v>15.783350366190191</v>
      </c>
      <c r="O35">
        <f>IF('исходные данные'!O35&gt;'минимумы и максимумы'!M$10,100,('исходные данные'!O35-'минимумы и максимумы'!M$9)/('минимумы и максимумы'!M$10-'минимумы и максимумы'!M$9)*100)</f>
        <v>100</v>
      </c>
      <c r="P35">
        <f>IF('исходные данные'!P35&gt;'минимумы и максимумы'!N$10,100,('исходные данные'!P35-'минимумы и максимумы'!N$9)/('минимумы и максимумы'!N$10-'минимумы и максимумы'!N$9)*100)</f>
        <v>0</v>
      </c>
      <c r="Q35">
        <f>IF('исходные данные'!Q35&gt;'минимумы и максимумы'!O$10,100,('исходные данные'!Q35-'минимумы и максимумы'!O$9)/('минимумы и максимумы'!O$10-'минимумы и максимумы'!O$9)*100)</f>
        <v>100</v>
      </c>
      <c r="R35">
        <f>IF('исходные данные'!R35&gt;'минимумы и максимумы'!P$10,100,('исходные данные'!R35-'минимумы и максимумы'!P$9)/('минимумы и максимумы'!P$10-'минимумы и максимумы'!P$9)*100)</f>
        <v>100</v>
      </c>
      <c r="S35">
        <f>IF('исходные данные'!S35&gt;'минимумы и максимумы'!Q$10,100,('исходные данные'!S35-'минимумы и максимумы'!Q$9)/('минимумы и максимумы'!Q$10-'минимумы и максимумы'!Q$9)*100)</f>
        <v>33.333333333333329</v>
      </c>
      <c r="T35">
        <f>IF('исходные данные'!T35&gt;'минимумы и максимумы'!R$10,100,('исходные данные'!T35-'минимумы и максимумы'!R$9)/('минимумы и максимумы'!R$10-'минимумы и максимумы'!R$9)*100)</f>
        <v>11.162255466052933</v>
      </c>
      <c r="U35">
        <f>IF('исходные данные'!U35&gt;'минимумы и максимумы'!S$10,100,('исходные данные'!U35-'минимумы и максимумы'!S$9)/('минимумы и максимумы'!S$10-'минимумы и максимумы'!S$9)*100)</f>
        <v>33.333333333333329</v>
      </c>
    </row>
    <row r="36" spans="1:21" x14ac:dyDescent="0.45">
      <c r="A36" s="4">
        <v>65</v>
      </c>
      <c r="B36" s="4">
        <v>0</v>
      </c>
      <c r="C36" s="4">
        <v>0</v>
      </c>
      <c r="D36">
        <f>IF('исходные данные'!D36&gt;'минимумы и максимумы'!B$10,100,('исходные данные'!D36-'минимумы и максимумы'!B$9)/('минимумы и максимумы'!B$10-'минимумы и максимумы'!B$9)*100)</f>
        <v>11.111111111111111</v>
      </c>
      <c r="E36">
        <f>IF('исходные данные'!E36&gt;'минимумы и максимумы'!C$10,100,('исходные данные'!E36-'минимумы и максимумы'!C$9)/('минимумы и максимумы'!C$10-'минимумы и максимумы'!C$9)*100)</f>
        <v>0</v>
      </c>
      <c r="F36">
        <f>IF('исходные данные'!F36&gt;'минимумы и максимумы'!D$10,100,('исходные данные'!F36-'минимумы и максимумы'!D$9)/('минимумы и максимумы'!D$10-'минимумы и максимумы'!D$9)*100)</f>
        <v>0</v>
      </c>
      <c r="G36">
        <f>IF('исходные данные'!G36&gt;'минимумы и максимумы'!E$10,100,('исходные данные'!G36-'минимумы и максимумы'!E$9)/('минимумы и максимумы'!E$10-'минимумы и максимумы'!E$9)*100)</f>
        <v>12.5</v>
      </c>
      <c r="H36">
        <f>IF('исходные данные'!H36&gt;'минимумы и максимумы'!F$10,100,('исходные данные'!H36-'минимумы и максимумы'!F$9)/('минимумы и максимумы'!F$10-'минимумы и максимумы'!F$9)*100)</f>
        <v>3.4482758620689653</v>
      </c>
      <c r="I36">
        <f>IF('исходные данные'!I36&gt;'минимумы и максимумы'!G$10,100,('исходные данные'!I36-'минимумы и максимумы'!G$9)/('минимумы и максимумы'!G$10-'минимумы и максимумы'!G$9)*100)</f>
        <v>28.30188679245283</v>
      </c>
      <c r="J36">
        <f>IF('исходные данные'!J36&gt;'минимумы и максимумы'!H$10,100,('исходные данные'!J36-'минимумы и максимумы'!H$9)/('минимумы и максимумы'!H$10-'минимумы и максимумы'!H$9)*100)</f>
        <v>13.333333333333334</v>
      </c>
      <c r="K36">
        <f>IF('исходные данные'!K36&gt;'минимумы и максимумы'!I$10,100,('исходные данные'!K36-'минимумы и максимумы'!I$9)/('минимумы и максимумы'!I$10-'минимумы и максимумы'!I$9)*100)</f>
        <v>11.111111111111111</v>
      </c>
      <c r="L36">
        <f>IF('исходные данные'!L36&gt;'минимумы и максимумы'!J$10,100,('исходные данные'!L36-'минимумы и максимумы'!J$9)/('минимумы и максимумы'!J$10-'минимумы и максимумы'!J$9)*100)</f>
        <v>21.428571428571427</v>
      </c>
      <c r="M36">
        <f>IF('исходные данные'!M36&gt;'минимумы и максимумы'!K$10,100,('исходные данные'!M36-'минимумы и максимумы'!K$9)/('минимумы и максимумы'!K$10-'минимумы и максимумы'!K$9)*100)</f>
        <v>32.142857142857146</v>
      </c>
      <c r="N36">
        <f>IF('исходные данные'!N36&gt;'минимумы и максимумы'!L$10,100,('исходные данные'!N36-'минимумы и максимумы'!L$9)/('минимумы и максимумы'!L$10-'минимумы и максимумы'!L$9)*100)</f>
        <v>11.493744931436249</v>
      </c>
      <c r="O36">
        <f>IF('исходные данные'!O36&gt;'минимумы и максимумы'!M$10,100,('исходные данные'!O36-'минимумы и максимумы'!M$9)/('минимумы и максимумы'!M$10-'минимумы и максимумы'!M$9)*100)</f>
        <v>100</v>
      </c>
      <c r="P36">
        <f>IF('исходные данные'!P36&gt;'минимумы и максимумы'!N$10,100,('исходные данные'!P36-'минимумы и максимумы'!N$9)/('минимумы и максимумы'!N$10-'минимумы и максимумы'!N$9)*100)</f>
        <v>100</v>
      </c>
      <c r="Q36">
        <f>IF('исходные данные'!Q36&gt;'минимумы и максимумы'!O$10,100,('исходные данные'!Q36-'минимумы и максимумы'!O$9)/('минимумы и максимумы'!O$10-'минимумы и максимумы'!O$9)*100)</f>
        <v>100</v>
      </c>
      <c r="R36">
        <f>IF('исходные данные'!R36&gt;'минимумы и максимумы'!P$10,100,('исходные данные'!R36-'минимумы и максимумы'!P$9)/('минимумы и максимумы'!P$10-'минимумы и максимумы'!P$9)*100)</f>
        <v>75</v>
      </c>
      <c r="S36">
        <f>IF('исходные данные'!S36&gt;'минимумы и максимумы'!Q$10,100,('исходные данные'!S36-'минимумы и максимумы'!Q$9)/('минимумы и максимумы'!Q$10-'минимумы и максимумы'!Q$9)*100)</f>
        <v>83.333333333333343</v>
      </c>
      <c r="T36">
        <f>IF('исходные данные'!T36&gt;'минимумы и максимумы'!R$10,100,('исходные данные'!T36-'минимумы и максимумы'!R$9)/('минимумы и максимумы'!R$10-'минимумы и максимумы'!R$9)*100)</f>
        <v>100</v>
      </c>
      <c r="U36">
        <f>IF('исходные данные'!U36&gt;'минимумы и максимумы'!S$10,100,('исходные данные'!U36-'минимумы и максимумы'!S$9)/('минимумы и максимумы'!S$10-'минимумы и максимумы'!S$9)*100)</f>
        <v>100</v>
      </c>
    </row>
    <row r="37" spans="1:21" x14ac:dyDescent="0.45">
      <c r="A37" s="4">
        <v>69</v>
      </c>
      <c r="B37" s="4">
        <v>0</v>
      </c>
      <c r="C37" s="4">
        <v>0</v>
      </c>
      <c r="D37">
        <f>IF('исходные данные'!D37&gt;'минимумы и максимумы'!B$10,100,('исходные данные'!D37-'минимумы и максимумы'!B$9)/('минимумы и максимумы'!B$10-'минимумы и максимумы'!B$9)*100)</f>
        <v>0</v>
      </c>
      <c r="E37">
        <f>IF('исходные данные'!E37&gt;'минимумы и максимумы'!C$10,100,('исходные данные'!E37-'минимумы и максимумы'!C$9)/('минимумы и максимумы'!C$10-'минимумы и максимумы'!C$9)*100)</f>
        <v>10</v>
      </c>
      <c r="F37">
        <f>IF('исходные данные'!F37&gt;'минимумы и максимумы'!D$10,100,('исходные данные'!F37-'минимумы и максимумы'!D$9)/('минимумы и максимумы'!D$10-'минимумы и максимумы'!D$9)*100)</f>
        <v>0</v>
      </c>
      <c r="G37">
        <f>IF('исходные данные'!G37&gt;'минимумы и максимумы'!E$10,100,('исходные данные'!G37-'минимумы и максимумы'!E$9)/('минимумы и максимумы'!E$10-'минимумы и максимумы'!E$9)*100)</f>
        <v>0</v>
      </c>
      <c r="H37">
        <f>IF('исходные данные'!H37&gt;'минимумы и максимумы'!F$10,100,('исходные данные'!H37-'минимумы и максимумы'!F$9)/('минимумы и максимумы'!F$10-'минимумы и максимумы'!F$9)*100)</f>
        <v>3.4482758620689653</v>
      </c>
      <c r="I37">
        <f>IF('исходные данные'!I37&gt;'минимумы и максимумы'!G$10,100,('исходные данные'!I37-'минимумы и максимумы'!G$9)/('минимумы и максимумы'!G$10-'минимумы и максимумы'!G$9)*100)</f>
        <v>18.867924528301888</v>
      </c>
      <c r="J37">
        <f>IF('исходные данные'!J37&gt;'минимумы и максимумы'!H$10,100,('исходные данные'!J37-'минимумы и максимумы'!H$9)/('минимумы и максимумы'!H$10-'минимумы и максимумы'!H$9)*100)</f>
        <v>13.333333333333334</v>
      </c>
      <c r="K37">
        <f>IF('исходные данные'!K37&gt;'минимумы и максимумы'!I$10,100,('исходные данные'!K37-'минимумы и максимумы'!I$9)/('минимумы и максимумы'!I$10-'минимумы и максимумы'!I$9)*100)</f>
        <v>0</v>
      </c>
      <c r="L37">
        <f>IF('исходные данные'!L37&gt;'минимумы и максимумы'!J$10,100,('исходные данные'!L37-'минимумы и максимумы'!J$9)/('минимумы и максимумы'!J$10-'минимумы и максимумы'!J$9)*100)</f>
        <v>0</v>
      </c>
      <c r="M37">
        <f>IF('исходные данные'!M37&gt;'минимумы и максимумы'!K$10,100,('исходные данные'!M37-'минимумы и максимумы'!K$9)/('минимумы и максимумы'!K$10-'минимумы и максимумы'!K$9)*100)</f>
        <v>14.285714285714285</v>
      </c>
      <c r="N37">
        <f>IF('исходные данные'!N37&gt;'минимумы и максимумы'!L$10,100,('исходные данные'!N37-'минимумы и максимумы'!L$9)/('минимумы и максимумы'!L$10-'минимумы и максимумы'!L$9)*100)</f>
        <v>10.043031522121849</v>
      </c>
      <c r="O37">
        <f>IF('исходные данные'!O37&gt;'минимумы и максимумы'!M$10,100,('исходные данные'!O37-'минимумы и максимумы'!M$9)/('минимумы и максимумы'!M$10-'минимумы и максимумы'!M$9)*100)</f>
        <v>0</v>
      </c>
      <c r="P37">
        <f>IF('исходные данные'!P37&gt;'минимумы и максимумы'!N$10,100,('исходные данные'!P37-'минимумы и максимумы'!N$9)/('минимумы и максимумы'!N$10-'минимумы и максимумы'!N$9)*100)</f>
        <v>0</v>
      </c>
      <c r="Q37">
        <f>IF('исходные данные'!Q37&gt;'минимумы и максимумы'!O$10,100,('исходные данные'!Q37-'минимумы и максимумы'!O$9)/('минимумы и максимумы'!O$10-'минимумы и максимумы'!O$9)*100)</f>
        <v>0</v>
      </c>
      <c r="R37">
        <f>IF('исходные данные'!R37&gt;'минимумы и максимумы'!P$10,100,('исходные данные'!R37-'минимумы и максимумы'!P$9)/('минимумы и максимумы'!P$10-'минимумы и максимумы'!P$9)*100)</f>
        <v>75</v>
      </c>
      <c r="S37">
        <f>IF('исходные данные'!S37&gt;'минимумы и максимумы'!Q$10,100,('исходные данные'!S37-'минимумы и максимумы'!Q$9)/('минимумы и максимумы'!Q$10-'минимумы и максимумы'!Q$9)*100)</f>
        <v>16.666666666666664</v>
      </c>
      <c r="T37">
        <f>IF('исходные данные'!T37&gt;'минимумы и максимумы'!R$10,100,('исходные данные'!T37-'минимумы и максимумы'!R$9)/('минимумы и максимумы'!R$10-'минимумы и максимумы'!R$9)*100)</f>
        <v>4.9482163406214035</v>
      </c>
      <c r="U37">
        <f>IF('исходные данные'!U37&gt;'минимумы и максимумы'!S$10,100,('исходные данные'!U37-'минимумы и максимумы'!S$9)/('минимумы и максимумы'!S$10-'минимумы и максимумы'!S$9)*100)</f>
        <v>33.333333333333329</v>
      </c>
    </row>
    <row r="38" spans="1:21" x14ac:dyDescent="0.45">
      <c r="A38" s="4">
        <v>72</v>
      </c>
      <c r="B38" s="4">
        <v>1</v>
      </c>
      <c r="C38" s="4">
        <v>0</v>
      </c>
      <c r="D38">
        <f>IF('исходные данные'!D38&gt;'минимумы и максимумы'!B$10,100,('исходные данные'!D38-'минимумы и максимумы'!B$9)/('минимумы и максимумы'!B$10-'минимумы и максимумы'!B$9)*100)</f>
        <v>11.111111111111111</v>
      </c>
      <c r="E38">
        <f>IF('исходные данные'!E38&gt;'минимумы и максимумы'!C$10,100,('исходные данные'!E38-'минимумы и максимумы'!C$9)/('минимумы и максимумы'!C$10-'минимумы и максимумы'!C$9)*100)</f>
        <v>20</v>
      </c>
      <c r="F38">
        <f>IF('исходные данные'!F38&gt;'минимумы и максимумы'!D$10,100,('исходные данные'!F38-'минимумы и максимумы'!D$9)/('минимумы и максимумы'!D$10-'минимумы и максимумы'!D$9)*100)</f>
        <v>100</v>
      </c>
      <c r="G38">
        <f>IF('исходные данные'!G38&gt;'минимумы и максимумы'!E$10,100,('исходные данные'!G38-'минимумы и максимумы'!E$9)/('минимумы и максимумы'!E$10-'минимумы и максимумы'!E$9)*100)</f>
        <v>33.333333333333329</v>
      </c>
      <c r="H38">
        <f>IF('исходные данные'!H38&gt;'минимумы и максимумы'!F$10,100,('исходные данные'!H38-'минимумы и максимумы'!F$9)/('минимумы и максимумы'!F$10-'минимумы и максимумы'!F$9)*100)</f>
        <v>10.344827586206897</v>
      </c>
      <c r="I38">
        <f>IF('исходные данные'!I38&gt;'минимумы и максимумы'!G$10,100,('исходные данные'!I38-'минимумы и максимумы'!G$9)/('минимумы и максимумы'!G$10-'минимумы и максимумы'!G$9)*100)</f>
        <v>35.849056603773583</v>
      </c>
      <c r="J38">
        <f>IF('исходные данные'!J38&gt;'минимумы и максимумы'!H$10,100,('исходные данные'!J38-'минимумы и максимумы'!H$9)/('минимумы и максимумы'!H$10-'минимумы и максимумы'!H$9)*100)</f>
        <v>20</v>
      </c>
      <c r="K38">
        <f>IF('исходные данные'!K38&gt;'минимумы и максимумы'!I$10,100,('исходные данные'!K38-'минимумы и максимумы'!I$9)/('минимумы и максимумы'!I$10-'минимумы и максимумы'!I$9)*100)</f>
        <v>5.5555555555555554</v>
      </c>
      <c r="L38">
        <f>IF('исходные данные'!L38&gt;'минимумы и максимумы'!J$10,100,('исходные данные'!L38-'минимумы и максимумы'!J$9)/('минимумы и максимумы'!J$10-'минимумы и максимумы'!J$9)*100)</f>
        <v>7.1428571428571423</v>
      </c>
      <c r="M38">
        <f>IF('исходные данные'!M38&gt;'минимумы и максимумы'!K$10,100,('исходные данные'!M38-'минимумы и максимумы'!K$9)/('минимумы и максимумы'!K$10-'минимумы и максимумы'!K$9)*100)</f>
        <v>46.428571428571431</v>
      </c>
      <c r="N38">
        <f>IF('исходные данные'!N38&gt;'минимумы и максимумы'!L$10,100,('исходные данные'!N38-'минимумы и максимумы'!L$9)/('минимумы и максимумы'!L$10-'минимумы и максимумы'!L$9)*100)</f>
        <v>10.395129264910381</v>
      </c>
      <c r="O38">
        <f>IF('исходные данные'!O38&gt;'минимумы и максимумы'!M$10,100,('исходные данные'!O38-'минимумы и максимумы'!M$9)/('минимумы и максимумы'!M$10-'минимумы и максимумы'!M$9)*100)</f>
        <v>100</v>
      </c>
      <c r="P38">
        <f>IF('исходные данные'!P38&gt;'минимумы и максимумы'!N$10,100,('исходные данные'!P38-'минимумы и максимумы'!N$9)/('минимумы и максимумы'!N$10-'минимумы и максимумы'!N$9)*100)</f>
        <v>0</v>
      </c>
      <c r="Q38">
        <f>IF('исходные данные'!Q38&gt;'минимумы и максимумы'!O$10,100,('исходные данные'!Q38-'минимумы и максимумы'!O$9)/('минимумы и максимумы'!O$10-'минимумы и максимумы'!O$9)*100)</f>
        <v>100</v>
      </c>
      <c r="R38">
        <f>IF('исходные данные'!R38&gt;'минимумы и максимумы'!P$10,100,('исходные данные'!R38-'минимумы и максимумы'!P$9)/('минимумы и максимумы'!P$10-'минимумы и максимумы'!P$9)*100)</f>
        <v>100</v>
      </c>
      <c r="S38">
        <f>IF('исходные данные'!S38&gt;'минимумы и максимумы'!Q$10,100,('исходные данные'!S38-'минимумы и максимумы'!Q$9)/('минимумы и максимумы'!Q$10-'минимумы и максимумы'!Q$9)*100)</f>
        <v>33.333333333333329</v>
      </c>
      <c r="T38">
        <f>IF('исходные данные'!T38&gt;'минимумы и максимумы'!R$10,100,('исходные данные'!T38-'минимумы и максимумы'!R$9)/('минимумы и максимумы'!R$10-'минимумы и максимумы'!R$9)*100)</f>
        <v>13.003452243958574</v>
      </c>
      <c r="U38">
        <f>IF('исходные данные'!U38&gt;'минимумы и максимумы'!S$10,100,('исходные данные'!U38-'минимумы и максимумы'!S$9)/('минимумы и максимумы'!S$10-'минимумы и максимумы'!S$9)*100)</f>
        <v>0</v>
      </c>
    </row>
    <row r="39" spans="1:21" x14ac:dyDescent="0.45">
      <c r="A39" s="4">
        <v>73</v>
      </c>
      <c r="B39" s="4">
        <v>1</v>
      </c>
      <c r="C39" s="4">
        <v>0</v>
      </c>
      <c r="D39">
        <f>IF('исходные данные'!D39&gt;'минимумы и максимумы'!B$10,100,('исходные данные'!D39-'минимумы и максимумы'!B$9)/('минимумы и максимумы'!B$10-'минимумы и максимумы'!B$9)*100)</f>
        <v>0</v>
      </c>
      <c r="E39">
        <f>IF('исходные данные'!E39&gt;'минимумы и максимумы'!C$10,100,('исходные данные'!E39-'минимумы и максимумы'!C$9)/('минимумы и максимумы'!C$10-'минимумы и максимумы'!C$9)*100)</f>
        <v>0</v>
      </c>
      <c r="F39">
        <f>IF('исходные данные'!F39&gt;'минимумы и максимумы'!D$10,100,('исходные данные'!F39-'минимумы и максимумы'!D$9)/('минимумы и максимумы'!D$10-'минимумы и максимумы'!D$9)*100)</f>
        <v>100</v>
      </c>
      <c r="G39">
        <f>IF('исходные данные'!G39&gt;'минимумы и максимумы'!E$10,100,('исходные данные'!G39-'минимумы и максимумы'!E$9)/('минимумы и максимумы'!E$10-'минимумы и максимумы'!E$9)*100)</f>
        <v>29.166666666666668</v>
      </c>
      <c r="H39">
        <f>IF('исходные данные'!H39&gt;'минимумы и максимумы'!F$10,100,('исходные данные'!H39-'минимумы и максимумы'!F$9)/('минимумы и максимумы'!F$10-'минимумы и максимумы'!F$9)*100)</f>
        <v>17.241379310344829</v>
      </c>
      <c r="I39">
        <f>IF('исходные данные'!I39&gt;'минимумы и максимумы'!G$10,100,('исходные данные'!I39-'минимумы и максимумы'!G$9)/('минимумы и максимумы'!G$10-'минимумы и максимумы'!G$9)*100)</f>
        <v>49.056603773584904</v>
      </c>
      <c r="J39">
        <f>IF('исходные данные'!J39&gt;'минимумы и максимумы'!H$10,100,('исходные данные'!J39-'минимумы и максимумы'!H$9)/('минимумы и максимумы'!H$10-'минимумы и максимумы'!H$9)*100)</f>
        <v>20</v>
      </c>
      <c r="K39">
        <f>IF('исходные данные'!K39&gt;'минимумы и максимумы'!I$10,100,('исходные данные'!K39-'минимумы и максимумы'!I$9)/('минимумы и максимумы'!I$10-'минимумы и максимумы'!I$9)*100)</f>
        <v>44.444444444444443</v>
      </c>
      <c r="L39">
        <f>IF('исходные данные'!L39&gt;'минимумы и максимумы'!J$10,100,('исходные данные'!L39-'минимумы и максимумы'!J$9)/('минимумы и максимумы'!J$10-'минимумы и максимумы'!J$9)*100)</f>
        <v>21.428571428571427</v>
      </c>
      <c r="M39">
        <f>IF('исходные данные'!M39&gt;'минимумы и максимумы'!K$10,100,('исходные данные'!M39-'минимумы и максимумы'!K$9)/('минимумы и максимумы'!K$10-'минимумы и максимумы'!K$9)*100)</f>
        <v>42.857142857142854</v>
      </c>
      <c r="N39">
        <f>IF('исходные данные'!N39&gt;'минимумы и максимумы'!L$10,100,('исходные данные'!N39-'минимумы и максимумы'!L$9)/('минимумы и максимумы'!L$10-'минимумы и максимумы'!L$9)*100)</f>
        <v>12.382191830258268</v>
      </c>
      <c r="O39">
        <f>IF('исходные данные'!O39&gt;'минимумы и максимумы'!M$10,100,('исходные данные'!O39-'минимумы и максимумы'!M$9)/('минимумы и максимумы'!M$10-'минимумы и максимумы'!M$9)*100)</f>
        <v>66.666666666666657</v>
      </c>
      <c r="P39">
        <f>IF('исходные данные'!P39&gt;'минимумы и максимумы'!N$10,100,('исходные данные'!P39-'минимумы и максимумы'!N$9)/('минимумы и максимумы'!N$10-'минимумы и максимумы'!N$9)*100)</f>
        <v>0</v>
      </c>
      <c r="Q39">
        <f>IF('исходные данные'!Q39&gt;'минимумы и максимумы'!O$10,100,('исходные данные'!Q39-'минимумы и максимумы'!O$9)/('минимумы и максимумы'!O$10-'минимумы и максимумы'!O$9)*100)</f>
        <v>100</v>
      </c>
      <c r="R39">
        <f>IF('исходные данные'!R39&gt;'минимумы и максимумы'!P$10,100,('исходные данные'!R39-'минимумы и максимумы'!P$9)/('минимумы и максимумы'!P$10-'минимумы и максимумы'!P$9)*100)</f>
        <v>100</v>
      </c>
      <c r="S39">
        <f>IF('исходные данные'!S39&gt;'минимумы и максимумы'!Q$10,100,('исходные данные'!S39-'минимумы и максимумы'!Q$9)/('минимумы и максимумы'!Q$10-'минимумы и максимумы'!Q$9)*100)</f>
        <v>83.333333333333343</v>
      </c>
      <c r="T39">
        <f>IF('исходные данные'!T39&gt;'минимумы и максимумы'!R$10,100,('исходные данные'!T39-'минимумы и максимумы'!R$9)/('минимумы и максимумы'!R$10-'минимумы и максимумы'!R$9)*100)</f>
        <v>13.981588032220943</v>
      </c>
      <c r="U39">
        <f>IF('исходные данные'!U39&gt;'минимумы и максимумы'!S$10,100,('исходные данные'!U39-'минимумы и максимумы'!S$9)/('минимумы и максимумы'!S$10-'минимумы и максимумы'!S$9)*100)</f>
        <v>33.333333333333329</v>
      </c>
    </row>
    <row r="40" spans="1:21" x14ac:dyDescent="0.45">
      <c r="A40" s="4">
        <v>74</v>
      </c>
      <c r="B40" s="4">
        <v>1</v>
      </c>
      <c r="C40" s="4">
        <v>0</v>
      </c>
      <c r="D40">
        <f>IF('исходные данные'!D40&gt;'минимумы и максимумы'!B$10,100,('исходные данные'!D40-'минимумы и максимумы'!B$9)/('минимумы и максимумы'!B$10-'минимумы и максимумы'!B$9)*100)</f>
        <v>0</v>
      </c>
      <c r="E40">
        <f>IF('исходные данные'!E40&gt;'минимумы и максимумы'!C$10,100,('исходные данные'!E40-'минимумы и максимумы'!C$9)/('минимумы и максимумы'!C$10-'минимумы и максимумы'!C$9)*100)</f>
        <v>0</v>
      </c>
      <c r="F40">
        <f>IF('исходные данные'!F40&gt;'минимумы и максимумы'!D$10,100,('исходные данные'!F40-'минимумы и максимумы'!D$9)/('минимумы и максимумы'!D$10-'минимумы и максимумы'!D$9)*100)</f>
        <v>100</v>
      </c>
      <c r="G40">
        <f>IF('исходные данные'!G40&gt;'минимумы и максимумы'!E$10,100,('исходные данные'!G40-'минимумы и максимумы'!E$9)/('минимумы и максимумы'!E$10-'минимумы и максимумы'!E$9)*100)</f>
        <v>29.166666666666668</v>
      </c>
      <c r="H40">
        <f>IF('исходные данные'!H40&gt;'минимумы и максимумы'!F$10,100,('исходные данные'!H40-'минимумы и максимумы'!F$9)/('минимумы и максимумы'!F$10-'минимумы и максимумы'!F$9)*100)</f>
        <v>17.241379310344829</v>
      </c>
      <c r="I40">
        <f>IF('исходные данные'!I40&gt;'минимумы и максимумы'!G$10,100,('исходные данные'!I40-'минимумы и максимумы'!G$9)/('минимумы и максимумы'!G$10-'минимумы и максимумы'!G$9)*100)</f>
        <v>49.056603773584904</v>
      </c>
      <c r="J40">
        <f>IF('исходные данные'!J40&gt;'минимумы и максимумы'!H$10,100,('исходные данные'!J40-'минимумы и максимумы'!H$9)/('минимумы и максимумы'!H$10-'минимумы и максимумы'!H$9)*100)</f>
        <v>20</v>
      </c>
      <c r="K40">
        <f>IF('исходные данные'!K40&gt;'минимумы и максимумы'!I$10,100,('исходные данные'!K40-'минимумы и максимумы'!I$9)/('минимумы и максимумы'!I$10-'минимумы и максимумы'!I$9)*100)</f>
        <v>44.444444444444443</v>
      </c>
      <c r="L40">
        <f>IF('исходные данные'!L40&gt;'минимумы и максимумы'!J$10,100,('исходные данные'!L40-'минимумы и максимумы'!J$9)/('минимумы и максимумы'!J$10-'минимумы и максимумы'!J$9)*100)</f>
        <v>21.428571428571427</v>
      </c>
      <c r="M40">
        <f>IF('исходные данные'!M40&gt;'минимумы и максимумы'!K$10,100,('исходные данные'!M40-'минимумы и максимумы'!K$9)/('минимумы и максимумы'!K$10-'минимумы и максимумы'!K$9)*100)</f>
        <v>42.857142857142854</v>
      </c>
      <c r="N40">
        <f>IF('исходные данные'!N40&gt;'минимумы и максимумы'!L$10,100,('исходные данные'!N40-'минимумы и максимумы'!L$9)/('минимумы и максимумы'!L$10-'минимумы и максимумы'!L$9)*100)</f>
        <v>12.382191830258268</v>
      </c>
      <c r="O40">
        <f>IF('исходные данные'!O40&gt;'минимумы и максимумы'!M$10,100,('исходные данные'!O40-'минимумы и максимумы'!M$9)/('минимумы и максимумы'!M$10-'минимумы и максимумы'!M$9)*100)</f>
        <v>66.666666666666657</v>
      </c>
      <c r="P40">
        <f>IF('исходные данные'!P40&gt;'минимумы и максимумы'!N$10,100,('исходные данные'!P40-'минимумы и максимумы'!N$9)/('минимумы и максимумы'!N$10-'минимумы и максимумы'!N$9)*100)</f>
        <v>0</v>
      </c>
      <c r="Q40">
        <f>IF('исходные данные'!Q40&gt;'минимумы и максимумы'!O$10,100,('исходные данные'!Q40-'минимумы и максимумы'!O$9)/('минимумы и максимумы'!O$10-'минимумы и максимумы'!O$9)*100)</f>
        <v>100</v>
      </c>
      <c r="R40">
        <f>IF('исходные данные'!R40&gt;'минимумы и максимумы'!P$10,100,('исходные данные'!R40-'минимумы и максимумы'!P$9)/('минимумы и максимумы'!P$10-'минимумы и максимумы'!P$9)*100)</f>
        <v>100</v>
      </c>
      <c r="S40">
        <f>IF('исходные данные'!S40&gt;'минимумы и максимумы'!Q$10,100,('исходные данные'!S40-'минимумы и максимумы'!Q$9)/('минимумы и максимумы'!Q$10-'минимумы и максимумы'!Q$9)*100)</f>
        <v>83.333333333333343</v>
      </c>
      <c r="T40">
        <f>IF('исходные данные'!T40&gt;'минимумы и максимумы'!R$10,100,('исходные данные'!T40-'минимумы и максимумы'!R$9)/('минимумы и максимумы'!R$10-'минимумы и максимумы'!R$9)*100)</f>
        <v>10.184119677790564</v>
      </c>
      <c r="U40">
        <f>IF('исходные данные'!U40&gt;'минимумы и максимумы'!S$10,100,('исходные данные'!U40-'минимумы и максимумы'!S$9)/('минимумы и максимумы'!S$10-'минимумы и максимумы'!S$9)*100)</f>
        <v>66.666666666666657</v>
      </c>
    </row>
    <row r="41" spans="1:21" x14ac:dyDescent="0.45">
      <c r="A41" s="4">
        <v>75</v>
      </c>
      <c r="B41" s="4">
        <v>0</v>
      </c>
      <c r="C41" s="4">
        <v>0</v>
      </c>
      <c r="D41">
        <f>IF('исходные данные'!D41&gt;'минимумы и максимумы'!B$10,100,('исходные данные'!D41-'минимумы и максимумы'!B$9)/('минимумы и максимумы'!B$10-'минимумы и максимумы'!B$9)*100)</f>
        <v>55.555555555555557</v>
      </c>
      <c r="E41">
        <f>IF('исходные данные'!E41&gt;'минимумы и максимумы'!C$10,100,('исходные данные'!E41-'минимумы и максимумы'!C$9)/('минимумы и максимумы'!C$10-'минимумы и максимумы'!C$9)*100)</f>
        <v>90</v>
      </c>
      <c r="F41">
        <f>IF('исходные данные'!F41&gt;'минимумы и максимумы'!D$10,100,('исходные данные'!F41-'минимумы и максимумы'!D$9)/('минимумы и максимумы'!D$10-'минимумы и максимумы'!D$9)*100)</f>
        <v>100</v>
      </c>
      <c r="G41">
        <f>IF('исходные данные'!G41&gt;'минимумы и максимумы'!E$10,100,('исходные данные'!G41-'минимумы и максимумы'!E$9)/('минимумы и максимумы'!E$10-'минимумы и максимумы'!E$9)*100)</f>
        <v>79.166666666666657</v>
      </c>
      <c r="H41">
        <f>IF('исходные данные'!H41&gt;'минимумы и максимумы'!F$10,100,('исходные данные'!H41-'минимумы и максимумы'!F$9)/('минимумы и максимумы'!F$10-'минимумы и максимумы'!F$9)*100)</f>
        <v>48.275862068965516</v>
      </c>
      <c r="I41">
        <f>IF('исходные данные'!I41&gt;'минимумы и максимумы'!G$10,100,('исходные данные'!I41-'минимумы и максимумы'!G$9)/('минимумы и максимумы'!G$10-'минимумы и максимумы'!G$9)*100)</f>
        <v>81.132075471698116</v>
      </c>
      <c r="J41">
        <f>IF('исходные данные'!J41&gt;'минимумы и максимумы'!H$10,100,('исходные данные'!J41-'минимумы и максимумы'!H$9)/('минимумы и максимумы'!H$10-'минимумы и максимумы'!H$9)*100)</f>
        <v>100</v>
      </c>
      <c r="K41">
        <f>IF('исходные данные'!K41&gt;'минимумы и максимумы'!I$10,100,('исходные данные'!K41-'минимумы и максимумы'!I$9)/('минимумы и максимумы'!I$10-'минимумы и максимумы'!I$9)*100)</f>
        <v>38.888888888888893</v>
      </c>
      <c r="L41">
        <f>IF('исходные данные'!L41&gt;'минимумы и максимумы'!J$10,100,('исходные данные'!L41-'минимумы и максимумы'!J$9)/('минимумы и максимумы'!J$10-'минимумы и максимумы'!J$9)*100)</f>
        <v>42.857142857142854</v>
      </c>
      <c r="M41">
        <f>IF('исходные данные'!M41&gt;'минимумы и максимумы'!K$10,100,('исходные данные'!M41-'минимумы и максимумы'!K$9)/('минимумы и максимумы'!K$10-'минимумы и максимумы'!K$9)*100)</f>
        <v>42.857142857142854</v>
      </c>
      <c r="N41">
        <f>IF('исходные данные'!N41&gt;'минимумы и максимумы'!L$10,100,('исходные данные'!N41-'минимумы и максимумы'!L$9)/('минимумы и максимумы'!L$10-'минимумы и максимумы'!L$9)*100)</f>
        <v>11.606238657731108</v>
      </c>
      <c r="O41">
        <f>IF('исходные данные'!O41&gt;'минимумы и максимумы'!M$10,100,('исходные данные'!O41-'минимумы и максимумы'!M$9)/('минимумы и максимумы'!M$10-'минимумы и максимумы'!M$9)*100)</f>
        <v>33.333333333333329</v>
      </c>
      <c r="P41">
        <f>IF('исходные данные'!P41&gt;'минимумы и максимумы'!N$10,100,('исходные данные'!P41-'минимумы и максимумы'!N$9)/('минимумы и максимумы'!N$10-'минимумы и максимумы'!N$9)*100)</f>
        <v>0</v>
      </c>
      <c r="Q41">
        <f>IF('исходные данные'!Q41&gt;'минимумы и максимумы'!O$10,100,('исходные данные'!Q41-'минимумы и максимумы'!O$9)/('минимумы и максимумы'!O$10-'минимумы и максимумы'!O$9)*100)</f>
        <v>100</v>
      </c>
      <c r="R41">
        <f>IF('исходные данные'!R41&gt;'минимумы и максимумы'!P$10,100,('исходные данные'!R41-'минимумы и максимумы'!P$9)/('минимумы и максимумы'!P$10-'минимумы и максимумы'!P$9)*100)</f>
        <v>100</v>
      </c>
      <c r="S41">
        <f>IF('исходные данные'!S41&gt;'минимумы и максимумы'!Q$10,100,('исходные данные'!S41-'минимумы и максимумы'!Q$9)/('минимумы и максимумы'!Q$10-'минимумы и максимумы'!Q$9)*100)</f>
        <v>100</v>
      </c>
      <c r="T41">
        <f>IF('исходные данные'!T41&gt;'минимумы и максимумы'!R$10,100,('исходные данные'!T41-'минимумы и максимумы'!R$9)/('минимумы и максимумы'!R$10-'минимумы и максимумы'!R$9)*100)</f>
        <v>48.906789413118531</v>
      </c>
      <c r="U41">
        <f>IF('исходные данные'!U41&gt;'минимумы и максимумы'!S$10,100,('исходные данные'!U41-'минимумы и максимумы'!S$9)/('минимумы и максимумы'!S$10-'минимумы и максимумы'!S$9)*100)</f>
        <v>100</v>
      </c>
    </row>
    <row r="42" spans="1:21" x14ac:dyDescent="0.45">
      <c r="A42" s="4">
        <v>76</v>
      </c>
      <c r="B42" s="4">
        <v>1</v>
      </c>
      <c r="C42" s="4">
        <v>0</v>
      </c>
      <c r="D42">
        <f>IF('исходные данные'!D42&gt;'минимумы и максимумы'!B$10,100,('исходные данные'!D42-'минимумы и максимумы'!B$9)/('минимумы и максимумы'!B$10-'минимумы и максимумы'!B$9)*100)</f>
        <v>44.444444444444443</v>
      </c>
      <c r="E42">
        <f>IF('исходные данные'!E42&gt;'минимумы и максимумы'!C$10,100,('исходные данные'!E42-'минимумы и максимумы'!C$9)/('минимумы и максимумы'!C$10-'минимумы и максимумы'!C$9)*100)</f>
        <v>100</v>
      </c>
      <c r="F42">
        <f>IF('исходные данные'!F42&gt;'минимумы и максимумы'!D$10,100,('исходные данные'!F42-'минимумы и максимумы'!D$9)/('минимумы и максимумы'!D$10-'минимумы и максимумы'!D$9)*100)</f>
        <v>33.333333333333329</v>
      </c>
      <c r="G42">
        <f>IF('исходные данные'!G42&gt;'минимумы и максимумы'!E$10,100,('исходные данные'!G42-'минимумы и максимумы'!E$9)/('минимумы и максимумы'!E$10-'минимумы и максимумы'!E$9)*100)</f>
        <v>91.666666666666657</v>
      </c>
      <c r="H42">
        <f>IF('исходные данные'!H42&gt;'минимумы и максимумы'!F$10,100,('исходные данные'!H42-'минимумы и максимумы'!F$9)/('минимумы и максимумы'!F$10-'минимумы и максимумы'!F$9)*100)</f>
        <v>62.068965517241381</v>
      </c>
      <c r="I42">
        <f>IF('исходные данные'!I42&gt;'минимумы и максимумы'!G$10,100,('исходные данные'!I42-'минимумы и максимумы'!G$9)/('минимумы и максимумы'!G$10-'минимумы и максимумы'!G$9)*100)</f>
        <v>100</v>
      </c>
      <c r="J42">
        <f>IF('исходные данные'!J42&gt;'минимумы и максимумы'!H$10,100,('исходные данные'!J42-'минимумы и максимумы'!H$9)/('минимумы и максимумы'!H$10-'минимумы и максимумы'!H$9)*100)</f>
        <v>100</v>
      </c>
      <c r="K42">
        <f>IF('исходные данные'!K42&gt;'минимумы и максимумы'!I$10,100,('исходные данные'!K42-'минимумы и максимумы'!I$9)/('минимумы и максимумы'!I$10-'минимумы и максимумы'!I$9)*100)</f>
        <v>27.777777777777779</v>
      </c>
      <c r="L42">
        <f>IF('исходные данные'!L42&gt;'минимумы и максимумы'!J$10,100,('исходные данные'!L42-'минимумы и максимумы'!J$9)/('минимумы и максимумы'!J$10-'минимумы и максимумы'!J$9)*100)</f>
        <v>14.285714285714285</v>
      </c>
      <c r="M42">
        <f>IF('исходные данные'!M42&gt;'минимумы и максимумы'!K$10,100,('исходные данные'!M42-'минимумы и максимумы'!K$9)/('минимумы и максимумы'!K$10-'минимумы и максимумы'!K$9)*100)</f>
        <v>42.857142857142854</v>
      </c>
      <c r="N42">
        <f>IF('исходные данные'!N42&gt;'минимумы и максимумы'!L$10,100,('исходные данные'!N42-'минимумы и максимумы'!L$9)/('минимумы и максимумы'!L$10-'минимумы и максимумы'!L$9)*100)</f>
        <v>11.605626050182993</v>
      </c>
      <c r="O42">
        <f>IF('исходные данные'!O42&gt;'минимумы и максимумы'!M$10,100,('исходные данные'!O42-'минимумы и максимумы'!M$9)/('минимумы и максимумы'!M$10-'минимумы и максимумы'!M$9)*100)</f>
        <v>100</v>
      </c>
      <c r="P42">
        <f>IF('исходные данные'!P42&gt;'минимумы и максимумы'!N$10,100,('исходные данные'!P42-'минимумы и максимумы'!N$9)/('минимумы и максимумы'!N$10-'минимумы и максимумы'!N$9)*100)</f>
        <v>0</v>
      </c>
      <c r="Q42">
        <f>IF('исходные данные'!Q42&gt;'минимумы и максимумы'!O$10,100,('исходные данные'!Q42-'минимумы и максимумы'!O$9)/('минимумы и максимумы'!O$10-'минимумы и максимумы'!O$9)*100)</f>
        <v>100</v>
      </c>
      <c r="R42">
        <f>IF('исходные данные'!R42&gt;'минимумы и максимумы'!P$10,100,('исходные данные'!R42-'минимумы и максимумы'!P$9)/('минимумы и максимумы'!P$10-'минимумы и максимумы'!P$9)*100)</f>
        <v>100</v>
      </c>
      <c r="S42">
        <f>IF('исходные данные'!S42&gt;'минимумы и максимумы'!Q$10,100,('исходные данные'!S42-'минимумы и максимумы'!Q$9)/('минимумы и максимумы'!Q$10-'минимумы и максимумы'!Q$9)*100)</f>
        <v>66.666666666666657</v>
      </c>
      <c r="T42">
        <f>IF('исходные данные'!T42&gt;'минимумы и максимумы'!R$10,100,('исходные данные'!T42-'минимумы и максимумы'!R$9)/('минимумы и максимумы'!R$10-'минимумы и максимумы'!R$9)*100)</f>
        <v>8.0264672036823939</v>
      </c>
      <c r="U42">
        <f>IF('исходные данные'!U42&gt;'минимумы и максимумы'!S$10,100,('исходные данные'!U42-'минимумы и максимумы'!S$9)/('минимумы и максимумы'!S$10-'минимумы и максимумы'!S$9)*100)</f>
        <v>0</v>
      </c>
    </row>
    <row r="43" spans="1:21" x14ac:dyDescent="0.45">
      <c r="A43" s="4">
        <v>77</v>
      </c>
      <c r="B43" s="4">
        <v>1</v>
      </c>
      <c r="C43" s="4">
        <v>0</v>
      </c>
      <c r="D43">
        <f>IF('исходные данные'!D43&gt;'минимумы и максимумы'!B$10,100,('исходные данные'!D43-'минимумы и максимумы'!B$9)/('минимумы и максимумы'!B$10-'минимумы и максимумы'!B$9)*100)</f>
        <v>88.888888888888886</v>
      </c>
      <c r="E43">
        <f>IF('исходные данные'!E43&gt;'минимумы и максимумы'!C$10,100,('исходные данные'!E43-'минимумы и максимумы'!C$9)/('минимумы и максимумы'!C$10-'минимумы и максимумы'!C$9)*100)</f>
        <v>100</v>
      </c>
      <c r="F43">
        <f>IF('исходные данные'!F43&gt;'минимумы и максимумы'!D$10,100,('исходные данные'!F43-'минимумы и максимумы'!D$9)/('минимумы и максимумы'!D$10-'минимумы и максимумы'!D$9)*100)</f>
        <v>0</v>
      </c>
      <c r="G43">
        <f>IF('исходные данные'!G43&gt;'минимумы и максимумы'!E$10,100,('исходные данные'!G43-'минимумы и максимумы'!E$9)/('минимумы и максимумы'!E$10-'минимумы и максимумы'!E$9)*100)</f>
        <v>50</v>
      </c>
      <c r="H43">
        <f>IF('исходные данные'!H43&gt;'минимумы и максимумы'!F$10,100,('исходные данные'!H43-'минимумы и максимумы'!F$9)/('минимумы и максимумы'!F$10-'минимумы и максимумы'!F$9)*100)</f>
        <v>55.172413793103445</v>
      </c>
      <c r="I43">
        <f>IF('исходные данные'!I43&gt;'минимумы и максимумы'!G$10,100,('исходные данные'!I43-'минимумы и максимумы'!G$9)/('минимумы и максимумы'!G$10-'минимумы и максимумы'!G$9)*100)</f>
        <v>100</v>
      </c>
      <c r="J43">
        <f>IF('исходные данные'!J43&gt;'минимумы и максимумы'!H$10,100,('исходные данные'!J43-'минимумы и максимумы'!H$9)/('минимумы и максимумы'!H$10-'минимумы и максимумы'!H$9)*100)</f>
        <v>66.666666666666657</v>
      </c>
      <c r="K43">
        <f>IF('исходные данные'!K43&gt;'минимумы и максимумы'!I$10,100,('исходные данные'!K43-'минимумы и максимумы'!I$9)/('минимумы и максимумы'!I$10-'минимумы и максимумы'!I$9)*100)</f>
        <v>100</v>
      </c>
      <c r="L43">
        <f>IF('исходные данные'!L43&gt;'минимумы и максимумы'!J$10,100,('исходные данные'!L43-'минимумы и максимумы'!J$9)/('минимумы и максимумы'!J$10-'минимумы и максимумы'!J$9)*100)</f>
        <v>78.571428571428569</v>
      </c>
      <c r="M43">
        <f>IF('исходные данные'!M43&gt;'минимумы и максимумы'!K$10,100,('исходные данные'!M43-'минимумы и максимумы'!K$9)/('минимумы и максимумы'!K$10-'минимумы и максимумы'!K$9)*100)</f>
        <v>71.428571428571431</v>
      </c>
      <c r="N43">
        <f>IF('исходные данные'!N43&gt;'минимумы и максимумы'!L$10,100,('исходные данные'!N43-'минимумы и максимумы'!L$9)/('минимумы и максимумы'!L$10-'минимумы и максимумы'!L$9)*100)</f>
        <v>14.214381022467199</v>
      </c>
      <c r="O43">
        <f>IF('исходные данные'!O43&gt;'минимумы и максимумы'!M$10,100,('исходные данные'!O43-'минимумы и максимумы'!M$9)/('минимумы и максимумы'!M$10-'минимумы и максимумы'!M$9)*100)</f>
        <v>33.333333333333329</v>
      </c>
      <c r="P43">
        <f>IF('исходные данные'!P43&gt;'минимумы и максимумы'!N$10,100,('исходные данные'!P43-'минимумы и максимумы'!N$9)/('минимумы и максимумы'!N$10-'минимумы и максимумы'!N$9)*100)</f>
        <v>0</v>
      </c>
      <c r="Q43">
        <f>IF('исходные данные'!Q43&gt;'минимумы и максимумы'!O$10,100,('исходные данные'!Q43-'минимумы и максимумы'!O$9)/('минимумы и максимумы'!O$10-'минимумы и максимумы'!O$9)*100)</f>
        <v>100</v>
      </c>
      <c r="R43">
        <f>IF('исходные данные'!R43&gt;'минимумы и максимумы'!P$10,100,('исходные данные'!R43-'минимумы и максимумы'!P$9)/('минимумы и максимумы'!P$10-'минимумы и максимумы'!P$9)*100)</f>
        <v>100</v>
      </c>
      <c r="S43">
        <f>IF('исходные данные'!S43&gt;'минимумы и максимумы'!Q$10,100,('исходные данные'!S43-'минимумы и максимумы'!Q$9)/('минимумы и максимумы'!Q$10-'минимумы и максимумы'!Q$9)*100)</f>
        <v>83.333333333333343</v>
      </c>
      <c r="T43">
        <f>IF('исходные данные'!T43&gt;'минимумы и максимумы'!R$10,100,('исходные данные'!T43-'минимумы и максимумы'!R$9)/('минимумы и максимумы'!R$10-'минимумы и максимумы'!R$9)*100)</f>
        <v>17.174913693901036</v>
      </c>
      <c r="U43">
        <f>IF('исходные данные'!U43&gt;'минимумы и максимумы'!S$10,100,('исходные данные'!U43-'минимумы и максимумы'!S$9)/('минимумы и максимумы'!S$10-'минимумы и максимумы'!S$9)*100)</f>
        <v>33.333333333333329</v>
      </c>
    </row>
    <row r="44" spans="1:21" x14ac:dyDescent="0.45">
      <c r="A44" s="4">
        <v>79</v>
      </c>
      <c r="B44" s="4">
        <v>0</v>
      </c>
      <c r="C44" s="4">
        <v>0</v>
      </c>
      <c r="D44">
        <f>IF('исходные данные'!D44&gt;'минимумы и максимумы'!B$10,100,('исходные данные'!D44-'минимумы и максимумы'!B$9)/('минимумы и максимумы'!B$10-'минимумы и максимумы'!B$9)*100)</f>
        <v>33.333333333333329</v>
      </c>
      <c r="E44">
        <f>IF('исходные данные'!E44&gt;'минимумы и максимумы'!C$10,100,('исходные данные'!E44-'минимумы и максимумы'!C$9)/('минимумы и максимумы'!C$10-'минимумы и максимумы'!C$9)*100)</f>
        <v>90</v>
      </c>
      <c r="F44">
        <f>IF('исходные данные'!F44&gt;'минимумы и максимумы'!D$10,100,('исходные данные'!F44-'минимумы и максимумы'!D$9)/('минимумы и максимумы'!D$10-'минимумы и максимумы'!D$9)*100)</f>
        <v>33.333333333333329</v>
      </c>
      <c r="G44">
        <f>IF('исходные данные'!G44&gt;'минимумы и максимумы'!E$10,100,('исходные данные'!G44-'минимумы и максимумы'!E$9)/('минимумы и максимумы'!E$10-'минимумы и максимумы'!E$9)*100)</f>
        <v>25</v>
      </c>
      <c r="H44">
        <f>IF('исходные данные'!H44&gt;'минимумы и максимумы'!F$10,100,('исходные данные'!H44-'минимумы и максимумы'!F$9)/('минимумы и максимумы'!F$10-'минимумы и максимумы'!F$9)*100)</f>
        <v>31.03448275862069</v>
      </c>
      <c r="I44">
        <f>IF('исходные данные'!I44&gt;'минимумы и максимумы'!G$10,100,('исходные данные'!I44-'минимумы и максимумы'!G$9)/('минимумы и максимумы'!G$10-'минимумы и максимумы'!G$9)*100)</f>
        <v>39.622641509433961</v>
      </c>
      <c r="J44">
        <f>IF('исходные данные'!J44&gt;'минимумы и максимумы'!H$10,100,('исходные данные'!J44-'минимумы и максимумы'!H$9)/('минимумы и максимумы'!H$10-'минимумы и максимумы'!H$9)*100)</f>
        <v>20</v>
      </c>
      <c r="K44">
        <f>IF('исходные данные'!K44&gt;'минимумы и максимумы'!I$10,100,('исходные данные'!K44-'минимумы и максимумы'!I$9)/('минимумы и максимумы'!I$10-'минимумы и максимумы'!I$9)*100)</f>
        <v>50</v>
      </c>
      <c r="L44">
        <f>IF('исходные данные'!L44&gt;'минимумы и максимумы'!J$10,100,('исходные данные'!L44-'минимумы и максимумы'!J$9)/('минимумы и максимумы'!J$10-'минимумы и максимумы'!J$9)*100)</f>
        <v>21.428571428571427</v>
      </c>
      <c r="M44">
        <f>IF('исходные данные'!M44&gt;'минимумы и максимумы'!K$10,100,('исходные данные'!M44-'минимумы и максимумы'!K$9)/('минимумы и максимумы'!K$10-'минимумы и максимумы'!K$9)*100)</f>
        <v>57.142857142857139</v>
      </c>
      <c r="N44">
        <f>IF('исходные данные'!N44&gt;'минимумы и максимумы'!L$10,100,('исходные данные'!N44-'минимумы и максимумы'!L$9)/('минимумы и максимумы'!L$10-'минимумы и максимумы'!L$9)*100)</f>
        <v>14.524207246067972</v>
      </c>
      <c r="O44">
        <f>IF('исходные данные'!O44&gt;'минимумы и максимумы'!M$10,100,('исходные данные'!O44-'минимумы и максимумы'!M$9)/('минимумы и максимумы'!M$10-'минимумы и максимумы'!M$9)*100)</f>
        <v>66.666666666666657</v>
      </c>
      <c r="P44">
        <f>IF('исходные данные'!P44&gt;'минимумы и максимумы'!N$10,100,('исходные данные'!P44-'минимумы и максимумы'!N$9)/('минимумы и максимумы'!N$10-'минимумы и максимумы'!N$9)*100)</f>
        <v>0</v>
      </c>
      <c r="Q44">
        <f>IF('исходные данные'!Q44&gt;'минимумы и максимумы'!O$10,100,('исходные данные'!Q44-'минимумы и максимумы'!O$9)/('минимумы и максимумы'!O$10-'минимумы и максимумы'!O$9)*100)</f>
        <v>0</v>
      </c>
      <c r="R44">
        <f>IF('исходные данные'!R44&gt;'минимумы и максимумы'!P$10,100,('исходные данные'!R44-'минимумы и максимумы'!P$9)/('минимумы и максимумы'!P$10-'минимумы и максимумы'!P$9)*100)</f>
        <v>25</v>
      </c>
      <c r="S44">
        <f>IF('исходные данные'!S44&gt;'минимумы и максимумы'!Q$10,100,('исходные данные'!S44-'минимумы и максимумы'!Q$9)/('минимумы и максимумы'!Q$10-'минимумы и максимумы'!Q$9)*100)</f>
        <v>66.666666666666657</v>
      </c>
      <c r="T44">
        <f>IF('исходные данные'!T44&gt;'минимумы и максимумы'!R$10,100,('исходные данные'!T44-'минимумы и максимумы'!R$9)/('минимумы и максимумы'!R$10-'минимумы и максимумы'!R$9)*100)</f>
        <v>63.895281933256619</v>
      </c>
      <c r="U44">
        <f>IF('исходные данные'!U44&gt;'минимумы и максимумы'!S$10,100,('исходные данные'!U44-'минимумы и максимумы'!S$9)/('минимумы и максимумы'!S$10-'минимумы и максимумы'!S$9)*100)</f>
        <v>0</v>
      </c>
    </row>
    <row r="45" spans="1:21" x14ac:dyDescent="0.45">
      <c r="A45" s="4">
        <v>81</v>
      </c>
      <c r="B45" s="4">
        <v>1</v>
      </c>
      <c r="C45" s="4">
        <v>0</v>
      </c>
      <c r="D45">
        <f>IF('исходные данные'!D45&gt;'минимумы и максимумы'!B$10,100,('исходные данные'!D45-'минимумы и максимумы'!B$9)/('минимумы и максимумы'!B$10-'минимумы и максимумы'!B$9)*100)</f>
        <v>11.111111111111111</v>
      </c>
      <c r="E45">
        <f>IF('исходные данные'!E45&gt;'минимумы и максимумы'!C$10,100,('исходные данные'!E45-'минимумы и максимумы'!C$9)/('минимумы и максимумы'!C$10-'минимумы и максимумы'!C$9)*100)</f>
        <v>20</v>
      </c>
      <c r="F45">
        <f>IF('исходные данные'!F45&gt;'минимумы и максимумы'!D$10,100,('исходные данные'!F45-'минимумы и максимумы'!D$9)/('минимумы и максимумы'!D$10-'минимумы и максимумы'!D$9)*100)</f>
        <v>100</v>
      </c>
      <c r="G45">
        <f>IF('исходные данные'!G45&gt;'минимумы и максимумы'!E$10,100,('исходные данные'!G45-'минимумы и максимумы'!E$9)/('минимумы и максимумы'!E$10-'минимумы и максимумы'!E$9)*100)</f>
        <v>37.5</v>
      </c>
      <c r="H45">
        <f>IF('исходные данные'!H45&gt;'минимумы и максимумы'!F$10,100,('исходные данные'!H45-'минимумы и максимумы'!F$9)/('минимумы и максимумы'!F$10-'минимумы и максимумы'!F$9)*100)</f>
        <v>20.689655172413794</v>
      </c>
      <c r="I45">
        <f>IF('исходные данные'!I45&gt;'минимумы и максимумы'!G$10,100,('исходные данные'!I45-'минимумы и максимумы'!G$9)/('минимумы и максимумы'!G$10-'минимумы и максимумы'!G$9)*100)</f>
        <v>64.15094339622641</v>
      </c>
      <c r="J45">
        <f>IF('исходные данные'!J45&gt;'минимумы и максимумы'!H$10,100,('исходные данные'!J45-'минимумы и максимумы'!H$9)/('минимумы и максимумы'!H$10-'минимумы и максимумы'!H$9)*100)</f>
        <v>33.333333333333329</v>
      </c>
      <c r="K45">
        <f>IF('исходные данные'!K45&gt;'минимумы и максимумы'!I$10,100,('исходные данные'!K45-'минимумы и максимумы'!I$9)/('минимумы и максимумы'!I$10-'минимумы и максимумы'!I$9)*100)</f>
        <v>88.888888888888886</v>
      </c>
      <c r="L45">
        <f>IF('исходные данные'!L45&gt;'минимумы и максимумы'!J$10,100,('исходные данные'!L45-'минимумы и максимумы'!J$9)/('минимумы и максимумы'!J$10-'минимумы и максимумы'!J$9)*100)</f>
        <v>14.285714285714285</v>
      </c>
      <c r="M45">
        <f>IF('исходные данные'!M45&gt;'минимумы и максимумы'!K$10,100,('исходные данные'!M45-'минимумы и максимумы'!K$9)/('минимумы и максимумы'!K$10-'минимумы и максимумы'!K$9)*100)</f>
        <v>60.714285714285708</v>
      </c>
      <c r="N45">
        <f>IF('исходные данные'!N45&gt;'минимумы и максимумы'!L$10,100,('исходные данные'!N45-'минимумы и максимумы'!L$9)/('минимумы и максимумы'!L$10-'минимумы и максимумы'!L$9)*100)</f>
        <v>12.820457087950784</v>
      </c>
      <c r="O45">
        <f>IF('исходные данные'!O45&gt;'минимумы и максимумы'!M$10,100,('исходные данные'!O45-'минимумы и максимумы'!M$9)/('минимумы и максимумы'!M$10-'минимумы и максимумы'!M$9)*100)</f>
        <v>66.666666666666657</v>
      </c>
      <c r="P45">
        <f>IF('исходные данные'!P45&gt;'минимумы и максимумы'!N$10,100,('исходные данные'!P45-'минимумы и максимумы'!N$9)/('минимумы и максимумы'!N$10-'минимумы и максимумы'!N$9)*100)</f>
        <v>0</v>
      </c>
      <c r="Q45">
        <f>IF('исходные данные'!Q45&gt;'минимумы и максимумы'!O$10,100,('исходные данные'!Q45-'минимумы и максимумы'!O$9)/('минимумы и максимумы'!O$10-'минимумы и максимумы'!O$9)*100)</f>
        <v>100</v>
      </c>
      <c r="R45">
        <f>IF('исходные данные'!R45&gt;'минимумы и максимумы'!P$10,100,('исходные данные'!R45-'минимумы и максимумы'!P$9)/('минимумы и максимумы'!P$10-'минимумы и максимумы'!P$9)*100)</f>
        <v>75</v>
      </c>
      <c r="S45">
        <f>IF('исходные данные'!S45&gt;'минимумы и максимумы'!Q$10,100,('исходные данные'!S45-'минимумы и максимумы'!Q$9)/('минимумы и максимумы'!Q$10-'минимумы и максимумы'!Q$9)*100)</f>
        <v>50</v>
      </c>
      <c r="T45">
        <f>IF('исходные данные'!T45&gt;'минимумы и максимумы'!R$10,100,('исходные данные'!T45-'минимумы и максимумы'!R$9)/('минимумы и максимумы'!R$10-'минимумы и максимумы'!R$9)*100)</f>
        <v>19.303797468354432</v>
      </c>
      <c r="U45">
        <f>IF('исходные данные'!U45&gt;'минимумы и максимумы'!S$10,100,('исходные данные'!U45-'минимумы и максимумы'!S$9)/('минимумы и максимумы'!S$10-'минимумы и максимумы'!S$9)*100)</f>
        <v>0</v>
      </c>
    </row>
    <row r="46" spans="1:21" x14ac:dyDescent="0.45">
      <c r="A46" s="4">
        <v>85</v>
      </c>
      <c r="B46" s="4">
        <v>1</v>
      </c>
      <c r="C46" s="4">
        <v>0</v>
      </c>
      <c r="D46">
        <f>IF('исходные данные'!D46&gt;'минимумы и максимумы'!B$10,100,('исходные данные'!D46-'минимумы и максимумы'!B$9)/('минимумы и максимумы'!B$10-'минимумы и максимумы'!B$9)*100)</f>
        <v>55.555555555555557</v>
      </c>
      <c r="E46">
        <f>IF('исходные данные'!E46&gt;'минимумы и максимумы'!C$10,100,('исходные данные'!E46-'минимумы и максимумы'!C$9)/('минимумы и максимумы'!C$10-'минимумы и максимумы'!C$9)*100)</f>
        <v>90</v>
      </c>
      <c r="F46">
        <f>IF('исходные данные'!F46&gt;'минимумы и максимумы'!D$10,100,('исходные данные'!F46-'минимумы и максимумы'!D$9)/('минимумы и максимумы'!D$10-'минимумы и максимумы'!D$9)*100)</f>
        <v>66.666666666666657</v>
      </c>
      <c r="G46">
        <f>IF('исходные данные'!G46&gt;'минимумы и максимумы'!E$10,100,('исходные данные'!G46-'минимумы и максимумы'!E$9)/('минимумы и максимумы'!E$10-'минимумы и максимумы'!E$9)*100)</f>
        <v>41.666666666666671</v>
      </c>
      <c r="H46">
        <f>IF('исходные данные'!H46&gt;'минимумы и максимумы'!F$10,100,('исходные данные'!H46-'минимумы и максимумы'!F$9)/('минимумы и максимумы'!F$10-'минимумы и максимумы'!F$9)*100)</f>
        <v>48.275862068965516</v>
      </c>
      <c r="I46">
        <f>IF('исходные данные'!I46&gt;'минимумы и максимумы'!G$10,100,('исходные данные'!I46-'минимумы и максимумы'!G$9)/('минимумы и максимумы'!G$10-'минимумы и максимумы'!G$9)*100)</f>
        <v>66.037735849056602</v>
      </c>
      <c r="J46">
        <f>IF('исходные данные'!J46&gt;'минимумы и максимумы'!H$10,100,('исходные данные'!J46-'минимумы и максимумы'!H$9)/('минимумы и максимумы'!H$10-'минимумы и максимумы'!H$9)*100)</f>
        <v>40</v>
      </c>
      <c r="K46">
        <f>IF('исходные данные'!K46&gt;'минимумы и максимумы'!I$10,100,('исходные данные'!K46-'минимумы и максимумы'!I$9)/('минимумы и максимумы'!I$10-'минимумы и максимумы'!I$9)*100)</f>
        <v>50</v>
      </c>
      <c r="L46">
        <f>IF('исходные данные'!L46&gt;'минимумы и максимумы'!J$10,100,('исходные данные'!L46-'минимумы и максимумы'!J$9)/('минимумы и максимумы'!J$10-'минимумы и максимумы'!J$9)*100)</f>
        <v>35.714285714285715</v>
      </c>
      <c r="M46">
        <f>IF('исходные данные'!M46&gt;'минимумы и максимумы'!K$10,100,('исходные данные'!M46-'минимумы и максимумы'!K$9)/('минимумы и максимумы'!K$10-'минимумы и максимумы'!K$9)*100)</f>
        <v>89.285714285714292</v>
      </c>
      <c r="N46">
        <f>IF('исходные данные'!N46&gt;'минимумы и максимумы'!L$10,100,('исходные данные'!N46-'минимумы и максимумы'!L$9)/('минимумы и максимумы'!L$10-'минимумы и максимумы'!L$9)*100)</f>
        <v>18.669770558623373</v>
      </c>
      <c r="O46">
        <f>IF('исходные данные'!O46&gt;'минимумы и максимумы'!M$10,100,('исходные данные'!O46-'минимумы и максимумы'!M$9)/('минимумы и максимумы'!M$10-'минимумы и максимумы'!M$9)*100)</f>
        <v>100</v>
      </c>
      <c r="P46">
        <f>IF('исходные данные'!P46&gt;'минимумы и максимумы'!N$10,100,('исходные данные'!P46-'минимумы и максимумы'!N$9)/('минимумы и максимумы'!N$10-'минимумы и максимумы'!N$9)*100)</f>
        <v>100</v>
      </c>
      <c r="Q46">
        <f>IF('исходные данные'!Q46&gt;'минимумы и максимумы'!O$10,100,('исходные данные'!Q46-'минимумы и максимумы'!O$9)/('минимумы и максимумы'!O$10-'минимумы и максимумы'!O$9)*100)</f>
        <v>100</v>
      </c>
      <c r="R46">
        <f>IF('исходные данные'!R46&gt;'минимумы и максимумы'!P$10,100,('исходные данные'!R46-'минимумы и максимумы'!P$9)/('минимумы и максимумы'!P$10-'минимумы и максимумы'!P$9)*100)</f>
        <v>100</v>
      </c>
      <c r="S46">
        <f>IF('исходные данные'!S46&gt;'минимумы и максимумы'!Q$10,100,('исходные данные'!S46-'минимумы и максимумы'!Q$9)/('минимумы и максимумы'!Q$10-'минимумы и максимумы'!Q$9)*100)</f>
        <v>50</v>
      </c>
      <c r="T46">
        <f>IF('исходные данные'!T46&gt;'минимумы и максимумы'!R$10,100,('исходные данные'!T46-'минимумы и максимумы'!R$9)/('минимумы и максимумы'!R$10-'минимумы и максимумы'!R$9)*100)</f>
        <v>9.0046029919447648</v>
      </c>
      <c r="U46">
        <f>IF('исходные данные'!U46&gt;'минимумы и максимумы'!S$10,100,('исходные данные'!U46-'минимумы и максимумы'!S$9)/('минимумы и максимумы'!S$10-'минимумы и максимумы'!S$9)*100)</f>
        <v>33.333333333333329</v>
      </c>
    </row>
    <row r="47" spans="1:21" x14ac:dyDescent="0.45">
      <c r="A47" s="4">
        <v>87</v>
      </c>
      <c r="B47" s="4">
        <v>0</v>
      </c>
      <c r="C47" s="4">
        <v>0</v>
      </c>
      <c r="D47">
        <f>IF('исходные данные'!D47&gt;'минимумы и максимумы'!B$10,100,('исходные данные'!D47-'минимумы и максимумы'!B$9)/('минимумы и максимумы'!B$10-'минимумы и максимумы'!B$9)*100)</f>
        <v>55.555555555555557</v>
      </c>
      <c r="E47">
        <f>IF('исходные данные'!E47&gt;'минимумы и максимумы'!C$10,100,('исходные данные'!E47-'минимумы и максимумы'!C$9)/('минимумы и максимумы'!C$10-'минимумы и максимумы'!C$9)*100)</f>
        <v>90</v>
      </c>
      <c r="F47">
        <f>IF('исходные данные'!F47&gt;'минимумы и максимумы'!D$10,100,('исходные данные'!F47-'минимумы и максимумы'!D$9)/('минимумы и максимумы'!D$10-'минимумы и максимумы'!D$9)*100)</f>
        <v>66.666666666666657</v>
      </c>
      <c r="G47">
        <f>IF('исходные данные'!G47&gt;'минимумы и максимумы'!E$10,100,('исходные данные'!G47-'минимумы и максимумы'!E$9)/('минимумы и максимумы'!E$10-'минимумы и максимумы'!E$9)*100)</f>
        <v>33.333333333333329</v>
      </c>
      <c r="H47">
        <f>IF('исходные данные'!H47&gt;'минимумы и максимумы'!F$10,100,('исходные данные'!H47-'минимумы и максимумы'!F$9)/('минимумы и максимумы'!F$10-'минимумы и максимумы'!F$9)*100)</f>
        <v>34.482758620689658</v>
      </c>
      <c r="I47">
        <f>IF('исходные данные'!I47&gt;'минимумы и максимумы'!G$10,100,('исходные данные'!I47-'минимумы и максимумы'!G$9)/('минимумы и максимумы'!G$10-'минимумы и максимумы'!G$9)*100)</f>
        <v>50.943396226415096</v>
      </c>
      <c r="J47">
        <f>IF('исходные данные'!J47&gt;'минимумы и максимумы'!H$10,100,('исходные данные'!J47-'минимумы и максимумы'!H$9)/('минимумы и максимумы'!H$10-'минимумы и максимумы'!H$9)*100)</f>
        <v>26.666666666666668</v>
      </c>
      <c r="K47">
        <f>IF('исходные данные'!K47&gt;'минимумы и максимумы'!I$10,100,('исходные данные'!K47-'минимумы и максимумы'!I$9)/('минимумы и максимумы'!I$10-'минимумы и максимумы'!I$9)*100)</f>
        <v>38.888888888888893</v>
      </c>
      <c r="L47">
        <f>IF('исходные данные'!L47&gt;'минимумы и максимумы'!J$10,100,('исходные данные'!L47-'минимумы и максимумы'!J$9)/('минимумы и максимумы'!J$10-'минимумы и максимумы'!J$9)*100)</f>
        <v>35.714285714285715</v>
      </c>
      <c r="M47">
        <f>IF('исходные данные'!M47&gt;'минимумы и максимумы'!K$10,100,('исходные данные'!M47-'минимумы и максимумы'!K$9)/('минимумы и максимумы'!K$10-'минимумы и максимумы'!K$9)*100)</f>
        <v>67.857142857142861</v>
      </c>
      <c r="N47">
        <f>IF('исходные данные'!N47&gt;'минимумы и максимумы'!L$10,100,('исходные данные'!N47-'минимумы и максимумы'!L$9)/('минимумы и максимумы'!L$10-'минимумы и максимумы'!L$9)*100)</f>
        <v>19.371386725345406</v>
      </c>
      <c r="O47">
        <f>IF('исходные данные'!O47&gt;'минимумы и максимумы'!M$10,100,('исходные данные'!O47-'минимумы и максимумы'!M$9)/('минимумы и максимумы'!M$10-'минимумы и максимумы'!M$9)*100)</f>
        <v>100</v>
      </c>
      <c r="P47">
        <f>IF('исходные данные'!P47&gt;'минимумы и максимумы'!N$10,100,('исходные данные'!P47-'минимумы и максимумы'!N$9)/('минимумы и максимумы'!N$10-'минимумы и максимумы'!N$9)*100)</f>
        <v>0</v>
      </c>
      <c r="Q47">
        <f>IF('исходные данные'!Q47&gt;'минимумы и максимумы'!O$10,100,('исходные данные'!Q47-'минимумы и максимумы'!O$9)/('минимумы и максимумы'!O$10-'минимумы и максимумы'!O$9)*100)</f>
        <v>0</v>
      </c>
      <c r="R47">
        <f>IF('исходные данные'!R47&gt;'минимумы и максимумы'!P$10,100,('исходные данные'!R47-'минимумы и максимумы'!P$9)/('минимумы и максимумы'!P$10-'минимумы и максимумы'!P$9)*100)</f>
        <v>100</v>
      </c>
      <c r="S47">
        <f>IF('исходные данные'!S47&gt;'минимумы и максимумы'!Q$10,100,('исходные данные'!S47-'минимумы и максимумы'!Q$9)/('минимумы и максимумы'!Q$10-'минимумы и максимумы'!Q$9)*100)</f>
        <v>33.333333333333329</v>
      </c>
      <c r="T47">
        <f>IF('исходные данные'!T47&gt;'минимумы и максимумы'!R$10,100,('исходные данные'!T47-'минимумы и максимумы'!R$9)/('минимумы и максимумы'!R$10-'минимумы и максимумы'!R$9)*100)</f>
        <v>1.6973532796317605</v>
      </c>
      <c r="U47">
        <f>IF('исходные данные'!U47&gt;'минимумы и максимумы'!S$10,100,('исходные данные'!U47-'минимумы и максимумы'!S$9)/('минимумы и максимумы'!S$10-'минимумы и максимумы'!S$9)*100)</f>
        <v>33.333333333333329</v>
      </c>
    </row>
    <row r="48" spans="1:21" x14ac:dyDescent="0.45">
      <c r="A48" s="4">
        <v>90</v>
      </c>
      <c r="B48" s="4">
        <v>0</v>
      </c>
      <c r="C48" s="4">
        <v>0</v>
      </c>
      <c r="D48">
        <f>IF('исходные данные'!D48&gt;'минимумы и максимумы'!B$10,100,('исходные данные'!D48-'минимумы и максимумы'!B$9)/('минимумы и максимумы'!B$10-'минимумы и максимумы'!B$9)*100)</f>
        <v>0</v>
      </c>
      <c r="E48">
        <f>IF('исходные данные'!E48&gt;'минимумы и максимумы'!C$10,100,('исходные данные'!E48-'минимумы и максимумы'!C$9)/('минимумы и максимумы'!C$10-'минимумы и максимумы'!C$9)*100)</f>
        <v>70</v>
      </c>
      <c r="F48">
        <f>IF('исходные данные'!F48&gt;'минимумы и максимумы'!D$10,100,('исходные данные'!F48-'минимумы и максимумы'!D$9)/('минимумы и максимумы'!D$10-'минимумы и максимумы'!D$9)*100)</f>
        <v>33.333333333333329</v>
      </c>
      <c r="G48">
        <f>IF('исходные данные'!G48&gt;'минимумы и максимумы'!E$10,100,('исходные данные'!G48-'минимумы и максимумы'!E$9)/('минимумы и максимумы'!E$10-'минимумы и максимумы'!E$9)*100)</f>
        <v>29.166666666666668</v>
      </c>
      <c r="H48">
        <f>IF('исходные данные'!H48&gt;'минимумы и максимумы'!F$10,100,('исходные данные'!H48-'минимумы и максимумы'!F$9)/('минимумы и максимумы'!F$10-'минимумы и максимумы'!F$9)*100)</f>
        <v>24.137931034482758</v>
      </c>
      <c r="I48">
        <f>IF('исходные данные'!I48&gt;'минимумы и максимумы'!G$10,100,('исходные данные'!I48-'минимумы и максимумы'!G$9)/('минимумы и максимумы'!G$10-'минимумы и максимумы'!G$9)*100)</f>
        <v>18.867924528301888</v>
      </c>
      <c r="J48">
        <f>IF('исходные данные'!J48&gt;'минимумы и максимумы'!H$10,100,('исходные данные'!J48-'минимумы и максимумы'!H$9)/('минимумы и максимумы'!H$10-'минимумы и максимумы'!H$9)*100)</f>
        <v>13.333333333333334</v>
      </c>
      <c r="K48">
        <f>IF('исходные данные'!K48&gt;'минимумы и максимумы'!I$10,100,('исходные данные'!K48-'минимумы и максимумы'!I$9)/('минимумы и максимумы'!I$10-'минимумы и максимумы'!I$9)*100)</f>
        <v>38.888888888888893</v>
      </c>
      <c r="L48">
        <f>IF('исходные данные'!L48&gt;'минимумы и максимумы'!J$10,100,('исходные данные'!L48-'минимумы и максимумы'!J$9)/('минимумы и максимумы'!J$10-'минимумы и максимумы'!J$9)*100)</f>
        <v>7.1428571428571423</v>
      </c>
      <c r="M48">
        <f>IF('исходные данные'!M48&gt;'минимумы и максимумы'!K$10,100,('исходные данные'!M48-'минимумы и максимумы'!K$9)/('минимумы и максимумы'!K$10-'минимумы и максимумы'!K$9)*100)</f>
        <v>60.714285714285708</v>
      </c>
      <c r="N48">
        <f>IF('исходные данные'!N48&gt;'минимумы и максимумы'!L$10,100,('исходные данные'!N48-'минимумы и максимумы'!L$9)/('минимумы и максимумы'!L$10-'минимумы и максимумы'!L$9)*100)</f>
        <v>20.987006471376869</v>
      </c>
      <c r="O48">
        <f>IF('исходные данные'!O48&gt;'минимумы и максимумы'!M$10,100,('исходные данные'!O48-'минимумы и максимумы'!M$9)/('минимумы и максимумы'!M$10-'минимумы и максимумы'!M$9)*100)</f>
        <v>0</v>
      </c>
      <c r="P48">
        <f>IF('исходные данные'!P48&gt;'минимумы и максимумы'!N$10,100,('исходные данные'!P48-'минимумы и максимумы'!N$9)/('минимумы и максимумы'!N$10-'минимумы и максимумы'!N$9)*100)</f>
        <v>0</v>
      </c>
      <c r="Q48">
        <f>IF('исходные данные'!Q48&gt;'минимумы и максимумы'!O$10,100,('исходные данные'!Q48-'минимумы и максимумы'!O$9)/('минимумы и максимумы'!O$10-'минимумы и максимумы'!O$9)*100)</f>
        <v>100</v>
      </c>
      <c r="R48">
        <f>IF('исходные данные'!R48&gt;'минимумы и максимумы'!P$10,100,('исходные данные'!R48-'минимумы и максимумы'!P$9)/('минимумы и максимумы'!P$10-'минимумы и максимумы'!P$9)*100)</f>
        <v>100</v>
      </c>
      <c r="S48">
        <f>IF('исходные данные'!S48&gt;'минимумы и максимумы'!Q$10,100,('исходные данные'!S48-'минимумы и максимумы'!Q$9)/('минимумы и максимумы'!Q$10-'минимумы и максимумы'!Q$9)*100)</f>
        <v>33.333333333333329</v>
      </c>
      <c r="T48">
        <f>IF('исходные данные'!T48&gt;'минимумы и максимумы'!R$10,100,('исходные данные'!T48-'минимумы и максимумы'!R$9)/('минимумы и максимумы'!R$10-'минимумы и максимумы'!R$9)*100)</f>
        <v>2.2439585730724971</v>
      </c>
      <c r="U48">
        <f>IF('исходные данные'!U48&gt;'минимумы и максимумы'!S$10,100,('исходные данные'!U48-'минимумы и максимумы'!S$9)/('минимумы и максимумы'!S$10-'минимумы и максимумы'!S$9)*100)</f>
        <v>0</v>
      </c>
    </row>
    <row r="49" spans="1:21" x14ac:dyDescent="0.45">
      <c r="A49" s="4">
        <v>92</v>
      </c>
      <c r="B49" s="4">
        <v>0</v>
      </c>
      <c r="C49" s="4">
        <v>0</v>
      </c>
      <c r="D49">
        <f>IF('исходные данные'!D49&gt;'минимумы и максимумы'!B$10,100,('исходные данные'!D49-'минимумы и максимумы'!B$9)/('минимумы и максимумы'!B$10-'минимумы и максимумы'!B$9)*100)</f>
        <v>11.111111111111111</v>
      </c>
      <c r="E49">
        <f>IF('исходные данные'!E49&gt;'минимумы и максимумы'!C$10,100,('исходные данные'!E49-'минимумы и максимумы'!C$9)/('минимумы и максимумы'!C$10-'минимумы и максимумы'!C$9)*100)</f>
        <v>40</v>
      </c>
      <c r="F49">
        <f>IF('исходные данные'!F49&gt;'минимумы и максимумы'!D$10,100,('исходные данные'!F49-'минимумы и максимумы'!D$9)/('минимумы и максимумы'!D$10-'минимумы и максимумы'!D$9)*100)</f>
        <v>33.333333333333329</v>
      </c>
      <c r="G49">
        <f>IF('исходные данные'!G49&gt;'минимумы и максимумы'!E$10,100,('исходные данные'!G49-'минимумы и максимумы'!E$9)/('минимумы и максимумы'!E$10-'минимумы и максимумы'!E$9)*100)</f>
        <v>20.833333333333336</v>
      </c>
      <c r="H49">
        <f>IF('исходные данные'!H49&gt;'минимумы и максимумы'!F$10,100,('исходные данные'!H49-'минимумы и максимумы'!F$9)/('минимумы и максимумы'!F$10-'минимумы и максимумы'!F$9)*100)</f>
        <v>24.137931034482758</v>
      </c>
      <c r="I49">
        <f>IF('исходные данные'!I49&gt;'минимумы и максимумы'!G$10,100,('исходные данные'!I49-'минимумы и максимумы'!G$9)/('минимумы и максимумы'!G$10-'минимумы и максимумы'!G$9)*100)</f>
        <v>15.09433962264151</v>
      </c>
      <c r="J49">
        <f>IF('исходные данные'!J49&gt;'минимумы и максимумы'!H$10,100,('исходные данные'!J49-'минимумы и максимумы'!H$9)/('минимумы и максимумы'!H$10-'минимумы и максимумы'!H$9)*100)</f>
        <v>13.333333333333334</v>
      </c>
      <c r="K49">
        <f>IF('исходные данные'!K49&gt;'минимумы и максимумы'!I$10,100,('исходные данные'!K49-'минимумы и максимумы'!I$9)/('минимумы и максимумы'!I$10-'минимумы и максимумы'!I$9)*100)</f>
        <v>38.888888888888893</v>
      </c>
      <c r="L49">
        <f>IF('исходные данные'!L49&gt;'минимумы и максимумы'!J$10,100,('исходные данные'!L49-'минимумы и максимумы'!J$9)/('минимумы и максимумы'!J$10-'минимумы и максимумы'!J$9)*100)</f>
        <v>7.1428571428571423</v>
      </c>
      <c r="M49">
        <f>IF('исходные данные'!M49&gt;'минимумы и максимумы'!K$10,100,('исходные данные'!M49-'минимумы и максимумы'!K$9)/('минимумы и максимумы'!K$10-'минимумы и максимумы'!K$9)*100)</f>
        <v>60.714285714285708</v>
      </c>
      <c r="N49">
        <f>IF('исходные данные'!N49&gt;'минимумы и максимумы'!L$10,100,('исходные данные'!N49-'минимумы и максимумы'!L$9)/('минимумы и максимумы'!L$10-'минимумы и максимумы'!L$9)*100)</f>
        <v>21.359947917243396</v>
      </c>
      <c r="O49">
        <f>IF('исходные данные'!O49&gt;'минимумы и максимумы'!M$10,100,('исходные данные'!O49-'минимумы и максимумы'!M$9)/('минимумы и максимумы'!M$10-'минимумы и максимумы'!M$9)*100)</f>
        <v>33.333333333333329</v>
      </c>
      <c r="P49">
        <f>IF('исходные данные'!P49&gt;'минимумы и максимумы'!N$10,100,('исходные данные'!P49-'минимумы и максимумы'!N$9)/('минимумы и максимумы'!N$10-'минимумы и максимумы'!N$9)*100)</f>
        <v>0</v>
      </c>
      <c r="Q49">
        <f>IF('исходные данные'!Q49&gt;'минимумы и максимумы'!O$10,100,('исходные данные'!Q49-'минимумы и максимумы'!O$9)/('минимумы и максимумы'!O$10-'минимумы и максимумы'!O$9)*100)</f>
        <v>100</v>
      </c>
      <c r="R49">
        <f>IF('исходные данные'!R49&gt;'минимумы и максимумы'!P$10,100,('исходные данные'!R49-'минимумы и максимумы'!P$9)/('минимумы и максимумы'!P$10-'минимумы и максимумы'!P$9)*100)</f>
        <v>100</v>
      </c>
      <c r="S49">
        <f>IF('исходные данные'!S49&gt;'минимумы и максимумы'!Q$10,100,('исходные данные'!S49-'минимумы и максимумы'!Q$9)/('минимумы и максимумы'!Q$10-'минимумы и максимумы'!Q$9)*100)</f>
        <v>33.333333333333329</v>
      </c>
      <c r="T49">
        <f>IF('исходные данные'!T49&gt;'минимумы и максимумы'!R$10,100,('исходные данные'!T49-'минимумы и максимумы'!R$9)/('минимумы и максимумы'!R$10-'минимумы и максимумы'!R$9)*100)</f>
        <v>12.255466052934407</v>
      </c>
      <c r="U49">
        <f>IF('исходные данные'!U49&gt;'минимумы и максимумы'!S$10,100,('исходные данные'!U49-'минимумы и максимумы'!S$9)/('минимумы и максимумы'!S$10-'минимумы и максимумы'!S$9)*100)</f>
        <v>33.333333333333329</v>
      </c>
    </row>
    <row r="50" spans="1:21" x14ac:dyDescent="0.45">
      <c r="A50" s="4">
        <v>96</v>
      </c>
      <c r="B50" s="4">
        <v>0</v>
      </c>
      <c r="C50" s="4">
        <v>0</v>
      </c>
      <c r="D50">
        <f>IF('исходные данные'!D50&gt;'минимумы и максимумы'!B$10,100,('исходные данные'!D50-'минимумы и максимумы'!B$9)/('минимумы и максимумы'!B$10-'минимумы и максимумы'!B$9)*100)</f>
        <v>33.333333333333329</v>
      </c>
      <c r="E50">
        <f>IF('исходные данные'!E50&gt;'минимумы и максимумы'!C$10,100,('исходные данные'!E50-'минимумы и максимумы'!C$9)/('минимумы и максимумы'!C$10-'минимумы и максимумы'!C$9)*100)</f>
        <v>30</v>
      </c>
      <c r="F50">
        <f>IF('исходные данные'!F50&gt;'минимумы и максимумы'!D$10,100,('исходные данные'!F50-'минимумы и максимумы'!D$9)/('минимумы и максимумы'!D$10-'минимумы и максимумы'!D$9)*100)</f>
        <v>66.666666666666657</v>
      </c>
      <c r="G50">
        <f>IF('исходные данные'!G50&gt;'минимумы и максимумы'!E$10,100,('исходные данные'!G50-'минимумы и максимумы'!E$9)/('минимумы и максимумы'!E$10-'минимумы и максимумы'!E$9)*100)</f>
        <v>83.333333333333343</v>
      </c>
      <c r="H50">
        <f>IF('исходные данные'!H50&gt;'минимумы и максимумы'!F$10,100,('исходные данные'!H50-'минимумы и максимумы'!F$9)/('минимумы и максимумы'!F$10-'минимумы и максимумы'!F$9)*100)</f>
        <v>68.965517241379317</v>
      </c>
      <c r="I50">
        <f>IF('исходные данные'!I50&gt;'минимумы и максимумы'!G$10,100,('исходные данные'!I50-'минимумы и максимумы'!G$9)/('минимумы и максимумы'!G$10-'минимумы и максимумы'!G$9)*100)</f>
        <v>100</v>
      </c>
      <c r="J50">
        <f>IF('исходные данные'!J50&gt;'минимумы и максимумы'!H$10,100,('исходные данные'!J50-'минимумы и максимумы'!H$9)/('минимумы и максимумы'!H$10-'минимумы и максимумы'!H$9)*100)</f>
        <v>93.333333333333329</v>
      </c>
      <c r="K50">
        <f>IF('исходные данные'!K50&gt;'минимумы и максимумы'!I$10,100,('исходные данные'!K50-'минимумы и максимумы'!I$9)/('минимумы и максимумы'!I$10-'минимумы и максимумы'!I$9)*100)</f>
        <v>44.444444444444443</v>
      </c>
      <c r="L50">
        <f>IF('исходные данные'!L50&gt;'минимумы и максимумы'!J$10,100,('исходные данные'!L50-'минимумы и максимумы'!J$9)/('минимумы и максимумы'!J$10-'минимумы и максимумы'!J$9)*100)</f>
        <v>57.142857142857139</v>
      </c>
      <c r="M50">
        <f>IF('исходные данные'!M50&gt;'минимумы и максимумы'!K$10,100,('исходные данные'!M50-'минимумы и максимумы'!K$9)/('минимумы и максимумы'!K$10-'минимумы и максимумы'!K$9)*100)</f>
        <v>42.857142857142854</v>
      </c>
      <c r="N50">
        <f>IF('исходные данные'!N50&gt;'минимумы и максимумы'!L$10,100,('исходные данные'!N50-'минимумы и максимумы'!L$9)/('минимумы и максимумы'!L$10-'минимумы и максимумы'!L$9)*100)</f>
        <v>13.026659636795756</v>
      </c>
      <c r="O50">
        <f>IF('исходные данные'!O50&gt;'минимумы и максимумы'!M$10,100,('исходные данные'!O50-'минимумы и максимумы'!M$9)/('минимумы и максимумы'!M$10-'минимумы и максимумы'!M$9)*100)</f>
        <v>100</v>
      </c>
      <c r="P50">
        <f>IF('исходные данные'!P50&gt;'минимумы и максимумы'!N$10,100,('исходные данные'!P50-'минимумы и максимумы'!N$9)/('минимумы и максимумы'!N$10-'минимумы и максимумы'!N$9)*100)</f>
        <v>0</v>
      </c>
      <c r="Q50">
        <f>IF('исходные данные'!Q50&gt;'минимумы и максимумы'!O$10,100,('исходные данные'!Q50-'минимумы и максимумы'!O$9)/('минимумы и максимумы'!O$10-'минимумы и максимумы'!O$9)*100)</f>
        <v>100</v>
      </c>
      <c r="R50">
        <f>IF('исходные данные'!R50&gt;'минимумы и максимумы'!P$10,100,('исходные данные'!R50-'минимумы и максимумы'!P$9)/('минимумы и максимумы'!P$10-'минимумы и максимумы'!P$9)*100)</f>
        <v>100</v>
      </c>
      <c r="S50">
        <f>IF('исходные данные'!S50&gt;'минимумы и максимумы'!Q$10,100,('исходные данные'!S50-'минимумы и максимумы'!Q$9)/('минимумы и максимумы'!Q$10-'минимумы и максимумы'!Q$9)*100)</f>
        <v>50</v>
      </c>
      <c r="T50">
        <f>IF('исходные данные'!T50&gt;'минимумы и максимумы'!R$10,100,('исходные данные'!T50-'минимумы и максимумы'!R$9)/('минимумы и максимумы'!R$10-'минимумы и максимумы'!R$9)*100)</f>
        <v>7.5373993095512084</v>
      </c>
      <c r="U50">
        <f>IF('исходные данные'!U50&gt;'минимумы и максимумы'!S$10,100,('исходные данные'!U50-'минимумы и максимумы'!S$9)/('минимумы и максимумы'!S$10-'минимумы и максимумы'!S$9)*100)</f>
        <v>33.333333333333329</v>
      </c>
    </row>
    <row r="51" spans="1:21" x14ac:dyDescent="0.45">
      <c r="A51" s="4">
        <v>97</v>
      </c>
      <c r="B51" s="4">
        <v>0</v>
      </c>
      <c r="C51" s="4">
        <v>0</v>
      </c>
      <c r="D51">
        <f>IF('исходные данные'!D51&gt;'минимумы и максимумы'!B$10,100,('исходные данные'!D51-'минимумы и максимумы'!B$9)/('минимумы и максимумы'!B$10-'минимумы и максимумы'!B$9)*100)</f>
        <v>33.333333333333329</v>
      </c>
      <c r="E51">
        <f>IF('исходные данные'!E51&gt;'минимумы и максимумы'!C$10,100,('исходные данные'!E51-'минимумы и максимумы'!C$9)/('минимумы и максимумы'!C$10-'минимумы и максимумы'!C$9)*100)</f>
        <v>30</v>
      </c>
      <c r="F51">
        <f>IF('исходные данные'!F51&gt;'минимумы и максимумы'!D$10,100,('исходные данные'!F51-'минимумы и максимумы'!D$9)/('минимумы и максимумы'!D$10-'минимумы и максимумы'!D$9)*100)</f>
        <v>33.333333333333329</v>
      </c>
      <c r="G51">
        <f>IF('исходные данные'!G51&gt;'минимумы и максимумы'!E$10,100,('исходные данные'!G51-'минимумы и максимумы'!E$9)/('минимумы и максимумы'!E$10-'минимумы и максимумы'!E$9)*100)</f>
        <v>91.666666666666657</v>
      </c>
      <c r="H51">
        <f>IF('исходные данные'!H51&gt;'минимумы и максимумы'!F$10,100,('исходные данные'!H51-'минимумы и максимумы'!F$9)/('минимумы и максимумы'!F$10-'минимумы и максимумы'!F$9)*100)</f>
        <v>58.620689655172406</v>
      </c>
      <c r="I51">
        <f>IF('исходные данные'!I51&gt;'минимумы и максимумы'!G$10,100,('исходные данные'!I51-'минимумы и максимумы'!G$9)/('минимумы и максимумы'!G$10-'минимумы и максимумы'!G$9)*100)</f>
        <v>100</v>
      </c>
      <c r="J51">
        <f>IF('исходные данные'!J51&gt;'минимумы и максимумы'!H$10,100,('исходные данные'!J51-'минимумы и максимумы'!H$9)/('минимумы и максимумы'!H$10-'минимумы и максимумы'!H$9)*100)</f>
        <v>80</v>
      </c>
      <c r="K51">
        <f>IF('исходные данные'!K51&gt;'минимумы и максимумы'!I$10,100,('исходные данные'!K51-'минимумы и максимумы'!I$9)/('минимумы и максимумы'!I$10-'минимумы и максимумы'!I$9)*100)</f>
        <v>50</v>
      </c>
      <c r="L51">
        <f>IF('исходные данные'!L51&gt;'минимумы и максимумы'!J$10,100,('исходные данные'!L51-'минимумы и максимумы'!J$9)/('минимумы и максимумы'!J$10-'минимумы и максимумы'!J$9)*100)</f>
        <v>50</v>
      </c>
      <c r="M51">
        <f>IF('исходные данные'!M51&gt;'минимумы и максимумы'!K$10,100,('исходные данные'!M51-'минимумы и максимумы'!K$9)/('минимумы и максимумы'!K$10-'минимумы и максимумы'!K$9)*100)</f>
        <v>50</v>
      </c>
      <c r="N51">
        <f>IF('исходные данные'!N51&gt;'минимумы и максимумы'!L$10,100,('исходные данные'!N51-'минимумы и максимумы'!L$9)/('минимумы и максимумы'!L$10-'минимумы и максимумы'!L$9)*100)</f>
        <v>13.189077534085353</v>
      </c>
      <c r="O51">
        <f>IF('исходные данные'!O51&gt;'минимумы и максимумы'!M$10,100,('исходные данные'!O51-'минимумы и максимумы'!M$9)/('минимумы и максимумы'!M$10-'минимумы и максимумы'!M$9)*100)</f>
        <v>66.666666666666657</v>
      </c>
      <c r="P51">
        <f>IF('исходные данные'!P51&gt;'минимумы и максимумы'!N$10,100,('исходные данные'!P51-'минимумы и максимумы'!N$9)/('минимумы и максимумы'!N$10-'минимумы и максимумы'!N$9)*100)</f>
        <v>0</v>
      </c>
      <c r="Q51">
        <f>IF('исходные данные'!Q51&gt;'минимумы и максимумы'!O$10,100,('исходные данные'!Q51-'минимумы и максимумы'!O$9)/('минимумы и максимумы'!O$10-'минимумы и максимумы'!O$9)*100)</f>
        <v>100</v>
      </c>
      <c r="R51">
        <f>IF('исходные данные'!R51&gt;'минимумы и максимумы'!P$10,100,('исходные данные'!R51-'минимумы и максимумы'!P$9)/('минимумы и максимумы'!P$10-'минимумы и максимумы'!P$9)*100)</f>
        <v>100</v>
      </c>
      <c r="S51">
        <f>IF('исходные данные'!S51&gt;'минимумы и максимумы'!Q$10,100,('исходные данные'!S51-'минимумы и максимумы'!Q$9)/('минимумы и максимумы'!Q$10-'минимумы и максимумы'!Q$9)*100)</f>
        <v>50</v>
      </c>
      <c r="T51">
        <f>IF('исходные данные'!T51&gt;'минимумы и максимумы'!R$10,100,('исходные данные'!T51-'минимумы и максимумы'!R$9)/('минимумы и максимумы'!R$10-'минимумы и максимумы'!R$9)*100)</f>
        <v>5.7249712313003451</v>
      </c>
      <c r="U51">
        <f>IF('исходные данные'!U51&gt;'минимумы и максимумы'!S$10,100,('исходные данные'!U51-'минимумы и максимумы'!S$9)/('минимумы и максимумы'!S$10-'минимумы и максимумы'!S$9)*100)</f>
        <v>33.333333333333329</v>
      </c>
    </row>
    <row r="52" spans="1:21" x14ac:dyDescent="0.45">
      <c r="A52" s="4">
        <v>98</v>
      </c>
      <c r="B52" s="4">
        <v>0</v>
      </c>
      <c r="C52" s="4">
        <v>0</v>
      </c>
      <c r="D52">
        <f>IF('исходные данные'!D52&gt;'минимумы и максимумы'!B$10,100,('исходные данные'!D52-'минимумы и максимумы'!B$9)/('минимумы и максимумы'!B$10-'минимумы и максимумы'!B$9)*100)</f>
        <v>11.111111111111111</v>
      </c>
      <c r="E52">
        <f>IF('исходные данные'!E52&gt;'минимумы и максимумы'!C$10,100,('исходные данные'!E52-'минимумы и максимумы'!C$9)/('минимумы и максимумы'!C$10-'минимумы и максимумы'!C$9)*100)</f>
        <v>80</v>
      </c>
      <c r="F52">
        <f>IF('исходные данные'!F52&gt;'минимумы и максимумы'!D$10,100,('исходные данные'!F52-'минимумы и максимумы'!D$9)/('минимумы и максимумы'!D$10-'минимумы и максимумы'!D$9)*100)</f>
        <v>0</v>
      </c>
      <c r="G52">
        <f>IF('исходные данные'!G52&gt;'минимумы и максимумы'!E$10,100,('исходные данные'!G52-'минимумы и максимумы'!E$9)/('минимумы и максимумы'!E$10-'минимумы и максимумы'!E$9)*100)</f>
        <v>100</v>
      </c>
      <c r="H52">
        <f>IF('исходные данные'!H52&gt;'минимумы и максимумы'!F$10,100,('исходные данные'!H52-'минимумы и максимумы'!F$9)/('минимумы и максимумы'!F$10-'минимумы и максимумы'!F$9)*100)</f>
        <v>79.310344827586206</v>
      </c>
      <c r="I52">
        <f>IF('исходные данные'!I52&gt;'минимумы и максимумы'!G$10,100,('исходные данные'!I52-'минимумы и максимумы'!G$9)/('минимумы и максимумы'!G$10-'минимумы и максимумы'!G$9)*100)</f>
        <v>100</v>
      </c>
      <c r="J52">
        <f>IF('исходные данные'!J52&gt;'минимумы и максимумы'!H$10,100,('исходные данные'!J52-'минимумы и максимумы'!H$9)/('минимумы и максимумы'!H$10-'минимумы и максимумы'!H$9)*100)</f>
        <v>100</v>
      </c>
      <c r="K52">
        <f>IF('исходные данные'!K52&gt;'минимумы и максимумы'!I$10,100,('исходные данные'!K52-'минимумы и максимумы'!I$9)/('минимумы и максимумы'!I$10-'минимумы и максимумы'!I$9)*100)</f>
        <v>50</v>
      </c>
      <c r="L52">
        <f>IF('исходные данные'!L52&gt;'минимумы и максимумы'!J$10,100,('исходные данные'!L52-'минимумы и максимумы'!J$9)/('минимумы и максимумы'!J$10-'минимумы и максимумы'!J$9)*100)</f>
        <v>42.857142857142854</v>
      </c>
      <c r="M52">
        <f>IF('исходные данные'!M52&gt;'минимумы и максимумы'!K$10,100,('исходные данные'!M52-'минимумы и максимумы'!K$9)/('минимумы и максимумы'!K$10-'минимумы и максимумы'!K$9)*100)</f>
        <v>35.714285714285715</v>
      </c>
      <c r="N52">
        <f>IF('исходные данные'!N52&gt;'минимумы и максимумы'!L$10,100,('исходные данные'!N52-'минимумы и максимумы'!L$9)/('минимумы и максимумы'!L$10-'минимумы и максимумы'!L$9)*100)</f>
        <v>14.361319844591661</v>
      </c>
      <c r="O52">
        <f>IF('исходные данные'!O52&gt;'минимумы и максимумы'!M$10,100,('исходные данные'!O52-'минимумы и максимумы'!M$9)/('минимумы и максимумы'!M$10-'минимумы и максимумы'!M$9)*100)</f>
        <v>0</v>
      </c>
      <c r="P52">
        <f>IF('исходные данные'!P52&gt;'минимумы и максимумы'!N$10,100,('исходные данные'!P52-'минимумы и максимумы'!N$9)/('минимумы и максимумы'!N$10-'минимумы и максимумы'!N$9)*100)</f>
        <v>0</v>
      </c>
      <c r="Q52">
        <f>IF('исходные данные'!Q52&gt;'минимумы и максимумы'!O$10,100,('исходные данные'!Q52-'минимумы и максимумы'!O$9)/('минимумы и максимумы'!O$10-'минимумы и максимумы'!O$9)*100)</f>
        <v>100</v>
      </c>
      <c r="R52">
        <f>IF('исходные данные'!R52&gt;'минимумы и максимумы'!P$10,100,('исходные данные'!R52-'минимумы и максимумы'!P$9)/('минимумы и максимумы'!P$10-'минимумы и максимумы'!P$9)*100)</f>
        <v>100</v>
      </c>
      <c r="S52">
        <f>IF('исходные данные'!S52&gt;'минимумы и максимумы'!Q$10,100,('исходные данные'!S52-'минимумы и максимумы'!Q$9)/('минимумы и максимумы'!Q$10-'минимумы и максимумы'!Q$9)*100)</f>
        <v>33.333333333333329</v>
      </c>
      <c r="T52">
        <f>IF('исходные данные'!T52&gt;'минимумы и максимумы'!R$10,100,('исходные данные'!T52-'минимумы и максимумы'!R$9)/('минимумы и максимумы'!R$10-'минимумы и максимумы'!R$9)*100)</f>
        <v>10.443037974683545</v>
      </c>
      <c r="U52">
        <f>IF('исходные данные'!U52&gt;'минимумы и максимумы'!S$10,100,('исходные данные'!U52-'минимумы и максимумы'!S$9)/('минимумы и максимумы'!S$10-'минимумы и максимумы'!S$9)*100)</f>
        <v>66.666666666666657</v>
      </c>
    </row>
    <row r="53" spans="1:21" x14ac:dyDescent="0.45">
      <c r="A53" s="4">
        <v>100</v>
      </c>
      <c r="B53" s="4">
        <v>0</v>
      </c>
      <c r="C53" s="4">
        <v>0</v>
      </c>
      <c r="D53">
        <f>IF('исходные данные'!D53&gt;'минимумы и максимумы'!B$10,100,('исходные данные'!D53-'минимумы и максимумы'!B$9)/('минимумы и максимумы'!B$10-'минимумы и максимумы'!B$9)*100)</f>
        <v>55.555555555555557</v>
      </c>
      <c r="E53">
        <f>IF('исходные данные'!E53&gt;'минимумы и максимумы'!C$10,100,('исходные данные'!E53-'минимумы и максимумы'!C$9)/('минимумы и максимумы'!C$10-'минимумы и максимумы'!C$9)*100)</f>
        <v>40</v>
      </c>
      <c r="F53">
        <f>IF('исходные данные'!F53&gt;'минимумы и максимумы'!D$10,100,('исходные данные'!F53-'минимумы и максимумы'!D$9)/('минимумы и максимумы'!D$10-'минимумы и максимумы'!D$9)*100)</f>
        <v>33.333333333333329</v>
      </c>
      <c r="G53">
        <f>IF('исходные данные'!G53&gt;'минимумы и максимумы'!E$10,100,('исходные данные'!G53-'минимумы и максимумы'!E$9)/('минимумы и максимумы'!E$10-'минимумы и максимумы'!E$9)*100)</f>
        <v>75</v>
      </c>
      <c r="H53">
        <f>IF('исходные данные'!H53&gt;'минимумы и максимумы'!F$10,100,('исходные данные'!H53-'минимумы и максимумы'!F$9)/('минимумы и максимумы'!F$10-'минимумы и максимумы'!F$9)*100)</f>
        <v>62.068965517241381</v>
      </c>
      <c r="I53">
        <f>IF('исходные данные'!I53&gt;'минимумы и максимумы'!G$10,100,('исходные данные'!I53-'минимумы и максимумы'!G$9)/('минимумы и максимумы'!G$10-'минимумы и максимумы'!G$9)*100)</f>
        <v>100</v>
      </c>
      <c r="J53">
        <f>IF('исходные данные'!J53&gt;'минимумы и максимумы'!H$10,100,('исходные данные'!J53-'минимумы и максимумы'!H$9)/('минимумы и максимумы'!H$10-'минимумы и максимумы'!H$9)*100)</f>
        <v>46.666666666666664</v>
      </c>
      <c r="K53">
        <f>IF('исходные данные'!K53&gt;'минимумы и максимумы'!I$10,100,('исходные данные'!K53-'минимумы и максимумы'!I$9)/('минимумы и максимумы'!I$10-'минимумы и максимумы'!I$9)*100)</f>
        <v>38.888888888888893</v>
      </c>
      <c r="L53">
        <f>IF('исходные данные'!L53&gt;'минимумы и максимумы'!J$10,100,('исходные данные'!L53-'минимумы и максимумы'!J$9)/('минимумы и максимумы'!J$10-'минимумы и максимумы'!J$9)*100)</f>
        <v>50</v>
      </c>
      <c r="M53">
        <f>IF('исходные данные'!M53&gt;'минимумы и максимумы'!K$10,100,('исходные данные'!M53-'минимумы и максимумы'!K$9)/('минимумы и максимумы'!K$10-'минимумы и максимумы'!K$9)*100)</f>
        <v>42.857142857142854</v>
      </c>
      <c r="N53">
        <f>IF('исходные данные'!N53&gt;'минимумы и максимумы'!L$10,100,('исходные данные'!N53-'минимумы и максимумы'!L$9)/('минимумы и максимумы'!L$10-'минимумы и максимумы'!L$9)*100)</f>
        <v>14.438552456000991</v>
      </c>
      <c r="O53">
        <f>IF('исходные данные'!O53&gt;'минимумы и максимумы'!M$10,100,('исходные данные'!O53-'минимумы и максимумы'!M$9)/('минимумы и максимумы'!M$10-'минимумы и максимумы'!M$9)*100)</f>
        <v>66.666666666666657</v>
      </c>
      <c r="P53">
        <f>IF('исходные данные'!P53&gt;'минимумы и максимумы'!N$10,100,('исходные данные'!P53-'минимумы и максимумы'!N$9)/('минимумы и максимумы'!N$10-'минимумы и максимумы'!N$9)*100)</f>
        <v>0</v>
      </c>
      <c r="Q53">
        <f>IF('исходные данные'!Q53&gt;'минимумы и максимумы'!O$10,100,('исходные данные'!Q53-'минимумы и максимумы'!O$9)/('минимумы и максимумы'!O$10-'минимумы и максимумы'!O$9)*100)</f>
        <v>100</v>
      </c>
      <c r="R53">
        <f>IF('исходные данные'!R53&gt;'минимумы и максимумы'!P$10,100,('исходные данные'!R53-'минимумы и максимумы'!P$9)/('минимумы и максимумы'!P$10-'минимумы и максимумы'!P$9)*100)</f>
        <v>100</v>
      </c>
      <c r="S53">
        <f>IF('исходные данные'!S53&gt;'минимумы и максимумы'!Q$10,100,('исходные данные'!S53-'минимумы и максимумы'!Q$9)/('минимумы и максимумы'!Q$10-'минимумы и максимумы'!Q$9)*100)</f>
        <v>100</v>
      </c>
      <c r="T53">
        <f>IF('исходные данные'!T53&gt;'минимумы и максимумы'!R$10,100,('исходные данные'!T53-'минимумы и максимумы'!R$9)/('минимумы и максимумы'!R$10-'минимумы и максимумы'!R$9)*100)</f>
        <v>4.5742232451093212</v>
      </c>
      <c r="U53">
        <f>IF('исходные данные'!U53&gt;'минимумы и максимумы'!S$10,100,('исходные данные'!U53-'минимумы и максимумы'!S$9)/('минимумы и максимумы'!S$10-'минимумы и максимумы'!S$9)*100)</f>
        <v>0</v>
      </c>
    </row>
    <row r="54" spans="1:21" x14ac:dyDescent="0.45">
      <c r="A54" s="4">
        <v>103</v>
      </c>
      <c r="B54" s="4">
        <v>0</v>
      </c>
      <c r="C54" s="4">
        <v>0</v>
      </c>
      <c r="D54">
        <f>IF('исходные данные'!D54&gt;'минимумы и максимумы'!B$10,100,('исходные данные'!D54-'минимумы и максимумы'!B$9)/('минимумы и максимумы'!B$10-'минимумы и максимумы'!B$9)*100)</f>
        <v>33.333333333333329</v>
      </c>
      <c r="E54">
        <f>IF('исходные данные'!E54&gt;'минимумы и максимумы'!C$10,100,('исходные данные'!E54-'минимумы и максимумы'!C$9)/('минимумы и максимумы'!C$10-'минимумы и максимумы'!C$9)*100)</f>
        <v>80</v>
      </c>
      <c r="F54">
        <f>IF('исходные данные'!F54&gt;'минимумы и максимумы'!D$10,100,('исходные данные'!F54-'минимумы и максимумы'!D$9)/('минимумы и максимумы'!D$10-'минимумы и максимумы'!D$9)*100)</f>
        <v>33.333333333333329</v>
      </c>
      <c r="G54">
        <f>IF('исходные данные'!G54&gt;'минимумы и максимумы'!E$10,100,('исходные данные'!G54-'минимумы и максимумы'!E$9)/('минимумы и максимумы'!E$10-'минимумы и максимумы'!E$9)*100)</f>
        <v>37.5</v>
      </c>
      <c r="H54">
        <f>IF('исходные данные'!H54&gt;'минимумы и максимумы'!F$10,100,('исходные данные'!H54-'минимумы и максимумы'!F$9)/('минимумы и максимумы'!F$10-'минимумы и максимумы'!F$9)*100)</f>
        <v>24.137931034482758</v>
      </c>
      <c r="I54">
        <f>IF('исходные данные'!I54&gt;'минимумы и максимумы'!G$10,100,('исходные данные'!I54-'минимумы и максимумы'!G$9)/('минимумы и максимумы'!G$10-'минимумы и максимумы'!G$9)*100)</f>
        <v>54.716981132075468</v>
      </c>
      <c r="J54">
        <f>IF('исходные данные'!J54&gt;'минимумы и максимумы'!H$10,100,('исходные данные'!J54-'минимумы и максимумы'!H$9)/('минимумы и максимумы'!H$10-'минимумы и максимумы'!H$9)*100)</f>
        <v>26.666666666666668</v>
      </c>
      <c r="K54">
        <f>IF('исходные данные'!K54&gt;'минимумы и максимумы'!I$10,100,('исходные данные'!K54-'минимумы и максимумы'!I$9)/('минимумы и максимумы'!I$10-'минимумы и максимумы'!I$9)*100)</f>
        <v>72.222222222222214</v>
      </c>
      <c r="L54">
        <f>IF('исходные данные'!L54&gt;'минимумы и максимумы'!J$10,100,('исходные данные'!L54-'минимумы и максимумы'!J$9)/('минимумы и максимумы'!J$10-'минимумы и максимумы'!J$9)*100)</f>
        <v>7.1428571428571423</v>
      </c>
      <c r="M54">
        <f>IF('исходные данные'!M54&gt;'минимумы и максимумы'!K$10,100,('исходные данные'!M54-'минимумы и максимумы'!K$9)/('минимумы и максимумы'!K$10-'минимумы и максимумы'!K$9)*100)</f>
        <v>32.142857142857146</v>
      </c>
      <c r="N54">
        <f>IF('исходные данные'!N54&gt;'минимумы и максимумы'!L$10,100,('исходные данные'!N54-'минимумы и максимумы'!L$9)/('минимумы и максимумы'!L$10-'минимумы и максимумы'!L$9)*100)</f>
        <v>17.987658767751306</v>
      </c>
      <c r="O54">
        <f>IF('исходные данные'!O54&gt;'минимумы и максимумы'!M$10,100,('исходные данные'!O54-'минимумы и максимумы'!M$9)/('минимумы и максимумы'!M$10-'минимумы и максимумы'!M$9)*100)</f>
        <v>66.666666666666657</v>
      </c>
      <c r="P54">
        <f>IF('исходные данные'!P54&gt;'минимумы и максимумы'!N$10,100,('исходные данные'!P54-'минимумы и максимумы'!N$9)/('минимумы и максимумы'!N$10-'минимумы и максимумы'!N$9)*100)</f>
        <v>0</v>
      </c>
      <c r="Q54">
        <f>IF('исходные данные'!Q54&gt;'минимумы и максимумы'!O$10,100,('исходные данные'!Q54-'минимумы и максимумы'!O$9)/('минимумы и максимумы'!O$10-'минимумы и максимумы'!O$9)*100)</f>
        <v>0</v>
      </c>
      <c r="R54">
        <f>IF('исходные данные'!R54&gt;'минимумы и максимумы'!P$10,100,('исходные данные'!R54-'минимумы и максимумы'!P$9)/('минимумы и максимумы'!P$10-'минимумы и максимумы'!P$9)*100)</f>
        <v>100</v>
      </c>
      <c r="S54">
        <f>IF('исходные данные'!S54&gt;'минимумы и максимумы'!Q$10,100,('исходные данные'!S54-'минимумы и максимумы'!Q$9)/('минимумы и максимумы'!Q$10-'минимумы и максимумы'!Q$9)*100)</f>
        <v>33.333333333333329</v>
      </c>
      <c r="T54">
        <f>IF('исходные данные'!T54&gt;'минимумы и максимумы'!R$10,100,('исходные данные'!T54-'минимумы и максимумы'!R$9)/('минимумы и максимумы'!R$10-'минимумы и максимумы'!R$9)*100)</f>
        <v>42.865362485615648</v>
      </c>
      <c r="U54">
        <f>IF('исходные данные'!U54&gt;'минимумы и максимумы'!S$10,100,('исходные данные'!U54-'минимумы и максимумы'!S$9)/('минимумы и максимумы'!S$10-'минимумы и максимумы'!S$9)*100)</f>
        <v>0</v>
      </c>
    </row>
    <row r="55" spans="1:21" x14ac:dyDescent="0.45">
      <c r="A55" s="4">
        <v>105</v>
      </c>
      <c r="B55" s="4">
        <v>0</v>
      </c>
      <c r="C55" s="4">
        <v>0</v>
      </c>
      <c r="D55">
        <f>IF('исходные данные'!D55&gt;'минимумы и максимумы'!B$10,100,('исходные данные'!D55-'минимумы и максимумы'!B$9)/('минимумы и максимумы'!B$10-'минимумы и максимумы'!B$9)*100)</f>
        <v>44.444444444444443</v>
      </c>
      <c r="E55">
        <f>IF('исходные данные'!E55&gt;'минимумы и максимумы'!C$10,100,('исходные данные'!E55-'минимумы и максимумы'!C$9)/('минимумы и максимумы'!C$10-'минимумы и максимумы'!C$9)*100)</f>
        <v>70</v>
      </c>
      <c r="F55">
        <f>IF('исходные данные'!F55&gt;'минимумы и максимумы'!D$10,100,('исходные данные'!F55-'минимумы и максимумы'!D$9)/('минимумы и максимумы'!D$10-'минимумы и максимумы'!D$9)*100)</f>
        <v>0</v>
      </c>
      <c r="G55">
        <f>IF('исходные данные'!G55&gt;'минимумы и максимумы'!E$10,100,('исходные данные'!G55-'минимумы и максимумы'!E$9)/('минимумы и максимумы'!E$10-'минимумы и максимумы'!E$9)*100)</f>
        <v>83.333333333333343</v>
      </c>
      <c r="H55">
        <f>IF('исходные данные'!H55&gt;'минимумы и максимумы'!F$10,100,('исходные данные'!H55-'минимумы и максимумы'!F$9)/('минимумы и максимумы'!F$10-'минимумы и максимумы'!F$9)*100)</f>
        <v>31.03448275862069</v>
      </c>
      <c r="I55">
        <f>IF('исходные данные'!I55&gt;'минимумы и максимумы'!G$10,100,('исходные данные'!I55-'минимумы и максимумы'!G$9)/('минимумы и максимумы'!G$10-'минимумы и максимумы'!G$9)*100)</f>
        <v>81.132075471698116</v>
      </c>
      <c r="J55">
        <f>IF('исходные данные'!J55&gt;'минимумы и максимумы'!H$10,100,('исходные данные'!J55-'минимумы и максимумы'!H$9)/('минимумы и максимумы'!H$10-'минимумы и максимумы'!H$9)*100)</f>
        <v>100</v>
      </c>
      <c r="K55">
        <f>IF('исходные данные'!K55&gt;'минимумы и максимумы'!I$10,100,('исходные данные'!K55-'минимумы и максимумы'!I$9)/('минимумы и максимумы'!I$10-'минимумы и максимумы'!I$9)*100)</f>
        <v>38.888888888888893</v>
      </c>
      <c r="L55">
        <f>IF('исходные данные'!L55&gt;'минимумы и максимумы'!J$10,100,('исходные данные'!L55-'минимумы и максимумы'!J$9)/('минимумы и максимумы'!J$10-'минимумы и максимумы'!J$9)*100)</f>
        <v>21.428571428571427</v>
      </c>
      <c r="M55">
        <f>IF('исходные данные'!M55&gt;'минимумы и максимумы'!K$10,100,('исходные данные'!M55-'минимумы и максимумы'!K$9)/('минимумы и максимумы'!K$10-'минимумы и максимумы'!K$9)*100)</f>
        <v>46.428571428571431</v>
      </c>
      <c r="N55">
        <f>IF('исходные данные'!N55&gt;'минимумы и максимумы'!L$10,100,('исходные данные'!N55-'минимумы и максимумы'!L$9)/('минимумы и максимумы'!L$10-'минимумы и максимумы'!L$9)*100)</f>
        <v>9.5265545352612815</v>
      </c>
      <c r="O55">
        <f>IF('исходные данные'!O55&gt;'минимумы и максимумы'!M$10,100,('исходные данные'!O55-'минимумы и максимумы'!M$9)/('минимумы и максимумы'!M$10-'минимумы и максимумы'!M$9)*100)</f>
        <v>100</v>
      </c>
      <c r="P55">
        <f>IF('исходные данные'!P55&gt;'минимумы и максимумы'!N$10,100,('исходные данные'!P55-'минимумы и максимумы'!N$9)/('минимумы и максимумы'!N$10-'минимумы и максимумы'!N$9)*100)</f>
        <v>100</v>
      </c>
      <c r="Q55">
        <f>IF('исходные данные'!Q55&gt;'минимумы и максимумы'!O$10,100,('исходные данные'!Q55-'минимумы и максимумы'!O$9)/('минимумы и максимумы'!O$10-'минимумы и максимумы'!O$9)*100)</f>
        <v>100</v>
      </c>
      <c r="R55">
        <f>IF('исходные данные'!R55&gt;'минимумы и максимумы'!P$10,100,('исходные данные'!R55-'минимумы и максимумы'!P$9)/('минимумы и максимумы'!P$10-'минимумы и максимумы'!P$9)*100)</f>
        <v>100</v>
      </c>
      <c r="S55">
        <f>IF('исходные данные'!S55&gt;'минимумы и максимумы'!Q$10,100,('исходные данные'!S55-'минимумы и максимумы'!Q$9)/('минимумы и максимумы'!Q$10-'минимумы и максимумы'!Q$9)*100)</f>
        <v>50</v>
      </c>
      <c r="T55">
        <f>IF('исходные данные'!T55&gt;'минимумы и максимумы'!R$10,100,('исходные данные'!T55-'минимумы и максимумы'!R$9)/('минимумы и максимумы'!R$10-'минимумы и максимумы'!R$9)*100)</f>
        <v>55.955120828538554</v>
      </c>
      <c r="U55">
        <f>IF('исходные данные'!U55&gt;'минимумы и максимумы'!S$10,100,('исходные данные'!U55-'минимумы и максимумы'!S$9)/('минимумы и максимумы'!S$10-'минимумы и максимумы'!S$9)*100)</f>
        <v>100</v>
      </c>
    </row>
    <row r="56" spans="1:21" x14ac:dyDescent="0.45">
      <c r="A56" s="4">
        <v>106</v>
      </c>
      <c r="B56" s="4">
        <v>0</v>
      </c>
      <c r="C56" s="4">
        <v>0</v>
      </c>
      <c r="D56">
        <f>IF('исходные данные'!D56&gt;'минимумы и максимумы'!B$10,100,('исходные данные'!D56-'минимумы и максимумы'!B$9)/('минимумы и максимумы'!B$10-'минимумы и максимумы'!B$9)*100)</f>
        <v>44.444444444444443</v>
      </c>
      <c r="E56">
        <f>IF('исходные данные'!E56&gt;'минимумы и максимумы'!C$10,100,('исходные данные'!E56-'минимумы и максимумы'!C$9)/('минимумы и максимумы'!C$10-'минимумы и максимумы'!C$9)*100)</f>
        <v>70</v>
      </c>
      <c r="F56">
        <f>IF('исходные данные'!F56&gt;'минимумы и максимумы'!D$10,100,('исходные данные'!F56-'минимумы и максимумы'!D$9)/('минимумы и максимумы'!D$10-'минимумы и максимумы'!D$9)*100)</f>
        <v>0</v>
      </c>
      <c r="G56">
        <f>IF('исходные данные'!G56&gt;'минимумы и максимумы'!E$10,100,('исходные данные'!G56-'минимумы и максимумы'!E$9)/('минимумы и максимумы'!E$10-'минимумы и максимумы'!E$9)*100)</f>
        <v>83.333333333333343</v>
      </c>
      <c r="H56">
        <f>IF('исходные данные'!H56&gt;'минимумы и максимумы'!F$10,100,('исходные данные'!H56-'минимумы и максимумы'!F$9)/('минимумы и максимумы'!F$10-'минимумы и максимумы'!F$9)*100)</f>
        <v>31.03448275862069</v>
      </c>
      <c r="I56">
        <f>IF('исходные данные'!I56&gt;'минимумы и максимумы'!G$10,100,('исходные данные'!I56-'минимумы и максимумы'!G$9)/('минимумы и максимумы'!G$10-'минимумы и максимумы'!G$9)*100)</f>
        <v>81.132075471698116</v>
      </c>
      <c r="J56">
        <f>IF('исходные данные'!J56&gt;'минимумы и максимумы'!H$10,100,('исходные данные'!J56-'минимумы и максимумы'!H$9)/('минимумы и максимумы'!H$10-'минимумы и максимумы'!H$9)*100)</f>
        <v>100</v>
      </c>
      <c r="K56">
        <f>IF('исходные данные'!K56&gt;'минимумы и максимумы'!I$10,100,('исходные данные'!K56-'минимумы и максимумы'!I$9)/('минимумы и максимумы'!I$10-'минимумы и максимумы'!I$9)*100)</f>
        <v>38.888888888888893</v>
      </c>
      <c r="L56">
        <f>IF('исходные данные'!L56&gt;'минимумы и максимумы'!J$10,100,('исходные данные'!L56-'минимумы и максимумы'!J$9)/('минимумы и максимумы'!J$10-'минимумы и максимумы'!J$9)*100)</f>
        <v>21.428571428571427</v>
      </c>
      <c r="M56">
        <f>IF('исходные данные'!M56&gt;'минимумы и максимумы'!K$10,100,('исходные данные'!M56-'минимумы и максимумы'!K$9)/('минимумы и максимумы'!K$10-'минимумы и максимумы'!K$9)*100)</f>
        <v>46.428571428571431</v>
      </c>
      <c r="N56">
        <f>IF('исходные данные'!N56&gt;'минимумы и максимумы'!L$10,100,('исходные данные'!N56-'минимумы и максимумы'!L$9)/('минимумы и максимумы'!L$10-'минимумы и максимумы'!L$9)*100)</f>
        <v>9.1917312325988156</v>
      </c>
      <c r="O56">
        <f>IF('исходные данные'!O56&gt;'минимумы и максимумы'!M$10,100,('исходные данные'!O56-'минимумы и максимумы'!M$9)/('минимумы и максимумы'!M$10-'минимумы и максимумы'!M$9)*100)</f>
        <v>100</v>
      </c>
      <c r="P56">
        <f>IF('исходные данные'!P56&gt;'минимумы и максимумы'!N$10,100,('исходные данные'!P56-'минимумы и максимумы'!N$9)/('минимумы и максимумы'!N$10-'минимумы и максимумы'!N$9)*100)</f>
        <v>100</v>
      </c>
      <c r="Q56">
        <f>IF('исходные данные'!Q56&gt;'минимумы и максимумы'!O$10,100,('исходные данные'!Q56-'минимумы и максимумы'!O$9)/('минимумы и максимумы'!O$10-'минимумы и максимумы'!O$9)*100)</f>
        <v>100</v>
      </c>
      <c r="R56">
        <f>IF('исходные данные'!R56&gt;'минимумы и максимумы'!P$10,100,('исходные данные'!R56-'минимумы и максимумы'!P$9)/('минимумы и максимумы'!P$10-'минимумы и максимумы'!P$9)*100)</f>
        <v>100</v>
      </c>
      <c r="S56">
        <f>IF('исходные данные'!S56&gt;'минимумы и максимумы'!Q$10,100,('исходные данные'!S56-'минимумы и максимумы'!Q$9)/('минимумы и максимумы'!Q$10-'минимумы и максимумы'!Q$9)*100)</f>
        <v>33.333333333333329</v>
      </c>
      <c r="T56">
        <f>IF('исходные данные'!T56&gt;'минимумы и максимумы'!R$10,100,('исходные данные'!T56-'минимумы и максимумы'!R$9)/('минимумы и максимумы'!R$10-'минимумы и максимумы'!R$9)*100)</f>
        <v>70.0517836593786</v>
      </c>
      <c r="U56">
        <f>IF('исходные данные'!U56&gt;'минимумы и максимумы'!S$10,100,('исходные данные'!U56-'минимумы и максимумы'!S$9)/('минимумы и максимумы'!S$10-'минимумы и максимумы'!S$9)*100)</f>
        <v>100</v>
      </c>
    </row>
    <row r="57" spans="1:21" x14ac:dyDescent="0.45">
      <c r="A57" s="4">
        <v>107</v>
      </c>
      <c r="B57" s="4">
        <v>0</v>
      </c>
      <c r="C57" s="4">
        <v>0</v>
      </c>
      <c r="D57">
        <f>IF('исходные данные'!D57&gt;'минимумы и максимумы'!B$10,100,('исходные данные'!D57-'минимумы и максимумы'!B$9)/('минимумы и максимумы'!B$10-'минимумы и максимумы'!B$9)*100)</f>
        <v>11.111111111111111</v>
      </c>
      <c r="E57">
        <f>IF('исходные данные'!E57&gt;'минимумы и максимумы'!C$10,100,('исходные данные'!E57-'минимумы и максимумы'!C$9)/('минимумы и максимумы'!C$10-'минимумы и максимумы'!C$9)*100)</f>
        <v>20</v>
      </c>
      <c r="F57">
        <f>IF('исходные данные'!F57&gt;'минимумы и максимумы'!D$10,100,('исходные данные'!F57-'минимумы и максимумы'!D$9)/('минимумы и максимумы'!D$10-'минимумы и максимумы'!D$9)*100)</f>
        <v>0</v>
      </c>
      <c r="G57">
        <f>IF('исходные данные'!G57&gt;'минимумы и максимумы'!E$10,100,('исходные данные'!G57-'минимумы и максимумы'!E$9)/('минимумы и максимумы'!E$10-'минимумы и максимумы'!E$9)*100)</f>
        <v>29.166666666666668</v>
      </c>
      <c r="H57">
        <f>IF('исходные данные'!H57&gt;'минимумы и максимумы'!F$10,100,('исходные данные'!H57-'минимумы и максимумы'!F$9)/('минимумы и максимумы'!F$10-'минимумы и максимумы'!F$9)*100)</f>
        <v>10.344827586206897</v>
      </c>
      <c r="I57">
        <f>IF('исходные данные'!I57&gt;'минимумы и максимумы'!G$10,100,('исходные данные'!I57-'минимумы и максимумы'!G$9)/('минимумы и максимумы'!G$10-'минимумы и максимумы'!G$9)*100)</f>
        <v>18.867924528301888</v>
      </c>
      <c r="J57">
        <f>IF('исходные данные'!J57&gt;'минимумы и максимумы'!H$10,100,('исходные данные'!J57-'минимумы и максимумы'!H$9)/('минимумы и максимумы'!H$10-'минимумы и максимумы'!H$9)*100)</f>
        <v>26.666666666666668</v>
      </c>
      <c r="K57">
        <f>IF('исходные данные'!K57&gt;'минимумы и максимумы'!I$10,100,('исходные данные'!K57-'минимумы и максимумы'!I$9)/('минимумы и максимумы'!I$10-'минимумы и максимумы'!I$9)*100)</f>
        <v>22.222222222222221</v>
      </c>
      <c r="L57">
        <f>IF('исходные данные'!L57&gt;'минимумы и максимумы'!J$10,100,('исходные данные'!L57-'минимумы и максимумы'!J$9)/('минимумы и максимумы'!J$10-'минимумы и максимумы'!J$9)*100)</f>
        <v>7.1428571428571423</v>
      </c>
      <c r="M57">
        <f>IF('исходные данные'!M57&gt;'минимумы и максимумы'!K$10,100,('исходные данные'!M57-'минимумы и максимумы'!K$9)/('минимумы и максимумы'!K$10-'минимумы и максимумы'!K$9)*100)</f>
        <v>14.285714285714285</v>
      </c>
      <c r="N57">
        <f>IF('исходные данные'!N57&gt;'минимумы и максимумы'!L$10,100,('исходные данные'!N57-'минимумы и максимумы'!L$9)/('минимумы и максимумы'!L$10-'минимумы и максимумы'!L$9)*100)</f>
        <v>8.1207667392079923</v>
      </c>
      <c r="O57">
        <f>IF('исходные данные'!O57&gt;'минимумы и максимумы'!M$10,100,('исходные данные'!O57-'минимумы и максимумы'!M$9)/('минимумы и максимумы'!M$10-'минимумы и максимумы'!M$9)*100)</f>
        <v>33.333333333333329</v>
      </c>
      <c r="P57">
        <f>IF('исходные данные'!P57&gt;'минимумы и максимумы'!N$10,100,('исходные данные'!P57-'минимумы и максимумы'!N$9)/('минимумы и максимумы'!N$10-'минимумы и максимумы'!N$9)*100)</f>
        <v>0</v>
      </c>
      <c r="Q57">
        <f>IF('исходные данные'!Q57&gt;'минимумы и максимумы'!O$10,100,('исходные данные'!Q57-'минимумы и максимумы'!O$9)/('минимумы и максимумы'!O$10-'минимумы и максимумы'!O$9)*100)</f>
        <v>0</v>
      </c>
      <c r="R57">
        <f>IF('исходные данные'!R57&gt;'минимумы и максимумы'!P$10,100,('исходные данные'!R57-'минимумы и максимумы'!P$9)/('минимумы и максимумы'!P$10-'минимумы и максимумы'!P$9)*100)</f>
        <v>100</v>
      </c>
      <c r="S57">
        <f>IF('исходные данные'!S57&gt;'минимумы и максимумы'!Q$10,100,('исходные данные'!S57-'минимумы и максимумы'!Q$9)/('минимумы и максимумы'!Q$10-'минимумы и максимумы'!Q$9)*100)</f>
        <v>50</v>
      </c>
      <c r="T57">
        <f>IF('исходные данные'!T57&gt;'минимумы и максимумы'!R$10,100,('исходные данные'!T57-'минимумы и максимумы'!R$9)/('минимумы и максимумы'!R$10-'минимумы и максимумы'!R$9)*100)</f>
        <v>10.040276179516686</v>
      </c>
      <c r="U57">
        <f>IF('исходные данные'!U57&gt;'минимумы и максимумы'!S$10,100,('исходные данные'!U57-'минимумы и максимумы'!S$9)/('минимумы и максимумы'!S$10-'минимумы и максимумы'!S$9)*100)</f>
        <v>0</v>
      </c>
    </row>
    <row r="58" spans="1:21" x14ac:dyDescent="0.45">
      <c r="A58" s="4">
        <v>108</v>
      </c>
      <c r="B58" s="4">
        <v>0</v>
      </c>
      <c r="C58" s="4">
        <v>0</v>
      </c>
      <c r="D58">
        <f>IF('исходные данные'!D58&gt;'минимумы и максимумы'!B$10,100,('исходные данные'!D58-'минимумы и максимумы'!B$9)/('минимумы и максимумы'!B$10-'минимумы и максимумы'!B$9)*100)</f>
        <v>55.555555555555557</v>
      </c>
      <c r="E58">
        <f>IF('исходные данные'!E58&gt;'минимумы и максимумы'!C$10,100,('исходные данные'!E58-'минимумы и максимумы'!C$9)/('минимумы и максимумы'!C$10-'минимумы и максимумы'!C$9)*100)</f>
        <v>60</v>
      </c>
      <c r="F58">
        <f>IF('исходные данные'!F58&gt;'минимумы и максимумы'!D$10,100,('исходные данные'!F58-'минимумы и максимумы'!D$9)/('минимумы и максимумы'!D$10-'минимумы и максимумы'!D$9)*100)</f>
        <v>0</v>
      </c>
      <c r="G58">
        <f>IF('исходные данные'!G58&gt;'минимумы и максимумы'!E$10,100,('исходные данные'!G58-'минимумы и максимумы'!E$9)/('минимумы и максимумы'!E$10-'минимумы и максимумы'!E$9)*100)</f>
        <v>58.333333333333336</v>
      </c>
      <c r="H58">
        <f>IF('исходные данные'!H58&gt;'минимумы и максимумы'!F$10,100,('исходные данные'!H58-'минимумы и максимумы'!F$9)/('минимумы и максимумы'!F$10-'минимумы и максимумы'!F$9)*100)</f>
        <v>34.482758620689658</v>
      </c>
      <c r="I58">
        <f>IF('исходные данные'!I58&gt;'минимумы и максимумы'!G$10,100,('исходные данные'!I58-'минимумы и максимумы'!G$9)/('минимумы и максимумы'!G$10-'минимумы и максимумы'!G$9)*100)</f>
        <v>100</v>
      </c>
      <c r="J58">
        <f>IF('исходные данные'!J58&gt;'минимумы и максимумы'!H$10,100,('исходные данные'!J58-'минимумы и максимумы'!H$9)/('минимумы и максимумы'!H$10-'минимумы и максимумы'!H$9)*100)</f>
        <v>100</v>
      </c>
      <c r="K58">
        <f>IF('исходные данные'!K58&gt;'минимумы и максимумы'!I$10,100,('исходные данные'!K58-'минимумы и максимумы'!I$9)/('минимумы и максимумы'!I$10-'минимумы и максимумы'!I$9)*100)</f>
        <v>27.777777777777779</v>
      </c>
      <c r="L58">
        <f>IF('исходные данные'!L58&gt;'минимумы и максимумы'!J$10,100,('исходные данные'!L58-'минимумы и максимумы'!J$9)/('минимумы и максимумы'!J$10-'минимумы и максимумы'!J$9)*100)</f>
        <v>21.428571428571427</v>
      </c>
      <c r="M58">
        <f>IF('исходные данные'!M58&gt;'минимумы и максимумы'!K$10,100,('исходные данные'!M58-'минимумы и максимумы'!K$9)/('минимумы и максимумы'!K$10-'минимумы и максимумы'!K$9)*100)</f>
        <v>50</v>
      </c>
      <c r="N58">
        <f>IF('исходные данные'!N58&gt;'минимумы и максимумы'!L$10,100,('исходные данные'!N58-'минимумы и максимумы'!L$9)/('минимумы и максимумы'!L$10-'минимумы и максимумы'!L$9)*100)</f>
        <v>6.9089301562132679</v>
      </c>
      <c r="O58">
        <f>IF('исходные данные'!O58&gt;'минимумы и максимумы'!M$10,100,('исходные данные'!O58-'минимумы и максимумы'!M$9)/('минимумы и максимумы'!M$10-'минимумы и максимумы'!M$9)*100)</f>
        <v>100</v>
      </c>
      <c r="P58">
        <f>IF('исходные данные'!P58&gt;'минимумы и максимумы'!N$10,100,('исходные данные'!P58-'минимумы и максимумы'!N$9)/('минимумы и максимумы'!N$10-'минимумы и максимумы'!N$9)*100)</f>
        <v>100</v>
      </c>
      <c r="Q58">
        <f>IF('исходные данные'!Q58&gt;'минимумы и максимумы'!O$10,100,('исходные данные'!Q58-'минимумы и максимумы'!O$9)/('минимумы и максимумы'!O$10-'минимумы и максимумы'!O$9)*100)</f>
        <v>100</v>
      </c>
      <c r="R58">
        <f>IF('исходные данные'!R58&gt;'минимумы и максимумы'!P$10,100,('исходные данные'!R58-'минимумы и максимумы'!P$9)/('минимумы и максимумы'!P$10-'минимумы и максимумы'!P$9)*100)</f>
        <v>75</v>
      </c>
      <c r="S58">
        <f>IF('исходные данные'!S58&gt;'минимумы и максимумы'!Q$10,100,('исходные данные'!S58-'минимумы и максимумы'!Q$9)/('минимумы и максимумы'!Q$10-'минимумы и максимумы'!Q$9)*100)</f>
        <v>50</v>
      </c>
      <c r="T58">
        <f>IF('исходные данные'!T58&gt;'минимумы и максимумы'!R$10,100,('исходные данные'!T58-'минимумы и максимумы'!R$9)/('минимумы и максимумы'!R$10-'минимумы и максимумы'!R$9)*100)</f>
        <v>38.23360184119678</v>
      </c>
      <c r="U58">
        <f>IF('исходные данные'!U58&gt;'минимумы и максимумы'!S$10,100,('исходные данные'!U58-'минимумы и максимумы'!S$9)/('минимумы и максимумы'!S$10-'минимумы и максимумы'!S$9)*100)</f>
        <v>0</v>
      </c>
    </row>
    <row r="59" spans="1:21" x14ac:dyDescent="0.45">
      <c r="A59" s="4">
        <v>109</v>
      </c>
      <c r="B59" s="4">
        <v>0</v>
      </c>
      <c r="C59" s="4">
        <v>0</v>
      </c>
      <c r="D59">
        <f>IF('исходные данные'!D59&gt;'минимумы и максимумы'!B$10,100,('исходные данные'!D59-'минимумы и максимумы'!B$9)/('минимумы и максимумы'!B$10-'минимумы и максимумы'!B$9)*100)</f>
        <v>55.555555555555557</v>
      </c>
      <c r="E59">
        <f>IF('исходные данные'!E59&gt;'минимумы и максимумы'!C$10,100,('исходные данные'!E59-'минимумы и максимумы'!C$9)/('минимумы и максимумы'!C$10-'минимумы и максимумы'!C$9)*100)</f>
        <v>60</v>
      </c>
      <c r="F59">
        <f>IF('исходные данные'!F59&gt;'минимумы и максимумы'!D$10,100,('исходные данные'!F59-'минимумы и максимумы'!D$9)/('минимумы и максимумы'!D$10-'минимумы и максимумы'!D$9)*100)</f>
        <v>0</v>
      </c>
      <c r="G59">
        <f>IF('исходные данные'!G59&gt;'минимумы и максимумы'!E$10,100,('исходные данные'!G59-'минимумы и максимумы'!E$9)/('минимумы и максимумы'!E$10-'минимумы и максимумы'!E$9)*100)</f>
        <v>58.333333333333336</v>
      </c>
      <c r="H59">
        <f>IF('исходные данные'!H59&gt;'минимумы и максимумы'!F$10,100,('исходные данные'!H59-'минимумы и максимумы'!F$9)/('минимумы и максимумы'!F$10-'минимумы и максимумы'!F$9)*100)</f>
        <v>34.482758620689658</v>
      </c>
      <c r="I59">
        <f>IF('исходные данные'!I59&gt;'минимумы и максимумы'!G$10,100,('исходные данные'!I59-'минимумы и максимумы'!G$9)/('минимумы и максимумы'!G$10-'минимумы и максимумы'!G$9)*100)</f>
        <v>100</v>
      </c>
      <c r="J59">
        <f>IF('исходные данные'!J59&gt;'минимумы и максимумы'!H$10,100,('исходные данные'!J59-'минимумы и максимумы'!H$9)/('минимумы и максимумы'!H$10-'минимумы и максимумы'!H$9)*100)</f>
        <v>100</v>
      </c>
      <c r="K59">
        <f>IF('исходные данные'!K59&gt;'минимумы и максимумы'!I$10,100,('исходные данные'!K59-'минимумы и максимумы'!I$9)/('минимумы и максимумы'!I$10-'минимумы и максимумы'!I$9)*100)</f>
        <v>27.777777777777779</v>
      </c>
      <c r="L59">
        <f>IF('исходные данные'!L59&gt;'минимумы и максимумы'!J$10,100,('исходные данные'!L59-'минимумы и максимумы'!J$9)/('минимумы и максимумы'!J$10-'минимумы и максимумы'!J$9)*100)</f>
        <v>21.428571428571427</v>
      </c>
      <c r="M59">
        <f>IF('исходные данные'!M59&gt;'минимумы и максимумы'!K$10,100,('исходные данные'!M59-'минимумы и максимумы'!K$9)/('минимумы и максимумы'!K$10-'минимумы и максимумы'!K$9)*100)</f>
        <v>50</v>
      </c>
      <c r="N59">
        <f>IF('исходные данные'!N59&gt;'минимумы и максимумы'!L$10,100,('исходные данные'!N59-'минимумы и максимумы'!L$9)/('минимумы и максимумы'!L$10-'минимумы и максимумы'!L$9)*100)</f>
        <v>7.3848941337760596</v>
      </c>
      <c r="O59">
        <f>IF('исходные данные'!O59&gt;'минимумы и максимумы'!M$10,100,('исходные данные'!O59-'минимумы и максимумы'!M$9)/('минимумы и максимумы'!M$10-'минимумы и максимумы'!M$9)*100)</f>
        <v>100</v>
      </c>
      <c r="P59">
        <f>IF('исходные данные'!P59&gt;'минимумы и максимумы'!N$10,100,('исходные данные'!P59-'минимумы и максимумы'!N$9)/('минимумы и максимумы'!N$10-'минимумы и максимумы'!N$9)*100)</f>
        <v>100</v>
      </c>
      <c r="Q59">
        <f>IF('исходные данные'!Q59&gt;'минимумы и максимумы'!O$10,100,('исходные данные'!Q59-'минимумы и максимумы'!O$9)/('минимумы и максимумы'!O$10-'минимумы и максимумы'!O$9)*100)</f>
        <v>100</v>
      </c>
      <c r="R59">
        <f>IF('исходные данные'!R59&gt;'минимумы и максимумы'!P$10,100,('исходные данные'!R59-'минимумы и максимумы'!P$9)/('минимумы и максимумы'!P$10-'минимумы и максимумы'!P$9)*100)</f>
        <v>75</v>
      </c>
      <c r="S59">
        <f>IF('исходные данные'!S59&gt;'минимумы и максимумы'!Q$10,100,('исходные данные'!S59-'минимумы и максимумы'!Q$9)/('минимумы и максимумы'!Q$10-'минимумы и максимумы'!Q$9)*100)</f>
        <v>33.333333333333329</v>
      </c>
      <c r="T59">
        <f>IF('исходные данные'!T59&gt;'минимумы и максимумы'!R$10,100,('исходные данные'!T59-'минимумы и максимумы'!R$9)/('минимумы и максимумы'!R$10-'минимумы и максимумы'!R$9)*100)</f>
        <v>9.6950517836593786</v>
      </c>
      <c r="U59">
        <f>IF('исходные данные'!U59&gt;'минимумы и максимумы'!S$10,100,('исходные данные'!U59-'минимумы и максимумы'!S$9)/('минимумы и максимумы'!S$10-'минимумы и максимумы'!S$9)*100)</f>
        <v>0</v>
      </c>
    </row>
    <row r="60" spans="1:21" x14ac:dyDescent="0.45">
      <c r="A60" s="4">
        <v>110</v>
      </c>
      <c r="B60" s="4">
        <v>0</v>
      </c>
      <c r="C60" s="4">
        <v>0</v>
      </c>
      <c r="D60">
        <f>IF('исходные данные'!D60&gt;'минимумы и максимумы'!B$10,100,('исходные данные'!D60-'минимумы и максимумы'!B$9)/('минимумы и максимумы'!B$10-'минимумы и максимумы'!B$9)*100)</f>
        <v>55.555555555555557</v>
      </c>
      <c r="E60">
        <f>IF('исходные данные'!E60&gt;'минимумы и максимумы'!C$10,100,('исходные данные'!E60-'минимумы и максимумы'!C$9)/('минимумы и максимумы'!C$10-'минимумы и максимумы'!C$9)*100)</f>
        <v>60</v>
      </c>
      <c r="F60">
        <f>IF('исходные данные'!F60&gt;'минимумы и максимумы'!D$10,100,('исходные данные'!F60-'минимумы и максимумы'!D$9)/('минимумы и максимумы'!D$10-'минимумы и максимумы'!D$9)*100)</f>
        <v>0</v>
      </c>
      <c r="G60">
        <f>IF('исходные данные'!G60&gt;'минимумы и максимумы'!E$10,100,('исходные данные'!G60-'минимумы и максимумы'!E$9)/('минимумы и максимумы'!E$10-'минимумы и максимумы'!E$9)*100)</f>
        <v>58.333333333333336</v>
      </c>
      <c r="H60">
        <f>IF('исходные данные'!H60&gt;'минимумы и максимумы'!F$10,100,('исходные данные'!H60-'минимумы и максимумы'!F$9)/('минимумы и максимумы'!F$10-'минимумы и максимумы'!F$9)*100)</f>
        <v>34.482758620689658</v>
      </c>
      <c r="I60">
        <f>IF('исходные данные'!I60&gt;'минимумы и максимумы'!G$10,100,('исходные данные'!I60-'минимумы и максимумы'!G$9)/('минимумы и максимумы'!G$10-'минимумы и максимумы'!G$9)*100)</f>
        <v>100</v>
      </c>
      <c r="J60">
        <f>IF('исходные данные'!J60&gt;'минимумы и максимумы'!H$10,100,('исходные данные'!J60-'минимумы и максимумы'!H$9)/('минимумы и максимумы'!H$10-'минимумы и максимумы'!H$9)*100)</f>
        <v>100</v>
      </c>
      <c r="K60">
        <f>IF('исходные данные'!K60&gt;'минимумы и максимумы'!I$10,100,('исходные данные'!K60-'минимумы и максимумы'!I$9)/('минимумы и максимумы'!I$10-'минимумы и максимумы'!I$9)*100)</f>
        <v>27.777777777777779</v>
      </c>
      <c r="L60">
        <f>IF('исходные данные'!L60&gt;'минимумы и максимумы'!J$10,100,('исходные данные'!L60-'минимумы и максимумы'!J$9)/('минимумы и максимумы'!J$10-'минимумы и максимумы'!J$9)*100)</f>
        <v>21.428571428571427</v>
      </c>
      <c r="M60">
        <f>IF('исходные данные'!M60&gt;'минимумы и максимумы'!K$10,100,('исходные данные'!M60-'минимумы и максимумы'!K$9)/('минимумы и максимумы'!K$10-'минимумы и максимумы'!K$9)*100)</f>
        <v>50</v>
      </c>
      <c r="N60">
        <f>IF('исходные данные'!N60&gt;'минимумы и максимумы'!L$10,100,('исходные данные'!N60-'минимумы и максимумы'!L$9)/('минимумы и максимумы'!L$10-'минимумы и максимумы'!L$9)*100)</f>
        <v>6.9089301562132679</v>
      </c>
      <c r="O60">
        <f>IF('исходные данные'!O60&gt;'минимумы и максимумы'!M$10,100,('исходные данные'!O60-'минимумы и максимумы'!M$9)/('минимумы и максимумы'!M$10-'минимумы и максимумы'!M$9)*100)</f>
        <v>100</v>
      </c>
      <c r="P60">
        <f>IF('исходные данные'!P60&gt;'минимумы и максимумы'!N$10,100,('исходные данные'!P60-'минимумы и максимумы'!N$9)/('минимумы и максимумы'!N$10-'минимумы и максимумы'!N$9)*100)</f>
        <v>100</v>
      </c>
      <c r="Q60">
        <f>IF('исходные данные'!Q60&gt;'минимумы и максимумы'!O$10,100,('исходные данные'!Q60-'минимумы и максимумы'!O$9)/('минимумы и максимумы'!O$10-'минимумы и максимумы'!O$9)*100)</f>
        <v>100</v>
      </c>
      <c r="R60">
        <f>IF('исходные данные'!R60&gt;'минимумы и максимумы'!P$10,100,('исходные данные'!R60-'минимумы и максимумы'!P$9)/('минимумы и максимумы'!P$10-'минимумы и максимумы'!P$9)*100)</f>
        <v>75</v>
      </c>
      <c r="S60">
        <f>IF('исходные данные'!S60&gt;'минимумы и максимумы'!Q$10,100,('исходные данные'!S60-'минимумы и максимумы'!Q$9)/('минимумы и максимумы'!Q$10-'минимумы и максимумы'!Q$9)*100)</f>
        <v>50</v>
      </c>
      <c r="T60">
        <f>IF('исходные данные'!T60&gt;'минимумы и максимумы'!R$10,100,('исходные данные'!T60-'минимумы и максимумы'!R$9)/('минимумы и максимумы'!R$10-'минимумы и максимумы'!R$9)*100)</f>
        <v>8.4867663981588031</v>
      </c>
      <c r="U60">
        <f>IF('исходные данные'!U60&gt;'минимумы и максимумы'!S$10,100,('исходные данные'!U60-'минимумы и максимумы'!S$9)/('минимумы и максимумы'!S$10-'минимумы и максимумы'!S$9)*100)</f>
        <v>0</v>
      </c>
    </row>
    <row r="61" spans="1:21" x14ac:dyDescent="0.45">
      <c r="A61" s="4">
        <v>111</v>
      </c>
      <c r="B61" s="4">
        <v>0</v>
      </c>
      <c r="C61" s="4">
        <v>0</v>
      </c>
      <c r="D61">
        <f>IF('исходные данные'!D61&gt;'минимумы и максимумы'!B$10,100,('исходные данные'!D61-'минимумы и максимумы'!B$9)/('минимумы и максимумы'!B$10-'минимумы и максимумы'!B$9)*100)</f>
        <v>55.555555555555557</v>
      </c>
      <c r="E61">
        <f>IF('исходные данные'!E61&gt;'минимумы и максимумы'!C$10,100,('исходные данные'!E61-'минимумы и максимумы'!C$9)/('минимумы и максимумы'!C$10-'минимумы и максимумы'!C$9)*100)</f>
        <v>60</v>
      </c>
      <c r="F61">
        <f>IF('исходные данные'!F61&gt;'минимумы и максимумы'!D$10,100,('исходные данные'!F61-'минимумы и максимумы'!D$9)/('минимумы и максимумы'!D$10-'минимумы и максимумы'!D$9)*100)</f>
        <v>0</v>
      </c>
      <c r="G61">
        <f>IF('исходные данные'!G61&gt;'минимумы и максимумы'!E$10,100,('исходные данные'!G61-'минимумы и максимумы'!E$9)/('минимумы и максимумы'!E$10-'минимумы и максимумы'!E$9)*100)</f>
        <v>58.333333333333336</v>
      </c>
      <c r="H61">
        <f>IF('исходные данные'!H61&gt;'минимумы и максимумы'!F$10,100,('исходные данные'!H61-'минимумы и максимумы'!F$9)/('минимумы и максимумы'!F$10-'минимумы и максимумы'!F$9)*100)</f>
        <v>34.482758620689658</v>
      </c>
      <c r="I61">
        <f>IF('исходные данные'!I61&gt;'минимумы и максимумы'!G$10,100,('исходные данные'!I61-'минимумы и максимумы'!G$9)/('минимумы и максимумы'!G$10-'минимумы и максимумы'!G$9)*100)</f>
        <v>100</v>
      </c>
      <c r="J61">
        <f>IF('исходные данные'!J61&gt;'минимумы и максимумы'!H$10,100,('исходные данные'!J61-'минимумы и максимумы'!H$9)/('минимумы и максимумы'!H$10-'минимумы и максимумы'!H$9)*100)</f>
        <v>100</v>
      </c>
      <c r="K61">
        <f>IF('исходные данные'!K61&gt;'минимумы и максимумы'!I$10,100,('исходные данные'!K61-'минимумы и максимумы'!I$9)/('минимумы и максимумы'!I$10-'минимумы и максимумы'!I$9)*100)</f>
        <v>27.777777777777779</v>
      </c>
      <c r="L61">
        <f>IF('исходные данные'!L61&gt;'минимумы и максимумы'!J$10,100,('исходные данные'!L61-'минимумы и максимумы'!J$9)/('минимумы и максимумы'!J$10-'минимумы и максимумы'!J$9)*100)</f>
        <v>21.428571428571427</v>
      </c>
      <c r="M61">
        <f>IF('исходные данные'!M61&gt;'минимумы и максимумы'!K$10,100,('исходные данные'!M61-'минимумы и максимумы'!K$9)/('минимумы и максимумы'!K$10-'минимумы и максимумы'!K$9)*100)</f>
        <v>50</v>
      </c>
      <c r="N61">
        <f>IF('исходные данные'!N61&gt;'минимумы и максимумы'!L$10,100,('исходные данные'!N61-'минимумы и максимумы'!L$9)/('минимумы и максимумы'!L$10-'минимумы и максимумы'!L$9)*100)</f>
        <v>7.3848941337760596</v>
      </c>
      <c r="O61">
        <f>IF('исходные данные'!O61&gt;'минимумы и максимумы'!M$10,100,('исходные данные'!O61-'минимумы и максимумы'!M$9)/('минимумы и максимумы'!M$10-'минимумы и максимумы'!M$9)*100)</f>
        <v>66.666666666666657</v>
      </c>
      <c r="P61">
        <f>IF('исходные данные'!P61&gt;'минимумы и максимумы'!N$10,100,('исходные данные'!P61-'минимумы и максимумы'!N$9)/('минимумы и максимумы'!N$10-'минимумы и максимумы'!N$9)*100)</f>
        <v>100</v>
      </c>
      <c r="Q61">
        <f>IF('исходные данные'!Q61&gt;'минимумы и максимумы'!O$10,100,('исходные данные'!Q61-'минимумы и максимумы'!O$9)/('минимумы и максимумы'!O$10-'минимумы и максимумы'!O$9)*100)</f>
        <v>100</v>
      </c>
      <c r="R61">
        <f>IF('исходные данные'!R61&gt;'минимумы и максимумы'!P$10,100,('исходные данные'!R61-'минимумы и максимумы'!P$9)/('минимумы и максимумы'!P$10-'минимумы и максимумы'!P$9)*100)</f>
        <v>75</v>
      </c>
      <c r="S61">
        <f>IF('исходные данные'!S61&gt;'минимумы и максимумы'!Q$10,100,('исходные данные'!S61-'минимумы и максимумы'!Q$9)/('минимумы и максимумы'!Q$10-'минимумы и максимумы'!Q$9)*100)</f>
        <v>50</v>
      </c>
      <c r="T61">
        <f>IF('исходные данные'!T61&gt;'минимумы и максимумы'!R$10,100,('исходные данные'!T61-'минимумы и максимумы'!R$9)/('минимумы и максимумы'!R$10-'минимумы и максимумы'!R$9)*100)</f>
        <v>24.108170310701958</v>
      </c>
      <c r="U61">
        <f>IF('исходные данные'!U61&gt;'минимумы и максимумы'!S$10,100,('исходные данные'!U61-'минимумы и максимумы'!S$9)/('минимумы и максимумы'!S$10-'минимумы и максимумы'!S$9)*100)</f>
        <v>0</v>
      </c>
    </row>
    <row r="62" spans="1:21" x14ac:dyDescent="0.45">
      <c r="A62" s="4">
        <v>112</v>
      </c>
      <c r="B62" s="4">
        <v>0</v>
      </c>
      <c r="C62" s="4">
        <v>0</v>
      </c>
      <c r="D62">
        <f>IF('исходные данные'!D62&gt;'минимумы и максимумы'!B$10,100,('исходные данные'!D62-'минимумы и максимумы'!B$9)/('минимумы и максимумы'!B$10-'минимумы и максимумы'!B$9)*100)</f>
        <v>44.444444444444443</v>
      </c>
      <c r="E62">
        <f>IF('исходные данные'!E62&gt;'минимумы и максимумы'!C$10,100,('исходные данные'!E62-'минимумы и максимумы'!C$9)/('минимумы и максимумы'!C$10-'минимумы и максимумы'!C$9)*100)</f>
        <v>40</v>
      </c>
      <c r="F62">
        <f>IF('исходные данные'!F62&gt;'минимумы и максимумы'!D$10,100,('исходные данные'!F62-'минимумы и максимумы'!D$9)/('минимумы и максимумы'!D$10-'минимумы и максимумы'!D$9)*100)</f>
        <v>0</v>
      </c>
      <c r="G62">
        <f>IF('исходные данные'!G62&gt;'минимумы и максимумы'!E$10,100,('исходные данные'!G62-'минимумы и максимумы'!E$9)/('минимумы и максимумы'!E$10-'минимумы и максимумы'!E$9)*100)</f>
        <v>66.666666666666657</v>
      </c>
      <c r="H62">
        <f>IF('исходные данные'!H62&gt;'минимумы и максимумы'!F$10,100,('исходные данные'!H62-'минимумы и максимумы'!F$9)/('минимумы и максимумы'!F$10-'минимумы и максимумы'!F$9)*100)</f>
        <v>48.275862068965516</v>
      </c>
      <c r="I62">
        <f>IF('исходные данные'!I62&gt;'минимумы и максимумы'!G$10,100,('исходные данные'!I62-'минимумы и максимумы'!G$9)/('минимумы и максимумы'!G$10-'минимумы и максимумы'!G$9)*100)</f>
        <v>100</v>
      </c>
      <c r="J62">
        <f>IF('исходные данные'!J62&gt;'минимумы и максимумы'!H$10,100,('исходные данные'!J62-'минимумы и максимумы'!H$9)/('минимумы и максимумы'!H$10-'минимумы и максимумы'!H$9)*100)</f>
        <v>100</v>
      </c>
      <c r="K62">
        <f>IF('исходные данные'!K62&gt;'минимумы и максимумы'!I$10,100,('исходные данные'!K62-'минимумы и максимумы'!I$9)/('минимумы и максимумы'!I$10-'минимумы и максимумы'!I$9)*100)</f>
        <v>100</v>
      </c>
      <c r="L62">
        <f>IF('исходные данные'!L62&gt;'минимумы и максимумы'!J$10,100,('исходные данные'!L62-'минимумы и максимумы'!J$9)/('минимумы и максимумы'!J$10-'минимумы и максимумы'!J$9)*100)</f>
        <v>64.285714285714292</v>
      </c>
      <c r="M62">
        <f>IF('исходные данные'!M62&gt;'минимумы и максимумы'!K$10,100,('исходные данные'!M62-'минимумы и максимумы'!K$9)/('минимумы и максимумы'!K$10-'минимумы и максимумы'!K$9)*100)</f>
        <v>50</v>
      </c>
      <c r="N62">
        <f>IF('исходные данные'!N62&gt;'минимумы и максимумы'!L$10,100,('исходные данные'!N62-'минимумы и максимумы'!L$9)/('минимумы и максимумы'!L$10-'минимумы и максимумы'!L$9)*100)</f>
        <v>6.9089301562132679</v>
      </c>
      <c r="O62">
        <f>IF('исходные данные'!O62&gt;'минимумы и максимумы'!M$10,100,('исходные данные'!O62-'минимумы и максимумы'!M$9)/('минимумы и максимумы'!M$10-'минимумы и максимумы'!M$9)*100)</f>
        <v>100</v>
      </c>
      <c r="P62">
        <f>IF('исходные данные'!P62&gt;'минимумы и максимумы'!N$10,100,('исходные данные'!P62-'минимумы и максимумы'!N$9)/('минимумы и максимумы'!N$10-'минимумы и максимумы'!N$9)*100)</f>
        <v>0</v>
      </c>
      <c r="Q62">
        <f>IF('исходные данные'!Q62&gt;'минимумы и максимумы'!O$10,100,('исходные данные'!Q62-'минимумы и максимумы'!O$9)/('минимумы и максимумы'!O$10-'минимумы и максимумы'!O$9)*100)</f>
        <v>100</v>
      </c>
      <c r="R62">
        <f>IF('исходные данные'!R62&gt;'минимумы и максимумы'!P$10,100,('исходные данные'!R62-'минимумы и максимумы'!P$9)/('минимумы и максимумы'!P$10-'минимумы и максимумы'!P$9)*100)</f>
        <v>100</v>
      </c>
      <c r="S62">
        <f>IF('исходные данные'!S62&gt;'минимумы и максимумы'!Q$10,100,('исходные данные'!S62-'минимумы и максимумы'!Q$9)/('минимумы и максимумы'!Q$10-'минимумы и максимумы'!Q$9)*100)</f>
        <v>50</v>
      </c>
      <c r="T62">
        <f>IF('исходные данные'!T62&gt;'минимумы и максимумы'!R$10,100,('исходные данные'!T62-'минимумы и максимумы'!R$9)/('минимумы и максимумы'!R$10-'минимумы и максимумы'!R$9)*100)</f>
        <v>24.510932105868815</v>
      </c>
      <c r="U62">
        <f>IF('исходные данные'!U62&gt;'минимумы и максимумы'!S$10,100,('исходные данные'!U62-'минимумы и максимумы'!S$9)/('минимумы и максимумы'!S$10-'минимумы и максимумы'!S$9)*100)</f>
        <v>100</v>
      </c>
    </row>
    <row r="63" spans="1:21" x14ac:dyDescent="0.45">
      <c r="A63" s="4">
        <v>113</v>
      </c>
      <c r="B63" s="4">
        <v>0</v>
      </c>
      <c r="C63" s="4">
        <v>0</v>
      </c>
      <c r="D63">
        <f>IF('исходные данные'!D63&gt;'минимумы и максимумы'!B$10,100,('исходные данные'!D63-'минимумы и максимумы'!B$9)/('минимумы и максимумы'!B$10-'минимумы и максимумы'!B$9)*100)</f>
        <v>33.333333333333329</v>
      </c>
      <c r="E63">
        <f>IF('исходные данные'!E63&gt;'минимумы и максимумы'!C$10,100,('исходные данные'!E63-'минимумы и максимумы'!C$9)/('минимумы и максимумы'!C$10-'минимумы и максимумы'!C$9)*100)</f>
        <v>20</v>
      </c>
      <c r="F63">
        <f>IF('исходные данные'!F63&gt;'минимумы и максимумы'!D$10,100,('исходные данные'!F63-'минимумы и максимумы'!D$9)/('минимумы и максимумы'!D$10-'минимумы и максимумы'!D$9)*100)</f>
        <v>0</v>
      </c>
      <c r="G63">
        <f>IF('исходные данные'!G63&gt;'минимумы и максимумы'!E$10,100,('исходные данные'!G63-'минимумы и максимумы'!E$9)/('минимумы и максимумы'!E$10-'минимумы и максимумы'!E$9)*100)</f>
        <v>58.333333333333336</v>
      </c>
      <c r="H63">
        <f>IF('исходные данные'!H63&gt;'минимумы и максимумы'!F$10,100,('исходные данные'!H63-'минимумы и максимумы'!F$9)/('минимумы и максимумы'!F$10-'минимумы и максимумы'!F$9)*100)</f>
        <v>55.172413793103445</v>
      </c>
      <c r="I63">
        <f>IF('исходные данные'!I63&gt;'минимумы и максимумы'!G$10,100,('исходные данные'!I63-'минимумы и максимумы'!G$9)/('минимумы и максимумы'!G$10-'минимумы и максимумы'!G$9)*100)</f>
        <v>100</v>
      </c>
      <c r="J63">
        <f>IF('исходные данные'!J63&gt;'минимумы и максимумы'!H$10,100,('исходные данные'!J63-'минимумы и максимумы'!H$9)/('минимумы и максимумы'!H$10-'минимумы и максимумы'!H$9)*100)</f>
        <v>100</v>
      </c>
      <c r="K63">
        <f>IF('исходные данные'!K63&gt;'минимумы и максимумы'!I$10,100,('исходные данные'!K63-'минимумы и максимумы'!I$9)/('минимумы и максимумы'!I$10-'минимумы и максимумы'!I$9)*100)</f>
        <v>100</v>
      </c>
      <c r="L63">
        <f>IF('исходные данные'!L63&gt;'минимумы и максимумы'!J$10,100,('исходные данные'!L63-'минимумы и максимумы'!J$9)/('минимумы и максимумы'!J$10-'минимумы и максимумы'!J$9)*100)</f>
        <v>71.428571428571431</v>
      </c>
      <c r="M63">
        <f>IF('исходные данные'!M63&gt;'минимумы и максимумы'!K$10,100,('исходные данные'!M63-'минимумы и максимумы'!K$9)/('минимумы и максимумы'!K$10-'минимумы и максимумы'!K$9)*100)</f>
        <v>67.857142857142861</v>
      </c>
      <c r="N63">
        <f>IF('исходные данные'!N63&gt;'минимумы и максимумы'!L$10,100,('исходные данные'!N63-'минимумы и максимумы'!L$9)/('минимумы и максимумы'!L$10-'минимумы и максимумы'!L$9)*100)</f>
        <v>6.9198596773709831</v>
      </c>
      <c r="O63">
        <f>IF('исходные данные'!O63&gt;'минимумы и максимумы'!M$10,100,('исходные данные'!O63-'минимумы и максимумы'!M$9)/('минимумы и максимумы'!M$10-'минимумы и максимумы'!M$9)*100)</f>
        <v>100</v>
      </c>
      <c r="P63">
        <f>IF('исходные данные'!P63&gt;'минимумы и максимумы'!N$10,100,('исходные данные'!P63-'минимумы и максимумы'!N$9)/('минимумы и максимумы'!N$10-'минимумы и максимумы'!N$9)*100)</f>
        <v>100</v>
      </c>
      <c r="Q63">
        <f>IF('исходные данные'!Q63&gt;'минимумы и максимумы'!O$10,100,('исходные данные'!Q63-'минимумы и максимумы'!O$9)/('минимумы и максимумы'!O$10-'минимумы и максимумы'!O$9)*100)</f>
        <v>100</v>
      </c>
      <c r="R63">
        <f>IF('исходные данные'!R63&gt;'минимумы и максимумы'!P$10,100,('исходные данные'!R63-'минимумы и максимумы'!P$9)/('минимумы и максимумы'!P$10-'минимумы и максимумы'!P$9)*100)</f>
        <v>75</v>
      </c>
      <c r="S63">
        <f>IF('исходные данные'!S63&gt;'минимумы и максимумы'!Q$10,100,('исходные данные'!S63-'минимумы и максимумы'!Q$9)/('минимумы и максимумы'!Q$10-'минимумы и максимумы'!Q$9)*100)</f>
        <v>66.666666666666657</v>
      </c>
      <c r="T63">
        <f>IF('исходные данные'!T63&gt;'минимумы и максимумы'!R$10,100,('исходные данные'!T63-'минимумы и максимумы'!R$9)/('минимумы и максимумы'!R$10-'минимумы и максимумы'!R$9)*100)</f>
        <v>23.158803222094363</v>
      </c>
      <c r="U63">
        <f>IF('исходные данные'!U63&gt;'минимумы и максимумы'!S$10,100,('исходные данные'!U63-'минимумы и максимумы'!S$9)/('минимумы и максимумы'!S$10-'минимумы и максимумы'!S$9)*100)</f>
        <v>0</v>
      </c>
    </row>
    <row r="64" spans="1:21" x14ac:dyDescent="0.45">
      <c r="A64" s="4">
        <v>116</v>
      </c>
      <c r="B64" s="4">
        <v>0</v>
      </c>
      <c r="C64" s="4">
        <v>0</v>
      </c>
      <c r="D64">
        <f>IF('исходные данные'!D64&gt;'минимумы и максимумы'!B$10,100,('исходные данные'!D64-'минимумы и максимумы'!B$9)/('минимумы и максимумы'!B$10-'минимумы и максимумы'!B$9)*100)</f>
        <v>22.222222222222221</v>
      </c>
      <c r="E64">
        <f>IF('исходные данные'!E64&gt;'минимумы и максимумы'!C$10,100,('исходные данные'!E64-'минимумы и максимумы'!C$9)/('минимумы и максимумы'!C$10-'минимумы и максимумы'!C$9)*100)</f>
        <v>20</v>
      </c>
      <c r="F64">
        <f>IF('исходные данные'!F64&gt;'минимумы и максимумы'!D$10,100,('исходные данные'!F64-'минимумы и максимумы'!D$9)/('минимумы и максимумы'!D$10-'минимумы и максимумы'!D$9)*100)</f>
        <v>0</v>
      </c>
      <c r="G64">
        <f>IF('исходные данные'!G64&gt;'минимумы и максимумы'!E$10,100,('исходные данные'!G64-'минимумы и максимумы'!E$9)/('минимумы и максимумы'!E$10-'минимумы и максимумы'!E$9)*100)</f>
        <v>66.666666666666657</v>
      </c>
      <c r="H64">
        <f>IF('исходные данные'!H64&gt;'минимумы и максимумы'!F$10,100,('исходные данные'!H64-'минимумы и максимумы'!F$9)/('минимумы и максимумы'!F$10-'минимумы и максимумы'!F$9)*100)</f>
        <v>58.620689655172406</v>
      </c>
      <c r="I64">
        <f>IF('исходные данные'!I64&gt;'минимумы и максимумы'!G$10,100,('исходные данные'!I64-'минимумы и максимумы'!G$9)/('минимумы и максимумы'!G$10-'минимумы и максимумы'!G$9)*100)</f>
        <v>100</v>
      </c>
      <c r="J64">
        <f>IF('исходные данные'!J64&gt;'минимумы и максимумы'!H$10,100,('исходные данные'!J64-'минимумы и максимумы'!H$9)/('минимумы и максимумы'!H$10-'минимумы и максимумы'!H$9)*100)</f>
        <v>100</v>
      </c>
      <c r="K64">
        <f>IF('исходные данные'!K64&gt;'минимумы и максимумы'!I$10,100,('исходные данные'!K64-'минимумы и максимумы'!I$9)/('минимумы и максимумы'!I$10-'минимумы и максимумы'!I$9)*100)</f>
        <v>100</v>
      </c>
      <c r="L64">
        <f>IF('исходные данные'!L64&gt;'минимумы и максимумы'!J$10,100,('исходные данные'!L64-'минимумы и максимумы'!J$9)/('минимумы и максимумы'!J$10-'минимумы и максимумы'!J$9)*100)</f>
        <v>78.571428571428569</v>
      </c>
      <c r="M64">
        <f>IF('исходные данные'!M64&gt;'минимумы и максимумы'!K$10,100,('исходные данные'!M64-'минимумы и максимумы'!K$9)/('минимумы и максимумы'!K$10-'минимумы и максимумы'!K$9)*100)</f>
        <v>71.428571428571431</v>
      </c>
      <c r="N64">
        <f>IF('исходные данные'!N64&gt;'минимумы и максимумы'!L$10,100,('исходные данные'!N64-'минимумы и максимумы'!L$9)/('минимумы и максимумы'!L$10-'минимумы и максимумы'!L$9)*100)</f>
        <v>5.9453434149573319</v>
      </c>
      <c r="O64">
        <f>IF('исходные данные'!O64&gt;'минимумы и максимумы'!M$10,100,('исходные данные'!O64-'минимумы и максимумы'!M$9)/('минимумы и максимумы'!M$10-'минимумы и максимумы'!M$9)*100)</f>
        <v>100</v>
      </c>
      <c r="P64">
        <f>IF('исходные данные'!P64&gt;'минимумы и максимумы'!N$10,100,('исходные данные'!P64-'минимумы и максимумы'!N$9)/('минимумы и максимумы'!N$10-'минимумы и максимумы'!N$9)*100)</f>
        <v>100</v>
      </c>
      <c r="Q64">
        <f>IF('исходные данные'!Q64&gt;'минимумы и максимумы'!O$10,100,('исходные данные'!Q64-'минимумы и максимумы'!O$9)/('минимумы и максимумы'!O$10-'минимумы и максимумы'!O$9)*100)</f>
        <v>100</v>
      </c>
      <c r="R64">
        <f>IF('исходные данные'!R64&gt;'минимумы и максимумы'!P$10,100,('исходные данные'!R64-'минимумы и максимумы'!P$9)/('минимумы и максимумы'!P$10-'минимумы и максимумы'!P$9)*100)</f>
        <v>75</v>
      </c>
      <c r="S64">
        <f>IF('исходные данные'!S64&gt;'минимумы и максимумы'!Q$10,100,('исходные данные'!S64-'минимумы и максимумы'!Q$9)/('минимумы и максимумы'!Q$10-'минимумы и максимумы'!Q$9)*100)</f>
        <v>50</v>
      </c>
      <c r="T64">
        <f>IF('исходные данные'!T64&gt;'минимумы и максимумы'!R$10,100,('исходные данные'!T64-'минимумы и максимумы'!R$9)/('минимумы и максимумы'!R$10-'минимумы и максимумы'!R$9)*100)</f>
        <v>15.794016110471807</v>
      </c>
      <c r="U64">
        <f>IF('исходные данные'!U64&gt;'минимумы и максимумы'!S$10,100,('исходные данные'!U64-'минимумы и максимумы'!S$9)/('минимумы и максимумы'!S$10-'минимумы и максимумы'!S$9)*100)</f>
        <v>0</v>
      </c>
    </row>
    <row r="65" spans="1:21" x14ac:dyDescent="0.45">
      <c r="A65" s="4">
        <v>117</v>
      </c>
      <c r="B65" s="4">
        <v>0</v>
      </c>
      <c r="C65" s="4">
        <v>0</v>
      </c>
      <c r="D65">
        <f>IF('исходные данные'!D65&gt;'минимумы и максимумы'!B$10,100,('исходные данные'!D65-'минимумы и максимумы'!B$9)/('минимумы и максимумы'!B$10-'минимумы и максимумы'!B$9)*100)</f>
        <v>22.222222222222221</v>
      </c>
      <c r="E65">
        <f>IF('исходные данные'!E65&gt;'минимумы и максимумы'!C$10,100,('исходные данные'!E65-'минимумы и максимумы'!C$9)/('минимумы и максимумы'!C$10-'минимумы и максимумы'!C$9)*100)</f>
        <v>20</v>
      </c>
      <c r="F65">
        <f>IF('исходные данные'!F65&gt;'минимумы и максимумы'!D$10,100,('исходные данные'!F65-'минимумы и максимумы'!D$9)/('минимумы и максимумы'!D$10-'минимумы и максимумы'!D$9)*100)</f>
        <v>0</v>
      </c>
      <c r="G65">
        <f>IF('исходные данные'!G65&gt;'минимумы и максимумы'!E$10,100,('исходные данные'!G65-'минимумы и максимумы'!E$9)/('минимумы и максимумы'!E$10-'минимумы и максимумы'!E$9)*100)</f>
        <v>54.166666666666664</v>
      </c>
      <c r="H65">
        <f>IF('исходные данные'!H65&gt;'минимумы и максимумы'!F$10,100,('исходные данные'!H65-'минимумы и максимумы'!F$9)/('минимумы и максимумы'!F$10-'минимумы и максимумы'!F$9)*100)</f>
        <v>41.379310344827587</v>
      </c>
      <c r="I65">
        <f>IF('исходные данные'!I65&gt;'минимумы и максимумы'!G$10,100,('исходные данные'!I65-'минимумы и максимумы'!G$9)/('минимумы и максимумы'!G$10-'минимумы и максимумы'!G$9)*100)</f>
        <v>100</v>
      </c>
      <c r="J65">
        <f>IF('исходные данные'!J65&gt;'минимумы и максимумы'!H$10,100,('исходные данные'!J65-'минимумы и максимумы'!H$9)/('минимумы и максимумы'!H$10-'минимумы и максимумы'!H$9)*100)</f>
        <v>100</v>
      </c>
      <c r="K65">
        <f>IF('исходные данные'!K65&gt;'минимумы и максимумы'!I$10,100,('исходные данные'!K65-'минимумы и максимумы'!I$9)/('минимумы и максимумы'!I$10-'минимумы и максимумы'!I$9)*100)</f>
        <v>94.444444444444443</v>
      </c>
      <c r="L65">
        <f>IF('исходные данные'!L65&gt;'минимумы и максимумы'!J$10,100,('исходные данные'!L65-'минимумы и максимумы'!J$9)/('минимумы и максимумы'!J$10-'минимумы и максимумы'!J$9)*100)</f>
        <v>64.285714285714292</v>
      </c>
      <c r="M65">
        <f>IF('исходные данные'!M65&gt;'минимумы и максимумы'!K$10,100,('исходные данные'!M65-'минимумы и максимумы'!K$9)/('минимумы и максимумы'!K$10-'минимумы и максимумы'!K$9)*100)</f>
        <v>75</v>
      </c>
      <c r="N65">
        <f>IF('исходные данные'!N65&gt;'минимумы и максимумы'!L$10,100,('исходные данные'!N65-'минимумы и максимумы'!L$9)/('минимумы и максимумы'!L$10-'минимумы и максимумы'!L$9)*100)</f>
        <v>6.0042402344057981</v>
      </c>
      <c r="O65">
        <f>IF('исходные данные'!O65&gt;'минимумы и максимумы'!M$10,100,('исходные данные'!O65-'минимумы и максимумы'!M$9)/('минимумы и максимумы'!M$10-'минимумы и максимумы'!M$9)*100)</f>
        <v>100</v>
      </c>
      <c r="P65">
        <f>IF('исходные данные'!P65&gt;'минимумы и максимумы'!N$10,100,('исходные данные'!P65-'минимумы и максимумы'!N$9)/('минимумы и максимумы'!N$10-'минимумы и максимумы'!N$9)*100)</f>
        <v>100</v>
      </c>
      <c r="Q65">
        <f>IF('исходные данные'!Q65&gt;'минимумы и максимумы'!O$10,100,('исходные данные'!Q65-'минимумы и максимумы'!O$9)/('минимумы и максимумы'!O$10-'минимумы и максимумы'!O$9)*100)</f>
        <v>100</v>
      </c>
      <c r="R65">
        <f>IF('исходные данные'!R65&gt;'минимумы и максимумы'!P$10,100,('исходные данные'!R65-'минимумы и максимумы'!P$9)/('минимумы и максимумы'!P$10-'минимумы и максимумы'!P$9)*100)</f>
        <v>75</v>
      </c>
      <c r="S65">
        <f>IF('исходные данные'!S65&gt;'минимумы и максимумы'!Q$10,100,('исходные данные'!S65-'минимумы и максимумы'!Q$9)/('минимумы и максимумы'!Q$10-'минимумы и максимумы'!Q$9)*100)</f>
        <v>50</v>
      </c>
      <c r="T65">
        <f>IF('исходные данные'!T65&gt;'минимумы и максимумы'!R$10,100,('исходные данные'!T65-'минимумы и максимумы'!R$9)/('минимумы и максимумы'!R$10-'минимумы и максимумы'!R$9)*100)</f>
        <v>13.291139240506327</v>
      </c>
      <c r="U65">
        <f>IF('исходные данные'!U65&gt;'минимумы и максимумы'!S$10,100,('исходные данные'!U65-'минимумы и максимумы'!S$9)/('минимумы и максимумы'!S$10-'минимумы и максимумы'!S$9)*100)</f>
        <v>0</v>
      </c>
    </row>
    <row r="66" spans="1:21" x14ac:dyDescent="0.45">
      <c r="A66" s="4">
        <v>118</v>
      </c>
      <c r="B66" s="4">
        <v>0</v>
      </c>
      <c r="C66" s="4">
        <v>0</v>
      </c>
      <c r="D66">
        <f>IF('исходные данные'!D66&gt;'минимумы и максимумы'!B$10,100,('исходные данные'!D66-'минимумы и максимумы'!B$9)/('минимумы и максимумы'!B$10-'минимумы и максимумы'!B$9)*100)</f>
        <v>22.222222222222221</v>
      </c>
      <c r="E66">
        <f>IF('исходные данные'!E66&gt;'минимумы и максимумы'!C$10,100,('исходные данные'!E66-'минимумы и максимумы'!C$9)/('минимумы и максимумы'!C$10-'минимумы и максимумы'!C$9)*100)</f>
        <v>20</v>
      </c>
      <c r="F66">
        <f>IF('исходные данные'!F66&gt;'минимумы и максимумы'!D$10,100,('исходные данные'!F66-'минимумы и максимумы'!D$9)/('минимумы и максимумы'!D$10-'минимумы и максимумы'!D$9)*100)</f>
        <v>0</v>
      </c>
      <c r="G66">
        <f>IF('исходные данные'!G66&gt;'минимумы и максимумы'!E$10,100,('исходные данные'!G66-'минимумы и максимумы'!E$9)/('минимумы и максимумы'!E$10-'минимумы и максимумы'!E$9)*100)</f>
        <v>54.166666666666664</v>
      </c>
      <c r="H66">
        <f>IF('исходные данные'!H66&gt;'минимумы и максимумы'!F$10,100,('исходные данные'!H66-'минимумы и максимумы'!F$9)/('минимумы и максимумы'!F$10-'минимумы и максимумы'!F$9)*100)</f>
        <v>41.379310344827587</v>
      </c>
      <c r="I66">
        <f>IF('исходные данные'!I66&gt;'минимумы и максимумы'!G$10,100,('исходные данные'!I66-'минимумы и максимумы'!G$9)/('минимумы и максимумы'!G$10-'минимумы и максимумы'!G$9)*100)</f>
        <v>100</v>
      </c>
      <c r="J66">
        <f>IF('исходные данные'!J66&gt;'минимумы и максимумы'!H$10,100,('исходные данные'!J66-'минимумы и максимумы'!H$9)/('минимумы и максимумы'!H$10-'минимумы и максимумы'!H$9)*100)</f>
        <v>100</v>
      </c>
      <c r="K66">
        <f>IF('исходные данные'!K66&gt;'минимумы и максимумы'!I$10,100,('исходные данные'!K66-'минимумы и максимумы'!I$9)/('минимумы и максимумы'!I$10-'минимумы и максимумы'!I$9)*100)</f>
        <v>94.444444444444443</v>
      </c>
      <c r="L66">
        <f>IF('исходные данные'!L66&gt;'минимумы и максимумы'!J$10,100,('исходные данные'!L66-'минимумы и максимумы'!J$9)/('минимумы и максимумы'!J$10-'минимумы и максимумы'!J$9)*100)</f>
        <v>64.285714285714292</v>
      </c>
      <c r="M66">
        <f>IF('исходные данные'!M66&gt;'минимумы и максимумы'!K$10,100,('исходные данные'!M66-'минимумы и максимумы'!K$9)/('минимумы и максимумы'!K$10-'минимумы и максимумы'!K$9)*100)</f>
        <v>75</v>
      </c>
      <c r="N66">
        <f>IF('исходные данные'!N66&gt;'минимумы и максимумы'!L$10,100,('исходные данные'!N66-'минимумы и максимумы'!L$9)/('минимумы и максимумы'!L$10-'минимумы и максимумы'!L$9)*100)</f>
        <v>6.1876167742384869</v>
      </c>
      <c r="O66">
        <f>IF('исходные данные'!O66&gt;'минимумы и максимумы'!M$10,100,('исходные данные'!O66-'минимумы и максимумы'!M$9)/('минимумы и максимумы'!M$10-'минимумы и максимумы'!M$9)*100)</f>
        <v>100</v>
      </c>
      <c r="P66">
        <f>IF('исходные данные'!P66&gt;'минимумы и максимумы'!N$10,100,('исходные данные'!P66-'минимумы и максимумы'!N$9)/('минимумы и максимумы'!N$10-'минимумы и максимумы'!N$9)*100)</f>
        <v>100</v>
      </c>
      <c r="Q66">
        <f>IF('исходные данные'!Q66&gt;'минимумы и максимумы'!O$10,100,('исходные данные'!Q66-'минимумы и максимумы'!O$9)/('минимумы и максимумы'!O$10-'минимумы и максимумы'!O$9)*100)</f>
        <v>100</v>
      </c>
      <c r="R66">
        <f>IF('исходные данные'!R66&gt;'минимумы и максимумы'!P$10,100,('исходные данные'!R66-'минимумы и максимумы'!P$9)/('минимумы и максимумы'!P$10-'минимумы и максимумы'!P$9)*100)</f>
        <v>75</v>
      </c>
      <c r="S66">
        <f>IF('исходные данные'!S66&gt;'минимумы и максимумы'!Q$10,100,('исходные данные'!S66-'минимумы и максимумы'!Q$9)/('минимумы и максимумы'!Q$10-'минимумы и максимумы'!Q$9)*100)</f>
        <v>50</v>
      </c>
      <c r="T66">
        <f>IF('исходные данные'!T66&gt;'минимумы и максимумы'!R$10,100,('исходные данные'!T66-'минимумы и максимумы'!R$9)/('минимумы и максимумы'!R$10-'минимумы и максимумы'!R$9)*100)</f>
        <v>13.003452243958574</v>
      </c>
      <c r="U66">
        <f>IF('исходные данные'!U66&gt;'минимумы и максимумы'!S$10,100,('исходные данные'!U66-'минимумы и максимумы'!S$9)/('минимумы и максимумы'!S$10-'минимумы и максимумы'!S$9)*100)</f>
        <v>0</v>
      </c>
    </row>
    <row r="67" spans="1:21" x14ac:dyDescent="0.45">
      <c r="A67" s="4">
        <v>119</v>
      </c>
      <c r="B67" s="4">
        <v>0</v>
      </c>
      <c r="C67" s="4">
        <v>0</v>
      </c>
      <c r="D67">
        <f>IF('исходные данные'!D67&gt;'минимумы и максимумы'!B$10,100,('исходные данные'!D67-'минимумы и максимумы'!B$9)/('минимумы и максимумы'!B$10-'минимумы и максимумы'!B$9)*100)</f>
        <v>22.222222222222221</v>
      </c>
      <c r="E67">
        <f>IF('исходные данные'!E67&gt;'минимумы и максимумы'!C$10,100,('исходные данные'!E67-'минимумы и максимумы'!C$9)/('минимумы и максимумы'!C$10-'минимумы и максимумы'!C$9)*100)</f>
        <v>20</v>
      </c>
      <c r="F67">
        <f>IF('исходные данные'!F67&gt;'минимумы и максимумы'!D$10,100,('исходные данные'!F67-'минимумы и максимумы'!D$9)/('минимумы и максимумы'!D$10-'минимумы и максимумы'!D$9)*100)</f>
        <v>0</v>
      </c>
      <c r="G67">
        <f>IF('исходные данные'!G67&gt;'минимумы и максимумы'!E$10,100,('исходные данные'!G67-'минимумы и максимумы'!E$9)/('минимумы и максимумы'!E$10-'минимумы и максимумы'!E$9)*100)</f>
        <v>54.166666666666664</v>
      </c>
      <c r="H67">
        <f>IF('исходные данные'!H67&gt;'минимумы и максимумы'!F$10,100,('исходные данные'!H67-'минимумы и максимумы'!F$9)/('минимумы и максимумы'!F$10-'минимумы и максимумы'!F$9)*100)</f>
        <v>41.379310344827587</v>
      </c>
      <c r="I67">
        <f>IF('исходные данные'!I67&gt;'минимумы и максимумы'!G$10,100,('исходные данные'!I67-'минимумы и максимумы'!G$9)/('минимумы и максимумы'!G$10-'минимумы и максимумы'!G$9)*100)</f>
        <v>100</v>
      </c>
      <c r="J67">
        <f>IF('исходные данные'!J67&gt;'минимумы и максимумы'!H$10,100,('исходные данные'!J67-'минимумы и максимумы'!H$9)/('минимумы и максимумы'!H$10-'минимумы и максимумы'!H$9)*100)</f>
        <v>100</v>
      </c>
      <c r="K67">
        <f>IF('исходные данные'!K67&gt;'минимумы и максимумы'!I$10,100,('исходные данные'!K67-'минимумы и максимумы'!I$9)/('минимумы и максимумы'!I$10-'минимумы и максимумы'!I$9)*100)</f>
        <v>94.444444444444443</v>
      </c>
      <c r="L67">
        <f>IF('исходные данные'!L67&gt;'минимумы и максимумы'!J$10,100,('исходные данные'!L67-'минимумы и максимумы'!J$9)/('минимумы и максимумы'!J$10-'минимумы и максимумы'!J$9)*100)</f>
        <v>64.285714285714292</v>
      </c>
      <c r="M67">
        <f>IF('исходные данные'!M67&gt;'минимумы и максимумы'!K$10,100,('исходные данные'!M67-'минимумы и максимумы'!K$9)/('минимумы и максимумы'!K$10-'минимумы и максимумы'!K$9)*100)</f>
        <v>75</v>
      </c>
      <c r="N67">
        <f>IF('исходные данные'!N67&gt;'минимумы и максимумы'!L$10,100,('исходные данные'!N67-'минимумы и максимумы'!L$9)/('минимумы и максимумы'!L$10-'минимумы и максимумы'!L$9)*100)</f>
        <v>6.0319571370129523</v>
      </c>
      <c r="O67">
        <f>IF('исходные данные'!O67&gt;'минимумы и максимумы'!M$10,100,('исходные данные'!O67-'минимумы и максимумы'!M$9)/('минимумы и максимумы'!M$10-'минимумы и максимумы'!M$9)*100)</f>
        <v>100</v>
      </c>
      <c r="P67">
        <f>IF('исходные данные'!P67&gt;'минимумы и максимумы'!N$10,100,('исходные данные'!P67-'минимумы и максимумы'!N$9)/('минимумы и максимумы'!N$10-'минимумы и максимумы'!N$9)*100)</f>
        <v>100</v>
      </c>
      <c r="Q67">
        <f>IF('исходные данные'!Q67&gt;'минимумы и максимумы'!O$10,100,('исходные данные'!Q67-'минимумы и максимумы'!O$9)/('минимумы и максимумы'!O$10-'минимумы и максимумы'!O$9)*100)</f>
        <v>100</v>
      </c>
      <c r="R67">
        <f>IF('исходные данные'!R67&gt;'минимумы и максимумы'!P$10,100,('исходные данные'!R67-'минимумы и максимумы'!P$9)/('минимумы и максимумы'!P$10-'минимумы и максимумы'!P$9)*100)</f>
        <v>75</v>
      </c>
      <c r="S67">
        <f>IF('исходные данные'!S67&gt;'минимумы и максимумы'!Q$10,100,('исходные данные'!S67-'минимумы и максимумы'!Q$9)/('минимумы и максимумы'!Q$10-'минимумы и максимумы'!Q$9)*100)</f>
        <v>33.333333333333329</v>
      </c>
      <c r="T67">
        <f>IF('исходные данные'!T67&gt;'минимумы и максимумы'!R$10,100,('исходные данные'!T67-'минимумы и максимумы'!R$9)/('минимумы и максимумы'!R$10-'минимумы и максимумы'!R$9)*100)</f>
        <v>13.34867663981588</v>
      </c>
      <c r="U67">
        <f>IF('исходные данные'!U67&gt;'минимумы и максимумы'!S$10,100,('исходные данные'!U67-'минимумы и максимумы'!S$9)/('минимумы и максимумы'!S$10-'минимумы и максимумы'!S$9)*100)</f>
        <v>0</v>
      </c>
    </row>
    <row r="68" spans="1:21" x14ac:dyDescent="0.45">
      <c r="A68" s="4">
        <v>120</v>
      </c>
      <c r="B68" s="4">
        <v>0</v>
      </c>
      <c r="C68" s="4">
        <v>0</v>
      </c>
      <c r="D68">
        <f>IF('исходные данные'!D68&gt;'минимумы и максимумы'!B$10,100,('исходные данные'!D68-'минимумы и максимумы'!B$9)/('минимумы и максимумы'!B$10-'минимумы и максимумы'!B$9)*100)</f>
        <v>44.444444444444443</v>
      </c>
      <c r="E68">
        <f>IF('исходные данные'!E68&gt;'минимумы и максимумы'!C$10,100,('исходные данные'!E68-'минимумы и максимумы'!C$9)/('минимумы и максимумы'!C$10-'минимумы и максимумы'!C$9)*100)</f>
        <v>20</v>
      </c>
      <c r="F68">
        <f>IF('исходные данные'!F68&gt;'минимумы и максимумы'!D$10,100,('исходные данные'!F68-'минимумы и максимумы'!D$9)/('минимумы и максимумы'!D$10-'минимумы и максимумы'!D$9)*100)</f>
        <v>0</v>
      </c>
      <c r="G68">
        <f>IF('исходные данные'!G68&gt;'минимумы и максимумы'!E$10,100,('исходные данные'!G68-'минимумы и максимумы'!E$9)/('минимумы и максимумы'!E$10-'минимумы и максимумы'!E$9)*100)</f>
        <v>50</v>
      </c>
      <c r="H68">
        <f>IF('исходные данные'!H68&gt;'минимумы и максимумы'!F$10,100,('исходные данные'!H68-'минимумы и максимумы'!F$9)/('минимумы и максимумы'!F$10-'минимумы и максимумы'!F$9)*100)</f>
        <v>20.689655172413794</v>
      </c>
      <c r="I68">
        <f>IF('исходные данные'!I68&gt;'минимумы и максимумы'!G$10,100,('исходные данные'!I68-'минимумы и максимумы'!G$9)/('минимумы и максимумы'!G$10-'минимумы и максимумы'!G$9)*100)</f>
        <v>100</v>
      </c>
      <c r="J68">
        <f>IF('исходные данные'!J68&gt;'минимумы и максимумы'!H$10,100,('исходные данные'!J68-'минимумы и максимумы'!H$9)/('минимумы и максимумы'!H$10-'минимумы и максимумы'!H$9)*100)</f>
        <v>100</v>
      </c>
      <c r="K68">
        <f>IF('исходные данные'!K68&gt;'минимумы и максимумы'!I$10,100,('исходные данные'!K68-'минимумы и максимумы'!I$9)/('минимумы и максимумы'!I$10-'минимумы и максимумы'!I$9)*100)</f>
        <v>38.888888888888893</v>
      </c>
      <c r="L68">
        <f>IF('исходные данные'!L68&gt;'минимумы и максимумы'!J$10,100,('исходные данные'!L68-'минимумы и максимумы'!J$9)/('минимумы и максимумы'!J$10-'минимумы и максимумы'!J$9)*100)</f>
        <v>50</v>
      </c>
      <c r="M68">
        <f>IF('исходные данные'!M68&gt;'минимумы и максимумы'!K$10,100,('исходные данные'!M68-'минимумы и максимумы'!K$9)/('минимумы и максимумы'!K$10-'минимумы и максимумы'!K$9)*100)</f>
        <v>50</v>
      </c>
      <c r="N68">
        <f>IF('исходные данные'!N68&gt;'минимумы и максимумы'!L$10,100,('исходные данные'!N68-'минимумы и максимумы'!L$9)/('минимумы и максимумы'!L$10-'минимумы и максимумы'!L$9)*100)</f>
        <v>6.0319571370129523</v>
      </c>
      <c r="O68">
        <f>IF('исходные данные'!O68&gt;'минимумы и максимумы'!M$10,100,('исходные данные'!O68-'минимумы и максимумы'!M$9)/('минимумы и максимумы'!M$10-'минимумы и максимумы'!M$9)*100)</f>
        <v>100</v>
      </c>
      <c r="P68">
        <f>IF('исходные данные'!P68&gt;'минимумы и максимумы'!N$10,100,('исходные данные'!P68-'минимумы и максимумы'!N$9)/('минимумы и максимумы'!N$10-'минимумы и максимумы'!N$9)*100)</f>
        <v>100</v>
      </c>
      <c r="Q68">
        <f>IF('исходные данные'!Q68&gt;'минимумы и максимумы'!O$10,100,('исходные данные'!Q68-'минимумы и максимумы'!O$9)/('минимумы и максимумы'!O$10-'минимумы и максимумы'!O$9)*100)</f>
        <v>100</v>
      </c>
      <c r="R68">
        <f>IF('исходные данные'!R68&gt;'минимумы и максимумы'!P$10,100,('исходные данные'!R68-'минимумы и максимумы'!P$9)/('минимумы и максимумы'!P$10-'минимумы и максимумы'!P$9)*100)</f>
        <v>75</v>
      </c>
      <c r="S68">
        <f>IF('исходные данные'!S68&gt;'минимумы и максимумы'!Q$10,100,('исходные данные'!S68-'минимумы и максимумы'!Q$9)/('минимумы и максимумы'!Q$10-'минимумы и максимумы'!Q$9)*100)</f>
        <v>33.333333333333329</v>
      </c>
      <c r="T68">
        <f>IF('исходные данные'!T68&gt;'минимумы и максимумы'!R$10,100,('исходные данные'!T68-'минимумы и максимумы'!R$9)/('минимумы и максимумы'!R$10-'минимумы и максимумы'!R$9)*100)</f>
        <v>12.83084004602992</v>
      </c>
      <c r="U68">
        <f>IF('исходные данные'!U68&gt;'минимумы и максимумы'!S$10,100,('исходные данные'!U68-'минимумы и максимумы'!S$9)/('минимумы и максимумы'!S$10-'минимумы и максимумы'!S$9)*100)</f>
        <v>0</v>
      </c>
    </row>
    <row r="69" spans="1:21" x14ac:dyDescent="0.45">
      <c r="A69" s="4">
        <v>121</v>
      </c>
      <c r="B69" s="4">
        <v>0</v>
      </c>
      <c r="C69" s="4">
        <v>0</v>
      </c>
      <c r="D69">
        <f>IF('исходные данные'!D69&gt;'минимумы и максимумы'!B$10,100,('исходные данные'!D69-'минимумы и максимумы'!B$9)/('минимумы и максимумы'!B$10-'минимумы и максимумы'!B$9)*100)</f>
        <v>44.444444444444443</v>
      </c>
      <c r="E69">
        <f>IF('исходные данные'!E69&gt;'минимумы и максимумы'!C$10,100,('исходные данные'!E69-'минимумы и максимумы'!C$9)/('минимумы и максимумы'!C$10-'минимумы и максимумы'!C$9)*100)</f>
        <v>20</v>
      </c>
      <c r="F69">
        <f>IF('исходные данные'!F69&gt;'минимумы и максимумы'!D$10,100,('исходные данные'!F69-'минимумы и максимумы'!D$9)/('минимумы и максимумы'!D$10-'минимумы и максимумы'!D$9)*100)</f>
        <v>0</v>
      </c>
      <c r="G69">
        <f>IF('исходные данные'!G69&gt;'минимумы и максимумы'!E$10,100,('исходные данные'!G69-'минимумы и максимумы'!E$9)/('минимумы и максимумы'!E$10-'минимумы и максимумы'!E$9)*100)</f>
        <v>50</v>
      </c>
      <c r="H69">
        <f>IF('исходные данные'!H69&gt;'минимумы и максимумы'!F$10,100,('исходные данные'!H69-'минимумы и максимумы'!F$9)/('минимумы и максимумы'!F$10-'минимумы и максимумы'!F$9)*100)</f>
        <v>20.689655172413794</v>
      </c>
      <c r="I69">
        <f>IF('исходные данные'!I69&gt;'минимумы и максимумы'!G$10,100,('исходные данные'!I69-'минимумы и максимумы'!G$9)/('минимумы и максимумы'!G$10-'минимумы и максимумы'!G$9)*100)</f>
        <v>100</v>
      </c>
      <c r="J69">
        <f>IF('исходные данные'!J69&gt;'минимумы и максимумы'!H$10,100,('исходные данные'!J69-'минимумы и максимумы'!H$9)/('минимумы и максимумы'!H$10-'минимумы и максимумы'!H$9)*100)</f>
        <v>100</v>
      </c>
      <c r="K69">
        <f>IF('исходные данные'!K69&gt;'минимумы и максимумы'!I$10,100,('исходные данные'!K69-'минимумы и максимумы'!I$9)/('минимумы и максимумы'!I$10-'минимумы и максимумы'!I$9)*100)</f>
        <v>38.888888888888893</v>
      </c>
      <c r="L69">
        <f>IF('исходные данные'!L69&gt;'минимумы и максимумы'!J$10,100,('исходные данные'!L69-'минимумы и максимумы'!J$9)/('минимумы и максимумы'!J$10-'минимумы и максимумы'!J$9)*100)</f>
        <v>50</v>
      </c>
      <c r="M69">
        <f>IF('исходные данные'!M69&gt;'минимумы и максимумы'!K$10,100,('исходные данные'!M69-'минимумы и максимумы'!K$9)/('минимумы и максимумы'!K$10-'минимумы и максимумы'!K$9)*100)</f>
        <v>50</v>
      </c>
      <c r="N69">
        <f>IF('исходные данные'!N69&gt;'минимумы и максимумы'!L$10,100,('исходные данные'!N69-'минимумы и максимумы'!L$9)/('минимумы и максимумы'!L$10-'минимумы и максимумы'!L$9)*100)</f>
        <v>6.1876167742384869</v>
      </c>
      <c r="O69">
        <f>IF('исходные данные'!O69&gt;'минимумы и максимумы'!M$10,100,('исходные данные'!O69-'минимумы и максимумы'!M$9)/('минимумы и максимумы'!M$10-'минимумы и максимумы'!M$9)*100)</f>
        <v>100</v>
      </c>
      <c r="P69">
        <f>IF('исходные данные'!P69&gt;'минимумы и максимумы'!N$10,100,('исходные данные'!P69-'минимумы и максимумы'!N$9)/('минимумы и максимумы'!N$10-'минимумы и максимумы'!N$9)*100)</f>
        <v>100</v>
      </c>
      <c r="Q69">
        <f>IF('исходные данные'!Q69&gt;'минимумы и максимумы'!O$10,100,('исходные данные'!Q69-'минимумы и максимумы'!O$9)/('минимумы и максимумы'!O$10-'минимумы и максимумы'!O$9)*100)</f>
        <v>100</v>
      </c>
      <c r="R69">
        <f>IF('исходные данные'!R69&gt;'минимумы и максимумы'!P$10,100,('исходные данные'!R69-'минимумы и максимумы'!P$9)/('минимумы и максимумы'!P$10-'минимумы и максимумы'!P$9)*100)</f>
        <v>75</v>
      </c>
      <c r="S69">
        <f>IF('исходные данные'!S69&gt;'минимумы и максимумы'!Q$10,100,('исходные данные'!S69-'минимумы и максимумы'!Q$9)/('минимумы и максимумы'!Q$10-'минимумы и максимумы'!Q$9)*100)</f>
        <v>50</v>
      </c>
      <c r="T69">
        <f>IF('исходные данные'!T69&gt;'минимумы и максимумы'!R$10,100,('исходные данные'!T69-'минимумы и максимумы'!R$9)/('минимумы и максимумы'!R$10-'минимумы и максимумы'!R$9)*100)</f>
        <v>27.675489067894134</v>
      </c>
      <c r="U69">
        <f>IF('исходные данные'!U69&gt;'минимумы и максимумы'!S$10,100,('исходные данные'!U69-'минимумы и максимумы'!S$9)/('минимумы и максимумы'!S$10-'минимумы и максимумы'!S$9)*100)</f>
        <v>0</v>
      </c>
    </row>
    <row r="70" spans="1:21" x14ac:dyDescent="0.45">
      <c r="A70" s="4">
        <v>122</v>
      </c>
      <c r="B70" s="4">
        <v>0</v>
      </c>
      <c r="C70" s="4">
        <v>0</v>
      </c>
      <c r="D70">
        <f>IF('исходные данные'!D70&gt;'минимумы и максимумы'!B$10,100,('исходные данные'!D70-'минимумы и максимумы'!B$9)/('минимумы и максимумы'!B$10-'минимумы и максимумы'!B$9)*100)</f>
        <v>33.333333333333329</v>
      </c>
      <c r="E70">
        <f>IF('исходные данные'!E70&gt;'минимумы и максимумы'!C$10,100,('исходные данные'!E70-'минимумы и максимумы'!C$9)/('минимумы и максимумы'!C$10-'минимумы и максимумы'!C$9)*100)</f>
        <v>10</v>
      </c>
      <c r="F70">
        <f>IF('исходные данные'!F70&gt;'минимумы и максимумы'!D$10,100,('исходные данные'!F70-'минимумы и максимумы'!D$9)/('минимумы и максимумы'!D$10-'минимумы и максимумы'!D$9)*100)</f>
        <v>0</v>
      </c>
      <c r="G70">
        <f>IF('исходные данные'!G70&gt;'минимумы и максимумы'!E$10,100,('исходные данные'!G70-'минимумы и максимумы'!E$9)/('минимумы и максимумы'!E$10-'минимумы и максимумы'!E$9)*100)</f>
        <v>41.666666666666671</v>
      </c>
      <c r="H70">
        <f>IF('исходные данные'!H70&gt;'минимумы и максимумы'!F$10,100,('исходные данные'!H70-'минимумы и максимумы'!F$9)/('минимумы и максимумы'!F$10-'минимумы и максимумы'!F$9)*100)</f>
        <v>24.137931034482758</v>
      </c>
      <c r="I70">
        <f>IF('исходные данные'!I70&gt;'минимумы и максимумы'!G$10,100,('исходные данные'!I70-'минимумы и максимумы'!G$9)/('минимумы и максимумы'!G$10-'минимумы и максимумы'!G$9)*100)</f>
        <v>100</v>
      </c>
      <c r="J70">
        <f>IF('исходные данные'!J70&gt;'минимумы и максимумы'!H$10,100,('исходные данные'!J70-'минимумы и максимумы'!H$9)/('минимумы и максимумы'!H$10-'минимумы и максимумы'!H$9)*100)</f>
        <v>100</v>
      </c>
      <c r="K70">
        <f>IF('исходные данные'!K70&gt;'минимумы и максимумы'!I$10,100,('исходные данные'!K70-'минимумы и максимумы'!I$9)/('минимумы и максимумы'!I$10-'минимумы и максимумы'!I$9)*100)</f>
        <v>27.777777777777779</v>
      </c>
      <c r="L70">
        <f>IF('исходные данные'!L70&gt;'минимумы и максимумы'!J$10,100,('исходные данные'!L70-'минимумы и максимумы'!J$9)/('минимумы и максимумы'!J$10-'минимумы и максимумы'!J$9)*100)</f>
        <v>57.142857142857139</v>
      </c>
      <c r="M70">
        <f>IF('исходные данные'!M70&gt;'минимумы и максимумы'!K$10,100,('исходные данные'!M70-'минимумы и максимумы'!K$9)/('минимумы и максимумы'!K$10-'минимумы и максимумы'!K$9)*100)</f>
        <v>53.571428571428569</v>
      </c>
      <c r="N70">
        <f>IF('исходные данные'!N70&gt;'минимумы и максимумы'!L$10,100,('исходные данные'!N70-'минимумы и максимумы'!L$9)/('минимумы и максимумы'!L$10-'минимумы и максимумы'!L$9)*100)</f>
        <v>6.5223177198641489</v>
      </c>
      <c r="O70">
        <f>IF('исходные данные'!O70&gt;'минимумы и максимумы'!M$10,100,('исходные данные'!O70-'минимумы и максимумы'!M$9)/('минимумы и максимумы'!M$10-'минимумы и максимумы'!M$9)*100)</f>
        <v>100</v>
      </c>
      <c r="P70">
        <f>IF('исходные данные'!P70&gt;'минимумы и максимумы'!N$10,100,('исходные данные'!P70-'минимумы и максимумы'!N$9)/('минимумы и максимумы'!N$10-'минимумы и максимумы'!N$9)*100)</f>
        <v>100</v>
      </c>
      <c r="Q70">
        <f>IF('исходные данные'!Q70&gt;'минимумы и максимумы'!O$10,100,('исходные данные'!Q70-'минимумы и максимумы'!O$9)/('минимумы и максимумы'!O$10-'минимумы и максимумы'!O$9)*100)</f>
        <v>100</v>
      </c>
      <c r="R70">
        <f>IF('исходные данные'!R70&gt;'минимумы и максимумы'!P$10,100,('исходные данные'!R70-'минимумы и максимумы'!P$9)/('минимумы и максимумы'!P$10-'минимумы и максимумы'!P$9)*100)</f>
        <v>75</v>
      </c>
      <c r="S70">
        <f>IF('исходные данные'!S70&gt;'минимумы и максимумы'!Q$10,100,('исходные данные'!S70-'минимумы и максимумы'!Q$9)/('минимумы и максимумы'!Q$10-'минимумы и максимумы'!Q$9)*100)</f>
        <v>66.666666666666657</v>
      </c>
      <c r="T70">
        <f>IF('исходные данные'!T70&gt;'минимумы и максимумы'!R$10,100,('исходные данные'!T70-'минимумы и максимумы'!R$9)/('минимумы и максимумы'!R$10-'минимумы и максимумы'!R$9)*100)</f>
        <v>17.232451093210589</v>
      </c>
      <c r="U70">
        <f>IF('исходные данные'!U70&gt;'минимумы и максимумы'!S$10,100,('исходные данные'!U70-'минимумы и максимумы'!S$9)/('минимумы и максимумы'!S$10-'минимумы и максимумы'!S$9)*100)</f>
        <v>0</v>
      </c>
    </row>
    <row r="71" spans="1:21" x14ac:dyDescent="0.45">
      <c r="A71" s="4">
        <v>123</v>
      </c>
      <c r="B71" s="4">
        <v>0</v>
      </c>
      <c r="C71" s="4">
        <v>0</v>
      </c>
      <c r="D71">
        <f>IF('исходные данные'!D71&gt;'минимумы и максимумы'!B$10,100,('исходные данные'!D71-'минимумы и максимумы'!B$9)/('минимумы и максимумы'!B$10-'минимумы и максимумы'!B$9)*100)</f>
        <v>22.222222222222221</v>
      </c>
      <c r="E71">
        <f>IF('исходные данные'!E71&gt;'минимумы и максимумы'!C$10,100,('исходные данные'!E71-'минимумы и максимумы'!C$9)/('минимумы и максимумы'!C$10-'минимумы и максимумы'!C$9)*100)</f>
        <v>100</v>
      </c>
      <c r="F71">
        <f>IF('исходные данные'!F71&gt;'минимумы и максимумы'!D$10,100,('исходные данные'!F71-'минимумы и максимумы'!D$9)/('минимумы и максимумы'!D$10-'минимумы и максимумы'!D$9)*100)</f>
        <v>0</v>
      </c>
      <c r="G71">
        <f>IF('исходные данные'!G71&gt;'минимумы и максимумы'!E$10,100,('исходные данные'!G71-'минимумы и максимумы'!E$9)/('минимумы и максимумы'!E$10-'минимумы и максимумы'!E$9)*100)</f>
        <v>100</v>
      </c>
      <c r="H71">
        <f>IF('исходные данные'!H71&gt;'минимумы и максимумы'!F$10,100,('исходные данные'!H71-'минимумы и максимумы'!F$9)/('минимумы и максимумы'!F$10-'минимумы и максимумы'!F$9)*100)</f>
        <v>89.65517241379311</v>
      </c>
      <c r="I71">
        <f>IF('исходные данные'!I71&gt;'минимумы и максимумы'!G$10,100,('исходные данные'!I71-'минимумы и максимумы'!G$9)/('минимумы и максимумы'!G$10-'минимумы и максимумы'!G$9)*100)</f>
        <v>100</v>
      </c>
      <c r="J71">
        <f>IF('исходные данные'!J71&gt;'минимумы и максимумы'!H$10,100,('исходные данные'!J71-'минимумы и максимумы'!H$9)/('минимумы и максимумы'!H$10-'минимумы и максимумы'!H$9)*100)</f>
        <v>100</v>
      </c>
      <c r="K71">
        <f>IF('исходные данные'!K71&gt;'минимумы и максимумы'!I$10,100,('исходные данные'!K71-'минимумы и максимумы'!I$9)/('минимумы и максимумы'!I$10-'минимумы и максимумы'!I$9)*100)</f>
        <v>100</v>
      </c>
      <c r="L71">
        <f>IF('исходные данные'!L71&gt;'минимумы и максимумы'!J$10,100,('исходные данные'!L71-'минимумы и максимумы'!J$9)/('минимумы и максимумы'!J$10-'минимумы и максимумы'!J$9)*100)</f>
        <v>78.571428571428569</v>
      </c>
      <c r="M71">
        <f>IF('исходные данные'!M71&gt;'минимумы и максимумы'!K$10,100,('исходные данные'!M71-'минимумы и максимумы'!K$9)/('минимумы и максимумы'!K$10-'минимумы и максимумы'!K$9)*100)</f>
        <v>67.857142857142861</v>
      </c>
      <c r="N71">
        <f>IF('исходные данные'!N71&gt;'минимумы и максимумы'!L$10,100,('исходные данные'!N71-'минимумы и максимумы'!L$9)/('минимумы и максимумы'!L$10-'минимумы и максимумы'!L$9)*100)</f>
        <v>12.740317652158078</v>
      </c>
      <c r="O71">
        <f>IF('исходные данные'!O71&gt;'минимумы и максимумы'!M$10,100,('исходные данные'!O71-'минимумы и максимумы'!M$9)/('минимумы и максимумы'!M$10-'минимумы и максимумы'!M$9)*100)</f>
        <v>100</v>
      </c>
      <c r="P71">
        <f>IF('исходные данные'!P71&gt;'минимумы и максимумы'!N$10,100,('исходные данные'!P71-'минимумы и максимумы'!N$9)/('минимумы и максимумы'!N$10-'минимумы и максимумы'!N$9)*100)</f>
        <v>0</v>
      </c>
      <c r="Q71">
        <f>IF('исходные данные'!Q71&gt;'минимумы и максимумы'!O$10,100,('исходные данные'!Q71-'минимумы и максимумы'!O$9)/('минимумы и максимумы'!O$10-'минимумы и максимумы'!O$9)*100)</f>
        <v>100</v>
      </c>
      <c r="R71">
        <f>IF('исходные данные'!R71&gt;'минимумы и максимумы'!P$10,100,('исходные данные'!R71-'минимумы и максимумы'!P$9)/('минимумы и максимумы'!P$10-'минимумы и максимумы'!P$9)*100)</f>
        <v>100</v>
      </c>
      <c r="S71">
        <f>IF('исходные данные'!S71&gt;'минимумы и максимумы'!Q$10,100,('исходные данные'!S71-'минимумы и максимумы'!Q$9)/('минимумы и максимумы'!Q$10-'минимумы и максимумы'!Q$9)*100)</f>
        <v>33.333333333333329</v>
      </c>
      <c r="T71">
        <f>IF('исходные данные'!T71&gt;'минимумы и максимумы'!R$10,100,('исходные данные'!T71-'минимумы и максимумы'!R$9)/('минимумы и максимумы'!R$10-'минимумы и максимумы'!R$9)*100)</f>
        <v>35.35673187571922</v>
      </c>
      <c r="U71">
        <f>IF('исходные данные'!U71&gt;'минимумы и максимумы'!S$10,100,('исходные данные'!U71-'минимумы и максимумы'!S$9)/('минимумы и максимумы'!S$10-'минимумы и максимумы'!S$9)*100)</f>
        <v>100</v>
      </c>
    </row>
    <row r="72" spans="1:21" x14ac:dyDescent="0.45">
      <c r="A72" s="4">
        <v>124</v>
      </c>
      <c r="B72" s="4">
        <v>0</v>
      </c>
      <c r="C72" s="4">
        <v>0</v>
      </c>
      <c r="D72">
        <f>IF('исходные данные'!D72&gt;'минимумы и максимумы'!B$10,100,('исходные данные'!D72-'минимумы и максимумы'!B$9)/('минимумы и максимумы'!B$10-'минимумы и максимумы'!B$9)*100)</f>
        <v>44.444444444444443</v>
      </c>
      <c r="E72">
        <f>IF('исходные данные'!E72&gt;'минимумы и максимумы'!C$10,100,('исходные данные'!E72-'минимумы и максимумы'!C$9)/('минимумы и максимумы'!C$10-'минимумы и максимумы'!C$9)*100)</f>
        <v>90</v>
      </c>
      <c r="F72">
        <f>IF('исходные данные'!F72&gt;'минимумы и максимумы'!D$10,100,('исходные данные'!F72-'минимумы и максимумы'!D$9)/('минимумы и максимумы'!D$10-'минимумы и максимумы'!D$9)*100)</f>
        <v>33.333333333333329</v>
      </c>
      <c r="G72">
        <f>IF('исходные данные'!G72&gt;'минимумы и максимумы'!E$10,100,('исходные данные'!G72-'минимумы и максимумы'!E$9)/('минимумы и максимумы'!E$10-'минимумы и максимумы'!E$9)*100)</f>
        <v>100</v>
      </c>
      <c r="H72">
        <f>IF('исходные данные'!H72&gt;'минимумы и максимумы'!F$10,100,('исходные данные'!H72-'минимумы и максимумы'!F$9)/('минимумы и максимумы'!F$10-'минимумы и максимумы'!F$9)*100)</f>
        <v>82.758620689655174</v>
      </c>
      <c r="I72">
        <f>IF('исходные данные'!I72&gt;'минимумы и максимумы'!G$10,100,('исходные данные'!I72-'минимумы и максимумы'!G$9)/('минимумы и максимумы'!G$10-'минимумы и максимумы'!G$9)*100)</f>
        <v>100</v>
      </c>
      <c r="J72">
        <f>IF('исходные данные'!J72&gt;'минимумы и максимумы'!H$10,100,('исходные данные'!J72-'минимумы и максимумы'!H$9)/('минимумы и максимумы'!H$10-'минимумы и максимумы'!H$9)*100)</f>
        <v>100</v>
      </c>
      <c r="K72">
        <f>IF('исходные данные'!K72&gt;'минимумы и максимумы'!I$10,100,('исходные данные'!K72-'минимумы и максимумы'!I$9)/('минимумы и максимумы'!I$10-'минимумы и максимумы'!I$9)*100)</f>
        <v>100</v>
      </c>
      <c r="L72">
        <f>IF('исходные данные'!L72&gt;'минимумы и максимумы'!J$10,100,('исходные данные'!L72-'минимумы и максимумы'!J$9)/('минимумы и максимумы'!J$10-'минимумы и максимумы'!J$9)*100)</f>
        <v>57.142857142857139</v>
      </c>
      <c r="M72">
        <f>IF('исходные данные'!M72&gt;'минимумы и максимумы'!K$10,100,('исходные данные'!M72-'минимумы и максимумы'!K$9)/('минимумы и максимумы'!K$10-'минимумы и максимумы'!K$9)*100)</f>
        <v>67.857142857142861</v>
      </c>
      <c r="N72">
        <f>IF('исходные данные'!N72&gt;'минимумы и максимумы'!L$10,100,('исходные данные'!N72-'минимумы и максимумы'!L$9)/('минимумы и максимумы'!L$10-'минимумы и максимумы'!L$9)*100)</f>
        <v>13.490934642705401</v>
      </c>
      <c r="O72">
        <f>IF('исходные данные'!O72&gt;'минимумы и максимумы'!M$10,100,('исходные данные'!O72-'минимумы и максимумы'!M$9)/('минимумы и максимумы'!M$10-'минимумы и максимумы'!M$9)*100)</f>
        <v>33.333333333333329</v>
      </c>
      <c r="P72">
        <f>IF('исходные данные'!P72&gt;'минимумы и максимумы'!N$10,100,('исходные данные'!P72-'минимумы и максимумы'!N$9)/('минимумы и максимумы'!N$10-'минимумы и максимумы'!N$9)*100)</f>
        <v>0</v>
      </c>
      <c r="Q72">
        <f>IF('исходные данные'!Q72&gt;'минимумы и максимумы'!O$10,100,('исходные данные'!Q72-'минимумы и максимумы'!O$9)/('минимумы и максимумы'!O$10-'минимумы и максимумы'!O$9)*100)</f>
        <v>100</v>
      </c>
      <c r="R72">
        <f>IF('исходные данные'!R72&gt;'минимумы и максимумы'!P$10,100,('исходные данные'!R72-'минимумы и максимумы'!P$9)/('минимумы и максимумы'!P$10-'минимумы и максимумы'!P$9)*100)</f>
        <v>100</v>
      </c>
      <c r="S72">
        <f>IF('исходные данные'!S72&gt;'минимумы и максимумы'!Q$10,100,('исходные данные'!S72-'минимумы и максимумы'!Q$9)/('минимумы и максимумы'!Q$10-'минимумы и максимумы'!Q$9)*100)</f>
        <v>50</v>
      </c>
      <c r="T72">
        <f>IF('исходные данные'!T72&gt;'минимумы и максимумы'!R$10,100,('исходные данные'!T72-'минимумы и максимумы'!R$9)/('минимумы и максимумы'!R$10-'минимумы и максимумы'!R$9)*100)</f>
        <v>42.836593785960872</v>
      </c>
      <c r="U72">
        <f>IF('исходные данные'!U72&gt;'минимумы и максимумы'!S$10,100,('исходные данные'!U72-'минимумы и максимумы'!S$9)/('минимумы и максимумы'!S$10-'минимумы и максимумы'!S$9)*100)</f>
        <v>100</v>
      </c>
    </row>
    <row r="73" spans="1:21" x14ac:dyDescent="0.45">
      <c r="A73" s="4">
        <v>125</v>
      </c>
      <c r="B73" s="4">
        <v>1</v>
      </c>
      <c r="C73" s="4">
        <v>0</v>
      </c>
      <c r="D73">
        <f>IF('исходные данные'!D73&gt;'минимумы и максимумы'!B$10,100,('исходные данные'!D73-'минимумы и максимумы'!B$9)/('минимумы и максимумы'!B$10-'минимумы и максимумы'!B$9)*100)</f>
        <v>44.444444444444443</v>
      </c>
      <c r="E73">
        <f>IF('исходные данные'!E73&gt;'минимумы и максимумы'!C$10,100,('исходные данные'!E73-'минимумы и максимумы'!C$9)/('минимумы и максимумы'!C$10-'минимумы и максимумы'!C$9)*100)</f>
        <v>60</v>
      </c>
      <c r="F73">
        <f>IF('исходные данные'!F73&gt;'минимумы и максимумы'!D$10,100,('исходные данные'!F73-'минимумы и максимумы'!D$9)/('минимумы и максимумы'!D$10-'минимумы и максимумы'!D$9)*100)</f>
        <v>0</v>
      </c>
      <c r="G73">
        <f>IF('исходные данные'!G73&gt;'минимумы и максимумы'!E$10,100,('исходные данные'!G73-'минимумы и максимумы'!E$9)/('минимумы и максимумы'!E$10-'минимумы и максимумы'!E$9)*100)</f>
        <v>87.5</v>
      </c>
      <c r="H73">
        <f>IF('исходные данные'!H73&gt;'минимумы и максимумы'!F$10,100,('исходные данные'!H73-'минимумы и максимумы'!F$9)/('минимумы и максимумы'!F$10-'минимумы и максимумы'!F$9)*100)</f>
        <v>86.206896551724128</v>
      </c>
      <c r="I73">
        <f>IF('исходные данные'!I73&gt;'минимумы и максимумы'!G$10,100,('исходные данные'!I73-'минимумы и максимумы'!G$9)/('минимумы и максимумы'!G$10-'минимумы и максимумы'!G$9)*100)</f>
        <v>100</v>
      </c>
      <c r="J73">
        <f>IF('исходные данные'!J73&gt;'минимумы и максимумы'!H$10,100,('исходные данные'!J73-'минимумы и максимумы'!H$9)/('минимумы и максимумы'!H$10-'минимумы и максимумы'!H$9)*100)</f>
        <v>100</v>
      </c>
      <c r="K73">
        <f>IF('исходные данные'!K73&gt;'минимумы и максимумы'!I$10,100,('исходные данные'!K73-'минимумы и максимумы'!I$9)/('минимумы и максимумы'!I$10-'минимумы и максимумы'!I$9)*100)</f>
        <v>100</v>
      </c>
      <c r="L73">
        <f>IF('исходные данные'!L73&gt;'минимумы и максимумы'!J$10,100,('исходные данные'!L73-'минимумы и максимумы'!J$9)/('минимумы и максимумы'!J$10-'минимумы и максимумы'!J$9)*100)</f>
        <v>78.571428571428569</v>
      </c>
      <c r="M73">
        <f>IF('исходные данные'!M73&gt;'минимумы и максимумы'!K$10,100,('исходные данные'!M73-'минимумы и максимумы'!K$9)/('минимумы и максимумы'!K$10-'минимумы и максимумы'!K$9)*100)</f>
        <v>46.428571428571431</v>
      </c>
      <c r="N73">
        <f>IF('исходные данные'!N73&gt;'минимумы и максимумы'!L$10,100,('исходные данные'!N73-'минимумы и максимумы'!L$9)/('минимумы и максимумы'!L$10-'минимумы и максимумы'!L$9)*100)</f>
        <v>14.686505620841658</v>
      </c>
      <c r="O73">
        <f>IF('исходные данные'!O73&gt;'минимумы и максимумы'!M$10,100,('исходные данные'!O73-'минимумы и максимумы'!M$9)/('минимумы и максимумы'!M$10-'минимумы и максимумы'!M$9)*100)</f>
        <v>66.666666666666657</v>
      </c>
      <c r="P73">
        <f>IF('исходные данные'!P73&gt;'минимумы и максимумы'!N$10,100,('исходные данные'!P73-'минимумы и максимумы'!N$9)/('минимумы и максимумы'!N$10-'минимумы и максимумы'!N$9)*100)</f>
        <v>0</v>
      </c>
      <c r="Q73">
        <f>IF('исходные данные'!Q73&gt;'минимумы и максимумы'!O$10,100,('исходные данные'!Q73-'минимумы и максимумы'!O$9)/('минимумы и максимумы'!O$10-'минимумы и максимумы'!O$9)*100)</f>
        <v>100</v>
      </c>
      <c r="R73">
        <f>IF('исходные данные'!R73&gt;'минимумы и максимумы'!P$10,100,('исходные данные'!R73-'минимумы и максимумы'!P$9)/('минимумы и максимумы'!P$10-'минимумы и максимумы'!P$9)*100)</f>
        <v>100</v>
      </c>
      <c r="S73">
        <f>IF('исходные данные'!S73&gt;'минимумы и максимумы'!Q$10,100,('исходные данные'!S73-'минимумы и максимумы'!Q$9)/('минимумы и максимумы'!Q$10-'минимумы и максимумы'!Q$9)*100)</f>
        <v>33.333333333333329</v>
      </c>
      <c r="T73">
        <f>IF('исходные данные'!T73&gt;'минимумы и максимумы'!R$10,100,('исходные данные'!T73-'минимумы и максимумы'!R$9)/('минимумы и максимумы'!R$10-'минимумы и максимумы'!R$9)*100)</f>
        <v>13.780207134637514</v>
      </c>
      <c r="U73">
        <f>IF('исходные данные'!U73&gt;'минимумы и максимумы'!S$10,100,('исходные данные'!U73-'минимумы и максимумы'!S$9)/('минимумы и максимумы'!S$10-'минимумы и максимумы'!S$9)*100)</f>
        <v>33.333333333333329</v>
      </c>
    </row>
    <row r="74" spans="1:21" x14ac:dyDescent="0.45">
      <c r="A74" s="4">
        <v>126</v>
      </c>
      <c r="B74" s="4">
        <v>1</v>
      </c>
      <c r="C74" s="4">
        <v>0</v>
      </c>
      <c r="D74">
        <f>IF('исходные данные'!D74&gt;'минимумы и максимумы'!B$10,100,('исходные данные'!D74-'минимумы и максимумы'!B$9)/('минимумы и максимумы'!B$10-'минимумы и максимумы'!B$9)*100)</f>
        <v>55.555555555555557</v>
      </c>
      <c r="E74">
        <f>IF('исходные данные'!E74&gt;'минимумы и максимумы'!C$10,100,('исходные данные'!E74-'минимумы и максимумы'!C$9)/('минимумы и максимумы'!C$10-'минимумы и максимумы'!C$9)*100)</f>
        <v>50</v>
      </c>
      <c r="F74">
        <f>IF('исходные данные'!F74&gt;'минимумы и максимумы'!D$10,100,('исходные данные'!F74-'минимумы и максимумы'!D$9)/('минимумы и максимумы'!D$10-'минимумы и максимумы'!D$9)*100)</f>
        <v>0</v>
      </c>
      <c r="G74">
        <f>IF('исходные данные'!G74&gt;'минимумы и максимумы'!E$10,100,('исходные данные'!G74-'минимумы и максимумы'!E$9)/('минимумы и максимумы'!E$10-'минимумы и максимумы'!E$9)*100)</f>
        <v>100</v>
      </c>
      <c r="H74">
        <f>IF('исходные данные'!H74&gt;'минимумы и максимумы'!F$10,100,('исходные данные'!H74-'минимумы и максимумы'!F$9)/('минимумы и максимумы'!F$10-'минимумы и максимумы'!F$9)*100)</f>
        <v>100</v>
      </c>
      <c r="I74">
        <f>IF('исходные данные'!I74&gt;'минимумы и максимумы'!G$10,100,('исходные данные'!I74-'минимумы и максимумы'!G$9)/('минимумы и максимумы'!G$10-'минимумы и максимумы'!G$9)*100)</f>
        <v>100</v>
      </c>
      <c r="J74">
        <f>IF('исходные данные'!J74&gt;'минимумы и максимумы'!H$10,100,('исходные данные'!J74-'минимумы и максимумы'!H$9)/('минимумы и максимумы'!H$10-'минимумы и максимумы'!H$9)*100)</f>
        <v>100</v>
      </c>
      <c r="K74">
        <f>IF('исходные данные'!K74&gt;'минимумы и максимумы'!I$10,100,('исходные данные'!K74-'минимумы и максимумы'!I$9)/('минимумы и максимумы'!I$10-'минимумы и максимумы'!I$9)*100)</f>
        <v>100</v>
      </c>
      <c r="L74">
        <f>IF('исходные данные'!L74&gt;'минимумы и максимумы'!J$10,100,('исходные данные'!L74-'минимумы и максимумы'!J$9)/('минимумы и максимумы'!J$10-'минимумы и максимумы'!J$9)*100)</f>
        <v>64.285714285714292</v>
      </c>
      <c r="M74">
        <f>IF('исходные данные'!M74&gt;'минимумы и максимумы'!K$10,100,('исходные данные'!M74-'минимумы и максимумы'!K$9)/('минимумы и максимумы'!K$10-'минимумы и максимумы'!K$9)*100)</f>
        <v>53.571428571428569</v>
      </c>
      <c r="N74">
        <f>IF('исходные данные'!N74&gt;'минимумы и максимумы'!L$10,100,('исходные данные'!N74-'минимумы и максимумы'!L$9)/('минимумы и максимумы'!L$10-'минимумы и максимумы'!L$9)*100)</f>
        <v>14.212765858602468</v>
      </c>
      <c r="O74">
        <f>IF('исходные данные'!O74&gt;'минимумы и максимумы'!M$10,100,('исходные данные'!O74-'минимумы и максимумы'!M$9)/('минимумы и максимумы'!M$10-'минимумы и максимумы'!M$9)*100)</f>
        <v>66.666666666666657</v>
      </c>
      <c r="P74">
        <f>IF('исходные данные'!P74&gt;'минимумы и максимумы'!N$10,100,('исходные данные'!P74-'минимумы и максимумы'!N$9)/('минимумы и максимумы'!N$10-'минимумы и максимумы'!N$9)*100)</f>
        <v>0</v>
      </c>
      <c r="Q74">
        <f>IF('исходные данные'!Q74&gt;'минимумы и максимумы'!O$10,100,('исходные данные'!Q74-'минимумы и максимумы'!O$9)/('минимумы и максимумы'!O$10-'минимумы и максимумы'!O$9)*100)</f>
        <v>100</v>
      </c>
      <c r="R74">
        <f>IF('исходные данные'!R74&gt;'минимумы и максимумы'!P$10,100,('исходные данные'!R74-'минимумы и максимумы'!P$9)/('минимумы и максимумы'!P$10-'минимумы и максимумы'!P$9)*100)</f>
        <v>100</v>
      </c>
      <c r="S74">
        <f>IF('исходные данные'!S74&gt;'минимумы и максимумы'!Q$10,100,('исходные данные'!S74-'минимумы и максимумы'!Q$9)/('минимумы и максимумы'!Q$10-'минимумы и максимумы'!Q$9)*100)</f>
        <v>50</v>
      </c>
      <c r="T74">
        <f>IF('исходные данные'!T74&gt;'минимумы и максимумы'!R$10,100,('исходные данные'!T74-'минимумы и максимумы'!R$9)/('минимумы и максимумы'!R$10-'минимумы и максимумы'!R$9)*100)</f>
        <v>14.499424626006904</v>
      </c>
      <c r="U74">
        <f>IF('исходные данные'!U74&gt;'минимумы и максимумы'!S$10,100,('исходные данные'!U74-'минимумы и максимумы'!S$9)/('минимумы и максимумы'!S$10-'минимумы и максимумы'!S$9)*100)</f>
        <v>33.333333333333329</v>
      </c>
    </row>
    <row r="75" spans="1:21" x14ac:dyDescent="0.45">
      <c r="A75" s="4">
        <v>127</v>
      </c>
      <c r="B75" s="4">
        <v>0</v>
      </c>
      <c r="C75" s="4">
        <v>0</v>
      </c>
      <c r="D75">
        <f>IF('исходные данные'!D75&gt;'минимумы и максимумы'!B$10,100,('исходные данные'!D75-'минимумы и максимумы'!B$9)/('минимумы и максимумы'!B$10-'минимумы и максимумы'!B$9)*100)</f>
        <v>55.555555555555557</v>
      </c>
      <c r="E75">
        <f>IF('исходные данные'!E75&gt;'минимумы и максимумы'!C$10,100,('исходные данные'!E75-'минимумы и максимумы'!C$9)/('минимумы и максимумы'!C$10-'минимумы и максимумы'!C$9)*100)</f>
        <v>50</v>
      </c>
      <c r="F75">
        <f>IF('исходные данные'!F75&gt;'минимумы и максимумы'!D$10,100,('исходные данные'!F75-'минимумы и максимумы'!D$9)/('минимумы и максимумы'!D$10-'минимумы и максимумы'!D$9)*100)</f>
        <v>0</v>
      </c>
      <c r="G75">
        <f>IF('исходные данные'!G75&gt;'минимумы и максимумы'!E$10,100,('исходные данные'!G75-'минимумы и максимумы'!E$9)/('минимумы и максимумы'!E$10-'минимумы и максимумы'!E$9)*100)</f>
        <v>100</v>
      </c>
      <c r="H75">
        <f>IF('исходные данные'!H75&gt;'минимумы и максимумы'!F$10,100,('исходные данные'!H75-'минимумы и максимумы'!F$9)/('минимумы и максимумы'!F$10-'минимумы и максимумы'!F$9)*100)</f>
        <v>100</v>
      </c>
      <c r="I75">
        <f>IF('исходные данные'!I75&gt;'минимумы и максимумы'!G$10,100,('исходные данные'!I75-'минимумы и максимумы'!G$9)/('минимумы и максимумы'!G$10-'минимумы и максимумы'!G$9)*100)</f>
        <v>100</v>
      </c>
      <c r="J75">
        <f>IF('исходные данные'!J75&gt;'минимумы и максимумы'!H$10,100,('исходные данные'!J75-'минимумы и максимумы'!H$9)/('минимумы и максимумы'!H$10-'минимумы и максимумы'!H$9)*100)</f>
        <v>100</v>
      </c>
      <c r="K75">
        <f>IF('исходные данные'!K75&gt;'минимумы и максимумы'!I$10,100,('исходные данные'!K75-'минимумы и максимумы'!I$9)/('минимумы и максимумы'!I$10-'минимумы и максимумы'!I$9)*100)</f>
        <v>100</v>
      </c>
      <c r="L75">
        <f>IF('исходные данные'!L75&gt;'минимумы и максимумы'!J$10,100,('исходные данные'!L75-'минимумы и максимумы'!J$9)/('минимумы и максимумы'!J$10-'минимумы и максимумы'!J$9)*100)</f>
        <v>64.285714285714292</v>
      </c>
      <c r="M75">
        <f>IF('исходные данные'!M75&gt;'минимумы и максимумы'!K$10,100,('исходные данные'!M75-'минимумы и максимумы'!K$9)/('минимумы и максимумы'!K$10-'минимумы и максимумы'!K$9)*100)</f>
        <v>53.571428571428569</v>
      </c>
      <c r="N75">
        <f>IF('исходные данные'!N75&gt;'минимумы и максимумы'!L$10,100,('исходные данные'!N75-'минимумы и максимумы'!L$9)/('минимумы и максимумы'!L$10-'минимумы и максимумы'!L$9)*100)</f>
        <v>14.212765858602468</v>
      </c>
      <c r="O75">
        <f>IF('исходные данные'!O75&gt;'минимумы и максимумы'!M$10,100,('исходные данные'!O75-'минимумы и максимумы'!M$9)/('минимумы и максимумы'!M$10-'минимумы и максимумы'!M$9)*100)</f>
        <v>66.666666666666657</v>
      </c>
      <c r="P75">
        <f>IF('исходные данные'!P75&gt;'минимумы и максимумы'!N$10,100,('исходные данные'!P75-'минимумы и максимумы'!N$9)/('минимумы и максимумы'!N$10-'минимумы и максимумы'!N$9)*100)</f>
        <v>100</v>
      </c>
      <c r="Q75">
        <f>IF('исходные данные'!Q75&gt;'минимумы и максимумы'!O$10,100,('исходные данные'!Q75-'минимумы и максимумы'!O$9)/('минимумы и максимумы'!O$10-'минимумы и максимумы'!O$9)*100)</f>
        <v>100</v>
      </c>
      <c r="R75">
        <f>IF('исходные данные'!R75&gt;'минимумы и максимумы'!P$10,100,('исходные данные'!R75-'минимумы и максимумы'!P$9)/('минимумы и максимумы'!P$10-'минимумы и максимумы'!P$9)*100)</f>
        <v>100</v>
      </c>
      <c r="S75">
        <f>IF('исходные данные'!S75&gt;'минимумы и максимумы'!Q$10,100,('исходные данные'!S75-'минимумы и максимумы'!Q$9)/('минимумы и максимумы'!Q$10-'минимумы и максимумы'!Q$9)*100)</f>
        <v>33.333333333333329</v>
      </c>
      <c r="T75">
        <f>IF('исходные данные'!T75&gt;'минимумы и максимумы'!R$10,100,('исходные данные'!T75-'минимумы и максимумы'!R$9)/('минимумы и максимумы'!R$10-'минимумы и максимумы'!R$9)*100)</f>
        <v>12.341772151898734</v>
      </c>
      <c r="U75">
        <f>IF('исходные данные'!U75&gt;'минимумы и максимумы'!S$10,100,('исходные данные'!U75-'минимумы и максимумы'!S$9)/('минимумы и максимумы'!S$10-'минимумы и максимумы'!S$9)*100)</f>
        <v>33.333333333333329</v>
      </c>
    </row>
    <row r="76" spans="1:21" x14ac:dyDescent="0.45">
      <c r="A76" s="4">
        <v>129</v>
      </c>
      <c r="B76" s="4">
        <v>0</v>
      </c>
      <c r="C76" s="4">
        <v>0</v>
      </c>
      <c r="D76">
        <f>IF('исходные данные'!D76&gt;'минимумы и максимумы'!B$10,100,('исходные данные'!D76-'минимумы и максимумы'!B$9)/('минимумы и максимумы'!B$10-'минимумы и максимумы'!B$9)*100)</f>
        <v>44.444444444444443</v>
      </c>
      <c r="E76">
        <f>IF('исходные данные'!E76&gt;'минимумы и максимумы'!C$10,100,('исходные данные'!E76-'минимумы и максимумы'!C$9)/('минимумы и максимумы'!C$10-'минимумы и максимумы'!C$9)*100)</f>
        <v>60</v>
      </c>
      <c r="F76">
        <f>IF('исходные данные'!F76&gt;'минимумы и максимумы'!D$10,100,('исходные данные'!F76-'минимумы и максимумы'!D$9)/('минимумы и максимумы'!D$10-'минимумы и максимумы'!D$9)*100)</f>
        <v>0</v>
      </c>
      <c r="G76">
        <f>IF('исходные данные'!G76&gt;'минимумы и максимумы'!E$10,100,('исходные данные'!G76-'минимумы и максимумы'!E$9)/('минимумы и максимумы'!E$10-'минимумы и максимумы'!E$9)*100)</f>
        <v>75</v>
      </c>
      <c r="H76">
        <f>IF('исходные данные'!H76&gt;'минимумы и максимумы'!F$10,100,('исходные данные'!H76-'минимумы и максимумы'!F$9)/('минимумы и максимумы'!F$10-'минимумы и максимумы'!F$9)*100)</f>
        <v>75.862068965517238</v>
      </c>
      <c r="I76">
        <f>IF('исходные данные'!I76&gt;'минимумы и максимумы'!G$10,100,('исходные данные'!I76-'минимумы и максимумы'!G$9)/('минимумы и максимумы'!G$10-'минимумы и максимумы'!G$9)*100)</f>
        <v>96.226415094339629</v>
      </c>
      <c r="J76">
        <f>IF('исходные данные'!J76&gt;'минимумы и максимумы'!H$10,100,('исходные данные'!J76-'минимумы и максимумы'!H$9)/('минимумы и максимумы'!H$10-'минимумы и максимумы'!H$9)*100)</f>
        <v>93.333333333333329</v>
      </c>
      <c r="K76">
        <f>IF('исходные данные'!K76&gt;'минимумы и максимумы'!I$10,100,('исходные данные'!K76-'минимумы и максимумы'!I$9)/('минимумы и максимумы'!I$10-'минимумы и максимумы'!I$9)*100)</f>
        <v>100</v>
      </c>
      <c r="L76">
        <f>IF('исходные данные'!L76&gt;'минимумы и максимумы'!J$10,100,('исходные данные'!L76-'минимумы и максимумы'!J$9)/('минимумы и максимумы'!J$10-'минимумы и максимумы'!J$9)*100)</f>
        <v>50</v>
      </c>
      <c r="M76">
        <f>IF('исходные данные'!M76&gt;'минимумы и максимумы'!K$10,100,('исходные данные'!M76-'минимумы и максимумы'!K$9)/('минимумы и максимумы'!K$10-'минимумы и максимумы'!K$9)*100)</f>
        <v>28.571428571428569</v>
      </c>
      <c r="N76">
        <f>IF('исходные данные'!N76&gt;'минимумы и максимумы'!L$10,100,('исходные данные'!N76-'минимумы и максимумы'!L$9)/('минимумы и максимумы'!L$10-'минимумы и максимумы'!L$9)*100)</f>
        <v>14.534280209457343</v>
      </c>
      <c r="O76">
        <f>IF('исходные данные'!O76&gt;'минимумы и максимумы'!M$10,100,('исходные данные'!O76-'минимумы и максимумы'!M$9)/('минимумы и максимумы'!M$10-'минимумы и максимумы'!M$9)*100)</f>
        <v>66.666666666666657</v>
      </c>
      <c r="P76">
        <f>IF('исходные данные'!P76&gt;'минимумы и максимумы'!N$10,100,('исходные данные'!P76-'минимумы и максимумы'!N$9)/('минимумы и максимумы'!N$10-'минимумы и максимумы'!N$9)*100)</f>
        <v>0</v>
      </c>
      <c r="Q76">
        <f>IF('исходные данные'!Q76&gt;'минимумы и максимумы'!O$10,100,('исходные данные'!Q76-'минимумы и максимумы'!O$9)/('минимумы и максимумы'!O$10-'минимумы и максимумы'!O$9)*100)</f>
        <v>100</v>
      </c>
      <c r="R76">
        <f>IF('исходные данные'!R76&gt;'минимумы и максимумы'!P$10,100,('исходные данные'!R76-'минимумы и максимумы'!P$9)/('минимумы и максимумы'!P$10-'минимумы и максимумы'!P$9)*100)</f>
        <v>100</v>
      </c>
      <c r="S76">
        <f>IF('исходные данные'!S76&gt;'минимумы и максимумы'!Q$10,100,('исходные данные'!S76-'минимумы и максимумы'!Q$9)/('минимумы и максимумы'!Q$10-'минимумы и максимумы'!Q$9)*100)</f>
        <v>66.666666666666657</v>
      </c>
      <c r="T76">
        <f>IF('исходные данные'!T76&gt;'минимумы и максимумы'!R$10,100,('исходные данные'!T76-'минимумы и максимумы'!R$9)/('минимумы и максимумы'!R$10-'минимумы и максимумы'!R$9)*100)</f>
        <v>14.2692750287687</v>
      </c>
      <c r="U76">
        <f>IF('исходные данные'!U76&gt;'минимумы и максимумы'!S$10,100,('исходные данные'!U76-'минимумы и максимумы'!S$9)/('минимумы и максимумы'!S$10-'минимумы и максимумы'!S$9)*100)</f>
        <v>33.333333333333329</v>
      </c>
    </row>
    <row r="77" spans="1:21" x14ac:dyDescent="0.45">
      <c r="A77" s="4">
        <v>131</v>
      </c>
      <c r="B77" s="4">
        <v>1</v>
      </c>
      <c r="C77" s="4">
        <v>0</v>
      </c>
      <c r="D77">
        <f>IF('исходные данные'!D77&gt;'минимумы и максимумы'!B$10,100,('исходные данные'!D77-'минимумы и максимумы'!B$9)/('минимумы и максимумы'!B$10-'минимумы и максимумы'!B$9)*100)</f>
        <v>44.444444444444443</v>
      </c>
      <c r="E77">
        <f>IF('исходные данные'!E77&gt;'минимумы и максимумы'!C$10,100,('исходные данные'!E77-'минимумы и максимумы'!C$9)/('минимумы и максимумы'!C$10-'минимумы и максимумы'!C$9)*100)</f>
        <v>80</v>
      </c>
      <c r="F77">
        <f>IF('исходные данные'!F77&gt;'минимумы и максимумы'!D$10,100,('исходные данные'!F77-'минимумы и максимумы'!D$9)/('минимумы и максимумы'!D$10-'минимумы и максимумы'!D$9)*100)</f>
        <v>0</v>
      </c>
      <c r="G77">
        <f>IF('исходные данные'!G77&gt;'минимумы и максимумы'!E$10,100,('исходные данные'!G77-'минимумы и максимумы'!E$9)/('минимумы и максимумы'!E$10-'минимумы и максимумы'!E$9)*100)</f>
        <v>66.666666666666657</v>
      </c>
      <c r="H77">
        <f>IF('исходные данные'!H77&gt;'минимумы и максимумы'!F$10,100,('исходные данные'!H77-'минимумы и максимумы'!F$9)/('минимумы и максимумы'!F$10-'минимумы и максимумы'!F$9)*100)</f>
        <v>72.41379310344827</v>
      </c>
      <c r="I77">
        <f>IF('исходные данные'!I77&gt;'минимумы и максимумы'!G$10,100,('исходные данные'!I77-'минимумы и максимумы'!G$9)/('минимумы и максимумы'!G$10-'минимумы и максимумы'!G$9)*100)</f>
        <v>100</v>
      </c>
      <c r="J77">
        <f>IF('исходные данные'!J77&gt;'минимумы и максимумы'!H$10,100,('исходные данные'!J77-'минимумы и максимумы'!H$9)/('минимумы и максимумы'!H$10-'минимумы и максимумы'!H$9)*100)</f>
        <v>86.666666666666671</v>
      </c>
      <c r="K77">
        <f>IF('исходные данные'!K77&gt;'минимумы и максимумы'!I$10,100,('исходные данные'!K77-'минимумы и максимумы'!I$9)/('минимумы и максимумы'!I$10-'минимумы и максимумы'!I$9)*100)</f>
        <v>100</v>
      </c>
      <c r="L77">
        <f>IF('исходные данные'!L77&gt;'минимумы и максимумы'!J$10,100,('исходные данные'!L77-'минимумы и максимумы'!J$9)/('минимумы и максимумы'!J$10-'минимумы и максимумы'!J$9)*100)</f>
        <v>57.142857142857139</v>
      </c>
      <c r="M77">
        <f>IF('исходные данные'!M77&gt;'минимумы и максимумы'!K$10,100,('исходные данные'!M77-'минимумы и максимумы'!K$9)/('минимумы и максимумы'!K$10-'минимумы и максимумы'!K$9)*100)</f>
        <v>46.428571428571431</v>
      </c>
      <c r="N77">
        <f>IF('исходные данные'!N77&gt;'минимумы и максимумы'!L$10,100,('исходные данные'!N77-'минимумы и максимумы'!L$9)/('минимумы и максимумы'!L$10-'минимумы и максимумы'!L$9)*100)</f>
        <v>14.911820827780966</v>
      </c>
      <c r="O77">
        <f>IF('исходные данные'!O77&gt;'минимумы и максимумы'!M$10,100,('исходные данные'!O77-'минимумы и максимумы'!M$9)/('минимумы и максимумы'!M$10-'минимумы и максимумы'!M$9)*100)</f>
        <v>100</v>
      </c>
      <c r="P77">
        <f>IF('исходные данные'!P77&gt;'минимумы и максимумы'!N$10,100,('исходные данные'!P77-'минимумы и максимумы'!N$9)/('минимумы и максимумы'!N$10-'минимумы и максимумы'!N$9)*100)</f>
        <v>100</v>
      </c>
      <c r="Q77">
        <f>IF('исходные данные'!Q77&gt;'минимумы и максимумы'!O$10,100,('исходные данные'!Q77-'минимумы и максимумы'!O$9)/('минимумы и максимумы'!O$10-'минимумы и максимумы'!O$9)*100)</f>
        <v>100</v>
      </c>
      <c r="R77">
        <f>IF('исходные данные'!R77&gt;'минимумы и максимумы'!P$10,100,('исходные данные'!R77-'минимумы и максимумы'!P$9)/('минимумы и максимумы'!P$10-'минимумы и максимумы'!P$9)*100)</f>
        <v>100</v>
      </c>
      <c r="S77">
        <f>IF('исходные данные'!S77&gt;'минимумы и максимумы'!Q$10,100,('исходные данные'!S77-'минимумы и максимумы'!Q$9)/('минимумы и максимумы'!Q$10-'минимумы и максимумы'!Q$9)*100)</f>
        <v>66.666666666666657</v>
      </c>
      <c r="T77">
        <f>IF('исходные данные'!T77&gt;'минимумы и максимумы'!R$10,100,('исходные данные'!T77-'минимумы и максимумы'!R$9)/('минимумы и максимумы'!R$10-'минимумы и максимумы'!R$9)*100)</f>
        <v>18.757192174913694</v>
      </c>
      <c r="U77">
        <f>IF('исходные данные'!U77&gt;'минимумы и максимумы'!S$10,100,('исходные данные'!U77-'минимумы и максимумы'!S$9)/('минимумы и максимумы'!S$10-'минимумы и максимумы'!S$9)*100)</f>
        <v>33.333333333333329</v>
      </c>
    </row>
    <row r="78" spans="1:21" x14ac:dyDescent="0.45">
      <c r="A78" s="4">
        <v>133</v>
      </c>
      <c r="B78" s="4">
        <v>1</v>
      </c>
      <c r="C78" s="4">
        <v>0</v>
      </c>
      <c r="D78">
        <f>IF('исходные данные'!D78&gt;'минимумы и максимумы'!B$10,100,('исходные данные'!D78-'минимумы и максимумы'!B$9)/('минимумы и максимумы'!B$10-'минимумы и максимумы'!B$9)*100)</f>
        <v>100</v>
      </c>
      <c r="E78">
        <f>IF('исходные данные'!E78&gt;'минимумы и максимумы'!C$10,100,('исходные данные'!E78-'минимумы и максимумы'!C$9)/('минимумы и максимумы'!C$10-'минимумы и максимумы'!C$9)*100)</f>
        <v>90</v>
      </c>
      <c r="F78">
        <f>IF('исходные данные'!F78&gt;'минимумы и максимумы'!D$10,100,('исходные данные'!F78-'минимумы и максимумы'!D$9)/('минимумы и максимумы'!D$10-'минимумы и максимумы'!D$9)*100)</f>
        <v>66.666666666666657</v>
      </c>
      <c r="G78">
        <f>IF('исходные данные'!G78&gt;'минимумы и максимумы'!E$10,100,('исходные данные'!G78-'минимумы и максимумы'!E$9)/('минимумы и максимумы'!E$10-'минимумы и максимумы'!E$9)*100)</f>
        <v>79.166666666666657</v>
      </c>
      <c r="H78">
        <f>IF('исходные данные'!H78&gt;'минимумы и максимумы'!F$10,100,('исходные данные'!H78-'минимумы и максимумы'!F$9)/('минимумы и максимумы'!F$10-'минимумы и максимумы'!F$9)*100)</f>
        <v>27.586206896551722</v>
      </c>
      <c r="I78">
        <f>IF('исходные данные'!I78&gt;'минимумы и максимумы'!G$10,100,('исходные данные'!I78-'минимумы и максимумы'!G$9)/('минимумы и максимумы'!G$10-'минимумы и максимумы'!G$9)*100)</f>
        <v>100</v>
      </c>
      <c r="J78">
        <f>IF('исходные данные'!J78&gt;'минимумы и максимумы'!H$10,100,('исходные данные'!J78-'минимумы и максимумы'!H$9)/('минимумы и максимумы'!H$10-'минимумы и максимумы'!H$9)*100)</f>
        <v>100</v>
      </c>
      <c r="K78">
        <f>IF('исходные данные'!K78&gt;'минимумы и максимумы'!I$10,100,('исходные данные'!K78-'минимумы и максимумы'!I$9)/('минимумы и максимумы'!I$10-'минимумы и максимумы'!I$9)*100)</f>
        <v>94.444444444444443</v>
      </c>
      <c r="L78">
        <f>IF('исходные данные'!L78&gt;'минимумы и максимумы'!J$10,100,('исходные данные'!L78-'минимумы и максимумы'!J$9)/('минимумы и максимумы'!J$10-'минимумы и максимумы'!J$9)*100)</f>
        <v>92.857142857142861</v>
      </c>
      <c r="M78">
        <f>IF('исходные данные'!M78&gt;'минимумы и максимумы'!K$10,100,('исходные данные'!M78-'минимумы и максимумы'!K$9)/('минимумы и максимумы'!K$10-'минимумы и максимумы'!K$9)*100)</f>
        <v>64.285714285714292</v>
      </c>
      <c r="N78">
        <f>IF('исходные данные'!N78&gt;'минимумы и максимумы'!L$10,100,('исходные данные'!N78-'минимумы и максимумы'!L$9)/('минимумы и максимумы'!L$10-'минимумы и максимумы'!L$9)*100)</f>
        <v>10.574568055491534</v>
      </c>
      <c r="O78">
        <f>IF('исходные данные'!O78&gt;'минимумы и максимумы'!M$10,100,('исходные данные'!O78-'минимумы и максимумы'!M$9)/('минимумы и максимумы'!M$10-'минимумы и максимумы'!M$9)*100)</f>
        <v>100</v>
      </c>
      <c r="P78">
        <f>IF('исходные данные'!P78&gt;'минимумы и максимумы'!N$10,100,('исходные данные'!P78-'минимумы и максимумы'!N$9)/('минимумы и максимумы'!N$10-'минимумы и максимумы'!N$9)*100)</f>
        <v>0</v>
      </c>
      <c r="Q78">
        <f>IF('исходные данные'!Q78&gt;'минимумы и максимумы'!O$10,100,('исходные данные'!Q78-'минимумы и максимумы'!O$9)/('минимумы и максимумы'!O$10-'минимумы и максимумы'!O$9)*100)</f>
        <v>100</v>
      </c>
      <c r="R78">
        <f>IF('исходные данные'!R78&gt;'минимумы и максимумы'!P$10,100,('исходные данные'!R78-'минимумы и максимумы'!P$9)/('минимумы и максимумы'!P$10-'минимумы и максимумы'!P$9)*100)</f>
        <v>100</v>
      </c>
      <c r="S78">
        <f>IF('исходные данные'!S78&gt;'минимумы и максимумы'!Q$10,100,('исходные данные'!S78-'минимумы и максимумы'!Q$9)/('минимумы и максимумы'!Q$10-'минимумы и максимумы'!Q$9)*100)</f>
        <v>50</v>
      </c>
      <c r="T78">
        <f>IF('исходные данные'!T78&gt;'минимумы и максимумы'!R$10,100,('исходные данные'!T78-'минимумы и максимумы'!R$9)/('минимумы и максимумы'!R$10-'минимумы и максимумы'!R$9)*100)</f>
        <v>20.310701956271576</v>
      </c>
      <c r="U78">
        <f>IF('исходные данные'!U78&gt;'минимумы и максимумы'!S$10,100,('исходные данные'!U78-'минимумы и максимумы'!S$9)/('минимумы и максимумы'!S$10-'минимумы и максимумы'!S$9)*100)</f>
        <v>66.666666666666657</v>
      </c>
    </row>
    <row r="79" spans="1:21" x14ac:dyDescent="0.45">
      <c r="A79" s="4">
        <v>134</v>
      </c>
      <c r="B79" s="4">
        <v>0</v>
      </c>
      <c r="C79" s="4">
        <v>0</v>
      </c>
      <c r="D79">
        <f>IF('исходные данные'!D79&gt;'минимумы и максимумы'!B$10,100,('исходные данные'!D79-'минимумы и максимумы'!B$9)/('минимумы и максимумы'!B$10-'минимумы и максимумы'!B$9)*100)</f>
        <v>66.666666666666657</v>
      </c>
      <c r="E79">
        <f>IF('исходные данные'!E79&gt;'минимумы и максимумы'!C$10,100,('исходные данные'!E79-'минимумы и максимумы'!C$9)/('минимумы и максимумы'!C$10-'минимумы и максимумы'!C$9)*100)</f>
        <v>100</v>
      </c>
      <c r="F79">
        <f>IF('исходные данные'!F79&gt;'минимумы и максимумы'!D$10,100,('исходные данные'!F79-'минимумы и максимумы'!D$9)/('минимумы и максимумы'!D$10-'минимумы и максимумы'!D$9)*100)</f>
        <v>33.333333333333329</v>
      </c>
      <c r="G79">
        <f>IF('исходные данные'!G79&gt;'минимумы и максимумы'!E$10,100,('исходные данные'!G79-'минимумы и максимумы'!E$9)/('минимумы и максимумы'!E$10-'минимумы и максимумы'!E$9)*100)</f>
        <v>91.666666666666657</v>
      </c>
      <c r="H79">
        <f>IF('исходные данные'!H79&gt;'минимумы и максимумы'!F$10,100,('исходные данные'!H79-'минимумы и максимумы'!F$9)/('минимумы и максимумы'!F$10-'минимумы и максимумы'!F$9)*100)</f>
        <v>41.379310344827587</v>
      </c>
      <c r="I79">
        <f>IF('исходные данные'!I79&gt;'минимумы и максимумы'!G$10,100,('исходные данные'!I79-'минимумы и максимумы'!G$9)/('минимумы и максимумы'!G$10-'минимумы и максимумы'!G$9)*100)</f>
        <v>100</v>
      </c>
      <c r="J79">
        <f>IF('исходные данные'!J79&gt;'минимумы и максимумы'!H$10,100,('исходные данные'!J79-'минимумы и максимумы'!H$9)/('минимумы и максимумы'!H$10-'минимумы и максимумы'!H$9)*100)</f>
        <v>100</v>
      </c>
      <c r="K79">
        <f>IF('исходные данные'!K79&gt;'минимумы и максимумы'!I$10,100,('исходные данные'!K79-'минимумы и максимумы'!I$9)/('минимумы и максимумы'!I$10-'минимумы и максимумы'!I$9)*100)</f>
        <v>50</v>
      </c>
      <c r="L79">
        <f>IF('исходные данные'!L79&gt;'минимумы и максимумы'!J$10,100,('исходные данные'!L79-'минимумы и максимумы'!J$9)/('минимумы и максимумы'!J$10-'минимумы и максимумы'!J$9)*100)</f>
        <v>35.714285714285715</v>
      </c>
      <c r="M79">
        <f>IF('исходные данные'!M79&gt;'минимумы и максимумы'!K$10,100,('исходные данные'!M79-'минимумы и максимумы'!K$9)/('минимумы и максимумы'!K$10-'минимумы и максимумы'!K$9)*100)</f>
        <v>25</v>
      </c>
      <c r="N79">
        <f>IF('исходные данные'!N79&gt;'минимумы и максимумы'!L$10,100,('исходные данные'!N79-'минимумы и максимумы'!L$9)/('минимумы и максимумы'!L$10-'минимумы и максимумы'!L$9)*100)</f>
        <v>11.793949019176821</v>
      </c>
      <c r="O79">
        <f>IF('исходные данные'!O79&gt;'минимумы и максимумы'!M$10,100,('исходные данные'!O79-'минимумы и максимумы'!M$9)/('минимумы и максимумы'!M$10-'минимумы и максимумы'!M$9)*100)</f>
        <v>66.666666666666657</v>
      </c>
      <c r="P79">
        <f>IF('исходные данные'!P79&gt;'минимумы и максимумы'!N$10,100,('исходные данные'!P79-'минимумы и максимумы'!N$9)/('минимумы и максимумы'!N$10-'минимумы и максимумы'!N$9)*100)</f>
        <v>100</v>
      </c>
      <c r="Q79">
        <f>IF('исходные данные'!Q79&gt;'минимумы и максимумы'!O$10,100,('исходные данные'!Q79-'минимумы и максимумы'!O$9)/('минимумы и максимумы'!O$10-'минимумы и максимумы'!O$9)*100)</f>
        <v>100</v>
      </c>
      <c r="R79">
        <f>IF('исходные данные'!R79&gt;'минимумы и максимумы'!P$10,100,('исходные данные'!R79-'минимумы и максимумы'!P$9)/('минимумы и максимумы'!P$10-'минимумы и максимумы'!P$9)*100)</f>
        <v>100</v>
      </c>
      <c r="S79">
        <f>IF('исходные данные'!S79&gt;'минимумы и максимумы'!Q$10,100,('исходные данные'!S79-'минимумы и максимумы'!Q$9)/('минимумы и максимумы'!Q$10-'минимумы и максимумы'!Q$9)*100)</f>
        <v>33.333333333333329</v>
      </c>
      <c r="T79">
        <f>IF('исходные данные'!T79&gt;'минимумы и максимумы'!R$10,100,('исходные данные'!T79-'минимумы и максимумы'!R$9)/('минимумы и максимумы'!R$10-'минимумы и максимумы'!R$9)*100)</f>
        <v>7.5661680092059838</v>
      </c>
      <c r="U79">
        <f>IF('исходные данные'!U79&gt;'минимумы и максимумы'!S$10,100,('исходные данные'!U79-'минимумы и максимумы'!S$9)/('минимумы и максимумы'!S$10-'минимумы и максимумы'!S$9)*100)</f>
        <v>66.666666666666657</v>
      </c>
    </row>
    <row r="80" spans="1:21" x14ac:dyDescent="0.45">
      <c r="A80" s="4">
        <v>135</v>
      </c>
      <c r="B80" s="4">
        <v>0</v>
      </c>
      <c r="C80" s="4">
        <v>0</v>
      </c>
      <c r="D80">
        <f>IF('исходные данные'!D80&gt;'минимумы и максимумы'!B$10,100,('исходные данные'!D80-'минимумы и максимумы'!B$9)/('минимумы и максимумы'!B$10-'минимумы и максимумы'!B$9)*100)</f>
        <v>77.777777777777786</v>
      </c>
      <c r="E80">
        <f>IF('исходные данные'!E80&gt;'минимумы и максимумы'!C$10,100,('исходные данные'!E80-'минимумы и максимумы'!C$9)/('минимумы и максимумы'!C$10-'минимумы и максимумы'!C$9)*100)</f>
        <v>100</v>
      </c>
      <c r="F80">
        <f>IF('исходные данные'!F80&gt;'минимумы и максимумы'!D$10,100,('исходные данные'!F80-'минимумы и максимумы'!D$9)/('минимумы и максимумы'!D$10-'минимумы и максимумы'!D$9)*100)</f>
        <v>0</v>
      </c>
      <c r="G80">
        <f>IF('исходные данные'!G80&gt;'минимумы и максимумы'!E$10,100,('исходные данные'!G80-'минимумы и максимумы'!E$9)/('минимумы и максимумы'!E$10-'минимумы и максимумы'!E$9)*100)</f>
        <v>100</v>
      </c>
      <c r="H80">
        <f>IF('исходные данные'!H80&gt;'минимумы и максимумы'!F$10,100,('исходные данные'!H80-'минимумы и максимумы'!F$9)/('минимумы и максимумы'!F$10-'минимумы и максимумы'!F$9)*100)</f>
        <v>58.620689655172406</v>
      </c>
      <c r="I80">
        <f>IF('исходные данные'!I80&gt;'минимумы и максимумы'!G$10,100,('исходные данные'!I80-'минимумы и максимумы'!G$9)/('минимумы и максимумы'!G$10-'минимумы и максимумы'!G$9)*100)</f>
        <v>100</v>
      </c>
      <c r="J80">
        <f>IF('исходные данные'!J80&gt;'минимумы и максимумы'!H$10,100,('исходные данные'!J80-'минимумы и максимумы'!H$9)/('минимумы и максимумы'!H$10-'минимумы и максимумы'!H$9)*100)</f>
        <v>100</v>
      </c>
      <c r="K80">
        <f>IF('исходные данные'!K80&gt;'минимумы и максимумы'!I$10,100,('исходные данные'!K80-'минимумы и максимумы'!I$9)/('минимумы и максимумы'!I$10-'минимумы и максимумы'!I$9)*100)</f>
        <v>61.111111111111114</v>
      </c>
      <c r="L80">
        <f>IF('исходные данные'!L80&gt;'минимумы и максимумы'!J$10,100,('исходные данные'!L80-'минимумы и максимумы'!J$9)/('минимумы и максимумы'!J$10-'минимумы и максимумы'!J$9)*100)</f>
        <v>35.714285714285715</v>
      </c>
      <c r="M80">
        <f>IF('исходные данные'!M80&gt;'минимумы и максимумы'!K$10,100,('исходные данные'!M80-'минимумы и максимумы'!K$9)/('минимумы и максимумы'!K$10-'минимумы и максимумы'!K$9)*100)</f>
        <v>39.285714285714285</v>
      </c>
      <c r="N80">
        <f>IF('исходные данные'!N80&gt;'минимумы и максимумы'!L$10,100,('исходные данные'!N80-'минимумы и максимумы'!L$9)/('минимумы и максимумы'!L$10-'минимумы и максимумы'!L$9)*100)</f>
        <v>11.833783517276657</v>
      </c>
      <c r="O80">
        <f>IF('исходные данные'!O80&gt;'минимумы и максимумы'!M$10,100,('исходные данные'!O80-'минимумы и максимумы'!M$9)/('минимумы и максимумы'!M$10-'минимумы и максимумы'!M$9)*100)</f>
        <v>100</v>
      </c>
      <c r="P80">
        <f>IF('исходные данные'!P80&gt;'минимумы и максимумы'!N$10,100,('исходные данные'!P80-'минимумы и максимумы'!N$9)/('минимумы и максимумы'!N$10-'минимумы и максимумы'!N$9)*100)</f>
        <v>100</v>
      </c>
      <c r="Q80">
        <f>IF('исходные данные'!Q80&gt;'минимумы и максимумы'!O$10,100,('исходные данные'!Q80-'минимумы и максимумы'!O$9)/('минимумы и максимумы'!O$10-'минимумы и максимумы'!O$9)*100)</f>
        <v>100</v>
      </c>
      <c r="R80">
        <f>IF('исходные данные'!R80&gt;'минимумы и максимумы'!P$10,100,('исходные данные'!R80-'минимумы и максимумы'!P$9)/('минимумы и максимумы'!P$10-'минимумы и максимумы'!P$9)*100)</f>
        <v>100</v>
      </c>
      <c r="S80">
        <f>IF('исходные данные'!S80&gt;'минимумы и максимумы'!Q$10,100,('исходные данные'!S80-'минимумы и максимумы'!Q$9)/('минимумы и максимумы'!Q$10-'минимумы и максимумы'!Q$9)*100)</f>
        <v>50</v>
      </c>
      <c r="T80">
        <f>IF('исходные данные'!T80&gt;'минимумы и максимумы'!R$10,100,('исходные данные'!T80-'минимумы и максимумы'!R$9)/('минимумы и максимумы'!R$10-'минимумы и максимумы'!R$9)*100)</f>
        <v>3.5960874568469503</v>
      </c>
      <c r="U80">
        <f>IF('исходные данные'!U80&gt;'минимумы и максимумы'!S$10,100,('исходные данные'!U80-'минимумы и максимумы'!S$9)/('минимумы и максимумы'!S$10-'минимумы и максимумы'!S$9)*100)</f>
        <v>0</v>
      </c>
    </row>
    <row r="81" spans="1:21" x14ac:dyDescent="0.45">
      <c r="A81" s="4">
        <v>136</v>
      </c>
      <c r="B81" s="4">
        <v>0</v>
      </c>
      <c r="C81" s="4">
        <v>0</v>
      </c>
      <c r="D81">
        <f>IF('исходные данные'!D81&gt;'минимумы и максимумы'!B$10,100,('исходные данные'!D81-'минимумы и максимумы'!B$9)/('минимумы и максимумы'!B$10-'минимумы и максимумы'!B$9)*100)</f>
        <v>33.333333333333329</v>
      </c>
      <c r="E81">
        <f>IF('исходные данные'!E81&gt;'минимумы и максимумы'!C$10,100,('исходные данные'!E81-'минимумы и максимумы'!C$9)/('минимумы и максимумы'!C$10-'минимумы и максимумы'!C$9)*100)</f>
        <v>100</v>
      </c>
      <c r="F81">
        <f>IF('исходные данные'!F81&gt;'минимумы и максимумы'!D$10,100,('исходные данные'!F81-'минимумы и максимумы'!D$9)/('минимумы и максимумы'!D$10-'минимумы и максимумы'!D$9)*100)</f>
        <v>0</v>
      </c>
      <c r="G81">
        <f>IF('исходные данные'!G81&gt;'минимумы и максимумы'!E$10,100,('исходные данные'!G81-'минимумы и максимумы'!E$9)/('минимумы и максимумы'!E$10-'минимумы и максимумы'!E$9)*100)</f>
        <v>50</v>
      </c>
      <c r="H81">
        <f>IF('исходные данные'!H81&gt;'минимумы и максимумы'!F$10,100,('исходные данные'!H81-'минимумы и максимумы'!F$9)/('минимумы и максимумы'!F$10-'минимумы и максимумы'!F$9)*100)</f>
        <v>31.03448275862069</v>
      </c>
      <c r="I81">
        <f>IF('исходные данные'!I81&gt;'минимумы и максимумы'!G$10,100,('исходные данные'!I81-'минимумы и максимумы'!G$9)/('минимумы и максимумы'!G$10-'минимумы и максимумы'!G$9)*100)</f>
        <v>69.811320754716974</v>
      </c>
      <c r="J81">
        <f>IF('исходные данные'!J81&gt;'минимумы и максимумы'!H$10,100,('исходные данные'!J81-'минимумы и максимумы'!H$9)/('минимумы и максимумы'!H$10-'минимумы и максимумы'!H$9)*100)</f>
        <v>100</v>
      </c>
      <c r="K81">
        <f>IF('исходные данные'!K81&gt;'минимумы и максимумы'!I$10,100,('исходные данные'!K81-'минимумы и максимумы'!I$9)/('минимумы и максимумы'!I$10-'минимумы и максимумы'!I$9)*100)</f>
        <v>50</v>
      </c>
      <c r="L81">
        <f>IF('исходные данные'!L81&gt;'минимумы и максимумы'!J$10,100,('исходные данные'!L81-'минимумы и максимумы'!J$9)/('минимумы и максимумы'!J$10-'минимумы и максимумы'!J$9)*100)</f>
        <v>28.571428571428569</v>
      </c>
      <c r="M81">
        <f>IF('исходные данные'!M81&gt;'минимумы и максимумы'!K$10,100,('исходные данные'!M81-'минимумы и максимумы'!K$9)/('минимумы и максимумы'!K$10-'минимумы и максимумы'!K$9)*100)</f>
        <v>25</v>
      </c>
      <c r="N81">
        <f>IF('исходные данные'!N81&gt;'минимумы и максимумы'!L$10,100,('исходные данные'!N81-'минимумы и максимумы'!L$9)/('минимумы и максимумы'!L$10-'минимумы и максимумы'!L$9)*100)</f>
        <v>15.270677632011104</v>
      </c>
      <c r="O81">
        <f>IF('исходные данные'!O81&gt;'минимумы и максимумы'!M$10,100,('исходные данные'!O81-'минимумы и максимумы'!M$9)/('минимумы и максимумы'!M$10-'минимумы и максимумы'!M$9)*100)</f>
        <v>66.666666666666657</v>
      </c>
      <c r="P81">
        <f>IF('исходные данные'!P81&gt;'минимумы и максимумы'!N$10,100,('исходные данные'!P81-'минимумы и максимумы'!N$9)/('минимумы и максимумы'!N$10-'минимумы и максимумы'!N$9)*100)</f>
        <v>0</v>
      </c>
      <c r="Q81">
        <f>IF('исходные данные'!Q81&gt;'минимумы и максимумы'!O$10,100,('исходные данные'!Q81-'минимумы и максимумы'!O$9)/('минимумы и максимумы'!O$10-'минимумы и максимумы'!O$9)*100)</f>
        <v>0</v>
      </c>
      <c r="R81">
        <f>IF('исходные данные'!R81&gt;'минимумы и максимумы'!P$10,100,('исходные данные'!R81-'минимумы и максимумы'!P$9)/('минимумы и максимумы'!P$10-'минимумы и максимумы'!P$9)*100)</f>
        <v>75</v>
      </c>
      <c r="S81">
        <f>IF('исходные данные'!S81&gt;'минимумы и максимумы'!Q$10,100,('исходные данные'!S81-'минимумы и максимумы'!Q$9)/('минимумы и максимумы'!Q$10-'минимумы и максимумы'!Q$9)*100)</f>
        <v>83.333333333333343</v>
      </c>
      <c r="T81">
        <f>IF('исходные данные'!T81&gt;'минимумы и максимумы'!R$10,100,('исходные данные'!T81-'минимумы и максимумы'!R$9)/('минимумы и максимумы'!R$10-'минимумы и максимумы'!R$9)*100)</f>
        <v>32.479861910241659</v>
      </c>
      <c r="U81">
        <f>IF('исходные данные'!U81&gt;'минимумы и максимумы'!S$10,100,('исходные данные'!U81-'минимумы и максимумы'!S$9)/('минимумы и максимумы'!S$10-'минимумы и максимумы'!S$9)*100)</f>
        <v>33.333333333333329</v>
      </c>
    </row>
    <row r="82" spans="1:21" x14ac:dyDescent="0.45">
      <c r="A82" s="4">
        <v>139</v>
      </c>
      <c r="B82" s="4">
        <v>0</v>
      </c>
      <c r="C82" s="4">
        <v>0</v>
      </c>
      <c r="D82">
        <f>IF('исходные данные'!D82&gt;'минимумы и максимумы'!B$10,100,('исходные данные'!D82-'минимумы и максимумы'!B$9)/('минимумы и максимумы'!B$10-'минимумы и максимумы'!B$9)*100)</f>
        <v>33.333333333333329</v>
      </c>
      <c r="E82">
        <f>IF('исходные данные'!E82&gt;'минимумы и максимумы'!C$10,100,('исходные данные'!E82-'минимумы и максимумы'!C$9)/('минимумы и максимумы'!C$10-'минимумы и максимумы'!C$9)*100)</f>
        <v>70</v>
      </c>
      <c r="F82">
        <f>IF('исходные данные'!F82&gt;'минимумы и максимумы'!D$10,100,('исходные данные'!F82-'минимумы и максимумы'!D$9)/('минимумы и максимумы'!D$10-'минимумы и максимумы'!D$9)*100)</f>
        <v>66.666666666666657</v>
      </c>
      <c r="G82">
        <f>IF('исходные данные'!G82&gt;'минимумы и максимумы'!E$10,100,('исходные данные'!G82-'минимумы и максимумы'!E$9)/('минимумы и максимумы'!E$10-'минимумы и максимумы'!E$9)*100)</f>
        <v>41.666666666666671</v>
      </c>
      <c r="H82">
        <f>IF('исходные данные'!H82&gt;'минимумы и максимумы'!F$10,100,('исходные данные'!H82-'минимумы и максимумы'!F$9)/('минимумы и максимумы'!F$10-'минимумы и максимумы'!F$9)*100)</f>
        <v>20.689655172413794</v>
      </c>
      <c r="I82">
        <f>IF('исходные данные'!I82&gt;'минимумы и максимумы'!G$10,100,('исходные данные'!I82-'минимумы и максимумы'!G$9)/('минимумы и максимумы'!G$10-'минимумы и максимумы'!G$9)*100)</f>
        <v>43.39622641509434</v>
      </c>
      <c r="J82">
        <f>IF('исходные данные'!J82&gt;'минимумы и максимумы'!H$10,100,('исходные данные'!J82-'минимумы и максимумы'!H$9)/('минимумы и максимумы'!H$10-'минимумы и максимумы'!H$9)*100)</f>
        <v>26.666666666666668</v>
      </c>
      <c r="K82">
        <f>IF('исходные данные'!K82&gt;'минимумы и максимумы'!I$10,100,('исходные данные'!K82-'минимумы и максимумы'!I$9)/('минимумы и максимумы'!I$10-'минимумы и максимумы'!I$9)*100)</f>
        <v>22.222222222222221</v>
      </c>
      <c r="L82">
        <f>IF('исходные данные'!L82&gt;'минимумы и максимумы'!J$10,100,('исходные данные'!L82-'минимумы и максимумы'!J$9)/('минимумы и максимумы'!J$10-'минимумы и максимумы'!J$9)*100)</f>
        <v>28.571428571428569</v>
      </c>
      <c r="M82">
        <f>IF('исходные данные'!M82&gt;'минимумы и максимумы'!K$10,100,('исходные данные'!M82-'минимумы и максимумы'!K$9)/('минимумы и максимумы'!K$10-'минимумы и максимумы'!K$9)*100)</f>
        <v>39.285714285714285</v>
      </c>
      <c r="N82">
        <f>IF('исходные данные'!N82&gt;'минимумы и максимумы'!L$10,100,('исходные данные'!N82-'минимумы и максимумы'!L$9)/('минимумы и максимумы'!L$10-'минимумы и максимумы'!L$9)*100)</f>
        <v>17.794838689854583</v>
      </c>
      <c r="O82">
        <f>IF('исходные данные'!O82&gt;'минимумы и максимумы'!M$10,100,('исходные данные'!O82-'минимумы и максимумы'!M$9)/('минимумы и максимумы'!M$10-'минимумы и максимумы'!M$9)*100)</f>
        <v>100</v>
      </c>
      <c r="P82">
        <f>IF('исходные данные'!P82&gt;'минимумы и максимумы'!N$10,100,('исходные данные'!P82-'минимумы и максимумы'!N$9)/('минимумы и максимумы'!N$10-'минимумы и максимумы'!N$9)*100)</f>
        <v>0</v>
      </c>
      <c r="Q82">
        <f>IF('исходные данные'!Q82&gt;'минимумы и максимумы'!O$10,100,('исходные данные'!Q82-'минимумы и максимумы'!O$9)/('минимумы и максимумы'!O$10-'минимумы и максимумы'!O$9)*100)</f>
        <v>100</v>
      </c>
      <c r="R82">
        <f>IF('исходные данные'!R82&gt;'минимумы и максимумы'!P$10,100,('исходные данные'!R82-'минимумы и максимумы'!P$9)/('минимумы и максимумы'!P$10-'минимумы и максимумы'!P$9)*100)</f>
        <v>100</v>
      </c>
      <c r="S82">
        <f>IF('исходные данные'!S82&gt;'минимумы и максимумы'!Q$10,100,('исходные данные'!S82-'минимумы и максимумы'!Q$9)/('минимумы и максимумы'!Q$10-'минимумы и максимумы'!Q$9)*100)</f>
        <v>33.333333333333329</v>
      </c>
      <c r="T82">
        <f>IF('исходные данные'!T82&gt;'минимумы и максимумы'!R$10,100,('исходные данные'!T82-'минимумы и максимумы'!R$9)/('минимумы и максимумы'!R$10-'минимумы и максимумы'!R$9)*100)</f>
        <v>22.094361334867664</v>
      </c>
      <c r="U82">
        <f>IF('исходные данные'!U82&gt;'минимумы и максимумы'!S$10,100,('исходные данные'!U82-'минимумы и максимумы'!S$9)/('минимумы и максимумы'!S$10-'минимумы и максимумы'!S$9)*100)</f>
        <v>0</v>
      </c>
    </row>
    <row r="83" spans="1:21" x14ac:dyDescent="0.45">
      <c r="A83" s="4">
        <v>140</v>
      </c>
      <c r="B83" s="4">
        <v>0</v>
      </c>
      <c r="C83" s="4">
        <v>0</v>
      </c>
      <c r="D83">
        <f>IF('исходные данные'!D83&gt;'минимумы и максимумы'!B$10,100,('исходные данные'!D83-'минимумы и максимумы'!B$9)/('минимумы и максимумы'!B$10-'минимумы и максимумы'!B$9)*100)</f>
        <v>33.333333333333329</v>
      </c>
      <c r="E83">
        <f>IF('исходные данные'!E83&gt;'минимумы и максимумы'!C$10,100,('исходные данные'!E83-'минимумы и максимумы'!C$9)/('минимумы и максимумы'!C$10-'минимумы и максимумы'!C$9)*100)</f>
        <v>70</v>
      </c>
      <c r="F83">
        <f>IF('исходные данные'!F83&gt;'минимумы и максимумы'!D$10,100,('исходные данные'!F83-'минимумы и максимумы'!D$9)/('минимумы и максимумы'!D$10-'минимумы и максимумы'!D$9)*100)</f>
        <v>66.666666666666657</v>
      </c>
      <c r="G83">
        <f>IF('исходные данные'!G83&gt;'минимумы и максимумы'!E$10,100,('исходные данные'!G83-'минимумы и максимумы'!E$9)/('минимумы и максимумы'!E$10-'минимумы и максимумы'!E$9)*100)</f>
        <v>41.666666666666671</v>
      </c>
      <c r="H83">
        <f>IF('исходные данные'!H83&gt;'минимумы и максимумы'!F$10,100,('исходные данные'!H83-'минимумы и максимумы'!F$9)/('минимумы и максимумы'!F$10-'минимумы и максимумы'!F$9)*100)</f>
        <v>20.689655172413794</v>
      </c>
      <c r="I83">
        <f>IF('исходные данные'!I83&gt;'минимумы и максимумы'!G$10,100,('исходные данные'!I83-'минимумы и максимумы'!G$9)/('минимумы и максимумы'!G$10-'минимумы и максимумы'!G$9)*100)</f>
        <v>43.39622641509434</v>
      </c>
      <c r="J83">
        <f>IF('исходные данные'!J83&gt;'минимумы и максимумы'!H$10,100,('исходные данные'!J83-'минимумы и максимумы'!H$9)/('минимумы и максимумы'!H$10-'минимумы и максимумы'!H$9)*100)</f>
        <v>26.666666666666668</v>
      </c>
      <c r="K83">
        <f>IF('исходные данные'!K83&gt;'минимумы и максимумы'!I$10,100,('исходные данные'!K83-'минимумы и максимумы'!I$9)/('минимумы и максимумы'!I$10-'минимумы и максимумы'!I$9)*100)</f>
        <v>22.222222222222221</v>
      </c>
      <c r="L83">
        <f>IF('исходные данные'!L83&gt;'минимумы и максимумы'!J$10,100,('исходные данные'!L83-'минимумы и максимумы'!J$9)/('минимумы и максимумы'!J$10-'минимумы и максимумы'!J$9)*100)</f>
        <v>28.571428571428569</v>
      </c>
      <c r="M83">
        <f>IF('исходные данные'!M83&gt;'минимумы и максимумы'!K$10,100,('исходные данные'!M83-'минимумы и максимумы'!K$9)/('минимумы и максимумы'!K$10-'минимумы и максимумы'!K$9)*100)</f>
        <v>39.285714285714285</v>
      </c>
      <c r="N83">
        <f>IF('исходные данные'!N83&gt;'минимумы и максимумы'!L$10,100,('исходные данные'!N83-'минимумы и максимумы'!L$9)/('минимумы и максимумы'!L$10-'минимумы и максимумы'!L$9)*100)</f>
        <v>18.249550762620771</v>
      </c>
      <c r="O83">
        <f>IF('исходные данные'!O83&gt;'минимумы и максимумы'!M$10,100,('исходные данные'!O83-'минимумы и максимумы'!M$9)/('минимумы и максимумы'!M$10-'минимумы и максимумы'!M$9)*100)</f>
        <v>66.666666666666657</v>
      </c>
      <c r="P83">
        <f>IF('исходные данные'!P83&gt;'минимумы и максимумы'!N$10,100,('исходные данные'!P83-'минимумы и максимумы'!N$9)/('минимумы и максимумы'!N$10-'минимумы и максимумы'!N$9)*100)</f>
        <v>0</v>
      </c>
      <c r="Q83">
        <f>IF('исходные данные'!Q83&gt;'минимумы и максимумы'!O$10,100,('исходные данные'!Q83-'минимумы и максимумы'!O$9)/('минимумы и максимумы'!O$10-'минимумы и максимумы'!O$9)*100)</f>
        <v>100</v>
      </c>
      <c r="R83">
        <f>IF('исходные данные'!R83&gt;'минимумы и максимумы'!P$10,100,('исходные данные'!R83-'минимумы и максимумы'!P$9)/('минимумы и максимумы'!P$10-'минимумы и максимумы'!P$9)*100)</f>
        <v>75</v>
      </c>
      <c r="S83">
        <f>IF('исходные данные'!S83&gt;'минимумы и максимумы'!Q$10,100,('исходные данные'!S83-'минимумы и максимумы'!Q$9)/('минимумы и максимумы'!Q$10-'минимумы и максимумы'!Q$9)*100)</f>
        <v>16.666666666666664</v>
      </c>
      <c r="T83">
        <f>IF('исходные данные'!T83&gt;'минимумы и максимумы'!R$10,100,('исходные данные'!T83-'минимумы и максимумы'!R$9)/('минимумы и максимумы'!R$10-'минимумы и максимумы'!R$9)*100)</f>
        <v>44.99424626006904</v>
      </c>
      <c r="U83">
        <f>IF('исходные данные'!U83&gt;'минимумы и максимумы'!S$10,100,('исходные данные'!U83-'минимумы и максимумы'!S$9)/('минимумы и максимумы'!S$10-'минимумы и максимумы'!S$9)*100)</f>
        <v>66.666666666666657</v>
      </c>
    </row>
    <row r="84" spans="1:21" x14ac:dyDescent="0.45">
      <c r="A84" s="4">
        <v>141</v>
      </c>
      <c r="B84" s="4">
        <v>0</v>
      </c>
      <c r="C84" s="4">
        <v>0</v>
      </c>
      <c r="D84">
        <f>IF('исходные данные'!D84&gt;'минимумы и максимумы'!B$10,100,('исходные данные'!D84-'минимумы и максимумы'!B$9)/('минимумы и максимумы'!B$10-'минимумы и максимумы'!B$9)*100)</f>
        <v>55.555555555555557</v>
      </c>
      <c r="E84">
        <f>IF('исходные данные'!E84&gt;'минимумы и максимумы'!C$10,100,('исходные данные'!E84-'минимумы и максимумы'!C$9)/('минимумы и максимумы'!C$10-'минимумы и максимумы'!C$9)*100)</f>
        <v>90</v>
      </c>
      <c r="F84">
        <f>IF('исходные данные'!F84&gt;'минимумы и максимумы'!D$10,100,('исходные данные'!F84-'минимумы и максимумы'!D$9)/('минимумы и максимумы'!D$10-'минимумы и максимумы'!D$9)*100)</f>
        <v>0</v>
      </c>
      <c r="G84">
        <f>IF('исходные данные'!G84&gt;'минимумы и максимумы'!E$10,100,('исходные данные'!G84-'минимумы и максимумы'!E$9)/('минимумы и максимумы'!E$10-'минимумы и максимумы'!E$9)*100)</f>
        <v>54.166666666666664</v>
      </c>
      <c r="H84">
        <f>IF('исходные данные'!H84&gt;'минимумы и максимумы'!F$10,100,('исходные данные'!H84-'минимумы и максимумы'!F$9)/('минимумы и максимумы'!F$10-'минимумы и максимумы'!F$9)*100)</f>
        <v>44.827586206896555</v>
      </c>
      <c r="I84">
        <f>IF('исходные данные'!I84&gt;'минимумы и максимумы'!G$10,100,('исходные данные'!I84-'минимумы и максимумы'!G$9)/('минимумы и максимумы'!G$10-'минимумы и максимумы'!G$9)*100)</f>
        <v>50.943396226415096</v>
      </c>
      <c r="J84">
        <f>IF('исходные данные'!J84&gt;'минимумы и максимумы'!H$10,100,('исходные данные'!J84-'минимумы и максимумы'!H$9)/('минимумы и максимумы'!H$10-'минимумы и максимумы'!H$9)*100)</f>
        <v>53.333333333333336</v>
      </c>
      <c r="K84">
        <f>IF('исходные данные'!K84&gt;'минимумы и максимумы'!I$10,100,('исходные данные'!K84-'минимумы и максимумы'!I$9)/('минимумы и максимумы'!I$10-'минимумы и максимумы'!I$9)*100)</f>
        <v>16.666666666666664</v>
      </c>
      <c r="L84">
        <f>IF('исходные данные'!L84&gt;'минимумы и максимумы'!J$10,100,('исходные данные'!L84-'минимумы и максимумы'!J$9)/('минимумы и максимумы'!J$10-'минимумы и максимумы'!J$9)*100)</f>
        <v>21.428571428571427</v>
      </c>
      <c r="M84">
        <f>IF('исходные данные'!M84&gt;'минимумы и максимумы'!K$10,100,('исходные данные'!M84-'минимумы и максимумы'!K$9)/('минимумы и максимумы'!K$10-'минимумы и максимумы'!K$9)*100)</f>
        <v>39.285714285714285</v>
      </c>
      <c r="N84">
        <f>IF('исходные данные'!N84&gt;'минимумы и максимумы'!L$10,100,('исходные данные'!N84-'минимумы и максимумы'!L$9)/('минимумы и максимумы'!L$10-'минимумы и максимумы'!L$9)*100)</f>
        <v>16.875925333706064</v>
      </c>
      <c r="O84">
        <f>IF('исходные данные'!O84&gt;'минимумы и максимумы'!M$10,100,('исходные данные'!O84-'минимумы и максимумы'!M$9)/('минимумы и максимумы'!M$10-'минимумы и максимумы'!M$9)*100)</f>
        <v>100</v>
      </c>
      <c r="P84">
        <f>IF('исходные данные'!P84&gt;'минимумы и максимумы'!N$10,100,('исходные данные'!P84-'минимумы и максимумы'!N$9)/('минимумы и максимумы'!N$10-'минимумы и максимумы'!N$9)*100)</f>
        <v>100</v>
      </c>
      <c r="Q84">
        <f>IF('исходные данные'!Q84&gt;'минимумы и максимумы'!O$10,100,('исходные данные'!Q84-'минимумы и максимумы'!O$9)/('минимумы и максимумы'!O$10-'минимумы и максимумы'!O$9)*100)</f>
        <v>100</v>
      </c>
      <c r="R84">
        <f>IF('исходные данные'!R84&gt;'минимумы и максимумы'!P$10,100,('исходные данные'!R84-'минимумы и максимумы'!P$9)/('минимумы и максимумы'!P$10-'минимумы и максимумы'!P$9)*100)</f>
        <v>100</v>
      </c>
      <c r="S84">
        <f>IF('исходные данные'!S84&gt;'минимумы и максимумы'!Q$10,100,('исходные данные'!S84-'минимумы и максимумы'!Q$9)/('минимумы и максимумы'!Q$10-'минимумы и максимумы'!Q$9)*100)</f>
        <v>50</v>
      </c>
      <c r="T84">
        <f>IF('исходные данные'!T84&gt;'минимумы и максимумы'!R$10,100,('исходные данные'!T84-'минимумы и максимумы'!R$9)/('минимумы и максимумы'!R$10-'минимумы и максимумы'!R$9)*100)</f>
        <v>28.624856156501728</v>
      </c>
      <c r="U84">
        <f>IF('исходные данные'!U84&gt;'минимумы и максимумы'!S$10,100,('исходные данные'!U84-'минимумы и максимумы'!S$9)/('минимумы и максимумы'!S$10-'минимумы и максимумы'!S$9)*100)</f>
        <v>0</v>
      </c>
    </row>
    <row r="85" spans="1:21" x14ac:dyDescent="0.45">
      <c r="A85" s="4">
        <v>142</v>
      </c>
      <c r="B85" s="4">
        <v>0</v>
      </c>
      <c r="C85" s="4">
        <v>0</v>
      </c>
      <c r="D85">
        <f>IF('исходные данные'!D85&gt;'минимумы и максимумы'!B$10,100,('исходные данные'!D85-'минимумы и максимумы'!B$9)/('минимумы и максимумы'!B$10-'минимумы и максимумы'!B$9)*100)</f>
        <v>33.333333333333329</v>
      </c>
      <c r="E85">
        <f>IF('исходные данные'!E85&gt;'минимумы и максимумы'!C$10,100,('исходные данные'!E85-'минимумы и максимумы'!C$9)/('минимумы и максимумы'!C$10-'минимумы и максимумы'!C$9)*100)</f>
        <v>60</v>
      </c>
      <c r="F85">
        <f>IF('исходные данные'!F85&gt;'минимумы и максимумы'!D$10,100,('исходные данные'!F85-'минимумы и максимумы'!D$9)/('минимумы и максимумы'!D$10-'минимумы и максимумы'!D$9)*100)</f>
        <v>33.333333333333329</v>
      </c>
      <c r="G85">
        <f>IF('исходные данные'!G85&gt;'минимумы и максимумы'!E$10,100,('исходные данные'!G85-'минимумы и максимумы'!E$9)/('минимумы и максимумы'!E$10-'минимумы и максимумы'!E$9)*100)</f>
        <v>37.5</v>
      </c>
      <c r="H85">
        <f>IF('исходные данные'!H85&gt;'минимумы и максимумы'!F$10,100,('исходные данные'!H85-'минимумы и максимумы'!F$9)/('минимумы и максимумы'!F$10-'минимумы и максимумы'!F$9)*100)</f>
        <v>37.931034482758619</v>
      </c>
      <c r="I85">
        <f>IF('исходные данные'!I85&gt;'минимумы и максимумы'!G$10,100,('исходные данные'!I85-'минимумы и максимумы'!G$9)/('минимумы и максимумы'!G$10-'минимумы и максимумы'!G$9)*100)</f>
        <v>37.735849056603776</v>
      </c>
      <c r="J85">
        <f>IF('исходные данные'!J85&gt;'минимумы и максимумы'!H$10,100,('исходные данные'!J85-'минимумы и максимумы'!H$9)/('минимумы и максимумы'!H$10-'минимумы и максимумы'!H$9)*100)</f>
        <v>33.333333333333329</v>
      </c>
      <c r="K85">
        <f>IF('исходные данные'!K85&gt;'минимумы и максимумы'!I$10,100,('исходные данные'!K85-'минимумы и максимумы'!I$9)/('минимумы и максимумы'!I$10-'минимумы и максимумы'!I$9)*100)</f>
        <v>44.444444444444443</v>
      </c>
      <c r="L85">
        <f>IF('исходные данные'!L85&gt;'минимумы и максимумы'!J$10,100,('исходные данные'!L85-'минимумы и максимумы'!J$9)/('минимумы и максимумы'!J$10-'минимумы и максимумы'!J$9)*100)</f>
        <v>21.428571428571427</v>
      </c>
      <c r="M85">
        <f>IF('исходные данные'!M85&gt;'минимумы и максимумы'!K$10,100,('исходные данные'!M85-'минимумы и максимумы'!K$9)/('минимумы и максимумы'!K$10-'минимумы и максимумы'!K$9)*100)</f>
        <v>46.428571428571431</v>
      </c>
      <c r="N85">
        <f>IF('исходные данные'!N85&gt;'минимумы и максимумы'!L$10,100,('исходные данные'!N85-'минимумы и максимумы'!L$9)/('минимумы и максимумы'!L$10-'минимумы и максимумы'!L$9)*100)</f>
        <v>17.030950579590577</v>
      </c>
      <c r="O85">
        <f>IF('исходные данные'!O85&gt;'минимумы и максимумы'!M$10,100,('исходные данные'!O85-'минимумы и максимумы'!M$9)/('минимумы и максимумы'!M$10-'минимумы и максимумы'!M$9)*100)</f>
        <v>100</v>
      </c>
      <c r="P85">
        <f>IF('исходные данные'!P85&gt;'минимумы и максимумы'!N$10,100,('исходные данные'!P85-'минимумы и максимумы'!N$9)/('минимумы и максимумы'!N$10-'минимумы и максимумы'!N$9)*100)</f>
        <v>0</v>
      </c>
      <c r="Q85">
        <f>IF('исходные данные'!Q85&gt;'минимумы и максимумы'!O$10,100,('исходные данные'!Q85-'минимумы и максимумы'!O$9)/('минимумы и максимумы'!O$10-'минимумы и максимумы'!O$9)*100)</f>
        <v>100</v>
      </c>
      <c r="R85">
        <f>IF('исходные данные'!R85&gt;'минимумы и максимумы'!P$10,100,('исходные данные'!R85-'минимумы и максимумы'!P$9)/('минимумы и максимумы'!P$10-'минимумы и максимумы'!P$9)*100)</f>
        <v>100</v>
      </c>
      <c r="S85">
        <f>IF('исходные данные'!S85&gt;'минимумы и максимумы'!Q$10,100,('исходные данные'!S85-'минимумы и максимумы'!Q$9)/('минимумы и максимумы'!Q$10-'минимумы и максимумы'!Q$9)*100)</f>
        <v>83.333333333333343</v>
      </c>
      <c r="T85">
        <f>IF('исходные данные'!T85&gt;'минимумы и максимумы'!R$10,100,('исходные данные'!T85-'минимумы и максимумы'!R$9)/('минимумы и максимумы'!R$10-'минимумы и максимумы'!R$9)*100)</f>
        <v>17.433831990794015</v>
      </c>
      <c r="U85">
        <f>IF('исходные данные'!U85&gt;'минимумы и максимумы'!S$10,100,('исходные данные'!U85-'минимумы и максимумы'!S$9)/('минимумы и максимумы'!S$10-'минимумы и максимумы'!S$9)*100)</f>
        <v>66.666666666666657</v>
      </c>
    </row>
    <row r="86" spans="1:21" x14ac:dyDescent="0.45">
      <c r="A86" s="4">
        <v>143</v>
      </c>
      <c r="B86" s="4">
        <v>0</v>
      </c>
      <c r="C86" s="4">
        <v>0</v>
      </c>
      <c r="D86">
        <f>IF('исходные данные'!D86&gt;'минимумы и максимумы'!B$10,100,('исходные данные'!D86-'минимумы и максимумы'!B$9)/('минимумы и максимумы'!B$10-'минимумы и максимумы'!B$9)*100)</f>
        <v>55.555555555555557</v>
      </c>
      <c r="E86">
        <f>IF('исходные данные'!E86&gt;'минимумы и максимумы'!C$10,100,('исходные данные'!E86-'минимумы и максимумы'!C$9)/('минимумы и максимумы'!C$10-'минимумы и максимумы'!C$9)*100)</f>
        <v>100</v>
      </c>
      <c r="F86">
        <f>IF('исходные данные'!F86&gt;'минимумы и максимумы'!D$10,100,('исходные данные'!F86-'минимумы и максимумы'!D$9)/('минимумы и максимумы'!D$10-'минимумы и максимумы'!D$9)*100)</f>
        <v>0</v>
      </c>
      <c r="G86">
        <f>IF('исходные данные'!G86&gt;'минимумы и максимумы'!E$10,100,('исходные данные'!G86-'минимумы и максимумы'!E$9)/('минимумы и максимумы'!E$10-'минимумы и максимумы'!E$9)*100)</f>
        <v>87.5</v>
      </c>
      <c r="H86">
        <f>IF('исходные данные'!H86&gt;'минимумы и максимумы'!F$10,100,('исходные данные'!H86-'минимумы и максимумы'!F$9)/('минимумы и максимумы'!F$10-'минимумы и максимумы'!F$9)*100)</f>
        <v>48.275862068965516</v>
      </c>
      <c r="I86">
        <f>IF('исходные данные'!I86&gt;'минимумы и максимумы'!G$10,100,('исходные данные'!I86-'минимумы и максимумы'!G$9)/('минимумы и максимумы'!G$10-'минимумы и максимумы'!G$9)*100)</f>
        <v>92.452830188679243</v>
      </c>
      <c r="J86">
        <f>IF('исходные данные'!J86&gt;'минимумы и максимумы'!H$10,100,('исходные данные'!J86-'минимумы и максимумы'!H$9)/('минимумы и максимумы'!H$10-'минимумы и максимумы'!H$9)*100)</f>
        <v>100</v>
      </c>
      <c r="K86">
        <f>IF('исходные данные'!K86&gt;'минимумы и максимумы'!I$10,100,('исходные данные'!K86-'минимумы и максимумы'!I$9)/('минимумы и максимумы'!I$10-'минимумы и максимумы'!I$9)*100)</f>
        <v>33.333333333333329</v>
      </c>
      <c r="L86">
        <f>IF('исходные данные'!L86&gt;'минимумы и максимумы'!J$10,100,('исходные данные'!L86-'минимумы и максимумы'!J$9)/('минимумы и максимумы'!J$10-'минимумы и максимумы'!J$9)*100)</f>
        <v>28.571428571428569</v>
      </c>
      <c r="M86">
        <f>IF('исходные данные'!M86&gt;'минимумы и максимумы'!K$10,100,('исходные данные'!M86-'минимумы и максимумы'!K$9)/('минимумы и максимумы'!K$10-'минимумы и максимумы'!K$9)*100)</f>
        <v>42.857142857142854</v>
      </c>
      <c r="N86">
        <f>IF('исходные данные'!N86&gt;'минимумы и максимумы'!L$10,100,('исходные данные'!N86-'минимумы и максимумы'!L$9)/('минимумы и максимумы'!L$10-'минимумы и максимумы'!L$9)*100)</f>
        <v>15.008328284929989</v>
      </c>
      <c r="O86">
        <f>IF('исходные данные'!O86&gt;'минимумы и максимумы'!M$10,100,('исходные данные'!O86-'минимумы и максимумы'!M$9)/('минимумы и максимумы'!M$10-'минимумы и максимумы'!M$9)*100)</f>
        <v>100</v>
      </c>
      <c r="P86">
        <f>IF('исходные данные'!P86&gt;'минимумы и максимумы'!N$10,100,('исходные данные'!P86-'минимумы и максимумы'!N$9)/('минимумы и максимумы'!N$10-'минимумы и максимумы'!N$9)*100)</f>
        <v>0</v>
      </c>
      <c r="Q86">
        <f>IF('исходные данные'!Q86&gt;'минимумы и максимумы'!O$10,100,('исходные данные'!Q86-'минимумы и максимумы'!O$9)/('минимумы и максимумы'!O$10-'минимумы и максимумы'!O$9)*100)</f>
        <v>100</v>
      </c>
      <c r="R86">
        <f>IF('исходные данные'!R86&gt;'минимумы и максимумы'!P$10,100,('исходные данные'!R86-'минимумы и максимумы'!P$9)/('минимумы и максимумы'!P$10-'минимумы и максимумы'!P$9)*100)</f>
        <v>100</v>
      </c>
      <c r="S86">
        <f>IF('исходные данные'!S86&gt;'минимумы и максимумы'!Q$10,100,('исходные данные'!S86-'минимумы и максимумы'!Q$9)/('минимумы и максимумы'!Q$10-'минимумы и максимумы'!Q$9)*100)</f>
        <v>66.666666666666657</v>
      </c>
      <c r="T86">
        <f>IF('исходные данные'!T86&gt;'минимумы и максимумы'!R$10,100,('исходные данные'!T86-'минимумы и максимумы'!R$9)/('минимумы и максимумы'!R$10-'минимумы и максимумы'!R$9)*100)</f>
        <v>8.57307249712313</v>
      </c>
      <c r="U86">
        <f>IF('исходные данные'!U86&gt;'минимумы и максимумы'!S$10,100,('исходные данные'!U86-'минимумы и максимумы'!S$9)/('минимумы и максимумы'!S$10-'минимумы и максимумы'!S$9)*100)</f>
        <v>0</v>
      </c>
    </row>
    <row r="87" spans="1:21" x14ac:dyDescent="0.45">
      <c r="A87" s="4">
        <v>144</v>
      </c>
      <c r="B87" s="4">
        <v>0</v>
      </c>
      <c r="C87" s="4">
        <v>0</v>
      </c>
      <c r="D87">
        <f>IF('исходные данные'!D87&gt;'минимумы и максимумы'!B$10,100,('исходные данные'!D87-'минимумы и максимумы'!B$9)/('минимумы и максимумы'!B$10-'минимумы и максимумы'!B$9)*100)</f>
        <v>44.444444444444443</v>
      </c>
      <c r="E87">
        <f>IF('исходные данные'!E87&gt;'минимумы и максимумы'!C$10,100,('исходные данные'!E87-'минимумы и максимумы'!C$9)/('минимумы и максимумы'!C$10-'минимумы и максимумы'!C$9)*100)</f>
        <v>70</v>
      </c>
      <c r="F87">
        <f>IF('исходные данные'!F87&gt;'минимумы и максимумы'!D$10,100,('исходные данные'!F87-'минимумы и максимумы'!D$9)/('минимумы и максимумы'!D$10-'минимумы и максимумы'!D$9)*100)</f>
        <v>33.333333333333329</v>
      </c>
      <c r="G87">
        <f>IF('исходные данные'!G87&gt;'минимумы и максимумы'!E$10,100,('исходные данные'!G87-'минимумы и максимумы'!E$9)/('минимумы и максимумы'!E$10-'минимумы и максимумы'!E$9)*100)</f>
        <v>29.166666666666668</v>
      </c>
      <c r="H87">
        <f>IF('исходные данные'!H87&gt;'минимумы и максимумы'!F$10,100,('исходные данные'!H87-'минимумы и максимумы'!F$9)/('минимумы и максимумы'!F$10-'минимумы и максимумы'!F$9)*100)</f>
        <v>41.379310344827587</v>
      </c>
      <c r="I87">
        <f>IF('исходные данные'!I87&gt;'минимумы и максимумы'!G$10,100,('исходные данные'!I87-'минимумы и максимумы'!G$9)/('минимумы и максимумы'!G$10-'минимумы и максимумы'!G$9)*100)</f>
        <v>28.30188679245283</v>
      </c>
      <c r="J87">
        <f>IF('исходные данные'!J87&gt;'минимумы и максимумы'!H$10,100,('исходные данные'!J87-'минимумы и максимумы'!H$9)/('минимумы и максимумы'!H$10-'минимумы и максимумы'!H$9)*100)</f>
        <v>20</v>
      </c>
      <c r="K87">
        <f>IF('исходные данные'!K87&gt;'минимумы и максимумы'!I$10,100,('исходные данные'!K87-'минимумы и максимумы'!I$9)/('минимумы и максимумы'!I$10-'минимумы и максимумы'!I$9)*100)</f>
        <v>44.444444444444443</v>
      </c>
      <c r="L87">
        <f>IF('исходные данные'!L87&gt;'минимумы и максимумы'!J$10,100,('исходные данные'!L87-'минимумы и максимумы'!J$9)/('минимумы и максимумы'!J$10-'минимумы и максимумы'!J$9)*100)</f>
        <v>14.285714285714285</v>
      </c>
      <c r="M87">
        <f>IF('исходные данные'!M87&gt;'минимумы и максимумы'!K$10,100,('исходные данные'!M87-'минимумы и максимумы'!K$9)/('минимумы и максимумы'!K$10-'минимумы и максимумы'!K$9)*100)</f>
        <v>42.857142857142854</v>
      </c>
      <c r="N87">
        <f>IF('исходные данные'!N87&gt;'минимумы и максимумы'!L$10,100,('исходные данные'!N87-'минимумы и максимумы'!L$9)/('минимумы и максимумы'!L$10-'минимумы и максимумы'!L$9)*100)</f>
        <v>18.055063692654809</v>
      </c>
      <c r="O87">
        <f>IF('исходные данные'!O87&gt;'минимумы и максимумы'!M$10,100,('исходные данные'!O87-'минимумы и максимумы'!M$9)/('минимумы и максимумы'!M$10-'минимумы и максимумы'!M$9)*100)</f>
        <v>33.333333333333329</v>
      </c>
      <c r="P87">
        <f>IF('исходные данные'!P87&gt;'минимумы и максимумы'!N$10,100,('исходные данные'!P87-'минимумы и максимумы'!N$9)/('минимумы и максимумы'!N$10-'минимумы и максимумы'!N$9)*100)</f>
        <v>0</v>
      </c>
      <c r="Q87">
        <f>IF('исходные данные'!Q87&gt;'минимумы и максимумы'!O$10,100,('исходные данные'!Q87-'минимумы и максимумы'!O$9)/('минимумы и максимумы'!O$10-'минимумы и максимумы'!O$9)*100)</f>
        <v>0</v>
      </c>
      <c r="R87">
        <f>IF('исходные данные'!R87&gt;'минимумы и максимумы'!P$10,100,('исходные данные'!R87-'минимумы и максимумы'!P$9)/('минимумы и максимумы'!P$10-'минимумы и максимумы'!P$9)*100)</f>
        <v>75</v>
      </c>
      <c r="S87">
        <f>IF('исходные данные'!S87&gt;'минимумы и максимумы'!Q$10,100,('исходные данные'!S87-'минимумы и максимумы'!Q$9)/('минимумы и максимумы'!Q$10-'минимумы и максимумы'!Q$9)*100)</f>
        <v>33.333333333333329</v>
      </c>
      <c r="T87">
        <f>IF('исходные данные'!T87&gt;'минимумы и максимумы'!R$10,100,('исходные данные'!T87-'минимумы и максимумы'!R$9)/('минимумы и максимумы'!R$10-'минимумы и максимумы'!R$9)*100)</f>
        <v>13.377445339470656</v>
      </c>
      <c r="U87">
        <f>IF('исходные данные'!U87&gt;'минимумы и максимумы'!S$10,100,('исходные данные'!U87-'минимумы и максимумы'!S$9)/('минимумы и максимумы'!S$10-'минимумы и максимумы'!S$9)*100)</f>
        <v>66.666666666666657</v>
      </c>
    </row>
    <row r="88" spans="1:21" x14ac:dyDescent="0.45">
      <c r="A88" s="4">
        <v>145</v>
      </c>
      <c r="B88" s="4">
        <v>0</v>
      </c>
      <c r="C88" s="4">
        <v>0</v>
      </c>
      <c r="D88">
        <f>IF('исходные данные'!D88&gt;'минимумы и максимумы'!B$10,100,('исходные данные'!D88-'минимумы и максимумы'!B$9)/('минимумы и максимумы'!B$10-'минимумы и максимумы'!B$9)*100)</f>
        <v>44.444444444444443</v>
      </c>
      <c r="E88">
        <f>IF('исходные данные'!E88&gt;'минимумы и максимумы'!C$10,100,('исходные данные'!E88-'минимумы и максимумы'!C$9)/('минимумы и максимумы'!C$10-'минимумы и максимумы'!C$9)*100)</f>
        <v>90</v>
      </c>
      <c r="F88">
        <f>IF('исходные данные'!F88&gt;'минимумы и максимумы'!D$10,100,('исходные данные'!F88-'минимумы и максимумы'!D$9)/('минимумы и максимумы'!D$10-'минимумы и максимумы'!D$9)*100)</f>
        <v>33.333333333333329</v>
      </c>
      <c r="G88">
        <f>IF('исходные данные'!G88&gt;'минимумы и максимумы'!E$10,100,('исходные данные'!G88-'минимумы и максимумы'!E$9)/('минимумы и максимумы'!E$10-'минимумы и максимумы'!E$9)*100)</f>
        <v>41.666666666666671</v>
      </c>
      <c r="H88">
        <f>IF('исходные данные'!H88&gt;'минимумы и максимумы'!F$10,100,('исходные данные'!H88-'минимумы и максимумы'!F$9)/('минимумы и максимумы'!F$10-'минимумы и максимумы'!F$9)*100)</f>
        <v>44.827586206896555</v>
      </c>
      <c r="I88">
        <f>IF('исходные данные'!I88&gt;'минимумы и максимумы'!G$10,100,('исходные данные'!I88-'минимумы и максимумы'!G$9)/('минимумы и максимумы'!G$10-'минимумы и максимумы'!G$9)*100)</f>
        <v>33.962264150943398</v>
      </c>
      <c r="J88">
        <f>IF('исходные данные'!J88&gt;'минимумы и максимумы'!H$10,100,('исходные данные'!J88-'минимумы и максимумы'!H$9)/('минимумы и максимумы'!H$10-'минимумы и максимумы'!H$9)*100)</f>
        <v>26.666666666666668</v>
      </c>
      <c r="K88">
        <f>IF('исходные данные'!K88&gt;'минимумы и максимумы'!I$10,100,('исходные данные'!K88-'минимумы и максимумы'!I$9)/('минимумы и максимумы'!I$10-'минимумы и максимумы'!I$9)*100)</f>
        <v>38.888888888888893</v>
      </c>
      <c r="L88">
        <f>IF('исходные данные'!L88&gt;'минимумы и максимумы'!J$10,100,('исходные данные'!L88-'минимумы и максимумы'!J$9)/('минимумы и максимумы'!J$10-'минимумы и максимумы'!J$9)*100)</f>
        <v>7.1428571428571423</v>
      </c>
      <c r="M88">
        <f>IF('исходные данные'!M88&gt;'минимумы и максимумы'!K$10,100,('исходные данные'!M88-'минимумы и максимумы'!K$9)/('минимумы и максимумы'!K$10-'минимумы и максимумы'!K$9)*100)</f>
        <v>50</v>
      </c>
      <c r="N88">
        <f>IF('исходные данные'!N88&gt;'минимумы и максимумы'!L$10,100,('исходные данные'!N88-'минимумы и максимумы'!L$9)/('минимумы и максимумы'!L$10-'минимумы и максимумы'!L$9)*100)</f>
        <v>17.837929298620264</v>
      </c>
      <c r="O88">
        <f>IF('исходные данные'!O88&gt;'минимумы и максимумы'!M$10,100,('исходные данные'!O88-'минимумы и максимумы'!M$9)/('минимумы и максимумы'!M$10-'минимумы и максимумы'!M$9)*100)</f>
        <v>66.666666666666657</v>
      </c>
      <c r="P88">
        <f>IF('исходные данные'!P88&gt;'минимумы и максимумы'!N$10,100,('исходные данные'!P88-'минимумы и максимумы'!N$9)/('минимумы и максимумы'!N$10-'минимумы и максимумы'!N$9)*100)</f>
        <v>0</v>
      </c>
      <c r="Q88">
        <f>IF('исходные данные'!Q88&gt;'минимумы и максимумы'!O$10,100,('исходные данные'!Q88-'минимумы и максимумы'!O$9)/('минимумы и максимумы'!O$10-'минимумы и максимумы'!O$9)*100)</f>
        <v>100</v>
      </c>
      <c r="R88">
        <f>IF('исходные данные'!R88&gt;'минимумы и максимумы'!P$10,100,('исходные данные'!R88-'минимумы и максимумы'!P$9)/('минимумы и максимумы'!P$10-'минимумы и максимумы'!P$9)*100)</f>
        <v>100</v>
      </c>
      <c r="S88">
        <f>IF('исходные данные'!S88&gt;'минимумы и максимумы'!Q$10,100,('исходные данные'!S88-'минимумы и максимумы'!Q$9)/('минимумы и максимумы'!Q$10-'минимумы и максимумы'!Q$9)*100)</f>
        <v>100</v>
      </c>
      <c r="T88">
        <f>IF('исходные данные'!T88&gt;'минимумы и максимумы'!R$10,100,('исходные данные'!T88-'минимумы и максимумы'!R$9)/('минимумы и максимумы'!R$10-'минимумы и максимумы'!R$9)*100)</f>
        <v>76.783659378596099</v>
      </c>
      <c r="U88">
        <f>IF('исходные данные'!U88&gt;'минимумы и максимумы'!S$10,100,('исходные данные'!U88-'минимумы и максимумы'!S$9)/('минимумы и максимумы'!S$10-'минимумы и максимумы'!S$9)*100)</f>
        <v>66.666666666666657</v>
      </c>
    </row>
    <row r="89" spans="1:21" x14ac:dyDescent="0.45">
      <c r="A89" s="4">
        <v>146</v>
      </c>
      <c r="B89" s="4">
        <v>0</v>
      </c>
      <c r="C89" s="4">
        <v>0</v>
      </c>
      <c r="D89">
        <f>IF('исходные данные'!D89&gt;'минимумы и максимумы'!B$10,100,('исходные данные'!D89-'минимумы и максимумы'!B$9)/('минимумы и максимумы'!B$10-'минимумы и максимумы'!B$9)*100)</f>
        <v>22.222222222222221</v>
      </c>
      <c r="E89">
        <f>IF('исходные данные'!E89&gt;'минимумы и максимумы'!C$10,100,('исходные данные'!E89-'минимумы и максимумы'!C$9)/('минимумы и максимумы'!C$10-'минимумы и максимумы'!C$9)*100)</f>
        <v>70</v>
      </c>
      <c r="F89">
        <f>IF('исходные данные'!F89&gt;'минимумы и максимумы'!D$10,100,('исходные данные'!F89-'минимумы и максимумы'!D$9)/('минимумы и максимумы'!D$10-'минимумы и максимумы'!D$9)*100)</f>
        <v>66.666666666666657</v>
      </c>
      <c r="G89">
        <f>IF('исходные данные'!G89&gt;'минимумы и максимумы'!E$10,100,('исходные данные'!G89-'минимумы и максимумы'!E$9)/('минимумы и максимумы'!E$10-'минимумы и максимумы'!E$9)*100)</f>
        <v>62.5</v>
      </c>
      <c r="H89">
        <f>IF('исходные данные'!H89&gt;'минимумы и максимумы'!F$10,100,('исходные данные'!H89-'минимумы и максимумы'!F$9)/('минимумы и максимумы'!F$10-'минимумы и максимумы'!F$9)*100)</f>
        <v>41.379310344827587</v>
      </c>
      <c r="I89">
        <f>IF('исходные данные'!I89&gt;'минимумы и максимумы'!G$10,100,('исходные данные'!I89-'минимумы и максимумы'!G$9)/('минимумы и максимумы'!G$10-'минимумы и максимумы'!G$9)*100)</f>
        <v>77.358490566037744</v>
      </c>
      <c r="J89">
        <f>IF('исходные данные'!J89&gt;'минимумы и максимумы'!H$10,100,('исходные данные'!J89-'минимумы и максимумы'!H$9)/('минимумы и максимумы'!H$10-'минимумы и максимумы'!H$9)*100)</f>
        <v>100</v>
      </c>
      <c r="K89">
        <f>IF('исходные данные'!K89&gt;'минимумы и максимумы'!I$10,100,('исходные данные'!K89-'минимумы и максимумы'!I$9)/('минимумы и максимумы'!I$10-'минимумы и максимумы'!I$9)*100)</f>
        <v>66.666666666666657</v>
      </c>
      <c r="L89">
        <f>IF('исходные данные'!L89&gt;'минимумы и максимумы'!J$10,100,('исходные данные'!L89-'минимумы и максимумы'!J$9)/('минимумы и максимумы'!J$10-'минимумы и максимумы'!J$9)*100)</f>
        <v>42.857142857142854</v>
      </c>
      <c r="M89">
        <f>IF('исходные данные'!M89&gt;'минимумы и максимумы'!K$10,100,('исходные данные'!M89-'минимумы и максимумы'!K$9)/('минимумы и максимумы'!K$10-'минимумы и максимумы'!K$9)*100)</f>
        <v>92.857142857142861</v>
      </c>
      <c r="N89">
        <f>IF('исходные данные'!N89&gt;'минимумы и максимумы'!L$10,100,('исходные данные'!N89-'минимумы и максимумы'!L$9)/('минимумы и максимумы'!L$10-'минимумы и максимумы'!L$9)*100)</f>
        <v>18.012798857538261</v>
      </c>
      <c r="O89">
        <f>IF('исходные данные'!O89&gt;'минимумы и максимумы'!M$10,100,('исходные данные'!O89-'минимумы и максимумы'!M$9)/('минимумы и максимумы'!M$10-'минимумы и максимумы'!M$9)*100)</f>
        <v>66.666666666666657</v>
      </c>
      <c r="P89">
        <f>IF('исходные данные'!P89&gt;'минимумы и максимумы'!N$10,100,('исходные данные'!P89-'минимумы и максимумы'!N$9)/('минимумы и максимумы'!N$10-'минимумы и максимумы'!N$9)*100)</f>
        <v>0</v>
      </c>
      <c r="Q89">
        <f>IF('исходные данные'!Q89&gt;'минимумы и максимумы'!O$10,100,('исходные данные'!Q89-'минимумы и максимумы'!O$9)/('минимумы и максимумы'!O$10-'минимумы и максимумы'!O$9)*100)</f>
        <v>100</v>
      </c>
      <c r="R89">
        <f>IF('исходные данные'!R89&gt;'минимумы и максимумы'!P$10,100,('исходные данные'!R89-'минимумы и максимумы'!P$9)/('минимумы и максимумы'!P$10-'минимумы и максимумы'!P$9)*100)</f>
        <v>100</v>
      </c>
      <c r="S89">
        <f>IF('исходные данные'!S89&gt;'минимумы и максимумы'!Q$10,100,('исходные данные'!S89-'минимумы и максимумы'!Q$9)/('минимумы и максимумы'!Q$10-'минимумы и максимумы'!Q$9)*100)</f>
        <v>50</v>
      </c>
      <c r="T89">
        <f>IF('исходные данные'!T89&gt;'минимумы и максимумы'!R$10,100,('исходные данные'!T89-'минимумы и максимумы'!R$9)/('минимумы и максимумы'!R$10-'минимумы и максимумы'!R$9)*100)</f>
        <v>8.8895281933256616</v>
      </c>
      <c r="U89">
        <f>IF('исходные данные'!U89&gt;'минимумы и максимумы'!S$10,100,('исходные данные'!U89-'минимумы и максимумы'!S$9)/('минимумы и максимумы'!S$10-'минимумы и максимумы'!S$9)*100)</f>
        <v>33.333333333333329</v>
      </c>
    </row>
    <row r="90" spans="1:21" x14ac:dyDescent="0.45">
      <c r="A90" s="4">
        <v>147</v>
      </c>
      <c r="B90" s="4">
        <v>0</v>
      </c>
      <c r="C90" s="4">
        <v>0</v>
      </c>
      <c r="D90">
        <f>IF('исходные данные'!D90&gt;'минимумы и максимумы'!B$10,100,('исходные данные'!D90-'минимумы и максимумы'!B$9)/('минимумы и максимумы'!B$10-'минимумы и максимумы'!B$9)*100)</f>
        <v>44.444444444444443</v>
      </c>
      <c r="E90">
        <f>IF('исходные данные'!E90&gt;'минимумы и максимумы'!C$10,100,('исходные данные'!E90-'минимумы и максимумы'!C$9)/('минимумы и максимумы'!C$10-'минимумы и максимумы'!C$9)*100)</f>
        <v>20</v>
      </c>
      <c r="F90">
        <f>IF('исходные данные'!F90&gt;'минимумы и максимумы'!D$10,100,('исходные данные'!F90-'минимумы и максимумы'!D$9)/('минимумы и максимумы'!D$10-'минимумы и максимумы'!D$9)*100)</f>
        <v>0</v>
      </c>
      <c r="G90">
        <f>IF('исходные данные'!G90&gt;'минимумы и максимумы'!E$10,100,('исходные данные'!G90-'минимумы и максимумы'!E$9)/('минимумы и максимумы'!E$10-'минимумы и максимумы'!E$9)*100)</f>
        <v>20.833333333333336</v>
      </c>
      <c r="H90">
        <f>IF('исходные данные'!H90&gt;'минимумы и максимумы'!F$10,100,('исходные данные'!H90-'минимумы и максимумы'!F$9)/('минимумы и максимумы'!F$10-'минимумы и максимумы'!F$9)*100)</f>
        <v>10.344827586206897</v>
      </c>
      <c r="I90">
        <f>IF('исходные данные'!I90&gt;'минимумы и максимумы'!G$10,100,('исходные данные'!I90-'минимумы и максимумы'!G$9)/('минимумы и максимумы'!G$10-'минимумы и максимумы'!G$9)*100)</f>
        <v>20.754716981132077</v>
      </c>
      <c r="J90">
        <f>IF('исходные данные'!J90&gt;'минимумы и максимумы'!H$10,100,('исходные данные'!J90-'минимумы и максимумы'!H$9)/('минимумы и максимумы'!H$10-'минимумы и максимумы'!H$9)*100)</f>
        <v>26.666666666666668</v>
      </c>
      <c r="K90">
        <f>IF('исходные данные'!K90&gt;'минимумы и максимумы'!I$10,100,('исходные данные'!K90-'минимумы и максимумы'!I$9)/('минимумы и максимумы'!I$10-'минимумы и максимумы'!I$9)*100)</f>
        <v>33.333333333333329</v>
      </c>
      <c r="L90">
        <f>IF('исходные данные'!L90&gt;'минимумы и максимумы'!J$10,100,('исходные данные'!L90-'минимумы и максимумы'!J$9)/('минимумы и максимумы'!J$10-'минимумы и максимумы'!J$9)*100)</f>
        <v>14.285714285714285</v>
      </c>
      <c r="M90">
        <f>IF('исходные данные'!M90&gt;'минимумы и максимумы'!K$10,100,('исходные данные'!M90-'минимумы и максимумы'!K$9)/('минимумы и максимумы'!K$10-'минимумы и максимумы'!K$9)*100)</f>
        <v>46.428571428571431</v>
      </c>
      <c r="N90">
        <f>IF('исходные данные'!N90&gt;'минимумы и максимумы'!L$10,100,('исходные данные'!N90-'минимумы и максимумы'!L$9)/('минимумы и максимумы'!L$10-'минимумы и максимумы'!L$9)*100)</f>
        <v>19.929981302152235</v>
      </c>
      <c r="O90">
        <f>IF('исходные данные'!O90&gt;'минимумы и максимумы'!M$10,100,('исходные данные'!O90-'минимумы и максимумы'!M$9)/('минимумы и максимумы'!M$10-'минимумы и максимумы'!M$9)*100)</f>
        <v>100</v>
      </c>
      <c r="P90">
        <f>IF('исходные данные'!P90&gt;'минимумы и максимумы'!N$10,100,('исходные данные'!P90-'минимумы и максимумы'!N$9)/('минимумы и максимумы'!N$10-'минимумы и максимумы'!N$9)*100)</f>
        <v>0</v>
      </c>
      <c r="Q90">
        <f>IF('исходные данные'!Q90&gt;'минимумы и максимумы'!O$10,100,('исходные данные'!Q90-'минимумы и максимумы'!O$9)/('минимумы и максимумы'!O$10-'минимумы и максимумы'!O$9)*100)</f>
        <v>100</v>
      </c>
      <c r="R90">
        <f>IF('исходные данные'!R90&gt;'минимумы и максимумы'!P$10,100,('исходные данные'!R90-'минимумы и максимумы'!P$9)/('минимумы и максимумы'!P$10-'минимумы и максимумы'!P$9)*100)</f>
        <v>100</v>
      </c>
      <c r="S90">
        <f>IF('исходные данные'!S90&gt;'минимумы и максимумы'!Q$10,100,('исходные данные'!S90-'минимумы и максимумы'!Q$9)/('минимумы и максимумы'!Q$10-'минимумы и максимумы'!Q$9)*100)</f>
        <v>33.333333333333329</v>
      </c>
      <c r="T90">
        <f>IF('исходные данные'!T90&gt;'минимумы и максимумы'!R$10,100,('исходные данные'!T90-'минимумы и максимумы'!R$9)/('минимумы и максимумы'!R$10-'минимумы и максимумы'!R$9)*100)</f>
        <v>5.1208285385500574</v>
      </c>
      <c r="U90">
        <f>IF('исходные данные'!U90&gt;'минимумы и максимумы'!S$10,100,('исходные данные'!U90-'минимумы и максимумы'!S$9)/('минимумы и максимумы'!S$10-'минимумы и максимумы'!S$9)*100)</f>
        <v>33.333333333333329</v>
      </c>
    </row>
    <row r="91" spans="1:21" x14ac:dyDescent="0.45">
      <c r="A91" s="4">
        <v>148</v>
      </c>
      <c r="B91" s="4">
        <v>0</v>
      </c>
      <c r="C91" s="4">
        <v>0</v>
      </c>
      <c r="D91">
        <f>IF('исходные данные'!D91&gt;'минимумы и максимумы'!B$10,100,('исходные данные'!D91-'минимумы и максимумы'!B$9)/('минимумы и максимумы'!B$10-'минимумы и максимумы'!B$9)*100)</f>
        <v>11.111111111111111</v>
      </c>
      <c r="E91">
        <f>IF('исходные данные'!E91&gt;'минимумы и максимумы'!C$10,100,('исходные данные'!E91-'минимумы и максимумы'!C$9)/('минимумы и максимумы'!C$10-'минимумы и максимумы'!C$9)*100)</f>
        <v>0</v>
      </c>
      <c r="F91">
        <f>IF('исходные данные'!F91&gt;'минимумы и максимумы'!D$10,100,('исходные данные'!F91-'минимумы и максимумы'!D$9)/('минимумы и максимумы'!D$10-'минимумы и максимумы'!D$9)*100)</f>
        <v>0</v>
      </c>
      <c r="G91">
        <f>IF('исходные данные'!G91&gt;'минимумы и максимумы'!E$10,100,('исходные данные'!G91-'минимумы и максимумы'!E$9)/('минимумы и максимумы'!E$10-'минимумы и максимумы'!E$9)*100)</f>
        <v>25</v>
      </c>
      <c r="H91">
        <f>IF('исходные данные'!H91&gt;'минимумы и максимумы'!F$10,100,('исходные данные'!H91-'минимумы и максимумы'!F$9)/('минимумы и максимумы'!F$10-'минимумы и максимумы'!F$9)*100)</f>
        <v>6.8965517241379306</v>
      </c>
      <c r="I91">
        <f>IF('исходные данные'!I91&gt;'минимумы и максимумы'!G$10,100,('исходные данные'!I91-'минимумы и максимумы'!G$9)/('минимумы и максимумы'!G$10-'минимумы и максимумы'!G$9)*100)</f>
        <v>45.283018867924532</v>
      </c>
      <c r="J91">
        <f>IF('исходные данные'!J91&gt;'минимумы и максимумы'!H$10,100,('исходные данные'!J91-'минимумы и максимумы'!H$9)/('минимумы и максимумы'!H$10-'минимумы и максимумы'!H$9)*100)</f>
        <v>40</v>
      </c>
      <c r="K91">
        <f>IF('исходные данные'!K91&gt;'минимумы и максимумы'!I$10,100,('исходные данные'!K91-'минимумы и максимумы'!I$9)/('минимумы и максимумы'!I$10-'минимумы и максимумы'!I$9)*100)</f>
        <v>38.888888888888893</v>
      </c>
      <c r="L91">
        <f>IF('исходные данные'!L91&gt;'минимумы и максимумы'!J$10,100,('исходные данные'!L91-'минимумы и максимумы'!J$9)/('минимумы и максимумы'!J$10-'минимумы и максимумы'!J$9)*100)</f>
        <v>14.285714285714285</v>
      </c>
      <c r="M91">
        <f>IF('исходные данные'!M91&gt;'минимумы и максимумы'!K$10,100,('исходные данные'!M91-'минимумы и максимумы'!K$9)/('минимумы и максимумы'!K$10-'минимумы и максимумы'!K$9)*100)</f>
        <v>57.142857142857139</v>
      </c>
      <c r="N91">
        <f>IF('исходные данные'!N91&gt;'минимумы и максимумы'!L$10,100,('исходные данные'!N91-'минимумы и максимумы'!L$9)/('минимумы и максимумы'!L$10-'минимумы и максимумы'!L$9)*100)</f>
        <v>20.211366496480668</v>
      </c>
      <c r="O91">
        <f>IF('исходные данные'!O91&gt;'минимумы и максимумы'!M$10,100,('исходные данные'!O91-'минимумы и максимумы'!M$9)/('минимумы и максимумы'!M$10-'минимумы и максимумы'!M$9)*100)</f>
        <v>33.333333333333329</v>
      </c>
      <c r="P91">
        <f>IF('исходные данные'!P91&gt;'минимумы и максимумы'!N$10,100,('исходные данные'!P91-'минимумы и максимумы'!N$9)/('минимумы и максимумы'!N$10-'минимумы и максимумы'!N$9)*100)</f>
        <v>0</v>
      </c>
      <c r="Q91">
        <f>IF('исходные данные'!Q91&gt;'минимумы и максимумы'!O$10,100,('исходные данные'!Q91-'минимумы и максимумы'!O$9)/('минимумы и максимумы'!O$10-'минимумы и максимумы'!O$9)*100)</f>
        <v>0</v>
      </c>
      <c r="R91">
        <f>IF('исходные данные'!R91&gt;'минимумы и максимумы'!P$10,100,('исходные данные'!R91-'минимумы и максимумы'!P$9)/('минимумы и максимумы'!P$10-'минимумы и максимумы'!P$9)*100)</f>
        <v>100</v>
      </c>
      <c r="S91">
        <f>IF('исходные данные'!S91&gt;'минимумы и максимумы'!Q$10,100,('исходные данные'!S91-'минимумы и максимумы'!Q$9)/('минимумы и максимумы'!Q$10-'минимумы и максимумы'!Q$9)*100)</f>
        <v>33.333333333333329</v>
      </c>
      <c r="T91">
        <f>IF('исходные данные'!T91&gt;'минимумы и максимумы'!R$10,100,('исходные данные'!T91-'минимумы и максимумы'!R$9)/('минимумы и максимумы'!R$10-'минимумы и максимумы'!R$9)*100)</f>
        <v>33.601841196777904</v>
      </c>
      <c r="U91">
        <f>IF('исходные данные'!U91&gt;'минимумы и максимумы'!S$10,100,('исходные данные'!U91-'минимумы и максимумы'!S$9)/('минимумы и максимумы'!S$10-'минимумы и максимумы'!S$9)*100)</f>
        <v>33.333333333333329</v>
      </c>
    </row>
    <row r="92" spans="1:21" x14ac:dyDescent="0.45">
      <c r="A92" s="4">
        <v>149</v>
      </c>
      <c r="B92" s="4">
        <v>0</v>
      </c>
      <c r="C92" s="4">
        <v>0</v>
      </c>
      <c r="D92">
        <f>IF('исходные данные'!D92&gt;'минимумы и максимумы'!B$10,100,('исходные данные'!D92-'минимумы и максимумы'!B$9)/('минимумы и максимумы'!B$10-'минимумы и максимумы'!B$9)*100)</f>
        <v>11.111111111111111</v>
      </c>
      <c r="E92">
        <f>IF('исходные данные'!E92&gt;'минимумы и максимумы'!C$10,100,('исходные данные'!E92-'минимумы и максимумы'!C$9)/('минимумы и максимумы'!C$10-'минимумы и максимумы'!C$9)*100)</f>
        <v>0</v>
      </c>
      <c r="F92">
        <f>IF('исходные данные'!F92&gt;'минимумы и максимумы'!D$10,100,('исходные данные'!F92-'минимумы и максимумы'!D$9)/('минимумы и максимумы'!D$10-'минимумы и максимумы'!D$9)*100)</f>
        <v>0</v>
      </c>
      <c r="G92">
        <f>IF('исходные данные'!G92&gt;'минимумы и максимумы'!E$10,100,('исходные данные'!G92-'минимумы и максимумы'!E$9)/('минимумы и максимумы'!E$10-'минимумы и максимумы'!E$9)*100)</f>
        <v>25</v>
      </c>
      <c r="H92">
        <f>IF('исходные данные'!H92&gt;'минимумы и максимумы'!F$10,100,('исходные данные'!H92-'минимумы и максимумы'!F$9)/('минимумы и максимумы'!F$10-'минимумы и максимумы'!F$9)*100)</f>
        <v>6.8965517241379306</v>
      </c>
      <c r="I92">
        <f>IF('исходные данные'!I92&gt;'минимумы и максимумы'!G$10,100,('исходные данные'!I92-'минимумы и максимумы'!G$9)/('минимумы и максимумы'!G$10-'минимумы и максимумы'!G$9)*100)</f>
        <v>45.283018867924532</v>
      </c>
      <c r="J92">
        <f>IF('исходные данные'!J92&gt;'минимумы и максимумы'!H$10,100,('исходные данные'!J92-'минимумы и максимумы'!H$9)/('минимумы и максимумы'!H$10-'минимумы и максимумы'!H$9)*100)</f>
        <v>40</v>
      </c>
      <c r="K92">
        <f>IF('исходные данные'!K92&gt;'минимумы и максимумы'!I$10,100,('исходные данные'!K92-'минимумы и максимумы'!I$9)/('минимумы и максимумы'!I$10-'минимумы и максимумы'!I$9)*100)</f>
        <v>38.888888888888893</v>
      </c>
      <c r="L92">
        <f>IF('исходные данные'!L92&gt;'минимумы и максимумы'!J$10,100,('исходные данные'!L92-'минимумы и максимумы'!J$9)/('минимумы и максимумы'!J$10-'минимумы и максимумы'!J$9)*100)</f>
        <v>14.285714285714285</v>
      </c>
      <c r="M92">
        <f>IF('исходные данные'!M92&gt;'минимумы и максимумы'!K$10,100,('исходные данные'!M92-'минимумы и максимумы'!K$9)/('минимумы и максимумы'!K$10-'минимумы и максимумы'!K$9)*100)</f>
        <v>57.142857142857139</v>
      </c>
      <c r="N92">
        <f>IF('исходные данные'!N92&gt;'минимумы и максимумы'!L$10,100,('исходные данные'!N92-'минимумы и максимумы'!L$9)/('минимумы и максимумы'!L$10-'минимумы и максимумы'!L$9)*100)</f>
        <v>19.942400902715576</v>
      </c>
      <c r="O92">
        <f>IF('исходные данные'!O92&gt;'минимумы и максимумы'!M$10,100,('исходные данные'!O92-'минимумы и максимумы'!M$9)/('минимумы и максимумы'!M$10-'минимумы и максимумы'!M$9)*100)</f>
        <v>33.333333333333329</v>
      </c>
      <c r="P92">
        <f>IF('исходные данные'!P92&gt;'минимумы и максимумы'!N$10,100,('исходные данные'!P92-'минимумы и максимумы'!N$9)/('минимумы и максимумы'!N$10-'минимумы и максимумы'!N$9)*100)</f>
        <v>0</v>
      </c>
      <c r="Q92">
        <f>IF('исходные данные'!Q92&gt;'минимумы и максимумы'!O$10,100,('исходные данные'!Q92-'минимумы и максимумы'!O$9)/('минимумы и максимумы'!O$10-'минимумы и максимумы'!O$9)*100)</f>
        <v>0</v>
      </c>
      <c r="R92">
        <f>IF('исходные данные'!R92&gt;'минимумы и максимумы'!P$10,100,('исходные данные'!R92-'минимумы и максимумы'!P$9)/('минимумы и максимумы'!P$10-'минимумы и максимумы'!P$9)*100)</f>
        <v>100</v>
      </c>
      <c r="S92">
        <f>IF('исходные данные'!S92&gt;'минимумы и максимумы'!Q$10,100,('исходные данные'!S92-'минимумы и максимумы'!Q$9)/('минимумы и максимумы'!Q$10-'минимумы и максимумы'!Q$9)*100)</f>
        <v>33.333333333333329</v>
      </c>
      <c r="T92">
        <f>IF('исходные данные'!T92&gt;'минимумы и максимумы'!R$10,100,('исходные данные'!T92-'минимумы и максимумы'!R$9)/('минимумы и максимумы'!R$10-'минимумы и максимумы'!R$9)*100)</f>
        <v>13.693901035673187</v>
      </c>
      <c r="U92">
        <f>IF('исходные данные'!U92&gt;'минимумы и максимумы'!S$10,100,('исходные данные'!U92-'минимумы и максимумы'!S$9)/('минимумы и максимумы'!S$10-'минимумы и максимумы'!S$9)*100)</f>
        <v>0</v>
      </c>
    </row>
    <row r="93" spans="1:21" x14ac:dyDescent="0.45">
      <c r="A93" s="4">
        <v>150</v>
      </c>
      <c r="B93" s="4">
        <v>0</v>
      </c>
      <c r="C93" s="4">
        <v>0</v>
      </c>
      <c r="D93">
        <f>IF('исходные данные'!D93&gt;'минимумы и максимумы'!B$10,100,('исходные данные'!D93-'минимумы и максимумы'!B$9)/('минимумы и максимумы'!B$10-'минимумы и максимумы'!B$9)*100)</f>
        <v>11.111111111111111</v>
      </c>
      <c r="E93">
        <f>IF('исходные данные'!E93&gt;'минимумы и максимумы'!C$10,100,('исходные данные'!E93-'минимумы и максимумы'!C$9)/('минимумы и максимумы'!C$10-'минимумы и максимумы'!C$9)*100)</f>
        <v>0</v>
      </c>
      <c r="F93">
        <f>IF('исходные данные'!F93&gt;'минимумы и максимумы'!D$10,100,('исходные данные'!F93-'минимумы и максимумы'!D$9)/('минимумы и максимумы'!D$10-'минимумы и максимумы'!D$9)*100)</f>
        <v>0</v>
      </c>
      <c r="G93">
        <f>IF('исходные данные'!G93&gt;'минимумы и максимумы'!E$10,100,('исходные данные'!G93-'минимумы и максимумы'!E$9)/('минимумы и максимумы'!E$10-'минимумы и максимумы'!E$9)*100)</f>
        <v>25</v>
      </c>
      <c r="H93">
        <f>IF('исходные данные'!H93&gt;'минимумы и максимумы'!F$10,100,('исходные данные'!H93-'минимумы и максимумы'!F$9)/('минимумы и максимумы'!F$10-'минимумы и максимумы'!F$9)*100)</f>
        <v>6.8965517241379306</v>
      </c>
      <c r="I93">
        <f>IF('исходные данные'!I93&gt;'минимумы и максимумы'!G$10,100,('исходные данные'!I93-'минимумы и максимумы'!G$9)/('минимумы и максимумы'!G$10-'минимумы и максимумы'!G$9)*100)</f>
        <v>45.283018867924532</v>
      </c>
      <c r="J93">
        <f>IF('исходные данные'!J93&gt;'минимумы и максимумы'!H$10,100,('исходные данные'!J93-'минимумы и максимумы'!H$9)/('минимумы и максимумы'!H$10-'минимумы и максимумы'!H$9)*100)</f>
        <v>40</v>
      </c>
      <c r="K93">
        <f>IF('исходные данные'!K93&gt;'минимумы и максимумы'!I$10,100,('исходные данные'!K93-'минимумы и максимумы'!I$9)/('минимумы и максимумы'!I$10-'минимумы и максимумы'!I$9)*100)</f>
        <v>38.888888888888893</v>
      </c>
      <c r="L93">
        <f>IF('исходные данные'!L93&gt;'минимумы и максимумы'!J$10,100,('исходные данные'!L93-'минимумы и максимумы'!J$9)/('минимумы и максимумы'!J$10-'минимумы и максимумы'!J$9)*100)</f>
        <v>14.285714285714285</v>
      </c>
      <c r="M93">
        <f>IF('исходные данные'!M93&gt;'минимумы и максимумы'!K$10,100,('исходные данные'!M93-'минимумы и максимумы'!K$9)/('минимумы и максимумы'!K$10-'минимумы и максимумы'!K$9)*100)</f>
        <v>57.142857142857139</v>
      </c>
      <c r="N93">
        <f>IF('исходные данные'!N93&gt;'минимумы и максимумы'!L$10,100,('исходные данные'!N93-'минимумы и максимумы'!L$9)/('минимумы и максимумы'!L$10-'минимумы и максимумы'!L$9)*100)</f>
        <v>20.462553335819724</v>
      </c>
      <c r="O93">
        <f>IF('исходные данные'!O93&gt;'минимумы и максимумы'!M$10,100,('исходные данные'!O93-'минимумы и максимумы'!M$9)/('минимумы и максимумы'!M$10-'минимумы и максимумы'!M$9)*100)</f>
        <v>33.333333333333329</v>
      </c>
      <c r="P93">
        <f>IF('исходные данные'!P93&gt;'минимумы и максимумы'!N$10,100,('исходные данные'!P93-'минимумы и максимумы'!N$9)/('минимумы и максимумы'!N$10-'минимумы и максимумы'!N$9)*100)</f>
        <v>0</v>
      </c>
      <c r="Q93">
        <f>IF('исходные данные'!Q93&gt;'минимумы и максимумы'!O$10,100,('исходные данные'!Q93-'минимумы и максимумы'!O$9)/('минимумы и максимумы'!O$10-'минимумы и максимумы'!O$9)*100)</f>
        <v>100</v>
      </c>
      <c r="R93">
        <f>IF('исходные данные'!R93&gt;'минимумы и максимумы'!P$10,100,('исходные данные'!R93-'минимумы и максимумы'!P$9)/('минимумы и максимумы'!P$10-'минимумы и максимумы'!P$9)*100)</f>
        <v>75</v>
      </c>
      <c r="S93">
        <f>IF('исходные данные'!S93&gt;'минимумы и максимумы'!Q$10,100,('исходные данные'!S93-'минимумы и максимумы'!Q$9)/('минимумы и максимумы'!Q$10-'минимумы и максимумы'!Q$9)*100)</f>
        <v>50</v>
      </c>
      <c r="T93">
        <f>IF('исходные данные'!T93&gt;'минимумы и максимумы'!R$10,100,('исходные данные'!T93-'минимумы и максимумы'!R$9)/('минимумы и максимумы'!R$10-'минимумы и максимумы'!R$9)*100)</f>
        <v>25.604142692750287</v>
      </c>
      <c r="U93">
        <f>IF('исходные данные'!U93&gt;'минимумы и максимумы'!S$10,100,('исходные данные'!U93-'минимумы и максимумы'!S$9)/('минимумы и максимумы'!S$10-'минимумы и максимумы'!S$9)*100)</f>
        <v>33.333333333333329</v>
      </c>
    </row>
    <row r="94" spans="1:21" x14ac:dyDescent="0.45">
      <c r="A94" s="4">
        <v>151</v>
      </c>
      <c r="B94" s="4">
        <v>0</v>
      </c>
      <c r="C94" s="4">
        <v>0</v>
      </c>
      <c r="D94">
        <f>IF('исходные данные'!D94&gt;'минимумы и максимумы'!B$10,100,('исходные данные'!D94-'минимумы и максимумы'!B$9)/('минимумы и максимумы'!B$10-'минимумы и максимумы'!B$9)*100)</f>
        <v>11.111111111111111</v>
      </c>
      <c r="E94">
        <f>IF('исходные данные'!E94&gt;'минимумы и максимумы'!C$10,100,('исходные данные'!E94-'минимумы и максимумы'!C$9)/('минимумы и максимумы'!C$10-'минимумы и максимумы'!C$9)*100)</f>
        <v>10</v>
      </c>
      <c r="F94">
        <f>IF('исходные данные'!F94&gt;'минимумы и максимумы'!D$10,100,('исходные данные'!F94-'минимумы и максимумы'!D$9)/('минимумы и максимумы'!D$10-'минимумы и максимумы'!D$9)*100)</f>
        <v>0</v>
      </c>
      <c r="G94">
        <f>IF('исходные данные'!G94&gt;'минимумы и максимумы'!E$10,100,('исходные данные'!G94-'минимумы и максимумы'!E$9)/('минимумы и максимумы'!E$10-'минимумы и максимумы'!E$9)*100)</f>
        <v>33.333333333333329</v>
      </c>
      <c r="H94">
        <f>IF('исходные данные'!H94&gt;'минимумы и максимумы'!F$10,100,('исходные данные'!H94-'минимумы и максимумы'!F$9)/('минимумы и максимумы'!F$10-'минимумы и максимумы'!F$9)*100)</f>
        <v>13.793103448275861</v>
      </c>
      <c r="I94">
        <f>IF('исходные данные'!I94&gt;'минимумы и максимумы'!G$10,100,('исходные данные'!I94-'минимумы и максимумы'!G$9)/('минимумы и максимумы'!G$10-'минимумы и максимумы'!G$9)*100)</f>
        <v>49.056603773584904</v>
      </c>
      <c r="J94">
        <f>IF('исходные данные'!J94&gt;'минимумы и максимумы'!H$10,100,('исходные данные'!J94-'минимумы и максимумы'!H$9)/('минимумы и максимумы'!H$10-'минимумы и максимумы'!H$9)*100)</f>
        <v>53.333333333333336</v>
      </c>
      <c r="K94">
        <f>IF('исходные данные'!K94&gt;'минимумы и максимумы'!I$10,100,('исходные данные'!K94-'минимумы и максимумы'!I$9)/('минимумы и максимумы'!I$10-'минимумы и максимумы'!I$9)*100)</f>
        <v>44.444444444444443</v>
      </c>
      <c r="L94">
        <f>IF('исходные данные'!L94&gt;'минимумы и максимумы'!J$10,100,('исходные данные'!L94-'минимумы и максимумы'!J$9)/('минимумы и максимумы'!J$10-'минимумы и максимумы'!J$9)*100)</f>
        <v>21.428571428571427</v>
      </c>
      <c r="M94">
        <f>IF('исходные данные'!M94&gt;'минимумы и максимумы'!K$10,100,('исходные данные'!M94-'минимумы и максимумы'!K$9)/('минимумы и максимумы'!K$10-'минимумы и максимумы'!K$9)*100)</f>
        <v>60.714285714285708</v>
      </c>
      <c r="N94">
        <f>IF('исходные данные'!N94&gt;'минимумы и максимумы'!L$10,100,('исходные данные'!N94-'минимумы и максимумы'!L$9)/('минимумы и максимумы'!L$10-'минимумы и максимумы'!L$9)*100)</f>
        <v>20.462553335819724</v>
      </c>
      <c r="O94">
        <f>IF('исходные данные'!O94&gt;'минимумы и максимумы'!M$10,100,('исходные данные'!O94-'минимумы и максимумы'!M$9)/('минимумы и максимумы'!M$10-'минимумы и максимумы'!M$9)*100)</f>
        <v>0</v>
      </c>
      <c r="P94">
        <f>IF('исходные данные'!P94&gt;'минимумы и максимумы'!N$10,100,('исходные данные'!P94-'минимумы и максимумы'!N$9)/('минимумы и максимумы'!N$10-'минимумы и максимумы'!N$9)*100)</f>
        <v>0</v>
      </c>
      <c r="Q94">
        <f>IF('исходные данные'!Q94&gt;'минимумы и максимумы'!O$10,100,('исходные данные'!Q94-'минимумы и максимумы'!O$9)/('минимумы и максимумы'!O$10-'минимумы и максимумы'!O$9)*100)</f>
        <v>100</v>
      </c>
      <c r="R94">
        <f>IF('исходные данные'!R94&gt;'минимумы и максимумы'!P$10,100,('исходные данные'!R94-'минимумы и максимумы'!P$9)/('минимумы и максимумы'!P$10-'минимумы и максимумы'!P$9)*100)</f>
        <v>75</v>
      </c>
      <c r="S94">
        <f>IF('исходные данные'!S94&gt;'минимумы и максимумы'!Q$10,100,('исходные данные'!S94-'минимумы и максимумы'!Q$9)/('минимумы и максимумы'!Q$10-'минимумы и максимумы'!Q$9)*100)</f>
        <v>33.333333333333329</v>
      </c>
      <c r="T94">
        <f>IF('исходные данные'!T94&gt;'минимумы и максимумы'!R$10,100,('исходные данные'!T94-'минимумы и максимумы'!R$9)/('минимумы и максимумы'!R$10-'минимумы и максимумы'!R$9)*100)</f>
        <v>4.6029919447640966</v>
      </c>
      <c r="U94">
        <f>IF('исходные данные'!U94&gt;'минимумы и максимумы'!S$10,100,('исходные данные'!U94-'минимумы и максимумы'!S$9)/('минимумы и максимумы'!S$10-'минимумы и максимумы'!S$9)*100)</f>
        <v>0</v>
      </c>
    </row>
    <row r="95" spans="1:21" x14ac:dyDescent="0.45">
      <c r="A95" s="4">
        <v>152</v>
      </c>
      <c r="B95" s="4">
        <v>0</v>
      </c>
      <c r="C95" s="4">
        <v>0</v>
      </c>
      <c r="D95">
        <f>IF('исходные данные'!D95&gt;'минимумы и максимумы'!B$10,100,('исходные данные'!D95-'минимумы и максимумы'!B$9)/('минимумы и максимумы'!B$10-'минимумы и максимумы'!B$9)*100)</f>
        <v>11.111111111111111</v>
      </c>
      <c r="E95">
        <f>IF('исходные данные'!E95&gt;'минимумы и максимумы'!C$10,100,('исходные данные'!E95-'минимумы и максимумы'!C$9)/('минимумы и максимумы'!C$10-'минимумы и максимумы'!C$9)*100)</f>
        <v>40</v>
      </c>
      <c r="F95">
        <f>IF('исходные данные'!F95&gt;'минимумы и максимумы'!D$10,100,('исходные данные'!F95-'минимумы и максимумы'!D$9)/('минимумы и максимумы'!D$10-'минимумы и максимумы'!D$9)*100)</f>
        <v>0</v>
      </c>
      <c r="G95">
        <f>IF('исходные данные'!G95&gt;'минимумы и максимумы'!E$10,100,('исходные данные'!G95-'минимумы и максимумы'!E$9)/('минимумы и максимумы'!E$10-'минимумы и максимумы'!E$9)*100)</f>
        <v>41.666666666666671</v>
      </c>
      <c r="H95">
        <f>IF('исходные данные'!H95&gt;'минимумы и максимумы'!F$10,100,('исходные данные'!H95-'минимумы и максимумы'!F$9)/('минимумы и максимумы'!F$10-'минимумы и максимумы'!F$9)*100)</f>
        <v>31.03448275862069</v>
      </c>
      <c r="I95">
        <f>IF('исходные данные'!I95&gt;'минимумы и максимумы'!G$10,100,('исходные данные'!I95-'минимумы и максимумы'!G$9)/('минимумы и максимумы'!G$10-'минимумы и максимумы'!G$9)*100)</f>
        <v>100</v>
      </c>
      <c r="J95">
        <f>IF('исходные данные'!J95&gt;'минимумы и максимумы'!H$10,100,('исходные данные'!J95-'минимумы и максимумы'!H$9)/('минимумы и максимумы'!H$10-'минимумы и максимумы'!H$9)*100)</f>
        <v>100</v>
      </c>
      <c r="K95">
        <f>IF('исходные данные'!K95&gt;'минимумы и максимумы'!I$10,100,('исходные данные'!K95-'минимумы и максимумы'!I$9)/('минимумы и максимумы'!I$10-'минимумы и максимумы'!I$9)*100)</f>
        <v>100</v>
      </c>
      <c r="L95">
        <f>IF('исходные данные'!L95&gt;'минимумы и максимумы'!J$10,100,('исходные данные'!L95-'минимумы и максимумы'!J$9)/('минимумы и максимумы'!J$10-'минимумы и максимумы'!J$9)*100)</f>
        <v>50</v>
      </c>
      <c r="M95">
        <f>IF('исходные данные'!M95&gt;'минимумы и максимумы'!K$10,100,('исходные данные'!M95-'минимумы и максимумы'!K$9)/('минимумы и максимумы'!K$10-'минимумы и максимумы'!K$9)*100)</f>
        <v>17.857142857142858</v>
      </c>
      <c r="N95">
        <f>IF('исходные данные'!N95&gt;'минимумы и максимумы'!L$10,100,('исходные данные'!N95-'минимумы и максимумы'!L$9)/('минимумы и максимумы'!L$10-'минимумы и максимумы'!L$9)*100)</f>
        <v>14.856394464613304</v>
      </c>
      <c r="O95">
        <f>IF('исходные данные'!O95&gt;'минимумы и максимумы'!M$10,100,('исходные данные'!O95-'минимумы и максимумы'!M$9)/('минимумы и максимумы'!M$10-'минимумы и максимумы'!M$9)*100)</f>
        <v>66.666666666666657</v>
      </c>
      <c r="P95">
        <f>IF('исходные данные'!P95&gt;'минимумы и максимумы'!N$10,100,('исходные данные'!P95-'минимумы и максимумы'!N$9)/('минимумы и максимумы'!N$10-'минимумы и максимумы'!N$9)*100)</f>
        <v>0</v>
      </c>
      <c r="Q95">
        <f>IF('исходные данные'!Q95&gt;'минимумы и максимумы'!O$10,100,('исходные данные'!Q95-'минимумы и максимумы'!O$9)/('минимумы и максимумы'!O$10-'минимумы и максимумы'!O$9)*100)</f>
        <v>0</v>
      </c>
      <c r="R95">
        <f>IF('исходные данные'!R95&gt;'минимумы и максимумы'!P$10,100,('исходные данные'!R95-'минимумы и максимумы'!P$9)/('минимумы и максимумы'!P$10-'минимумы и максимумы'!P$9)*100)</f>
        <v>75</v>
      </c>
      <c r="S95">
        <f>IF('исходные данные'!S95&gt;'минимумы и максимумы'!Q$10,100,('исходные данные'!S95-'минимумы и максимумы'!Q$9)/('минимумы и максимумы'!Q$10-'минимумы и максимумы'!Q$9)*100)</f>
        <v>33.333333333333329</v>
      </c>
      <c r="T95">
        <f>IF('исходные данные'!T95&gt;'минимумы и максимумы'!R$10,100,('исходные данные'!T95-'минимумы и максимумы'!R$9)/('минимумы и максимумы'!R$10-'минимумы и максимумы'!R$9)*100)</f>
        <v>16.196777905638665</v>
      </c>
      <c r="U95">
        <f>IF('исходные данные'!U95&gt;'минимумы и максимумы'!S$10,100,('исходные данные'!U95-'минимумы и максимумы'!S$9)/('минимумы и максимумы'!S$10-'минимумы и максимумы'!S$9)*100)</f>
        <v>66.666666666666657</v>
      </c>
    </row>
    <row r="96" spans="1:21" x14ac:dyDescent="0.45">
      <c r="A96" s="4">
        <v>153</v>
      </c>
      <c r="B96" s="4">
        <v>1</v>
      </c>
      <c r="C96" s="4">
        <v>0</v>
      </c>
      <c r="D96">
        <f>IF('исходные данные'!D96&gt;'минимумы и максимумы'!B$10,100,('исходные данные'!D96-'минимумы и максимумы'!B$9)/('минимумы и максимумы'!B$10-'минимумы и максимумы'!B$9)*100)</f>
        <v>11.111111111111111</v>
      </c>
      <c r="E96">
        <f>IF('исходные данные'!E96&gt;'минимумы и максимумы'!C$10,100,('исходные данные'!E96-'минимумы и максимумы'!C$9)/('минимумы и максимумы'!C$10-'минимумы и максимумы'!C$9)*100)</f>
        <v>40</v>
      </c>
      <c r="F96">
        <f>IF('исходные данные'!F96&gt;'минимумы и максимумы'!D$10,100,('исходные данные'!F96-'минимумы и максимумы'!D$9)/('минимумы и максимумы'!D$10-'минимумы и максимумы'!D$9)*100)</f>
        <v>0</v>
      </c>
      <c r="G96">
        <f>IF('исходные данные'!G96&gt;'минимумы и максимумы'!E$10,100,('исходные данные'!G96-'минимумы и максимумы'!E$9)/('минимумы и максимумы'!E$10-'минимумы и максимумы'!E$9)*100)</f>
        <v>50</v>
      </c>
      <c r="H96">
        <f>IF('исходные данные'!H96&gt;'минимумы и максимумы'!F$10,100,('исходные данные'!H96-'минимумы и максимумы'!F$9)/('минимумы и максимумы'!F$10-'минимумы и максимумы'!F$9)*100)</f>
        <v>51.724137931034484</v>
      </c>
      <c r="I96">
        <f>IF('исходные данные'!I96&gt;'минимумы и максимумы'!G$10,100,('исходные данные'!I96-'минимумы и максимумы'!G$9)/('минимумы и максимумы'!G$10-'минимумы и максимумы'!G$9)*100)</f>
        <v>100</v>
      </c>
      <c r="J96">
        <f>IF('исходные данные'!J96&gt;'минимумы и максимумы'!H$10,100,('исходные данные'!J96-'минимумы и максимумы'!H$9)/('минимумы и максимумы'!H$10-'минимумы и максимумы'!H$9)*100)</f>
        <v>100</v>
      </c>
      <c r="K96">
        <f>IF('исходные данные'!K96&gt;'минимумы и максимумы'!I$10,100,('исходные данные'!K96-'минимумы и максимумы'!I$9)/('минимумы и максимумы'!I$10-'минимумы и максимумы'!I$9)*100)</f>
        <v>88.888888888888886</v>
      </c>
      <c r="L96">
        <f>IF('исходные данные'!L96&gt;'минимумы и максимумы'!J$10,100,('исходные данные'!L96-'минимумы и максимумы'!J$9)/('минимумы и максимумы'!J$10-'минимумы и максимумы'!J$9)*100)</f>
        <v>28.571428571428569</v>
      </c>
      <c r="M96">
        <f>IF('исходные данные'!M96&gt;'минимумы и максимумы'!K$10,100,('исходные данные'!M96-'минимумы и максимумы'!K$9)/('минимумы и максимумы'!K$10-'минимумы и максимумы'!K$9)*100)</f>
        <v>25</v>
      </c>
      <c r="N96">
        <f>IF('исходные данные'!N96&gt;'минимумы и максимумы'!L$10,100,('исходные данные'!N96-'минимумы и максимумы'!L$9)/('минимумы и максимумы'!L$10-'минимумы и максимумы'!L$9)*100)</f>
        <v>15.320970316527601</v>
      </c>
      <c r="O96">
        <f>IF('исходные данные'!O96&gt;'минимумы и максимумы'!M$10,100,('исходные данные'!O96-'минимумы и максимумы'!M$9)/('минимумы и максимумы'!M$10-'минимумы и максимумы'!M$9)*100)</f>
        <v>33.333333333333329</v>
      </c>
      <c r="P96">
        <f>IF('исходные данные'!P96&gt;'минимумы и максимумы'!N$10,100,('исходные данные'!P96-'минимумы и максимумы'!N$9)/('минимумы и максимумы'!N$10-'минимумы и максимумы'!N$9)*100)</f>
        <v>0</v>
      </c>
      <c r="Q96">
        <f>IF('исходные данные'!Q96&gt;'минимумы и максимумы'!O$10,100,('исходные данные'!Q96-'минимумы и максимумы'!O$9)/('минимумы и максимумы'!O$10-'минимумы и максимумы'!O$9)*100)</f>
        <v>100</v>
      </c>
      <c r="R96">
        <f>IF('исходные данные'!R96&gt;'минимумы и максимумы'!P$10,100,('исходные данные'!R96-'минимумы и максимумы'!P$9)/('минимумы и максимумы'!P$10-'минимумы и максимумы'!P$9)*100)</f>
        <v>100</v>
      </c>
      <c r="S96">
        <f>IF('исходные данные'!S96&gt;'минимумы и максимумы'!Q$10,100,('исходные данные'!S96-'минимумы и максимумы'!Q$9)/('минимумы и максимумы'!Q$10-'минимумы и максимумы'!Q$9)*100)</f>
        <v>66.666666666666657</v>
      </c>
      <c r="T96">
        <f>IF('исходные данные'!T96&gt;'минимумы и максимумы'!R$10,100,('исходные данные'!T96-'минимумы и максимумы'!R$9)/('минимумы и максимумы'!R$10-'минимумы и максимумы'!R$9)*100)</f>
        <v>16.225546605293438</v>
      </c>
      <c r="U96">
        <f>IF('исходные данные'!U96&gt;'минимумы и максимумы'!S$10,100,('исходные данные'!U96-'минимумы и максимумы'!S$9)/('минимумы и максимумы'!S$10-'минимумы и максимумы'!S$9)*100)</f>
        <v>66.666666666666657</v>
      </c>
    </row>
    <row r="97" spans="1:21" x14ac:dyDescent="0.45">
      <c r="A97" s="4">
        <v>154</v>
      </c>
      <c r="B97" s="4">
        <v>1</v>
      </c>
      <c r="C97" s="4">
        <v>0</v>
      </c>
      <c r="D97">
        <f>IF('исходные данные'!D97&gt;'минимумы и максимумы'!B$10,100,('исходные данные'!D97-'минимумы и максимумы'!B$9)/('минимумы и максимумы'!B$10-'минимумы и максимумы'!B$9)*100)</f>
        <v>0</v>
      </c>
      <c r="E97">
        <f>IF('исходные данные'!E97&gt;'минимумы и максимумы'!C$10,100,('исходные данные'!E97-'минимумы и максимумы'!C$9)/('минимумы и максимумы'!C$10-'минимумы и максимумы'!C$9)*100)</f>
        <v>0</v>
      </c>
      <c r="F97">
        <f>IF('исходные данные'!F97&gt;'минимумы и максимумы'!D$10,100,('исходные данные'!F97-'минимумы и максимумы'!D$9)/('минимумы и максимумы'!D$10-'минимумы и максимумы'!D$9)*100)</f>
        <v>0</v>
      </c>
      <c r="G97">
        <f>IF('исходные данные'!G97&gt;'минимумы и максимумы'!E$10,100,('исходные данные'!G97-'минимумы и максимумы'!E$9)/('минимумы и максимумы'!E$10-'минимумы и максимумы'!E$9)*100)</f>
        <v>0</v>
      </c>
      <c r="H97">
        <f>IF('исходные данные'!H97&gt;'минимумы и максимумы'!F$10,100,('исходные данные'!H97-'минимумы и максимумы'!F$9)/('минимумы и максимумы'!F$10-'минимумы и максимумы'!F$9)*100)</f>
        <v>0</v>
      </c>
      <c r="I97">
        <f>IF('исходные данные'!I97&gt;'минимумы и максимумы'!G$10,100,('исходные данные'!I97-'минимумы и максимумы'!G$9)/('минимумы и максимумы'!G$10-'минимумы и максимумы'!G$9)*100)</f>
        <v>5.6603773584905666</v>
      </c>
      <c r="J97">
        <f>IF('исходные данные'!J97&gt;'минимумы и максимумы'!H$10,100,('исходные данные'!J97-'минимумы и максимумы'!H$9)/('минимумы и максимумы'!H$10-'минимумы и максимумы'!H$9)*100)</f>
        <v>33.333333333333329</v>
      </c>
      <c r="K97">
        <f>IF('исходные данные'!K97&gt;'минимумы и максимумы'!I$10,100,('исходные данные'!K97-'минимумы и максимумы'!I$9)/('минимумы и максимумы'!I$10-'минимумы и максимумы'!I$9)*100)</f>
        <v>5.5555555555555554</v>
      </c>
      <c r="L97">
        <f>IF('исходные данные'!L97&gt;'минимумы и максимумы'!J$10,100,('исходные данные'!L97-'минимумы и максимумы'!J$9)/('минимумы и максимумы'!J$10-'минимумы и максимумы'!J$9)*100)</f>
        <v>0</v>
      </c>
      <c r="M97">
        <f>IF('исходные данные'!M97&gt;'минимумы и максимумы'!K$10,100,('исходные данные'!M97-'минимумы и максимумы'!K$9)/('минимумы и максимумы'!K$10-'минимумы и максимумы'!K$9)*100)</f>
        <v>10.714285714285714</v>
      </c>
      <c r="N97">
        <f>IF('исходные данные'!N97&gt;'минимумы и максимумы'!L$10,100,('исходные данные'!N97-'минимумы и максимумы'!L$9)/('минимумы и максимумы'!L$10-'минимумы и максимумы'!L$9)*100)</f>
        <v>23.604199029690538</v>
      </c>
      <c r="O97">
        <f>IF('исходные данные'!O97&gt;'минимумы и максимумы'!M$10,100,('исходные данные'!O97-'минимумы и максимумы'!M$9)/('минимумы и максимумы'!M$10-'минимумы и максимумы'!M$9)*100)</f>
        <v>66.666666666666657</v>
      </c>
      <c r="P97">
        <f>IF('исходные данные'!P97&gt;'минимумы и максимумы'!N$10,100,('исходные данные'!P97-'минимумы и максимумы'!N$9)/('минимумы и максимумы'!N$10-'минимумы и максимумы'!N$9)*100)</f>
        <v>100</v>
      </c>
      <c r="Q97">
        <f>IF('исходные данные'!Q97&gt;'минимумы и максимумы'!O$10,100,('исходные данные'!Q97-'минимумы и максимумы'!O$9)/('минимумы и максимумы'!O$10-'минимумы и максимумы'!O$9)*100)</f>
        <v>0</v>
      </c>
      <c r="R97">
        <f>IF('исходные данные'!R97&gt;'минимумы и максимумы'!P$10,100,('исходные данные'!R97-'минимумы и максимумы'!P$9)/('минимумы и максимумы'!P$10-'минимумы и максимумы'!P$9)*100)</f>
        <v>75</v>
      </c>
      <c r="S97">
        <f>IF('исходные данные'!S97&gt;'минимумы и максимумы'!Q$10,100,('исходные данные'!S97-'минимумы и максимумы'!Q$9)/('минимумы и максимумы'!Q$10-'минимумы и максимумы'!Q$9)*100)</f>
        <v>33.333333333333329</v>
      </c>
      <c r="T97">
        <f>IF('исходные данные'!T97&gt;'минимумы и максимумы'!R$10,100,('исходные данные'!T97-'минимумы и максимумы'!R$9)/('минимумы и максимумы'!R$10-'минимумы и максимумы'!R$9)*100)</f>
        <v>25.17261219792865</v>
      </c>
      <c r="U97">
        <f>IF('исходные данные'!U97&gt;'минимумы и максимумы'!S$10,100,('исходные данные'!U97-'минимумы и максимумы'!S$9)/('минимумы и максимумы'!S$10-'минимумы и максимумы'!S$9)*100)</f>
        <v>0</v>
      </c>
    </row>
    <row r="98" spans="1:21" x14ac:dyDescent="0.45">
      <c r="A98" s="4">
        <v>155</v>
      </c>
      <c r="B98" s="4">
        <v>1</v>
      </c>
      <c r="C98" s="4">
        <v>0</v>
      </c>
      <c r="D98">
        <f>IF('исходные данные'!D98&gt;'минимумы и максимумы'!B$10,100,('исходные данные'!D98-'минимумы и максимумы'!B$9)/('минимумы и максимумы'!B$10-'минимумы и максимумы'!B$9)*100)</f>
        <v>0</v>
      </c>
      <c r="E98">
        <f>IF('исходные данные'!E98&gt;'минимумы и максимумы'!C$10,100,('исходные данные'!E98-'минимумы и максимумы'!C$9)/('минимумы и максимумы'!C$10-'минимумы и максимумы'!C$9)*100)</f>
        <v>0</v>
      </c>
      <c r="F98">
        <f>IF('исходные данные'!F98&gt;'минимумы и максимумы'!D$10,100,('исходные данные'!F98-'минимумы и максимумы'!D$9)/('минимумы и максимумы'!D$10-'минимумы и максимумы'!D$9)*100)</f>
        <v>0</v>
      </c>
      <c r="G98">
        <f>IF('исходные данные'!G98&gt;'минимумы и максимумы'!E$10,100,('исходные данные'!G98-'минимумы и максимумы'!E$9)/('минимумы и максимумы'!E$10-'минимумы и максимумы'!E$9)*100)</f>
        <v>0</v>
      </c>
      <c r="H98">
        <f>IF('исходные данные'!H98&gt;'минимумы и максимумы'!F$10,100,('исходные данные'!H98-'минимумы и максимумы'!F$9)/('минимумы и максимумы'!F$10-'минимумы и максимумы'!F$9)*100)</f>
        <v>0</v>
      </c>
      <c r="I98">
        <f>IF('исходные данные'!I98&gt;'минимумы и максимумы'!G$10,100,('исходные данные'!I98-'минимумы и максимумы'!G$9)/('минимумы и максимумы'!G$10-'минимумы и максимумы'!G$9)*100)</f>
        <v>7.5471698113207548</v>
      </c>
      <c r="J98">
        <f>IF('исходные данные'!J98&gt;'минимумы и максимумы'!H$10,100,('исходные данные'!J98-'минимумы и максимумы'!H$9)/('минимумы и максимумы'!H$10-'минимумы и максимумы'!H$9)*100)</f>
        <v>46.666666666666664</v>
      </c>
      <c r="K98">
        <f>IF('исходные данные'!K98&gt;'минимумы и максимумы'!I$10,100,('исходные данные'!K98-'минимумы и максимумы'!I$9)/('минимумы и максимумы'!I$10-'минимумы и максимумы'!I$9)*100)</f>
        <v>5.5555555555555554</v>
      </c>
      <c r="L98">
        <f>IF('исходные данные'!L98&gt;'минимумы и максимумы'!J$10,100,('исходные данные'!L98-'минимумы и максимумы'!J$9)/('минимумы и максимумы'!J$10-'минимумы и максимумы'!J$9)*100)</f>
        <v>0</v>
      </c>
      <c r="M98">
        <f>IF('исходные данные'!M98&gt;'минимумы и максимумы'!K$10,100,('исходные данные'!M98-'минимумы и максимумы'!K$9)/('минимумы и максимумы'!K$10-'минимумы и максимумы'!K$9)*100)</f>
        <v>7.1428571428571423</v>
      </c>
      <c r="N98">
        <f>IF('исходные данные'!N98&gt;'минимумы и максимумы'!L$10,100,('исходные данные'!N98-'минимумы и максимумы'!L$9)/('минимумы и максимумы'!L$10-'минимумы и максимумы'!L$9)*100)</f>
        <v>22.112831041366025</v>
      </c>
      <c r="O98">
        <f>IF('исходные данные'!O98&gt;'минимумы и максимумы'!M$10,100,('исходные данные'!O98-'минимумы и максимумы'!M$9)/('минимумы и максимумы'!M$10-'минимумы и максимумы'!M$9)*100)</f>
        <v>0</v>
      </c>
      <c r="P98">
        <f>IF('исходные данные'!P98&gt;'минимумы и максимумы'!N$10,100,('исходные данные'!P98-'минимумы и максимумы'!N$9)/('минимумы и максимумы'!N$10-'минимумы и максимумы'!N$9)*100)</f>
        <v>100</v>
      </c>
      <c r="Q98">
        <f>IF('исходные данные'!Q98&gt;'минимумы и максимумы'!O$10,100,('исходные данные'!Q98-'минимумы и максимумы'!O$9)/('минимумы и максимумы'!O$10-'минимумы и максимумы'!O$9)*100)</f>
        <v>100</v>
      </c>
      <c r="R98">
        <f>IF('исходные данные'!R98&gt;'минимумы и максимумы'!P$10,100,('исходные данные'!R98-'минимумы и максимумы'!P$9)/('минимумы и максимумы'!P$10-'минимумы и максимумы'!P$9)*100)</f>
        <v>75</v>
      </c>
      <c r="S98">
        <f>IF('исходные данные'!S98&gt;'минимумы и максимумы'!Q$10,100,('исходные данные'!S98-'минимумы и максимумы'!Q$9)/('минимумы и максимумы'!Q$10-'минимумы и максимумы'!Q$9)*100)</f>
        <v>33.333333333333329</v>
      </c>
      <c r="T98">
        <f>IF('исходные данные'!T98&gt;'минимумы и максимумы'!R$10,100,('исходные данные'!T98-'минимумы и максимумы'!R$9)/('минимумы и максимумы'!R$10-'минимумы и максимумы'!R$9)*100)</f>
        <v>6.6743383199079398</v>
      </c>
      <c r="U98">
        <f>IF('исходные данные'!U98&gt;'минимумы и максимумы'!S$10,100,('исходные данные'!U98-'минимумы и максимумы'!S$9)/('минимумы и максимумы'!S$10-'минимумы и максимумы'!S$9)*100)</f>
        <v>0</v>
      </c>
    </row>
    <row r="99" spans="1:21" x14ac:dyDescent="0.45">
      <c r="A99" s="4">
        <v>156</v>
      </c>
      <c r="B99" s="4">
        <v>0</v>
      </c>
      <c r="C99" s="4">
        <v>0</v>
      </c>
      <c r="D99">
        <f>IF('исходные данные'!D99&gt;'минимумы и максимумы'!B$10,100,('исходные данные'!D99-'минимумы и максимумы'!B$9)/('минимумы и максимумы'!B$10-'минимумы и максимумы'!B$9)*100)</f>
        <v>0</v>
      </c>
      <c r="E99">
        <f>IF('исходные данные'!E99&gt;'минимумы и максимумы'!C$10,100,('исходные данные'!E99-'минимумы и максимумы'!C$9)/('минимумы и максимумы'!C$10-'минимумы и максимумы'!C$9)*100)</f>
        <v>30</v>
      </c>
      <c r="F99">
        <f>IF('исходные данные'!F99&gt;'минимумы и максимумы'!D$10,100,('исходные данные'!F99-'минимумы и максимумы'!D$9)/('минимумы и максимумы'!D$10-'минимумы и максимумы'!D$9)*100)</f>
        <v>100</v>
      </c>
      <c r="G99">
        <f>IF('исходные данные'!G99&gt;'минимумы и максимумы'!E$10,100,('исходные данные'!G99-'минимумы и максимумы'!E$9)/('минимумы и максимумы'!E$10-'минимумы и максимумы'!E$9)*100)</f>
        <v>20.833333333333336</v>
      </c>
      <c r="H99">
        <f>IF('исходные данные'!H99&gt;'минимумы и максимумы'!F$10,100,('исходные данные'!H99-'минимумы и максимумы'!F$9)/('минимумы и максимумы'!F$10-'минимумы и максимумы'!F$9)*100)</f>
        <v>27.586206896551722</v>
      </c>
      <c r="I99">
        <f>IF('исходные данные'!I99&gt;'минимумы и максимумы'!G$10,100,('исходные данные'!I99-'минимумы и максимумы'!G$9)/('минимумы и максимумы'!G$10-'минимумы и максимумы'!G$9)*100)</f>
        <v>16.981132075471699</v>
      </c>
      <c r="J99">
        <f>IF('исходные данные'!J99&gt;'минимумы и максимумы'!H$10,100,('исходные данные'!J99-'минимумы и максимумы'!H$9)/('минимумы и максимумы'!H$10-'минимумы и максимумы'!H$9)*100)</f>
        <v>13.333333333333334</v>
      </c>
      <c r="K99">
        <f>IF('исходные данные'!K99&gt;'минимумы и максимумы'!I$10,100,('исходные данные'!K99-'минимумы и максимумы'!I$9)/('минимумы и максимумы'!I$10-'минимумы и максимумы'!I$9)*100)</f>
        <v>16.666666666666664</v>
      </c>
      <c r="L99">
        <f>IF('исходные данные'!L99&gt;'минимумы и максимумы'!J$10,100,('исходные данные'!L99-'минимумы и максимумы'!J$9)/('минимумы и максимумы'!J$10-'минимумы и максимумы'!J$9)*100)</f>
        <v>0</v>
      </c>
      <c r="M99">
        <f>IF('исходные данные'!M99&gt;'минимумы и максимумы'!K$10,100,('исходные данные'!M99-'минимумы и максимумы'!K$9)/('минимумы и максимумы'!K$10-'минимумы и максимумы'!K$9)*100)</f>
        <v>17.857142857142858</v>
      </c>
      <c r="N99">
        <f>IF('исходные данные'!N99&gt;'минимумы и максимумы'!L$10,100,('исходные данные'!N99-'минимумы и максимумы'!L$9)/('минимумы и максимумы'!L$10-'минимумы и максимумы'!L$9)*100)</f>
        <v>19.286673786063293</v>
      </c>
      <c r="O99">
        <f>IF('исходные данные'!O99&gt;'минимумы и максимумы'!M$10,100,('исходные данные'!O99-'минимумы и максимумы'!M$9)/('минимумы и максимумы'!M$10-'минимумы и максимумы'!M$9)*100)</f>
        <v>100</v>
      </c>
      <c r="P99">
        <f>IF('исходные данные'!P99&gt;'минимумы и максимумы'!N$10,100,('исходные данные'!P99-'минимумы и максимумы'!N$9)/('минимумы и максимумы'!N$10-'минимумы и максимумы'!N$9)*100)</f>
        <v>100</v>
      </c>
      <c r="Q99">
        <f>IF('исходные данные'!Q99&gt;'минимумы и максимумы'!O$10,100,('исходные данные'!Q99-'минимумы и максимумы'!O$9)/('минимумы и максимумы'!O$10-'минимумы и максимумы'!O$9)*100)</f>
        <v>100</v>
      </c>
      <c r="R99">
        <f>IF('исходные данные'!R99&gt;'минимумы и максимумы'!P$10,100,('исходные данные'!R99-'минимумы и максимумы'!P$9)/('минимумы и максимумы'!P$10-'минимумы и максимумы'!P$9)*100)</f>
        <v>75</v>
      </c>
      <c r="S99">
        <f>IF('исходные данные'!S99&gt;'минимумы и максимумы'!Q$10,100,('исходные данные'!S99-'минимумы и максимумы'!Q$9)/('минимумы и максимумы'!Q$10-'минимумы и максимумы'!Q$9)*100)</f>
        <v>16.666666666666664</v>
      </c>
      <c r="T99">
        <f>IF('исходные данные'!T99&gt;'минимумы и максимумы'!R$10,100,('исходные данные'!T99-'минимумы и максимумы'!R$9)/('минимумы и максимумы'!R$10-'минимумы и максимумы'!R$9)*100)</f>
        <v>18.181818181818183</v>
      </c>
      <c r="U99">
        <f>IF('исходные данные'!U99&gt;'минимумы и максимумы'!S$10,100,('исходные данные'!U99-'минимумы и максимумы'!S$9)/('минимумы и максимумы'!S$10-'минимумы и максимумы'!S$9)*100)</f>
        <v>0</v>
      </c>
    </row>
    <row r="100" spans="1:21" x14ac:dyDescent="0.45">
      <c r="A100" s="4">
        <v>157</v>
      </c>
      <c r="B100" s="4">
        <v>0</v>
      </c>
      <c r="C100" s="4">
        <v>0</v>
      </c>
      <c r="D100">
        <f>IF('исходные данные'!D100&gt;'минимумы и максимумы'!B$10,100,('исходные данные'!D100-'минимумы и максимумы'!B$9)/('минимумы и максимумы'!B$10-'минимумы и максимумы'!B$9)*100)</f>
        <v>11.111111111111111</v>
      </c>
      <c r="E100">
        <f>IF('исходные данные'!E100&gt;'минимумы и максимумы'!C$10,100,('исходные данные'!E100-'минимумы и максимумы'!C$9)/('минимумы и максимумы'!C$10-'минимумы и максимумы'!C$9)*100)</f>
        <v>30</v>
      </c>
      <c r="F100">
        <f>IF('исходные данные'!F100&gt;'минимумы и максимумы'!D$10,100,('исходные данные'!F100-'минимумы и максимумы'!D$9)/('минимумы и максимумы'!D$10-'минимумы и максимумы'!D$9)*100)</f>
        <v>100</v>
      </c>
      <c r="G100">
        <f>IF('исходные данные'!G100&gt;'минимумы и максимумы'!E$10,100,('исходные данные'!G100-'минимумы и максимумы'!E$9)/('минимумы и максимумы'!E$10-'минимумы и максимумы'!E$9)*100)</f>
        <v>41.666666666666671</v>
      </c>
      <c r="H100">
        <f>IF('исходные данные'!H100&gt;'минимумы и максимумы'!F$10,100,('исходные данные'!H100-'минимумы и максимумы'!F$9)/('минимумы и максимумы'!F$10-'минимумы и максимумы'!F$9)*100)</f>
        <v>58.620689655172406</v>
      </c>
      <c r="I100">
        <f>IF('исходные данные'!I100&gt;'минимумы и максимумы'!G$10,100,('исходные данные'!I100-'минимумы и максимумы'!G$9)/('минимумы и максимумы'!G$10-'минимумы и максимумы'!G$9)*100)</f>
        <v>41.509433962264154</v>
      </c>
      <c r="J100">
        <f>IF('исходные данные'!J100&gt;'минимумы и максимумы'!H$10,100,('исходные данные'!J100-'минимумы и максимумы'!H$9)/('минимумы и максимумы'!H$10-'минимумы и максимумы'!H$9)*100)</f>
        <v>60</v>
      </c>
      <c r="K100">
        <f>IF('исходные данные'!K100&gt;'минимумы и максимумы'!I$10,100,('исходные данные'!K100-'минимумы и максимумы'!I$9)/('минимумы и максимумы'!I$10-'минимумы и максимумы'!I$9)*100)</f>
        <v>27.777777777777779</v>
      </c>
      <c r="L100">
        <f>IF('исходные данные'!L100&gt;'минимумы и максимумы'!J$10,100,('исходные данные'!L100-'минимумы и максимумы'!J$9)/('минимумы и максимумы'!J$10-'минимумы и максимумы'!J$9)*100)</f>
        <v>0</v>
      </c>
      <c r="M100">
        <f>IF('исходные данные'!M100&gt;'минимумы и максимумы'!K$10,100,('исходные данные'!M100-'минимумы и максимумы'!K$9)/('минимумы и максимумы'!K$10-'минимумы и максимумы'!K$9)*100)</f>
        <v>7.1428571428571423</v>
      </c>
      <c r="N100">
        <f>IF('исходные данные'!N100&gt;'минимумы и максимумы'!L$10,100,('исходные данные'!N100-'минимумы и максимумы'!L$9)/('минимумы и максимумы'!L$10-'минимумы и максимумы'!L$9)*100)</f>
        <v>17.475120874042315</v>
      </c>
      <c r="O100">
        <f>IF('исходные данные'!O100&gt;'минимумы и максимумы'!M$10,100,('исходные данные'!O100-'минимумы и максимумы'!M$9)/('минимумы и максимумы'!M$10-'минимумы и максимумы'!M$9)*100)</f>
        <v>66.666666666666657</v>
      </c>
      <c r="P100">
        <f>IF('исходные данные'!P100&gt;'минимумы и максимумы'!N$10,100,('исходные данные'!P100-'минимумы и максимумы'!N$9)/('минимумы и максимумы'!N$10-'минимумы и максимумы'!N$9)*100)</f>
        <v>100</v>
      </c>
      <c r="Q100">
        <f>IF('исходные данные'!Q100&gt;'минимумы и максимумы'!O$10,100,('исходные данные'!Q100-'минимумы и максимумы'!O$9)/('минимумы и максимумы'!O$10-'минимумы и максимумы'!O$9)*100)</f>
        <v>100</v>
      </c>
      <c r="R100">
        <f>IF('исходные данные'!R100&gt;'минимумы и максимумы'!P$10,100,('исходные данные'!R100-'минимумы и максимумы'!P$9)/('минимумы и максимумы'!P$10-'минимумы и максимумы'!P$9)*100)</f>
        <v>75</v>
      </c>
      <c r="S100">
        <f>IF('исходные данные'!S100&gt;'минимумы и максимумы'!Q$10,100,('исходные данные'!S100-'минимумы и максимумы'!Q$9)/('минимумы и максимумы'!Q$10-'минимумы и максимумы'!Q$9)*100)</f>
        <v>50</v>
      </c>
      <c r="T100">
        <f>IF('исходные данные'!T100&gt;'минимумы и максимумы'!R$10,100,('исходные данные'!T100-'минимумы и максимумы'!R$9)/('минимумы и максимумы'!R$10-'минимумы и максимумы'!R$9)*100)</f>
        <v>22.842347525891828</v>
      </c>
      <c r="U100">
        <f>IF('исходные данные'!U100&gt;'минимумы и максимумы'!S$10,100,('исходные данные'!U100-'минимумы и максимумы'!S$9)/('минимумы и максимумы'!S$10-'минимумы и максимумы'!S$9)*100)</f>
        <v>66.666666666666657</v>
      </c>
    </row>
    <row r="101" spans="1:21" x14ac:dyDescent="0.45">
      <c r="A101" s="4">
        <v>164</v>
      </c>
      <c r="B101" s="4">
        <v>0</v>
      </c>
      <c r="C101" s="4">
        <v>0</v>
      </c>
      <c r="D101">
        <f>IF('исходные данные'!D101&gt;'минимумы и максимумы'!B$10,100,('исходные данные'!D101-'минимумы и максимумы'!B$9)/('минимумы и максимумы'!B$10-'минимумы и максимумы'!B$9)*100)</f>
        <v>11.111111111111111</v>
      </c>
      <c r="E101">
        <f>IF('исходные данные'!E101&gt;'минимумы и максимумы'!C$10,100,('исходные данные'!E101-'минимумы и максимумы'!C$9)/('минимумы и максимумы'!C$10-'минимумы и максимумы'!C$9)*100)</f>
        <v>30</v>
      </c>
      <c r="F101">
        <f>IF('исходные данные'!F101&gt;'минимумы и максимумы'!D$10,100,('исходные данные'!F101-'минимумы и максимумы'!D$9)/('минимумы и максимумы'!D$10-'минимумы и максимумы'!D$9)*100)</f>
        <v>0</v>
      </c>
      <c r="G101">
        <f>IF('исходные данные'!G101&gt;'минимумы и максимумы'!E$10,100,('исходные данные'!G101-'минимумы и максимумы'!E$9)/('минимумы и максимумы'!E$10-'минимумы и максимумы'!E$9)*100)</f>
        <v>20.833333333333336</v>
      </c>
      <c r="H101">
        <f>IF('исходные данные'!H101&gt;'минимумы и максимумы'!F$10,100,('исходные данные'!H101-'минимумы и максимумы'!F$9)/('минимумы и максимумы'!F$10-'минимумы и максимумы'!F$9)*100)</f>
        <v>17.241379310344829</v>
      </c>
      <c r="I101">
        <f>IF('исходные данные'!I101&gt;'минимумы и максимумы'!G$10,100,('исходные данные'!I101-'минимумы и максимумы'!G$9)/('минимумы и максимумы'!G$10-'минимумы и максимумы'!G$9)*100)</f>
        <v>13.20754716981132</v>
      </c>
      <c r="J101">
        <f>IF('исходные данные'!J101&gt;'минимумы и максимумы'!H$10,100,('исходные данные'!J101-'минимумы и максимумы'!H$9)/('минимумы и максимумы'!H$10-'минимумы и максимумы'!H$9)*100)</f>
        <v>46.666666666666664</v>
      </c>
      <c r="K101">
        <f>IF('исходные данные'!K101&gt;'минимумы и максимумы'!I$10,100,('исходные данные'!K101-'минимумы и максимумы'!I$9)/('минимумы и максимумы'!I$10-'минимумы и максимумы'!I$9)*100)</f>
        <v>16.666666666666664</v>
      </c>
      <c r="L101">
        <f>IF('исходные данные'!L101&gt;'минимумы и максимумы'!J$10,100,('исходные данные'!L101-'минимумы и максимумы'!J$9)/('минимумы и максимумы'!J$10-'минимумы и максимумы'!J$9)*100)</f>
        <v>0</v>
      </c>
      <c r="M101">
        <f>IF('исходные данные'!M101&gt;'минимумы и максимумы'!K$10,100,('исходные данные'!M101-'минимумы и максимумы'!K$9)/('минимумы и максимумы'!K$10-'минимумы и максимумы'!K$9)*100)</f>
        <v>7.1428571428571423</v>
      </c>
      <c r="N101">
        <f>IF('исходные данные'!N101&gt;'минимумы и максимумы'!L$10,100,('исходные данные'!N101-'минимумы и максимумы'!L$9)/('минимумы и максимумы'!L$10-'минимумы и максимумы'!L$9)*100)</f>
        <v>12.715984272616726</v>
      </c>
      <c r="O101">
        <f>IF('исходные данные'!O101&gt;'минимумы и максимумы'!M$10,100,('исходные данные'!O101-'минимумы и максимумы'!M$9)/('минимумы и максимумы'!M$10-'минимумы и максимумы'!M$9)*100)</f>
        <v>100</v>
      </c>
      <c r="P101">
        <f>IF('исходные данные'!P101&gt;'минимумы и максимумы'!N$10,100,('исходные данные'!P101-'минимумы и максимумы'!N$9)/('минимумы и максимумы'!N$10-'минимумы и максимумы'!N$9)*100)</f>
        <v>100</v>
      </c>
      <c r="Q101">
        <f>IF('исходные данные'!Q101&gt;'минимумы и максимумы'!O$10,100,('исходные данные'!Q101-'минимумы и максимумы'!O$9)/('минимумы и максимумы'!O$10-'минимумы и максимумы'!O$9)*100)</f>
        <v>100</v>
      </c>
      <c r="R101">
        <f>IF('исходные данные'!R101&gt;'минимумы и максимумы'!P$10,100,('исходные данные'!R101-'минимумы и максимумы'!P$9)/('минимумы и максимумы'!P$10-'минимумы и максимумы'!P$9)*100)</f>
        <v>75</v>
      </c>
      <c r="S101">
        <f>IF('исходные данные'!S101&gt;'минимумы и максимумы'!Q$10,100,('исходные данные'!S101-'минимумы и максимумы'!Q$9)/('минимумы и максимумы'!Q$10-'минимумы и максимумы'!Q$9)*100)</f>
        <v>16.666666666666664</v>
      </c>
      <c r="T101">
        <f>IF('исходные данные'!T101&gt;'минимумы и максимумы'!R$10,100,('исходные данные'!T101-'минимумы и максимумы'!R$9)/('минимумы и максимумы'!R$10-'минимумы и максимумы'!R$9)*100)</f>
        <v>5.6674338319907935</v>
      </c>
      <c r="U101">
        <f>IF('исходные данные'!U101&gt;'минимумы и максимумы'!S$10,100,('исходные данные'!U101-'минимумы и максимумы'!S$9)/('минимумы и максимумы'!S$10-'минимумы и максимумы'!S$9)*100)</f>
        <v>66.666666666666657</v>
      </c>
    </row>
    <row r="102" spans="1:21" x14ac:dyDescent="0.45">
      <c r="A102" s="4">
        <v>165</v>
      </c>
      <c r="B102" s="4">
        <v>0</v>
      </c>
      <c r="C102" s="4">
        <v>0</v>
      </c>
      <c r="D102">
        <f>IF('исходные данные'!D102&gt;'минимумы и максимумы'!B$10,100,('исходные данные'!D102-'минимумы и максимумы'!B$9)/('минимумы и максимумы'!B$10-'минимумы и максимумы'!B$9)*100)</f>
        <v>66.666666666666657</v>
      </c>
      <c r="E102">
        <f>IF('исходные данные'!E102&gt;'минимумы и максимумы'!C$10,100,('исходные данные'!E102-'минимумы и максимумы'!C$9)/('минимумы и максимумы'!C$10-'минимумы и максимумы'!C$9)*100)</f>
        <v>90</v>
      </c>
      <c r="F102">
        <f>IF('исходные данные'!F102&gt;'минимумы и максимумы'!D$10,100,('исходные данные'!F102-'минимумы и максимумы'!D$9)/('минимумы и максимумы'!D$10-'минимумы и максимумы'!D$9)*100)</f>
        <v>100</v>
      </c>
      <c r="G102">
        <f>IF('исходные данные'!G102&gt;'минимумы и максимумы'!E$10,100,('исходные данные'!G102-'минимумы и максимумы'!E$9)/('минимумы и максимумы'!E$10-'минимумы и максимумы'!E$9)*100)</f>
        <v>87.5</v>
      </c>
      <c r="H102">
        <f>IF('исходные данные'!H102&gt;'минимумы и максимумы'!F$10,100,('исходные данные'!H102-'минимумы и максимумы'!F$9)/('минимумы и максимумы'!F$10-'минимумы и максимумы'!F$9)*100)</f>
        <v>55.172413793103445</v>
      </c>
      <c r="I102">
        <f>IF('исходные данные'!I102&gt;'минимумы и максимумы'!G$10,100,('исходные данные'!I102-'минимумы и максимумы'!G$9)/('минимумы и максимумы'!G$10-'минимумы и максимумы'!G$9)*100)</f>
        <v>100</v>
      </c>
      <c r="J102">
        <f>IF('исходные данные'!J102&gt;'минимумы и максимумы'!H$10,100,('исходные данные'!J102-'минимумы и максимумы'!H$9)/('минимумы и максимумы'!H$10-'минимумы и максимумы'!H$9)*100)</f>
        <v>100</v>
      </c>
      <c r="K102">
        <f>IF('исходные данные'!K102&gt;'минимумы и максимумы'!I$10,100,('исходные данные'!K102-'минимумы и максимумы'!I$9)/('минимумы и максимумы'!I$10-'минимумы и максимумы'!I$9)*100)</f>
        <v>16.666666666666664</v>
      </c>
      <c r="L102">
        <f>IF('исходные данные'!L102&gt;'минимумы и максимумы'!J$10,100,('исходные данные'!L102-'минимумы и максимумы'!J$9)/('минимумы и максимумы'!J$10-'минимумы и максимумы'!J$9)*100)</f>
        <v>21.428571428571427</v>
      </c>
      <c r="M102">
        <f>IF('исходные данные'!M102&gt;'минимумы и максимумы'!K$10,100,('исходные данные'!M102-'минимумы и максимумы'!K$9)/('минимумы и максимумы'!K$10-'минимумы и максимумы'!K$9)*100)</f>
        <v>82.142857142857139</v>
      </c>
      <c r="N102">
        <f>IF('исходные данные'!N102&gt;'минимумы и максимумы'!L$10,100,('исходные данные'!N102-'минимумы и максимумы'!L$9)/('минимумы и максимумы'!L$10-'минимумы и максимумы'!L$9)*100)</f>
        <v>8.3610217478624911</v>
      </c>
      <c r="O102">
        <f>IF('исходные данные'!O102&gt;'минимумы и максимумы'!M$10,100,('исходные данные'!O102-'минимумы и максимумы'!M$9)/('минимумы и максимумы'!M$10-'минимумы и максимумы'!M$9)*100)</f>
        <v>66.666666666666657</v>
      </c>
      <c r="P102">
        <f>IF('исходные данные'!P102&gt;'минимумы и максимумы'!N$10,100,('исходные данные'!P102-'минимумы и максимумы'!N$9)/('минимумы и максимумы'!N$10-'минимумы и максимумы'!N$9)*100)</f>
        <v>100</v>
      </c>
      <c r="Q102">
        <f>IF('исходные данные'!Q102&gt;'минимумы и максимумы'!O$10,100,('исходные данные'!Q102-'минимумы и максимумы'!O$9)/('минимумы и максимумы'!O$10-'минимумы и максимумы'!O$9)*100)</f>
        <v>100</v>
      </c>
      <c r="R102">
        <f>IF('исходные данные'!R102&gt;'минимумы и максимумы'!P$10,100,('исходные данные'!R102-'минимумы и максимумы'!P$9)/('минимумы и максимумы'!P$10-'минимумы и максимумы'!P$9)*100)</f>
        <v>100</v>
      </c>
      <c r="S102">
        <f>IF('исходные данные'!S102&gt;'минимумы и максимумы'!Q$10,100,('исходные данные'!S102-'минимумы и максимумы'!Q$9)/('минимумы и максимумы'!Q$10-'минимумы и максимумы'!Q$9)*100)</f>
        <v>66.666666666666657</v>
      </c>
      <c r="T102">
        <f>IF('исходные данные'!T102&gt;'минимумы и максимумы'!R$10,100,('исходные данные'!T102-'минимумы и максимумы'!R$9)/('минимумы и максимумы'!R$10-'минимумы и максимумы'!R$9)*100)</f>
        <v>87.658227848101262</v>
      </c>
      <c r="U102">
        <f>IF('исходные данные'!U102&gt;'минимумы и максимумы'!S$10,100,('исходные данные'!U102-'минимумы и максимумы'!S$9)/('минимумы и максимумы'!S$10-'минимумы и максимумы'!S$9)*100)</f>
        <v>100</v>
      </c>
    </row>
    <row r="103" spans="1:21" x14ac:dyDescent="0.45">
      <c r="A103" s="4">
        <v>166</v>
      </c>
      <c r="B103" s="4">
        <v>0</v>
      </c>
      <c r="C103" s="4">
        <v>0</v>
      </c>
      <c r="D103">
        <f>IF('исходные данные'!D103&gt;'минимумы и максимумы'!B$10,100,('исходные данные'!D103-'минимумы и максимумы'!B$9)/('минимумы и максимумы'!B$10-'минимумы и максимумы'!B$9)*100)</f>
        <v>66.666666666666657</v>
      </c>
      <c r="E103">
        <f>IF('исходные данные'!E103&gt;'минимумы и максимумы'!C$10,100,('исходные данные'!E103-'минимумы и максимумы'!C$9)/('минимумы и максимумы'!C$10-'минимумы и максимумы'!C$9)*100)</f>
        <v>100</v>
      </c>
      <c r="F103">
        <f>IF('исходные данные'!F103&gt;'минимумы и максимумы'!D$10,100,('исходные данные'!F103-'минимумы и максимумы'!D$9)/('минимумы и максимумы'!D$10-'минимумы и максимумы'!D$9)*100)</f>
        <v>100</v>
      </c>
      <c r="G103">
        <f>IF('исходные данные'!G103&gt;'минимумы и максимумы'!E$10,100,('исходные данные'!G103-'минимумы и максимумы'!E$9)/('минимумы и максимумы'!E$10-'минимумы и максимумы'!E$9)*100)</f>
        <v>62.5</v>
      </c>
      <c r="H103">
        <f>IF('исходные данные'!H103&gt;'минимумы и максимумы'!F$10,100,('исходные данные'!H103-'минимумы и максимумы'!F$9)/('минимумы и максимумы'!F$10-'минимумы и максимумы'!F$9)*100)</f>
        <v>37.931034482758619</v>
      </c>
      <c r="I103">
        <f>IF('исходные данные'!I103&gt;'минимумы и максимумы'!G$10,100,('исходные данные'!I103-'минимумы и максимумы'!G$9)/('минимумы и максимумы'!G$10-'минимумы и максимумы'!G$9)*100)</f>
        <v>90.566037735849065</v>
      </c>
      <c r="J103">
        <f>IF('исходные данные'!J103&gt;'минимумы и максимумы'!H$10,100,('исходные данные'!J103-'минимумы и максимумы'!H$9)/('минимумы и максимумы'!H$10-'минимумы и максимумы'!H$9)*100)</f>
        <v>100</v>
      </c>
      <c r="K103">
        <f>IF('исходные данные'!K103&gt;'минимумы и максимумы'!I$10,100,('исходные данные'!K103-'минимумы и максимумы'!I$9)/('минимумы и максимумы'!I$10-'минимумы и максимумы'!I$9)*100)</f>
        <v>22.222222222222221</v>
      </c>
      <c r="L103">
        <f>IF('исходные данные'!L103&gt;'минимумы и максимумы'!J$10,100,('исходные данные'!L103-'минимумы и максимумы'!J$9)/('минимумы и максимумы'!J$10-'минимумы и максимумы'!J$9)*100)</f>
        <v>0</v>
      </c>
      <c r="M103">
        <f>IF('исходные данные'!M103&gt;'минимумы и максимумы'!K$10,100,('исходные данные'!M103-'минимумы и максимумы'!K$9)/('минимумы и максимумы'!K$10-'минимумы и максимумы'!K$9)*100)</f>
        <v>71.428571428571431</v>
      </c>
      <c r="N103">
        <f>IF('исходные данные'!N103&gt;'минимумы и максимумы'!L$10,100,('исходные данные'!N103-'минимумы и максимумы'!L$9)/('минимумы и максимумы'!L$10-'минимумы и максимумы'!L$9)*100)</f>
        <v>9.659359406269898</v>
      </c>
      <c r="O103">
        <f>IF('исходные данные'!O103&gt;'минимумы и максимумы'!M$10,100,('исходные данные'!O103-'минимумы и максимумы'!M$9)/('минимумы и максимумы'!M$10-'минимумы и максимумы'!M$9)*100)</f>
        <v>66.666666666666657</v>
      </c>
      <c r="P103">
        <f>IF('исходные данные'!P103&gt;'минимумы и максимумы'!N$10,100,('исходные данные'!P103-'минимумы и максимумы'!N$9)/('минимумы и максимумы'!N$10-'минимумы и максимумы'!N$9)*100)</f>
        <v>100</v>
      </c>
      <c r="Q103">
        <f>IF('исходные данные'!Q103&gt;'минимумы и максимумы'!O$10,100,('исходные данные'!Q103-'минимумы и максимумы'!O$9)/('минимумы и максимумы'!O$10-'минимумы и максимумы'!O$9)*100)</f>
        <v>100</v>
      </c>
      <c r="R103">
        <f>IF('исходные данные'!R103&gt;'минимумы и максимумы'!P$10,100,('исходные данные'!R103-'минимумы и максимумы'!P$9)/('минимумы и максимумы'!P$10-'минимумы и максимумы'!P$9)*100)</f>
        <v>100</v>
      </c>
      <c r="S103">
        <f>IF('исходные данные'!S103&gt;'минимумы и максимумы'!Q$10,100,('исходные данные'!S103-'минимумы и максимумы'!Q$9)/('минимумы и максимумы'!Q$10-'минимумы и максимумы'!Q$9)*100)</f>
        <v>83.333333333333343</v>
      </c>
      <c r="T103">
        <f>IF('исходные данные'!T103&gt;'минимумы и максимумы'!R$10,100,('исходные данные'!T103-'минимумы и максимумы'!R$9)/('минимумы и максимумы'!R$10-'минимумы и максимумы'!R$9)*100)</f>
        <v>39.06789413118527</v>
      </c>
      <c r="U103">
        <f>IF('исходные данные'!U103&gt;'минимумы и максимумы'!S$10,100,('исходные данные'!U103-'минимумы и максимумы'!S$9)/('минимумы и максимумы'!S$10-'минимумы и максимумы'!S$9)*100)</f>
        <v>100</v>
      </c>
    </row>
    <row r="104" spans="1:21" x14ac:dyDescent="0.45">
      <c r="A104" s="4">
        <v>167</v>
      </c>
      <c r="B104" s="4">
        <v>0</v>
      </c>
      <c r="C104" s="4">
        <v>0</v>
      </c>
      <c r="D104">
        <f>IF('исходные данные'!D104&gt;'минимумы и максимумы'!B$10,100,('исходные данные'!D104-'минимумы и максимумы'!B$9)/('минимумы и максимумы'!B$10-'минимумы и максимумы'!B$9)*100)</f>
        <v>66.666666666666657</v>
      </c>
      <c r="E104">
        <f>IF('исходные данные'!E104&gt;'минимумы и максимумы'!C$10,100,('исходные данные'!E104-'минимумы и максимумы'!C$9)/('минимумы и максимумы'!C$10-'минимумы и максимумы'!C$9)*100)</f>
        <v>100</v>
      </c>
      <c r="F104">
        <f>IF('исходные данные'!F104&gt;'минимумы и максимумы'!D$10,100,('исходные данные'!F104-'минимумы и максимумы'!D$9)/('минимумы и максимумы'!D$10-'минимумы и максимумы'!D$9)*100)</f>
        <v>100</v>
      </c>
      <c r="G104">
        <f>IF('исходные данные'!G104&gt;'минимумы и максимумы'!E$10,100,('исходные данные'!G104-'минимумы и максимумы'!E$9)/('минимумы и максимумы'!E$10-'минимумы и максимумы'!E$9)*100)</f>
        <v>62.5</v>
      </c>
      <c r="H104">
        <f>IF('исходные данные'!H104&gt;'минимумы и максимумы'!F$10,100,('исходные данные'!H104-'минимумы и максимумы'!F$9)/('минимумы и максимумы'!F$10-'минимумы и максимумы'!F$9)*100)</f>
        <v>37.931034482758619</v>
      </c>
      <c r="I104">
        <f>IF('исходные данные'!I104&gt;'минимумы и максимумы'!G$10,100,('исходные данные'!I104-'минимумы и максимумы'!G$9)/('минимумы и максимумы'!G$10-'минимумы и максимумы'!G$9)*100)</f>
        <v>90.566037735849065</v>
      </c>
      <c r="J104">
        <f>IF('исходные данные'!J104&gt;'минимумы и максимумы'!H$10,100,('исходные данные'!J104-'минимумы и максимумы'!H$9)/('минимумы и максимумы'!H$10-'минимумы и максимумы'!H$9)*100)</f>
        <v>100</v>
      </c>
      <c r="K104">
        <f>IF('исходные данные'!K104&gt;'минимумы и максимумы'!I$10,100,('исходные данные'!K104-'минимумы и максимумы'!I$9)/('минимумы и максимумы'!I$10-'минимумы и максимумы'!I$9)*100)</f>
        <v>22.222222222222221</v>
      </c>
      <c r="L104">
        <f>IF('исходные данные'!L104&gt;'минимумы и максимумы'!J$10,100,('исходные данные'!L104-'минимумы и максимумы'!J$9)/('минимумы и максимумы'!J$10-'минимумы и максимумы'!J$9)*100)</f>
        <v>0</v>
      </c>
      <c r="M104">
        <f>IF('исходные данные'!M104&gt;'минимумы и максимумы'!K$10,100,('исходные данные'!M104-'минимумы и максимумы'!K$9)/('минимумы и максимумы'!K$10-'минимумы и максимумы'!K$9)*100)</f>
        <v>71.428571428571431</v>
      </c>
      <c r="N104">
        <f>IF('исходные данные'!N104&gt;'минимумы и максимумы'!L$10,100,('исходные данные'!N104-'минимумы и максимумы'!L$9)/('минимумы и максимумы'!L$10-'минимумы и максимумы'!L$9)*100)</f>
        <v>9.9530468251713309</v>
      </c>
      <c r="O104">
        <f>IF('исходные данные'!O104&gt;'минимумы и максимумы'!M$10,100,('исходные данные'!O104-'минимумы и максимумы'!M$9)/('минимумы и максимумы'!M$10-'минимумы и максимумы'!M$9)*100)</f>
        <v>66.666666666666657</v>
      </c>
      <c r="P104">
        <f>IF('исходные данные'!P104&gt;'минимумы и максимумы'!N$10,100,('исходные данные'!P104-'минимумы и максимумы'!N$9)/('минимумы и максимумы'!N$10-'минимумы и максимумы'!N$9)*100)</f>
        <v>0</v>
      </c>
      <c r="Q104">
        <f>IF('исходные данные'!Q104&gt;'минимумы и максимумы'!O$10,100,('исходные данные'!Q104-'минимумы и максимумы'!O$9)/('минимумы и максимумы'!O$10-'минимумы и максимумы'!O$9)*100)</f>
        <v>100</v>
      </c>
      <c r="R104">
        <f>IF('исходные данные'!R104&gt;'минимумы и максимумы'!P$10,100,('исходные данные'!R104-'минимумы и максимумы'!P$9)/('минимумы и максимумы'!P$10-'минимумы и максимумы'!P$9)*100)</f>
        <v>100</v>
      </c>
      <c r="S104">
        <f>IF('исходные данные'!S104&gt;'минимумы и максимумы'!Q$10,100,('исходные данные'!S104-'минимумы и максимумы'!Q$9)/('минимумы и максимумы'!Q$10-'минимумы и максимумы'!Q$9)*100)</f>
        <v>83.333333333333343</v>
      </c>
      <c r="T104">
        <f>IF('исходные данные'!T104&gt;'минимумы и максимумы'!R$10,100,('исходные данные'!T104-'минимумы и максимумы'!R$9)/('минимумы и максимумы'!R$10-'минимумы и максимумы'!R$9)*100)</f>
        <v>63.00345224395857</v>
      </c>
      <c r="U104">
        <f>IF('исходные данные'!U104&gt;'минимумы и максимумы'!S$10,100,('исходные данные'!U104-'минимумы и максимумы'!S$9)/('минимумы и максимумы'!S$10-'минимумы и максимумы'!S$9)*100)</f>
        <v>100</v>
      </c>
    </row>
    <row r="105" spans="1:21" x14ac:dyDescent="0.45">
      <c r="A105" s="4">
        <v>168</v>
      </c>
      <c r="B105" s="4">
        <v>0</v>
      </c>
      <c r="C105" s="4">
        <v>0</v>
      </c>
      <c r="D105">
        <f>IF('исходные данные'!D105&gt;'минимумы и максимумы'!B$10,100,('исходные данные'!D105-'минимумы и максимумы'!B$9)/('минимумы и максимумы'!B$10-'минимумы и максимумы'!B$9)*100)</f>
        <v>44.444444444444443</v>
      </c>
      <c r="E105">
        <f>IF('исходные данные'!E105&gt;'минимумы и максимумы'!C$10,100,('исходные данные'!E105-'минимумы и максимумы'!C$9)/('минимумы и максимумы'!C$10-'минимумы и максимумы'!C$9)*100)</f>
        <v>100</v>
      </c>
      <c r="F105">
        <f>IF('исходные данные'!F105&gt;'минимумы и максимумы'!D$10,100,('исходные данные'!F105-'минимумы и максимумы'!D$9)/('минимумы и максимумы'!D$10-'минимумы и максимумы'!D$9)*100)</f>
        <v>66.666666666666657</v>
      </c>
      <c r="G105">
        <f>IF('исходные данные'!G105&gt;'минимумы и максимумы'!E$10,100,('исходные данные'!G105-'минимумы и максимумы'!E$9)/('минимумы и максимумы'!E$10-'минимумы и максимумы'!E$9)*100)</f>
        <v>62.5</v>
      </c>
      <c r="H105">
        <f>IF('исходные данные'!H105&gt;'минимумы и максимумы'!F$10,100,('исходные данные'!H105-'минимумы и максимумы'!F$9)/('минимумы и максимумы'!F$10-'минимумы и максимумы'!F$9)*100)</f>
        <v>37.931034482758619</v>
      </c>
      <c r="I105">
        <f>IF('исходные данные'!I105&gt;'минимумы и максимумы'!G$10,100,('исходные данные'!I105-'минимумы и максимумы'!G$9)/('минимумы и максимумы'!G$10-'минимумы и максимумы'!G$9)*100)</f>
        <v>83.018867924528308</v>
      </c>
      <c r="J105">
        <f>IF('исходные данные'!J105&gt;'минимумы и максимумы'!H$10,100,('исходные данные'!J105-'минимумы и максимумы'!H$9)/('минимумы и максимумы'!H$10-'минимумы и максимумы'!H$9)*100)</f>
        <v>100</v>
      </c>
      <c r="K105">
        <f>IF('исходные данные'!K105&gt;'минимумы и максимумы'!I$10,100,('исходные данные'!K105-'минимумы и максимумы'!I$9)/('минимумы и максимумы'!I$10-'минимумы и максимумы'!I$9)*100)</f>
        <v>27.777777777777779</v>
      </c>
      <c r="L105">
        <f>IF('исходные данные'!L105&gt;'минимумы и максимумы'!J$10,100,('исходные данные'!L105-'минимумы и максимумы'!J$9)/('минимумы и максимумы'!J$10-'минимумы и максимумы'!J$9)*100)</f>
        <v>0</v>
      </c>
      <c r="M105">
        <f>IF('исходные данные'!M105&gt;'минимумы и максимумы'!K$10,100,('исходные данные'!M105-'минимумы и максимумы'!K$9)/('минимумы и максимумы'!K$10-'минимумы и максимумы'!K$9)*100)</f>
        <v>67.857142857142861</v>
      </c>
      <c r="N105">
        <f>IF('исходные данные'!N105&gt;'минимумы и максимумы'!L$10,100,('исходные данные'!N105-'минимумы и максимумы'!L$9)/('минимумы и максимумы'!L$10-'минимумы и максимумы'!L$9)*100)</f>
        <v>10.428673210538591</v>
      </c>
      <c r="O105">
        <f>IF('исходные данные'!O105&gt;'минимумы и максимумы'!M$10,100,('исходные данные'!O105-'минимумы и максимумы'!M$9)/('минимумы и максимумы'!M$10-'минимумы и максимумы'!M$9)*100)</f>
        <v>100</v>
      </c>
      <c r="P105">
        <f>IF('исходные данные'!P105&gt;'минимумы и максимумы'!N$10,100,('исходные данные'!P105-'минимумы и максимумы'!N$9)/('минимумы и максимумы'!N$10-'минимумы и максимумы'!N$9)*100)</f>
        <v>0</v>
      </c>
      <c r="Q105">
        <f>IF('исходные данные'!Q105&gt;'минимумы и максимумы'!O$10,100,('исходные данные'!Q105-'минимумы и максимумы'!O$9)/('минимумы и максимумы'!O$10-'минимумы и максимумы'!O$9)*100)</f>
        <v>100</v>
      </c>
      <c r="R105">
        <f>IF('исходные данные'!R105&gt;'минимумы и максимумы'!P$10,100,('исходные данные'!R105-'минимумы и максимумы'!P$9)/('минимумы и максимумы'!P$10-'минимумы и максимумы'!P$9)*100)</f>
        <v>75</v>
      </c>
      <c r="S105">
        <f>IF('исходные данные'!S105&gt;'минимумы и максимумы'!Q$10,100,('исходные данные'!S105-'минимумы и максимумы'!Q$9)/('минимумы и максимумы'!Q$10-'минимумы и максимумы'!Q$9)*100)</f>
        <v>33.333333333333329</v>
      </c>
      <c r="T105">
        <f>IF('исходные данные'!T105&gt;'минимумы и максимумы'!R$10,100,('исходные данные'!T105-'минимумы и максимумы'!R$9)/('минимумы и максимумы'!R$10-'минимумы и максимумы'!R$9)*100)</f>
        <v>19.562715765247411</v>
      </c>
      <c r="U105">
        <f>IF('исходные данные'!U105&gt;'минимумы и максимумы'!S$10,100,('исходные данные'!U105-'минимумы и максимумы'!S$9)/('минимумы и максимумы'!S$10-'минимумы и максимумы'!S$9)*100)</f>
        <v>33.333333333333329</v>
      </c>
    </row>
    <row r="106" spans="1:21" x14ac:dyDescent="0.45">
      <c r="A106" s="4">
        <v>170</v>
      </c>
      <c r="B106" s="4">
        <v>1</v>
      </c>
      <c r="C106" s="4">
        <v>0</v>
      </c>
      <c r="D106">
        <f>IF('исходные данные'!D106&gt;'минимумы и максимумы'!B$10,100,('исходные данные'!D106-'минимумы и максимумы'!B$9)/('минимумы и максимумы'!B$10-'минимумы и максимумы'!B$9)*100)</f>
        <v>33.333333333333329</v>
      </c>
      <c r="E106">
        <f>IF('исходные данные'!E106&gt;'минимумы и максимумы'!C$10,100,('исходные данные'!E106-'минимумы и максимумы'!C$9)/('минимумы и максимумы'!C$10-'минимумы и максимумы'!C$9)*100)</f>
        <v>60</v>
      </c>
      <c r="F106">
        <f>IF('исходные данные'!F106&gt;'минимумы и максимумы'!D$10,100,('исходные данные'!F106-'минимумы и максимумы'!D$9)/('минимумы и максимумы'!D$10-'минимумы и максимумы'!D$9)*100)</f>
        <v>66.666666666666657</v>
      </c>
      <c r="G106">
        <f>IF('исходные данные'!G106&gt;'минимумы и максимумы'!E$10,100,('исходные данные'!G106-'минимумы и максимумы'!E$9)/('минимумы и максимумы'!E$10-'минимумы и максимумы'!E$9)*100)</f>
        <v>45.833333333333329</v>
      </c>
      <c r="H106">
        <f>IF('исходные данные'!H106&gt;'минимумы и максимумы'!F$10,100,('исходные данные'!H106-'минимумы и максимумы'!F$9)/('минимумы и максимумы'!F$10-'минимумы и максимумы'!F$9)*100)</f>
        <v>34.482758620689658</v>
      </c>
      <c r="I106">
        <f>IF('исходные данные'!I106&gt;'минимумы и максимумы'!G$10,100,('исходные данные'!I106-'минимумы и максимумы'!G$9)/('минимумы и максимумы'!G$10-'минимумы и максимумы'!G$9)*100)</f>
        <v>83.018867924528308</v>
      </c>
      <c r="J106">
        <f>IF('исходные данные'!J106&gt;'минимумы и максимумы'!H$10,100,('исходные данные'!J106-'минимумы и максимумы'!H$9)/('минимумы и максимумы'!H$10-'минимумы и максимумы'!H$9)*100)</f>
        <v>80</v>
      </c>
      <c r="K106">
        <f>IF('исходные данные'!K106&gt;'минимумы и максимумы'!I$10,100,('исходные данные'!K106-'минимумы и максимумы'!I$9)/('минимумы и максимумы'!I$10-'минимумы и максимумы'!I$9)*100)</f>
        <v>11.111111111111111</v>
      </c>
      <c r="L106">
        <f>IF('исходные данные'!L106&gt;'минимумы и максимумы'!J$10,100,('исходные данные'!L106-'минимумы и максимумы'!J$9)/('минимумы и максимумы'!J$10-'минимумы и максимумы'!J$9)*100)</f>
        <v>7.1428571428571423</v>
      </c>
      <c r="M106">
        <f>IF('исходные данные'!M106&gt;'минимумы и максимумы'!K$10,100,('исходные данные'!M106-'минимумы и максимумы'!K$9)/('минимумы и максимумы'!K$10-'минимумы и максимумы'!K$9)*100)</f>
        <v>25</v>
      </c>
      <c r="N106">
        <f>IF('исходные данные'!N106&gt;'минимумы и максимумы'!L$10,100,('исходные данные'!N106-'минимумы и максимумы'!L$9)/('минимумы и максимумы'!L$10-'минимумы и максимумы'!L$9)*100)</f>
        <v>8.3320400014424827</v>
      </c>
      <c r="O106">
        <f>IF('исходные данные'!O106&gt;'минимумы и максимумы'!M$10,100,('исходные данные'!O106-'минимумы и максимумы'!M$9)/('минимумы и максимумы'!M$10-'минимумы и максимумы'!M$9)*100)</f>
        <v>100</v>
      </c>
      <c r="P106">
        <f>IF('исходные данные'!P106&gt;'минимумы и максимумы'!N$10,100,('исходные данные'!P106-'минимумы и максимумы'!N$9)/('минимумы и максимумы'!N$10-'минимумы и максимумы'!N$9)*100)</f>
        <v>100</v>
      </c>
      <c r="Q106">
        <f>IF('исходные данные'!Q106&gt;'минимумы и максимумы'!O$10,100,('исходные данные'!Q106-'минимумы и максимумы'!O$9)/('минимумы и максимумы'!O$10-'минимумы и максимумы'!O$9)*100)</f>
        <v>100</v>
      </c>
      <c r="R106">
        <f>IF('исходные данные'!R106&gt;'минимумы и максимумы'!P$10,100,('исходные данные'!R106-'минимумы и максимумы'!P$9)/('минимумы и максимумы'!P$10-'минимумы и максимумы'!P$9)*100)</f>
        <v>75</v>
      </c>
      <c r="S106">
        <f>IF('исходные данные'!S106&gt;'минимумы и максимумы'!Q$10,100,('исходные данные'!S106-'минимумы и максимумы'!Q$9)/('минимумы и максимумы'!Q$10-'минимумы и максимумы'!Q$9)*100)</f>
        <v>83.333333333333343</v>
      </c>
      <c r="T106">
        <f>IF('исходные данные'!T106&gt;'минимумы и максимумы'!R$10,100,('исходные данные'!T106-'минимумы и максимумы'!R$9)/('минимумы и максимумы'!R$10-'минимумы и максимумы'!R$9)*100)</f>
        <v>100</v>
      </c>
      <c r="U106">
        <f>IF('исходные данные'!U106&gt;'минимумы и максимумы'!S$10,100,('исходные данные'!U106-'минимумы и максимумы'!S$9)/('минимумы и максимумы'!S$10-'минимумы и максимумы'!S$9)*100)</f>
        <v>100</v>
      </c>
    </row>
    <row r="107" spans="1:21" x14ac:dyDescent="0.45">
      <c r="A107" s="4">
        <v>171</v>
      </c>
      <c r="B107" s="4">
        <v>0</v>
      </c>
      <c r="C107" s="4">
        <v>0</v>
      </c>
      <c r="D107">
        <f>IF('исходные данные'!D107&gt;'минимумы и максимумы'!B$10,100,('исходные данные'!D107-'минимумы и максимумы'!B$9)/('минимумы и максимумы'!B$10-'минимумы и максимумы'!B$9)*100)</f>
        <v>44.444444444444443</v>
      </c>
      <c r="E107">
        <f>IF('исходные данные'!E107&gt;'минимумы и максимумы'!C$10,100,('исходные данные'!E107-'минимумы и максимумы'!C$9)/('минимумы и максимумы'!C$10-'минимумы и максимумы'!C$9)*100)</f>
        <v>50</v>
      </c>
      <c r="F107">
        <f>IF('исходные данные'!F107&gt;'минимумы и максимумы'!D$10,100,('исходные данные'!F107-'минимумы и максимумы'!D$9)/('минимумы и максимумы'!D$10-'минимумы и максимумы'!D$9)*100)</f>
        <v>0</v>
      </c>
      <c r="G107">
        <f>IF('исходные данные'!G107&gt;'минимумы и максимумы'!E$10,100,('исходные данные'!G107-'минимумы и максимумы'!E$9)/('минимумы и максимумы'!E$10-'минимумы и максимумы'!E$9)*100)</f>
        <v>25</v>
      </c>
      <c r="H107">
        <f>IF('исходные данные'!H107&gt;'минимумы и максимумы'!F$10,100,('исходные данные'!H107-'минимумы и максимумы'!F$9)/('минимумы и максимумы'!F$10-'минимумы и максимумы'!F$9)*100)</f>
        <v>27.586206896551722</v>
      </c>
      <c r="I107">
        <f>IF('исходные данные'!I107&gt;'минимумы и максимумы'!G$10,100,('исходные данные'!I107-'минимумы и максимумы'!G$9)/('минимумы и максимумы'!G$10-'минимумы и максимумы'!G$9)*100)</f>
        <v>22.641509433962266</v>
      </c>
      <c r="J107">
        <f>IF('исходные данные'!J107&gt;'минимумы и максимумы'!H$10,100,('исходные данные'!J107-'минимумы и максимумы'!H$9)/('минимумы и максимумы'!H$10-'минимумы и максимумы'!H$9)*100)</f>
        <v>60</v>
      </c>
      <c r="K107">
        <f>IF('исходные данные'!K107&gt;'минимумы и максимумы'!I$10,100,('исходные данные'!K107-'минимумы и максимумы'!I$9)/('минимумы и максимумы'!I$10-'минимумы и максимумы'!I$9)*100)</f>
        <v>16.666666666666664</v>
      </c>
      <c r="L107">
        <f>IF('исходные данные'!L107&gt;'минимумы и максимумы'!J$10,100,('исходные данные'!L107-'минимумы и максимумы'!J$9)/('минимумы и максимумы'!J$10-'минимумы и максимумы'!J$9)*100)</f>
        <v>0</v>
      </c>
      <c r="M107">
        <f>IF('исходные данные'!M107&gt;'минимумы и максимумы'!K$10,100,('исходные данные'!M107-'минимумы и максимумы'!K$9)/('минимумы и максимумы'!K$10-'минимумы и максимумы'!K$9)*100)</f>
        <v>10.714285714285714</v>
      </c>
      <c r="N107">
        <f>IF('исходные данные'!N107&gt;'минимумы и максимумы'!L$10,100,('исходные данные'!N107-'минимумы и максимумы'!L$9)/('минимумы и максимумы'!L$10-'минимумы и максимумы'!L$9)*100)</f>
        <v>12.432907272697271</v>
      </c>
      <c r="O107">
        <f>IF('исходные данные'!O107&gt;'минимумы и максимумы'!M$10,100,('исходные данные'!O107-'минимумы и максимумы'!M$9)/('минимумы и максимумы'!M$10-'минимумы и максимумы'!M$9)*100)</f>
        <v>66.666666666666657</v>
      </c>
      <c r="P107">
        <f>IF('исходные данные'!P107&gt;'минимумы и максимумы'!N$10,100,('исходные данные'!P107-'минимумы и максимумы'!N$9)/('минимумы и максимумы'!N$10-'минимумы и максимумы'!N$9)*100)</f>
        <v>0</v>
      </c>
      <c r="Q107">
        <f>IF('исходные данные'!Q107&gt;'минимумы и максимумы'!O$10,100,('исходные данные'!Q107-'минимумы и максимумы'!O$9)/('минимумы и максимумы'!O$10-'минимумы и максимумы'!O$9)*100)</f>
        <v>100</v>
      </c>
      <c r="R107">
        <f>IF('исходные данные'!R107&gt;'минимумы и максимумы'!P$10,100,('исходные данные'!R107-'минимумы и максимумы'!P$9)/('минимумы и максимумы'!P$10-'минимумы и максимумы'!P$9)*100)</f>
        <v>100</v>
      </c>
      <c r="S107">
        <f>IF('исходные данные'!S107&gt;'минимумы и максимумы'!Q$10,100,('исходные данные'!S107-'минимумы и максимумы'!Q$9)/('минимумы и максимумы'!Q$10-'минимумы и максимумы'!Q$9)*100)</f>
        <v>83.333333333333343</v>
      </c>
      <c r="T107">
        <f>IF('исходные данные'!T107&gt;'минимумы и максимумы'!R$10,100,('исходные данные'!T107-'минимумы и максимумы'!R$9)/('минимумы и максимумы'!R$10-'минимумы и максимумы'!R$9)*100)</f>
        <v>44.649021864211733</v>
      </c>
      <c r="U107">
        <f>IF('исходные данные'!U107&gt;'минимумы и максимумы'!S$10,100,('исходные данные'!U107-'минимумы и максимумы'!S$9)/('минимумы и максимумы'!S$10-'минимумы и максимумы'!S$9)*100)</f>
        <v>0</v>
      </c>
    </row>
    <row r="108" spans="1:21" x14ac:dyDescent="0.45">
      <c r="A108" s="4">
        <v>172</v>
      </c>
      <c r="B108" s="4">
        <v>1</v>
      </c>
      <c r="C108" s="4">
        <v>0</v>
      </c>
      <c r="D108">
        <f>IF('исходные данные'!D108&gt;'минимумы и максимумы'!B$10,100,('исходные данные'!D108-'минимумы и максимумы'!B$9)/('минимумы и максимумы'!B$10-'минимумы и максимумы'!B$9)*100)</f>
        <v>33.333333333333329</v>
      </c>
      <c r="E108">
        <f>IF('исходные данные'!E108&gt;'минимумы и максимумы'!C$10,100,('исходные данные'!E108-'минимумы и максимумы'!C$9)/('минимумы и максимумы'!C$10-'минимумы и максимумы'!C$9)*100)</f>
        <v>40</v>
      </c>
      <c r="F108">
        <f>IF('исходные данные'!F108&gt;'минимумы и максимумы'!D$10,100,('исходные данные'!F108-'минимумы и максимумы'!D$9)/('минимумы и максимумы'!D$10-'минимумы и максимумы'!D$9)*100)</f>
        <v>0</v>
      </c>
      <c r="G108">
        <f>IF('исходные данные'!G108&gt;'минимумы и максимумы'!E$10,100,('исходные данные'!G108-'минимумы и максимумы'!E$9)/('минимумы и максимумы'!E$10-'минимумы и максимумы'!E$9)*100)</f>
        <v>25</v>
      </c>
      <c r="H108">
        <f>IF('исходные данные'!H108&gt;'минимумы и максимумы'!F$10,100,('исходные данные'!H108-'минимумы и максимумы'!F$9)/('минимумы и максимумы'!F$10-'минимумы и максимумы'!F$9)*100)</f>
        <v>34.482758620689658</v>
      </c>
      <c r="I108">
        <f>IF('исходные данные'!I108&gt;'минимумы и максимумы'!G$10,100,('исходные данные'!I108-'минимумы и максимумы'!G$9)/('минимумы и максимумы'!G$10-'минимумы и максимумы'!G$9)*100)</f>
        <v>33.962264150943398</v>
      </c>
      <c r="J108">
        <f>IF('исходные данные'!J108&gt;'минимумы и максимумы'!H$10,100,('исходные данные'!J108-'минимумы и максимумы'!H$9)/('минимумы и максимумы'!H$10-'минимумы и максимумы'!H$9)*100)</f>
        <v>60</v>
      </c>
      <c r="K108">
        <f>IF('исходные данные'!K108&gt;'минимумы и максимумы'!I$10,100,('исходные данные'!K108-'минимумы и максимумы'!I$9)/('минимумы и максимумы'!I$10-'минимумы и максимумы'!I$9)*100)</f>
        <v>16.666666666666664</v>
      </c>
      <c r="L108">
        <f>IF('исходные данные'!L108&gt;'минимумы и максимумы'!J$10,100,('исходные данные'!L108-'минимумы и максимумы'!J$9)/('минимумы и максимумы'!J$10-'минимумы и максимумы'!J$9)*100)</f>
        <v>0</v>
      </c>
      <c r="M108">
        <f>IF('исходные данные'!M108&gt;'минимумы и максимумы'!K$10,100,('исходные данные'!M108-'минимумы и максимумы'!K$9)/('минимумы и максимумы'!K$10-'минимумы и максимумы'!K$9)*100)</f>
        <v>14.285714285714285</v>
      </c>
      <c r="N108">
        <f>IF('исходные данные'!N108&gt;'минимумы и максимумы'!L$10,100,('исходные данные'!N108-'минимумы и максимумы'!L$9)/('минимумы и максимумы'!L$10-'минимумы и максимумы'!L$9)*100)</f>
        <v>14.68476427456914</v>
      </c>
      <c r="O108">
        <f>IF('исходные данные'!O108&gt;'минимумы и максимумы'!M$10,100,('исходные данные'!O108-'минимумы и максимумы'!M$9)/('минимумы и максимумы'!M$10-'минимумы и максимумы'!M$9)*100)</f>
        <v>0</v>
      </c>
      <c r="P108">
        <f>IF('исходные данные'!P108&gt;'минимумы и максимумы'!N$10,100,('исходные данные'!P108-'минимумы и максимумы'!N$9)/('минимумы и максимумы'!N$10-'минимумы и максимумы'!N$9)*100)</f>
        <v>100</v>
      </c>
      <c r="Q108">
        <f>IF('исходные данные'!Q108&gt;'минимумы и максимумы'!O$10,100,('исходные данные'!Q108-'минимумы и максимумы'!O$9)/('минимумы и максимумы'!O$10-'минимумы и максимумы'!O$9)*100)</f>
        <v>100</v>
      </c>
      <c r="R108">
        <f>IF('исходные данные'!R108&gt;'минимумы и максимумы'!P$10,100,('исходные данные'!R108-'минимумы и максимумы'!P$9)/('минимумы и максимумы'!P$10-'минимумы и максимумы'!P$9)*100)</f>
        <v>100</v>
      </c>
      <c r="S108">
        <f>IF('исходные данные'!S108&gt;'минимумы и максимумы'!Q$10,100,('исходные данные'!S108-'минимумы и максимумы'!Q$9)/('минимумы и максимумы'!Q$10-'минимумы и максимумы'!Q$9)*100)</f>
        <v>66.666666666666657</v>
      </c>
      <c r="T108">
        <f>IF('исходные данные'!T108&gt;'минимумы и максимумы'!R$10,100,('исходные данные'!T108-'минимумы и максимумы'!R$9)/('минимумы и максимумы'!R$10-'минимумы и максимумы'!R$9)*100)</f>
        <v>12.83084004602992</v>
      </c>
      <c r="U108">
        <f>IF('исходные данные'!U108&gt;'минимумы и максимумы'!S$10,100,('исходные данные'!U108-'минимумы и максимумы'!S$9)/('минимумы и максимумы'!S$10-'минимумы и максимумы'!S$9)*100)</f>
        <v>33.333333333333329</v>
      </c>
    </row>
    <row r="109" spans="1:21" x14ac:dyDescent="0.45">
      <c r="A109" s="4">
        <v>173</v>
      </c>
      <c r="B109" s="4">
        <v>0</v>
      </c>
      <c r="C109" s="4">
        <v>0</v>
      </c>
      <c r="D109">
        <f>IF('исходные данные'!D109&gt;'минимумы и максимумы'!B$10,100,('исходные данные'!D109-'минимумы и максимумы'!B$9)/('минимумы и максимумы'!B$10-'минимумы и максимумы'!B$9)*100)</f>
        <v>33.333333333333329</v>
      </c>
      <c r="E109">
        <f>IF('исходные данные'!E109&gt;'минимумы и максимумы'!C$10,100,('исходные данные'!E109-'минимумы и максимумы'!C$9)/('минимумы и максимумы'!C$10-'минимумы и максимумы'!C$9)*100)</f>
        <v>40</v>
      </c>
      <c r="F109">
        <f>IF('исходные данные'!F109&gt;'минимумы и максимумы'!D$10,100,('исходные данные'!F109-'минимумы и максимумы'!D$9)/('минимумы и максимумы'!D$10-'минимумы и максимумы'!D$9)*100)</f>
        <v>0</v>
      </c>
      <c r="G109">
        <f>IF('исходные данные'!G109&gt;'минимумы и максимумы'!E$10,100,('исходные данные'!G109-'минимумы и максимумы'!E$9)/('минимумы и максимумы'!E$10-'минимумы и максимумы'!E$9)*100)</f>
        <v>25</v>
      </c>
      <c r="H109">
        <f>IF('исходные данные'!H109&gt;'минимумы и максимумы'!F$10,100,('исходные данные'!H109-'минимумы и максимумы'!F$9)/('минимумы и максимумы'!F$10-'минимумы и максимумы'!F$9)*100)</f>
        <v>34.482758620689658</v>
      </c>
      <c r="I109">
        <f>IF('исходные данные'!I109&gt;'минимумы и максимумы'!G$10,100,('исходные данные'!I109-'минимумы и максимумы'!G$9)/('минимумы и максимумы'!G$10-'минимумы и максимумы'!G$9)*100)</f>
        <v>33.962264150943398</v>
      </c>
      <c r="J109">
        <f>IF('исходные данные'!J109&gt;'минимумы и максимумы'!H$10,100,('исходные данные'!J109-'минимумы и максимумы'!H$9)/('минимумы и максимумы'!H$10-'минимумы и максимумы'!H$9)*100)</f>
        <v>60</v>
      </c>
      <c r="K109">
        <f>IF('исходные данные'!K109&gt;'минимумы и максимумы'!I$10,100,('исходные данные'!K109-'минимумы и максимумы'!I$9)/('минимумы и максимумы'!I$10-'минимумы и максимумы'!I$9)*100)</f>
        <v>16.666666666666664</v>
      </c>
      <c r="L109">
        <f>IF('исходные данные'!L109&gt;'минимумы и максимумы'!J$10,100,('исходные данные'!L109-'минимумы и максимумы'!J$9)/('минимумы и максимумы'!J$10-'минимумы и максимумы'!J$9)*100)</f>
        <v>0</v>
      </c>
      <c r="M109">
        <f>IF('исходные данные'!M109&gt;'минимумы и максимумы'!K$10,100,('исходные данные'!M109-'минимумы и максимумы'!K$9)/('минимумы и максимумы'!K$10-'минимумы и максимумы'!K$9)*100)</f>
        <v>14.285714285714285</v>
      </c>
      <c r="N109">
        <f>IF('исходные данные'!N109&gt;'минимумы и максимумы'!L$10,100,('исходные данные'!N109-'минимумы и максимумы'!L$9)/('минимумы и максимумы'!L$10-'минимумы и максимумы'!L$9)*100)</f>
        <v>15.091523380565</v>
      </c>
      <c r="O109">
        <f>IF('исходные данные'!O109&gt;'минимумы и максимумы'!M$10,100,('исходные данные'!O109-'минимумы и максимумы'!M$9)/('минимумы и максимумы'!M$10-'минимумы и максимумы'!M$9)*100)</f>
        <v>0</v>
      </c>
      <c r="P109">
        <f>IF('исходные данные'!P109&gt;'минимумы и максимумы'!N$10,100,('исходные данные'!P109-'минимумы и максимумы'!N$9)/('минимумы и максимумы'!N$10-'минимумы и максимумы'!N$9)*100)</f>
        <v>0</v>
      </c>
      <c r="Q109">
        <f>IF('исходные данные'!Q109&gt;'минимумы и максимумы'!O$10,100,('исходные данные'!Q109-'минимумы и максимумы'!O$9)/('минимумы и максимумы'!O$10-'минимумы и максимумы'!O$9)*100)</f>
        <v>100</v>
      </c>
      <c r="R109">
        <f>IF('исходные данные'!R109&gt;'минимумы и максимумы'!P$10,100,('исходные данные'!R109-'минимумы и максимумы'!P$9)/('минимумы и максимумы'!P$10-'минимумы и максимумы'!P$9)*100)</f>
        <v>100</v>
      </c>
      <c r="S109">
        <f>IF('исходные данные'!S109&gt;'минимумы и максимумы'!Q$10,100,('исходные данные'!S109-'минимумы и максимумы'!Q$9)/('минимумы и максимумы'!Q$10-'минимумы и максимумы'!Q$9)*100)</f>
        <v>66.666666666666657</v>
      </c>
      <c r="T109">
        <f>IF('исходные данные'!T109&gt;'минимумы и максимумы'!R$10,100,('исходные данные'!T109-'минимумы и максимумы'!R$9)/('минимумы и максимумы'!R$10-'минимумы и максимумы'!R$9)*100)</f>
        <v>17.088607594936708</v>
      </c>
      <c r="U109">
        <f>IF('исходные данные'!U109&gt;'минимумы и максимумы'!S$10,100,('исходные данные'!U109-'минимумы и максимумы'!S$9)/('минимумы и максимумы'!S$10-'минимумы и максимумы'!S$9)*100)</f>
        <v>33.333333333333329</v>
      </c>
    </row>
    <row r="110" spans="1:21" x14ac:dyDescent="0.45">
      <c r="A110" s="4">
        <v>174</v>
      </c>
      <c r="B110" s="4">
        <v>0</v>
      </c>
      <c r="C110" s="4">
        <v>1</v>
      </c>
      <c r="D110">
        <f>IF('исходные данные'!D110&gt;'минимумы и максимумы'!B$10,100,('исходные данные'!D110-'минимумы и максимумы'!B$9)/('минимумы и максимумы'!B$10-'минимумы и максимумы'!B$9)*100)</f>
        <v>33.333333333333329</v>
      </c>
      <c r="E110">
        <f>IF('исходные данные'!E110&gt;'минимумы и максимумы'!C$10,100,('исходные данные'!E110-'минимумы и максимумы'!C$9)/('минимумы и максимумы'!C$10-'минимумы и максимумы'!C$9)*100)</f>
        <v>40</v>
      </c>
      <c r="F110">
        <f>IF('исходные данные'!F110&gt;'минимумы и максимумы'!D$10,100,('исходные данные'!F110-'минимумы и максимумы'!D$9)/('минимумы и максимумы'!D$10-'минимумы и максимумы'!D$9)*100)</f>
        <v>0</v>
      </c>
      <c r="G110">
        <f>IF('исходные данные'!G110&gt;'минимумы и максимумы'!E$10,100,('исходные данные'!G110-'минимумы и максимумы'!E$9)/('минимумы и максимумы'!E$10-'минимумы и максимумы'!E$9)*100)</f>
        <v>25</v>
      </c>
      <c r="H110">
        <f>IF('исходные данные'!H110&gt;'минимумы и максимумы'!F$10,100,('исходные данные'!H110-'минимумы и максимумы'!F$9)/('минимумы и максимумы'!F$10-'минимумы и максимумы'!F$9)*100)</f>
        <v>34.482758620689658</v>
      </c>
      <c r="I110">
        <f>IF('исходные данные'!I110&gt;'минимумы и максимумы'!G$10,100,('исходные данные'!I110-'минимумы и максимумы'!G$9)/('минимумы и максимумы'!G$10-'минимумы и максимумы'!G$9)*100)</f>
        <v>33.962264150943398</v>
      </c>
      <c r="J110">
        <f>IF('исходные данные'!J110&gt;'минимумы и максимумы'!H$10,100,('исходные данные'!J110-'минимумы и максимумы'!H$9)/('минимумы и максимумы'!H$10-'минимумы и максимумы'!H$9)*100)</f>
        <v>60</v>
      </c>
      <c r="K110">
        <f>IF('исходные данные'!K110&gt;'минимумы и максимумы'!I$10,100,('исходные данные'!K110-'минимумы и максимумы'!I$9)/('минимумы и максимумы'!I$10-'минимумы и максимумы'!I$9)*100)</f>
        <v>16.666666666666664</v>
      </c>
      <c r="L110">
        <f>IF('исходные данные'!L110&gt;'минимумы и максимумы'!J$10,100,('исходные данные'!L110-'минимумы и максимумы'!J$9)/('минимумы и максимумы'!J$10-'минимумы и максимумы'!J$9)*100)</f>
        <v>0</v>
      </c>
      <c r="M110">
        <f>IF('исходные данные'!M110&gt;'минимумы и максимумы'!K$10,100,('исходные данные'!M110-'минимумы и максимумы'!K$9)/('минимумы и максимумы'!K$10-'минимумы и максимумы'!K$9)*100)</f>
        <v>14.285714285714285</v>
      </c>
      <c r="N110">
        <f>IF('исходные данные'!N110&gt;'минимумы и максимумы'!L$10,100,('исходные данные'!N110-'минимумы и максимумы'!L$9)/('минимумы и максимумы'!L$10-'минимумы и максимумы'!L$9)*100)</f>
        <v>14.958686424036911</v>
      </c>
      <c r="O110">
        <f>IF('исходные данные'!O110&gt;'минимумы и максимумы'!M$10,100,('исходные данные'!O110-'минимумы и максимумы'!M$9)/('минимумы и максимумы'!M$10-'минимумы и максимумы'!M$9)*100)</f>
        <v>0</v>
      </c>
      <c r="P110">
        <f>IF('исходные данные'!P110&gt;'минимумы и максимумы'!N$10,100,('исходные данные'!P110-'минимумы и максимумы'!N$9)/('минимумы и максимумы'!N$10-'минимумы и максимумы'!N$9)*100)</f>
        <v>0</v>
      </c>
      <c r="Q110">
        <f>IF('исходные данные'!Q110&gt;'минимумы и максимумы'!O$10,100,('исходные данные'!Q110-'минимумы и максимумы'!O$9)/('минимумы и максимумы'!O$10-'минимумы и максимумы'!O$9)*100)</f>
        <v>100</v>
      </c>
      <c r="R110">
        <f>IF('исходные данные'!R110&gt;'минимумы и максимумы'!P$10,100,('исходные данные'!R110-'минимумы и максимумы'!P$9)/('минимумы и максимумы'!P$10-'минимумы и максимумы'!P$9)*100)</f>
        <v>100</v>
      </c>
      <c r="S110">
        <f>IF('исходные данные'!S110&gt;'минимумы и максимумы'!Q$10,100,('исходные данные'!S110-'минимумы и максимумы'!Q$9)/('минимумы и максимумы'!Q$10-'минимумы и максимумы'!Q$9)*100)</f>
        <v>66.666666666666657</v>
      </c>
      <c r="T110">
        <f>IF('исходные данные'!T110&gt;'минимумы и максимумы'!R$10,100,('исходные данные'!T110-'минимумы и максимумы'!R$9)/('минимумы и максимумы'!R$10-'минимумы и максимумы'!R$9)*100)</f>
        <v>9.8676639815880325</v>
      </c>
      <c r="U110">
        <f>IF('исходные данные'!U110&gt;'минимумы и максимумы'!S$10,100,('исходные данные'!U110-'минимумы и максимумы'!S$9)/('минимумы и максимумы'!S$10-'минимумы и максимумы'!S$9)*100)</f>
        <v>0</v>
      </c>
    </row>
    <row r="111" spans="1:21" x14ac:dyDescent="0.45">
      <c r="A111" s="4">
        <v>175</v>
      </c>
      <c r="B111" s="4">
        <v>0</v>
      </c>
      <c r="C111" s="4">
        <v>0</v>
      </c>
      <c r="D111">
        <f>IF('исходные данные'!D111&gt;'минимумы и максимумы'!B$10,100,('исходные данные'!D111-'минимумы и максимумы'!B$9)/('минимумы и максимумы'!B$10-'минимумы и максимумы'!B$9)*100)</f>
        <v>33.333333333333329</v>
      </c>
      <c r="E111">
        <f>IF('исходные данные'!E111&gt;'минимумы и максимумы'!C$10,100,('исходные данные'!E111-'минимумы и максимумы'!C$9)/('минимумы и максимумы'!C$10-'минимумы и максимумы'!C$9)*100)</f>
        <v>20</v>
      </c>
      <c r="F111">
        <f>IF('исходные данные'!F111&gt;'минимумы и максимумы'!D$10,100,('исходные данные'!F111-'минимумы и максимумы'!D$9)/('минимумы и максимумы'!D$10-'минимумы и максимумы'!D$9)*100)</f>
        <v>0</v>
      </c>
      <c r="G111">
        <f>IF('исходные данные'!G111&gt;'минимумы и максимумы'!E$10,100,('исходные данные'!G111-'минимумы и максимумы'!E$9)/('минимумы и максимумы'!E$10-'минимумы и максимумы'!E$9)*100)</f>
        <v>20.833333333333336</v>
      </c>
      <c r="H111">
        <f>IF('исходные данные'!H111&gt;'минимумы и максимумы'!F$10,100,('исходные данные'!H111-'минимумы и максимумы'!F$9)/('минимумы и максимумы'!F$10-'минимумы и максимумы'!F$9)*100)</f>
        <v>24.137931034482758</v>
      </c>
      <c r="I111">
        <f>IF('исходные данные'!I111&gt;'минимумы и максимумы'!G$10,100,('исходные данные'!I111-'минимумы и максимумы'!G$9)/('минимумы и максимумы'!G$10-'минимумы и максимумы'!G$9)*100)</f>
        <v>16.981132075471699</v>
      </c>
      <c r="J111">
        <f>IF('исходные данные'!J111&gt;'минимумы и максимумы'!H$10,100,('исходные данные'!J111-'минимумы и максимумы'!H$9)/('минимумы и максимумы'!H$10-'минимумы и максимумы'!H$9)*100)</f>
        <v>20</v>
      </c>
      <c r="K111">
        <f>IF('исходные данные'!K111&gt;'минимумы и максимумы'!I$10,100,('исходные данные'!K111-'минимумы и максимумы'!I$9)/('минимумы и максимумы'!I$10-'минимумы и максимумы'!I$9)*100)</f>
        <v>5.5555555555555554</v>
      </c>
      <c r="L111">
        <f>IF('исходные данные'!L111&gt;'минимумы и максимумы'!J$10,100,('исходные данные'!L111-'минимумы и максимумы'!J$9)/('минимумы и максимумы'!J$10-'минимумы и максимумы'!J$9)*100)</f>
        <v>0</v>
      </c>
      <c r="M111">
        <f>IF('исходные данные'!M111&gt;'минимумы и максимумы'!K$10,100,('исходные данные'!M111-'минимумы и максимумы'!K$9)/('минимумы и максимумы'!K$10-'минимумы и максимумы'!K$9)*100)</f>
        <v>14.285714285714285</v>
      </c>
      <c r="N111">
        <f>IF('исходные данные'!N111&gt;'минимумы и максимумы'!L$10,100,('исходные данные'!N111-'минимумы и максимумы'!L$9)/('минимумы и максимумы'!L$10-'минимумы и максимумы'!L$9)*100)</f>
        <v>15.091523380565</v>
      </c>
      <c r="O111">
        <f>IF('исходные данные'!O111&gt;'минимумы и максимумы'!M$10,100,('исходные данные'!O111-'минимумы и максимумы'!M$9)/('минимумы и максимумы'!M$10-'минимумы и максимумы'!M$9)*100)</f>
        <v>100</v>
      </c>
      <c r="P111">
        <f>IF('исходные данные'!P111&gt;'минимумы и максимумы'!N$10,100,('исходные данные'!P111-'минимумы и максимумы'!N$9)/('минимумы и максимумы'!N$10-'минимумы и максимумы'!N$9)*100)</f>
        <v>0</v>
      </c>
      <c r="Q111">
        <f>IF('исходные данные'!Q111&gt;'минимумы и максимумы'!O$10,100,('исходные данные'!Q111-'минимумы и максимумы'!O$9)/('минимумы и максимумы'!O$10-'минимумы и максимумы'!O$9)*100)</f>
        <v>100</v>
      </c>
      <c r="R111">
        <f>IF('исходные данные'!R111&gt;'минимумы и максимумы'!P$10,100,('исходные данные'!R111-'минимумы и максимумы'!P$9)/('минимумы и максимумы'!P$10-'минимумы и максимумы'!P$9)*100)</f>
        <v>100</v>
      </c>
      <c r="S111">
        <f>IF('исходные данные'!S111&gt;'минимумы и максимумы'!Q$10,100,('исходные данные'!S111-'минимумы и максимумы'!Q$9)/('минимумы и максимумы'!Q$10-'минимумы и максимумы'!Q$9)*100)</f>
        <v>33.333333333333329</v>
      </c>
      <c r="T111">
        <f>IF('исходные данные'!T111&gt;'минимумы и максимумы'!R$10,100,('исходные данные'!T111-'минимумы и максимумы'!R$9)/('минимумы и максимумы'!R$10-'минимумы и максимумы'!R$9)*100)</f>
        <v>12.37054085155351</v>
      </c>
      <c r="U111">
        <f>IF('исходные данные'!U111&gt;'минимумы и максимумы'!S$10,100,('исходные данные'!U111-'минимумы и максимумы'!S$9)/('минимумы и максимумы'!S$10-'минимумы и максимумы'!S$9)*100)</f>
        <v>33.333333333333329</v>
      </c>
    </row>
    <row r="112" spans="1:21" x14ac:dyDescent="0.45">
      <c r="A112" s="4">
        <v>176</v>
      </c>
      <c r="B112" s="4">
        <v>0</v>
      </c>
      <c r="C112" s="4">
        <v>0</v>
      </c>
      <c r="D112">
        <f>IF('исходные данные'!D112&gt;'минимумы и максимумы'!B$10,100,('исходные данные'!D112-'минимумы и максимумы'!B$9)/('минимумы и максимумы'!B$10-'минимумы и максимумы'!B$9)*100)</f>
        <v>33.333333333333329</v>
      </c>
      <c r="E112">
        <f>IF('исходные данные'!E112&gt;'минимумы и максимумы'!C$10,100,('исходные данные'!E112-'минимумы и максимумы'!C$9)/('минимумы и максимумы'!C$10-'минимумы и максимумы'!C$9)*100)</f>
        <v>30</v>
      </c>
      <c r="F112">
        <f>IF('исходные данные'!F112&gt;'минимумы и максимумы'!D$10,100,('исходные данные'!F112-'минимумы и максимумы'!D$9)/('минимумы и максимумы'!D$10-'минимумы и максимумы'!D$9)*100)</f>
        <v>100</v>
      </c>
      <c r="G112">
        <f>IF('исходные данные'!G112&gt;'минимумы и максимумы'!E$10,100,('исходные данные'!G112-'минимумы и максимумы'!E$9)/('минимумы и максимумы'!E$10-'минимумы и максимумы'!E$9)*100)</f>
        <v>20.833333333333336</v>
      </c>
      <c r="H112">
        <f>IF('исходные данные'!H112&gt;'минимумы и максимумы'!F$10,100,('исходные данные'!H112-'минимумы и максимумы'!F$9)/('минимумы и максимумы'!F$10-'минимумы и максимумы'!F$9)*100)</f>
        <v>20.689655172413794</v>
      </c>
      <c r="I112">
        <f>IF('исходные данные'!I112&gt;'минимумы и максимумы'!G$10,100,('исходные данные'!I112-'минимумы и максимумы'!G$9)/('минимумы и максимумы'!G$10-'минимумы и максимумы'!G$9)*100)</f>
        <v>20.754716981132077</v>
      </c>
      <c r="J112">
        <f>IF('исходные данные'!J112&gt;'минимумы и максимумы'!H$10,100,('исходные данные'!J112-'минимумы и максимумы'!H$9)/('минимумы и максимумы'!H$10-'минимумы и максимумы'!H$9)*100)</f>
        <v>60</v>
      </c>
      <c r="K112">
        <f>IF('исходные данные'!K112&gt;'минимумы и максимумы'!I$10,100,('исходные данные'!K112-'минимумы и максимумы'!I$9)/('минимумы и максимумы'!I$10-'минимумы и максимумы'!I$9)*100)</f>
        <v>11.111111111111111</v>
      </c>
      <c r="L112">
        <f>IF('исходные данные'!L112&gt;'минимумы и максимумы'!J$10,100,('исходные данные'!L112-'минимумы и максимумы'!J$9)/('минимумы и максимумы'!J$10-'минимумы и максимумы'!J$9)*100)</f>
        <v>0</v>
      </c>
      <c r="M112">
        <f>IF('исходные данные'!M112&gt;'минимумы и максимумы'!K$10,100,('исходные данные'!M112-'минимумы и максимумы'!K$9)/('минимумы и максимумы'!K$10-'минимумы и максимумы'!K$9)*100)</f>
        <v>53.571428571428569</v>
      </c>
      <c r="N112">
        <f>IF('исходные данные'!N112&gt;'минимумы и максимумы'!L$10,100,('исходные данные'!N112-'минимумы и максимумы'!L$9)/('минимумы и максимумы'!L$10-'минимумы и максимумы'!L$9)*100)</f>
        <v>15.821848483982116</v>
      </c>
      <c r="O112">
        <f>IF('исходные данные'!O112&gt;'минимумы и максимумы'!M$10,100,('исходные данные'!O112-'минимумы и максимумы'!M$9)/('минимумы и максимумы'!M$10-'минимумы и максимумы'!M$9)*100)</f>
        <v>100</v>
      </c>
      <c r="P112">
        <f>IF('исходные данные'!P112&gt;'минимумы и максимумы'!N$10,100,('исходные данные'!P112-'минимумы и максимумы'!N$9)/('минимумы и максимумы'!N$10-'минимумы и максимумы'!N$9)*100)</f>
        <v>0</v>
      </c>
      <c r="Q112">
        <f>IF('исходные данные'!Q112&gt;'минимумы и максимумы'!O$10,100,('исходные данные'!Q112-'минимумы и максимумы'!O$9)/('минимумы и максимумы'!O$10-'минимумы и максимумы'!O$9)*100)</f>
        <v>100</v>
      </c>
      <c r="R112">
        <f>IF('исходные данные'!R112&gt;'минимумы и максимумы'!P$10,100,('исходные данные'!R112-'минимумы и максимумы'!P$9)/('минимумы и максимумы'!P$10-'минимумы и максимумы'!P$9)*100)</f>
        <v>100</v>
      </c>
      <c r="S112">
        <f>IF('исходные данные'!S112&gt;'минимумы и максимумы'!Q$10,100,('исходные данные'!S112-'минимумы и максимумы'!Q$9)/('минимумы и максимумы'!Q$10-'минимумы и максимумы'!Q$9)*100)</f>
        <v>100</v>
      </c>
      <c r="T112">
        <f>IF('исходные данные'!T112&gt;'минимумы и максимумы'!R$10,100,('исходные данные'!T112-'минимумы и максимумы'!R$9)/('минимумы и максимумы'!R$10-'минимумы и максимумы'!R$9)*100)</f>
        <v>29.775604142692753</v>
      </c>
      <c r="U112">
        <f>IF('исходные данные'!U112&gt;'минимумы и максимумы'!S$10,100,('исходные данные'!U112-'минимумы и максимумы'!S$9)/('минимумы и максимумы'!S$10-'минимумы и максимумы'!S$9)*100)</f>
        <v>100</v>
      </c>
    </row>
    <row r="113" spans="1:21" x14ac:dyDescent="0.45">
      <c r="A113" s="4">
        <v>177</v>
      </c>
      <c r="B113" s="4">
        <v>1</v>
      </c>
      <c r="C113" s="4">
        <v>0</v>
      </c>
      <c r="D113">
        <f>IF('исходные данные'!D113&gt;'минимумы и максимумы'!B$10,100,('исходные данные'!D113-'минимумы и максимумы'!B$9)/('минимумы и максимумы'!B$10-'минимумы и максимумы'!B$9)*100)</f>
        <v>44.444444444444443</v>
      </c>
      <c r="E113">
        <f>IF('исходные данные'!E113&gt;'минимумы и максимумы'!C$10,100,('исходные данные'!E113-'минимумы и максимумы'!C$9)/('минимумы и максимумы'!C$10-'минимумы и максимумы'!C$9)*100)</f>
        <v>100</v>
      </c>
      <c r="F113">
        <f>IF('исходные данные'!F113&gt;'минимумы и максимумы'!D$10,100,('исходные данные'!F113-'минимумы и максимумы'!D$9)/('минимумы и максимумы'!D$10-'минимумы и максимумы'!D$9)*100)</f>
        <v>33.333333333333329</v>
      </c>
      <c r="G113">
        <f>IF('исходные данные'!G113&gt;'минимумы и максимумы'!E$10,100,('исходные данные'!G113-'минимумы и максимумы'!E$9)/('минимумы и максимумы'!E$10-'минимумы и максимумы'!E$9)*100)</f>
        <v>95.833333333333343</v>
      </c>
      <c r="H113">
        <f>IF('исходные данные'!H113&gt;'минимумы и максимумы'!F$10,100,('исходные данные'!H113-'минимумы и максимумы'!F$9)/('минимумы и максимумы'!F$10-'минимумы и максимумы'!F$9)*100)</f>
        <v>82.758620689655174</v>
      </c>
      <c r="I113">
        <f>IF('исходные данные'!I113&gt;'минимумы и максимумы'!G$10,100,('исходные данные'!I113-'минимумы и максимумы'!G$9)/('минимумы и максимумы'!G$10-'минимумы и максимумы'!G$9)*100)</f>
        <v>83.018867924528308</v>
      </c>
      <c r="J113">
        <f>IF('исходные данные'!J113&gt;'минимумы и максимумы'!H$10,100,('исходные данные'!J113-'минимумы и максимумы'!H$9)/('минимумы и максимумы'!H$10-'минимумы и максимумы'!H$9)*100)</f>
        <v>93.333333333333329</v>
      </c>
      <c r="K113">
        <f>IF('исходные данные'!K113&gt;'минимумы и максимумы'!I$10,100,('исходные данные'!K113-'минимумы и максимумы'!I$9)/('минимумы и максимумы'!I$10-'минимумы и максимумы'!I$9)*100)</f>
        <v>27.777777777777779</v>
      </c>
      <c r="L113">
        <f>IF('исходные данные'!L113&gt;'минимумы и максимумы'!J$10,100,('исходные данные'!L113-'минимумы и максимумы'!J$9)/('минимумы и максимумы'!J$10-'минимумы и максимумы'!J$9)*100)</f>
        <v>35.714285714285715</v>
      </c>
      <c r="M113">
        <f>IF('исходные данные'!M113&gt;'минимумы и максимумы'!K$10,100,('исходные данные'!M113-'минимумы и максимумы'!K$9)/('минимумы и максимумы'!K$10-'минимумы и максимумы'!K$9)*100)</f>
        <v>100</v>
      </c>
      <c r="N113">
        <f>IF('исходные данные'!N113&gt;'минимумы и максимумы'!L$10,100,('исходные данные'!N113-'минимумы и максимумы'!L$9)/('минимумы и максимумы'!L$10-'минимумы и максимумы'!L$9)*100)</f>
        <v>11.37934620478884</v>
      </c>
      <c r="O113">
        <f>IF('исходные данные'!O113&gt;'минимумы и максимумы'!M$10,100,('исходные данные'!O113-'минимумы и максимумы'!M$9)/('минимумы и максимумы'!M$10-'минимумы и максимумы'!M$9)*100)</f>
        <v>66.666666666666657</v>
      </c>
      <c r="P113">
        <f>IF('исходные данные'!P113&gt;'минимумы и максимумы'!N$10,100,('исходные данные'!P113-'минимумы и максимумы'!N$9)/('минимумы и максимумы'!N$10-'минимумы и максимумы'!N$9)*100)</f>
        <v>100</v>
      </c>
      <c r="Q113">
        <f>IF('исходные данные'!Q113&gt;'минимумы и максимумы'!O$10,100,('исходные данные'!Q113-'минимумы и максимумы'!O$9)/('минимумы и максимумы'!O$10-'минимумы и максимумы'!O$9)*100)</f>
        <v>100</v>
      </c>
      <c r="R113">
        <f>IF('исходные данные'!R113&gt;'минимумы и максимумы'!P$10,100,('исходные данные'!R113-'минимумы и максимумы'!P$9)/('минимумы и максимумы'!P$10-'минимумы и максимумы'!P$9)*100)</f>
        <v>75</v>
      </c>
      <c r="S113">
        <f>IF('исходные данные'!S113&gt;'минимумы и максимумы'!Q$10,100,('исходные данные'!S113-'минимумы и максимумы'!Q$9)/('минимумы и максимумы'!Q$10-'минимумы и максимумы'!Q$9)*100)</f>
        <v>66.666666666666657</v>
      </c>
      <c r="T113">
        <f>IF('исходные данные'!T113&gt;'минимумы и максимумы'!R$10,100,('исходные данные'!T113-'минимумы и максимумы'!R$9)/('минимумы и максимумы'!R$10-'минимумы и максимумы'!R$9)*100)</f>
        <v>73.30264672036823</v>
      </c>
      <c r="U113">
        <f>IF('исходные данные'!U113&gt;'минимумы и максимумы'!S$10,100,('исходные данные'!U113-'минимумы и максимумы'!S$9)/('минимумы и максимумы'!S$10-'минимумы и максимумы'!S$9)*100)</f>
        <v>33.333333333333329</v>
      </c>
    </row>
    <row r="114" spans="1:21" x14ac:dyDescent="0.45">
      <c r="A114" s="4">
        <v>178</v>
      </c>
      <c r="B114" s="4">
        <v>0</v>
      </c>
      <c r="C114" s="4">
        <v>0</v>
      </c>
      <c r="D114">
        <f>IF('исходные данные'!D114&gt;'минимумы и максимумы'!B$10,100,('исходные данные'!D114-'минимумы и максимумы'!B$9)/('минимумы и максимумы'!B$10-'минимумы и максимумы'!B$9)*100)</f>
        <v>55.555555555555557</v>
      </c>
      <c r="E114">
        <f>IF('исходные данные'!E114&gt;'минимумы и максимумы'!C$10,100,('исходные данные'!E114-'минимумы и максимумы'!C$9)/('минимумы и максимумы'!C$10-'минимумы и максимумы'!C$9)*100)</f>
        <v>50</v>
      </c>
      <c r="F114">
        <f>IF('исходные данные'!F114&gt;'минимумы и максимумы'!D$10,100,('исходные данные'!F114-'минимумы и максимумы'!D$9)/('минимумы и максимумы'!D$10-'минимумы и максимумы'!D$9)*100)</f>
        <v>100</v>
      </c>
      <c r="G114">
        <f>IF('исходные данные'!G114&gt;'минимумы и максимумы'!E$10,100,('исходные данные'!G114-'минимумы и максимумы'!E$9)/('минимумы и максимумы'!E$10-'минимумы и максимумы'!E$9)*100)</f>
        <v>58.333333333333336</v>
      </c>
      <c r="H114">
        <f>IF('исходные данные'!H114&gt;'минимумы и максимумы'!F$10,100,('исходные данные'!H114-'минимумы и максимумы'!F$9)/('минимумы и максимумы'!F$10-'минимумы и максимумы'!F$9)*100)</f>
        <v>48.275862068965516</v>
      </c>
      <c r="I114">
        <f>IF('исходные данные'!I114&gt;'минимумы и максимумы'!G$10,100,('исходные данные'!I114-'минимумы и максимумы'!G$9)/('минимумы и максимумы'!G$10-'минимумы и максимумы'!G$9)*100)</f>
        <v>35.849056603773583</v>
      </c>
      <c r="J114">
        <f>IF('исходные данные'!J114&gt;'минимумы и максимумы'!H$10,100,('исходные данные'!J114-'минимумы и максимумы'!H$9)/('минимумы и максимумы'!H$10-'минимумы и максимумы'!H$9)*100)</f>
        <v>53.333333333333336</v>
      </c>
      <c r="K114">
        <f>IF('исходные данные'!K114&gt;'минимумы и максимумы'!I$10,100,('исходные данные'!K114-'минимумы и максимумы'!I$9)/('минимумы и максимумы'!I$10-'минимумы и максимумы'!I$9)*100)</f>
        <v>11.111111111111111</v>
      </c>
      <c r="L114">
        <f>IF('исходные данные'!L114&gt;'минимумы и максимумы'!J$10,100,('исходные данные'!L114-'минимумы и максимумы'!J$9)/('минимумы и максимумы'!J$10-'минимумы и максимумы'!J$9)*100)</f>
        <v>7.1428571428571423</v>
      </c>
      <c r="M114">
        <f>IF('исходные данные'!M114&gt;'минимумы и максимумы'!K$10,100,('исходные данные'!M114-'минимумы и максимумы'!K$9)/('минимумы и максимумы'!K$10-'минимумы и максимумы'!K$9)*100)</f>
        <v>75</v>
      </c>
      <c r="N114">
        <f>IF('исходные данные'!N114&gt;'минимумы и максимумы'!L$10,100,('исходные данные'!N114-'минимумы и максимумы'!L$9)/('минимумы и максимумы'!L$10-'минимумы и максимумы'!L$9)*100)</f>
        <v>15.061587591213296</v>
      </c>
      <c r="O114">
        <f>IF('исходные данные'!O114&gt;'минимумы и максимумы'!M$10,100,('исходные данные'!O114-'минимумы и максимумы'!M$9)/('минимумы и максимумы'!M$10-'минимумы и максимумы'!M$9)*100)</f>
        <v>100</v>
      </c>
      <c r="P114">
        <f>IF('исходные данные'!P114&gt;'минимумы и максимумы'!N$10,100,('исходные данные'!P114-'минимумы и максимумы'!N$9)/('минимумы и максимумы'!N$10-'минимумы и максимумы'!N$9)*100)</f>
        <v>0</v>
      </c>
      <c r="Q114">
        <f>IF('исходные данные'!Q114&gt;'минимумы и максимумы'!O$10,100,('исходные данные'!Q114-'минимумы и максимумы'!O$9)/('минимумы и максимумы'!O$10-'минимумы и максимумы'!O$9)*100)</f>
        <v>100</v>
      </c>
      <c r="R114">
        <f>IF('исходные данные'!R114&gt;'минимумы и максимумы'!P$10,100,('исходные данные'!R114-'минимумы и максимумы'!P$9)/('минимумы и максимумы'!P$10-'минимумы и максимумы'!P$9)*100)</f>
        <v>100</v>
      </c>
      <c r="S114">
        <f>IF('исходные данные'!S114&gt;'минимумы и максимумы'!Q$10,100,('исходные данные'!S114-'минимумы и максимумы'!Q$9)/('минимумы и максимумы'!Q$10-'минимумы и максимумы'!Q$9)*100)</f>
        <v>66.666666666666657</v>
      </c>
      <c r="T114">
        <f>IF('исходные данные'!T114&gt;'минимумы и максимумы'!R$10,100,('исходные данные'!T114-'минимумы и максимумы'!R$9)/('минимумы и максимумы'!R$10-'минимумы и максимумы'!R$9)*100)</f>
        <v>27.876869965477564</v>
      </c>
      <c r="U114">
        <f>IF('исходные данные'!U114&gt;'минимумы и максимумы'!S$10,100,('исходные данные'!U114-'минимумы и максимумы'!S$9)/('минимумы и максимумы'!S$10-'минимумы и максимумы'!S$9)*100)</f>
        <v>66.666666666666657</v>
      </c>
    </row>
    <row r="115" spans="1:21" x14ac:dyDescent="0.45">
      <c r="A115" s="4">
        <v>179</v>
      </c>
      <c r="B115" s="4">
        <v>0</v>
      </c>
      <c r="C115" s="4">
        <v>1</v>
      </c>
      <c r="D115">
        <f>IF('исходные данные'!D115&gt;'минимумы и максимумы'!B$10,100,('исходные данные'!D115-'минимумы и максимумы'!B$9)/('минимумы и максимумы'!B$10-'минимумы и максимумы'!B$9)*100)</f>
        <v>33.333333333333329</v>
      </c>
      <c r="E115">
        <f>IF('исходные данные'!E115&gt;'минимумы и максимумы'!C$10,100,('исходные данные'!E115-'минимумы и максимумы'!C$9)/('минимумы и максимумы'!C$10-'минимумы и максимумы'!C$9)*100)</f>
        <v>100</v>
      </c>
      <c r="F115">
        <f>IF('исходные данные'!F115&gt;'минимумы и максимумы'!D$10,100,('исходные данные'!F115-'минимумы и максимумы'!D$9)/('минимумы и максимумы'!D$10-'минимумы и максимумы'!D$9)*100)</f>
        <v>33.333333333333329</v>
      </c>
      <c r="G115">
        <f>IF('исходные данные'!G115&gt;'минимумы и максимумы'!E$10,100,('исходные данные'!G115-'минимумы и максимумы'!E$9)/('минимумы и максимумы'!E$10-'минимумы и максимумы'!E$9)*100)</f>
        <v>66.666666666666657</v>
      </c>
      <c r="H115">
        <f>IF('исходные данные'!H115&gt;'минимумы и максимумы'!F$10,100,('исходные данные'!H115-'минимумы и максимумы'!F$9)/('минимумы и максимумы'!F$10-'минимумы и максимумы'!F$9)*100)</f>
        <v>51.724137931034484</v>
      </c>
      <c r="I115">
        <f>IF('исходные данные'!I115&gt;'минимумы и максимумы'!G$10,100,('исходные данные'!I115-'минимумы и максимумы'!G$9)/('минимумы и максимумы'!G$10-'минимумы и максимумы'!G$9)*100)</f>
        <v>43.39622641509434</v>
      </c>
      <c r="J115">
        <f>IF('исходные данные'!J115&gt;'минимумы и максимумы'!H$10,100,('исходные данные'!J115-'минимумы и максимумы'!H$9)/('минимумы и максимумы'!H$10-'минимумы и максимумы'!H$9)*100)</f>
        <v>73.333333333333329</v>
      </c>
      <c r="K115">
        <f>IF('исходные данные'!K115&gt;'минимумы и максимумы'!I$10,100,('исходные данные'!K115-'минимумы и максимумы'!I$9)/('минимумы и максимумы'!I$10-'минимумы и максимумы'!I$9)*100)</f>
        <v>22.222222222222221</v>
      </c>
      <c r="L115">
        <f>IF('исходные данные'!L115&gt;'минимумы и максимумы'!J$10,100,('исходные данные'!L115-'минимумы и максимумы'!J$9)/('минимумы и максимумы'!J$10-'минимумы и максимумы'!J$9)*100)</f>
        <v>35.714285714285715</v>
      </c>
      <c r="M115">
        <f>IF('исходные данные'!M115&gt;'минимумы и максимумы'!K$10,100,('исходные данные'!M115-'минимумы и максимумы'!K$9)/('минимумы и максимумы'!K$10-'минимумы и максимумы'!K$9)*100)</f>
        <v>100</v>
      </c>
      <c r="N115">
        <f>IF('исходные данные'!N115&gt;'минимумы и максимумы'!L$10,100,('исходные данные'!N115-'минимумы и максимумы'!L$9)/('минимумы и максимумы'!L$10-'минимумы и максимумы'!L$9)*100)</f>
        <v>13.923273270813421</v>
      </c>
      <c r="O115">
        <f>IF('исходные данные'!O115&gt;'минимумы и максимумы'!M$10,100,('исходные данные'!O115-'минимумы и максимумы'!M$9)/('минимумы и максимумы'!M$10-'минимумы и максимумы'!M$9)*100)</f>
        <v>33.333333333333329</v>
      </c>
      <c r="P115">
        <f>IF('исходные данные'!P115&gt;'минимумы и максимумы'!N$10,100,('исходные данные'!P115-'минимумы и максимумы'!N$9)/('минимумы и максимумы'!N$10-'минимумы и максимумы'!N$9)*100)</f>
        <v>0</v>
      </c>
      <c r="Q115">
        <f>IF('исходные данные'!Q115&gt;'минимумы и максимумы'!O$10,100,('исходные данные'!Q115-'минимумы и максимумы'!O$9)/('минимумы и максимумы'!O$10-'минимумы и максимумы'!O$9)*100)</f>
        <v>0</v>
      </c>
      <c r="R115">
        <f>IF('исходные данные'!R115&gt;'минимумы и максимумы'!P$10,100,('исходные данные'!R115-'минимумы и максимумы'!P$9)/('минимумы и максимумы'!P$10-'минимумы и максимумы'!P$9)*100)</f>
        <v>100</v>
      </c>
      <c r="S115">
        <f>IF('исходные данные'!S115&gt;'минимумы и максимумы'!Q$10,100,('исходные данные'!S115-'минимумы и максимумы'!Q$9)/('минимумы и максимумы'!Q$10-'минимумы и максимумы'!Q$9)*100)</f>
        <v>33.333333333333329</v>
      </c>
      <c r="T115">
        <f>IF('исходные данные'!T115&gt;'минимумы и максимумы'!R$10,100,('исходные данные'!T115-'минимумы и максимумы'!R$9)/('минимумы и максимумы'!R$10-'минимумы и максимумы'!R$9)*100)</f>
        <v>3.1933256616800922</v>
      </c>
      <c r="U115">
        <f>IF('исходные данные'!U115&gt;'минимумы и максимумы'!S$10,100,('исходные данные'!U115-'минимумы и максимумы'!S$9)/('минимумы и максимумы'!S$10-'минимумы и максимумы'!S$9)*100)</f>
        <v>0</v>
      </c>
    </row>
    <row r="116" spans="1:21" x14ac:dyDescent="0.45">
      <c r="A116" s="4">
        <v>180</v>
      </c>
      <c r="B116" s="4">
        <v>0</v>
      </c>
      <c r="C116" s="4">
        <v>0</v>
      </c>
      <c r="D116">
        <f>IF('исходные данные'!D116&gt;'минимумы и максимумы'!B$10,100,('исходные данные'!D116-'минимумы и максимумы'!B$9)/('минимумы и максимумы'!B$10-'минимумы и максимумы'!B$9)*100)</f>
        <v>22.222222222222221</v>
      </c>
      <c r="E116">
        <f>IF('исходные данные'!E116&gt;'минимумы и максимумы'!C$10,100,('исходные данные'!E116-'минимумы и максимумы'!C$9)/('минимумы и максимумы'!C$10-'минимумы и максимумы'!C$9)*100)</f>
        <v>80</v>
      </c>
      <c r="F116">
        <f>IF('исходные данные'!F116&gt;'минимумы и максимумы'!D$10,100,('исходные данные'!F116-'минимумы и максимумы'!D$9)/('минимумы и максимумы'!D$10-'минимумы и максимумы'!D$9)*100)</f>
        <v>33.333333333333329</v>
      </c>
      <c r="G116">
        <f>IF('исходные данные'!G116&gt;'минимумы и максимумы'!E$10,100,('исходные данные'!G116-'минимумы и максимумы'!E$9)/('минимумы и максимумы'!E$10-'минимумы и максимумы'!E$9)*100)</f>
        <v>70.833333333333343</v>
      </c>
      <c r="H116">
        <f>IF('исходные данные'!H116&gt;'минимумы и максимумы'!F$10,100,('исходные данные'!H116-'минимумы и максимумы'!F$9)/('минимумы и максимумы'!F$10-'минимумы и максимумы'!F$9)*100)</f>
        <v>62.068965517241381</v>
      </c>
      <c r="I116">
        <f>IF('исходные данные'!I116&gt;'минимумы и максимумы'!G$10,100,('исходные данные'!I116-'минимумы и максимумы'!G$9)/('минимумы и максимумы'!G$10-'минимумы и максимумы'!G$9)*100)</f>
        <v>60.377358490566039</v>
      </c>
      <c r="J116">
        <f>IF('исходные данные'!J116&gt;'минимумы и максимумы'!H$10,100,('исходные данные'!J116-'минимумы и максимумы'!H$9)/('минимумы и максимумы'!H$10-'минимумы и максимумы'!H$9)*100)</f>
        <v>66.666666666666657</v>
      </c>
      <c r="K116">
        <f>IF('исходные данные'!K116&gt;'минимумы и максимумы'!I$10,100,('исходные данные'!K116-'минимумы и максимумы'!I$9)/('минимумы и максимумы'!I$10-'минимумы и максимумы'!I$9)*100)</f>
        <v>16.666666666666664</v>
      </c>
      <c r="L116">
        <f>IF('исходные данные'!L116&gt;'минимумы и максимумы'!J$10,100,('исходные данные'!L116-'минимумы и максимумы'!J$9)/('минимумы и максимумы'!J$10-'минимумы и максимумы'!J$9)*100)</f>
        <v>42.857142857142854</v>
      </c>
      <c r="M116">
        <f>IF('исходные данные'!M116&gt;'минимумы и максимумы'!K$10,100,('исходные данные'!M116-'минимумы и максимумы'!K$9)/('минимумы и максимумы'!K$10-'минимумы и максимумы'!K$9)*100)</f>
        <v>100</v>
      </c>
      <c r="N116">
        <f>IF('исходные данные'!N116&gt;'минимумы и максимумы'!L$10,100,('исходные данные'!N116-'минимумы и максимумы'!L$9)/('минимумы и максимумы'!L$10-'минимумы и максимумы'!L$9)*100)</f>
        <v>13.895179567499538</v>
      </c>
      <c r="O116">
        <f>IF('исходные данные'!O116&gt;'минимумы и максимумы'!M$10,100,('исходные данные'!O116-'минимумы и максимумы'!M$9)/('минимумы и максимумы'!M$10-'минимумы и максимумы'!M$9)*100)</f>
        <v>100</v>
      </c>
      <c r="P116">
        <f>IF('исходные данные'!P116&gt;'минимумы и максимумы'!N$10,100,('исходные данные'!P116-'минимумы и максимумы'!N$9)/('минимумы и максимумы'!N$10-'минимумы и максимумы'!N$9)*100)</f>
        <v>100</v>
      </c>
      <c r="Q116">
        <f>IF('исходные данные'!Q116&gt;'минимумы и максимумы'!O$10,100,('исходные данные'!Q116-'минимумы и максимумы'!O$9)/('минимумы и максимумы'!O$10-'минимумы и максимумы'!O$9)*100)</f>
        <v>100</v>
      </c>
      <c r="R116">
        <f>IF('исходные данные'!R116&gt;'минимумы и максимумы'!P$10,100,('исходные данные'!R116-'минимумы и максимумы'!P$9)/('минимумы и максимумы'!P$10-'минимумы и максимумы'!P$9)*100)</f>
        <v>100</v>
      </c>
      <c r="S116">
        <f>IF('исходные данные'!S116&gt;'минимумы и максимумы'!Q$10,100,('исходные данные'!S116-'минимумы и максимумы'!Q$9)/('минимумы и максимумы'!Q$10-'минимумы и максимумы'!Q$9)*100)</f>
        <v>50</v>
      </c>
      <c r="T116">
        <f>IF('исходные данные'!T116&gt;'минимумы и максимумы'!R$10,100,('исходные данные'!T116-'минимумы и максимумы'!R$9)/('минимумы и максимумы'!R$10-'минимумы и максимумы'!R$9)*100)</f>
        <v>27.445339470655927</v>
      </c>
      <c r="U116">
        <f>IF('исходные данные'!U116&gt;'минимумы и максимумы'!S$10,100,('исходные данные'!U116-'минимумы и максимумы'!S$9)/('минимумы и максимумы'!S$10-'минимумы и максимумы'!S$9)*100)</f>
        <v>66.666666666666657</v>
      </c>
    </row>
    <row r="117" spans="1:21" x14ac:dyDescent="0.45">
      <c r="A117" s="4">
        <v>181</v>
      </c>
      <c r="B117" s="4">
        <v>0</v>
      </c>
      <c r="C117" s="4">
        <v>0</v>
      </c>
      <c r="D117">
        <f>IF('исходные данные'!D117&gt;'минимумы и максимумы'!B$10,100,('исходные данные'!D117-'минимумы и максимумы'!B$9)/('минимумы и максимумы'!B$10-'минимумы и максимумы'!B$9)*100)</f>
        <v>22.222222222222221</v>
      </c>
      <c r="E117">
        <f>IF('исходные данные'!E117&gt;'минимумы и максимумы'!C$10,100,('исходные данные'!E117-'минимумы и максимумы'!C$9)/('минимумы и максимумы'!C$10-'минимумы и максимумы'!C$9)*100)</f>
        <v>100</v>
      </c>
      <c r="F117">
        <f>IF('исходные данные'!F117&gt;'минимумы и максимумы'!D$10,100,('исходные данные'!F117-'минимумы и максимумы'!D$9)/('минимумы и максимумы'!D$10-'минимумы и максимумы'!D$9)*100)</f>
        <v>0</v>
      </c>
      <c r="G117">
        <f>IF('исходные данные'!G117&gt;'минимумы и максимумы'!E$10,100,('исходные данные'!G117-'минимумы и максимумы'!E$9)/('минимумы и максимумы'!E$10-'минимумы и максимумы'!E$9)*100)</f>
        <v>70.833333333333343</v>
      </c>
      <c r="H117">
        <f>IF('исходные данные'!H117&gt;'минимумы и максимумы'!F$10,100,('исходные данные'!H117-'минимумы и максимумы'!F$9)/('минимумы и максимумы'!F$10-'минимумы и максимумы'!F$9)*100)</f>
        <v>44.827586206896555</v>
      </c>
      <c r="I117">
        <f>IF('исходные данные'!I117&gt;'минимумы и максимумы'!G$10,100,('исходные данные'!I117-'минимумы и максимумы'!G$9)/('минимумы и максимумы'!G$10-'минимумы и максимумы'!G$9)*100)</f>
        <v>60.377358490566039</v>
      </c>
      <c r="J117">
        <f>IF('исходные данные'!J117&gt;'минимумы и максимумы'!H$10,100,('исходные данные'!J117-'минимумы и максимумы'!H$9)/('минимумы и максимумы'!H$10-'минимумы и максимумы'!H$9)*100)</f>
        <v>100</v>
      </c>
      <c r="K117">
        <f>IF('исходные данные'!K117&gt;'минимумы и максимумы'!I$10,100,('исходные данные'!K117-'минимумы и максимумы'!I$9)/('минимумы и максимумы'!I$10-'минимумы и максимумы'!I$9)*100)</f>
        <v>33.333333333333329</v>
      </c>
      <c r="L117">
        <f>IF('исходные данные'!L117&gt;'минимумы и максимумы'!J$10,100,('исходные данные'!L117-'минимумы и максимумы'!J$9)/('минимумы и максимумы'!J$10-'минимумы и максимумы'!J$9)*100)</f>
        <v>42.857142857142854</v>
      </c>
      <c r="M117">
        <f>IF('исходные данные'!M117&gt;'минимумы и максимумы'!K$10,100,('исходные данные'!M117-'минимумы и максимумы'!K$9)/('минимумы и максимумы'!K$10-'минимумы и максимумы'!K$9)*100)</f>
        <v>89.285714285714292</v>
      </c>
      <c r="N117">
        <f>IF('исходные данные'!N117&gt;'минимумы и максимумы'!L$10,100,('исходные данные'!N117-'минимумы и максимумы'!L$9)/('минимумы и максимумы'!L$10-'минимумы и максимумы'!L$9)*100)</f>
        <v>12.450826568440437</v>
      </c>
      <c r="O117">
        <f>IF('исходные данные'!O117&gt;'минимумы и максимумы'!M$10,100,('исходные данные'!O117-'минимумы и максимумы'!M$9)/('минимумы и максимумы'!M$10-'минимумы и максимумы'!M$9)*100)</f>
        <v>0</v>
      </c>
      <c r="P117">
        <f>IF('исходные данные'!P117&gt;'минимумы и максимумы'!N$10,100,('исходные данные'!P117-'минимумы и максимумы'!N$9)/('минимумы и максимумы'!N$10-'минимумы и максимумы'!N$9)*100)</f>
        <v>100</v>
      </c>
      <c r="Q117">
        <f>IF('исходные данные'!Q117&gt;'минимумы и максимумы'!O$10,100,('исходные данные'!Q117-'минимумы и максимумы'!O$9)/('минимумы и максимумы'!O$10-'минимумы и максимумы'!O$9)*100)</f>
        <v>100</v>
      </c>
      <c r="R117">
        <f>IF('исходные данные'!R117&gt;'минимумы и максимумы'!P$10,100,('исходные данные'!R117-'минимумы и максимумы'!P$9)/('минимумы и максимумы'!P$10-'минимумы и максимумы'!P$9)*100)</f>
        <v>100</v>
      </c>
      <c r="S117">
        <f>IF('исходные данные'!S117&gt;'минимумы и максимумы'!Q$10,100,('исходные данные'!S117-'минимумы и максимумы'!Q$9)/('минимумы и максимумы'!Q$10-'минимумы и максимумы'!Q$9)*100)</f>
        <v>66.666666666666657</v>
      </c>
      <c r="T117">
        <f>IF('исходные данные'!T117&gt;'минимумы и максимумы'!R$10,100,('исходные данные'!T117-'минимумы и максимумы'!R$9)/('минимумы и максимумы'!R$10-'минимумы и максимумы'!R$9)*100)</f>
        <v>29.487917146144994</v>
      </c>
      <c r="U117">
        <f>IF('исходные данные'!U117&gt;'минимумы и максимумы'!S$10,100,('исходные данные'!U117-'минимумы и максимумы'!S$9)/('минимумы и максимумы'!S$10-'минимумы и максимумы'!S$9)*100)</f>
        <v>100</v>
      </c>
    </row>
    <row r="118" spans="1:21" x14ac:dyDescent="0.45">
      <c r="A118" s="4">
        <v>182</v>
      </c>
      <c r="B118" s="4">
        <v>0</v>
      </c>
      <c r="C118" s="4">
        <v>0</v>
      </c>
      <c r="D118">
        <f>IF('исходные данные'!D118&gt;'минимумы и максимумы'!B$10,100,('исходные данные'!D118-'минимумы и максимумы'!B$9)/('минимумы и максимумы'!B$10-'минимумы и максимумы'!B$9)*100)</f>
        <v>33.333333333333329</v>
      </c>
      <c r="E118">
        <f>IF('исходные данные'!E118&gt;'минимумы и максимумы'!C$10,100,('исходные данные'!E118-'минимумы и максимумы'!C$9)/('минимумы и максимумы'!C$10-'минимумы и максимумы'!C$9)*100)</f>
        <v>100</v>
      </c>
      <c r="F118">
        <f>IF('исходные данные'!F118&gt;'минимумы и максимумы'!D$10,100,('исходные данные'!F118-'минимумы и максимумы'!D$9)/('минимумы и максимумы'!D$10-'минимумы и максимумы'!D$9)*100)</f>
        <v>33.333333333333329</v>
      </c>
      <c r="G118">
        <f>IF('исходные данные'!G118&gt;'минимумы и максимумы'!E$10,100,('исходные данные'!G118-'минимумы и максимумы'!E$9)/('минимумы и максимумы'!E$10-'минимумы и максимумы'!E$9)*100)</f>
        <v>66.666666666666657</v>
      </c>
      <c r="H118">
        <f>IF('исходные данные'!H118&gt;'минимумы и максимумы'!F$10,100,('исходные данные'!H118-'минимумы и максимумы'!F$9)/('минимумы и максимумы'!F$10-'минимумы и максимумы'!F$9)*100)</f>
        <v>37.931034482758619</v>
      </c>
      <c r="I118">
        <f>IF('исходные данные'!I118&gt;'минимумы и максимумы'!G$10,100,('исходные данные'!I118-'минимумы и максимумы'!G$9)/('минимумы и максимумы'!G$10-'минимумы и максимумы'!G$9)*100)</f>
        <v>77.358490566037744</v>
      </c>
      <c r="J118">
        <f>IF('исходные данные'!J118&gt;'минимумы и максимумы'!H$10,100,('исходные данные'!J118-'минимумы и максимумы'!H$9)/('минимумы и максимумы'!H$10-'минимумы и максимумы'!H$9)*100)</f>
        <v>100</v>
      </c>
      <c r="K118">
        <f>IF('исходные данные'!K118&gt;'минимумы и максимумы'!I$10,100,('исходные данные'!K118-'минимумы и максимумы'!I$9)/('минимумы и максимумы'!I$10-'минимумы и максимумы'!I$9)*100)</f>
        <v>33.333333333333329</v>
      </c>
      <c r="L118">
        <f>IF('исходные данные'!L118&gt;'минимумы и максимумы'!J$10,100,('исходные данные'!L118-'минимумы и максимумы'!J$9)/('минимумы и максимумы'!J$10-'минимумы и максимумы'!J$9)*100)</f>
        <v>0</v>
      </c>
      <c r="M118">
        <f>IF('исходные данные'!M118&gt;'минимумы и максимумы'!K$10,100,('исходные данные'!M118-'минимумы и максимумы'!K$9)/('минимумы и максимумы'!K$10-'минимумы и максимумы'!K$9)*100)</f>
        <v>85.714285714285708</v>
      </c>
      <c r="N118">
        <f>IF('исходные данные'!N118&gt;'минимумы и максимумы'!L$10,100,('исходные данные'!N118-'минимумы и максимумы'!L$9)/('минимумы и максимумы'!L$10-'минимумы и максимумы'!L$9)*100)</f>
        <v>11.307333626756135</v>
      </c>
      <c r="O118">
        <f>IF('исходные данные'!O118&gt;'минимумы и максимумы'!M$10,100,('исходные данные'!O118-'минимумы и максимумы'!M$9)/('минимумы и максимумы'!M$10-'минимумы и максимумы'!M$9)*100)</f>
        <v>66.666666666666657</v>
      </c>
      <c r="P118">
        <f>IF('исходные данные'!P118&gt;'минимумы и максимумы'!N$10,100,('исходные данные'!P118-'минимумы и максимумы'!N$9)/('минимумы и максимумы'!N$10-'минимумы и максимумы'!N$9)*100)</f>
        <v>100</v>
      </c>
      <c r="Q118">
        <f>IF('исходные данные'!Q118&gt;'минимумы и максимумы'!O$10,100,('исходные данные'!Q118-'минимумы и максимумы'!O$9)/('минимумы и максимумы'!O$10-'минимумы и максимумы'!O$9)*100)</f>
        <v>100</v>
      </c>
      <c r="R118">
        <f>IF('исходные данные'!R118&gt;'минимумы и максимумы'!P$10,100,('исходные данные'!R118-'минимумы и максимумы'!P$9)/('минимумы и максимумы'!P$10-'минимумы и максимумы'!P$9)*100)</f>
        <v>100</v>
      </c>
      <c r="S118">
        <f>IF('исходные данные'!S118&gt;'минимумы и максимумы'!Q$10,100,('исходные данные'!S118-'минимумы и максимумы'!Q$9)/('минимумы и максимумы'!Q$10-'минимумы и максимумы'!Q$9)*100)</f>
        <v>50</v>
      </c>
      <c r="T118">
        <f>IF('исходные данные'!T118&gt;'минимумы и максимумы'!R$10,100,('исходные данные'!T118-'минимумы и максимумы'!R$9)/('минимумы и максимумы'!R$10-'минимумы и максимумы'!R$9)*100)</f>
        <v>47.12313003452244</v>
      </c>
      <c r="U118">
        <f>IF('исходные данные'!U118&gt;'минимумы и максимумы'!S$10,100,('исходные данные'!U118-'минимумы и максимумы'!S$9)/('минимумы и максимумы'!S$10-'минимумы и максимумы'!S$9)*100)</f>
        <v>0</v>
      </c>
    </row>
    <row r="119" spans="1:21" x14ac:dyDescent="0.45">
      <c r="A119" s="4">
        <v>183</v>
      </c>
      <c r="B119" s="4">
        <v>0</v>
      </c>
      <c r="C119" s="4">
        <v>0</v>
      </c>
      <c r="D119">
        <f>IF('исходные данные'!D119&gt;'минимумы и максимумы'!B$10,100,('исходные данные'!D119-'минимумы и максимумы'!B$9)/('минимумы и максимумы'!B$10-'минимумы и максимумы'!B$9)*100)</f>
        <v>22.222222222222221</v>
      </c>
      <c r="E119">
        <f>IF('исходные данные'!E119&gt;'минимумы и максимумы'!C$10,100,('исходные данные'!E119-'минимумы и максимумы'!C$9)/('минимумы и максимумы'!C$10-'минимумы и максимумы'!C$9)*100)</f>
        <v>100</v>
      </c>
      <c r="F119">
        <f>IF('исходные данные'!F119&gt;'минимумы и максимумы'!D$10,100,('исходные данные'!F119-'минимумы и максимумы'!D$9)/('минимумы и максимумы'!D$10-'минимумы и максимумы'!D$9)*100)</f>
        <v>33.333333333333329</v>
      </c>
      <c r="G119">
        <f>IF('исходные данные'!G119&gt;'минимумы и максимумы'!E$10,100,('исходные данные'!G119-'минимумы и максимумы'!E$9)/('минимумы и максимумы'!E$10-'минимумы и максимумы'!E$9)*100)</f>
        <v>62.5</v>
      </c>
      <c r="H119">
        <f>IF('исходные данные'!H119&gt;'минимумы и максимумы'!F$10,100,('исходные данные'!H119-'минимумы и максимумы'!F$9)/('минимумы и максимумы'!F$10-'минимумы и максимумы'!F$9)*100)</f>
        <v>41.379310344827587</v>
      </c>
      <c r="I119">
        <f>IF('исходные данные'!I119&gt;'минимумы и максимумы'!G$10,100,('исходные данные'!I119-'минимумы и максимумы'!G$9)/('минимумы и максимумы'!G$10-'минимумы и максимумы'!G$9)*100)</f>
        <v>75.471698113207552</v>
      </c>
      <c r="J119">
        <f>IF('исходные данные'!J119&gt;'минимумы и максимумы'!H$10,100,('исходные данные'!J119-'минимумы и максимумы'!H$9)/('минимумы и максимумы'!H$10-'минимумы и максимумы'!H$9)*100)</f>
        <v>100</v>
      </c>
      <c r="K119">
        <f>IF('исходные данные'!K119&gt;'минимумы и максимумы'!I$10,100,('исходные данные'!K119-'минимумы и максимумы'!I$9)/('минимумы и максимумы'!I$10-'минимумы и максимумы'!I$9)*100)</f>
        <v>22.222222222222221</v>
      </c>
      <c r="L119">
        <f>IF('исходные данные'!L119&gt;'минимумы и максимумы'!J$10,100,('исходные данные'!L119-'минимумы и максимумы'!J$9)/('минимумы и максимумы'!J$10-'минимумы и максимумы'!J$9)*100)</f>
        <v>50</v>
      </c>
      <c r="M119">
        <f>IF('исходные данные'!M119&gt;'минимумы и максимумы'!K$10,100,('исходные данные'!M119-'минимумы и максимумы'!K$9)/('минимумы и максимумы'!K$10-'минимумы и максимумы'!K$9)*100)</f>
        <v>89.285714285714292</v>
      </c>
      <c r="N119">
        <f>IF('исходные данные'!N119&gt;'минимумы и максимумы'!L$10,100,('исходные данные'!N119-'минимумы и максимумы'!L$9)/('минимумы и максимумы'!L$10-'минимумы и максимумы'!L$9)*100)</f>
        <v>11.64480939958279</v>
      </c>
      <c r="O119">
        <f>IF('исходные данные'!O119&gt;'минимумы и максимумы'!M$10,100,('исходные данные'!O119-'минимумы и максимумы'!M$9)/('минимумы и максимумы'!M$10-'минимумы и максимумы'!M$9)*100)</f>
        <v>100</v>
      </c>
      <c r="P119">
        <f>IF('исходные данные'!P119&gt;'минимумы и максимумы'!N$10,100,('исходные данные'!P119-'минимумы и максимумы'!N$9)/('минимумы и максимумы'!N$10-'минимумы и максимумы'!N$9)*100)</f>
        <v>0</v>
      </c>
      <c r="Q119">
        <f>IF('исходные данные'!Q119&gt;'минимумы и максимумы'!O$10,100,('исходные данные'!Q119-'минимумы и максимумы'!O$9)/('минимумы и максимумы'!O$10-'минимумы и максимумы'!O$9)*100)</f>
        <v>100</v>
      </c>
      <c r="R119">
        <f>IF('исходные данные'!R119&gt;'минимумы и максимумы'!P$10,100,('исходные данные'!R119-'минимумы и максимумы'!P$9)/('минимумы и максимумы'!P$10-'минимумы и максимумы'!P$9)*100)</f>
        <v>100</v>
      </c>
      <c r="S119">
        <f>IF('исходные данные'!S119&gt;'минимумы и максимумы'!Q$10,100,('исходные данные'!S119-'минимумы и максимумы'!Q$9)/('минимумы и максимумы'!Q$10-'минимумы и максимумы'!Q$9)*100)</f>
        <v>66.666666666666657</v>
      </c>
      <c r="T119">
        <f>IF('исходные данные'!T119&gt;'минимумы и максимумы'!R$10,100,('исходные данные'!T119-'минимумы и максимумы'!R$9)/('минимумы и максимумы'!R$10-'минимумы и максимумы'!R$9)*100)</f>
        <v>26.237054085155354</v>
      </c>
      <c r="U119">
        <f>IF('исходные данные'!U119&gt;'минимумы и максимумы'!S$10,100,('исходные данные'!U119-'минимумы и максимумы'!S$9)/('минимумы и максимумы'!S$10-'минимумы и максимумы'!S$9)*100)</f>
        <v>66.666666666666657</v>
      </c>
    </row>
    <row r="120" spans="1:21" x14ac:dyDescent="0.45">
      <c r="A120" s="4">
        <v>184</v>
      </c>
      <c r="B120" s="4">
        <v>1</v>
      </c>
      <c r="C120" s="4">
        <v>0</v>
      </c>
      <c r="D120">
        <f>IF('исходные данные'!D120&gt;'минимумы и максимумы'!B$10,100,('исходные данные'!D120-'минимумы и максимумы'!B$9)/('минимумы и максимумы'!B$10-'минимумы и максимумы'!B$9)*100)</f>
        <v>22.222222222222221</v>
      </c>
      <c r="E120">
        <f>IF('исходные данные'!E120&gt;'минимумы и максимумы'!C$10,100,('исходные данные'!E120-'минимумы и максимумы'!C$9)/('минимумы и максимумы'!C$10-'минимумы и максимумы'!C$9)*100)</f>
        <v>100</v>
      </c>
      <c r="F120">
        <f>IF('исходные данные'!F120&gt;'минимумы и максимумы'!D$10,100,('исходные данные'!F120-'минимумы и максимумы'!D$9)/('минимумы и максимумы'!D$10-'минимумы и максимумы'!D$9)*100)</f>
        <v>0</v>
      </c>
      <c r="G120">
        <f>IF('исходные данные'!G120&gt;'минимумы и максимумы'!E$10,100,('исходные данные'!G120-'минимумы и максимумы'!E$9)/('минимумы и максимумы'!E$10-'минимумы и максимумы'!E$9)*100)</f>
        <v>75</v>
      </c>
      <c r="H120">
        <f>IF('исходные данные'!H120&gt;'минимумы и максимумы'!F$10,100,('исходные данные'!H120-'минимумы и максимумы'!F$9)/('минимумы и максимумы'!F$10-'минимумы и максимумы'!F$9)*100)</f>
        <v>37.931034482758619</v>
      </c>
      <c r="I120">
        <f>IF('исходные данные'!I120&gt;'минимумы и максимумы'!G$10,100,('исходные данные'!I120-'минимумы и максимумы'!G$9)/('минимумы и максимумы'!G$10-'минимумы и максимумы'!G$9)*100)</f>
        <v>66.037735849056602</v>
      </c>
      <c r="J120">
        <f>IF('исходные данные'!J120&gt;'минимумы и максимумы'!H$10,100,('исходные данные'!J120-'минимумы и максимумы'!H$9)/('минимумы и максимумы'!H$10-'минимумы и максимумы'!H$9)*100)</f>
        <v>93.333333333333329</v>
      </c>
      <c r="K120">
        <f>IF('исходные данные'!K120&gt;'минимумы и максимумы'!I$10,100,('исходные данные'!K120-'минимумы и максимумы'!I$9)/('минимумы и максимумы'!I$10-'минимумы и максимумы'!I$9)*100)</f>
        <v>38.888888888888893</v>
      </c>
      <c r="L120">
        <f>IF('исходные данные'!L120&gt;'минимумы и максимумы'!J$10,100,('исходные данные'!L120-'минимумы и максимумы'!J$9)/('минимумы и максимумы'!J$10-'минимумы и максимумы'!J$9)*100)</f>
        <v>42.857142857142854</v>
      </c>
      <c r="M120">
        <f>IF('исходные данные'!M120&gt;'минимумы и максимумы'!K$10,100,('исходные данные'!M120-'минимумы и максимумы'!K$9)/('минимумы и максимумы'!K$10-'минимумы и максимумы'!K$9)*100)</f>
        <v>92.857142857142861</v>
      </c>
      <c r="N120">
        <f>IF('исходные данные'!N120&gt;'минимумы и максимумы'!L$10,100,('исходные данные'!N120-'минимумы и максимумы'!L$9)/('минимумы и максимумы'!L$10-'минимумы и максимумы'!L$9)*100)</f>
        <v>11.787465495668368</v>
      </c>
      <c r="O120">
        <f>IF('исходные данные'!O120&gt;'минимумы и максимумы'!M$10,100,('исходные данные'!O120-'минимумы и максимумы'!M$9)/('минимумы и максимумы'!M$10-'минимумы и максимумы'!M$9)*100)</f>
        <v>0</v>
      </c>
      <c r="P120">
        <f>IF('исходные данные'!P120&gt;'минимумы и максимумы'!N$10,100,('исходные данные'!P120-'минимумы и максимумы'!N$9)/('минимумы и максимумы'!N$10-'минимумы и максимумы'!N$9)*100)</f>
        <v>0</v>
      </c>
      <c r="Q120">
        <f>IF('исходные данные'!Q120&gt;'минимумы и максимумы'!O$10,100,('исходные данные'!Q120-'минимумы и максимумы'!O$9)/('минимумы и максимумы'!O$10-'минимумы и максимумы'!O$9)*100)</f>
        <v>100</v>
      </c>
      <c r="R120">
        <f>IF('исходные данные'!R120&gt;'минимумы и максимумы'!P$10,100,('исходные данные'!R120-'минимумы и максимумы'!P$9)/('минимумы и максимумы'!P$10-'минимумы и максимумы'!P$9)*100)</f>
        <v>100</v>
      </c>
      <c r="S120">
        <f>IF('исходные данные'!S120&gt;'минимумы и максимумы'!Q$10,100,('исходные данные'!S120-'минимумы и максимумы'!Q$9)/('минимумы и максимумы'!Q$10-'минимумы и максимумы'!Q$9)*100)</f>
        <v>33.333333333333329</v>
      </c>
      <c r="T120">
        <f>IF('исходные данные'!T120&gt;'минимумы и максимумы'!R$10,100,('исходные данные'!T120-'минимумы и максимумы'!R$9)/('минимумы и максимумы'!R$10-'минимумы и максимумы'!R$9)*100)</f>
        <v>9.0909090909090917</v>
      </c>
      <c r="U120">
        <f>IF('исходные данные'!U120&gt;'минимумы и максимумы'!S$10,100,('исходные данные'!U120-'минимумы и максимумы'!S$9)/('минимумы и максимумы'!S$10-'минимумы и максимумы'!S$9)*100)</f>
        <v>66.666666666666657</v>
      </c>
    </row>
    <row r="121" spans="1:21" x14ac:dyDescent="0.45">
      <c r="A121" s="4">
        <v>185</v>
      </c>
      <c r="B121" s="4">
        <v>0</v>
      </c>
      <c r="C121" s="4">
        <v>0</v>
      </c>
      <c r="D121">
        <f>IF('исходные данные'!D121&gt;'минимумы и максимумы'!B$10,100,('исходные данные'!D121-'минимумы и максимумы'!B$9)/('минимумы и максимумы'!B$10-'минимумы и максимумы'!B$9)*100)</f>
        <v>22.222222222222221</v>
      </c>
      <c r="E121">
        <f>IF('исходные данные'!E121&gt;'минимумы и максимумы'!C$10,100,('исходные данные'!E121-'минимумы и максимумы'!C$9)/('минимумы и максимумы'!C$10-'минимумы и максимумы'!C$9)*100)</f>
        <v>100</v>
      </c>
      <c r="F121">
        <f>IF('исходные данные'!F121&gt;'минимумы и максимумы'!D$10,100,('исходные данные'!F121-'минимумы и максимумы'!D$9)/('минимумы и максимумы'!D$10-'минимумы и максимумы'!D$9)*100)</f>
        <v>0</v>
      </c>
      <c r="G121">
        <f>IF('исходные данные'!G121&gt;'минимумы и максимумы'!E$10,100,('исходные данные'!G121-'минимумы и максимумы'!E$9)/('минимумы и максимумы'!E$10-'минимумы и максимумы'!E$9)*100)</f>
        <v>75</v>
      </c>
      <c r="H121">
        <f>IF('исходные данные'!H121&gt;'минимумы и максимумы'!F$10,100,('исходные данные'!H121-'минимумы и максимумы'!F$9)/('минимумы и максимумы'!F$10-'минимумы и максимумы'!F$9)*100)</f>
        <v>37.931034482758619</v>
      </c>
      <c r="I121">
        <f>IF('исходные данные'!I121&gt;'минимумы и максимумы'!G$10,100,('исходные данные'!I121-'минимумы и максимумы'!G$9)/('минимумы и максимумы'!G$10-'минимумы и максимумы'!G$9)*100)</f>
        <v>66.037735849056602</v>
      </c>
      <c r="J121">
        <f>IF('исходные данные'!J121&gt;'минимумы и максимумы'!H$10,100,('исходные данные'!J121-'минимумы и максимумы'!H$9)/('минимумы и максимумы'!H$10-'минимумы и максимумы'!H$9)*100)</f>
        <v>93.333333333333329</v>
      </c>
      <c r="K121">
        <f>IF('исходные данные'!K121&gt;'минимумы и максимумы'!I$10,100,('исходные данные'!K121-'минимумы и максимумы'!I$9)/('минимумы и максимумы'!I$10-'минимумы и максимумы'!I$9)*100)</f>
        <v>38.888888888888893</v>
      </c>
      <c r="L121">
        <f>IF('исходные данные'!L121&gt;'минимумы и максимумы'!J$10,100,('исходные данные'!L121-'минимумы и максимумы'!J$9)/('минимумы и максимумы'!J$10-'минимумы и максимумы'!J$9)*100)</f>
        <v>42.857142857142854</v>
      </c>
      <c r="M121">
        <f>IF('исходные данные'!M121&gt;'минимумы и максимумы'!K$10,100,('исходные данные'!M121-'минимумы и максимумы'!K$9)/('минимумы и максимумы'!K$10-'минимумы и максимумы'!K$9)*100)</f>
        <v>92.857142857142861</v>
      </c>
      <c r="N121">
        <f>IF('исходные данные'!N121&gt;'минимумы и максимумы'!L$10,100,('исходные данные'!N121-'минимумы и максимумы'!L$9)/('минимумы и максимумы'!L$10-'минимумы и максимумы'!L$9)*100)</f>
        <v>12.407587419547179</v>
      </c>
      <c r="O121">
        <f>IF('исходные данные'!O121&gt;'минимумы и максимумы'!M$10,100,('исходные данные'!O121-'минимумы и максимумы'!M$9)/('минимумы и максимумы'!M$10-'минимумы и максимумы'!M$9)*100)</f>
        <v>33.333333333333329</v>
      </c>
      <c r="P121">
        <f>IF('исходные данные'!P121&gt;'минимумы и максимумы'!N$10,100,('исходные данные'!P121-'минимумы и максимумы'!N$9)/('минимумы и максимумы'!N$10-'минимумы и максимумы'!N$9)*100)</f>
        <v>100</v>
      </c>
      <c r="Q121">
        <f>IF('исходные данные'!Q121&gt;'минимумы и максимумы'!O$10,100,('исходные данные'!Q121-'минимумы и максимумы'!O$9)/('минимумы и максимумы'!O$10-'минимумы и максимумы'!O$9)*100)</f>
        <v>100</v>
      </c>
      <c r="R121">
        <f>IF('исходные данные'!R121&gt;'минимумы и максимумы'!P$10,100,('исходные данные'!R121-'минимумы и максимумы'!P$9)/('минимумы и максимумы'!P$10-'минимумы и максимумы'!P$9)*100)</f>
        <v>100</v>
      </c>
      <c r="S121">
        <f>IF('исходные данные'!S121&gt;'минимумы и максимумы'!Q$10,100,('исходные данные'!S121-'минимумы и максимумы'!Q$9)/('минимумы и максимумы'!Q$10-'минимумы и максимумы'!Q$9)*100)</f>
        <v>50</v>
      </c>
      <c r="T121">
        <f>IF('исходные данные'!T121&gt;'минимумы и максимумы'!R$10,100,('исходные данные'!T121-'минимумы и максимумы'!R$9)/('минимумы и максимумы'!R$10-'минимумы и максимумы'!R$9)*100)</f>
        <v>14.47065592635213</v>
      </c>
      <c r="U121">
        <f>IF('исходные данные'!U121&gt;'минимумы и максимумы'!S$10,100,('исходные данные'!U121-'минимумы и максимумы'!S$9)/('минимумы и максимумы'!S$10-'минимумы и максимумы'!S$9)*100)</f>
        <v>66.666666666666657</v>
      </c>
    </row>
    <row r="122" spans="1:21" x14ac:dyDescent="0.45">
      <c r="A122" s="4">
        <v>186</v>
      </c>
      <c r="B122" s="4">
        <v>0</v>
      </c>
      <c r="C122" s="4">
        <v>0</v>
      </c>
      <c r="D122">
        <f>IF('исходные данные'!D122&gt;'минимумы и максимумы'!B$10,100,('исходные данные'!D122-'минимумы и максимумы'!B$9)/('минимумы и максимумы'!B$10-'минимумы и максимумы'!B$9)*100)</f>
        <v>22.222222222222221</v>
      </c>
      <c r="E122">
        <f>IF('исходные данные'!E122&gt;'минимумы и максимумы'!C$10,100,('исходные данные'!E122-'минимумы и максимумы'!C$9)/('минимумы и максимумы'!C$10-'минимумы и максимумы'!C$9)*100)</f>
        <v>40</v>
      </c>
      <c r="F122">
        <f>IF('исходные данные'!F122&gt;'минимумы и максимумы'!D$10,100,('исходные данные'!F122-'минимумы и максимумы'!D$9)/('минимумы и максимумы'!D$10-'минимумы и максимумы'!D$9)*100)</f>
        <v>0</v>
      </c>
      <c r="G122">
        <f>IF('исходные данные'!G122&gt;'минимумы и максимумы'!E$10,100,('исходные данные'!G122-'минимумы и максимумы'!E$9)/('минимумы и максимумы'!E$10-'минимумы и максимумы'!E$9)*100)</f>
        <v>91.666666666666657</v>
      </c>
      <c r="H122">
        <f>IF('исходные данные'!H122&gt;'минимумы и максимумы'!F$10,100,('исходные данные'!H122-'минимумы и максимумы'!F$9)/('минимумы и максимумы'!F$10-'минимумы и максимумы'!F$9)*100)</f>
        <v>75.862068965517238</v>
      </c>
      <c r="I122">
        <f>IF('исходные данные'!I122&gt;'минимумы и максимумы'!G$10,100,('исходные данные'!I122-'минимумы и максимумы'!G$9)/('минимумы и максимумы'!G$10-'минимумы и максимумы'!G$9)*100)</f>
        <v>100</v>
      </c>
      <c r="J122">
        <f>IF('исходные данные'!J122&gt;'минимумы и максимумы'!H$10,100,('исходные данные'!J122-'минимумы и максимумы'!H$9)/('минимумы и максимумы'!H$10-'минимумы и максимумы'!H$9)*100)</f>
        <v>100</v>
      </c>
      <c r="K122">
        <f>IF('исходные данные'!K122&gt;'минимумы и максимумы'!I$10,100,('исходные данные'!K122-'минимумы и максимумы'!I$9)/('минимумы и максимумы'!I$10-'минимумы и максимумы'!I$9)*100)</f>
        <v>100</v>
      </c>
      <c r="L122">
        <f>IF('исходные данные'!L122&gt;'минимумы и максимумы'!J$10,100,('исходные данные'!L122-'минимумы и максимумы'!J$9)/('минимумы и максимумы'!J$10-'минимумы и максимумы'!J$9)*100)</f>
        <v>78.571428571428569</v>
      </c>
      <c r="M122">
        <f>IF('исходные данные'!M122&gt;'минимумы и максимумы'!K$10,100,('исходные данные'!M122-'минимумы и максимумы'!K$9)/('минимумы и максимумы'!K$10-'минимумы и максимумы'!K$9)*100)</f>
        <v>60.714285714285708</v>
      </c>
      <c r="N122">
        <f>IF('исходные данные'!N122&gt;'минимумы и максимумы'!L$10,100,('исходные данные'!N122-'минимумы и максимумы'!L$9)/('минимумы и максимумы'!L$10-'минимумы и максимумы'!L$9)*100)</f>
        <v>7.7328557219250564</v>
      </c>
      <c r="O122">
        <f>IF('исходные данные'!O122&gt;'минимумы и максимумы'!M$10,100,('исходные данные'!O122-'минимумы и максимумы'!M$9)/('минимумы и максимумы'!M$10-'минимумы и максимумы'!M$9)*100)</f>
        <v>0</v>
      </c>
      <c r="P122">
        <f>IF('исходные данные'!P122&gt;'минимумы и максимумы'!N$10,100,('исходные данные'!P122-'минимумы и максимумы'!N$9)/('минимумы и максимумы'!N$10-'минимумы и максимумы'!N$9)*100)</f>
        <v>0</v>
      </c>
      <c r="Q122">
        <f>IF('исходные данные'!Q122&gt;'минимумы и максимумы'!O$10,100,('исходные данные'!Q122-'минимумы и максимумы'!O$9)/('минимумы и максимумы'!O$10-'минимумы и максимумы'!O$9)*100)</f>
        <v>100</v>
      </c>
      <c r="R122">
        <f>IF('исходные данные'!R122&gt;'минимумы и максимумы'!P$10,100,('исходные данные'!R122-'минимумы и максимумы'!P$9)/('минимумы и максимумы'!P$10-'минимумы и максимумы'!P$9)*100)</f>
        <v>75</v>
      </c>
      <c r="S122">
        <f>IF('исходные данные'!S122&gt;'минимумы и максимумы'!Q$10,100,('исходные данные'!S122-'минимумы и максимумы'!Q$9)/('минимумы и максимумы'!Q$10-'минимумы и максимумы'!Q$9)*100)</f>
        <v>33.333333333333329</v>
      </c>
      <c r="T122">
        <f>IF('исходные данные'!T122&gt;'минимумы и максимумы'!R$10,100,('исходные данные'!T122-'минимумы и максимумы'!R$9)/('минимумы и максимумы'!R$10-'минимумы и максимумы'!R$9)*100)</f>
        <v>22.612197928653625</v>
      </c>
      <c r="U122">
        <f>IF('исходные данные'!U122&gt;'минимумы и максимумы'!S$10,100,('исходные данные'!U122-'минимумы и максимумы'!S$9)/('минимумы и максимумы'!S$10-'минимумы и максимумы'!S$9)*100)</f>
        <v>66.666666666666657</v>
      </c>
    </row>
    <row r="123" spans="1:21" x14ac:dyDescent="0.45">
      <c r="A123" s="4">
        <v>187</v>
      </c>
      <c r="B123" s="4">
        <v>1</v>
      </c>
      <c r="C123" s="4">
        <v>0</v>
      </c>
      <c r="D123">
        <f>IF('исходные данные'!D123&gt;'минимумы и максимумы'!B$10,100,('исходные данные'!D123-'минимумы и максимумы'!B$9)/('минимумы и максимумы'!B$10-'минимумы и максимумы'!B$9)*100)</f>
        <v>44.444444444444443</v>
      </c>
      <c r="E123">
        <f>IF('исходные данные'!E123&gt;'минимумы и максимумы'!C$10,100,('исходные данные'!E123-'минимумы и максимумы'!C$9)/('минимумы и максимумы'!C$10-'минимумы и максимумы'!C$9)*100)</f>
        <v>40</v>
      </c>
      <c r="F123">
        <f>IF('исходные данные'!F123&gt;'минимумы и максимумы'!D$10,100,('исходные данные'!F123-'минимумы и максимумы'!D$9)/('минимумы и максимумы'!D$10-'минимумы и максимумы'!D$9)*100)</f>
        <v>0</v>
      </c>
      <c r="G123">
        <f>IF('исходные данные'!G123&gt;'минимумы и максимумы'!E$10,100,('исходные данные'!G123-'минимумы и максимумы'!E$9)/('минимумы и максимумы'!E$10-'минимумы и максимумы'!E$9)*100)</f>
        <v>20.833333333333336</v>
      </c>
      <c r="H123">
        <f>IF('исходные данные'!H123&gt;'минимумы и максимумы'!F$10,100,('исходные данные'!H123-'минимумы и максимумы'!F$9)/('минимумы и максимумы'!F$10-'минимумы и максимумы'!F$9)*100)</f>
        <v>20.689655172413794</v>
      </c>
      <c r="I123">
        <f>IF('исходные данные'!I123&gt;'минимумы и максимумы'!G$10,100,('исходные данные'!I123-'минимумы и максимумы'!G$9)/('минимумы и максимумы'!G$10-'минимумы и максимумы'!G$9)*100)</f>
        <v>43.39622641509434</v>
      </c>
      <c r="J123">
        <f>IF('исходные данные'!J123&gt;'минимумы и максимумы'!H$10,100,('исходные данные'!J123-'минимумы и максимумы'!H$9)/('минимумы и максимумы'!H$10-'минимумы и максимумы'!H$9)*100)</f>
        <v>53.333333333333336</v>
      </c>
      <c r="K123">
        <f>IF('исходные данные'!K123&gt;'минимумы и максимумы'!I$10,100,('исходные данные'!K123-'минимумы и максимумы'!I$9)/('минимумы и максимумы'!I$10-'минимумы и максимумы'!I$9)*100)</f>
        <v>61.111111111111114</v>
      </c>
      <c r="L123">
        <f>IF('исходные данные'!L123&gt;'минимумы и максимумы'!J$10,100,('исходные данные'!L123-'минимумы и максимумы'!J$9)/('минимумы и максимумы'!J$10-'минимумы и максимумы'!J$9)*100)</f>
        <v>0</v>
      </c>
      <c r="M123">
        <f>IF('исходные данные'!M123&gt;'минимумы и максимумы'!K$10,100,('исходные данные'!M123-'минимумы и максимумы'!K$9)/('минимумы и максимумы'!K$10-'минимумы и максимумы'!K$9)*100)</f>
        <v>57.142857142857139</v>
      </c>
      <c r="N123">
        <f>IF('исходные данные'!N123&gt;'минимумы и максимумы'!L$10,100,('исходные данные'!N123-'минимумы и максимумы'!L$9)/('минимумы и максимумы'!L$10-'минимумы и максимумы'!L$9)*100)</f>
        <v>18.870194083563494</v>
      </c>
      <c r="O123">
        <f>IF('исходные данные'!O123&gt;'минимумы и максимумы'!M$10,100,('исходные данные'!O123-'минимумы и максимумы'!M$9)/('минимумы и максимумы'!M$10-'минимумы и максимумы'!M$9)*100)</f>
        <v>100</v>
      </c>
      <c r="P123">
        <f>IF('исходные данные'!P123&gt;'минимумы и максимумы'!N$10,100,('исходные данные'!P123-'минимумы и максимумы'!N$9)/('минимумы и максимумы'!N$10-'минимумы и максимумы'!N$9)*100)</f>
        <v>0</v>
      </c>
      <c r="Q123">
        <f>IF('исходные данные'!Q123&gt;'минимумы и максимумы'!O$10,100,('исходные данные'!Q123-'минимумы и максимумы'!O$9)/('минимумы и максимумы'!O$10-'минимумы и максимумы'!O$9)*100)</f>
        <v>0</v>
      </c>
      <c r="R123">
        <f>IF('исходные данные'!R123&gt;'минимумы и максимумы'!P$10,100,('исходные данные'!R123-'минимумы и максимумы'!P$9)/('минимумы и максимумы'!P$10-'минимумы и максимумы'!P$9)*100)</f>
        <v>100</v>
      </c>
      <c r="S123">
        <f>IF('исходные данные'!S123&gt;'минимумы и максимумы'!Q$10,100,('исходные данные'!S123-'минимумы и максимумы'!Q$9)/('минимумы и максимумы'!Q$10-'минимумы и максимумы'!Q$9)*100)</f>
        <v>50</v>
      </c>
      <c r="T123">
        <f>IF('исходные данные'!T123&gt;'минимумы и максимумы'!R$10,100,('исходные данные'!T123-'минимумы и максимумы'!R$9)/('минимумы и максимумы'!R$10-'минимумы и максимумы'!R$9)*100)</f>
        <v>18.814729574223247</v>
      </c>
      <c r="U123">
        <f>IF('исходные данные'!U123&gt;'минимумы и максимумы'!S$10,100,('исходные данные'!U123-'минимумы и максимумы'!S$9)/('минимумы и максимумы'!S$10-'минимумы и максимумы'!S$9)*100)</f>
        <v>33.333333333333329</v>
      </c>
    </row>
    <row r="124" spans="1:21" x14ac:dyDescent="0.45">
      <c r="A124" s="4">
        <v>188</v>
      </c>
      <c r="B124" s="4">
        <v>0</v>
      </c>
      <c r="C124" s="4">
        <v>0</v>
      </c>
      <c r="D124">
        <f>IF('исходные данные'!D124&gt;'минимумы и максимумы'!B$10,100,('исходные данные'!D124-'минимумы и максимумы'!B$9)/('минимумы и максимумы'!B$10-'минимумы и максимумы'!B$9)*100)</f>
        <v>44.444444444444443</v>
      </c>
      <c r="E124">
        <f>IF('исходные данные'!E124&gt;'минимумы и максимумы'!C$10,100,('исходные данные'!E124-'минимумы и максимумы'!C$9)/('минимумы и максимумы'!C$10-'минимумы и максимумы'!C$9)*100)</f>
        <v>40</v>
      </c>
      <c r="F124">
        <f>IF('исходные данные'!F124&gt;'минимумы и максимумы'!D$10,100,('исходные данные'!F124-'минимумы и максимумы'!D$9)/('минимумы и максимумы'!D$10-'минимумы и максимумы'!D$9)*100)</f>
        <v>33.333333333333329</v>
      </c>
      <c r="G124">
        <f>IF('исходные данные'!G124&gt;'минимумы и максимумы'!E$10,100,('исходные данные'!G124-'минимумы и максимумы'!E$9)/('минимумы и максимумы'!E$10-'минимумы и максимумы'!E$9)*100)</f>
        <v>25</v>
      </c>
      <c r="H124">
        <f>IF('исходные данные'!H124&gt;'минимумы и максимумы'!F$10,100,('исходные данные'!H124-'минимумы и максимумы'!F$9)/('минимумы и максимумы'!F$10-'минимумы и максимумы'!F$9)*100)</f>
        <v>27.586206896551722</v>
      </c>
      <c r="I124">
        <f>IF('исходные данные'!I124&gt;'минимумы и максимумы'!G$10,100,('исходные данные'!I124-'минимумы и максимумы'!G$9)/('минимумы и максимумы'!G$10-'минимумы и максимумы'!G$9)*100)</f>
        <v>30.188679245283019</v>
      </c>
      <c r="J124">
        <f>IF('исходные данные'!J124&gt;'минимумы и максимумы'!H$10,100,('исходные данные'!J124-'минимумы и максимумы'!H$9)/('минимумы и максимумы'!H$10-'минимумы и максимумы'!H$9)*100)</f>
        <v>53.333333333333336</v>
      </c>
      <c r="K124">
        <f>IF('исходные данные'!K124&gt;'минимумы и максимумы'!I$10,100,('исходные данные'!K124-'минимумы и максимумы'!I$9)/('минимумы и максимумы'!I$10-'минимумы и максимумы'!I$9)*100)</f>
        <v>88.888888888888886</v>
      </c>
      <c r="L124">
        <f>IF('исходные данные'!L124&gt;'минимумы и максимумы'!J$10,100,('исходные данные'!L124-'минимумы и максимумы'!J$9)/('минимумы и максимумы'!J$10-'минимумы и максимумы'!J$9)*100)</f>
        <v>0</v>
      </c>
      <c r="M124">
        <f>IF('исходные данные'!M124&gt;'минимумы и максимумы'!K$10,100,('исходные данные'!M124-'минимумы и максимумы'!K$9)/('минимумы и максимумы'!K$10-'минимумы и максимумы'!K$9)*100)</f>
        <v>75</v>
      </c>
      <c r="N124">
        <f>IF('исходные данные'!N124&gt;'минимумы и максимумы'!L$10,100,('исходные данные'!N124-'минимумы и максимумы'!L$9)/('минимумы и максимумы'!L$10-'минимумы и максимумы'!L$9)*100)</f>
        <v>18.239614325737726</v>
      </c>
      <c r="O124">
        <f>IF('исходные данные'!O124&gt;'минимумы и максимумы'!M$10,100,('исходные данные'!O124-'минимумы и максимумы'!M$9)/('минимумы и максимумы'!M$10-'минимумы и максимумы'!M$9)*100)</f>
        <v>0</v>
      </c>
      <c r="P124">
        <f>IF('исходные данные'!P124&gt;'минимумы и максимумы'!N$10,100,('исходные данные'!P124-'минимумы и максимумы'!N$9)/('минимумы и максимумы'!N$10-'минимумы и максимумы'!N$9)*100)</f>
        <v>0</v>
      </c>
      <c r="Q124">
        <f>IF('исходные данные'!Q124&gt;'минимумы и максимумы'!O$10,100,('исходные данные'!Q124-'минимумы и максимумы'!O$9)/('минимумы и максимумы'!O$10-'минимумы и максимумы'!O$9)*100)</f>
        <v>0</v>
      </c>
      <c r="R124">
        <f>IF('исходные данные'!R124&gt;'минимумы и максимумы'!P$10,100,('исходные данные'!R124-'минимумы и максимумы'!P$9)/('минимумы и максимумы'!P$10-'минимумы и максимумы'!P$9)*100)</f>
        <v>100</v>
      </c>
      <c r="S124">
        <f>IF('исходные данные'!S124&gt;'минимумы и максимумы'!Q$10,100,('исходные данные'!S124-'минимумы и максимумы'!Q$9)/('минимумы и максимумы'!Q$10-'минимумы и максимумы'!Q$9)*100)</f>
        <v>33.333333333333329</v>
      </c>
      <c r="T124">
        <f>IF('исходные данные'!T124&gt;'минимумы и максимумы'!R$10,100,('исходные данные'!T124-'минимумы и максимумы'!R$9)/('минимумы и максимумы'!R$10-'минимумы и максимумы'!R$9)*100)</f>
        <v>11.047180667433832</v>
      </c>
      <c r="U124">
        <f>IF('исходные данные'!U124&gt;'минимумы и максимумы'!S$10,100,('исходные данные'!U124-'минимумы и максимумы'!S$9)/('минимумы и максимумы'!S$10-'минимумы и максимумы'!S$9)*100)</f>
        <v>0</v>
      </c>
    </row>
    <row r="125" spans="1:21" x14ac:dyDescent="0.45">
      <c r="A125" s="4">
        <v>189</v>
      </c>
      <c r="B125" s="4">
        <v>0</v>
      </c>
      <c r="C125" s="4">
        <v>0</v>
      </c>
      <c r="D125">
        <f>IF('исходные данные'!D125&gt;'минимумы и максимумы'!B$10,100,('исходные данные'!D125-'минимумы и максимумы'!B$9)/('минимумы и максимумы'!B$10-'минимумы и максимумы'!B$9)*100)</f>
        <v>44.444444444444443</v>
      </c>
      <c r="E125">
        <f>IF('исходные данные'!E125&gt;'минимумы и максимумы'!C$10,100,('исходные данные'!E125-'минимумы и максимумы'!C$9)/('минимумы и максимумы'!C$10-'минимумы и максимумы'!C$9)*100)</f>
        <v>10</v>
      </c>
      <c r="F125">
        <f>IF('исходные данные'!F125&gt;'минимумы и максимумы'!D$10,100,('исходные данные'!F125-'минимумы и максимумы'!D$9)/('минимумы и максимумы'!D$10-'минимумы и максимумы'!D$9)*100)</f>
        <v>0</v>
      </c>
      <c r="G125">
        <f>IF('исходные данные'!G125&gt;'минимумы и максимумы'!E$10,100,('исходные данные'!G125-'минимумы и максимумы'!E$9)/('минимумы и максимумы'!E$10-'минимумы и максимумы'!E$9)*100)</f>
        <v>37.5</v>
      </c>
      <c r="H125">
        <f>IF('исходные данные'!H125&gt;'минимумы и максимумы'!F$10,100,('исходные данные'!H125-'минимумы и максимумы'!F$9)/('минимумы и максимумы'!F$10-'минимумы и максимумы'!F$9)*100)</f>
        <v>34.482758620689658</v>
      </c>
      <c r="I125">
        <f>IF('исходные данные'!I125&gt;'минимумы и максимумы'!G$10,100,('исходные данные'!I125-'минимумы и максимумы'!G$9)/('минимумы и максимумы'!G$10-'минимумы и максимумы'!G$9)*100)</f>
        <v>43.39622641509434</v>
      </c>
      <c r="J125">
        <f>IF('исходные данные'!J125&gt;'минимумы и максимумы'!H$10,100,('исходные данные'!J125-'минимумы и максимумы'!H$9)/('минимумы и максимумы'!H$10-'минимумы и максимумы'!H$9)*100)</f>
        <v>40</v>
      </c>
      <c r="K125">
        <f>IF('исходные данные'!K125&gt;'минимумы и максимумы'!I$10,100,('исходные данные'!K125-'минимумы и максимумы'!I$9)/('минимумы и максимумы'!I$10-'минимумы и максимумы'!I$9)*100)</f>
        <v>83.333333333333343</v>
      </c>
      <c r="L125">
        <f>IF('исходные данные'!L125&gt;'минимумы и максимумы'!J$10,100,('исходные данные'!L125-'минимумы и максимумы'!J$9)/('минимумы и максимумы'!J$10-'минимумы и максимумы'!J$9)*100)</f>
        <v>7.1428571428571423</v>
      </c>
      <c r="M125">
        <f>IF('исходные данные'!M125&gt;'минимумы и максимумы'!K$10,100,('исходные данные'!M125-'минимумы и максимумы'!K$9)/('минимумы и максимумы'!K$10-'минимумы и максимумы'!K$9)*100)</f>
        <v>17.857142857142858</v>
      </c>
      <c r="N125">
        <f>IF('исходные данные'!N125&gt;'минимумы и максимумы'!L$10,100,('исходные данные'!N125-'минимумы и максимумы'!L$9)/('минимумы и максимумы'!L$10-'минимумы и максимумы'!L$9)*100)</f>
        <v>23.526472544642179</v>
      </c>
      <c r="O125">
        <f>IF('исходные данные'!O125&gt;'минимумы и максимумы'!M$10,100,('исходные данные'!O125-'минимумы и максимумы'!M$9)/('минимумы и максимумы'!M$10-'минимумы и максимумы'!M$9)*100)</f>
        <v>66.666666666666657</v>
      </c>
      <c r="P125">
        <f>IF('исходные данные'!P125&gt;'минимумы и максимумы'!N$10,100,('исходные данные'!P125-'минимумы и максимумы'!N$9)/('минимумы и максимумы'!N$10-'минимумы и максимумы'!N$9)*100)</f>
        <v>0</v>
      </c>
      <c r="Q125">
        <f>IF('исходные данные'!Q125&gt;'минимумы и максимумы'!O$10,100,('исходные данные'!Q125-'минимумы и максимумы'!O$9)/('минимумы и максимумы'!O$10-'минимумы и максимумы'!O$9)*100)</f>
        <v>100</v>
      </c>
      <c r="R125">
        <f>IF('исходные данные'!R125&gt;'минимумы и максимумы'!P$10,100,('исходные данные'!R125-'минимумы и максимумы'!P$9)/('минимумы и максимумы'!P$10-'минимумы и максимумы'!P$9)*100)</f>
        <v>100</v>
      </c>
      <c r="S125">
        <f>IF('исходные данные'!S125&gt;'минимумы и максимумы'!Q$10,100,('исходные данные'!S125-'минимумы и максимумы'!Q$9)/('минимумы и максимумы'!Q$10-'минимумы и максимумы'!Q$9)*100)</f>
        <v>66.666666666666657</v>
      </c>
      <c r="T125">
        <f>IF('исходные данные'!T125&gt;'минимумы и максимумы'!R$10,100,('исходные данные'!T125-'минимумы и максимумы'!R$9)/('минимумы и максимумы'!R$10-'минимумы и максимумы'!R$9)*100)</f>
        <v>7.4223245109321061</v>
      </c>
      <c r="U125">
        <f>IF('исходные данные'!U125&gt;'минимумы и максимумы'!S$10,100,('исходные данные'!U125-'минимумы и максимумы'!S$9)/('минимумы и максимумы'!S$10-'минимумы и максимумы'!S$9)*100)</f>
        <v>0</v>
      </c>
    </row>
    <row r="126" spans="1:21" x14ac:dyDescent="0.45">
      <c r="A126" s="4">
        <v>190</v>
      </c>
      <c r="B126" s="4">
        <v>0</v>
      </c>
      <c r="C126" s="4">
        <v>0</v>
      </c>
      <c r="D126">
        <f>IF('исходные данные'!D126&gt;'минимумы и максимумы'!B$10,100,('исходные данные'!D126-'минимумы и максимумы'!B$9)/('минимумы и максимумы'!B$10-'минимумы и максимумы'!B$9)*100)</f>
        <v>44.444444444444443</v>
      </c>
      <c r="E126">
        <f>IF('исходные данные'!E126&gt;'минимумы и максимумы'!C$10,100,('исходные данные'!E126-'минимумы и максимумы'!C$9)/('минимумы и максимумы'!C$10-'минимумы и максимумы'!C$9)*100)</f>
        <v>10</v>
      </c>
      <c r="F126">
        <f>IF('исходные данные'!F126&gt;'минимумы и максимумы'!D$10,100,('исходные данные'!F126-'минимумы и максимумы'!D$9)/('минимумы и максимумы'!D$10-'минимумы и максимумы'!D$9)*100)</f>
        <v>0</v>
      </c>
      <c r="G126">
        <f>IF('исходные данные'!G126&gt;'минимумы и максимумы'!E$10,100,('исходные данные'!G126-'минимумы и максимумы'!E$9)/('минимумы и максимумы'!E$10-'минимумы и максимумы'!E$9)*100)</f>
        <v>37.5</v>
      </c>
      <c r="H126">
        <f>IF('исходные данные'!H126&gt;'минимумы и максимумы'!F$10,100,('исходные данные'!H126-'минимумы и максимумы'!F$9)/('минимумы и максимумы'!F$10-'минимумы и максимумы'!F$9)*100)</f>
        <v>34.482758620689658</v>
      </c>
      <c r="I126">
        <f>IF('исходные данные'!I126&gt;'минимумы и максимумы'!G$10,100,('исходные данные'!I126-'минимумы и максимумы'!G$9)/('минимумы и максимумы'!G$10-'минимумы и максимумы'!G$9)*100)</f>
        <v>43.39622641509434</v>
      </c>
      <c r="J126">
        <f>IF('исходные данные'!J126&gt;'минимумы и максимумы'!H$10,100,('исходные данные'!J126-'минимумы и максимумы'!H$9)/('минимумы и максимумы'!H$10-'минимумы и максимумы'!H$9)*100)</f>
        <v>40</v>
      </c>
      <c r="K126">
        <f>IF('исходные данные'!K126&gt;'минимумы и максимумы'!I$10,100,('исходные данные'!K126-'минимумы и максимумы'!I$9)/('минимумы и максимумы'!I$10-'минимумы и максимумы'!I$9)*100)</f>
        <v>83.333333333333343</v>
      </c>
      <c r="L126">
        <f>IF('исходные данные'!L126&gt;'минимумы и максимумы'!J$10,100,('исходные данные'!L126-'минимумы и максимумы'!J$9)/('минимумы и максимумы'!J$10-'минимумы и максимумы'!J$9)*100)</f>
        <v>7.1428571428571423</v>
      </c>
      <c r="M126">
        <f>IF('исходные данные'!M126&gt;'минимумы и максимумы'!K$10,100,('исходные данные'!M126-'минимумы и максимумы'!K$9)/('минимумы и максимумы'!K$10-'минимумы и максимумы'!K$9)*100)</f>
        <v>17.857142857142858</v>
      </c>
      <c r="N126">
        <f>IF('исходные данные'!N126&gt;'минимумы и максимумы'!L$10,100,('исходные данные'!N126-'минимумы и максимумы'!L$9)/('минимумы и максимумы'!L$10-'минимумы и максимумы'!L$9)*100)</f>
        <v>23.86594642427929</v>
      </c>
      <c r="O126">
        <f>IF('исходные данные'!O126&gt;'минимумы и максимумы'!M$10,100,('исходные данные'!O126-'минимумы и максимумы'!M$9)/('минимумы и максимумы'!M$10-'минимумы и максимумы'!M$9)*100)</f>
        <v>0</v>
      </c>
      <c r="P126">
        <f>IF('исходные данные'!P126&gt;'минимумы и максимумы'!N$10,100,('исходные данные'!P126-'минимумы и максимумы'!N$9)/('минимумы и максимумы'!N$10-'минимумы и максимумы'!N$9)*100)</f>
        <v>0</v>
      </c>
      <c r="Q126">
        <f>IF('исходные данные'!Q126&gt;'минимумы и максимумы'!O$10,100,('исходные данные'!Q126-'минимумы и максимумы'!O$9)/('минимумы и максимумы'!O$10-'минимумы и максимумы'!O$9)*100)</f>
        <v>0</v>
      </c>
      <c r="R126">
        <f>IF('исходные данные'!R126&gt;'минимумы и максимумы'!P$10,100,('исходные данные'!R126-'минимумы и максимумы'!P$9)/('минимумы и максимумы'!P$10-'минимумы и максимумы'!P$9)*100)</f>
        <v>100</v>
      </c>
      <c r="S126">
        <f>IF('исходные данные'!S126&gt;'минимумы и максимумы'!Q$10,100,('исходные данные'!S126-'минимумы и максимумы'!Q$9)/('минимумы и максимумы'!Q$10-'минимумы и максимумы'!Q$9)*100)</f>
        <v>16.666666666666664</v>
      </c>
      <c r="T126">
        <f>IF('исходные данные'!T126&gt;'минимумы и максимумы'!R$10,100,('исходные данные'!T126-'минимумы и максимумы'!R$9)/('минимумы и максимумы'!R$10-'минимумы и максимумы'!R$9)*100)</f>
        <v>22.928653624856157</v>
      </c>
      <c r="U126">
        <f>IF('исходные данные'!U126&gt;'минимумы и максимумы'!S$10,100,('исходные данные'!U126-'минимумы и максимумы'!S$9)/('минимумы и максимумы'!S$10-'минимумы и максимумы'!S$9)*100)</f>
        <v>100</v>
      </c>
    </row>
    <row r="127" spans="1:21" x14ac:dyDescent="0.45">
      <c r="A127" s="4">
        <v>191</v>
      </c>
      <c r="B127" s="4">
        <v>1</v>
      </c>
      <c r="C127" s="4">
        <v>0</v>
      </c>
      <c r="D127">
        <f>IF('исходные данные'!D127&gt;'минимумы и максимумы'!B$10,100,('исходные данные'!D127-'минимумы и максимумы'!B$9)/('минимумы и максимумы'!B$10-'минимумы и максимумы'!B$9)*100)</f>
        <v>44.444444444444443</v>
      </c>
      <c r="E127">
        <f>IF('исходные данные'!E127&gt;'минимумы и максимумы'!C$10,100,('исходные данные'!E127-'минимумы и максимумы'!C$9)/('минимумы и максимумы'!C$10-'минимумы и максимумы'!C$9)*100)</f>
        <v>10</v>
      </c>
      <c r="F127">
        <f>IF('исходные данные'!F127&gt;'минимумы и максимумы'!D$10,100,('исходные данные'!F127-'минимумы и максимумы'!D$9)/('минимумы и максимумы'!D$10-'минимумы и максимумы'!D$9)*100)</f>
        <v>0</v>
      </c>
      <c r="G127">
        <f>IF('исходные данные'!G127&gt;'минимумы и максимумы'!E$10,100,('исходные данные'!G127-'минимумы и максимумы'!E$9)/('минимумы и максимумы'!E$10-'минимумы и максимумы'!E$9)*100)</f>
        <v>41.666666666666671</v>
      </c>
      <c r="H127">
        <f>IF('исходные данные'!H127&gt;'минимумы и максимумы'!F$10,100,('исходные данные'!H127-'минимумы и максимумы'!F$9)/('минимумы и максимумы'!F$10-'минимумы и максимумы'!F$9)*100)</f>
        <v>37.931034482758619</v>
      </c>
      <c r="I127">
        <f>IF('исходные данные'!I127&gt;'минимумы и максимумы'!G$10,100,('исходные данные'!I127-'минимумы и максимумы'!G$9)/('минимумы и максимумы'!G$10-'минимумы и максимумы'!G$9)*100)</f>
        <v>64.15094339622641</v>
      </c>
      <c r="J127">
        <f>IF('исходные данные'!J127&gt;'минимумы и максимумы'!H$10,100,('исходные данные'!J127-'минимумы и максимумы'!H$9)/('минимумы и максимумы'!H$10-'минимумы и максимумы'!H$9)*100)</f>
        <v>60</v>
      </c>
      <c r="K127">
        <f>IF('исходные данные'!K127&gt;'минимумы и максимумы'!I$10,100,('исходные данные'!K127-'минимумы и максимумы'!I$9)/('минимумы и максимумы'!I$10-'минимумы и максимумы'!I$9)*100)</f>
        <v>61.111111111111114</v>
      </c>
      <c r="L127">
        <f>IF('исходные данные'!L127&gt;'минимумы и максимумы'!J$10,100,('исходные данные'!L127-'минимумы и максимумы'!J$9)/('минимумы и максимумы'!J$10-'минимумы и максимумы'!J$9)*100)</f>
        <v>7.1428571428571423</v>
      </c>
      <c r="M127">
        <f>IF('исходные данные'!M127&gt;'минимумы и максимумы'!K$10,100,('исходные данные'!M127-'минимумы и максимумы'!K$9)/('минимумы и максимумы'!K$10-'минимумы и максимумы'!K$9)*100)</f>
        <v>39.285714285714285</v>
      </c>
      <c r="N127">
        <f>IF('исходные данные'!N127&gt;'минимумы и максимумы'!L$10,100,('исходные данные'!N127-'минимумы и максимумы'!L$9)/('минимумы и максимумы'!L$10-'минимумы и максимумы'!L$9)*100)</f>
        <v>24.132046514291002</v>
      </c>
      <c r="O127">
        <f>IF('исходные данные'!O127&gt;'минимумы и максимумы'!M$10,100,('исходные данные'!O127-'минимумы и максимумы'!M$9)/('минимумы и максимумы'!M$10-'минимумы и максимумы'!M$9)*100)</f>
        <v>33.333333333333329</v>
      </c>
      <c r="P127">
        <f>IF('исходные данные'!P127&gt;'минимумы и максимумы'!N$10,100,('исходные данные'!P127-'минимумы и максимумы'!N$9)/('минимумы и максимумы'!N$10-'минимумы и максимумы'!N$9)*100)</f>
        <v>0</v>
      </c>
      <c r="Q127">
        <f>IF('исходные данные'!Q127&gt;'минимумы и максимумы'!O$10,100,('исходные данные'!Q127-'минимумы и максимумы'!O$9)/('минимумы и максимумы'!O$10-'минимумы и максимумы'!O$9)*100)</f>
        <v>100</v>
      </c>
      <c r="R127">
        <f>IF('исходные данные'!R127&gt;'минимумы и максимумы'!P$10,100,('исходные данные'!R127-'минимумы и максимумы'!P$9)/('минимумы и максимумы'!P$10-'минимумы и максимумы'!P$9)*100)</f>
        <v>100</v>
      </c>
      <c r="S127">
        <f>IF('исходные данные'!S127&gt;'минимумы и максимумы'!Q$10,100,('исходные данные'!S127-'минимумы и максимумы'!Q$9)/('минимумы и максимумы'!Q$10-'минимумы и максимумы'!Q$9)*100)</f>
        <v>50</v>
      </c>
      <c r="T127">
        <f>IF('исходные данные'!T127&gt;'минимумы и максимумы'!R$10,100,('исходные данные'!T127-'минимумы и максимумы'!R$9)/('минимумы и максимумы'!R$10-'минимумы и максимумы'!R$9)*100)</f>
        <v>6.7894131185270421</v>
      </c>
      <c r="U127">
        <f>IF('исходные данные'!U127&gt;'минимумы и максимумы'!S$10,100,('исходные данные'!U127-'минимумы и максимумы'!S$9)/('минимумы и максимумы'!S$10-'минимумы и максимумы'!S$9)*100)</f>
        <v>0</v>
      </c>
    </row>
    <row r="128" spans="1:21" x14ac:dyDescent="0.45">
      <c r="A128" s="4">
        <v>192</v>
      </c>
      <c r="B128" s="4">
        <v>0</v>
      </c>
      <c r="C128" s="4">
        <v>0</v>
      </c>
      <c r="D128">
        <f>IF('исходные данные'!D128&gt;'минимумы и максимумы'!B$10,100,('исходные данные'!D128-'минимумы и максимумы'!B$9)/('минимумы и максимумы'!B$10-'минимумы и максимумы'!B$9)*100)</f>
        <v>44.444444444444443</v>
      </c>
      <c r="E128">
        <f>IF('исходные данные'!E128&gt;'минимумы и максимумы'!C$10,100,('исходные данные'!E128-'минимумы и максимумы'!C$9)/('минимумы и максимумы'!C$10-'минимумы и максимумы'!C$9)*100)</f>
        <v>0</v>
      </c>
      <c r="F128">
        <f>IF('исходные данные'!F128&gt;'минимумы и максимумы'!D$10,100,('исходные данные'!F128-'минимумы и максимумы'!D$9)/('минимумы и максимумы'!D$10-'минимумы и максимумы'!D$9)*100)</f>
        <v>33.333333333333329</v>
      </c>
      <c r="G128">
        <f>IF('исходные данные'!G128&gt;'минимумы и максимумы'!E$10,100,('исходные данные'!G128-'минимумы и максимумы'!E$9)/('минимумы и максимумы'!E$10-'минимумы и максимумы'!E$9)*100)</f>
        <v>25</v>
      </c>
      <c r="H128">
        <f>IF('исходные данные'!H128&gt;'минимумы и максимумы'!F$10,100,('исходные данные'!H128-'минимумы и максимумы'!F$9)/('минимумы и максимумы'!F$10-'минимумы и максимумы'!F$9)*100)</f>
        <v>31.03448275862069</v>
      </c>
      <c r="I128">
        <f>IF('исходные данные'!I128&gt;'минимумы и максимумы'!G$10,100,('исходные данные'!I128-'минимумы и максимумы'!G$9)/('минимумы и максимумы'!G$10-'минимумы и максимумы'!G$9)*100)</f>
        <v>24.528301886792452</v>
      </c>
      <c r="J128">
        <f>IF('исходные данные'!J128&gt;'минимумы и максимумы'!H$10,100,('исходные данные'!J128-'минимумы и максимумы'!H$9)/('минимумы и максимумы'!H$10-'минимумы и максимумы'!H$9)*100)</f>
        <v>53.333333333333336</v>
      </c>
      <c r="K128">
        <f>IF('исходные данные'!K128&gt;'минимумы и максимумы'!I$10,100,('исходные данные'!K128-'минимумы и максимумы'!I$9)/('минимумы и максимумы'!I$10-'минимумы и максимумы'!I$9)*100)</f>
        <v>66.666666666666657</v>
      </c>
      <c r="L128">
        <f>IF('исходные данные'!L128&gt;'минимумы и максимумы'!J$10,100,('исходные данные'!L128-'минимумы и максимумы'!J$9)/('минимумы и максимумы'!J$10-'минимумы и максимумы'!J$9)*100)</f>
        <v>14.285714285714285</v>
      </c>
      <c r="M128">
        <f>IF('исходные данные'!M128&gt;'минимумы и максимумы'!K$10,100,('исходные данные'!M128-'минимумы и максимумы'!K$9)/('минимумы и максимумы'!K$10-'минимумы и максимумы'!K$9)*100)</f>
        <v>71.428571428571431</v>
      </c>
      <c r="N128">
        <f>IF('исходные данные'!N128&gt;'минимумы и максимумы'!L$10,100,('исходные данные'!N128-'минимумы и максимумы'!L$9)/('минимумы и максимумы'!L$10-'минимумы и максимумы'!L$9)*100)</f>
        <v>20.571543604765449</v>
      </c>
      <c r="O128">
        <f>IF('исходные данные'!O128&gt;'минимумы и максимумы'!M$10,100,('исходные данные'!O128-'минимумы и максимумы'!M$9)/('минимумы и максимумы'!M$10-'минимумы и максимумы'!M$9)*100)</f>
        <v>66.666666666666657</v>
      </c>
      <c r="P128">
        <f>IF('исходные данные'!P128&gt;'минимумы и максимумы'!N$10,100,('исходные данные'!P128-'минимумы и максимумы'!N$9)/('минимумы и максимумы'!N$10-'минимумы и максимумы'!N$9)*100)</f>
        <v>100</v>
      </c>
      <c r="Q128">
        <f>IF('исходные данные'!Q128&gt;'минимумы и максимумы'!O$10,100,('исходные данные'!Q128-'минимумы и максимумы'!O$9)/('минимумы и максимумы'!O$10-'минимумы и максимумы'!O$9)*100)</f>
        <v>0</v>
      </c>
      <c r="R128">
        <f>IF('исходные данные'!R128&gt;'минимумы и максимумы'!P$10,100,('исходные данные'!R128-'минимумы и максимумы'!P$9)/('минимумы и максимумы'!P$10-'минимумы и максимумы'!P$9)*100)</f>
        <v>75</v>
      </c>
      <c r="S128">
        <f>IF('исходные данные'!S128&gt;'минимумы и максимумы'!Q$10,100,('исходные данные'!S128-'минимумы и максимумы'!Q$9)/('минимумы и максимумы'!Q$10-'минимумы и максимумы'!Q$9)*100)</f>
        <v>16.666666666666664</v>
      </c>
      <c r="T128">
        <f>IF('исходные данные'!T128&gt;'минимумы и максимумы'!R$10,100,('исходные данные'!T128-'минимумы и максимумы'!R$9)/('минимумы и максимумы'!R$10-'минимумы и максимумы'!R$9)*100)</f>
        <v>4.9482163406214035</v>
      </c>
      <c r="U128">
        <f>IF('исходные данные'!U128&gt;'минимумы и максимумы'!S$10,100,('исходные данные'!U128-'минимумы и максимумы'!S$9)/('минимумы и максимумы'!S$10-'минимумы и максимумы'!S$9)*100)</f>
        <v>0</v>
      </c>
    </row>
    <row r="129" spans="1:21" x14ac:dyDescent="0.45">
      <c r="A129" s="4">
        <v>193</v>
      </c>
      <c r="B129" s="4">
        <v>0</v>
      </c>
      <c r="C129" s="4">
        <v>0</v>
      </c>
      <c r="D129">
        <f>IF('исходные данные'!D129&gt;'минимумы и максимумы'!B$10,100,('исходные данные'!D129-'минимумы и максимумы'!B$9)/('минимумы и максимумы'!B$10-'минимумы и максимумы'!B$9)*100)</f>
        <v>44.444444444444443</v>
      </c>
      <c r="E129">
        <f>IF('исходные данные'!E129&gt;'минимумы и максимумы'!C$10,100,('исходные данные'!E129-'минимумы и максимумы'!C$9)/('минимумы и максимумы'!C$10-'минимумы и максимумы'!C$9)*100)</f>
        <v>0</v>
      </c>
      <c r="F129">
        <f>IF('исходные данные'!F129&gt;'минимумы и максимумы'!D$10,100,('исходные данные'!F129-'минимумы и максимумы'!D$9)/('минимумы и максимумы'!D$10-'минимумы и максимумы'!D$9)*100)</f>
        <v>33.333333333333329</v>
      </c>
      <c r="G129">
        <f>IF('исходные данные'!G129&gt;'минимумы и максимумы'!E$10,100,('исходные данные'!G129-'минимумы и максимумы'!E$9)/('минимумы и максимумы'!E$10-'минимумы и максимумы'!E$9)*100)</f>
        <v>25</v>
      </c>
      <c r="H129">
        <f>IF('исходные данные'!H129&gt;'минимумы и максимумы'!F$10,100,('исходные данные'!H129-'минимумы и максимумы'!F$9)/('минимумы и максимумы'!F$10-'минимумы и максимумы'!F$9)*100)</f>
        <v>31.03448275862069</v>
      </c>
      <c r="I129">
        <f>IF('исходные данные'!I129&gt;'минимумы и максимумы'!G$10,100,('исходные данные'!I129-'минимумы и максимумы'!G$9)/('минимумы и максимумы'!G$10-'минимумы и максимумы'!G$9)*100)</f>
        <v>24.528301886792452</v>
      </c>
      <c r="J129">
        <f>IF('исходные данные'!J129&gt;'минимумы и максимумы'!H$10,100,('исходные данные'!J129-'минимумы и максимумы'!H$9)/('минимумы и максимумы'!H$10-'минимумы и максимумы'!H$9)*100)</f>
        <v>53.333333333333336</v>
      </c>
      <c r="K129">
        <f>IF('исходные данные'!K129&gt;'минимумы и максимумы'!I$10,100,('исходные данные'!K129-'минимумы и максимумы'!I$9)/('минимумы и максимумы'!I$10-'минимумы и максимумы'!I$9)*100)</f>
        <v>66.666666666666657</v>
      </c>
      <c r="L129">
        <f>IF('исходные данные'!L129&gt;'минимумы и максимумы'!J$10,100,('исходные данные'!L129-'минимумы и максимумы'!J$9)/('минимумы и максимумы'!J$10-'минимумы и максимумы'!J$9)*100)</f>
        <v>14.285714285714285</v>
      </c>
      <c r="M129">
        <f>IF('исходные данные'!M129&gt;'минимумы и максимумы'!K$10,100,('исходные данные'!M129-'минимумы и максимумы'!K$9)/('минимумы и максимумы'!K$10-'минимумы и максимумы'!K$9)*100)</f>
        <v>71.428571428571431</v>
      </c>
      <c r="N129">
        <f>IF('исходные данные'!N129&gt;'минимумы и максимумы'!L$10,100,('исходные данные'!N129-'минимумы и максимумы'!L$9)/('минимумы и максимумы'!L$10-'минимумы и максимумы'!L$9)*100)</f>
        <v>20.571543604765449</v>
      </c>
      <c r="O129">
        <f>IF('исходные данные'!O129&gt;'минимумы и максимумы'!M$10,100,('исходные данные'!O129-'минимумы и максимумы'!M$9)/('минимумы и максимумы'!M$10-'минимумы и максимумы'!M$9)*100)</f>
        <v>66.666666666666657</v>
      </c>
      <c r="P129">
        <f>IF('исходные данные'!P129&gt;'минимумы и максимумы'!N$10,100,('исходные данные'!P129-'минимумы и максимумы'!N$9)/('минимумы и максимумы'!N$10-'минимумы и максимумы'!N$9)*100)</f>
        <v>100</v>
      </c>
      <c r="Q129">
        <f>IF('исходные данные'!Q129&gt;'минимумы и максимумы'!O$10,100,('исходные данные'!Q129-'минимумы и максимумы'!O$9)/('минимумы и максимумы'!O$10-'минимумы и максимумы'!O$9)*100)</f>
        <v>0</v>
      </c>
      <c r="R129">
        <f>IF('исходные данные'!R129&gt;'минимумы и максимумы'!P$10,100,('исходные данные'!R129-'минимумы и максимумы'!P$9)/('минимумы и максимумы'!P$10-'минимумы и максимумы'!P$9)*100)</f>
        <v>75</v>
      </c>
      <c r="S129">
        <f>IF('исходные данные'!S129&gt;'минимумы и максимумы'!Q$10,100,('исходные данные'!S129-'минимумы и максимумы'!Q$9)/('минимумы и максимумы'!Q$10-'минимумы и максимумы'!Q$9)*100)</f>
        <v>16.666666666666664</v>
      </c>
      <c r="T129">
        <f>IF('исходные данные'!T129&gt;'минимумы и максимумы'!R$10,100,('исходные данные'!T129-'минимумы и максимумы'!R$9)/('минимумы и максимумы'!R$10-'минимумы и максимумы'!R$9)*100)</f>
        <v>5.8112773302646721</v>
      </c>
      <c r="U129">
        <f>IF('исходные данные'!U129&gt;'минимумы и максимумы'!S$10,100,('исходные данные'!U129-'минимумы и максимумы'!S$9)/('минимумы и максимумы'!S$10-'минимумы и максимумы'!S$9)*100)</f>
        <v>0</v>
      </c>
    </row>
    <row r="130" spans="1:21" x14ac:dyDescent="0.45">
      <c r="A130" s="4">
        <v>194</v>
      </c>
      <c r="B130" s="4">
        <v>0</v>
      </c>
      <c r="C130" s="4">
        <v>0</v>
      </c>
      <c r="D130">
        <f>IF('исходные данные'!D130&gt;'минимумы и максимумы'!B$10,100,('исходные данные'!D130-'минимумы и максимумы'!B$9)/('минимумы и максимумы'!B$10-'минимумы и максимумы'!B$9)*100)</f>
        <v>33.333333333333329</v>
      </c>
      <c r="E130">
        <f>IF('исходные данные'!E130&gt;'минимумы и максимумы'!C$10,100,('исходные данные'!E130-'минимумы и максимумы'!C$9)/('минимумы и максимумы'!C$10-'минимумы и максимумы'!C$9)*100)</f>
        <v>0</v>
      </c>
      <c r="F130">
        <f>IF('исходные данные'!F130&gt;'минимумы и максимумы'!D$10,100,('исходные данные'!F130-'минимумы и максимумы'!D$9)/('минимумы и максимумы'!D$10-'минимумы и максимумы'!D$9)*100)</f>
        <v>33.333333333333329</v>
      </c>
      <c r="G130">
        <f>IF('исходные данные'!G130&gt;'минимумы и максимумы'!E$10,100,('исходные данные'!G130-'минимумы и максимумы'!E$9)/('минимумы и максимумы'!E$10-'минимумы и максимумы'!E$9)*100)</f>
        <v>29.166666666666668</v>
      </c>
      <c r="H130">
        <f>IF('исходные данные'!H130&gt;'минимумы и максимумы'!F$10,100,('исходные данные'!H130-'минимумы и максимумы'!F$9)/('минимумы и максимумы'!F$10-'минимумы и максимумы'!F$9)*100)</f>
        <v>31.03448275862069</v>
      </c>
      <c r="I130">
        <f>IF('исходные данные'!I130&gt;'минимумы и максимумы'!G$10,100,('исходные данные'!I130-'минимумы и максимумы'!G$9)/('минимумы и максимумы'!G$10-'минимумы и максимумы'!G$9)*100)</f>
        <v>26.415094339622641</v>
      </c>
      <c r="J130">
        <f>IF('исходные данные'!J130&gt;'минимумы и максимумы'!H$10,100,('исходные данные'!J130-'минимумы и максимумы'!H$9)/('минимумы и максимумы'!H$10-'минимумы и максимумы'!H$9)*100)</f>
        <v>40</v>
      </c>
      <c r="K130">
        <f>IF('исходные данные'!K130&gt;'минимумы и максимумы'!I$10,100,('исходные данные'!K130-'минимумы и максимумы'!I$9)/('минимумы и максимумы'!I$10-'минимумы и максимумы'!I$9)*100)</f>
        <v>61.111111111111114</v>
      </c>
      <c r="L130">
        <f>IF('исходные данные'!L130&gt;'минимумы и максимумы'!J$10,100,('исходные данные'!L130-'минимумы и максимумы'!J$9)/('минимумы и максимумы'!J$10-'минимумы и максимумы'!J$9)*100)</f>
        <v>14.285714285714285</v>
      </c>
      <c r="M130">
        <f>IF('исходные данные'!M130&gt;'минимумы и максимумы'!K$10,100,('исходные данные'!M130-'минимумы и максимумы'!K$9)/('минимумы и максимумы'!K$10-'минимумы и максимумы'!K$9)*100)</f>
        <v>64.285714285714292</v>
      </c>
      <c r="N130">
        <f>IF('исходные данные'!N130&gt;'минимумы и максимумы'!L$10,100,('исходные данные'!N130-'минимумы и максимумы'!L$9)/('минимумы и максимумы'!L$10-'минимумы и максимумы'!L$9)*100)</f>
        <v>21.006373912434132</v>
      </c>
      <c r="O130">
        <f>IF('исходные данные'!O130&gt;'минимумы и максимумы'!M$10,100,('исходные данные'!O130-'минимумы и максимумы'!M$9)/('минимумы и максимумы'!M$10-'минимумы и максимумы'!M$9)*100)</f>
        <v>66.666666666666657</v>
      </c>
      <c r="P130">
        <f>IF('исходные данные'!P130&gt;'минимумы и максимумы'!N$10,100,('исходные данные'!P130-'минимумы и максимумы'!N$9)/('минимумы и максимумы'!N$10-'минимумы и максимумы'!N$9)*100)</f>
        <v>100</v>
      </c>
      <c r="Q130">
        <f>IF('исходные данные'!Q130&gt;'минимумы и максимумы'!O$10,100,('исходные данные'!Q130-'минимумы и максимумы'!O$9)/('минимумы и максимумы'!O$10-'минимумы и максимумы'!O$9)*100)</f>
        <v>100</v>
      </c>
      <c r="R130">
        <f>IF('исходные данные'!R130&gt;'минимумы и максимумы'!P$10,100,('исходные данные'!R130-'минимумы и максимумы'!P$9)/('минимумы и максимумы'!P$10-'минимумы и максимумы'!P$9)*100)</f>
        <v>75</v>
      </c>
      <c r="S130">
        <f>IF('исходные данные'!S130&gt;'минимумы и максимумы'!Q$10,100,('исходные данные'!S130-'минимумы и максимумы'!Q$9)/('минимумы и максимумы'!Q$10-'минимумы и максимумы'!Q$9)*100)</f>
        <v>50</v>
      </c>
      <c r="T130">
        <f>IF('исходные данные'!T130&gt;'минимумы и максимумы'!R$10,100,('исходные данные'!T130-'минимумы и максимумы'!R$9)/('минимумы и максимумы'!R$10-'минимумы и максимумы'!R$9)*100)</f>
        <v>7.7387802071346377</v>
      </c>
      <c r="U130">
        <f>IF('исходные данные'!U130&gt;'минимумы и максимумы'!S$10,100,('исходные данные'!U130-'минимумы и максимумы'!S$9)/('минимумы и максимумы'!S$10-'минимумы и максимумы'!S$9)*100)</f>
        <v>33.333333333333329</v>
      </c>
    </row>
    <row r="131" spans="1:21" x14ac:dyDescent="0.45">
      <c r="A131" s="4">
        <v>195</v>
      </c>
      <c r="B131" s="4">
        <v>0</v>
      </c>
      <c r="C131" s="4">
        <v>0</v>
      </c>
      <c r="D131">
        <f>IF('исходные данные'!D131&gt;'минимумы и максимумы'!B$10,100,('исходные данные'!D131-'минимумы и максимумы'!B$9)/('минимумы и максимумы'!B$10-'минимумы и максимумы'!B$9)*100)</f>
        <v>33.333333333333329</v>
      </c>
      <c r="E131">
        <f>IF('исходные данные'!E131&gt;'минимумы и максимумы'!C$10,100,('исходные данные'!E131-'минимумы и максимумы'!C$9)/('минимумы и максимумы'!C$10-'минимумы и максимумы'!C$9)*100)</f>
        <v>10</v>
      </c>
      <c r="F131">
        <f>IF('исходные данные'!F131&gt;'минимумы и максимумы'!D$10,100,('исходные данные'!F131-'минимумы и максимумы'!D$9)/('минимумы и максимумы'!D$10-'минимумы и максимумы'!D$9)*100)</f>
        <v>33.333333333333329</v>
      </c>
      <c r="G131">
        <f>IF('исходные данные'!G131&gt;'минимумы и максимумы'!E$10,100,('исходные данные'!G131-'минимумы и максимумы'!E$9)/('минимумы и максимумы'!E$10-'минимумы и максимумы'!E$9)*100)</f>
        <v>20.833333333333336</v>
      </c>
      <c r="H131">
        <f>IF('исходные данные'!H131&gt;'минимумы и максимумы'!F$10,100,('исходные данные'!H131-'минимумы и максимумы'!F$9)/('минимумы и максимумы'!F$10-'минимумы и максимумы'!F$9)*100)</f>
        <v>13.793103448275861</v>
      </c>
      <c r="I131">
        <f>IF('исходные данные'!I131&gt;'минимумы и максимумы'!G$10,100,('исходные данные'!I131-'минимумы и максимумы'!G$9)/('минимумы и максимумы'!G$10-'минимумы и максимумы'!G$9)*100)</f>
        <v>28.30188679245283</v>
      </c>
      <c r="J131">
        <f>IF('исходные данные'!J131&gt;'минимумы и максимумы'!H$10,100,('исходные данные'!J131-'минимумы и максимумы'!H$9)/('минимумы и максимумы'!H$10-'минимумы и максимумы'!H$9)*100)</f>
        <v>26.666666666666668</v>
      </c>
      <c r="K131">
        <f>IF('исходные данные'!K131&gt;'минимумы и максимумы'!I$10,100,('исходные данные'!K131-'минимумы и максимумы'!I$9)/('минимумы и максимумы'!I$10-'минимумы и максимумы'!I$9)*100)</f>
        <v>100</v>
      </c>
      <c r="L131">
        <f>IF('исходные данные'!L131&gt;'минимумы и максимумы'!J$10,100,('исходные данные'!L131-'минимумы и максимумы'!J$9)/('минимумы и максимумы'!J$10-'минимумы и максимумы'!J$9)*100)</f>
        <v>7.1428571428571423</v>
      </c>
      <c r="M131">
        <f>IF('исходные данные'!M131&gt;'минимумы и максимумы'!K$10,100,('исходные данные'!M131-'минимумы и максимумы'!K$9)/('минимумы и максимумы'!K$10-'минимумы и максимумы'!K$9)*100)</f>
        <v>28.571428571428569</v>
      </c>
      <c r="N131">
        <f>IF('исходные данные'!N131&gt;'минимумы и максимумы'!L$10,100,('исходные данные'!N131-'минимумы и максимумы'!L$9)/('минимумы и максимумы'!L$10-'минимумы и максимумы'!L$9)*100)</f>
        <v>19.747295315666683</v>
      </c>
      <c r="O131">
        <f>IF('исходные данные'!O131&gt;'минимумы и максимумы'!M$10,100,('исходные данные'!O131-'минимумы и максимумы'!M$9)/('минимумы и максимумы'!M$10-'минимумы и максимумы'!M$9)*100)</f>
        <v>33.333333333333329</v>
      </c>
      <c r="P131">
        <f>IF('исходные данные'!P131&gt;'минимумы и максимумы'!N$10,100,('исходные данные'!P131-'минимумы и максимумы'!N$9)/('минимумы и максимумы'!N$10-'минимумы и максимумы'!N$9)*100)</f>
        <v>100</v>
      </c>
      <c r="Q131">
        <f>IF('исходные данные'!Q131&gt;'минимумы и максимумы'!O$10,100,('исходные данные'!Q131-'минимумы и максимумы'!O$9)/('минимумы и максимумы'!O$10-'минимумы и максимумы'!O$9)*100)</f>
        <v>0</v>
      </c>
      <c r="R131">
        <f>IF('исходные данные'!R131&gt;'минимумы и максимумы'!P$10,100,('исходные данные'!R131-'минимумы и максимумы'!P$9)/('минимумы и максимумы'!P$10-'минимумы и максимумы'!P$9)*100)</f>
        <v>75</v>
      </c>
      <c r="S131">
        <f>IF('исходные данные'!S131&gt;'минимумы и максимумы'!Q$10,100,('исходные данные'!S131-'минимумы и максимумы'!Q$9)/('минимумы и максимумы'!Q$10-'минимумы и максимумы'!Q$9)*100)</f>
        <v>66.666666666666657</v>
      </c>
      <c r="T131">
        <f>IF('исходные данные'!T131&gt;'минимумы и максимумы'!R$10,100,('исходные данные'!T131-'минимумы и максимумы'!R$9)/('минимумы и максимумы'!R$10-'минимумы и максимумы'!R$9)*100)</f>
        <v>65.189873417721529</v>
      </c>
      <c r="U131">
        <f>IF('исходные данные'!U131&gt;'минимумы и максимумы'!S$10,100,('исходные данные'!U131-'минимумы и максимумы'!S$9)/('минимумы и максимумы'!S$10-'минимумы и максимумы'!S$9)*100)</f>
        <v>33.333333333333329</v>
      </c>
    </row>
    <row r="132" spans="1:21" x14ac:dyDescent="0.45">
      <c r="A132" s="4">
        <v>196</v>
      </c>
      <c r="B132" s="4">
        <v>0</v>
      </c>
      <c r="C132" s="4">
        <v>0</v>
      </c>
      <c r="D132">
        <f>IF('исходные данные'!D132&gt;'минимумы и максимумы'!B$10,100,('исходные данные'!D132-'минимумы и максимумы'!B$9)/('минимумы и максимумы'!B$10-'минимумы и максимумы'!B$9)*100)</f>
        <v>11.111111111111111</v>
      </c>
      <c r="E132">
        <f>IF('исходные данные'!E132&gt;'минимумы и максимумы'!C$10,100,('исходные данные'!E132-'минимумы и максимумы'!C$9)/('минимумы и максимумы'!C$10-'минимумы и максимумы'!C$9)*100)</f>
        <v>20</v>
      </c>
      <c r="F132">
        <f>IF('исходные данные'!F132&gt;'минимумы и максимумы'!D$10,100,('исходные данные'!F132-'минимумы и максимумы'!D$9)/('минимумы и максимумы'!D$10-'минимумы и максимумы'!D$9)*100)</f>
        <v>0</v>
      </c>
      <c r="G132">
        <f>IF('исходные данные'!G132&gt;'минимумы и максимумы'!E$10,100,('исходные данные'!G132-'минимумы и максимумы'!E$9)/('минимумы и максимумы'!E$10-'минимумы и максимумы'!E$9)*100)</f>
        <v>41.666666666666671</v>
      </c>
      <c r="H132">
        <f>IF('исходные данные'!H132&gt;'минимумы и максимумы'!F$10,100,('исходные данные'!H132-'минимумы и максимумы'!F$9)/('минимумы и максимумы'!F$10-'минимумы и максимумы'!F$9)*100)</f>
        <v>27.586206896551722</v>
      </c>
      <c r="I132">
        <f>IF('исходные данные'!I132&gt;'минимумы и максимумы'!G$10,100,('исходные данные'!I132-'минимумы и максимумы'!G$9)/('минимумы и максимумы'!G$10-'минимумы и максимумы'!G$9)*100)</f>
        <v>35.849056603773583</v>
      </c>
      <c r="J132">
        <f>IF('исходные данные'!J132&gt;'минимумы и максимумы'!H$10,100,('исходные данные'!J132-'минимумы и максимумы'!H$9)/('минимумы и максимумы'!H$10-'минимумы и максимумы'!H$9)*100)</f>
        <v>40</v>
      </c>
      <c r="K132">
        <f>IF('исходные данные'!K132&gt;'минимумы и максимумы'!I$10,100,('исходные данные'!K132-'минимумы и максимумы'!I$9)/('минимумы и максимумы'!I$10-'минимумы и максимумы'!I$9)*100)</f>
        <v>100</v>
      </c>
      <c r="L132">
        <f>IF('исходные данные'!L132&gt;'минимумы и максимумы'!J$10,100,('исходные данные'!L132-'минимумы и максимумы'!J$9)/('минимумы и максимумы'!J$10-'минимумы и максимумы'!J$9)*100)</f>
        <v>7.1428571428571423</v>
      </c>
      <c r="M132">
        <f>IF('исходные данные'!M132&gt;'минимумы и максимумы'!K$10,100,('исходные данные'!M132-'минимумы и максимумы'!K$9)/('минимумы и максимумы'!K$10-'минимумы и максимумы'!K$9)*100)</f>
        <v>28.571428571428569</v>
      </c>
      <c r="N132">
        <f>IF('исходные данные'!N132&gt;'минимумы и максимумы'!L$10,100,('исходные данные'!N132-'минимумы и максимумы'!L$9)/('минимумы и максимумы'!L$10-'минимумы и максимумы'!L$9)*100)</f>
        <v>19.747295315666683</v>
      </c>
      <c r="O132">
        <f>IF('исходные данные'!O132&gt;'минимумы и максимумы'!M$10,100,('исходные данные'!O132-'минимумы и максимумы'!M$9)/('минимумы и максимумы'!M$10-'минимумы и максимумы'!M$9)*100)</f>
        <v>66.666666666666657</v>
      </c>
      <c r="P132">
        <f>IF('исходные данные'!P132&gt;'минимумы и максимумы'!N$10,100,('исходные данные'!P132-'минимумы и максимумы'!N$9)/('минимумы и максимумы'!N$10-'минимумы и максимумы'!N$9)*100)</f>
        <v>100</v>
      </c>
      <c r="Q132">
        <f>IF('исходные данные'!Q132&gt;'минимумы и максимумы'!O$10,100,('исходные данные'!Q132-'минимумы и максимумы'!O$9)/('минимумы и максимумы'!O$10-'минимумы и максимумы'!O$9)*100)</f>
        <v>0</v>
      </c>
      <c r="R132">
        <f>IF('исходные данные'!R132&gt;'минимумы и максимумы'!P$10,100,('исходные данные'!R132-'минимумы и максимумы'!P$9)/('минимумы и максимумы'!P$10-'минимумы и максимумы'!P$9)*100)</f>
        <v>75</v>
      </c>
      <c r="S132">
        <f>IF('исходные данные'!S132&gt;'минимумы и максимумы'!Q$10,100,('исходные данные'!S132-'минимумы и максимумы'!Q$9)/('минимумы и максимумы'!Q$10-'минимумы и максимумы'!Q$9)*100)</f>
        <v>33.333333333333329</v>
      </c>
      <c r="T132">
        <f>IF('исходные данные'!T132&gt;'минимумы и максимумы'!R$10,100,('исходные данные'!T132-'минимумы и максимумы'!R$9)/('минимумы и максимумы'!R$10-'минимумы и максимумы'!R$9)*100)</f>
        <v>16.7433831990794</v>
      </c>
      <c r="U132">
        <f>IF('исходные данные'!U132&gt;'минимумы и максимумы'!S$10,100,('исходные данные'!U132-'минимумы и максимумы'!S$9)/('минимумы и максимумы'!S$10-'минимумы и максимумы'!S$9)*100)</f>
        <v>0</v>
      </c>
    </row>
    <row r="133" spans="1:21" x14ac:dyDescent="0.45">
      <c r="A133" s="4">
        <v>197</v>
      </c>
      <c r="B133" s="4">
        <v>0</v>
      </c>
      <c r="C133" s="4">
        <v>0</v>
      </c>
      <c r="D133">
        <f>IF('исходные данные'!D133&gt;'минимумы и максимумы'!B$10,100,('исходные данные'!D133-'минимумы и максимумы'!B$9)/('минимумы и максимумы'!B$10-'минимумы и максимумы'!B$9)*100)</f>
        <v>0</v>
      </c>
      <c r="E133">
        <f>IF('исходные данные'!E133&gt;'минимумы и максимумы'!C$10,100,('исходные данные'!E133-'минимумы и максимумы'!C$9)/('минимумы и максимумы'!C$10-'минимумы и максимумы'!C$9)*100)</f>
        <v>10</v>
      </c>
      <c r="F133">
        <f>IF('исходные данные'!F133&gt;'минимумы и максимумы'!D$10,100,('исходные данные'!F133-'минимумы и максимумы'!D$9)/('минимумы и максимумы'!D$10-'минимумы и максимумы'!D$9)*100)</f>
        <v>0</v>
      </c>
      <c r="G133">
        <f>IF('исходные данные'!G133&gt;'минимумы и максимумы'!E$10,100,('исходные данные'!G133-'минимумы и максимумы'!E$9)/('минимумы и максимумы'!E$10-'минимумы и максимумы'!E$9)*100)</f>
        <v>16.666666666666664</v>
      </c>
      <c r="H133">
        <f>IF('исходные данные'!H133&gt;'минимумы и максимумы'!F$10,100,('исходные данные'!H133-'минимумы и максимумы'!F$9)/('минимумы и максимумы'!F$10-'минимумы и максимумы'!F$9)*100)</f>
        <v>10.344827586206897</v>
      </c>
      <c r="I133">
        <f>IF('исходные данные'!I133&gt;'минимумы и максимумы'!G$10,100,('исходные данные'!I133-'минимумы и максимумы'!G$9)/('минимумы и максимумы'!G$10-'минимумы и максимумы'!G$9)*100)</f>
        <v>24.528301886792452</v>
      </c>
      <c r="J133">
        <f>IF('исходные данные'!J133&gt;'минимумы и максимумы'!H$10,100,('исходные данные'!J133-'минимумы и максимумы'!H$9)/('минимумы и максимумы'!H$10-'минимумы и максимумы'!H$9)*100)</f>
        <v>20</v>
      </c>
      <c r="K133">
        <f>IF('исходные данные'!K133&gt;'минимумы и максимумы'!I$10,100,('исходные данные'!K133-'минимумы и максимумы'!I$9)/('минимумы и максимумы'!I$10-'минимумы и максимумы'!I$9)*100)</f>
        <v>50</v>
      </c>
      <c r="L133">
        <f>IF('исходные данные'!L133&gt;'минимумы и максимумы'!J$10,100,('исходные данные'!L133-'минимумы и максимумы'!J$9)/('минимумы и максимумы'!J$10-'минимумы и максимумы'!J$9)*100)</f>
        <v>14.285714285714285</v>
      </c>
      <c r="M133">
        <f>IF('исходные данные'!M133&gt;'минимумы и максимумы'!K$10,100,('исходные данные'!M133-'минимумы и максимумы'!K$9)/('минимумы и максимумы'!K$10-'минимумы и максимумы'!K$9)*100)</f>
        <v>10.714285714285714</v>
      </c>
      <c r="N133">
        <f>IF('исходные данные'!N133&gt;'минимумы и максимумы'!L$10,100,('исходные данные'!N133-'минимумы и максимумы'!L$9)/('минимумы и максимумы'!L$10-'минимумы и максимумы'!L$9)*100)</f>
        <v>21.406934447362801</v>
      </c>
      <c r="O133">
        <f>IF('исходные данные'!O133&gt;'минимумы и максимумы'!M$10,100,('исходные данные'!O133-'минимумы и максимумы'!M$9)/('минимумы и максимумы'!M$10-'минимумы и максимумы'!M$9)*100)</f>
        <v>0</v>
      </c>
      <c r="P133">
        <f>IF('исходные данные'!P133&gt;'минимумы и максимумы'!N$10,100,('исходные данные'!P133-'минимумы и максимумы'!N$9)/('минимумы и максимумы'!N$10-'минимумы и максимумы'!N$9)*100)</f>
        <v>0</v>
      </c>
      <c r="Q133">
        <f>IF('исходные данные'!Q133&gt;'минимумы и максимумы'!O$10,100,('исходные данные'!Q133-'минимумы и максимумы'!O$9)/('минимумы и максимумы'!O$10-'минимумы и максимумы'!O$9)*100)</f>
        <v>100</v>
      </c>
      <c r="R133">
        <f>IF('исходные данные'!R133&gt;'минимумы и максимумы'!P$10,100,('исходные данные'!R133-'минимумы и максимумы'!P$9)/('минимумы и максимумы'!P$10-'минимумы и максимумы'!P$9)*100)</f>
        <v>75</v>
      </c>
      <c r="S133">
        <f>IF('исходные данные'!S133&gt;'минимумы и максимумы'!Q$10,100,('исходные данные'!S133-'минимумы и максимумы'!Q$9)/('минимумы и максимумы'!Q$10-'минимумы и максимумы'!Q$9)*100)</f>
        <v>83.333333333333343</v>
      </c>
      <c r="T133">
        <f>IF('исходные данные'!T133&gt;'минимумы и максимумы'!R$10,100,('исходные данные'!T133-'минимумы и максимумы'!R$9)/('минимумы и максимумы'!R$10-'минимумы и максимумы'!R$9)*100)</f>
        <v>60.414269275028765</v>
      </c>
      <c r="U133">
        <f>IF('исходные данные'!U133&gt;'минимумы и максимумы'!S$10,100,('исходные данные'!U133-'минимумы и максимумы'!S$9)/('минимумы и максимумы'!S$10-'минимумы и максимумы'!S$9)*100)</f>
        <v>100</v>
      </c>
    </row>
    <row r="134" spans="1:21" x14ac:dyDescent="0.45">
      <c r="A134" s="4">
        <v>198</v>
      </c>
      <c r="B134" s="4">
        <v>0</v>
      </c>
      <c r="C134" s="4">
        <v>0</v>
      </c>
      <c r="D134">
        <f>IF('исходные данные'!D134&gt;'минимумы и максимумы'!B$10,100,('исходные данные'!D134-'минимумы и максимумы'!B$9)/('минимумы и максимумы'!B$10-'минимумы и максимумы'!B$9)*100)</f>
        <v>0</v>
      </c>
      <c r="E134">
        <f>IF('исходные данные'!E134&gt;'минимумы и максимумы'!C$10,100,('исходные данные'!E134-'минимумы и максимумы'!C$9)/('минимумы и максимумы'!C$10-'минимумы и максимумы'!C$9)*100)</f>
        <v>10</v>
      </c>
      <c r="F134">
        <f>IF('исходные данные'!F134&gt;'минимумы и максимумы'!D$10,100,('исходные данные'!F134-'минимумы и максимумы'!D$9)/('минимумы и максимумы'!D$10-'минимумы и максимумы'!D$9)*100)</f>
        <v>0</v>
      </c>
      <c r="G134">
        <f>IF('исходные данные'!G134&gt;'минимумы и максимумы'!E$10,100,('исходные данные'!G134-'минимумы и максимумы'!E$9)/('минимумы и максимумы'!E$10-'минимумы и максимумы'!E$9)*100)</f>
        <v>25</v>
      </c>
      <c r="H134">
        <f>IF('исходные данные'!H134&gt;'минимумы и максимумы'!F$10,100,('исходные данные'!H134-'минимумы и максимумы'!F$9)/('минимумы и максимумы'!F$10-'минимумы и максимумы'!F$9)*100)</f>
        <v>6.8965517241379306</v>
      </c>
      <c r="I134">
        <f>IF('исходные данные'!I134&gt;'минимумы и максимумы'!G$10,100,('исходные данные'!I134-'минимумы и максимумы'!G$9)/('минимумы и максимумы'!G$10-'минимумы и максимумы'!G$9)*100)</f>
        <v>28.30188679245283</v>
      </c>
      <c r="J134">
        <f>IF('исходные данные'!J134&gt;'минимумы и максимумы'!H$10,100,('исходные данные'!J134-'минимумы и максимумы'!H$9)/('минимумы и максимумы'!H$10-'минимумы и максимумы'!H$9)*100)</f>
        <v>20</v>
      </c>
      <c r="K134">
        <f>IF('исходные данные'!K134&gt;'минимумы и максимумы'!I$10,100,('исходные данные'!K134-'минимумы и максимумы'!I$9)/('минимумы и максимумы'!I$10-'минимумы и максимумы'!I$9)*100)</f>
        <v>77.777777777777786</v>
      </c>
      <c r="L134">
        <f>IF('исходные данные'!L134&gt;'минимумы и максимумы'!J$10,100,('исходные данные'!L134-'минимумы и максимумы'!J$9)/('минимумы и максимумы'!J$10-'минимумы и максимумы'!J$9)*100)</f>
        <v>7.1428571428571423</v>
      </c>
      <c r="M134">
        <f>IF('исходные данные'!M134&gt;'минимумы и максимумы'!K$10,100,('исходные данные'!M134-'минимумы и максимумы'!K$9)/('минимумы и максимумы'!K$10-'минимумы и максимумы'!K$9)*100)</f>
        <v>25</v>
      </c>
      <c r="N134">
        <f>IF('исходные данные'!N134&gt;'минимумы и максимумы'!L$10,100,('исходные данные'!N134-'минимумы и максимумы'!L$9)/('минимумы и максимумы'!L$10-'минимумы и максимумы'!L$9)*100)</f>
        <v>19.747295315666683</v>
      </c>
      <c r="O134">
        <f>IF('исходные данные'!O134&gt;'минимумы и максимумы'!M$10,100,('исходные данные'!O134-'минимумы и максимумы'!M$9)/('минимумы и максимумы'!M$10-'минимумы и максимумы'!M$9)*100)</f>
        <v>66.666666666666657</v>
      </c>
      <c r="P134">
        <f>IF('исходные данные'!P134&gt;'минимумы и максимумы'!N$10,100,('исходные данные'!P134-'минимумы и максимумы'!N$9)/('минимумы и максимумы'!N$10-'минимумы и максимумы'!N$9)*100)</f>
        <v>100</v>
      </c>
      <c r="Q134">
        <f>IF('исходные данные'!Q134&gt;'минимумы и максимумы'!O$10,100,('исходные данные'!Q134-'минимумы и максимумы'!O$9)/('минимумы и максимумы'!O$10-'минимумы и максимумы'!O$9)*100)</f>
        <v>0</v>
      </c>
      <c r="R134">
        <f>IF('исходные данные'!R134&gt;'минимумы и максимумы'!P$10,100,('исходные данные'!R134-'минимумы и максимумы'!P$9)/('минимумы и максимумы'!P$10-'минимумы и максимумы'!P$9)*100)</f>
        <v>75</v>
      </c>
      <c r="S134">
        <f>IF('исходные данные'!S134&gt;'минимумы и максимумы'!Q$10,100,('исходные данные'!S134-'минимумы и максимумы'!Q$9)/('минимумы и максимумы'!Q$10-'минимумы и максимумы'!Q$9)*100)</f>
        <v>66.666666666666657</v>
      </c>
      <c r="T134">
        <f>IF('исходные данные'!T134&gt;'минимумы и максимумы'!R$10,100,('исходные данные'!T134-'минимумы и максимумы'!R$9)/('минимумы и максимумы'!R$10-'минимумы и максимумы'!R$9)*100)</f>
        <v>33.88952819332566</v>
      </c>
      <c r="U134">
        <f>IF('исходные данные'!U134&gt;'минимумы и максимумы'!S$10,100,('исходные данные'!U134-'минимумы и максимумы'!S$9)/('минимумы и максимумы'!S$10-'минимумы и максимумы'!S$9)*100)</f>
        <v>66.666666666666657</v>
      </c>
    </row>
    <row r="135" spans="1:21" x14ac:dyDescent="0.45">
      <c r="A135" s="4">
        <v>199</v>
      </c>
      <c r="B135" s="4">
        <v>0</v>
      </c>
      <c r="C135" s="4">
        <v>0</v>
      </c>
      <c r="D135">
        <f>IF('исходные данные'!D135&gt;'минимумы и максимумы'!B$10,100,('исходные данные'!D135-'минимумы и максимумы'!B$9)/('минимумы и максимумы'!B$10-'минимумы и максимумы'!B$9)*100)</f>
        <v>22.222222222222221</v>
      </c>
      <c r="E135">
        <f>IF('исходные данные'!E135&gt;'минимумы и максимумы'!C$10,100,('исходные данные'!E135-'минимумы и максимумы'!C$9)/('минимумы и максимумы'!C$10-'минимумы и максимумы'!C$9)*100)</f>
        <v>10</v>
      </c>
      <c r="F135">
        <f>IF('исходные данные'!F135&gt;'минимумы и максимумы'!D$10,100,('исходные данные'!F135-'минимумы и максимумы'!D$9)/('минимумы и максимумы'!D$10-'минимумы и максимумы'!D$9)*100)</f>
        <v>0</v>
      </c>
      <c r="G135">
        <f>IF('исходные данные'!G135&gt;'минимумы и максимумы'!E$10,100,('исходные данные'!G135-'минимумы и максимумы'!E$9)/('минимумы и максимумы'!E$10-'минимумы и максимумы'!E$9)*100)</f>
        <v>37.5</v>
      </c>
      <c r="H135">
        <f>IF('исходные данные'!H135&gt;'минимумы и максимумы'!F$10,100,('исходные данные'!H135-'минимумы и максимумы'!F$9)/('минимумы и максимумы'!F$10-'минимумы и максимумы'!F$9)*100)</f>
        <v>31.03448275862069</v>
      </c>
      <c r="I135">
        <f>IF('исходные данные'!I135&gt;'минимумы и максимумы'!G$10,100,('исходные данные'!I135-'минимумы и максимумы'!G$9)/('минимумы и максимумы'!G$10-'минимумы и максимумы'!G$9)*100)</f>
        <v>43.39622641509434</v>
      </c>
      <c r="J135">
        <f>IF('исходные данные'!J135&gt;'минимумы и максимумы'!H$10,100,('исходные данные'!J135-'минимумы и максимумы'!H$9)/('минимумы и максимумы'!H$10-'минимумы и максимумы'!H$9)*100)</f>
        <v>33.333333333333329</v>
      </c>
      <c r="K135">
        <f>IF('исходные данные'!K135&gt;'минимумы и максимумы'!I$10,100,('исходные данные'!K135-'минимумы и максимумы'!I$9)/('минимумы и максимумы'!I$10-'минимумы и максимумы'!I$9)*100)</f>
        <v>100</v>
      </c>
      <c r="L135">
        <f>IF('исходные данные'!L135&gt;'минимумы и максимумы'!J$10,100,('исходные данные'!L135-'минимумы и максимумы'!J$9)/('минимумы и максимумы'!J$10-'минимумы и максимумы'!J$9)*100)</f>
        <v>7.1428571428571423</v>
      </c>
      <c r="M135">
        <f>IF('исходные данные'!M135&gt;'минимумы и максимумы'!K$10,100,('исходные данные'!M135-'минимумы и максимумы'!K$9)/('минимумы и максимумы'!K$10-'минимумы и максимумы'!K$9)*100)</f>
        <v>53.571428571428569</v>
      </c>
      <c r="N135">
        <f>IF('исходные данные'!N135&gt;'минимумы и максимумы'!L$10,100,('исходные данные'!N135-'минимумы и максимумы'!L$9)/('минимумы и максимумы'!L$10-'минимумы и максимумы'!L$9)*100)</f>
        <v>18.873729028308635</v>
      </c>
      <c r="O135">
        <f>IF('исходные данные'!O135&gt;'минимумы и максимумы'!M$10,100,('исходные данные'!O135-'минимумы и максимумы'!M$9)/('минимумы и максимумы'!M$10-'минимумы и максимумы'!M$9)*100)</f>
        <v>33.333333333333329</v>
      </c>
      <c r="P135">
        <f>IF('исходные данные'!P135&gt;'минимумы и максимумы'!N$10,100,('исходные данные'!P135-'минимумы и максимумы'!N$9)/('минимумы и максимумы'!N$10-'минимумы и максимумы'!N$9)*100)</f>
        <v>0</v>
      </c>
      <c r="Q135">
        <f>IF('исходные данные'!Q135&gt;'минимумы и максимумы'!O$10,100,('исходные данные'!Q135-'минимумы и максимумы'!O$9)/('минимумы и максимумы'!O$10-'минимумы и максимумы'!O$9)*100)</f>
        <v>100</v>
      </c>
      <c r="R135">
        <f>IF('исходные данные'!R135&gt;'минимумы и максимумы'!P$10,100,('исходные данные'!R135-'минимумы и максимумы'!P$9)/('минимумы и максимумы'!P$10-'минимумы и максимумы'!P$9)*100)</f>
        <v>75</v>
      </c>
      <c r="S135">
        <f>IF('исходные данные'!S135&gt;'минимумы и максимумы'!Q$10,100,('исходные данные'!S135-'минимумы и максимумы'!Q$9)/('минимумы и максимумы'!Q$10-'минимумы и максимумы'!Q$9)*100)</f>
        <v>33.333333333333329</v>
      </c>
      <c r="T135">
        <f>IF('исходные данные'!T135&gt;'минимумы и максимумы'!R$10,100,('исходные данные'!T135-'минимумы и максимумы'!R$9)/('минимумы и максимумы'!R$10-'минимумы и максимумы'!R$9)*100)</f>
        <v>14.873417721518987</v>
      </c>
      <c r="U135">
        <f>IF('исходные данные'!U135&gt;'минимумы и максимумы'!S$10,100,('исходные данные'!U135-'минимумы и максимумы'!S$9)/('минимумы и максимумы'!S$10-'минимумы и максимумы'!S$9)*100)</f>
        <v>0</v>
      </c>
    </row>
    <row r="136" spans="1:21" x14ac:dyDescent="0.45">
      <c r="A136" s="4">
        <v>201</v>
      </c>
      <c r="B136" s="4">
        <v>0</v>
      </c>
      <c r="C136" s="4">
        <v>0</v>
      </c>
      <c r="D136">
        <f>IF('исходные данные'!D136&gt;'минимумы и максимумы'!B$10,100,('исходные данные'!D136-'минимумы и максимумы'!B$9)/('минимумы и максимумы'!B$10-'минимумы и максимумы'!B$9)*100)</f>
        <v>22.222222222222221</v>
      </c>
      <c r="E136">
        <f>IF('исходные данные'!E136&gt;'минимумы и максимумы'!C$10,100,('исходные данные'!E136-'минимумы и максимумы'!C$9)/('минимумы и максимумы'!C$10-'минимумы и максимумы'!C$9)*100)</f>
        <v>10</v>
      </c>
      <c r="F136">
        <f>IF('исходные данные'!F136&gt;'минимумы и максимумы'!D$10,100,('исходные данные'!F136-'минимумы и максимумы'!D$9)/('минимумы и максимумы'!D$10-'минимумы и максимумы'!D$9)*100)</f>
        <v>0</v>
      </c>
      <c r="G136">
        <f>IF('исходные данные'!G136&gt;'минимумы и максимумы'!E$10,100,('исходные данные'!G136-'минимумы и максимумы'!E$9)/('минимумы и максимумы'!E$10-'минимумы и максимумы'!E$9)*100)</f>
        <v>41.666666666666671</v>
      </c>
      <c r="H136">
        <f>IF('исходные данные'!H136&gt;'минимумы и максимумы'!F$10,100,('исходные данные'!H136-'минимумы и максимумы'!F$9)/('минимумы и максимумы'!F$10-'минимумы и максимумы'!F$9)*100)</f>
        <v>31.03448275862069</v>
      </c>
      <c r="I136">
        <f>IF('исходные данные'!I136&gt;'минимумы и максимумы'!G$10,100,('исходные данные'!I136-'минимумы и максимумы'!G$9)/('минимумы и максимумы'!G$10-'минимумы и максимумы'!G$9)*100)</f>
        <v>43.39622641509434</v>
      </c>
      <c r="J136">
        <f>IF('исходные данные'!J136&gt;'минимумы и максимумы'!H$10,100,('исходные данные'!J136-'минимумы и максимумы'!H$9)/('минимумы и максимумы'!H$10-'минимумы и максимумы'!H$9)*100)</f>
        <v>33.333333333333329</v>
      </c>
      <c r="K136">
        <f>IF('исходные данные'!K136&gt;'минимумы и максимумы'!I$10,100,('исходные данные'!K136-'минимумы и максимумы'!I$9)/('минимумы и максимумы'!I$10-'минимумы и максимумы'!I$9)*100)</f>
        <v>50</v>
      </c>
      <c r="L136">
        <f>IF('исходные данные'!L136&gt;'минимумы и максимумы'!J$10,100,('исходные данные'!L136-'минимумы и максимумы'!J$9)/('минимумы и максимумы'!J$10-'минимумы и максимумы'!J$9)*100)</f>
        <v>7.1428571428571423</v>
      </c>
      <c r="M136">
        <f>IF('исходные данные'!M136&gt;'минимумы и максимумы'!K$10,100,('исходные данные'!M136-'минимумы и максимумы'!K$9)/('минимумы и максимумы'!K$10-'минимумы и максимумы'!K$9)*100)</f>
        <v>57.142857142857139</v>
      </c>
      <c r="N136">
        <f>IF('исходные данные'!N136&gt;'минимумы и максимумы'!L$10,100,('исходные данные'!N136-'минимумы и максимумы'!L$9)/('минимумы и максимумы'!L$10-'минимумы и максимумы'!L$9)*100)</f>
        <v>17.920006574288859</v>
      </c>
      <c r="O136">
        <f>IF('исходные данные'!O136&gt;'минимумы и максимумы'!M$10,100,('исходные данные'!O136-'минимумы и максимумы'!M$9)/('минимумы и максимумы'!M$10-'минимумы и максимумы'!M$9)*100)</f>
        <v>66.666666666666657</v>
      </c>
      <c r="P136">
        <f>IF('исходные данные'!P136&gt;'минимумы и максимумы'!N$10,100,('исходные данные'!P136-'минимумы и максимумы'!N$9)/('минимумы и максимумы'!N$10-'минимумы и максимумы'!N$9)*100)</f>
        <v>100</v>
      </c>
      <c r="Q136">
        <f>IF('исходные данные'!Q136&gt;'минимумы и максимумы'!O$10,100,('исходные данные'!Q136-'минимумы и максимумы'!O$9)/('минимумы и максимумы'!O$10-'минимумы и максимумы'!O$9)*100)</f>
        <v>0</v>
      </c>
      <c r="R136">
        <f>IF('исходные данные'!R136&gt;'минимумы и максимумы'!P$10,100,('исходные данные'!R136-'минимумы и максимумы'!P$9)/('минимумы и максимумы'!P$10-'минимумы и максимумы'!P$9)*100)</f>
        <v>75</v>
      </c>
      <c r="S136">
        <f>IF('исходные данные'!S136&gt;'минимумы и максимумы'!Q$10,100,('исходные данные'!S136-'минимумы и максимумы'!Q$9)/('минимумы и максимумы'!Q$10-'минимумы и максимумы'!Q$9)*100)</f>
        <v>33.333333333333329</v>
      </c>
      <c r="T136">
        <f>IF('исходные данные'!T136&gt;'минимумы и максимумы'!R$10,100,('исходные данные'!T136-'минимумы и максимумы'!R$9)/('минимумы и максимумы'!R$10-'минимумы и максимумы'!R$9)*100)</f>
        <v>28.797468354430379</v>
      </c>
      <c r="U136">
        <f>IF('исходные данные'!U136&gt;'минимумы и максимумы'!S$10,100,('исходные данные'!U136-'минимумы и максимумы'!S$9)/('минимумы и максимумы'!S$10-'минимумы и максимумы'!S$9)*100)</f>
        <v>0</v>
      </c>
    </row>
    <row r="137" spans="1:21" x14ac:dyDescent="0.45">
      <c r="A137" s="4">
        <v>202</v>
      </c>
      <c r="B137" s="4">
        <v>0</v>
      </c>
      <c r="C137" s="4">
        <v>0</v>
      </c>
      <c r="D137">
        <f>IF('исходные данные'!D137&gt;'минимумы и максимумы'!B$10,100,('исходные данные'!D137-'минимумы и максимумы'!B$9)/('минимумы и максимумы'!B$10-'минимумы и максимумы'!B$9)*100)</f>
        <v>22.222222222222221</v>
      </c>
      <c r="E137">
        <f>IF('исходные данные'!E137&gt;'минимумы и максимумы'!C$10,100,('исходные данные'!E137-'минимумы и максимумы'!C$9)/('минимумы и максимумы'!C$10-'минимумы и максимумы'!C$9)*100)</f>
        <v>10</v>
      </c>
      <c r="F137">
        <f>IF('исходные данные'!F137&gt;'минимумы и максимумы'!D$10,100,('исходные данные'!F137-'минимумы и максимумы'!D$9)/('минимумы и максимумы'!D$10-'минимумы и максимумы'!D$9)*100)</f>
        <v>0</v>
      </c>
      <c r="G137">
        <f>IF('исходные данные'!G137&gt;'минимумы и максимумы'!E$10,100,('исходные данные'!G137-'минимумы и максимумы'!E$9)/('минимумы и максимумы'!E$10-'минимумы и максимумы'!E$9)*100)</f>
        <v>41.666666666666671</v>
      </c>
      <c r="H137">
        <f>IF('исходные данные'!H137&gt;'минимумы и максимумы'!F$10,100,('исходные данные'!H137-'минимумы и максимумы'!F$9)/('минимумы и максимумы'!F$10-'минимумы и максимумы'!F$9)*100)</f>
        <v>31.03448275862069</v>
      </c>
      <c r="I137">
        <f>IF('исходные данные'!I137&gt;'минимумы и максимумы'!G$10,100,('исходные данные'!I137-'минимумы и максимумы'!G$9)/('минимумы и максимумы'!G$10-'минимумы и максимумы'!G$9)*100)</f>
        <v>43.39622641509434</v>
      </c>
      <c r="J137">
        <f>IF('исходные данные'!J137&gt;'минимумы и максимумы'!H$10,100,('исходные данные'!J137-'минимумы и максимумы'!H$9)/('минимумы и максимумы'!H$10-'минимумы и максимумы'!H$9)*100)</f>
        <v>33.333333333333329</v>
      </c>
      <c r="K137">
        <f>IF('исходные данные'!K137&gt;'минимумы и максимумы'!I$10,100,('исходные данные'!K137-'минимумы и максимумы'!I$9)/('минимумы и максимумы'!I$10-'минимумы и максимумы'!I$9)*100)</f>
        <v>50</v>
      </c>
      <c r="L137">
        <f>IF('исходные данные'!L137&gt;'минимумы и максимумы'!J$10,100,('исходные данные'!L137-'минимумы и максимумы'!J$9)/('минимумы и максимумы'!J$10-'минимумы и максимумы'!J$9)*100)</f>
        <v>7.1428571428571423</v>
      </c>
      <c r="M137">
        <f>IF('исходные данные'!M137&gt;'минимумы и максимумы'!K$10,100,('исходные данные'!M137-'минимумы и максимумы'!K$9)/('минимумы и максимумы'!K$10-'минимумы и максимумы'!K$9)*100)</f>
        <v>57.142857142857139</v>
      </c>
      <c r="N137">
        <f>IF('исходные данные'!N137&gt;'минимумы и максимумы'!L$10,100,('исходные данные'!N137-'минимумы и максимумы'!L$9)/('минимумы и максимумы'!L$10-'минимумы и максимумы'!L$9)*100)</f>
        <v>17.920006574288859</v>
      </c>
      <c r="O137">
        <f>IF('исходные данные'!O137&gt;'минимумы и максимумы'!M$10,100,('исходные данные'!O137-'минимумы и максимумы'!M$9)/('минимумы и максимумы'!M$10-'минимумы и максимумы'!M$9)*100)</f>
        <v>66.666666666666657</v>
      </c>
      <c r="P137">
        <f>IF('исходные данные'!P137&gt;'минимумы и максимумы'!N$10,100,('исходные данные'!P137-'минимумы и максимумы'!N$9)/('минимумы и максимумы'!N$10-'минимумы и максимумы'!N$9)*100)</f>
        <v>100</v>
      </c>
      <c r="Q137">
        <f>IF('исходные данные'!Q137&gt;'минимумы и максимумы'!O$10,100,('исходные данные'!Q137-'минимумы и максимумы'!O$9)/('минимумы и максимумы'!O$10-'минимумы и максимумы'!O$9)*100)</f>
        <v>0</v>
      </c>
      <c r="R137">
        <f>IF('исходные данные'!R137&gt;'минимумы и максимумы'!P$10,100,('исходные данные'!R137-'минимумы и максимумы'!P$9)/('минимумы и максимумы'!P$10-'минимумы и максимумы'!P$9)*100)</f>
        <v>75</v>
      </c>
      <c r="S137">
        <f>IF('исходные данные'!S137&gt;'минимумы и максимумы'!Q$10,100,('исходные данные'!S137-'минимумы и максимумы'!Q$9)/('минимумы и максимумы'!Q$10-'минимумы и максимумы'!Q$9)*100)</f>
        <v>33.333333333333329</v>
      </c>
      <c r="T137">
        <f>IF('исходные данные'!T137&gt;'минимумы и максимумы'!R$10,100,('исходные данные'!T137-'минимумы и максимумы'!R$9)/('минимумы и максимумы'!R$10-'минимумы и максимумы'!R$9)*100)</f>
        <v>28.768699654775602</v>
      </c>
      <c r="U137">
        <f>IF('исходные данные'!U137&gt;'минимумы и максимумы'!S$10,100,('исходные данные'!U137-'минимумы и максимумы'!S$9)/('минимумы и максимумы'!S$10-'минимумы и максимумы'!S$9)*100)</f>
        <v>0</v>
      </c>
    </row>
    <row r="138" spans="1:21" x14ac:dyDescent="0.45">
      <c r="A138" s="4">
        <v>204</v>
      </c>
      <c r="B138" s="4">
        <v>0</v>
      </c>
      <c r="C138" s="4">
        <v>0</v>
      </c>
      <c r="D138">
        <f>IF('исходные данные'!D138&gt;'минимумы и максимумы'!B$10,100,('исходные данные'!D138-'минимумы и максимумы'!B$9)/('минимумы и максимумы'!B$10-'минимумы и максимумы'!B$9)*100)</f>
        <v>11.111111111111111</v>
      </c>
      <c r="E138">
        <f>IF('исходные данные'!E138&gt;'минимумы и максимумы'!C$10,100,('исходные данные'!E138-'минимумы и максимумы'!C$9)/('минимумы и максимумы'!C$10-'минимумы и максимумы'!C$9)*100)</f>
        <v>80</v>
      </c>
      <c r="F138">
        <f>IF('исходные данные'!F138&gt;'минимумы и максимумы'!D$10,100,('исходные данные'!F138-'минимумы и максимумы'!D$9)/('минимумы и максимумы'!D$10-'минимумы и максимумы'!D$9)*100)</f>
        <v>0</v>
      </c>
      <c r="G138">
        <f>IF('исходные данные'!G138&gt;'минимумы и максимумы'!E$10,100,('исходные данные'!G138-'минимумы и максимумы'!E$9)/('минимумы и максимумы'!E$10-'минимумы и максимумы'!E$9)*100)</f>
        <v>37.5</v>
      </c>
      <c r="H138">
        <f>IF('исходные данные'!H138&gt;'минимумы и максимумы'!F$10,100,('исходные данные'!H138-'минимумы и максимумы'!F$9)/('минимумы и максимумы'!F$10-'минимумы и максимумы'!F$9)*100)</f>
        <v>27.586206896551722</v>
      </c>
      <c r="I138">
        <f>IF('исходные данные'!I138&gt;'минимумы и максимумы'!G$10,100,('исходные данные'!I138-'минимумы и максимумы'!G$9)/('минимумы и максимумы'!G$10-'минимумы и максимумы'!G$9)*100)</f>
        <v>58.490566037735846</v>
      </c>
      <c r="J138">
        <f>IF('исходные данные'!J138&gt;'минимумы и максимумы'!H$10,100,('исходные данные'!J138-'минимумы и максимумы'!H$9)/('минимумы и максимумы'!H$10-'минимумы и максимумы'!H$9)*100)</f>
        <v>40</v>
      </c>
      <c r="K138">
        <f>IF('исходные данные'!K138&gt;'минимумы и максимумы'!I$10,100,('исходные данные'!K138-'минимумы и максимумы'!I$9)/('минимумы и максимумы'!I$10-'минимумы и максимумы'!I$9)*100)</f>
        <v>44.444444444444443</v>
      </c>
      <c r="L138">
        <f>IF('исходные данные'!L138&gt;'минимумы и максимумы'!J$10,100,('исходные данные'!L138-'минимумы и максимумы'!J$9)/('минимумы и максимумы'!J$10-'минимумы и максимумы'!J$9)*100)</f>
        <v>14.285714285714285</v>
      </c>
      <c r="M138">
        <f>IF('исходные данные'!M138&gt;'минимумы и максимумы'!K$10,100,('исходные данные'!M138-'минимумы и максимумы'!K$9)/('минимумы и максимумы'!K$10-'минимумы и максимумы'!K$9)*100)</f>
        <v>64.285714285714292</v>
      </c>
      <c r="N138">
        <f>IF('исходные данные'!N138&gt;'минимумы и максимумы'!L$10,100,('исходные данные'!N138-'минимумы и максимумы'!L$9)/('минимумы и максимумы'!L$10-'минимумы и максимумы'!L$9)*100)</f>
        <v>12.083272860114009</v>
      </c>
      <c r="O138">
        <f>IF('исходные данные'!O138&gt;'минимумы и максимумы'!M$10,100,('исходные данные'!O138-'минимумы и максимумы'!M$9)/('минимумы и максимумы'!M$10-'минимумы и максимумы'!M$9)*100)</f>
        <v>0</v>
      </c>
      <c r="P138">
        <f>IF('исходные данные'!P138&gt;'минимумы и максимумы'!N$10,100,('исходные данные'!P138-'минимумы и максимумы'!N$9)/('минимумы и максимумы'!N$10-'минимумы и максимумы'!N$9)*100)</f>
        <v>0</v>
      </c>
      <c r="Q138">
        <f>IF('исходные данные'!Q138&gt;'минимумы и максимумы'!O$10,100,('исходные данные'!Q138-'минимумы и максимумы'!O$9)/('минимумы и максимумы'!O$10-'минимумы и максимумы'!O$9)*100)</f>
        <v>100</v>
      </c>
      <c r="R138">
        <f>IF('исходные данные'!R138&gt;'минимумы и максимумы'!P$10,100,('исходные данные'!R138-'минимумы и максимумы'!P$9)/('минимумы и максимумы'!P$10-'минимумы и максимумы'!P$9)*100)</f>
        <v>75</v>
      </c>
      <c r="S138">
        <f>IF('исходные данные'!S138&gt;'минимумы и максимумы'!Q$10,100,('исходные данные'!S138-'минимумы и максимумы'!Q$9)/('минимумы и максимумы'!Q$10-'минимумы и максимумы'!Q$9)*100)</f>
        <v>33.333333333333329</v>
      </c>
      <c r="T138">
        <f>IF('исходные данные'!T138&gt;'минимумы и максимумы'!R$10,100,('исходные данные'!T138-'минимумы и максимумы'!R$9)/('минимумы и максимумы'!R$10-'минимумы и максимумы'!R$9)*100)</f>
        <v>18.613348676639816</v>
      </c>
      <c r="U138">
        <f>IF('исходные данные'!U138&gt;'минимумы и максимумы'!S$10,100,('исходные данные'!U138-'минимумы и максимумы'!S$9)/('минимумы и максимумы'!S$10-'минимумы и максимумы'!S$9)*100)</f>
        <v>0</v>
      </c>
    </row>
    <row r="139" spans="1:21" x14ac:dyDescent="0.45">
      <c r="A139" s="4">
        <v>205</v>
      </c>
      <c r="B139" s="4">
        <v>0</v>
      </c>
      <c r="C139" s="4">
        <v>0</v>
      </c>
      <c r="D139">
        <f>IF('исходные данные'!D139&gt;'минимумы и максимумы'!B$10,100,('исходные данные'!D139-'минимумы и максимумы'!B$9)/('минимумы и максимумы'!B$10-'минимумы и максимумы'!B$9)*100)</f>
        <v>22.222222222222221</v>
      </c>
      <c r="E139">
        <f>IF('исходные данные'!E139&gt;'минимумы и максимумы'!C$10,100,('исходные данные'!E139-'минимумы и максимумы'!C$9)/('минимумы и максимумы'!C$10-'минимумы и максимумы'!C$9)*100)</f>
        <v>100</v>
      </c>
      <c r="F139">
        <f>IF('исходные данные'!F139&gt;'минимумы и максимумы'!D$10,100,('исходные данные'!F139-'минимумы и максимумы'!D$9)/('минимумы и максимумы'!D$10-'минимумы и максимумы'!D$9)*100)</f>
        <v>0</v>
      </c>
      <c r="G139">
        <f>IF('исходные данные'!G139&gt;'минимумы и максимумы'!E$10,100,('исходные данные'!G139-'минимумы и максимумы'!E$9)/('минимумы и максимумы'!E$10-'минимумы и максимумы'!E$9)*100)</f>
        <v>33.333333333333329</v>
      </c>
      <c r="H139">
        <f>IF('исходные данные'!H139&gt;'минимумы и максимумы'!F$10,100,('исходные данные'!H139-'минимумы и максимумы'!F$9)/('минимумы и максимумы'!F$10-'минимумы и максимумы'!F$9)*100)</f>
        <v>34.482758620689658</v>
      </c>
      <c r="I139">
        <f>IF('исходные данные'!I139&gt;'минимумы и максимумы'!G$10,100,('исходные данные'!I139-'минимумы и максимумы'!G$9)/('минимумы и максимумы'!G$10-'минимумы и максимумы'!G$9)*100)</f>
        <v>62.264150943396224</v>
      </c>
      <c r="J139">
        <f>IF('исходные данные'!J139&gt;'минимумы и максимумы'!H$10,100,('исходные данные'!J139-'минимумы и максимумы'!H$9)/('минимумы и максимумы'!H$10-'минимумы и максимумы'!H$9)*100)</f>
        <v>46.666666666666664</v>
      </c>
      <c r="K139">
        <f>IF('исходные данные'!K139&gt;'минимумы и максимумы'!I$10,100,('исходные данные'!K139-'минимумы и максимумы'!I$9)/('минимумы и максимумы'!I$10-'минимумы и максимумы'!I$9)*100)</f>
        <v>27.777777777777779</v>
      </c>
      <c r="L139">
        <f>IF('исходные данные'!L139&gt;'минимумы и максимумы'!J$10,100,('исходные данные'!L139-'минимумы и максимумы'!J$9)/('минимумы и максимумы'!J$10-'минимумы и максимумы'!J$9)*100)</f>
        <v>14.285714285714285</v>
      </c>
      <c r="M139">
        <f>IF('исходные данные'!M139&gt;'минимумы и максимумы'!K$10,100,('исходные данные'!M139-'минимумы и максимумы'!K$9)/('минимумы и максимумы'!K$10-'минимумы и максимумы'!K$9)*100)</f>
        <v>78.571428571428569</v>
      </c>
      <c r="N139">
        <f>IF('исходные данные'!N139&gt;'минимумы и максимумы'!L$10,100,('исходные данные'!N139-'минимумы и максимумы'!L$9)/('минимумы и максимумы'!L$10-'минимумы и максимумы'!L$9)*100)</f>
        <v>12.507172842516326</v>
      </c>
      <c r="O139">
        <f>IF('исходные данные'!O139&gt;'минимумы и максимумы'!M$10,100,('исходные данные'!O139-'минимумы и максимумы'!M$9)/('минимумы и максимумы'!M$10-'минимумы и максимумы'!M$9)*100)</f>
        <v>33.333333333333329</v>
      </c>
      <c r="P139">
        <f>IF('исходные данные'!P139&gt;'минимумы и максимумы'!N$10,100,('исходные данные'!P139-'минимумы и максимумы'!N$9)/('минимумы и максимумы'!N$10-'минимумы и максимумы'!N$9)*100)</f>
        <v>0</v>
      </c>
      <c r="Q139">
        <f>IF('исходные данные'!Q139&gt;'минимумы и максимумы'!O$10,100,('исходные данные'!Q139-'минимумы и максимумы'!O$9)/('минимумы и максимумы'!O$10-'минимумы и максимумы'!O$9)*100)</f>
        <v>100</v>
      </c>
      <c r="R139">
        <f>IF('исходные данные'!R139&gt;'минимумы и максимумы'!P$10,100,('исходные данные'!R139-'минимумы и максимумы'!P$9)/('минимумы и максимумы'!P$10-'минимумы и максимумы'!P$9)*100)</f>
        <v>75</v>
      </c>
      <c r="S139">
        <f>IF('исходные данные'!S139&gt;'минимумы и максимумы'!Q$10,100,('исходные данные'!S139-'минимумы и максимумы'!Q$9)/('минимумы и максимумы'!Q$10-'минимумы и максимумы'!Q$9)*100)</f>
        <v>33.333333333333329</v>
      </c>
      <c r="T139">
        <f>IF('исходные данные'!T139&gt;'минимумы и максимумы'!R$10,100,('исходные данные'!T139-'минимумы и максимумы'!R$9)/('минимумы и максимумы'!R$10-'минимумы и максимумы'!R$9)*100)</f>
        <v>38.204833141542004</v>
      </c>
      <c r="U139">
        <f>IF('исходные данные'!U139&gt;'минимумы и максимумы'!S$10,100,('исходные данные'!U139-'минимумы и максимумы'!S$9)/('минимумы и максимумы'!S$10-'минимумы и максимумы'!S$9)*100)</f>
        <v>100</v>
      </c>
    </row>
    <row r="140" spans="1:21" x14ac:dyDescent="0.45">
      <c r="A140" s="4">
        <v>207</v>
      </c>
      <c r="B140" s="4">
        <v>0</v>
      </c>
      <c r="C140" s="4">
        <v>1</v>
      </c>
      <c r="D140">
        <f>IF('исходные данные'!D140&gt;'минимумы и максимумы'!B$10,100,('исходные данные'!D140-'минимумы и максимумы'!B$9)/('минимумы и максимумы'!B$10-'минимумы и максимумы'!B$9)*100)</f>
        <v>22.222222222222221</v>
      </c>
      <c r="E140">
        <f>IF('исходные данные'!E140&gt;'минимумы и максимумы'!C$10,100,('исходные данные'!E140-'минимумы и максимумы'!C$9)/('минимумы и максимумы'!C$10-'минимумы и максимумы'!C$9)*100)</f>
        <v>70</v>
      </c>
      <c r="F140">
        <f>IF('исходные данные'!F140&gt;'минимумы и максимумы'!D$10,100,('исходные данные'!F140-'минимумы и максимумы'!D$9)/('минимумы и максимумы'!D$10-'минимумы и максимумы'!D$9)*100)</f>
        <v>33.333333333333329</v>
      </c>
      <c r="G140">
        <f>IF('исходные данные'!G140&gt;'минимумы и максимумы'!E$10,100,('исходные данные'!G140-'минимумы и максимумы'!E$9)/('минимумы и максимумы'!E$10-'минимумы и максимумы'!E$9)*100)</f>
        <v>62.5</v>
      </c>
      <c r="H140">
        <f>IF('исходные данные'!H140&gt;'минимумы и максимумы'!F$10,100,('исходные данные'!H140-'минимумы и максимумы'!F$9)/('минимумы и максимумы'!F$10-'минимумы и максимумы'!F$9)*100)</f>
        <v>68.965517241379317</v>
      </c>
      <c r="I140">
        <f>IF('исходные данные'!I140&gt;'минимумы и максимумы'!G$10,100,('исходные данные'!I140-'минимумы и максимумы'!G$9)/('минимумы и максимумы'!G$10-'минимумы и максимумы'!G$9)*100)</f>
        <v>100</v>
      </c>
      <c r="J140">
        <f>IF('исходные данные'!J140&gt;'минимумы и максимумы'!H$10,100,('исходные данные'!J140-'минимумы и максимумы'!H$9)/('минимумы и максимумы'!H$10-'минимумы и максимумы'!H$9)*100)</f>
        <v>13.333333333333334</v>
      </c>
      <c r="K140">
        <f>IF('исходные данные'!K140&gt;'минимумы и максимумы'!I$10,100,('исходные данные'!K140-'минимумы и максимумы'!I$9)/('минимумы и максимумы'!I$10-'минимумы и максимумы'!I$9)*100)</f>
        <v>5.5555555555555554</v>
      </c>
      <c r="L140">
        <f>IF('исходные данные'!L140&gt;'минимумы и максимумы'!J$10,100,('исходные данные'!L140-'минимумы и максимумы'!J$9)/('минимумы и максимумы'!J$10-'минимумы и максимумы'!J$9)*100)</f>
        <v>7.1428571428571423</v>
      </c>
      <c r="M140">
        <f>IF('исходные данные'!M140&gt;'минимумы и максимумы'!K$10,100,('исходные данные'!M140-'минимумы и максимумы'!K$9)/('минимумы и максимумы'!K$10-'минимумы и максимумы'!K$9)*100)</f>
        <v>35.714285714285715</v>
      </c>
      <c r="N140">
        <f>IF('исходные данные'!N140&gt;'минимумы и максимумы'!L$10,100,('исходные данные'!N140-'минимумы и максимумы'!L$9)/('минимумы и максимумы'!L$10-'минимумы и максимумы'!L$9)*100)</f>
        <v>17.617915012503381</v>
      </c>
      <c r="O140">
        <f>IF('исходные данные'!O140&gt;'минимумы и максимумы'!M$10,100,('исходные данные'!O140-'минимумы и максимумы'!M$9)/('минимумы и максимумы'!M$10-'минимумы и максимумы'!M$9)*100)</f>
        <v>66.666666666666657</v>
      </c>
      <c r="P140">
        <f>IF('исходные данные'!P140&gt;'минимумы и максимумы'!N$10,100,('исходные данные'!P140-'минимумы и максимумы'!N$9)/('минимумы и максимумы'!N$10-'минимумы и максимумы'!N$9)*100)</f>
        <v>0</v>
      </c>
      <c r="Q140">
        <f>IF('исходные данные'!Q140&gt;'минимумы и максимумы'!O$10,100,('исходные данные'!Q140-'минимумы и максимумы'!O$9)/('минимумы и максимумы'!O$10-'минимумы и максимумы'!O$9)*100)</f>
        <v>100</v>
      </c>
      <c r="R140">
        <f>IF('исходные данные'!R140&gt;'минимумы и максимумы'!P$10,100,('исходные данные'!R140-'минимумы и максимумы'!P$9)/('минимумы и максимумы'!P$10-'минимумы и максимумы'!P$9)*100)</f>
        <v>75</v>
      </c>
      <c r="S140">
        <f>IF('исходные данные'!S140&gt;'минимумы и максимумы'!Q$10,100,('исходные данные'!S140-'минимумы и максимумы'!Q$9)/('минимумы и максимумы'!Q$10-'минимумы и максимумы'!Q$9)*100)</f>
        <v>33.333333333333329</v>
      </c>
      <c r="T140">
        <f>IF('исходные данные'!T140&gt;'минимумы и максимумы'!R$10,100,('исходные данные'!T140-'минимумы и максимумы'!R$9)/('минимумы и максимумы'!R$10-'минимумы и максимумы'!R$9)*100)</f>
        <v>8.2566168009205985</v>
      </c>
      <c r="U140">
        <f>IF('исходные данные'!U140&gt;'минимумы и максимумы'!S$10,100,('исходные данные'!U140-'минимумы и максимумы'!S$9)/('минимумы и максимумы'!S$10-'минимумы и максимумы'!S$9)*100)</f>
        <v>0</v>
      </c>
    </row>
    <row r="141" spans="1:21" x14ac:dyDescent="0.45">
      <c r="A141" s="4">
        <v>208</v>
      </c>
      <c r="B141" s="4">
        <v>0</v>
      </c>
      <c r="C141" s="4">
        <v>0</v>
      </c>
      <c r="D141">
        <f>IF('исходные данные'!D141&gt;'минимумы и максимумы'!B$10,100,('исходные данные'!D141-'минимумы и максимумы'!B$9)/('минимумы и максимумы'!B$10-'минимумы и максимумы'!B$9)*100)</f>
        <v>0</v>
      </c>
      <c r="E141">
        <f>IF('исходные данные'!E141&gt;'минимумы и максимумы'!C$10,100,('исходные данные'!E141-'минимумы и максимумы'!C$9)/('минимумы и максимумы'!C$10-'минимумы и максимумы'!C$9)*100)</f>
        <v>10</v>
      </c>
      <c r="F141">
        <f>IF('исходные данные'!F141&gt;'минимумы и максимумы'!D$10,100,('исходные данные'!F141-'минимумы и максимумы'!D$9)/('минимумы и максимумы'!D$10-'минимумы и максимумы'!D$9)*100)</f>
        <v>0</v>
      </c>
      <c r="G141">
        <f>IF('исходные данные'!G141&gt;'минимумы и максимумы'!E$10,100,('исходные данные'!G141-'минимумы и максимумы'!E$9)/('минимумы и максимумы'!E$10-'минимумы и максимумы'!E$9)*100)</f>
        <v>8.3333333333333321</v>
      </c>
      <c r="H141">
        <f>IF('исходные данные'!H141&gt;'минимумы и максимумы'!F$10,100,('исходные данные'!H141-'минимумы и максимумы'!F$9)/('минимумы и максимумы'!F$10-'минимумы и максимумы'!F$9)*100)</f>
        <v>3.4482758620689653</v>
      </c>
      <c r="I141">
        <f>IF('исходные данные'!I141&gt;'минимумы и максимумы'!G$10,100,('исходные данные'!I141-'минимумы и максимумы'!G$9)/('минимумы и максимумы'!G$10-'минимумы и максимумы'!G$9)*100)</f>
        <v>16.981132075471699</v>
      </c>
      <c r="J141">
        <f>IF('исходные данные'!J141&gt;'минимумы и максимумы'!H$10,100,('исходные данные'!J141-'минимумы и максимумы'!H$9)/('минимумы и максимумы'!H$10-'минимумы и максимумы'!H$9)*100)</f>
        <v>0</v>
      </c>
      <c r="K141">
        <f>IF('исходные данные'!K141&gt;'минимумы и максимумы'!I$10,100,('исходные данные'!K141-'минимумы и максимумы'!I$9)/('минимумы и максимумы'!I$10-'минимумы и максимумы'!I$9)*100)</f>
        <v>27.777777777777779</v>
      </c>
      <c r="L141">
        <f>IF('исходные данные'!L141&gt;'минимумы и максимумы'!J$10,100,('исходные данные'!L141-'минимумы и максимумы'!J$9)/('минимумы и максимумы'!J$10-'минимумы и максимумы'!J$9)*100)</f>
        <v>0</v>
      </c>
      <c r="M141">
        <f>IF('исходные данные'!M141&gt;'минимумы и максимумы'!K$10,100,('исходные данные'!M141-'минимумы и максимумы'!K$9)/('минимумы и максимумы'!K$10-'минимумы и максимумы'!K$9)*100)</f>
        <v>7.1428571428571423</v>
      </c>
      <c r="N141">
        <f>IF('исходные данные'!N141&gt;'минимумы и максимумы'!L$10,100,('исходные данные'!N141-'минимумы и максимумы'!L$9)/('минимумы и максимумы'!L$10-'минимумы и максимумы'!L$9)*100)</f>
        <v>20.968596073594686</v>
      </c>
      <c r="O141">
        <f>IF('исходные данные'!O141&gt;'минимумы и максимумы'!M$10,100,('исходные данные'!O141-'минимумы и максимумы'!M$9)/('минимумы и максимумы'!M$10-'минимумы и максимумы'!M$9)*100)</f>
        <v>33.333333333333329</v>
      </c>
      <c r="P141">
        <f>IF('исходные данные'!P141&gt;'минимумы и максимумы'!N$10,100,('исходные данные'!P141-'минимумы и максимумы'!N$9)/('минимумы и максимумы'!N$10-'минимумы и максимумы'!N$9)*100)</f>
        <v>0</v>
      </c>
      <c r="Q141">
        <f>IF('исходные данные'!Q141&gt;'минимумы и максимумы'!O$10,100,('исходные данные'!Q141-'минимумы и максимумы'!O$9)/('минимумы и максимумы'!O$10-'минимумы и максимумы'!O$9)*100)</f>
        <v>100</v>
      </c>
      <c r="R141">
        <f>IF('исходные данные'!R141&gt;'минимумы и максимумы'!P$10,100,('исходные данные'!R141-'минимумы и максимумы'!P$9)/('минимумы и максимумы'!P$10-'минимумы и максимумы'!P$9)*100)</f>
        <v>75</v>
      </c>
      <c r="S141">
        <f>IF('исходные данные'!S141&gt;'минимумы и максимумы'!Q$10,100,('исходные данные'!S141-'минимумы и максимумы'!Q$9)/('минимумы и максимумы'!Q$10-'минимумы и максимумы'!Q$9)*100)</f>
        <v>50</v>
      </c>
      <c r="T141">
        <f>IF('исходные данные'!T141&gt;'минимумы и максимумы'!R$10,100,('исходные данные'!T141-'минимумы и максимумы'!R$9)/('минимумы и максимумы'!R$10-'минимумы и максимумы'!R$9)*100)</f>
        <v>15.420023014959725</v>
      </c>
      <c r="U141">
        <f>IF('исходные данные'!U141&gt;'минимумы и максимумы'!S$10,100,('исходные данные'!U141-'минимумы и максимумы'!S$9)/('минимумы и максимумы'!S$10-'минимумы и максимумы'!S$9)*100)</f>
        <v>0</v>
      </c>
    </row>
    <row r="142" spans="1:21" x14ac:dyDescent="0.45">
      <c r="A142" s="4">
        <v>209</v>
      </c>
      <c r="B142" s="4">
        <v>0</v>
      </c>
      <c r="C142" s="4">
        <v>0</v>
      </c>
      <c r="D142">
        <f>IF('исходные данные'!D142&gt;'минимумы и максимумы'!B$10,100,('исходные данные'!D142-'минимумы и максимумы'!B$9)/('минимумы и максимумы'!B$10-'минимумы и максимумы'!B$9)*100)</f>
        <v>0</v>
      </c>
      <c r="E142">
        <f>IF('исходные данные'!E142&gt;'минимумы и максимумы'!C$10,100,('исходные данные'!E142-'минимумы и максимумы'!C$9)/('минимумы и максимумы'!C$10-'минимумы и максимумы'!C$9)*100)</f>
        <v>80</v>
      </c>
      <c r="F142">
        <f>IF('исходные данные'!F142&gt;'минимумы и максимумы'!D$10,100,('исходные данные'!F142-'минимумы и максимумы'!D$9)/('минимумы и максимумы'!D$10-'минимумы и максимумы'!D$9)*100)</f>
        <v>0</v>
      </c>
      <c r="G142">
        <f>IF('исходные данные'!G142&gt;'минимумы и максимумы'!E$10,100,('исходные данные'!G142-'минимумы и максимумы'!E$9)/('минимумы и максимумы'!E$10-'минимумы и максимумы'!E$9)*100)</f>
        <v>95.833333333333343</v>
      </c>
      <c r="H142">
        <f>IF('исходные данные'!H142&gt;'минимумы и максимумы'!F$10,100,('исходные данные'!H142-'минимумы и максимумы'!F$9)/('минимумы и максимумы'!F$10-'минимумы и максимумы'!F$9)*100)</f>
        <v>68.965517241379317</v>
      </c>
      <c r="I142">
        <f>IF('исходные данные'!I142&gt;'минимумы и максимумы'!G$10,100,('исходные данные'!I142-'минимумы и максимумы'!G$9)/('минимумы и максимумы'!G$10-'минимумы и максимумы'!G$9)*100)</f>
        <v>98.113207547169807</v>
      </c>
      <c r="J142">
        <f>IF('исходные данные'!J142&gt;'минимумы и максимумы'!H$10,100,('исходные данные'!J142-'минимумы и максимумы'!H$9)/('минимумы и максимумы'!H$10-'минимумы и максимумы'!H$9)*100)</f>
        <v>6.666666666666667</v>
      </c>
      <c r="K142">
        <f>IF('исходные данные'!K142&gt;'минимумы и максимумы'!I$10,100,('исходные данные'!K142-'минимумы и максимумы'!I$9)/('минимумы и максимумы'!I$10-'минимумы и максимумы'!I$9)*100)</f>
        <v>22.222222222222221</v>
      </c>
      <c r="L142">
        <f>IF('исходные данные'!L142&gt;'минимумы и максимумы'!J$10,100,('исходные данные'!L142-'минимумы и максимумы'!J$9)/('минимумы и максимумы'!J$10-'минимумы и максимумы'!J$9)*100)</f>
        <v>7.1428571428571423</v>
      </c>
      <c r="M142">
        <f>IF('исходные данные'!M142&gt;'минимумы и максимумы'!K$10,100,('исходные данные'!M142-'минимумы и максимумы'!K$9)/('минимумы и максимумы'!K$10-'минимумы и максимумы'!K$9)*100)</f>
        <v>10.714285714285714</v>
      </c>
      <c r="N142">
        <f>IF('исходные данные'!N142&gt;'минимумы и максимумы'!L$10,100,('исходные данные'!N142-'минимумы и максимумы'!L$9)/('минимумы и максимумы'!L$10-'минимумы и максимумы'!L$9)*100)</f>
        <v>19.606451610581001</v>
      </c>
      <c r="O142">
        <f>IF('исходные данные'!O142&gt;'минимумы и максимумы'!M$10,100,('исходные данные'!O142-'минимумы и максимумы'!M$9)/('минимумы и максимумы'!M$10-'минимумы и максимумы'!M$9)*100)</f>
        <v>0</v>
      </c>
      <c r="P142">
        <f>IF('исходные данные'!P142&gt;'минимумы и максимумы'!N$10,100,('исходные данные'!P142-'минимумы и максимумы'!N$9)/('минимумы и максимумы'!N$10-'минимумы и максимумы'!N$9)*100)</f>
        <v>100</v>
      </c>
      <c r="Q142">
        <f>IF('исходные данные'!Q142&gt;'минимумы и максимумы'!O$10,100,('исходные данные'!Q142-'минимумы и максимумы'!O$9)/('минимумы и максимумы'!O$10-'минимумы и максимумы'!O$9)*100)</f>
        <v>0</v>
      </c>
      <c r="R142">
        <f>IF('исходные данные'!R142&gt;'минимумы и максимумы'!P$10,100,('исходные данные'!R142-'минимумы и максимумы'!P$9)/('минимумы и максимумы'!P$10-'минимумы и максимумы'!P$9)*100)</f>
        <v>75</v>
      </c>
      <c r="S142">
        <f>IF('исходные данные'!S142&gt;'минимумы и максимумы'!Q$10,100,('исходные данные'!S142-'минимумы и максимумы'!Q$9)/('минимумы и максимумы'!Q$10-'минимумы и максимумы'!Q$9)*100)</f>
        <v>16.666666666666664</v>
      </c>
      <c r="T142">
        <f>IF('исходные данные'!T142&gt;'минимумы и максимумы'!R$10,100,('исходные данные'!T142-'минимумы и максимумы'!R$9)/('минимумы и максимумы'!R$10-'минимумы и максимумы'!R$9)*100)</f>
        <v>98.820483314154188</v>
      </c>
      <c r="U142">
        <f>IF('исходные данные'!U142&gt;'минимумы и максимумы'!S$10,100,('исходные данные'!U142-'минимумы и максимумы'!S$9)/('минимумы и максимумы'!S$10-'минимумы и максимумы'!S$9)*100)</f>
        <v>33.333333333333329</v>
      </c>
    </row>
    <row r="143" spans="1:21" x14ac:dyDescent="0.45">
      <c r="A143" s="4">
        <v>210</v>
      </c>
      <c r="B143" s="4">
        <v>0</v>
      </c>
      <c r="C143" s="4">
        <v>0</v>
      </c>
      <c r="D143">
        <f>IF('исходные данные'!D143&gt;'минимумы и максимумы'!B$10,100,('исходные данные'!D143-'минимумы и максимумы'!B$9)/('минимумы и максимумы'!B$10-'минимумы и максимумы'!B$9)*100)</f>
        <v>0</v>
      </c>
      <c r="E143">
        <f>IF('исходные данные'!E143&gt;'минимумы и максимумы'!C$10,100,('исходные данные'!E143-'минимумы и максимумы'!C$9)/('минимумы и максимумы'!C$10-'минимумы и максимумы'!C$9)*100)</f>
        <v>20</v>
      </c>
      <c r="F143">
        <f>IF('исходные данные'!F143&gt;'минимумы и максимумы'!D$10,100,('исходные данные'!F143-'минимумы и максимумы'!D$9)/('минимумы и максимумы'!D$10-'минимумы и максимумы'!D$9)*100)</f>
        <v>66.666666666666657</v>
      </c>
      <c r="G143">
        <f>IF('исходные данные'!G143&gt;'минимумы и максимумы'!E$10,100,('исходные данные'!G143-'минимумы и максимумы'!E$9)/('минимумы и максимумы'!E$10-'минимумы и максимумы'!E$9)*100)</f>
        <v>41.666666666666671</v>
      </c>
      <c r="H143">
        <f>IF('исходные данные'!H143&gt;'минимумы и максимумы'!F$10,100,('исходные данные'!H143-'минимумы и максимумы'!F$9)/('минимумы и максимумы'!F$10-'минимумы и максимумы'!F$9)*100)</f>
        <v>13.793103448275861</v>
      </c>
      <c r="I143">
        <f>IF('исходные данные'!I143&gt;'минимумы и максимумы'!G$10,100,('исходные данные'!I143-'минимумы и максимумы'!G$9)/('минимумы и максимумы'!G$10-'минимумы и максимумы'!G$9)*100)</f>
        <v>100</v>
      </c>
      <c r="J143">
        <f>IF('исходные данные'!J143&gt;'минимумы и максимумы'!H$10,100,('исходные данные'!J143-'минимумы и максимумы'!H$9)/('минимумы и максимумы'!H$10-'минимумы и максимумы'!H$9)*100)</f>
        <v>100</v>
      </c>
      <c r="K143">
        <f>IF('исходные данные'!K143&gt;'минимумы и максимумы'!I$10,100,('исходные данные'!K143-'минимумы и максимумы'!I$9)/('минимумы и максимумы'!I$10-'минимумы и максимумы'!I$9)*100)</f>
        <v>61.111111111111114</v>
      </c>
      <c r="L143">
        <f>IF('исходные данные'!L143&gt;'минимумы и максимумы'!J$10,100,('исходные данные'!L143-'минимумы и максимумы'!J$9)/('минимумы и максимумы'!J$10-'минимумы и максимумы'!J$9)*100)</f>
        <v>28.571428571428569</v>
      </c>
      <c r="M143">
        <f>IF('исходные данные'!M143&gt;'минимумы и максимумы'!K$10,100,('исходные данные'!M143-'минимумы и максимумы'!K$9)/('минимумы и максимумы'!K$10-'минимумы и максимумы'!K$9)*100)</f>
        <v>39.285714285714285</v>
      </c>
      <c r="N143">
        <f>IF('исходные данные'!N143&gt;'минимумы и максимумы'!L$10,100,('исходные данные'!N143-'минимумы и максимумы'!L$9)/('минимумы и максимумы'!L$10-'минимумы и максимумы'!L$9)*100)</f>
        <v>10.087306687144613</v>
      </c>
      <c r="O143">
        <f>IF('исходные данные'!O143&gt;'минимумы и максимумы'!M$10,100,('исходные данные'!O143-'минимумы и максимумы'!M$9)/('минимумы и максимумы'!M$10-'минимумы и максимумы'!M$9)*100)</f>
        <v>100</v>
      </c>
      <c r="P143">
        <f>IF('исходные данные'!P143&gt;'минимумы и максимумы'!N$10,100,('исходные данные'!P143-'минимумы и максимумы'!N$9)/('минимумы и максимумы'!N$10-'минимумы и максимумы'!N$9)*100)</f>
        <v>100</v>
      </c>
      <c r="Q143">
        <f>IF('исходные данные'!Q143&gt;'минимумы и максимумы'!O$10,100,('исходные данные'!Q143-'минимумы и максимумы'!O$9)/('минимумы и максимумы'!O$10-'минимумы и максимумы'!O$9)*100)</f>
        <v>100</v>
      </c>
      <c r="R143">
        <f>IF('исходные данные'!R143&gt;'минимумы и максимумы'!P$10,100,('исходные данные'!R143-'минимумы и максимумы'!P$9)/('минимумы и максимумы'!P$10-'минимумы и максимумы'!P$9)*100)</f>
        <v>75</v>
      </c>
      <c r="S143">
        <f>IF('исходные данные'!S143&gt;'минимумы и максимумы'!Q$10,100,('исходные данные'!S143-'минимумы и максимумы'!Q$9)/('минимумы и максимумы'!Q$10-'минимумы и максимумы'!Q$9)*100)</f>
        <v>83.333333333333343</v>
      </c>
      <c r="T143">
        <f>IF('исходные данные'!T143&gt;'минимумы и максимумы'!R$10,100,('исходные данные'!T143-'минимумы и максимумы'!R$9)/('минимумы и максимумы'!R$10-'минимумы и максимумы'!R$9)*100)</f>
        <v>100</v>
      </c>
      <c r="U143">
        <f>IF('исходные данные'!U143&gt;'минимумы и максимумы'!S$10,100,('исходные данные'!U143-'минимумы и максимумы'!S$9)/('минимумы и максимумы'!S$10-'минимумы и максимумы'!S$9)*100)</f>
        <v>66.666666666666657</v>
      </c>
    </row>
    <row r="144" spans="1:21" x14ac:dyDescent="0.45">
      <c r="A144" s="4">
        <v>211</v>
      </c>
      <c r="B144" s="4">
        <v>0</v>
      </c>
      <c r="C144" s="4">
        <v>0</v>
      </c>
      <c r="D144">
        <f>IF('исходные данные'!D144&gt;'минимумы и максимумы'!B$10,100,('исходные данные'!D144-'минимумы и максимумы'!B$9)/('минимумы и максимумы'!B$10-'минимумы и максимумы'!B$9)*100)</f>
        <v>0</v>
      </c>
      <c r="E144">
        <f>IF('исходные данные'!E144&gt;'минимумы и максимумы'!C$10,100,('исходные данные'!E144-'минимумы и максимумы'!C$9)/('минимумы и максимумы'!C$10-'минимумы и максимумы'!C$9)*100)</f>
        <v>20</v>
      </c>
      <c r="F144">
        <f>IF('исходные данные'!F144&gt;'минимумы и максимумы'!D$10,100,('исходные данные'!F144-'минимумы и максимумы'!D$9)/('минимумы и максимумы'!D$10-'минимумы и максимумы'!D$9)*100)</f>
        <v>66.666666666666657</v>
      </c>
      <c r="G144">
        <f>IF('исходные данные'!G144&gt;'минимумы и максимумы'!E$10,100,('исходные данные'!G144-'минимумы и максимумы'!E$9)/('минимумы и максимумы'!E$10-'минимумы и максимумы'!E$9)*100)</f>
        <v>41.666666666666671</v>
      </c>
      <c r="H144">
        <f>IF('исходные данные'!H144&gt;'минимумы и максимумы'!F$10,100,('исходные данные'!H144-'минимумы и максимумы'!F$9)/('минимумы и максимумы'!F$10-'минимумы и максимумы'!F$9)*100)</f>
        <v>13.793103448275861</v>
      </c>
      <c r="I144">
        <f>IF('исходные данные'!I144&gt;'минимумы и максимумы'!G$10,100,('исходные данные'!I144-'минимумы и максимумы'!G$9)/('минимумы и максимумы'!G$10-'минимумы и максимумы'!G$9)*100)</f>
        <v>100</v>
      </c>
      <c r="J144">
        <f>IF('исходные данные'!J144&gt;'минимумы и максимумы'!H$10,100,('исходные данные'!J144-'минимумы и максимумы'!H$9)/('минимумы и максимумы'!H$10-'минимумы и максимумы'!H$9)*100)</f>
        <v>100</v>
      </c>
      <c r="K144">
        <f>IF('исходные данные'!K144&gt;'минимумы и максимумы'!I$10,100,('исходные данные'!K144-'минимумы и максимумы'!I$9)/('минимумы и максимумы'!I$10-'минимумы и максимумы'!I$9)*100)</f>
        <v>61.111111111111114</v>
      </c>
      <c r="L144">
        <f>IF('исходные данные'!L144&gt;'минимумы и максимумы'!J$10,100,('исходные данные'!L144-'минимумы и максимумы'!J$9)/('минимумы и максимумы'!J$10-'минимумы и максимумы'!J$9)*100)</f>
        <v>28.571428571428569</v>
      </c>
      <c r="M144">
        <f>IF('исходные данные'!M144&gt;'минимумы и максимумы'!K$10,100,('исходные данные'!M144-'минимумы и максимумы'!K$9)/('минимумы и максимумы'!K$10-'минимумы и максимумы'!K$9)*100)</f>
        <v>39.285714285714285</v>
      </c>
      <c r="N144">
        <f>IF('исходные данные'!N144&gt;'минимумы и максимумы'!L$10,100,('исходные данные'!N144-'минимумы и максимумы'!L$9)/('минимумы и максимумы'!L$10-'минимумы и максимумы'!L$9)*100)</f>
        <v>9.4785391661857545</v>
      </c>
      <c r="O144">
        <f>IF('исходные данные'!O144&gt;'минимумы и максимумы'!M$10,100,('исходные данные'!O144-'минимумы и максимумы'!M$9)/('минимумы и максимумы'!M$10-'минимумы и максимумы'!M$9)*100)</f>
        <v>100</v>
      </c>
      <c r="P144">
        <f>IF('исходные данные'!P144&gt;'минимумы и максимумы'!N$10,100,('исходные данные'!P144-'минимумы и максимумы'!N$9)/('минимумы и максимумы'!N$10-'минимумы и максимумы'!N$9)*100)</f>
        <v>100</v>
      </c>
      <c r="Q144">
        <f>IF('исходные данные'!Q144&gt;'минимумы и максимумы'!O$10,100,('исходные данные'!Q144-'минимумы и максимумы'!O$9)/('минимумы и максимумы'!O$10-'минимумы и максимумы'!O$9)*100)</f>
        <v>100</v>
      </c>
      <c r="R144">
        <f>IF('исходные данные'!R144&gt;'минимумы и максимумы'!P$10,100,('исходные данные'!R144-'минимумы и максимумы'!P$9)/('минимумы и максимумы'!P$10-'минимумы и максимумы'!P$9)*100)</f>
        <v>75</v>
      </c>
      <c r="S144">
        <f>IF('исходные данные'!S144&gt;'минимумы и максимумы'!Q$10,100,('исходные данные'!S144-'минимумы и максимумы'!Q$9)/('минимумы и максимумы'!Q$10-'минимумы и максимумы'!Q$9)*100)</f>
        <v>50</v>
      </c>
      <c r="T144">
        <f>IF('исходные данные'!T144&gt;'минимумы и максимумы'!R$10,100,('исходные данные'!T144-'минимумы и максимумы'!R$9)/('минимумы и максимумы'!R$10-'минимумы и максимумы'!R$9)*100)</f>
        <v>44.706559263521292</v>
      </c>
      <c r="U144">
        <f>IF('исходные данные'!U144&gt;'минимумы и максимумы'!S$10,100,('исходные данные'!U144-'минимумы и максимумы'!S$9)/('минимумы и максимумы'!S$10-'минимумы и максимумы'!S$9)*100)</f>
        <v>0</v>
      </c>
    </row>
    <row r="145" spans="1:21" x14ac:dyDescent="0.45">
      <c r="A145" s="4">
        <v>213</v>
      </c>
      <c r="B145" s="4">
        <v>0</v>
      </c>
      <c r="C145" s="4">
        <v>0</v>
      </c>
      <c r="D145">
        <f>IF('исходные данные'!D145&gt;'минимумы и максимумы'!B$10,100,('исходные данные'!D145-'минимумы и максимумы'!B$9)/('минимумы и максимумы'!B$10-'минимумы и максимумы'!B$9)*100)</f>
        <v>55.555555555555557</v>
      </c>
      <c r="E145">
        <f>IF('исходные данные'!E145&gt;'минимумы и максимумы'!C$10,100,('исходные данные'!E145-'минимумы и максимумы'!C$9)/('минимумы и максимумы'!C$10-'минимумы и максимумы'!C$9)*100)</f>
        <v>60</v>
      </c>
      <c r="F145">
        <f>IF('исходные данные'!F145&gt;'минимумы и максимумы'!D$10,100,('исходные данные'!F145-'минимумы и максимумы'!D$9)/('минимумы и максимумы'!D$10-'минимумы и максимумы'!D$9)*100)</f>
        <v>66.666666666666657</v>
      </c>
      <c r="G145">
        <f>IF('исходные данные'!G145&gt;'минимумы и максимумы'!E$10,100,('исходные данные'!G145-'минимумы и максимумы'!E$9)/('минимумы и максимумы'!E$10-'минимумы и максимумы'!E$9)*100)</f>
        <v>62.5</v>
      </c>
      <c r="H145">
        <f>IF('исходные данные'!H145&gt;'минимумы и максимумы'!F$10,100,('исходные данные'!H145-'минимумы и максимумы'!F$9)/('минимумы и максимумы'!F$10-'минимумы и максимумы'!F$9)*100)</f>
        <v>41.379310344827587</v>
      </c>
      <c r="I145">
        <f>IF('исходные данные'!I145&gt;'минимумы и максимумы'!G$10,100,('исходные данные'!I145-'минимумы и максимумы'!G$9)/('минимумы и максимумы'!G$10-'минимумы и максимумы'!G$9)*100)</f>
        <v>94.339622641509436</v>
      </c>
      <c r="J145">
        <f>IF('исходные данные'!J145&gt;'минимумы и максимумы'!H$10,100,('исходные данные'!J145-'минимумы и максимумы'!H$9)/('минимумы и максимумы'!H$10-'минимумы и максимумы'!H$9)*100)</f>
        <v>100</v>
      </c>
      <c r="K145">
        <f>IF('исходные данные'!K145&gt;'минимумы и максимумы'!I$10,100,('исходные данные'!K145-'минимумы и максимумы'!I$9)/('минимумы и максимумы'!I$10-'минимумы и максимумы'!I$9)*100)</f>
        <v>16.666666666666664</v>
      </c>
      <c r="L145">
        <f>IF('исходные данные'!L145&gt;'минимумы и максимумы'!J$10,100,('исходные данные'!L145-'минимумы и максимумы'!J$9)/('минимумы и максимумы'!J$10-'минимумы и максимумы'!J$9)*100)</f>
        <v>28.571428571428569</v>
      </c>
      <c r="M145">
        <f>IF('исходные данные'!M145&gt;'минимумы и максимумы'!K$10,100,('исходные данные'!M145-'минимумы и максимумы'!K$9)/('минимумы и максимумы'!K$10-'минимумы и максимумы'!K$9)*100)</f>
        <v>32.142857142857146</v>
      </c>
      <c r="N145">
        <f>IF('исходные данные'!N145&gt;'минимумы и максимумы'!L$10,100,('исходные данные'!N145-'минимумы и максимумы'!L$9)/('минимумы и максимумы'!L$10-'минимумы и максимумы'!L$9)*100)</f>
        <v>10.114722725830379</v>
      </c>
      <c r="O145">
        <f>IF('исходные данные'!O145&gt;'минимумы и максимумы'!M$10,100,('исходные данные'!O145-'минимумы и максимумы'!M$9)/('минимумы и максимумы'!M$10-'минимумы и максимумы'!M$9)*100)</f>
        <v>66.666666666666657</v>
      </c>
      <c r="P145">
        <f>IF('исходные данные'!P145&gt;'минимумы и максимумы'!N$10,100,('исходные данные'!P145-'минимумы и максимумы'!N$9)/('минимумы и максимумы'!N$10-'минимумы и максимумы'!N$9)*100)</f>
        <v>0</v>
      </c>
      <c r="Q145">
        <f>IF('исходные данные'!Q145&gt;'минимумы и максимумы'!O$10,100,('исходные данные'!Q145-'минимумы и максимумы'!O$9)/('минимумы и максимумы'!O$10-'минимумы и максимумы'!O$9)*100)</f>
        <v>100</v>
      </c>
      <c r="R145">
        <f>IF('исходные данные'!R145&gt;'минимумы и максимумы'!P$10,100,('исходные данные'!R145-'минимумы и максимумы'!P$9)/('минимумы и максимумы'!P$10-'минимумы и максимумы'!P$9)*100)</f>
        <v>100</v>
      </c>
      <c r="S145">
        <f>IF('исходные данные'!S145&gt;'минимумы и максимумы'!Q$10,100,('исходные данные'!S145-'минимумы и максимумы'!Q$9)/('минимумы и максимумы'!Q$10-'минимумы и максимумы'!Q$9)*100)</f>
        <v>33.333333333333329</v>
      </c>
      <c r="T145">
        <f>IF('исходные данные'!T145&gt;'минимумы и максимумы'!R$10,100,('исходные данные'!T145-'минимумы и максимумы'!R$9)/('минимумы и максимумы'!R$10-'минимумы и максимумы'!R$9)*100)</f>
        <v>79.056386651323365</v>
      </c>
      <c r="U145">
        <f>IF('исходные данные'!U145&gt;'минимумы и максимумы'!S$10,100,('исходные данные'!U145-'минимумы и максимумы'!S$9)/('минимумы и максимумы'!S$10-'минимумы и максимумы'!S$9)*100)</f>
        <v>100</v>
      </c>
    </row>
    <row r="146" spans="1:21" x14ac:dyDescent="0.45">
      <c r="A146" s="4">
        <v>214</v>
      </c>
      <c r="B146" s="4">
        <v>0</v>
      </c>
      <c r="C146" s="4">
        <v>0</v>
      </c>
      <c r="D146">
        <f>IF('исходные данные'!D146&gt;'минимумы и максимумы'!B$10,100,('исходные данные'!D146-'минимумы и максимумы'!B$9)/('минимумы и максимумы'!B$10-'минимумы и максимумы'!B$9)*100)</f>
        <v>44.444444444444443</v>
      </c>
      <c r="E146">
        <f>IF('исходные данные'!E146&gt;'минимумы и максимумы'!C$10,100,('исходные данные'!E146-'минимумы и максимумы'!C$9)/('минимумы и максимумы'!C$10-'минимумы и максимумы'!C$9)*100)</f>
        <v>50</v>
      </c>
      <c r="F146">
        <f>IF('исходные данные'!F146&gt;'минимумы и максимумы'!D$10,100,('исходные данные'!F146-'минимумы и максимумы'!D$9)/('минимумы и максимумы'!D$10-'минимумы и максимумы'!D$9)*100)</f>
        <v>66.666666666666657</v>
      </c>
      <c r="G146">
        <f>IF('исходные данные'!G146&gt;'минимумы и максимумы'!E$10,100,('исходные данные'!G146-'минимумы и максимумы'!E$9)/('минимумы и максимумы'!E$10-'минимумы и максимумы'!E$9)*100)</f>
        <v>62.5</v>
      </c>
      <c r="H146">
        <f>IF('исходные данные'!H146&gt;'минимумы и максимумы'!F$10,100,('исходные данные'!H146-'минимумы и максимумы'!F$9)/('минимумы и максимумы'!F$10-'минимумы и максимумы'!F$9)*100)</f>
        <v>44.827586206896555</v>
      </c>
      <c r="I146">
        <f>IF('исходные данные'!I146&gt;'минимумы и максимумы'!G$10,100,('исходные данные'!I146-'минимумы и максимумы'!G$9)/('минимумы и максимумы'!G$10-'минимумы и максимумы'!G$9)*100)</f>
        <v>96.226415094339629</v>
      </c>
      <c r="J146">
        <f>IF('исходные данные'!J146&gt;'минимумы и максимумы'!H$10,100,('исходные данные'!J146-'минимумы и максимумы'!H$9)/('минимумы и максимумы'!H$10-'минимумы и максимумы'!H$9)*100)</f>
        <v>100</v>
      </c>
      <c r="K146">
        <f>IF('исходные данные'!K146&gt;'минимумы и максимумы'!I$10,100,('исходные данные'!K146-'минимумы и максимумы'!I$9)/('минимумы и максимумы'!I$10-'минимумы и максимумы'!I$9)*100)</f>
        <v>22.222222222222221</v>
      </c>
      <c r="L146">
        <f>IF('исходные данные'!L146&gt;'минимумы и максимумы'!J$10,100,('исходные данные'!L146-'минимумы и максимумы'!J$9)/('минимумы и максимумы'!J$10-'минимумы и максимумы'!J$9)*100)</f>
        <v>14.285714285714285</v>
      </c>
      <c r="M146">
        <f>IF('исходные данные'!M146&gt;'минимумы и максимумы'!K$10,100,('исходные данные'!M146-'минимумы и максимумы'!K$9)/('минимумы и максимумы'!K$10-'минимумы и максимумы'!K$9)*100)</f>
        <v>35.714285714285715</v>
      </c>
      <c r="N146">
        <f>IF('исходные данные'!N146&gt;'минимумы и максимумы'!L$10,100,('исходные данные'!N146-'минимумы и максимумы'!L$9)/('минимумы и максимумы'!L$10-'минимумы и максимумы'!L$9)*100)</f>
        <v>9.5170608655139528</v>
      </c>
      <c r="O146">
        <f>IF('исходные данные'!O146&gt;'минимумы и максимумы'!M$10,100,('исходные данные'!O146-'минимумы и максимумы'!M$9)/('минимумы и максимумы'!M$10-'минимумы и максимумы'!M$9)*100)</f>
        <v>66.666666666666657</v>
      </c>
      <c r="P146">
        <f>IF('исходные данные'!P146&gt;'минимумы и максимумы'!N$10,100,('исходные данные'!P146-'минимумы и максимумы'!N$9)/('минимумы и максимумы'!N$10-'минимумы и максимумы'!N$9)*100)</f>
        <v>0</v>
      </c>
      <c r="Q146">
        <f>IF('исходные данные'!Q146&gt;'минимумы и максимумы'!O$10,100,('исходные данные'!Q146-'минимумы и максимумы'!O$9)/('минимумы и максимумы'!O$10-'минимумы и максимумы'!O$9)*100)</f>
        <v>100</v>
      </c>
      <c r="R146">
        <f>IF('исходные данные'!R146&gt;'минимумы и максимумы'!P$10,100,('исходные данные'!R146-'минимумы и максимумы'!P$9)/('минимумы и максимумы'!P$10-'минимумы и максимумы'!P$9)*100)</f>
        <v>100</v>
      </c>
      <c r="S146">
        <f>IF('исходные данные'!S146&gt;'минимумы и максимумы'!Q$10,100,('исходные данные'!S146-'минимумы и максимумы'!Q$9)/('минимумы и максимумы'!Q$10-'минимумы и максимумы'!Q$9)*100)</f>
        <v>33.333333333333329</v>
      </c>
      <c r="T146">
        <f>IF('исходные данные'!T146&gt;'минимумы и максимумы'!R$10,100,('исходные данные'!T146-'минимумы и максимумы'!R$9)/('минимумы и максимумы'!R$10-'минимумы и максимумы'!R$9)*100)</f>
        <v>59.781357882623709</v>
      </c>
      <c r="U146">
        <f>IF('исходные данные'!U146&gt;'минимумы и максимумы'!S$10,100,('исходные данные'!U146-'минимумы и максимумы'!S$9)/('минимумы и максимумы'!S$10-'минимумы и максимумы'!S$9)*100)</f>
        <v>100</v>
      </c>
    </row>
    <row r="147" spans="1:21" x14ac:dyDescent="0.45">
      <c r="A147" s="4">
        <v>215</v>
      </c>
      <c r="B147" s="4">
        <v>0</v>
      </c>
      <c r="C147" s="4">
        <v>0</v>
      </c>
      <c r="D147">
        <f>IF('исходные данные'!D147&gt;'минимумы и максимумы'!B$10,100,('исходные данные'!D147-'минимумы и максимумы'!B$9)/('минимумы и максимумы'!B$10-'минимумы и максимумы'!B$9)*100)</f>
        <v>44.444444444444443</v>
      </c>
      <c r="E147">
        <f>IF('исходные данные'!E147&gt;'минимумы и максимумы'!C$10,100,('исходные данные'!E147-'минимумы и максимумы'!C$9)/('минимумы и максимумы'!C$10-'минимумы и максимумы'!C$9)*100)</f>
        <v>40</v>
      </c>
      <c r="F147">
        <f>IF('исходные данные'!F147&gt;'минимумы и максимумы'!D$10,100,('исходные данные'!F147-'минимумы и максимумы'!D$9)/('минимумы и максимумы'!D$10-'минимумы и максимумы'!D$9)*100)</f>
        <v>100</v>
      </c>
      <c r="G147">
        <f>IF('исходные данные'!G147&gt;'минимумы и максимумы'!E$10,100,('исходные данные'!G147-'минимумы и максимумы'!E$9)/('минимумы и максимумы'!E$10-'минимумы и максимумы'!E$9)*100)</f>
        <v>50</v>
      </c>
      <c r="H147">
        <f>IF('исходные данные'!H147&gt;'минимумы и максимумы'!F$10,100,('исходные данные'!H147-'минимумы и максимумы'!F$9)/('минимумы и максимумы'!F$10-'минимумы и максимумы'!F$9)*100)</f>
        <v>41.379310344827587</v>
      </c>
      <c r="I147">
        <f>IF('исходные данные'!I147&gt;'минимумы и максимумы'!G$10,100,('исходные данные'!I147-'минимумы и максимумы'!G$9)/('минимумы и максимумы'!G$10-'минимумы и максимумы'!G$9)*100)</f>
        <v>73.584905660377359</v>
      </c>
      <c r="J147">
        <f>IF('исходные данные'!J147&gt;'минимумы и максимумы'!H$10,100,('исходные данные'!J147-'минимумы и максимумы'!H$9)/('минимумы и максимумы'!H$10-'минимумы и максимумы'!H$9)*100)</f>
        <v>100</v>
      </c>
      <c r="K147">
        <f>IF('исходные данные'!K147&gt;'минимумы и максимумы'!I$10,100,('исходные данные'!K147-'минимумы и максимумы'!I$9)/('минимумы и максимумы'!I$10-'минимумы и максимумы'!I$9)*100)</f>
        <v>16.666666666666664</v>
      </c>
      <c r="L147">
        <f>IF('исходные данные'!L147&gt;'минимумы и максимумы'!J$10,100,('исходные данные'!L147-'минимумы и максимумы'!J$9)/('минимумы и максимумы'!J$10-'минимумы и максимумы'!J$9)*100)</f>
        <v>57.142857142857139</v>
      </c>
      <c r="M147">
        <f>IF('исходные данные'!M147&gt;'минимумы и максимумы'!K$10,100,('исходные данные'!M147-'минимумы и максимумы'!K$9)/('минимумы и максимумы'!K$10-'минимумы и максимумы'!K$9)*100)</f>
        <v>71.428571428571431</v>
      </c>
      <c r="N147">
        <f>IF('исходные данные'!N147&gt;'минимумы и максимумы'!L$10,100,('исходные данные'!N147-'минимумы и максимумы'!L$9)/('минимумы и максимумы'!L$10-'минимумы и максимумы'!L$9)*100)</f>
        <v>10.931122604164271</v>
      </c>
      <c r="O147">
        <f>IF('исходные данные'!O147&gt;'минимумы и максимумы'!M$10,100,('исходные данные'!O147-'минимумы и максимумы'!M$9)/('минимумы и максимумы'!M$10-'минимумы и максимумы'!M$9)*100)</f>
        <v>100</v>
      </c>
      <c r="P147">
        <f>IF('исходные данные'!P147&gt;'минимумы и максимумы'!N$10,100,('исходные данные'!P147-'минимумы и максимумы'!N$9)/('минимумы и максимумы'!N$10-'минимумы и максимумы'!N$9)*100)</f>
        <v>100</v>
      </c>
      <c r="Q147">
        <f>IF('исходные данные'!Q147&gt;'минимумы и максимумы'!O$10,100,('исходные данные'!Q147-'минимумы и максимумы'!O$9)/('минимумы и максимумы'!O$10-'минимумы и максимумы'!O$9)*100)</f>
        <v>100</v>
      </c>
      <c r="R147">
        <f>IF('исходные данные'!R147&gt;'минимумы и максимумы'!P$10,100,('исходные данные'!R147-'минимумы и максимумы'!P$9)/('минимумы и максимумы'!P$10-'минимумы и максимумы'!P$9)*100)</f>
        <v>75</v>
      </c>
      <c r="S147">
        <f>IF('исходные данные'!S147&gt;'минимумы и максимумы'!Q$10,100,('исходные данные'!S147-'минимумы и максимумы'!Q$9)/('минимумы и максимумы'!Q$10-'минимумы и максимумы'!Q$9)*100)</f>
        <v>33.333333333333329</v>
      </c>
      <c r="T147">
        <f>IF('исходные данные'!T147&gt;'минимумы и максимумы'!R$10,100,('исходные данные'!T147-'минимумы и максимумы'!R$9)/('минимумы и максимумы'!R$10-'минимумы и максимумы'!R$9)*100)</f>
        <v>31.674338319907942</v>
      </c>
      <c r="U147">
        <f>IF('исходные данные'!U147&gt;'минимумы и максимумы'!S$10,100,('исходные данные'!U147-'минимумы и максимумы'!S$9)/('минимумы и максимумы'!S$10-'минимумы и максимумы'!S$9)*100)</f>
        <v>0</v>
      </c>
    </row>
    <row r="148" spans="1:21" x14ac:dyDescent="0.45">
      <c r="A148" s="4">
        <v>216</v>
      </c>
      <c r="B148" s="4">
        <v>1</v>
      </c>
      <c r="C148" s="4">
        <v>0</v>
      </c>
      <c r="D148">
        <f>IF('исходные данные'!D148&gt;'минимумы и максимумы'!B$10,100,('исходные данные'!D148-'минимумы и максимумы'!B$9)/('минимумы и максимумы'!B$10-'минимумы и максимумы'!B$9)*100)</f>
        <v>33.333333333333329</v>
      </c>
      <c r="E148">
        <f>IF('исходные данные'!E148&gt;'минимумы и максимумы'!C$10,100,('исходные данные'!E148-'минимумы и максимумы'!C$9)/('минимумы и максимумы'!C$10-'минимумы и максимумы'!C$9)*100)</f>
        <v>20</v>
      </c>
      <c r="F148">
        <f>IF('исходные данные'!F148&gt;'минимумы и максимумы'!D$10,100,('исходные данные'!F148-'минимумы и максимумы'!D$9)/('минимумы и максимумы'!D$10-'минимумы и максимумы'!D$9)*100)</f>
        <v>0</v>
      </c>
      <c r="G148">
        <f>IF('исходные данные'!G148&gt;'минимумы и максимумы'!E$10,100,('исходные данные'!G148-'минимумы и максимумы'!E$9)/('минимумы и максимумы'!E$10-'минимумы и максимумы'!E$9)*100)</f>
        <v>41.666666666666671</v>
      </c>
      <c r="H148">
        <f>IF('исходные данные'!H148&gt;'минимумы и максимумы'!F$10,100,('исходные данные'!H148-'минимумы и максимумы'!F$9)/('минимумы и максимумы'!F$10-'минимумы и максимумы'!F$9)*100)</f>
        <v>34.482758620689658</v>
      </c>
      <c r="I148">
        <f>IF('исходные данные'!I148&gt;'минимумы и максимумы'!G$10,100,('исходные данные'!I148-'минимумы и максимумы'!G$9)/('минимумы и максимумы'!G$10-'минимумы и максимумы'!G$9)*100)</f>
        <v>35.849056603773583</v>
      </c>
      <c r="J148">
        <f>IF('исходные данные'!J148&gt;'минимумы и максимумы'!H$10,100,('исходные данные'!J148-'минимумы и максимумы'!H$9)/('минимумы и максимумы'!H$10-'минимумы и максимумы'!H$9)*100)</f>
        <v>46.666666666666664</v>
      </c>
      <c r="K148">
        <f>IF('исходные данные'!K148&gt;'минимумы и максимумы'!I$10,100,('исходные данные'!K148-'минимумы и максимумы'!I$9)/('минимумы и максимумы'!I$10-'минимумы и максимумы'!I$9)*100)</f>
        <v>22.222222222222221</v>
      </c>
      <c r="L148">
        <f>IF('исходные данные'!L148&gt;'минимумы и максимумы'!J$10,100,('исходные данные'!L148-'минимумы и максимумы'!J$9)/('минимумы и максимумы'!J$10-'минимумы и максимумы'!J$9)*100)</f>
        <v>14.285714285714285</v>
      </c>
      <c r="M148">
        <f>IF('исходные данные'!M148&gt;'минимумы и максимумы'!K$10,100,('исходные данные'!M148-'минимумы и максимумы'!K$9)/('минимумы и максимумы'!K$10-'минимумы и максимумы'!K$9)*100)</f>
        <v>14.285714285714285</v>
      </c>
      <c r="N148">
        <f>IF('исходные данные'!N148&gt;'минимумы и максимумы'!L$10,100,('исходные данные'!N148-'минимумы и максимумы'!L$9)/('минимумы и максимумы'!L$10-'минимумы и максимумы'!L$9)*100)</f>
        <v>13.46490647469995</v>
      </c>
      <c r="O148">
        <f>IF('исходные данные'!O148&gt;'минимумы и максимумы'!M$10,100,('исходные данные'!O148-'минимумы и максимумы'!M$9)/('минимумы и максимумы'!M$10-'минимумы и максимумы'!M$9)*100)</f>
        <v>0</v>
      </c>
      <c r="P148">
        <f>IF('исходные данные'!P148&gt;'минимумы и максимумы'!N$10,100,('исходные данные'!P148-'минимумы и максимумы'!N$9)/('минимумы и максимумы'!N$10-'минимумы и максимумы'!N$9)*100)</f>
        <v>0</v>
      </c>
      <c r="Q148">
        <f>IF('исходные данные'!Q148&gt;'минимумы и максимумы'!O$10,100,('исходные данные'!Q148-'минимумы и максимумы'!O$9)/('минимумы и максимумы'!O$10-'минимумы и максимумы'!O$9)*100)</f>
        <v>100</v>
      </c>
      <c r="R148">
        <f>IF('исходные данные'!R148&gt;'минимумы и максимумы'!P$10,100,('исходные данные'!R148-'минимумы и максимумы'!P$9)/('минимумы и максимумы'!P$10-'минимумы и максимумы'!P$9)*100)</f>
        <v>100</v>
      </c>
      <c r="S148">
        <f>IF('исходные данные'!S148&gt;'минимумы и максимумы'!Q$10,100,('исходные данные'!S148-'минимумы и максимумы'!Q$9)/('минимумы и максимумы'!Q$10-'минимумы и максимумы'!Q$9)*100)</f>
        <v>16.666666666666664</v>
      </c>
      <c r="T148">
        <f>IF('исходные данные'!T148&gt;'минимумы и максимумы'!R$10,100,('исходные данные'!T148-'минимумы и максимумы'!R$9)/('минимумы и максимумы'!R$10-'минимумы и максимумы'!R$9)*100)</f>
        <v>13.34867663981588</v>
      </c>
      <c r="U148">
        <f>IF('исходные данные'!U148&gt;'минимумы и максимумы'!S$10,100,('исходные данные'!U148-'минимумы и максимумы'!S$9)/('минимумы и максимумы'!S$10-'минимумы и максимумы'!S$9)*100)</f>
        <v>0</v>
      </c>
    </row>
    <row r="149" spans="1:21" x14ac:dyDescent="0.45">
      <c r="A149" s="4">
        <v>217</v>
      </c>
      <c r="B149" s="4">
        <v>0</v>
      </c>
      <c r="C149" s="4">
        <v>0</v>
      </c>
      <c r="D149">
        <f>IF('исходные данные'!D149&gt;'минимумы и максимумы'!B$10,100,('исходные данные'!D149-'минимумы и максимумы'!B$9)/('минимумы и максимумы'!B$10-'минимумы и максимумы'!B$9)*100)</f>
        <v>100</v>
      </c>
      <c r="E149">
        <f>IF('исходные данные'!E149&gt;'минимумы и максимумы'!C$10,100,('исходные данные'!E149-'минимумы и максимумы'!C$9)/('минимумы и максимумы'!C$10-'минимумы и максимумы'!C$9)*100)</f>
        <v>60</v>
      </c>
      <c r="F149">
        <f>IF('исходные данные'!F149&gt;'минимумы и максимумы'!D$10,100,('исходные данные'!F149-'минимумы и максимумы'!D$9)/('минимумы и максимумы'!D$10-'минимумы и максимумы'!D$9)*100)</f>
        <v>33.333333333333329</v>
      </c>
      <c r="G149">
        <f>IF('исходные данные'!G149&gt;'минимумы и максимумы'!E$10,100,('исходные данные'!G149-'минимумы и максимумы'!E$9)/('минимумы и максимумы'!E$10-'минимумы и максимумы'!E$9)*100)</f>
        <v>66.666666666666657</v>
      </c>
      <c r="H149">
        <f>IF('исходные данные'!H149&gt;'минимумы и максимумы'!F$10,100,('исходные данные'!H149-'минимумы и максимумы'!F$9)/('минимумы и максимумы'!F$10-'минимумы и максимумы'!F$9)*100)</f>
        <v>41.379310344827587</v>
      </c>
      <c r="I149">
        <f>IF('исходные данные'!I149&gt;'минимумы и максимумы'!G$10,100,('исходные данные'!I149-'минимумы и максимумы'!G$9)/('минимумы и максимумы'!G$10-'минимумы и максимумы'!G$9)*100)</f>
        <v>50.943396226415096</v>
      </c>
      <c r="J149">
        <f>IF('исходные данные'!J149&gt;'минимумы и максимумы'!H$10,100,('исходные данные'!J149-'минимумы и максимумы'!H$9)/('минимумы и максимумы'!H$10-'минимумы и максимумы'!H$9)*100)</f>
        <v>40</v>
      </c>
      <c r="K149">
        <f>IF('исходные данные'!K149&gt;'минимумы и максимумы'!I$10,100,('исходные данные'!K149-'минимумы и максимумы'!I$9)/('минимумы и максимумы'!I$10-'минимумы и максимумы'!I$9)*100)</f>
        <v>11.111111111111111</v>
      </c>
      <c r="L149">
        <f>IF('исходные данные'!L149&gt;'минимумы и максимумы'!J$10,100,('исходные данные'!L149-'минимумы и максимумы'!J$9)/('минимумы и максимумы'!J$10-'минимумы и максимумы'!J$9)*100)</f>
        <v>7.1428571428571423</v>
      </c>
      <c r="M149">
        <f>IF('исходные данные'!M149&gt;'минимумы и максимумы'!K$10,100,('исходные данные'!M149-'минимумы и максимумы'!K$9)/('минимумы и максимумы'!K$10-'минимумы и максимумы'!K$9)*100)</f>
        <v>32.142857142857146</v>
      </c>
      <c r="N149">
        <f>IF('исходные данные'!N149&gt;'минимумы и максимумы'!L$10,100,('исходные данные'!N149-'минимумы и максимумы'!L$9)/('минимумы и максимумы'!L$10-'минимумы и максимумы'!L$9)*100)</f>
        <v>14.987480058995059</v>
      </c>
      <c r="O149">
        <f>IF('исходные данные'!O149&gt;'минимумы и максимумы'!M$10,100,('исходные данные'!O149-'минимумы и максимумы'!M$9)/('минимумы и максимумы'!M$10-'минимумы и максимумы'!M$9)*100)</f>
        <v>33.333333333333329</v>
      </c>
      <c r="P149">
        <f>IF('исходные данные'!P149&gt;'минимумы и максимумы'!N$10,100,('исходные данные'!P149-'минимумы и максимумы'!N$9)/('минимумы и максимумы'!N$10-'минимумы и максимумы'!N$9)*100)</f>
        <v>0</v>
      </c>
      <c r="Q149">
        <f>IF('исходные данные'!Q149&gt;'минимумы и максимумы'!O$10,100,('исходные данные'!Q149-'минимумы и максимумы'!O$9)/('минимумы и максимумы'!O$10-'минимумы и максимумы'!O$9)*100)</f>
        <v>100</v>
      </c>
      <c r="R149">
        <f>IF('исходные данные'!R149&gt;'минимумы и максимумы'!P$10,100,('исходные данные'!R149-'минимумы и максимумы'!P$9)/('минимумы и максимумы'!P$10-'минимумы и максимумы'!P$9)*100)</f>
        <v>100</v>
      </c>
      <c r="S149">
        <f>IF('исходные данные'!S149&gt;'минимумы и максимумы'!Q$10,100,('исходные данные'!S149-'минимумы и максимумы'!Q$9)/('минимумы и максимумы'!Q$10-'минимумы и максимумы'!Q$9)*100)</f>
        <v>66.666666666666657</v>
      </c>
      <c r="T149">
        <f>IF('исходные данные'!T149&gt;'минимумы и максимумы'!R$10,100,('исходные данные'!T149-'минимумы и максимумы'!R$9)/('минимумы и максимумы'!R$10-'минимумы и максимумы'!R$9)*100)</f>
        <v>13.86651323360184</v>
      </c>
      <c r="U149">
        <f>IF('исходные данные'!U149&gt;'минимумы и максимумы'!S$10,100,('исходные данные'!U149-'минимумы и максимумы'!S$9)/('минимумы и максимумы'!S$10-'минимумы и максимумы'!S$9)*100)</f>
        <v>0</v>
      </c>
    </row>
    <row r="150" spans="1:21" x14ac:dyDescent="0.45">
      <c r="A150" s="4">
        <v>218</v>
      </c>
      <c r="B150" s="4">
        <v>0</v>
      </c>
      <c r="C150" s="4">
        <v>1</v>
      </c>
      <c r="D150">
        <f>IF('исходные данные'!D150&gt;'минимумы и максимумы'!B$10,100,('исходные данные'!D150-'минимумы и максимумы'!B$9)/('минимумы и максимумы'!B$10-'минимумы и максимумы'!B$9)*100)</f>
        <v>22.222222222222221</v>
      </c>
      <c r="E150">
        <f>IF('исходные данные'!E150&gt;'минимумы и максимумы'!C$10,100,('исходные данные'!E150-'минимумы и максимумы'!C$9)/('минимумы и максимумы'!C$10-'минимумы и максимумы'!C$9)*100)</f>
        <v>20</v>
      </c>
      <c r="F150">
        <f>IF('исходные данные'!F150&gt;'минимумы и максимумы'!D$10,100,('исходные данные'!F150-'минимумы и максимумы'!D$9)/('минимумы и максимумы'!D$10-'минимумы и максимумы'!D$9)*100)</f>
        <v>100</v>
      </c>
      <c r="G150">
        <f>IF('исходные данные'!G150&gt;'минимумы и максимумы'!E$10,100,('исходные данные'!G150-'минимумы и максимумы'!E$9)/('минимумы и максимумы'!E$10-'минимумы и максимумы'!E$9)*100)</f>
        <v>37.5</v>
      </c>
      <c r="H150">
        <f>IF('исходные данные'!H150&gt;'минимумы и максимумы'!F$10,100,('исходные данные'!H150-'минимумы и максимумы'!F$9)/('минимумы и максимумы'!F$10-'минимумы и максимумы'!F$9)*100)</f>
        <v>13.793103448275861</v>
      </c>
      <c r="I150">
        <f>IF('исходные данные'!I150&gt;'минимумы и максимумы'!G$10,100,('исходные данные'!I150-'минимумы и максимумы'!G$9)/('минимумы и максимумы'!G$10-'минимумы и максимумы'!G$9)*100)</f>
        <v>26.415094339622641</v>
      </c>
      <c r="J150">
        <f>IF('исходные данные'!J150&gt;'минимумы и максимумы'!H$10,100,('исходные данные'!J150-'минимумы и максимумы'!H$9)/('минимумы и максимумы'!H$10-'минимумы и максимумы'!H$9)*100)</f>
        <v>13.333333333333334</v>
      </c>
      <c r="K150">
        <f>IF('исходные данные'!K150&gt;'минимумы и максимумы'!I$10,100,('исходные данные'!K150-'минимумы и максимумы'!I$9)/('минимумы и максимумы'!I$10-'минимумы и максимумы'!I$9)*100)</f>
        <v>50</v>
      </c>
      <c r="L150">
        <f>IF('исходные данные'!L150&gt;'минимумы и максимумы'!J$10,100,('исходные данные'!L150-'минимумы и максимумы'!J$9)/('минимумы и максимумы'!J$10-'минимумы и максимумы'!J$9)*100)</f>
        <v>7.1428571428571423</v>
      </c>
      <c r="M150">
        <f>IF('исходные данные'!M150&gt;'минимумы и максимумы'!K$10,100,('исходные данные'!M150-'минимумы и максимумы'!K$9)/('минимумы и максимумы'!K$10-'минимумы и максимумы'!K$9)*100)</f>
        <v>46.428571428571431</v>
      </c>
      <c r="N150">
        <f>IF('исходные данные'!N150&gt;'минимумы и максимумы'!L$10,100,('исходные данные'!N150-'минимумы и максимумы'!L$9)/('минимумы и максимумы'!L$10-'минимумы и максимумы'!L$9)*100)</f>
        <v>16.022127536956635</v>
      </c>
      <c r="O150">
        <f>IF('исходные данные'!O150&gt;'минимумы и максимумы'!M$10,100,('исходные данные'!O150-'минимумы и максимумы'!M$9)/('минимумы и максимумы'!M$10-'минимумы и максимумы'!M$9)*100)</f>
        <v>100</v>
      </c>
      <c r="P150">
        <f>IF('исходные данные'!P150&gt;'минимумы и максимумы'!N$10,100,('исходные данные'!P150-'минимумы и максимумы'!N$9)/('минимумы и максимумы'!N$10-'минимумы и максимумы'!N$9)*100)</f>
        <v>0</v>
      </c>
      <c r="Q150">
        <f>IF('исходные данные'!Q150&gt;'минимумы и максимумы'!O$10,100,('исходные данные'!Q150-'минимумы и максимумы'!O$9)/('минимумы и максимумы'!O$10-'минимумы и максимумы'!O$9)*100)</f>
        <v>100</v>
      </c>
      <c r="R150">
        <f>IF('исходные данные'!R150&gt;'минимумы и максимумы'!P$10,100,('исходные данные'!R150-'минимумы и максимумы'!P$9)/('минимумы и максимумы'!P$10-'минимумы и максимумы'!P$9)*100)</f>
        <v>75</v>
      </c>
      <c r="S150">
        <f>IF('исходные данные'!S150&gt;'минимумы и максимумы'!Q$10,100,('исходные данные'!S150-'минимумы и максимумы'!Q$9)/('минимумы и максимумы'!Q$10-'минимумы и максимумы'!Q$9)*100)</f>
        <v>83.333333333333343</v>
      </c>
      <c r="T150">
        <f>IF('исходные данные'!T150&gt;'минимумы и максимумы'!R$10,100,('исходные данные'!T150-'минимумы и максимумы'!R$9)/('минимумы и максимумы'!R$10-'минимумы и максимумы'!R$9)*100)</f>
        <v>35.184119677790562</v>
      </c>
      <c r="U150">
        <f>IF('исходные данные'!U150&gt;'минимумы и максимумы'!S$10,100,('исходные данные'!U150-'минимумы и максимумы'!S$9)/('минимумы и максимумы'!S$10-'минимумы и максимумы'!S$9)*100)</f>
        <v>0</v>
      </c>
    </row>
    <row r="151" spans="1:21" x14ac:dyDescent="0.45">
      <c r="A151" s="4">
        <v>219</v>
      </c>
      <c r="B151" s="4">
        <v>0</v>
      </c>
      <c r="C151" s="4">
        <v>0</v>
      </c>
      <c r="D151">
        <f>IF('исходные данные'!D151&gt;'минимумы и максимумы'!B$10,100,('исходные данные'!D151-'минимумы и максимумы'!B$9)/('минимумы и максимумы'!B$10-'минимумы и максимумы'!B$9)*100)</f>
        <v>22.222222222222221</v>
      </c>
      <c r="E151">
        <f>IF('исходные данные'!E151&gt;'минимумы и максимумы'!C$10,100,('исходные данные'!E151-'минимумы и максимумы'!C$9)/('минимумы и максимумы'!C$10-'минимумы и максимумы'!C$9)*100)</f>
        <v>0</v>
      </c>
      <c r="F151">
        <f>IF('исходные данные'!F151&gt;'минимумы и максимумы'!D$10,100,('исходные данные'!F151-'минимумы и максимумы'!D$9)/('минимумы и максимумы'!D$10-'минимумы и максимумы'!D$9)*100)</f>
        <v>33.333333333333329</v>
      </c>
      <c r="G151">
        <f>IF('исходные данные'!G151&gt;'минимумы и максимумы'!E$10,100,('исходные данные'!G151-'минимумы и максимумы'!E$9)/('минимумы и максимумы'!E$10-'минимумы и максимумы'!E$9)*100)</f>
        <v>25</v>
      </c>
      <c r="H151">
        <f>IF('исходные данные'!H151&gt;'минимумы и максимумы'!F$10,100,('исходные данные'!H151-'минимумы и максимумы'!F$9)/('минимумы и максимумы'!F$10-'минимумы и максимумы'!F$9)*100)</f>
        <v>6.8965517241379306</v>
      </c>
      <c r="I151">
        <f>IF('исходные данные'!I151&gt;'минимумы и максимумы'!G$10,100,('исходные данные'!I151-'минимумы и максимумы'!G$9)/('минимумы и максимумы'!G$10-'минимумы и максимумы'!G$9)*100)</f>
        <v>11.320754716981133</v>
      </c>
      <c r="J151">
        <f>IF('исходные данные'!J151&gt;'минимумы и максимумы'!H$10,100,('исходные данные'!J151-'минимумы и максимумы'!H$9)/('минимумы и максимумы'!H$10-'минимумы и максимумы'!H$9)*100)</f>
        <v>13.333333333333334</v>
      </c>
      <c r="K151">
        <f>IF('исходные данные'!K151&gt;'минимумы и максимумы'!I$10,100,('исходные данные'!K151-'минимумы и максимумы'!I$9)/('минимумы и максимумы'!I$10-'минимумы и максимумы'!I$9)*100)</f>
        <v>38.888888888888893</v>
      </c>
      <c r="L151">
        <f>IF('исходные данные'!L151&gt;'минимумы и максимумы'!J$10,100,('исходные данные'!L151-'минимумы и максимумы'!J$9)/('минимумы и максимумы'!J$10-'минимумы и максимумы'!J$9)*100)</f>
        <v>0</v>
      </c>
      <c r="M151">
        <f>IF('исходные данные'!M151&gt;'минимумы и максимумы'!K$10,100,('исходные данные'!M151-'минимумы и максимумы'!K$9)/('минимумы и максимумы'!K$10-'минимумы и максимумы'!K$9)*100)</f>
        <v>17.857142857142858</v>
      </c>
      <c r="N151">
        <f>IF('исходные данные'!N151&gt;'минимумы и максимумы'!L$10,100,('исходные данные'!N151-'минимумы и максимумы'!L$9)/('минимумы и максимумы'!L$10-'минимумы и максимумы'!L$9)*100)</f>
        <v>17.321437301310887</v>
      </c>
      <c r="O151">
        <f>IF('исходные данные'!O151&gt;'минимумы и максимумы'!M$10,100,('исходные данные'!O151-'минимумы и максимумы'!M$9)/('минимумы и максимумы'!M$10-'минимумы и максимумы'!M$9)*100)</f>
        <v>100</v>
      </c>
      <c r="P151">
        <f>IF('исходные данные'!P151&gt;'минимумы и максимумы'!N$10,100,('исходные данные'!P151-'минимумы и максимумы'!N$9)/('минимумы и максимумы'!N$10-'минимумы и максимумы'!N$9)*100)</f>
        <v>100</v>
      </c>
      <c r="Q151">
        <f>IF('исходные данные'!Q151&gt;'минимумы и максимумы'!O$10,100,('исходные данные'!Q151-'минимумы и максимумы'!O$9)/('минимумы и максимумы'!O$10-'минимумы и максимумы'!O$9)*100)</f>
        <v>100</v>
      </c>
      <c r="R151">
        <f>IF('исходные данные'!R151&gt;'минимумы и максимумы'!P$10,100,('исходные данные'!R151-'минимумы и максимумы'!P$9)/('минимумы и максимумы'!P$10-'минимумы и максимумы'!P$9)*100)</f>
        <v>75</v>
      </c>
      <c r="S151">
        <f>IF('исходные данные'!S151&gt;'минимумы и максимумы'!Q$10,100,('исходные данные'!S151-'минимумы и максимумы'!Q$9)/('минимумы и максимумы'!Q$10-'минимумы и максимумы'!Q$9)*100)</f>
        <v>50</v>
      </c>
      <c r="T151">
        <f>IF('исходные данные'!T151&gt;'минимумы и максимумы'!R$10,100,('исходные данные'!T151-'минимумы и максимумы'!R$9)/('минимумы и максимумы'!R$10-'минимумы и максимумы'!R$9)*100)</f>
        <v>63.291139240506332</v>
      </c>
      <c r="U151">
        <f>IF('исходные данные'!U151&gt;'минимумы и максимумы'!S$10,100,('исходные данные'!U151-'минимумы и максимумы'!S$9)/('минимумы и максимумы'!S$10-'минимумы и максимумы'!S$9)*100)</f>
        <v>100</v>
      </c>
    </row>
    <row r="152" spans="1:21" x14ac:dyDescent="0.45">
      <c r="A152" s="4">
        <v>220</v>
      </c>
      <c r="B152" s="4">
        <v>0</v>
      </c>
      <c r="C152" s="4">
        <v>0</v>
      </c>
      <c r="D152">
        <f>IF('исходные данные'!D152&gt;'минимумы и максимумы'!B$10,100,('исходные данные'!D152-'минимумы и максимумы'!B$9)/('минимумы и максимумы'!B$10-'минимумы и максимумы'!B$9)*100)</f>
        <v>33.333333333333329</v>
      </c>
      <c r="E152">
        <f>IF('исходные данные'!E152&gt;'минимумы и максимумы'!C$10,100,('исходные данные'!E152-'минимумы и максимумы'!C$9)/('минимумы и максимумы'!C$10-'минимумы и максимумы'!C$9)*100)</f>
        <v>20</v>
      </c>
      <c r="F152">
        <f>IF('исходные данные'!F152&gt;'минимумы и максимумы'!D$10,100,('исходные данные'!F152-'минимумы и максимумы'!D$9)/('минимумы и максимумы'!D$10-'минимумы и максимумы'!D$9)*100)</f>
        <v>33.333333333333329</v>
      </c>
      <c r="G152">
        <f>IF('исходные данные'!G152&gt;'минимумы и максимумы'!E$10,100,('исходные данные'!G152-'минимумы и максимумы'!E$9)/('минимумы и максимумы'!E$10-'минимумы и максимумы'!E$9)*100)</f>
        <v>25</v>
      </c>
      <c r="H152">
        <f>IF('исходные данные'!H152&gt;'минимумы и максимумы'!F$10,100,('исходные данные'!H152-'минимумы и максимумы'!F$9)/('минимумы и максимумы'!F$10-'минимумы и максимумы'!F$9)*100)</f>
        <v>24.137931034482758</v>
      </c>
      <c r="I152">
        <f>IF('исходные данные'!I152&gt;'минимумы и максимумы'!G$10,100,('исходные данные'!I152-'минимумы и максимумы'!G$9)/('минимумы и максимумы'!G$10-'минимумы и максимумы'!G$9)*100)</f>
        <v>24.528301886792452</v>
      </c>
      <c r="J152">
        <f>IF('исходные данные'!J152&gt;'минимумы и максимумы'!H$10,100,('исходные данные'!J152-'минимумы и максимумы'!H$9)/('минимумы и максимумы'!H$10-'минимумы и максимумы'!H$9)*100)</f>
        <v>33.333333333333329</v>
      </c>
      <c r="K152">
        <f>IF('исходные данные'!K152&gt;'минимумы и максимумы'!I$10,100,('исходные данные'!K152-'минимумы и максимумы'!I$9)/('минимумы и максимумы'!I$10-'минимумы и максимумы'!I$9)*100)</f>
        <v>55.555555555555557</v>
      </c>
      <c r="L152">
        <f>IF('исходные данные'!L152&gt;'минимумы и максимумы'!J$10,100,('исходные данные'!L152-'минимумы и максимумы'!J$9)/('минимумы и максимумы'!J$10-'минимумы и максимумы'!J$9)*100)</f>
        <v>7.1428571428571423</v>
      </c>
      <c r="M152">
        <f>IF('исходные данные'!M152&gt;'минимумы и максимумы'!K$10,100,('исходные данные'!M152-'минимумы и максимумы'!K$9)/('минимумы и максимумы'!K$10-'минимумы и максимумы'!K$9)*100)</f>
        <v>60.714285714285708</v>
      </c>
      <c r="N152">
        <f>IF('исходные данные'!N152&gt;'минимумы и максимумы'!L$10,100,('исходные данные'!N152-'минимумы и максимумы'!L$9)/('минимумы и максимумы'!L$10-'минимумы и максимумы'!L$9)*100)</f>
        <v>18.385326876764491</v>
      </c>
      <c r="O152">
        <f>IF('исходные данные'!O152&gt;'минимумы и максимумы'!M$10,100,('исходные данные'!O152-'минимумы и максимумы'!M$9)/('минимумы и максимумы'!M$10-'минимумы и максимумы'!M$9)*100)</f>
        <v>0</v>
      </c>
      <c r="P152">
        <f>IF('исходные данные'!P152&gt;'минимумы и максимумы'!N$10,100,('исходные данные'!P152-'минимумы и максимумы'!N$9)/('минимумы и максимумы'!N$10-'минимумы и максимумы'!N$9)*100)</f>
        <v>100</v>
      </c>
      <c r="Q152">
        <f>IF('исходные данные'!Q152&gt;'минимумы и максимумы'!O$10,100,('исходные данные'!Q152-'минимумы и максимумы'!O$9)/('минимумы и максимумы'!O$10-'минимумы и максимумы'!O$9)*100)</f>
        <v>0</v>
      </c>
      <c r="R152">
        <f>IF('исходные данные'!R152&gt;'минимумы и максимумы'!P$10,100,('исходные данные'!R152-'минимумы и максимумы'!P$9)/('минимумы и максимумы'!P$10-'минимумы и максимумы'!P$9)*100)</f>
        <v>75</v>
      </c>
      <c r="S152">
        <f>IF('исходные данные'!S152&gt;'минимумы и максимумы'!Q$10,100,('исходные данные'!S152-'минимумы и максимумы'!Q$9)/('минимумы и максимумы'!Q$10-'минимумы и максимумы'!Q$9)*100)</f>
        <v>50</v>
      </c>
      <c r="T152">
        <f>IF('исходные данные'!T152&gt;'минимумы и максимумы'!R$10,100,('исходные данные'!T152-'минимумы и максимумы'!R$9)/('минимумы и максимумы'!R$10-'минимумы и максимумы'!R$9)*100)</f>
        <v>100</v>
      </c>
      <c r="U152">
        <f>IF('исходные данные'!U152&gt;'минимумы и максимумы'!S$10,100,('исходные данные'!U152-'минимумы и максимумы'!S$9)/('минимумы и максимумы'!S$10-'минимумы и максимумы'!S$9)*100)</f>
        <v>0</v>
      </c>
    </row>
    <row r="153" spans="1:21" x14ac:dyDescent="0.45">
      <c r="A153" s="4">
        <v>221</v>
      </c>
      <c r="B153" s="4">
        <v>0</v>
      </c>
      <c r="C153" s="4">
        <v>0</v>
      </c>
      <c r="D153">
        <f>IF('исходные данные'!D153&gt;'минимумы и максимумы'!B$10,100,('исходные данные'!D153-'минимумы и максимумы'!B$9)/('минимумы и максимумы'!B$10-'минимумы и максимумы'!B$9)*100)</f>
        <v>22.222222222222221</v>
      </c>
      <c r="E153">
        <f>IF('исходные данные'!E153&gt;'минимумы и максимумы'!C$10,100,('исходные данные'!E153-'минимумы и максимумы'!C$9)/('минимумы и максимумы'!C$10-'минимумы и максимумы'!C$9)*100)</f>
        <v>20</v>
      </c>
      <c r="F153">
        <f>IF('исходные данные'!F153&gt;'минимумы и максимумы'!D$10,100,('исходные данные'!F153-'минимумы и максимумы'!D$9)/('минимумы и максимумы'!D$10-'минимумы и максимумы'!D$9)*100)</f>
        <v>33.333333333333329</v>
      </c>
      <c r="G153">
        <f>IF('исходные данные'!G153&gt;'минимумы и максимумы'!E$10,100,('исходные данные'!G153-'минимумы и максимумы'!E$9)/('минимумы и максимумы'!E$10-'минимумы и максимумы'!E$9)*100)</f>
        <v>45.833333333333329</v>
      </c>
      <c r="H153">
        <f>IF('исходные данные'!H153&gt;'минимумы и максимумы'!F$10,100,('исходные данные'!H153-'минимумы и максимумы'!F$9)/('минимумы и максимумы'!F$10-'минимумы и максимумы'!F$9)*100)</f>
        <v>31.03448275862069</v>
      </c>
      <c r="I153">
        <f>IF('исходные данные'!I153&gt;'минимумы и максимумы'!G$10,100,('исходные данные'!I153-'минимумы и максимумы'!G$9)/('минимумы и максимумы'!G$10-'минимумы и максимумы'!G$9)*100)</f>
        <v>37.735849056603776</v>
      </c>
      <c r="J153">
        <f>IF('исходные данные'!J153&gt;'минимумы и максимумы'!H$10,100,('исходные данные'!J153-'минимумы и максимумы'!H$9)/('минимумы и максимумы'!H$10-'минимумы и максимумы'!H$9)*100)</f>
        <v>33.333333333333329</v>
      </c>
      <c r="K153">
        <f>IF('исходные данные'!K153&gt;'минимумы и максимумы'!I$10,100,('исходные данные'!K153-'минимумы и максимумы'!I$9)/('минимумы и максимумы'!I$10-'минимумы и максимумы'!I$9)*100)</f>
        <v>72.222222222222214</v>
      </c>
      <c r="L153">
        <f>IF('исходные данные'!L153&gt;'минимумы и максимумы'!J$10,100,('исходные данные'!L153-'минимумы и максимумы'!J$9)/('минимумы и максимумы'!J$10-'минимумы и максимумы'!J$9)*100)</f>
        <v>14.285714285714285</v>
      </c>
      <c r="M153">
        <f>IF('исходные данные'!M153&gt;'минимумы и максимумы'!K$10,100,('исходные данные'!M153-'минимумы и максимумы'!K$9)/('минимумы и максимумы'!K$10-'минимумы и максимумы'!K$9)*100)</f>
        <v>53.571428571428569</v>
      </c>
      <c r="N153">
        <f>IF('исходные данные'!N153&gt;'минимумы и максимумы'!L$10,100,('исходные данные'!N153-'минимумы и максимумы'!L$9)/('минимумы и максимумы'!L$10-'минимумы и максимумы'!L$9)*100)</f>
        <v>18.695858327356294</v>
      </c>
      <c r="O153">
        <f>IF('исходные данные'!O153&gt;'минимумы и максимумы'!M$10,100,('исходные данные'!O153-'минимумы и максимумы'!M$9)/('минимумы и максимумы'!M$10-'минимумы и максимумы'!M$9)*100)</f>
        <v>33.333333333333329</v>
      </c>
      <c r="P153">
        <f>IF('исходные данные'!P153&gt;'минимумы и максимумы'!N$10,100,('исходные данные'!P153-'минимумы и максимумы'!N$9)/('минимумы и максимумы'!N$10-'минимумы и максимумы'!N$9)*100)</f>
        <v>0</v>
      </c>
      <c r="Q153">
        <f>IF('исходные данные'!Q153&gt;'минимумы и максимумы'!O$10,100,('исходные данные'!Q153-'минимумы и максимумы'!O$9)/('минимумы и максимумы'!O$10-'минимумы и максимумы'!O$9)*100)</f>
        <v>100</v>
      </c>
      <c r="R153">
        <f>IF('исходные данные'!R153&gt;'минимумы и максимумы'!P$10,100,('исходные данные'!R153-'минимумы и максимумы'!P$9)/('минимумы и максимумы'!P$10-'минимумы и максимумы'!P$9)*100)</f>
        <v>75</v>
      </c>
      <c r="S153">
        <f>IF('исходные данные'!S153&gt;'минимумы и максимумы'!Q$10,100,('исходные данные'!S153-'минимумы и максимумы'!Q$9)/('минимумы и максимумы'!Q$10-'минимумы и максимумы'!Q$9)*100)</f>
        <v>50</v>
      </c>
      <c r="T153">
        <f>IF('исходные данные'!T153&gt;'минимумы и максимумы'!R$10,100,('исходные данные'!T153-'минимумы и максимумы'!R$9)/('минимумы и максимумы'!R$10-'минимумы и максимумы'!R$9)*100)</f>
        <v>38.808975834292291</v>
      </c>
      <c r="U153">
        <f>IF('исходные данные'!U153&gt;'минимумы и максимумы'!S$10,100,('исходные данные'!U153-'минимумы и максимумы'!S$9)/('минимумы и максимумы'!S$10-'минимумы и максимумы'!S$9)*100)</f>
        <v>66.666666666666657</v>
      </c>
    </row>
    <row r="154" spans="1:21" x14ac:dyDescent="0.45">
      <c r="A154" s="4">
        <v>222</v>
      </c>
      <c r="B154" s="4">
        <v>0</v>
      </c>
      <c r="C154" s="4">
        <v>0</v>
      </c>
      <c r="D154">
        <f>IF('исходные данные'!D154&gt;'минимумы и максимумы'!B$10,100,('исходные данные'!D154-'минимумы и максимумы'!B$9)/('минимумы и максимумы'!B$10-'минимумы и максимумы'!B$9)*100)</f>
        <v>33.333333333333329</v>
      </c>
      <c r="E154">
        <f>IF('исходные данные'!E154&gt;'минимумы и максимумы'!C$10,100,('исходные данные'!E154-'минимумы и максимумы'!C$9)/('минимумы и максимумы'!C$10-'минимумы и максимумы'!C$9)*100)</f>
        <v>20</v>
      </c>
      <c r="F154">
        <f>IF('исходные данные'!F154&gt;'минимумы и максимумы'!D$10,100,('исходные данные'!F154-'минимумы и максимумы'!D$9)/('минимумы и максимумы'!D$10-'минимумы и максимумы'!D$9)*100)</f>
        <v>33.333333333333329</v>
      </c>
      <c r="G154">
        <f>IF('исходные данные'!G154&gt;'минимумы и максимумы'!E$10,100,('исходные данные'!G154-'минимумы и максимумы'!E$9)/('минимумы и максимумы'!E$10-'минимумы и максимумы'!E$9)*100)</f>
        <v>25</v>
      </c>
      <c r="H154">
        <f>IF('исходные данные'!H154&gt;'минимумы и максимумы'!F$10,100,('исходные данные'!H154-'минимумы и максимумы'!F$9)/('минимумы и максимумы'!F$10-'минимумы и максимумы'!F$9)*100)</f>
        <v>20.689655172413794</v>
      </c>
      <c r="I154">
        <f>IF('исходные данные'!I154&gt;'минимумы и максимумы'!G$10,100,('исходные данные'!I154-'минимумы и максимумы'!G$9)/('минимумы и максимумы'!G$10-'минимумы и максимумы'!G$9)*100)</f>
        <v>13.20754716981132</v>
      </c>
      <c r="J154">
        <f>IF('исходные данные'!J154&gt;'минимумы и максимумы'!H$10,100,('исходные данные'!J154-'минимумы и максимумы'!H$9)/('минимумы и максимумы'!H$10-'минимумы и максимумы'!H$9)*100)</f>
        <v>26.666666666666668</v>
      </c>
      <c r="K154">
        <f>IF('исходные данные'!K154&gt;'минимумы и максимумы'!I$10,100,('исходные данные'!K154-'минимумы и максимумы'!I$9)/('минимумы и максимумы'!I$10-'минимумы и максимумы'!I$9)*100)</f>
        <v>33.333333333333329</v>
      </c>
      <c r="L154">
        <f>IF('исходные данные'!L154&gt;'минимумы и максимумы'!J$10,100,('исходные данные'!L154-'минимумы и максимумы'!J$9)/('минимумы и максимумы'!J$10-'минимумы и максимумы'!J$9)*100)</f>
        <v>0</v>
      </c>
      <c r="M154">
        <f>IF('исходные данные'!M154&gt;'минимумы и максимумы'!K$10,100,('исходные данные'!M154-'минимумы и максимумы'!K$9)/('минимумы и максимумы'!K$10-'минимумы и максимумы'!K$9)*100)</f>
        <v>10.714285714285714</v>
      </c>
      <c r="N154">
        <f>IF('исходные данные'!N154&gt;'минимумы и максимумы'!L$10,100,('исходные данные'!N154-'минимумы и максимумы'!L$9)/('минимумы и максимумы'!L$10-'минимумы и максимумы'!L$9)*100)</f>
        <v>17.748641113056063</v>
      </c>
      <c r="O154">
        <f>IF('исходные данные'!O154&gt;'минимумы и максимумы'!M$10,100,('исходные данные'!O154-'минимумы и максимумы'!M$9)/('минимумы и максимумы'!M$10-'минимумы и максимумы'!M$9)*100)</f>
        <v>66.666666666666657</v>
      </c>
      <c r="P154">
        <f>IF('исходные данные'!P154&gt;'минимумы и максимумы'!N$10,100,('исходные данные'!P154-'минимумы и максимумы'!N$9)/('минимумы и максимумы'!N$10-'минимумы и максимумы'!N$9)*100)</f>
        <v>0</v>
      </c>
      <c r="Q154">
        <f>IF('исходные данные'!Q154&gt;'минимумы и максимумы'!O$10,100,('исходные данные'!Q154-'минимумы и максимумы'!O$9)/('минимумы и максимумы'!O$10-'минимумы и максимумы'!O$9)*100)</f>
        <v>100</v>
      </c>
      <c r="R154">
        <f>IF('исходные данные'!R154&gt;'минимумы и максимумы'!P$10,100,('исходные данные'!R154-'минимумы и максимумы'!P$9)/('минимумы и максимумы'!P$10-'минимумы и максимумы'!P$9)*100)</f>
        <v>100</v>
      </c>
      <c r="S154">
        <f>IF('исходные данные'!S154&gt;'минимумы и максимумы'!Q$10,100,('исходные данные'!S154-'минимумы и максимумы'!Q$9)/('минимумы и максимумы'!Q$10-'минимумы и максимумы'!Q$9)*100)</f>
        <v>100</v>
      </c>
      <c r="T154">
        <f>IF('исходные данные'!T154&gt;'минимумы и максимумы'!R$10,100,('исходные данные'!T154-'минимумы и максимумы'!R$9)/('минимумы и максимумы'!R$10-'минимумы и максимумы'!R$9)*100)</f>
        <v>95.799769850402754</v>
      </c>
      <c r="U154">
        <f>IF('исходные данные'!U154&gt;'минимумы и максимумы'!S$10,100,('исходные данные'!U154-'минимумы и максимумы'!S$9)/('минимумы и максимумы'!S$10-'минимумы и максимумы'!S$9)*100)</f>
        <v>100</v>
      </c>
    </row>
    <row r="155" spans="1:21" x14ac:dyDescent="0.45">
      <c r="A155" s="4">
        <v>223</v>
      </c>
      <c r="B155" s="4">
        <v>0</v>
      </c>
      <c r="C155" s="4">
        <v>0</v>
      </c>
      <c r="D155">
        <f>IF('исходные данные'!D155&gt;'минимумы и максимумы'!B$10,100,('исходные данные'!D155-'минимумы и максимумы'!B$9)/('минимумы и максимумы'!B$10-'минимумы и максимумы'!B$9)*100)</f>
        <v>0</v>
      </c>
      <c r="E155">
        <f>IF('исходные данные'!E155&gt;'минимумы и максимумы'!C$10,100,('исходные данные'!E155-'минимумы и максимумы'!C$9)/('минимумы и максимумы'!C$10-'минимумы и максимумы'!C$9)*100)</f>
        <v>20</v>
      </c>
      <c r="F155">
        <f>IF('исходные данные'!F155&gt;'минимумы и максимумы'!D$10,100,('исходные данные'!F155-'минимумы и максимумы'!D$9)/('минимумы и максимумы'!D$10-'минимумы и максимумы'!D$9)*100)</f>
        <v>0</v>
      </c>
      <c r="G155">
        <f>IF('исходные данные'!G155&gt;'минимумы и максимумы'!E$10,100,('исходные данные'!G155-'минимумы и максимумы'!E$9)/('минимумы и максимумы'!E$10-'минимумы и максимумы'!E$9)*100)</f>
        <v>37.5</v>
      </c>
      <c r="H155">
        <f>IF('исходные данные'!H155&gt;'минимумы и максимумы'!F$10,100,('исходные данные'!H155-'минимумы и максимумы'!F$9)/('минимумы и максимумы'!F$10-'минимумы и максимумы'!F$9)*100)</f>
        <v>17.241379310344829</v>
      </c>
      <c r="I155">
        <f>IF('исходные данные'!I155&gt;'минимумы и максимумы'!G$10,100,('исходные данные'!I155-'минимумы и максимумы'!G$9)/('минимумы и максимумы'!G$10-'минимумы и максимумы'!G$9)*100)</f>
        <v>26.415094339622641</v>
      </c>
      <c r="J155">
        <f>IF('исходные данные'!J155&gt;'минимумы и максимумы'!H$10,100,('исходные данные'!J155-'минимумы и максимумы'!H$9)/('минимумы и максимумы'!H$10-'минимумы и максимумы'!H$9)*100)</f>
        <v>0</v>
      </c>
      <c r="K155">
        <f>IF('исходные данные'!K155&gt;'минимумы и максимумы'!I$10,100,('исходные данные'!K155-'минимумы и максимумы'!I$9)/('минимумы и максимумы'!I$10-'минимумы и максимумы'!I$9)*100)</f>
        <v>50</v>
      </c>
      <c r="L155">
        <f>IF('исходные данные'!L155&gt;'минимумы и максимумы'!J$10,100,('исходные данные'!L155-'минимумы и максимумы'!J$9)/('минимумы и максимумы'!J$10-'минимумы и максимумы'!J$9)*100)</f>
        <v>0</v>
      </c>
      <c r="M155">
        <f>IF('исходные данные'!M155&gt;'минимумы и максимумы'!K$10,100,('исходные данные'!M155-'минимумы и максимумы'!K$9)/('минимумы и максимумы'!K$10-'минимумы и максимумы'!K$9)*100)</f>
        <v>7.1428571428571423</v>
      </c>
      <c r="N155">
        <f>IF('исходные данные'!N155&gt;'минимумы и максимумы'!L$10,100,('исходные данные'!N155-'минимумы и максимумы'!L$9)/('минимумы и максимумы'!L$10-'минимумы и максимумы'!L$9)*100)</f>
        <v>23.706333964100725</v>
      </c>
      <c r="O155">
        <f>IF('исходные данные'!O155&gt;'минимумы и максимумы'!M$10,100,('исходные данные'!O155-'минимумы и максимумы'!M$9)/('минимумы и максимумы'!M$10-'минимумы и максимумы'!M$9)*100)</f>
        <v>66.666666666666657</v>
      </c>
      <c r="P155">
        <f>IF('исходные данные'!P155&gt;'минимумы и максимумы'!N$10,100,('исходные данные'!P155-'минимумы и максимумы'!N$9)/('минимумы и максимумы'!N$10-'минимумы и максимумы'!N$9)*100)</f>
        <v>0</v>
      </c>
      <c r="Q155">
        <f>IF('исходные данные'!Q155&gt;'минимумы и максимумы'!O$10,100,('исходные данные'!Q155-'минимумы и максимумы'!O$9)/('минимумы и максимумы'!O$10-'минимумы и максимумы'!O$9)*100)</f>
        <v>100</v>
      </c>
      <c r="R155">
        <f>IF('исходные данные'!R155&gt;'минимумы и максимумы'!P$10,100,('исходные данные'!R155-'минимумы и максимумы'!P$9)/('минимумы и максимумы'!P$10-'минимумы и максимумы'!P$9)*100)</f>
        <v>75</v>
      </c>
      <c r="S155">
        <f>IF('исходные данные'!S155&gt;'минимумы и максимумы'!Q$10,100,('исходные данные'!S155-'минимумы и максимумы'!Q$9)/('минимумы и максимумы'!Q$10-'минимумы и максимумы'!Q$9)*100)</f>
        <v>83.333333333333343</v>
      </c>
      <c r="T155">
        <f>IF('исходные данные'!T155&gt;'минимумы и максимумы'!R$10,100,('исходные данные'!T155-'минимумы и максимумы'!R$9)/('минимумы и максимумы'!R$10-'минимумы и максимумы'!R$9)*100)</f>
        <v>17.721518987341771</v>
      </c>
      <c r="U155">
        <f>IF('исходные данные'!U155&gt;'минимумы и максимумы'!S$10,100,('исходные данные'!U155-'минимумы и максимумы'!S$9)/('минимумы и максимумы'!S$10-'минимумы и максимумы'!S$9)*100)</f>
        <v>66.666666666666657</v>
      </c>
    </row>
    <row r="156" spans="1:21" x14ac:dyDescent="0.45">
      <c r="A156" s="4">
        <v>224</v>
      </c>
      <c r="B156" s="4">
        <v>0</v>
      </c>
      <c r="C156" s="4">
        <v>0</v>
      </c>
      <c r="D156">
        <f>IF('исходные данные'!D156&gt;'минимумы и максимумы'!B$10,100,('исходные данные'!D156-'минимумы и максимумы'!B$9)/('минимумы и максимумы'!B$10-'минимумы и максимумы'!B$9)*100)</f>
        <v>11.111111111111111</v>
      </c>
      <c r="E156">
        <f>IF('исходные данные'!E156&gt;'минимумы и максимумы'!C$10,100,('исходные данные'!E156-'минимумы и максимумы'!C$9)/('минимумы и максимумы'!C$10-'минимумы и максимумы'!C$9)*100)</f>
        <v>30</v>
      </c>
      <c r="F156">
        <f>IF('исходные данные'!F156&gt;'минимумы и максимумы'!D$10,100,('исходные данные'!F156-'минимумы и максимумы'!D$9)/('минимумы и максимумы'!D$10-'минимумы и максимумы'!D$9)*100)</f>
        <v>0</v>
      </c>
      <c r="G156">
        <f>IF('исходные данные'!G156&gt;'минимумы и максимумы'!E$10,100,('исходные данные'!G156-'минимумы и максимумы'!E$9)/('минимумы и максимумы'!E$10-'минимумы и максимумы'!E$9)*100)</f>
        <v>29.166666666666668</v>
      </c>
      <c r="H156">
        <f>IF('исходные данные'!H156&gt;'минимумы и максимумы'!F$10,100,('исходные данные'!H156-'минимумы и максимумы'!F$9)/('минимумы и максимумы'!F$10-'минимумы и максимумы'!F$9)*100)</f>
        <v>13.793103448275861</v>
      </c>
      <c r="I156">
        <f>IF('исходные данные'!I156&gt;'минимумы и максимумы'!G$10,100,('исходные данные'!I156-'минимумы и максимумы'!G$9)/('минимумы и максимумы'!G$10-'минимумы и максимумы'!G$9)*100)</f>
        <v>7.5471698113207548</v>
      </c>
      <c r="J156">
        <f>IF('исходные данные'!J156&gt;'минимумы и максимумы'!H$10,100,('исходные данные'!J156-'минимумы и максимумы'!H$9)/('минимумы и максимумы'!H$10-'минимумы и максимумы'!H$9)*100)</f>
        <v>0</v>
      </c>
      <c r="K156">
        <f>IF('исходные данные'!K156&gt;'минимумы и максимумы'!I$10,100,('исходные данные'!K156-'минимумы и максимумы'!I$9)/('минимумы и максимумы'!I$10-'минимумы и максимумы'!I$9)*100)</f>
        <v>0</v>
      </c>
      <c r="L156">
        <f>IF('исходные данные'!L156&gt;'минимумы и максимумы'!J$10,100,('исходные данные'!L156-'минимумы и максимумы'!J$9)/('минимумы и максимумы'!J$10-'минимумы и максимумы'!J$9)*100)</f>
        <v>0</v>
      </c>
      <c r="M156">
        <f>IF('исходные данные'!M156&gt;'минимумы и максимумы'!K$10,100,('исходные данные'!M156-'минимумы и максимумы'!K$9)/('минимумы и максимумы'!K$10-'минимумы и максимумы'!K$9)*100)</f>
        <v>46.428571428571431</v>
      </c>
      <c r="N156">
        <f>IF('исходные данные'!N156&gt;'минимумы и максимумы'!L$10,100,('исходные данные'!N156-'минимумы и максимумы'!L$9)/('минимумы и максимумы'!L$10-'минимумы и максимумы'!L$9)*100)</f>
        <v>25.111858664121627</v>
      </c>
      <c r="O156">
        <f>IF('исходные данные'!O156&gt;'минимумы и максимумы'!M$10,100,('исходные данные'!O156-'минимумы и максимумы'!M$9)/('минимумы и максимумы'!M$10-'минимумы и максимумы'!M$9)*100)</f>
        <v>33.333333333333329</v>
      </c>
      <c r="P156">
        <f>IF('исходные данные'!P156&gt;'минимумы и максимумы'!N$10,100,('исходные данные'!P156-'минимумы и максимумы'!N$9)/('минимумы и максимумы'!N$10-'минимумы и максимумы'!N$9)*100)</f>
        <v>100</v>
      </c>
      <c r="Q156">
        <f>IF('исходные данные'!Q156&gt;'минимумы и максимумы'!O$10,100,('исходные данные'!Q156-'минимумы и максимумы'!O$9)/('минимумы и максимумы'!O$10-'минимумы и максимумы'!O$9)*100)</f>
        <v>100</v>
      </c>
      <c r="R156">
        <f>IF('исходные данные'!R156&gt;'минимумы и максимумы'!P$10,100,('исходные данные'!R156-'минимумы и максимумы'!P$9)/('минимумы и максимумы'!P$10-'минимумы и максимумы'!P$9)*100)</f>
        <v>100</v>
      </c>
      <c r="S156">
        <f>IF('исходные данные'!S156&gt;'минимумы и максимумы'!Q$10,100,('исходные данные'!S156-'минимумы и максимумы'!Q$9)/('минимумы и максимумы'!Q$10-'минимумы и максимумы'!Q$9)*100)</f>
        <v>33.333333333333329</v>
      </c>
      <c r="T156">
        <f>IF('исходные данные'!T156&gt;'минимумы и максимумы'!R$10,100,('исходные данные'!T156-'минимумы и максимумы'!R$9)/('минимумы и максимумы'!R$10-'минимумы и максимумы'!R$9)*100)</f>
        <v>12.11162255466053</v>
      </c>
      <c r="U156">
        <f>IF('исходные данные'!U156&gt;'минимумы и максимумы'!S$10,100,('исходные данные'!U156-'минимумы и максимумы'!S$9)/('минимумы и максимумы'!S$10-'минимумы и максимумы'!S$9)*100)</f>
        <v>0</v>
      </c>
    </row>
    <row r="157" spans="1:21" x14ac:dyDescent="0.45">
      <c r="A157" s="4">
        <v>225</v>
      </c>
      <c r="B157" s="4">
        <v>0</v>
      </c>
      <c r="C157" s="4">
        <v>0</v>
      </c>
      <c r="D157">
        <f>IF('исходные данные'!D157&gt;'минимумы и максимумы'!B$10,100,('исходные данные'!D157-'минимумы и максимумы'!B$9)/('минимумы и максимумы'!B$10-'минимумы и максимумы'!B$9)*100)</f>
        <v>0</v>
      </c>
      <c r="E157">
        <f>IF('исходные данные'!E157&gt;'минимумы и максимумы'!C$10,100,('исходные данные'!E157-'минимумы и максимумы'!C$9)/('минимумы и максимумы'!C$10-'минимумы и максимумы'!C$9)*100)</f>
        <v>10</v>
      </c>
      <c r="F157">
        <f>IF('исходные данные'!F157&gt;'минимумы и максимумы'!D$10,100,('исходные данные'!F157-'минимумы и максимумы'!D$9)/('минимумы и максимумы'!D$10-'минимумы и максимумы'!D$9)*100)</f>
        <v>0</v>
      </c>
      <c r="G157">
        <f>IF('исходные данные'!G157&gt;'минимумы и максимумы'!E$10,100,('исходные данные'!G157-'минимумы и максимумы'!E$9)/('минимумы и максимумы'!E$10-'минимумы и максимумы'!E$9)*100)</f>
        <v>8.3333333333333321</v>
      </c>
      <c r="H157">
        <f>IF('исходные данные'!H157&gt;'минимумы и максимумы'!F$10,100,('исходные данные'!H157-'минимумы и максимумы'!F$9)/('минимумы и максимумы'!F$10-'минимумы и максимумы'!F$9)*100)</f>
        <v>13.793103448275861</v>
      </c>
      <c r="I157">
        <f>IF('исходные данные'!I157&gt;'минимумы и максимумы'!G$10,100,('исходные данные'!I157-'минимумы и максимумы'!G$9)/('минимумы и максимумы'!G$10-'минимумы и максимумы'!G$9)*100)</f>
        <v>20.754716981132077</v>
      </c>
      <c r="J157">
        <f>IF('исходные данные'!J157&gt;'минимумы и максимумы'!H$10,100,('исходные данные'!J157-'минимумы и максимумы'!H$9)/('минимумы и максимумы'!H$10-'минимумы и максимумы'!H$9)*100)</f>
        <v>13.333333333333334</v>
      </c>
      <c r="K157">
        <f>IF('исходные данные'!K157&gt;'минимумы и максимумы'!I$10,100,('исходные данные'!K157-'минимумы и максимумы'!I$9)/('минимумы и максимумы'!I$10-'минимумы и максимумы'!I$9)*100)</f>
        <v>5.5555555555555554</v>
      </c>
      <c r="L157">
        <f>IF('исходные данные'!L157&gt;'минимумы и максимумы'!J$10,100,('исходные данные'!L157-'минимумы и максимумы'!J$9)/('минимумы и максимумы'!J$10-'минимумы и максимумы'!J$9)*100)</f>
        <v>0</v>
      </c>
      <c r="M157">
        <f>IF('исходные данные'!M157&gt;'минимумы и максимумы'!K$10,100,('исходные данные'!M157-'минимумы и максимумы'!K$9)/('минимумы и максимумы'!K$10-'минимумы и максимумы'!K$9)*100)</f>
        <v>50</v>
      </c>
      <c r="N157">
        <f>IF('исходные данные'!N157&gt;'минимумы и максимумы'!L$10,100,('исходные данные'!N157-'минимумы и максимумы'!L$9)/('минимумы и максимумы'!L$10-'минимумы и максимумы'!L$9)*100)</f>
        <v>32.718394629960287</v>
      </c>
      <c r="O157">
        <f>IF('исходные данные'!O157&gt;'минимумы и максимумы'!M$10,100,('исходные данные'!O157-'минимумы и максимумы'!M$9)/('минимумы и максимумы'!M$10-'минимумы и максимумы'!M$9)*100)</f>
        <v>66.666666666666657</v>
      </c>
      <c r="P157">
        <f>IF('исходные данные'!P157&gt;'минимумы и максимумы'!N$10,100,('исходные данные'!P157-'минимумы и максимумы'!N$9)/('минимумы и максимумы'!N$10-'минимумы и максимумы'!N$9)*100)</f>
        <v>100</v>
      </c>
      <c r="Q157">
        <f>IF('исходные данные'!Q157&gt;'минимумы и максимумы'!O$10,100,('исходные данные'!Q157-'минимумы и максимумы'!O$9)/('минимумы и максимумы'!O$10-'минимумы и максимумы'!O$9)*100)</f>
        <v>100</v>
      </c>
      <c r="R157">
        <f>IF('исходные данные'!R157&gt;'минимумы и максимумы'!P$10,100,('исходные данные'!R157-'минимумы и максимумы'!P$9)/('минимумы и максимумы'!P$10-'минимумы и максимумы'!P$9)*100)</f>
        <v>50</v>
      </c>
      <c r="S157">
        <f>IF('исходные данные'!S157&gt;'минимумы и максимумы'!Q$10,100,('исходные данные'!S157-'минимумы и максимумы'!Q$9)/('минимумы и максимумы'!Q$10-'минимумы и максимумы'!Q$9)*100)</f>
        <v>100</v>
      </c>
      <c r="T157">
        <f>IF('исходные данные'!T157&gt;'минимумы и максимумы'!R$10,100,('исходные данные'!T157-'минимумы и максимумы'!R$9)/('минимумы и максимумы'!R$10-'минимумы и максимумы'!R$9)*100)</f>
        <v>4.7180667433831998</v>
      </c>
      <c r="U157">
        <f>IF('исходные данные'!U157&gt;'минимумы и максимумы'!S$10,100,('исходные данные'!U157-'минимумы и максимумы'!S$9)/('минимумы и максимумы'!S$10-'минимумы и максимумы'!S$9)*100)</f>
        <v>0</v>
      </c>
    </row>
    <row r="158" spans="1:21" x14ac:dyDescent="0.45">
      <c r="A158" s="4">
        <v>226</v>
      </c>
      <c r="B158" s="4">
        <v>0</v>
      </c>
      <c r="C158" s="4">
        <v>0</v>
      </c>
      <c r="D158">
        <f>IF('исходные данные'!D158&gt;'минимумы и максимумы'!B$10,100,('исходные данные'!D158-'минимумы и максимумы'!B$9)/('минимумы и максимумы'!B$10-'минимумы и максимумы'!B$9)*100)</f>
        <v>44.444444444444443</v>
      </c>
      <c r="E158">
        <f>IF('исходные данные'!E158&gt;'минимумы и максимумы'!C$10,100,('исходные данные'!E158-'минимумы и максимумы'!C$9)/('минимумы и максимумы'!C$10-'минимумы и максимумы'!C$9)*100)</f>
        <v>20</v>
      </c>
      <c r="F158">
        <f>IF('исходные данные'!F158&gt;'минимумы и максимумы'!D$10,100,('исходные данные'!F158-'минимумы и максимумы'!D$9)/('минимумы и максимумы'!D$10-'минимумы и максимумы'!D$9)*100)</f>
        <v>0</v>
      </c>
      <c r="G158">
        <f>IF('исходные данные'!G158&gt;'минимумы и максимумы'!E$10,100,('исходные данные'!G158-'минимумы и максимумы'!E$9)/('минимумы и максимумы'!E$10-'минимумы и максимумы'!E$9)*100)</f>
        <v>16.666666666666664</v>
      </c>
      <c r="H158">
        <f>IF('исходные данные'!H158&gt;'минимумы и максимумы'!F$10,100,('исходные данные'!H158-'минимумы и максимумы'!F$9)/('минимумы и максимумы'!F$10-'минимумы и максимумы'!F$9)*100)</f>
        <v>20.689655172413794</v>
      </c>
      <c r="I158">
        <f>IF('исходные данные'!I158&gt;'минимумы и максимумы'!G$10,100,('исходные данные'!I158-'минимумы и максимумы'!G$9)/('минимумы и максимумы'!G$10-'минимумы и максимумы'!G$9)*100)</f>
        <v>5.6603773584905666</v>
      </c>
      <c r="J158">
        <f>IF('исходные данные'!J158&gt;'минимумы и максимумы'!H$10,100,('исходные данные'!J158-'минимумы и максимумы'!H$9)/('минимумы и максимумы'!H$10-'минимумы и максимумы'!H$9)*100)</f>
        <v>6.666666666666667</v>
      </c>
      <c r="K158">
        <f>IF('исходные данные'!K158&gt;'минимумы и максимумы'!I$10,100,('исходные данные'!K158-'минимумы и максимумы'!I$9)/('минимумы и максимумы'!I$10-'минимумы и максимумы'!I$9)*100)</f>
        <v>16.666666666666664</v>
      </c>
      <c r="L158">
        <f>IF('исходные данные'!L158&gt;'минимумы и максимумы'!J$10,100,('исходные данные'!L158-'минимумы и максимумы'!J$9)/('минимумы и максимумы'!J$10-'минимумы и максимумы'!J$9)*100)</f>
        <v>0</v>
      </c>
      <c r="M158">
        <f>IF('исходные данные'!M158&gt;'минимумы и максимумы'!K$10,100,('исходные данные'!M158-'минимумы и максимумы'!K$9)/('минимумы и максимумы'!K$10-'минимумы и максимумы'!K$9)*100)</f>
        <v>67.857142857142861</v>
      </c>
      <c r="N158">
        <f>IF('исходные данные'!N158&gt;'минимумы и максимумы'!L$10,100,('исходные данные'!N158-'минимумы и максимумы'!L$9)/('минимумы и максимумы'!L$10-'минимумы и максимумы'!L$9)*100)</f>
        <v>33.787388027463976</v>
      </c>
      <c r="O158">
        <f>IF('исходные данные'!O158&gt;'минимумы и максимумы'!M$10,100,('исходные данные'!O158-'минимумы и максимумы'!M$9)/('минимумы и максимумы'!M$10-'минимумы и максимумы'!M$9)*100)</f>
        <v>33.333333333333329</v>
      </c>
      <c r="P158">
        <f>IF('исходные данные'!P158&gt;'минимумы и максимумы'!N$10,100,('исходные данные'!P158-'минимумы и максимумы'!N$9)/('минимумы и максимумы'!N$10-'минимумы и максимумы'!N$9)*100)</f>
        <v>100</v>
      </c>
      <c r="Q158">
        <f>IF('исходные данные'!Q158&gt;'минимумы и максимумы'!O$10,100,('исходные данные'!Q158-'минимумы и максимумы'!O$9)/('минимумы и максимумы'!O$10-'минимумы и максимумы'!O$9)*100)</f>
        <v>100</v>
      </c>
      <c r="R158">
        <f>IF('исходные данные'!R158&gt;'минимумы и максимумы'!P$10,100,('исходные данные'!R158-'минимумы и максимумы'!P$9)/('минимумы и максимумы'!P$10-'минимумы и максимумы'!P$9)*100)</f>
        <v>75</v>
      </c>
      <c r="S158">
        <f>IF('исходные данные'!S158&gt;'минимумы и максимумы'!Q$10,100,('исходные данные'!S158-'минимумы и максимумы'!Q$9)/('минимумы и максимумы'!Q$10-'минимумы и максимумы'!Q$9)*100)</f>
        <v>33.333333333333329</v>
      </c>
      <c r="T158">
        <f>IF('исходные данные'!T158&gt;'минимумы и максимумы'!R$10,100,('исходные данные'!T158-'минимумы и максимумы'!R$9)/('минимумы и максимумы'!R$10-'минимумы и максимумы'!R$9)*100)</f>
        <v>10.960874568469507</v>
      </c>
      <c r="U158">
        <f>IF('исходные данные'!U158&gt;'минимумы и максимумы'!S$10,100,('исходные данные'!U158-'минимумы и максимумы'!S$9)/('минимумы и максимумы'!S$10-'минимумы и максимумы'!S$9)*100)</f>
        <v>66.666666666666657</v>
      </c>
    </row>
    <row r="159" spans="1:21" x14ac:dyDescent="0.45">
      <c r="A159" s="4">
        <v>227</v>
      </c>
      <c r="B159" s="4">
        <v>1</v>
      </c>
      <c r="C159" s="4">
        <v>0</v>
      </c>
      <c r="D159">
        <f>IF('исходные данные'!D159&gt;'минимумы и максимумы'!B$10,100,('исходные данные'!D159-'минимумы и максимумы'!B$9)/('минимумы и максимумы'!B$10-'минимумы и максимумы'!B$9)*100)</f>
        <v>11.111111111111111</v>
      </c>
      <c r="E159">
        <f>IF('исходные данные'!E159&gt;'минимумы и максимумы'!C$10,100,('исходные данные'!E159-'минимумы и максимумы'!C$9)/('минимумы и максимумы'!C$10-'минимумы и максимумы'!C$9)*100)</f>
        <v>10</v>
      </c>
      <c r="F159">
        <f>IF('исходные данные'!F159&gt;'минимумы и максимумы'!D$10,100,('исходные данные'!F159-'минимумы и максимумы'!D$9)/('минимумы и максимумы'!D$10-'минимумы и максимумы'!D$9)*100)</f>
        <v>33.333333333333329</v>
      </c>
      <c r="G159">
        <f>IF('исходные данные'!G159&gt;'минимумы и максимумы'!E$10,100,('исходные данные'!G159-'минимумы и максимумы'!E$9)/('минимумы и максимумы'!E$10-'минимумы и максимумы'!E$9)*100)</f>
        <v>8.3333333333333321</v>
      </c>
      <c r="H159">
        <f>IF('исходные данные'!H159&gt;'минимумы и максимумы'!F$10,100,('исходные данные'!H159-'минимумы и максимумы'!F$9)/('минимумы и максимумы'!F$10-'минимумы и максимумы'!F$9)*100)</f>
        <v>17.241379310344829</v>
      </c>
      <c r="I159">
        <f>IF('исходные данные'!I159&gt;'минимумы и максимумы'!G$10,100,('исходные данные'!I159-'минимумы и максимумы'!G$9)/('минимумы и максимумы'!G$10-'минимумы и максимумы'!G$9)*100)</f>
        <v>13.20754716981132</v>
      </c>
      <c r="J159">
        <f>IF('исходные данные'!J159&gt;'минимумы и максимумы'!H$10,100,('исходные данные'!J159-'минимумы и максимумы'!H$9)/('минимумы и максимумы'!H$10-'минимумы и максимумы'!H$9)*100)</f>
        <v>20</v>
      </c>
      <c r="K159">
        <f>IF('исходные данные'!K159&gt;'минимумы и максимумы'!I$10,100,('исходные данные'!K159-'минимумы и максимумы'!I$9)/('минимумы и максимумы'!I$10-'минимумы и максимумы'!I$9)*100)</f>
        <v>5.5555555555555554</v>
      </c>
      <c r="L159">
        <f>IF('исходные данные'!L159&gt;'минимумы и максимумы'!J$10,100,('исходные данные'!L159-'минимумы и максимумы'!J$9)/('минимумы и максимумы'!J$10-'минимумы и максимумы'!J$9)*100)</f>
        <v>0</v>
      </c>
      <c r="M159">
        <f>IF('исходные данные'!M159&gt;'минимумы и максимумы'!K$10,100,('исходные данные'!M159-'минимумы и максимумы'!K$9)/('минимумы и максимумы'!K$10-'минимумы и максимумы'!K$9)*100)</f>
        <v>28.571428571428569</v>
      </c>
      <c r="N159">
        <f>IF('исходные данные'!N159&gt;'минимумы и максимумы'!L$10,100,('исходные данные'!N159-'минимумы и максимумы'!L$9)/('минимумы и максимумы'!L$10-'минимумы и максимумы'!L$9)*100)</f>
        <v>33.407244924439382</v>
      </c>
      <c r="O159">
        <f>IF('исходные данные'!O159&gt;'минимумы и максимумы'!M$10,100,('исходные данные'!O159-'минимумы и максимумы'!M$9)/('минимумы и максимумы'!M$10-'минимумы и максимумы'!M$9)*100)</f>
        <v>100</v>
      </c>
      <c r="P159">
        <f>IF('исходные данные'!P159&gt;'минимумы и максимумы'!N$10,100,('исходные данные'!P159-'минимумы и максимумы'!N$9)/('минимумы и максимумы'!N$10-'минимумы и максимумы'!N$9)*100)</f>
        <v>0</v>
      </c>
      <c r="Q159">
        <f>IF('исходные данные'!Q159&gt;'минимумы и максимумы'!O$10,100,('исходные данные'!Q159-'минимумы и максимумы'!O$9)/('минимумы и максимумы'!O$10-'минимумы и максимумы'!O$9)*100)</f>
        <v>100</v>
      </c>
      <c r="R159">
        <f>IF('исходные данные'!R159&gt;'минимумы и максимумы'!P$10,100,('исходные данные'!R159-'минимумы и максимумы'!P$9)/('минимумы и максимумы'!P$10-'минимумы и максимумы'!P$9)*100)</f>
        <v>100</v>
      </c>
      <c r="S159">
        <f>IF('исходные данные'!S159&gt;'минимумы и максимумы'!Q$10,100,('исходные данные'!S159-'минимумы и максимумы'!Q$9)/('минимумы и максимумы'!Q$10-'минимумы и максимумы'!Q$9)*100)</f>
        <v>33.333333333333329</v>
      </c>
      <c r="T159">
        <f>IF('исходные данные'!T159&gt;'минимумы и максимумы'!R$10,100,('исходные данные'!T159-'минимумы и максимумы'!R$9)/('минимумы и максимумы'!R$10-'минимумы и максимумы'!R$9)*100)</f>
        <v>28.193325661680092</v>
      </c>
      <c r="U159">
        <f>IF('исходные данные'!U159&gt;'минимумы и максимумы'!S$10,100,('исходные данные'!U159-'минимумы и максимумы'!S$9)/('минимумы и максимумы'!S$10-'минимумы и максимумы'!S$9)*100)</f>
        <v>33.333333333333329</v>
      </c>
    </row>
    <row r="160" spans="1:21" x14ac:dyDescent="0.45">
      <c r="A160" s="4">
        <v>230</v>
      </c>
      <c r="B160" s="4">
        <v>0</v>
      </c>
      <c r="C160" s="4">
        <v>0</v>
      </c>
      <c r="D160">
        <f>IF('исходные данные'!D160&gt;'минимумы и максимумы'!B$10,100,('исходные данные'!D160-'минимумы и максимумы'!B$9)/('минимумы и максимумы'!B$10-'минимумы и максимумы'!B$9)*100)</f>
        <v>22.222222222222221</v>
      </c>
      <c r="E160">
        <f>IF('исходные данные'!E160&gt;'минимумы и максимумы'!C$10,100,('исходные данные'!E160-'минимумы и максимумы'!C$9)/('минимумы и максимумы'!C$10-'минимумы и максимумы'!C$9)*100)</f>
        <v>30</v>
      </c>
      <c r="F160">
        <f>IF('исходные данные'!F160&gt;'минимумы и максимумы'!D$10,100,('исходные данные'!F160-'минимумы и максимумы'!D$9)/('минимумы и максимумы'!D$10-'минимумы и максимумы'!D$9)*100)</f>
        <v>0</v>
      </c>
      <c r="G160">
        <f>IF('исходные данные'!G160&gt;'минимумы и максимумы'!E$10,100,('исходные данные'!G160-'минимумы и максимумы'!E$9)/('минимумы и максимумы'!E$10-'минимумы и максимумы'!E$9)*100)</f>
        <v>8.3333333333333321</v>
      </c>
      <c r="H160">
        <f>IF('исходные данные'!H160&gt;'минимумы и максимумы'!F$10,100,('исходные данные'!H160-'минимумы и максимумы'!F$9)/('минимумы и максимумы'!F$10-'минимумы и максимумы'!F$9)*100)</f>
        <v>13.793103448275861</v>
      </c>
      <c r="I160">
        <f>IF('исходные данные'!I160&gt;'минимумы и максимумы'!G$10,100,('исходные данные'!I160-'минимумы и максимумы'!G$9)/('минимумы и максимумы'!G$10-'минимумы и максимумы'!G$9)*100)</f>
        <v>5.6603773584905666</v>
      </c>
      <c r="J160">
        <f>IF('исходные данные'!J160&gt;'минимумы и максимумы'!H$10,100,('исходные данные'!J160-'минимумы и максимумы'!H$9)/('минимумы и максимумы'!H$10-'минимумы и максимумы'!H$9)*100)</f>
        <v>0</v>
      </c>
      <c r="K160">
        <f>IF('исходные данные'!K160&gt;'минимумы и максимумы'!I$10,100,('исходные данные'!K160-'минимумы и максимумы'!I$9)/('минимумы и максимумы'!I$10-'минимумы и максимумы'!I$9)*100)</f>
        <v>22.222222222222221</v>
      </c>
      <c r="L160">
        <f>IF('исходные данные'!L160&gt;'минимумы и максимумы'!J$10,100,('исходные данные'!L160-'минимумы и максимумы'!J$9)/('минимумы и максимумы'!J$10-'минимумы и максимумы'!J$9)*100)</f>
        <v>7.1428571428571423</v>
      </c>
      <c r="M160">
        <f>IF('исходные данные'!M160&gt;'минимумы и максимумы'!K$10,100,('исходные данные'!M160-'минимумы и максимумы'!K$9)/('минимумы и максимумы'!K$10-'минимумы и максимумы'!K$9)*100)</f>
        <v>50</v>
      </c>
      <c r="N160">
        <f>IF('исходные данные'!N160&gt;'минимумы и максимумы'!L$10,100,('исходные данные'!N160-'минимумы и максимумы'!L$9)/('минимумы и максимумы'!L$10-'минимумы и максимумы'!L$9)*100)</f>
        <v>38.637266382443748</v>
      </c>
      <c r="O160">
        <f>IF('исходные данные'!O160&gt;'минимумы и максимумы'!M$10,100,('исходные данные'!O160-'минимумы и максимумы'!M$9)/('минимумы и максимумы'!M$10-'минимумы и максимумы'!M$9)*100)</f>
        <v>33.333333333333329</v>
      </c>
      <c r="P160">
        <f>IF('исходные данные'!P160&gt;'минимумы и максимумы'!N$10,100,('исходные данные'!P160-'минимумы и максимумы'!N$9)/('минимумы и максимумы'!N$10-'минимумы и максимумы'!N$9)*100)</f>
        <v>0</v>
      </c>
      <c r="Q160">
        <f>IF('исходные данные'!Q160&gt;'минимумы и максимумы'!O$10,100,('исходные данные'!Q160-'минимумы и максимумы'!O$9)/('минимумы и максимумы'!O$10-'минимумы и максимумы'!O$9)*100)</f>
        <v>100</v>
      </c>
      <c r="R160">
        <f>IF('исходные данные'!R160&gt;'минимумы и максимумы'!P$10,100,('исходные данные'!R160-'минимумы и максимумы'!P$9)/('минимумы и максимумы'!P$10-'минимумы и максимумы'!P$9)*100)</f>
        <v>50</v>
      </c>
      <c r="S160">
        <f>IF('исходные данные'!S160&gt;'минимумы и максимумы'!Q$10,100,('исходные данные'!S160-'минимумы и максимумы'!Q$9)/('минимумы и максимумы'!Q$10-'минимумы и максимумы'!Q$9)*100)</f>
        <v>33.333333333333329</v>
      </c>
      <c r="T160">
        <f>IF('исходные данные'!T160&gt;'минимумы и максимумы'!R$10,100,('исходные данные'!T160-'минимумы и максимумы'!R$9)/('минимумы и максимумы'!R$10-'минимумы и максимумы'!R$9)*100)</f>
        <v>22.266973532796317</v>
      </c>
      <c r="U160">
        <f>IF('исходные данные'!U160&gt;'минимумы и максимумы'!S$10,100,('исходные данные'!U160-'минимумы и максимумы'!S$9)/('минимумы и максимумы'!S$10-'минимумы и максимумы'!S$9)*100)</f>
        <v>33.333333333333329</v>
      </c>
    </row>
    <row r="161" spans="1:21" x14ac:dyDescent="0.45">
      <c r="A161" s="4">
        <v>231</v>
      </c>
      <c r="B161" s="4">
        <v>1</v>
      </c>
      <c r="C161" s="4">
        <v>0</v>
      </c>
      <c r="D161">
        <f>IF('исходные данные'!D161&gt;'минимумы и максимумы'!B$10,100,('исходные данные'!D161-'минимумы и максимумы'!B$9)/('минимумы и максимумы'!B$10-'минимумы и максимумы'!B$9)*100)</f>
        <v>11.111111111111111</v>
      </c>
      <c r="E161">
        <f>IF('исходные данные'!E161&gt;'минимумы и максимумы'!C$10,100,('исходные данные'!E161-'минимумы и максимумы'!C$9)/('минимумы и максимумы'!C$10-'минимумы и максимумы'!C$9)*100)</f>
        <v>20</v>
      </c>
      <c r="F161">
        <f>IF('исходные данные'!F161&gt;'минимумы и максимумы'!D$10,100,('исходные данные'!F161-'минимумы и максимумы'!D$9)/('минимумы и максимумы'!D$10-'минимумы и максимумы'!D$9)*100)</f>
        <v>0</v>
      </c>
      <c r="G161">
        <f>IF('исходные данные'!G161&gt;'минимумы и максимумы'!E$10,100,('исходные данные'!G161-'минимумы и максимумы'!E$9)/('минимумы и максимумы'!E$10-'минимумы и максимумы'!E$9)*100)</f>
        <v>16.666666666666664</v>
      </c>
      <c r="H161">
        <f>IF('исходные данные'!H161&gt;'минимумы и максимумы'!F$10,100,('исходные данные'!H161-'минимумы и максимумы'!F$9)/('минимумы и максимумы'!F$10-'минимумы и максимумы'!F$9)*100)</f>
        <v>20.689655172413794</v>
      </c>
      <c r="I161">
        <f>IF('исходные данные'!I161&gt;'минимумы и максимумы'!G$10,100,('исходные данные'!I161-'минимумы и максимумы'!G$9)/('минимумы и максимумы'!G$10-'минимумы и максимумы'!G$9)*100)</f>
        <v>7.5471698113207548</v>
      </c>
      <c r="J161">
        <f>IF('исходные данные'!J161&gt;'минимумы и максимумы'!H$10,100,('исходные данные'!J161-'минимумы и максимумы'!H$9)/('минимумы и максимумы'!H$10-'минимумы и максимумы'!H$9)*100)</f>
        <v>0</v>
      </c>
      <c r="K161">
        <f>IF('исходные данные'!K161&gt;'минимумы и максимумы'!I$10,100,('исходные данные'!K161-'минимумы и максимумы'!I$9)/('минимумы и максимумы'!I$10-'минимумы и максимумы'!I$9)*100)</f>
        <v>5.5555555555555554</v>
      </c>
      <c r="L161">
        <f>IF('исходные данные'!L161&gt;'минимумы и максимумы'!J$10,100,('исходные данные'!L161-'минимумы и максимумы'!J$9)/('минимумы и максимумы'!J$10-'минимумы и максимумы'!J$9)*100)</f>
        <v>14.285714285714285</v>
      </c>
      <c r="M161">
        <f>IF('исходные данные'!M161&gt;'минимумы и максимумы'!K$10,100,('исходные данные'!M161-'минимумы и максимумы'!K$9)/('минимумы и максимумы'!K$10-'минимумы и максимумы'!K$9)*100)</f>
        <v>14.285714285714285</v>
      </c>
      <c r="N161">
        <f>IF('исходные данные'!N161&gt;'минимумы и максимумы'!L$10,100,('исходные данные'!N161-'минимумы и максимумы'!L$9)/('минимумы и максимумы'!L$10-'минимумы и максимумы'!L$9)*100)</f>
        <v>38.497762057352617</v>
      </c>
      <c r="O161">
        <f>IF('исходные данные'!O161&gt;'минимумы и максимумы'!M$10,100,('исходные данные'!O161-'минимумы и максимумы'!M$9)/('минимумы и максимумы'!M$10-'минимумы и максимумы'!M$9)*100)</f>
        <v>100</v>
      </c>
      <c r="P161">
        <f>IF('исходные данные'!P161&gt;'минимумы и максимумы'!N$10,100,('исходные данные'!P161-'минимумы и максимумы'!N$9)/('минимумы и максимумы'!N$10-'минимумы и максимумы'!N$9)*100)</f>
        <v>0</v>
      </c>
      <c r="Q161">
        <f>IF('исходные данные'!Q161&gt;'минимумы и максимумы'!O$10,100,('исходные данные'!Q161-'минимумы и максимумы'!O$9)/('минимумы и максимумы'!O$10-'минимумы и максимумы'!O$9)*100)</f>
        <v>100</v>
      </c>
      <c r="R161">
        <f>IF('исходные данные'!R161&gt;'минимумы и максимумы'!P$10,100,('исходные данные'!R161-'минимумы и максимумы'!P$9)/('минимумы и максимумы'!P$10-'минимумы и максимумы'!P$9)*100)</f>
        <v>100</v>
      </c>
      <c r="S161">
        <f>IF('исходные данные'!S161&gt;'минимумы и максимумы'!Q$10,100,('исходные данные'!S161-'минимумы и максимумы'!Q$9)/('минимумы и максимумы'!Q$10-'минимумы и максимумы'!Q$9)*100)</f>
        <v>50</v>
      </c>
      <c r="T161">
        <f>IF('исходные данные'!T161&gt;'минимумы и максимумы'!R$10,100,('исходные данные'!T161-'минимумы и максимумы'!R$9)/('минимумы и максимумы'!R$10-'минимумы и максимумы'!R$9)*100)</f>
        <v>17.663981588032222</v>
      </c>
      <c r="U161">
        <f>IF('исходные данные'!U161&gt;'минимумы и максимумы'!S$10,100,('исходные данные'!U161-'минимумы и максимумы'!S$9)/('минимумы и максимумы'!S$10-'минимумы и максимумы'!S$9)*100)</f>
        <v>33.333333333333329</v>
      </c>
    </row>
    <row r="162" spans="1:21" x14ac:dyDescent="0.45">
      <c r="A162" s="4">
        <v>234</v>
      </c>
      <c r="B162" s="4">
        <v>0</v>
      </c>
      <c r="C162" s="4">
        <v>0</v>
      </c>
      <c r="D162">
        <f>IF('исходные данные'!D162&gt;'минимумы и максимумы'!B$10,100,('исходные данные'!D162-'минимумы и максимумы'!B$9)/('минимумы и максимумы'!B$10-'минимумы и максимумы'!B$9)*100)</f>
        <v>0</v>
      </c>
      <c r="E162">
        <f>IF('исходные данные'!E162&gt;'минимумы и максимумы'!C$10,100,('исходные данные'!E162-'минимумы и максимумы'!C$9)/('минимумы и максимумы'!C$10-'минимумы и максимумы'!C$9)*100)</f>
        <v>30</v>
      </c>
      <c r="F162">
        <f>IF('исходные данные'!F162&gt;'минимумы и максимумы'!D$10,100,('исходные данные'!F162-'минимумы и максимумы'!D$9)/('минимумы и максимумы'!D$10-'минимумы и максимумы'!D$9)*100)</f>
        <v>0</v>
      </c>
      <c r="G162">
        <f>IF('исходные данные'!G162&gt;'минимумы и максимумы'!E$10,100,('исходные данные'!G162-'минимумы и максимумы'!E$9)/('минимумы и максимумы'!E$10-'минимумы и максимумы'!E$9)*100)</f>
        <v>41.666666666666671</v>
      </c>
      <c r="H162">
        <f>IF('исходные данные'!H162&gt;'минимумы и максимумы'!F$10,100,('исходные данные'!H162-'минимумы и максимумы'!F$9)/('минимумы и максимумы'!F$10-'минимумы и максимумы'!F$9)*100)</f>
        <v>55.172413793103445</v>
      </c>
      <c r="I162">
        <f>IF('исходные данные'!I162&gt;'минимумы и максимумы'!G$10,100,('исходные данные'!I162-'минимумы и максимумы'!G$9)/('минимумы и максимумы'!G$10-'минимумы и максимумы'!G$9)*100)</f>
        <v>7.5471698113207548</v>
      </c>
      <c r="J162">
        <f>IF('исходные данные'!J162&gt;'минимумы и максимумы'!H$10,100,('исходные данные'!J162-'минимумы и максимумы'!H$9)/('минимумы и максимумы'!H$10-'минимумы и максимумы'!H$9)*100)</f>
        <v>0</v>
      </c>
      <c r="K162">
        <f>IF('исходные данные'!K162&gt;'минимумы и максимумы'!I$10,100,('исходные данные'!K162-'минимумы и максимумы'!I$9)/('минимумы и максимумы'!I$10-'минимумы и максимумы'!I$9)*100)</f>
        <v>5.5555555555555554</v>
      </c>
      <c r="L162">
        <f>IF('исходные данные'!L162&gt;'минимумы и максимумы'!J$10,100,('исходные данные'!L162-'минимумы и максимумы'!J$9)/('минимумы и максимумы'!J$10-'минимумы и максимумы'!J$9)*100)</f>
        <v>7.1428571428571423</v>
      </c>
      <c r="M162">
        <f>IF('исходные данные'!M162&gt;'минимумы и максимумы'!K$10,100,('исходные данные'!M162-'минимумы и максимумы'!K$9)/('минимумы и максимумы'!K$10-'минимумы и максимумы'!K$9)*100)</f>
        <v>25</v>
      </c>
      <c r="N162">
        <f>IF('исходные данные'!N162&gt;'минимумы и максимумы'!L$10,100,('исходные данные'!N162-'минимумы и максимумы'!L$9)/('минимумы и максимумы'!L$10-'минимумы и максимумы'!L$9)*100)</f>
        <v>48.295789645486693</v>
      </c>
      <c r="O162">
        <f>IF('исходные данные'!O162&gt;'минимумы и максимумы'!M$10,100,('исходные данные'!O162-'минимумы и максимумы'!M$9)/('минимумы и максимумы'!M$10-'минимумы и максимумы'!M$9)*100)</f>
        <v>66.666666666666657</v>
      </c>
      <c r="P162">
        <f>IF('исходные данные'!P162&gt;'минимумы и максимумы'!N$10,100,('исходные данные'!P162-'минимумы и максимумы'!N$9)/('минимумы и максимумы'!N$10-'минимумы и максимумы'!N$9)*100)</f>
        <v>0</v>
      </c>
      <c r="Q162">
        <f>IF('исходные данные'!Q162&gt;'минимумы и максимумы'!O$10,100,('исходные данные'!Q162-'минимумы и максимумы'!O$9)/('минимумы и максимумы'!O$10-'минимумы и максимумы'!O$9)*100)</f>
        <v>0</v>
      </c>
      <c r="R162">
        <f>IF('исходные данные'!R162&gt;'минимумы и максимумы'!P$10,100,('исходные данные'!R162-'минимумы и максимумы'!P$9)/('минимумы и максимумы'!P$10-'минимумы и максимумы'!P$9)*100)</f>
        <v>50</v>
      </c>
      <c r="S162">
        <f>IF('исходные данные'!S162&gt;'минимумы и максимумы'!Q$10,100,('исходные данные'!S162-'минимумы и максимумы'!Q$9)/('минимумы и максимумы'!Q$10-'минимумы и максимумы'!Q$9)*100)</f>
        <v>16.666666666666664</v>
      </c>
      <c r="T162">
        <f>IF('исходные данные'!T162&gt;'минимумы и максимумы'!R$10,100,('исходные данные'!T162-'минимумы и максимумы'!R$9)/('минимумы и максимумы'!R$10-'минимумы и максимумы'!R$9)*100)</f>
        <v>84.723820483314142</v>
      </c>
      <c r="U162">
        <f>IF('исходные данные'!U162&gt;'минимумы и максимумы'!S$10,100,('исходные данные'!U162-'минимумы и максимумы'!S$9)/('минимумы и максимумы'!S$10-'минимумы и максимумы'!S$9)*100)</f>
        <v>66.666666666666657</v>
      </c>
    </row>
    <row r="163" spans="1:21" x14ac:dyDescent="0.45">
      <c r="A163" s="4">
        <v>237</v>
      </c>
      <c r="B163" s="4">
        <v>0</v>
      </c>
      <c r="C163" s="4">
        <v>0</v>
      </c>
      <c r="D163">
        <f>IF('исходные данные'!D163&gt;'минимумы и максимумы'!B$10,100,('исходные данные'!D163-'минимумы и максимумы'!B$9)/('минимумы и максимумы'!B$10-'минимумы и максимумы'!B$9)*100)</f>
        <v>11.111111111111111</v>
      </c>
      <c r="E163">
        <f>IF('исходные данные'!E163&gt;'минимумы и максимумы'!C$10,100,('исходные данные'!E163-'минимумы и максимумы'!C$9)/('минимумы и максимумы'!C$10-'минимумы и максимумы'!C$9)*100)</f>
        <v>10</v>
      </c>
      <c r="F163">
        <f>IF('исходные данные'!F163&gt;'минимумы и максимумы'!D$10,100,('исходные данные'!F163-'минимумы и максимумы'!D$9)/('минимумы и максимумы'!D$10-'минимумы и максимумы'!D$9)*100)</f>
        <v>0</v>
      </c>
      <c r="G163">
        <f>IF('исходные данные'!G163&gt;'минимумы и максимумы'!E$10,100,('исходные данные'!G163-'минимумы и максимумы'!E$9)/('минимумы и максимумы'!E$10-'минимумы и максимумы'!E$9)*100)</f>
        <v>4.1666666666666661</v>
      </c>
      <c r="H163">
        <f>IF('исходные данные'!H163&gt;'минимумы и максимумы'!F$10,100,('исходные данные'!H163-'минимумы и максимумы'!F$9)/('минимумы и максимумы'!F$10-'минимумы и максимумы'!F$9)*100)</f>
        <v>3.4482758620689653</v>
      </c>
      <c r="I163">
        <f>IF('исходные данные'!I163&gt;'минимумы и максимумы'!G$10,100,('исходные данные'!I163-'минимумы и максимумы'!G$9)/('минимумы и максимумы'!G$10-'минимумы и максимумы'!G$9)*100)</f>
        <v>3.7735849056603774</v>
      </c>
      <c r="J163">
        <f>IF('исходные данные'!J163&gt;'минимумы и максимумы'!H$10,100,('исходные данные'!J163-'минимумы и максимумы'!H$9)/('минимумы и максимумы'!H$10-'минимумы и максимумы'!H$9)*100)</f>
        <v>6.666666666666667</v>
      </c>
      <c r="K163">
        <f>IF('исходные данные'!K163&gt;'минимумы и максимумы'!I$10,100,('исходные данные'!K163-'минимумы и максимумы'!I$9)/('минимумы и максимумы'!I$10-'минимумы и максимумы'!I$9)*100)</f>
        <v>0</v>
      </c>
      <c r="L163">
        <f>IF('исходные данные'!L163&gt;'минимумы и максимумы'!J$10,100,('исходные данные'!L163-'минимумы и максимумы'!J$9)/('минимумы и максимумы'!J$10-'минимумы и максимумы'!J$9)*100)</f>
        <v>0</v>
      </c>
      <c r="M163">
        <f>IF('исходные данные'!M163&gt;'минимумы и максимумы'!K$10,100,('исходные данные'!M163-'минимумы и максимумы'!K$9)/('минимумы и максимумы'!K$10-'минимумы и максимумы'!K$9)*100)</f>
        <v>7.1428571428571423</v>
      </c>
      <c r="N163">
        <f>IF('исходные данные'!N163&gt;'минимумы и максимумы'!L$10,100,('исходные данные'!N163-'минимумы и максимумы'!L$9)/('минимумы и максимумы'!L$10-'минимумы и максимумы'!L$9)*100)</f>
        <v>59.515062270556783</v>
      </c>
      <c r="O163">
        <f>IF('исходные данные'!O163&gt;'минимумы и максимумы'!M$10,100,('исходные данные'!O163-'минимумы и максимумы'!M$9)/('минимумы и максимумы'!M$10-'минимумы и максимумы'!M$9)*100)</f>
        <v>66.666666666666657</v>
      </c>
      <c r="P163">
        <f>IF('исходные данные'!P163&gt;'минимумы и максимумы'!N$10,100,('исходные данные'!P163-'минимумы и максимумы'!N$9)/('минимумы и максимумы'!N$10-'минимумы и максимумы'!N$9)*100)</f>
        <v>0</v>
      </c>
      <c r="Q163">
        <f>IF('исходные данные'!Q163&gt;'минимумы и максимумы'!O$10,100,('исходные данные'!Q163-'минимумы и максимумы'!O$9)/('минимумы и максимумы'!O$10-'минимумы и максимумы'!O$9)*100)</f>
        <v>100</v>
      </c>
      <c r="R163">
        <f>IF('исходные данные'!R163&gt;'минимумы и максимумы'!P$10,100,('исходные данные'!R163-'минимумы и максимумы'!P$9)/('минимумы и максимумы'!P$10-'минимумы и максимумы'!P$9)*100)</f>
        <v>100</v>
      </c>
      <c r="S163">
        <f>IF('исходные данные'!S163&gt;'минимумы и максимумы'!Q$10,100,('исходные данные'!S163-'минимумы и максимумы'!Q$9)/('минимумы и максимумы'!Q$10-'минимумы и максимумы'!Q$9)*100)</f>
        <v>33.333333333333329</v>
      </c>
      <c r="T163">
        <f>IF('исходные данные'!T163&gt;'минимумы и максимумы'!R$10,100,('исходные данные'!T163-'минимумы и максимумы'!R$9)/('минимумы и максимумы'!R$10-'минимумы и максимумы'!R$9)*100)</f>
        <v>1.3233601841196778</v>
      </c>
      <c r="U163">
        <f>IF('исходные данные'!U163&gt;'минимумы и максимумы'!S$10,100,('исходные данные'!U163-'минимумы и максимумы'!S$9)/('минимумы и максимумы'!S$10-'минимумы и максимумы'!S$9)*100)</f>
        <v>0</v>
      </c>
    </row>
    <row r="164" spans="1:21" x14ac:dyDescent="0.45">
      <c r="A164" s="4">
        <v>238</v>
      </c>
      <c r="B164" s="4">
        <v>0</v>
      </c>
      <c r="C164" s="4">
        <v>0</v>
      </c>
      <c r="D164">
        <f>IF('исходные данные'!D164&gt;'минимумы и максимумы'!B$10,100,('исходные данные'!D164-'минимумы и максимумы'!B$9)/('минимумы и максимумы'!B$10-'минимумы и максимумы'!B$9)*100)</f>
        <v>22.222222222222221</v>
      </c>
      <c r="E164">
        <f>IF('исходные данные'!E164&gt;'минимумы и максимумы'!C$10,100,('исходные данные'!E164-'минимумы и максимумы'!C$9)/('минимумы и максимумы'!C$10-'минимумы и максимумы'!C$9)*100)</f>
        <v>20</v>
      </c>
      <c r="F164">
        <f>IF('исходные данные'!F164&gt;'минимумы и максимумы'!D$10,100,('исходные данные'!F164-'минимумы и максимумы'!D$9)/('минимумы и максимумы'!D$10-'минимумы и максимумы'!D$9)*100)</f>
        <v>0</v>
      </c>
      <c r="G164">
        <f>IF('исходные данные'!G164&gt;'минимумы и максимумы'!E$10,100,('исходные данные'!G164-'минимумы и максимумы'!E$9)/('минимумы и максимумы'!E$10-'минимумы и максимумы'!E$9)*100)</f>
        <v>4.1666666666666661</v>
      </c>
      <c r="H164">
        <f>IF('исходные данные'!H164&gt;'минимумы и максимумы'!F$10,100,('исходные данные'!H164-'минимумы и максимумы'!F$9)/('минимумы и максимумы'!F$10-'минимумы и максимумы'!F$9)*100)</f>
        <v>3.4482758620689653</v>
      </c>
      <c r="I164">
        <f>IF('исходные данные'!I164&gt;'минимумы и максимумы'!G$10,100,('исходные данные'!I164-'минимумы и максимумы'!G$9)/('минимумы и максимумы'!G$10-'минимумы и максимумы'!G$9)*100)</f>
        <v>3.7735849056603774</v>
      </c>
      <c r="J164">
        <f>IF('исходные данные'!J164&gt;'минимумы и максимумы'!H$10,100,('исходные данные'!J164-'минимумы и максимумы'!H$9)/('минимумы и максимумы'!H$10-'минимумы и максимумы'!H$9)*100)</f>
        <v>6.666666666666667</v>
      </c>
      <c r="K164">
        <f>IF('исходные данные'!K164&gt;'минимумы и максимумы'!I$10,100,('исходные данные'!K164-'минимумы и максимумы'!I$9)/('минимумы и максимумы'!I$10-'минимумы и максимумы'!I$9)*100)</f>
        <v>0</v>
      </c>
      <c r="L164">
        <f>IF('исходные данные'!L164&gt;'минимумы и максимумы'!J$10,100,('исходные данные'!L164-'минимумы и максимумы'!J$9)/('минимумы и максимумы'!J$10-'минимумы и максимумы'!J$9)*100)</f>
        <v>0</v>
      </c>
      <c r="M164">
        <f>IF('исходные данные'!M164&gt;'минимумы и максимумы'!K$10,100,('исходные данные'!M164-'минимумы и максимумы'!K$9)/('минимумы и максимумы'!K$10-'минимумы и максимумы'!K$9)*100)</f>
        <v>7.1428571428571423</v>
      </c>
      <c r="N164">
        <f>IF('исходные данные'!N164&gt;'минимумы и максимумы'!L$10,100,('исходные данные'!N164-'минимумы и максимумы'!L$9)/('минимумы и максимумы'!L$10-'минимумы и максимумы'!L$9)*100)</f>
        <v>59.540671623176337</v>
      </c>
      <c r="O164">
        <f>IF('исходные данные'!O164&gt;'минимумы и максимумы'!M$10,100,('исходные данные'!O164-'минимумы и максимумы'!M$9)/('минимумы и максимумы'!M$10-'минимумы и максимумы'!M$9)*100)</f>
        <v>33.333333333333329</v>
      </c>
      <c r="P164">
        <f>IF('исходные данные'!P164&gt;'минимумы и максимумы'!N$10,100,('исходные данные'!P164-'минимумы и максимумы'!N$9)/('минимумы и максимумы'!N$10-'минимумы и максимумы'!N$9)*100)</f>
        <v>0</v>
      </c>
      <c r="Q164">
        <f>IF('исходные данные'!Q164&gt;'минимумы и максимумы'!O$10,100,('исходные данные'!Q164-'минимумы и максимумы'!O$9)/('минимумы и максимумы'!O$10-'минимумы и максимумы'!O$9)*100)</f>
        <v>100</v>
      </c>
      <c r="R164">
        <f>IF('исходные данные'!R164&gt;'минимумы и максимумы'!P$10,100,('исходные данные'!R164-'минимумы и максимумы'!P$9)/('минимумы и максимумы'!P$10-'минимумы и максимумы'!P$9)*100)</f>
        <v>100</v>
      </c>
      <c r="S164">
        <f>IF('исходные данные'!S164&gt;'минимумы и максимумы'!Q$10,100,('исходные данные'!S164-'минимумы и максимумы'!Q$9)/('минимумы и максимумы'!Q$10-'минимумы и максимумы'!Q$9)*100)</f>
        <v>33.333333333333329</v>
      </c>
      <c r="T164">
        <f>IF('исходные данные'!T164&gt;'минимумы и максимумы'!R$10,100,('исходные данные'!T164-'минимумы и максимумы'!R$9)/('минимумы и максимумы'!R$10-'минимумы и максимумы'!R$9)*100)</f>
        <v>3.1070195627157653</v>
      </c>
      <c r="U164">
        <f>IF('исходные данные'!U164&gt;'минимумы и максимумы'!S$10,100,('исходные данные'!U164-'минимумы и максимумы'!S$9)/('минимумы и максимумы'!S$10-'минимумы и максимумы'!S$9)*100)</f>
        <v>0</v>
      </c>
    </row>
    <row r="165" spans="1:21" x14ac:dyDescent="0.45">
      <c r="A165" s="4">
        <v>239</v>
      </c>
      <c r="B165" s="4">
        <v>1</v>
      </c>
      <c r="C165" s="4">
        <v>0</v>
      </c>
      <c r="D165">
        <f>IF('исходные данные'!D165&gt;'минимумы и максимумы'!B$10,100,('исходные данные'!D165-'минимумы и максимумы'!B$9)/('минимумы и максимумы'!B$10-'минимумы и максимумы'!B$9)*100)</f>
        <v>11.111111111111111</v>
      </c>
      <c r="E165">
        <f>IF('исходные данные'!E165&gt;'минимумы и максимумы'!C$10,100,('исходные данные'!E165-'минимумы и максимумы'!C$9)/('минимумы и максимумы'!C$10-'минимумы и максимумы'!C$9)*100)</f>
        <v>20</v>
      </c>
      <c r="F165">
        <f>IF('исходные данные'!F165&gt;'минимумы и максимумы'!D$10,100,('исходные данные'!F165-'минимумы и максимумы'!D$9)/('минимумы и максимумы'!D$10-'минимумы и максимумы'!D$9)*100)</f>
        <v>0</v>
      </c>
      <c r="G165">
        <f>IF('исходные данные'!G165&gt;'минимумы и максимумы'!E$10,100,('исходные данные'!G165-'минимумы и максимумы'!E$9)/('минимумы и максимумы'!E$10-'минимумы и максимумы'!E$9)*100)</f>
        <v>0</v>
      </c>
      <c r="H165">
        <f>IF('исходные данные'!H165&gt;'минимумы и максимумы'!F$10,100,('исходные данные'!H165-'минимумы и максимумы'!F$9)/('минимумы и максимумы'!F$10-'минимумы и максимумы'!F$9)*100)</f>
        <v>6.8965517241379306</v>
      </c>
      <c r="I165">
        <f>IF('исходные данные'!I165&gt;'минимумы и максимумы'!G$10,100,('исходные данные'!I165-'минимумы и максимумы'!G$9)/('минимумы и максимумы'!G$10-'минимумы и максимумы'!G$9)*100)</f>
        <v>9.433962264150944</v>
      </c>
      <c r="J165">
        <f>IF('исходные данные'!J165&gt;'минимумы и максимумы'!H$10,100,('исходные данные'!J165-'минимумы и максимумы'!H$9)/('минимумы и максимумы'!H$10-'минимумы и максимумы'!H$9)*100)</f>
        <v>6.666666666666667</v>
      </c>
      <c r="K165">
        <f>IF('исходные данные'!K165&gt;'минимумы и максимумы'!I$10,100,('исходные данные'!K165-'минимумы и максимумы'!I$9)/('минимумы и максимумы'!I$10-'минимумы и максимумы'!I$9)*100)</f>
        <v>5.5555555555555554</v>
      </c>
      <c r="L165">
        <f>IF('исходные данные'!L165&gt;'минимумы и максимумы'!J$10,100,('исходные данные'!L165-'минимумы и максимумы'!J$9)/('минимумы и максимумы'!J$10-'минимумы и максимумы'!J$9)*100)</f>
        <v>0</v>
      </c>
      <c r="M165">
        <f>IF('исходные данные'!M165&gt;'минимумы и максимумы'!K$10,100,('исходные данные'!M165-'минимумы и максимумы'!K$9)/('минимумы и максимумы'!K$10-'минимумы и максимумы'!K$9)*100)</f>
        <v>17.857142857142858</v>
      </c>
      <c r="N165">
        <f>IF('исходные данные'!N165&gt;'минимумы и максимумы'!L$10,100,('исходные данные'!N165-'минимумы и максимумы'!L$9)/('минимумы и максимумы'!L$10-'минимумы и максимумы'!L$9)*100)</f>
        <v>68.155297418296797</v>
      </c>
      <c r="O165">
        <f>IF('исходные данные'!O165&gt;'минимумы и максимумы'!M$10,100,('исходные данные'!O165-'минимумы и максимумы'!M$9)/('минимумы и максимумы'!M$10-'минимумы и максимумы'!M$9)*100)</f>
        <v>100</v>
      </c>
      <c r="P165">
        <f>IF('исходные данные'!P165&gt;'минимумы и максимумы'!N$10,100,('исходные данные'!P165-'минимумы и максимумы'!N$9)/('минимумы и максимумы'!N$10-'минимумы и максимумы'!N$9)*100)</f>
        <v>0</v>
      </c>
      <c r="Q165">
        <f>IF('исходные данные'!Q165&gt;'минимумы и максимумы'!O$10,100,('исходные данные'!Q165-'минимумы и максимумы'!O$9)/('минимумы и максимумы'!O$10-'минимумы и максимумы'!O$9)*100)</f>
        <v>0</v>
      </c>
      <c r="R165">
        <f>IF('исходные данные'!R165&gt;'минимумы и максимумы'!P$10,100,('исходные данные'!R165-'минимумы и максимумы'!P$9)/('минимумы и максимумы'!P$10-'минимумы и максимумы'!P$9)*100)</f>
        <v>25</v>
      </c>
      <c r="S165">
        <f>IF('исходные данные'!S165&gt;'минимумы и максимумы'!Q$10,100,('исходные данные'!S165-'минимумы и максимумы'!Q$9)/('минимумы и максимумы'!Q$10-'минимумы и максимумы'!Q$9)*100)</f>
        <v>83.333333333333343</v>
      </c>
      <c r="T165">
        <f>IF('исходные данные'!T165&gt;'минимумы и максимумы'!R$10,100,('исходные данные'!T165-'минимумы и максимумы'!R$9)/('минимумы и максимумы'!R$10-'минимумы и максимумы'!R$9)*100)</f>
        <v>100</v>
      </c>
      <c r="U165">
        <f>IF('исходные данные'!U165&gt;'минимумы и максимумы'!S$10,100,('исходные данные'!U165-'минимумы и максимумы'!S$9)/('минимумы и максимумы'!S$10-'минимумы и максимумы'!S$9)*100)</f>
        <v>0</v>
      </c>
    </row>
    <row r="166" spans="1:21" x14ac:dyDescent="0.45">
      <c r="A166" s="4">
        <v>240</v>
      </c>
      <c r="B166" s="4">
        <v>1</v>
      </c>
      <c r="C166" s="4">
        <v>0</v>
      </c>
      <c r="D166">
        <f>IF('исходные данные'!D166&gt;'минимумы и максимумы'!B$10,100,('исходные данные'!D166-'минимумы и максимумы'!B$9)/('минимумы и максимумы'!B$10-'минимумы и максимумы'!B$9)*100)</f>
        <v>0</v>
      </c>
      <c r="E166">
        <f>IF('исходные данные'!E166&gt;'минимумы и максимумы'!C$10,100,('исходные данные'!E166-'минимумы и максимумы'!C$9)/('минимумы и максимумы'!C$10-'минимумы и максимумы'!C$9)*100)</f>
        <v>20</v>
      </c>
      <c r="F166">
        <f>IF('исходные данные'!F166&gt;'минимумы и максимумы'!D$10,100,('исходные данные'!F166-'минимумы и максимумы'!D$9)/('минимумы и максимумы'!D$10-'минимумы и максимумы'!D$9)*100)</f>
        <v>0</v>
      </c>
      <c r="G166">
        <f>IF('исходные данные'!G166&gt;'минимумы и максимумы'!E$10,100,('исходные данные'!G166-'минимумы и максимумы'!E$9)/('минимумы и максимумы'!E$10-'минимумы и максимумы'!E$9)*100)</f>
        <v>8.3333333333333321</v>
      </c>
      <c r="H166">
        <f>IF('исходные данные'!H166&gt;'минимумы и максимумы'!F$10,100,('исходные данные'!H166-'минимумы и максимумы'!F$9)/('минимумы и максимумы'!F$10-'минимумы и максимумы'!F$9)*100)</f>
        <v>6.8965517241379306</v>
      </c>
      <c r="I166">
        <f>IF('исходные данные'!I166&gt;'минимумы и максимумы'!G$10,100,('исходные данные'!I166-'минимумы и максимумы'!G$9)/('минимумы и максимумы'!G$10-'минимумы и максимумы'!G$9)*100)</f>
        <v>5.6603773584905666</v>
      </c>
      <c r="J166">
        <f>IF('исходные данные'!J166&gt;'минимумы и максимумы'!H$10,100,('исходные данные'!J166-'минимумы и максимумы'!H$9)/('минимумы и максимумы'!H$10-'минимумы и максимумы'!H$9)*100)</f>
        <v>0</v>
      </c>
      <c r="K166">
        <f>IF('исходные данные'!K166&gt;'минимумы и максимумы'!I$10,100,('исходные данные'!K166-'минимумы и максимумы'!I$9)/('минимумы и максимумы'!I$10-'минимумы и максимумы'!I$9)*100)</f>
        <v>0</v>
      </c>
      <c r="L166">
        <f>IF('исходные данные'!L166&gt;'минимумы и максимумы'!J$10,100,('исходные данные'!L166-'минимумы и максимумы'!J$9)/('минимумы и максимумы'!J$10-'минимумы и максимумы'!J$9)*100)</f>
        <v>0</v>
      </c>
      <c r="M166">
        <f>IF('исходные данные'!M166&gt;'минимумы и максимумы'!K$10,100,('исходные данные'!M166-'минимумы и максимумы'!K$9)/('минимумы и максимумы'!K$10-'минимумы и максимумы'!K$9)*100)</f>
        <v>10.714285714285714</v>
      </c>
      <c r="N166">
        <f>IF('исходные данные'!N166&gt;'минимумы и максимумы'!L$10,100,('исходные данные'!N166-'минимумы и максимумы'!L$9)/('минимумы и максимумы'!L$10-'минимумы и максимумы'!L$9)*100)</f>
        <v>77.039203047143317</v>
      </c>
      <c r="O166">
        <f>IF('исходные данные'!O166&gt;'минимумы и максимумы'!M$10,100,('исходные данные'!O166-'минимумы и максимумы'!M$9)/('минимумы и максимумы'!M$10-'минимумы и максимумы'!M$9)*100)</f>
        <v>100</v>
      </c>
      <c r="P166">
        <f>IF('исходные данные'!P166&gt;'минимумы и максимумы'!N$10,100,('исходные данные'!P166-'минимумы и максимумы'!N$9)/('минимумы и максимумы'!N$10-'минимумы и максимумы'!N$9)*100)</f>
        <v>0</v>
      </c>
      <c r="Q166">
        <f>IF('исходные данные'!Q166&gt;'минимумы и максимумы'!O$10,100,('исходные данные'!Q166-'минимумы и максимумы'!O$9)/('минимумы и максимумы'!O$10-'минимумы и максимумы'!O$9)*100)</f>
        <v>100</v>
      </c>
      <c r="R166">
        <f>IF('исходные данные'!R166&gt;'минимумы и максимумы'!P$10,100,('исходные данные'!R166-'минимумы и максимумы'!P$9)/('минимумы и максимумы'!P$10-'минимумы и максимумы'!P$9)*100)</f>
        <v>50</v>
      </c>
      <c r="S166">
        <f>IF('исходные данные'!S166&gt;'минимумы и максимумы'!Q$10,100,('исходные данные'!S166-'минимумы и максимумы'!Q$9)/('минимумы и максимумы'!Q$10-'минимумы и максимумы'!Q$9)*100)</f>
        <v>16.666666666666664</v>
      </c>
      <c r="T166">
        <f>IF('исходные данные'!T166&gt;'минимумы и максимумы'!R$10,100,('исходные данные'!T166-'минимумы и максимумы'!R$9)/('минимумы и максимумы'!R$10-'минимумы и максимумы'!R$9)*100)</f>
        <v>19.533947065592635</v>
      </c>
      <c r="U166">
        <f>IF('исходные данные'!U166&gt;'минимумы и максимумы'!S$10,100,('исходные данные'!U166-'минимумы и максимумы'!S$9)/('минимумы и максимумы'!S$10-'минимумы и максимумы'!S$9)*100)</f>
        <v>66.666666666666657</v>
      </c>
    </row>
    <row r="167" spans="1:21" x14ac:dyDescent="0.45">
      <c r="A167" s="4">
        <v>241</v>
      </c>
      <c r="B167" s="4">
        <v>0</v>
      </c>
      <c r="C167" s="4">
        <v>0</v>
      </c>
      <c r="D167">
        <f>IF('исходные данные'!D167&gt;'минимумы и максимумы'!B$10,100,('исходные данные'!D167-'минимумы и максимумы'!B$9)/('минимумы и максимумы'!B$10-'минимумы и максимумы'!B$9)*100)</f>
        <v>11.111111111111111</v>
      </c>
      <c r="E167">
        <f>IF('исходные данные'!E167&gt;'минимумы и максимумы'!C$10,100,('исходные данные'!E167-'минимумы и максимумы'!C$9)/('минимумы и максимумы'!C$10-'минимумы и максимумы'!C$9)*100)</f>
        <v>60</v>
      </c>
      <c r="F167">
        <f>IF('исходные данные'!F167&gt;'минимумы и максимумы'!D$10,100,('исходные данные'!F167-'минимумы и максимумы'!D$9)/('минимумы и максимумы'!D$10-'минимумы и максимумы'!D$9)*100)</f>
        <v>33.333333333333329</v>
      </c>
      <c r="G167">
        <f>IF('исходные данные'!G167&gt;'минимумы и максимумы'!E$10,100,('исходные данные'!G167-'минимумы и максимумы'!E$9)/('минимумы и максимумы'!E$10-'минимумы и максимумы'!E$9)*100)</f>
        <v>75</v>
      </c>
      <c r="H167">
        <f>IF('исходные данные'!H167&gt;'минимумы и максимумы'!F$10,100,('исходные данные'!H167-'минимумы и максимумы'!F$9)/('минимумы и максимумы'!F$10-'минимумы и максимумы'!F$9)*100)</f>
        <v>58.620689655172406</v>
      </c>
      <c r="I167">
        <f>IF('исходные данные'!I167&gt;'минимумы и максимумы'!G$10,100,('исходные данные'!I167-'минимумы и максимумы'!G$9)/('минимумы и максимумы'!G$10-'минимумы и максимумы'!G$9)*100)</f>
        <v>13.20754716981132</v>
      </c>
      <c r="J167">
        <f>IF('исходные данные'!J167&gt;'минимумы и максимумы'!H$10,100,('исходные данные'!J167-'минимумы и максимумы'!H$9)/('минимумы и максимумы'!H$10-'минимумы и максимумы'!H$9)*100)</f>
        <v>0</v>
      </c>
      <c r="K167">
        <f>IF('исходные данные'!K167&gt;'минимумы и максимумы'!I$10,100,('исходные данные'!K167-'минимумы и максимумы'!I$9)/('минимумы и максимумы'!I$10-'минимумы и максимумы'!I$9)*100)</f>
        <v>0</v>
      </c>
      <c r="L167">
        <f>IF('исходные данные'!L167&gt;'минимумы и максимумы'!J$10,100,('исходные данные'!L167-'минимумы и максимумы'!J$9)/('минимумы и максимумы'!J$10-'минимумы и максимумы'!J$9)*100)</f>
        <v>0</v>
      </c>
      <c r="M167">
        <f>IF('исходные данные'!M167&gt;'минимумы и максимумы'!K$10,100,('исходные данные'!M167-'минимумы и максимумы'!K$9)/('минимумы и максимумы'!K$10-'минимумы и максимумы'!K$9)*100)</f>
        <v>14.285714285714285</v>
      </c>
      <c r="N167">
        <f>IF('исходные данные'!N167&gt;'минимумы и максимумы'!L$10,100,('исходные данные'!N167-'минимумы и максимумы'!L$9)/('минимумы и максимумы'!L$10-'минимумы и максимумы'!L$9)*100)</f>
        <v>75.027444908251013</v>
      </c>
      <c r="O167">
        <f>IF('исходные данные'!O167&gt;'минимумы и максимумы'!M$10,100,('исходные данные'!O167-'минимумы и максимумы'!M$9)/('минимумы и максимумы'!M$10-'минимумы и максимумы'!M$9)*100)</f>
        <v>33.333333333333329</v>
      </c>
      <c r="P167">
        <f>IF('исходные данные'!P167&gt;'минимумы и максимумы'!N$10,100,('исходные данные'!P167-'минимумы и максимумы'!N$9)/('минимумы и максимумы'!N$10-'минимумы и максимумы'!N$9)*100)</f>
        <v>0</v>
      </c>
      <c r="Q167">
        <f>IF('исходные данные'!Q167&gt;'минимумы и максимумы'!O$10,100,('исходные данные'!Q167-'минимумы и максимумы'!O$9)/('минимумы и максимумы'!O$10-'минимумы и максимумы'!O$9)*100)</f>
        <v>100</v>
      </c>
      <c r="R167">
        <f>IF('исходные данные'!R167&gt;'минимумы и максимумы'!P$10,100,('исходные данные'!R167-'минимумы и максимумы'!P$9)/('минимумы и максимумы'!P$10-'минимумы и максимумы'!P$9)*100)</f>
        <v>100</v>
      </c>
      <c r="S167">
        <f>IF('исходные данные'!S167&gt;'минимумы и максимумы'!Q$10,100,('исходные данные'!S167-'минимумы и максимумы'!Q$9)/('минимумы и максимумы'!Q$10-'минимумы и максимумы'!Q$9)*100)</f>
        <v>33.333333333333329</v>
      </c>
      <c r="T167">
        <f>IF('исходные данные'!T167&gt;'минимумы и максимумы'!R$10,100,('исходные данные'!T167-'минимумы и максимумы'!R$9)/('минимумы и максимумы'!R$10-'минимумы и максимумы'!R$9)*100)</f>
        <v>3.4522439585730722</v>
      </c>
      <c r="U167">
        <f>IF('исходные данные'!U167&gt;'минимумы и максимумы'!S$10,100,('исходные данные'!U167-'минимумы и максимумы'!S$9)/('минимумы и максимумы'!S$10-'минимумы и максимумы'!S$9)*100)</f>
        <v>0</v>
      </c>
    </row>
    <row r="168" spans="1:21" x14ac:dyDescent="0.45">
      <c r="A168" s="4">
        <v>242</v>
      </c>
      <c r="B168" s="4">
        <v>0</v>
      </c>
      <c r="C168" s="4">
        <v>0</v>
      </c>
      <c r="D168">
        <f>IF('исходные данные'!D168&gt;'минимумы и максимумы'!B$10,100,('исходные данные'!D168-'минимумы и максимумы'!B$9)/('минимумы и максимумы'!B$10-'минимумы и максимумы'!B$9)*100)</f>
        <v>11.111111111111111</v>
      </c>
      <c r="E168">
        <f>IF('исходные данные'!E168&gt;'минимумы и максимумы'!C$10,100,('исходные данные'!E168-'минимумы и максимумы'!C$9)/('минимумы и максимумы'!C$10-'минимумы и максимумы'!C$9)*100)</f>
        <v>60</v>
      </c>
      <c r="F168">
        <f>IF('исходные данные'!F168&gt;'минимумы и максимумы'!D$10,100,('исходные данные'!F168-'минимумы и максимумы'!D$9)/('минимумы и максимумы'!D$10-'минимумы и максимумы'!D$9)*100)</f>
        <v>33.333333333333329</v>
      </c>
      <c r="G168">
        <f>IF('исходные данные'!G168&gt;'минимумы и максимумы'!E$10,100,('исходные данные'!G168-'минимумы и максимумы'!E$9)/('минимумы и максимумы'!E$10-'минимумы и максимумы'!E$9)*100)</f>
        <v>75</v>
      </c>
      <c r="H168">
        <f>IF('исходные данные'!H168&gt;'минимумы и максимумы'!F$10,100,('исходные данные'!H168-'минимумы и максимумы'!F$9)/('минимумы и максимумы'!F$10-'минимумы и максимумы'!F$9)*100)</f>
        <v>58.620689655172406</v>
      </c>
      <c r="I168">
        <f>IF('исходные данные'!I168&gt;'минимумы и максимумы'!G$10,100,('исходные данные'!I168-'минимумы и максимумы'!G$9)/('минимумы и максимумы'!G$10-'минимумы и максимумы'!G$9)*100)</f>
        <v>13.20754716981132</v>
      </c>
      <c r="J168">
        <f>IF('исходные данные'!J168&gt;'минимумы и максимумы'!H$10,100,('исходные данные'!J168-'минимумы и максимумы'!H$9)/('минимумы и максимумы'!H$10-'минимумы и максимумы'!H$9)*100)</f>
        <v>0</v>
      </c>
      <c r="K168">
        <f>IF('исходные данные'!K168&gt;'минимумы и максимумы'!I$10,100,('исходные данные'!K168-'минимумы и максимумы'!I$9)/('минимумы и максимумы'!I$10-'минимумы и максимумы'!I$9)*100)</f>
        <v>0</v>
      </c>
      <c r="L168">
        <f>IF('исходные данные'!L168&gt;'минимумы и максимумы'!J$10,100,('исходные данные'!L168-'минимумы и максимумы'!J$9)/('минимумы и максимумы'!J$10-'минимумы и максимумы'!J$9)*100)</f>
        <v>0</v>
      </c>
      <c r="M168">
        <f>IF('исходные данные'!M168&gt;'минимумы и максимумы'!K$10,100,('исходные данные'!M168-'минимумы и максимумы'!K$9)/('минимумы и максимумы'!K$10-'минимумы и максимумы'!K$9)*100)</f>
        <v>14.285714285714285</v>
      </c>
      <c r="N168">
        <f>IF('исходные данные'!N168&gt;'минимумы и максимумы'!L$10,100,('исходные данные'!N168-'минимумы и максимумы'!L$9)/('минимумы и максимумы'!L$10-'минимумы и максимумы'!L$9)*100)</f>
        <v>75.304692993415017</v>
      </c>
      <c r="O168">
        <f>IF('исходные данные'!O168&gt;'минимумы и максимумы'!M$10,100,('исходные данные'!O168-'минимумы и максимумы'!M$9)/('минимумы и максимумы'!M$10-'минимумы и максимумы'!M$9)*100)</f>
        <v>100</v>
      </c>
      <c r="P168">
        <f>IF('исходные данные'!P168&gt;'минимумы и максимумы'!N$10,100,('исходные данные'!P168-'минимумы и максимумы'!N$9)/('минимумы и максимумы'!N$10-'минимумы и максимумы'!N$9)*100)</f>
        <v>0</v>
      </c>
      <c r="Q168">
        <f>IF('исходные данные'!Q168&gt;'минимумы и максимумы'!O$10,100,('исходные данные'!Q168-'минимумы и максимумы'!O$9)/('минимумы и максимумы'!O$10-'минимумы и максимумы'!O$9)*100)</f>
        <v>100</v>
      </c>
      <c r="R168">
        <f>IF('исходные данные'!R168&gt;'минимумы и максимумы'!P$10,100,('исходные данные'!R168-'минимумы и максимумы'!P$9)/('минимумы и максимумы'!P$10-'минимумы и максимумы'!P$9)*100)</f>
        <v>100</v>
      </c>
      <c r="S168">
        <f>IF('исходные данные'!S168&gt;'минимумы и максимумы'!Q$10,100,('исходные данные'!S168-'минимумы и максимумы'!Q$9)/('минимумы и максимумы'!Q$10-'минимумы и максимумы'!Q$9)*100)</f>
        <v>33.333333333333329</v>
      </c>
      <c r="T168">
        <f>IF('исходные данные'!T168&gt;'минимумы и максимумы'!R$10,100,('исходные данные'!T168-'минимумы и максимумы'!R$9)/('минимумы и максимумы'!R$10-'минимумы и максимумы'!R$9)*100)</f>
        <v>6.2140391254315306</v>
      </c>
      <c r="U168">
        <f>IF('исходные данные'!U168&gt;'минимумы и максимумы'!S$10,100,('исходные данные'!U168-'минимумы и максимумы'!S$9)/('минимумы и максимумы'!S$10-'минимумы и максимумы'!S$9)*100)</f>
        <v>33.333333333333329</v>
      </c>
    </row>
    <row r="169" spans="1:21" x14ac:dyDescent="0.45">
      <c r="A169" s="4">
        <v>244</v>
      </c>
      <c r="B169" s="4">
        <v>0</v>
      </c>
      <c r="C169" s="4">
        <v>0</v>
      </c>
      <c r="D169">
        <f>IF('исходные данные'!D169&gt;'минимумы и максимумы'!B$10,100,('исходные данные'!D169-'минимумы и максимумы'!B$9)/('минимумы и максимумы'!B$10-'минимумы и максимумы'!B$9)*100)</f>
        <v>0</v>
      </c>
      <c r="E169">
        <f>IF('исходные данные'!E169&gt;'минимумы и максимумы'!C$10,100,('исходные данные'!E169-'минимумы и максимумы'!C$9)/('минимумы и максимумы'!C$10-'минимумы и максимумы'!C$9)*100)</f>
        <v>0</v>
      </c>
      <c r="F169">
        <f>IF('исходные данные'!F169&gt;'минимумы и максимумы'!D$10,100,('исходные данные'!F169-'минимумы и максимумы'!D$9)/('минимумы и максимумы'!D$10-'минимумы и максимумы'!D$9)*100)</f>
        <v>0</v>
      </c>
      <c r="G169">
        <f>IF('исходные данные'!G169&gt;'минимумы и максимумы'!E$10,100,('исходные данные'!G169-'минимумы и максимумы'!E$9)/('минимумы и максимумы'!E$10-'минимумы и максимумы'!E$9)*100)</f>
        <v>0</v>
      </c>
      <c r="H169">
        <f>IF('исходные данные'!H169&gt;'минимумы и максимумы'!F$10,100,('исходные данные'!H169-'минимумы и максимумы'!F$9)/('минимумы и максимумы'!F$10-'минимумы и максимумы'!F$9)*100)</f>
        <v>0</v>
      </c>
      <c r="I169">
        <f>IF('исходные данные'!I169&gt;'минимумы и максимумы'!G$10,100,('исходные данные'!I169-'минимумы и максимумы'!G$9)/('минимумы и максимумы'!G$10-'минимумы и максимумы'!G$9)*100)</f>
        <v>0</v>
      </c>
      <c r="J169">
        <f>IF('исходные данные'!J169&gt;'минимумы и максимумы'!H$10,100,('исходные данные'!J169-'минимумы и максимумы'!H$9)/('минимумы и максимумы'!H$10-'минимумы и максимумы'!H$9)*100)</f>
        <v>0</v>
      </c>
      <c r="K169">
        <f>IF('исходные данные'!K169&gt;'минимумы и максимумы'!I$10,100,('исходные данные'!K169-'минимумы и максимумы'!I$9)/('минимумы и максимумы'!I$10-'минимумы и максимумы'!I$9)*100)</f>
        <v>0</v>
      </c>
      <c r="L169">
        <f>IF('исходные данные'!L169&gt;'минимумы и максимумы'!J$10,100,('исходные данные'!L169-'минимумы и максимумы'!J$9)/('минимумы и максимумы'!J$10-'минимумы и максимумы'!J$9)*100)</f>
        <v>0</v>
      </c>
      <c r="M169">
        <f>IF('исходные данные'!M169&gt;'минимумы и максимумы'!K$10,100,('исходные данные'!M169-'минимумы и максимумы'!K$9)/('минимумы и максимумы'!K$10-'минимумы и максимумы'!K$9)*100)</f>
        <v>0</v>
      </c>
      <c r="N169">
        <f>IF('исходные данные'!N169&gt;'минимумы и максимумы'!L$10,100,('исходные данные'!N169-'минимумы и максимумы'!L$9)/('минимумы и максимумы'!L$10-'минимумы и максимумы'!L$9)*100)</f>
        <v>75.913771728912721</v>
      </c>
      <c r="O169">
        <f>IF('исходные данные'!O169&gt;'минимумы и максимумы'!M$10,100,('исходные данные'!O169-'минимумы и максимумы'!M$9)/('минимумы и максимумы'!M$10-'минимумы и максимумы'!M$9)*100)</f>
        <v>66.666666666666657</v>
      </c>
      <c r="P169">
        <f>IF('исходные данные'!P169&gt;'минимумы и максимумы'!N$10,100,('исходные данные'!P169-'минимумы и максимумы'!N$9)/('минимумы и максимумы'!N$10-'минимумы и максимумы'!N$9)*100)</f>
        <v>0</v>
      </c>
      <c r="Q169">
        <f>IF('исходные данные'!Q169&gt;'минимумы и максимумы'!O$10,100,('исходные данные'!Q169-'минимумы и максимумы'!O$9)/('минимумы и максимумы'!O$10-'минимумы и максимумы'!O$9)*100)</f>
        <v>0</v>
      </c>
      <c r="R169">
        <f>IF('исходные данные'!R169&gt;'минимумы и максимумы'!P$10,100,('исходные данные'!R169-'минимумы и максимумы'!P$9)/('минимумы и максимумы'!P$10-'минимумы и максимумы'!P$9)*100)</f>
        <v>25</v>
      </c>
      <c r="S169">
        <f>IF('исходные данные'!S169&gt;'минимумы и максимумы'!Q$10,100,('исходные данные'!S169-'минимумы и максимумы'!Q$9)/('минимумы и максимумы'!Q$10-'минимумы и максимумы'!Q$9)*100)</f>
        <v>16.666666666666664</v>
      </c>
      <c r="T169">
        <f>IF('исходные данные'!T169&gt;'минимумы и максимумы'!R$10,100,('исходные данные'!T169-'минимумы и максимумы'!R$9)/('минимумы и максимумы'!R$10-'минимумы и максимумы'!R$9)*100)</f>
        <v>24.510932105868815</v>
      </c>
      <c r="U169">
        <f>IF('исходные данные'!U169&gt;'минимумы и максимумы'!S$10,100,('исходные данные'!U169-'минимумы и максимумы'!S$9)/('минимумы и максимумы'!S$10-'минимумы и максимумы'!S$9)*100)</f>
        <v>0</v>
      </c>
    </row>
    <row r="170" spans="1:21" x14ac:dyDescent="0.45">
      <c r="A170" s="4">
        <v>245</v>
      </c>
      <c r="B170" s="4">
        <v>0</v>
      </c>
      <c r="C170" s="4">
        <v>0</v>
      </c>
      <c r="D170">
        <f>IF('исходные данные'!D170&gt;'минимумы и максимумы'!B$10,100,('исходные данные'!D170-'минимумы и максимумы'!B$9)/('минимумы и максимумы'!B$10-'минимумы и максимумы'!B$9)*100)</f>
        <v>0</v>
      </c>
      <c r="E170">
        <f>IF('исходные данные'!E170&gt;'минимумы и максимумы'!C$10,100,('исходные данные'!E170-'минимумы и максимумы'!C$9)/('минимумы и максимумы'!C$10-'минимумы и максимумы'!C$9)*100)</f>
        <v>0</v>
      </c>
      <c r="F170">
        <f>IF('исходные данные'!F170&gt;'минимумы и максимумы'!D$10,100,('исходные данные'!F170-'минимумы и максимумы'!D$9)/('минимумы и максимумы'!D$10-'минимумы и максимумы'!D$9)*100)</f>
        <v>0</v>
      </c>
      <c r="G170">
        <f>IF('исходные данные'!G170&gt;'минимумы и максимумы'!E$10,100,('исходные данные'!G170-'минимумы и максимумы'!E$9)/('минимумы и максимумы'!E$10-'минимумы и максимумы'!E$9)*100)</f>
        <v>0</v>
      </c>
      <c r="H170">
        <f>IF('исходные данные'!H170&gt;'минимумы и максимумы'!F$10,100,('исходные данные'!H170-'минимумы и максимумы'!F$9)/('минимумы и максимумы'!F$10-'минимумы и максимумы'!F$9)*100)</f>
        <v>0</v>
      </c>
      <c r="I170">
        <f>IF('исходные данные'!I170&gt;'минимумы и максимумы'!G$10,100,('исходные данные'!I170-'минимумы и максимумы'!G$9)/('минимумы и максимумы'!G$10-'минимумы и максимумы'!G$9)*100)</f>
        <v>0</v>
      </c>
      <c r="J170">
        <f>IF('исходные данные'!J170&gt;'минимумы и максимумы'!H$10,100,('исходные данные'!J170-'минимумы и максимумы'!H$9)/('минимумы и максимумы'!H$10-'минимумы и максимумы'!H$9)*100)</f>
        <v>0</v>
      </c>
      <c r="K170">
        <f>IF('исходные данные'!K170&gt;'минимумы и максимумы'!I$10,100,('исходные данные'!K170-'минимумы и максимумы'!I$9)/('минимумы и максимумы'!I$10-'минимумы и максимумы'!I$9)*100)</f>
        <v>0</v>
      </c>
      <c r="L170">
        <f>IF('исходные данные'!L170&gt;'минимумы и максимумы'!J$10,100,('исходные данные'!L170-'минимумы и максимумы'!J$9)/('минимумы и максимумы'!J$10-'минимумы и максимумы'!J$9)*100)</f>
        <v>0</v>
      </c>
      <c r="M170">
        <f>IF('исходные данные'!M170&gt;'минимумы и максимумы'!K$10,100,('исходные данные'!M170-'минимумы и максимумы'!K$9)/('минимумы и максимумы'!K$10-'минимумы и максимумы'!K$9)*100)</f>
        <v>17.857142857142858</v>
      </c>
      <c r="N170">
        <f>IF('исходные данные'!N170&gt;'минимумы и максимумы'!L$10,100,('исходные данные'!N170-'минимумы и максимумы'!L$9)/('минимумы и максимумы'!L$10-'минимумы и максимумы'!L$9)*100)</f>
        <v>71.771662487088477</v>
      </c>
      <c r="O170">
        <f>IF('исходные данные'!O170&gt;'минимумы и максимумы'!M$10,100,('исходные данные'!O170-'минимумы и максимумы'!M$9)/('минимумы и максимумы'!M$10-'минимумы и максимумы'!M$9)*100)</f>
        <v>0</v>
      </c>
      <c r="P170">
        <f>IF('исходные данные'!P170&gt;'минимумы и максимумы'!N$10,100,('исходные данные'!P170-'минимумы и максимумы'!N$9)/('минимумы и максимумы'!N$10-'минимумы и максимумы'!N$9)*100)</f>
        <v>0</v>
      </c>
      <c r="Q170">
        <f>IF('исходные данные'!Q170&gt;'минимумы и максимумы'!O$10,100,('исходные данные'!Q170-'минимумы и максимумы'!O$9)/('минимумы и максимумы'!O$10-'минимумы и максимумы'!O$9)*100)</f>
        <v>0</v>
      </c>
      <c r="R170">
        <f>IF('исходные данные'!R170&gt;'минимумы и максимумы'!P$10,100,('исходные данные'!R170-'минимумы и максимумы'!P$9)/('минимумы и максимумы'!P$10-'минимумы и максимумы'!P$9)*100)</f>
        <v>25</v>
      </c>
      <c r="S170">
        <f>IF('исходные данные'!S170&gt;'минимумы и максимумы'!Q$10,100,('исходные данные'!S170-'минимумы и максимумы'!Q$9)/('минимумы и максимумы'!Q$10-'минимумы и максимумы'!Q$9)*100)</f>
        <v>16.666666666666664</v>
      </c>
      <c r="T170">
        <f>IF('исходные данные'!T170&gt;'минимумы и максимумы'!R$10,100,('исходные данные'!T170-'минимумы и максимумы'!R$9)/('минимумы и максимумы'!R$10-'минимумы и максимумы'!R$9)*100)</f>
        <v>2.6179516685845798</v>
      </c>
      <c r="U170">
        <f>IF('исходные данные'!U170&gt;'минимумы и максимумы'!S$10,100,('исходные данные'!U170-'минимумы и максимумы'!S$9)/('минимумы и максимумы'!S$10-'минимумы и максимумы'!S$9)*100)</f>
        <v>0</v>
      </c>
    </row>
    <row r="171" spans="1:21" x14ac:dyDescent="0.45">
      <c r="A171" s="4">
        <v>246</v>
      </c>
      <c r="B171" s="4">
        <v>0</v>
      </c>
      <c r="C171" s="4">
        <v>0</v>
      </c>
      <c r="D171">
        <f>IF('исходные данные'!D171&gt;'минимумы и максимумы'!B$10,100,('исходные данные'!D171-'минимумы и максимумы'!B$9)/('минимумы и максимумы'!B$10-'минимумы и максимумы'!B$9)*100)</f>
        <v>0</v>
      </c>
      <c r="E171">
        <f>IF('исходные данные'!E171&gt;'минимумы и максимумы'!C$10,100,('исходные данные'!E171-'минимумы и максимумы'!C$9)/('минимумы и максимумы'!C$10-'минимумы и максимумы'!C$9)*100)</f>
        <v>0</v>
      </c>
      <c r="F171">
        <f>IF('исходные данные'!F171&gt;'минимумы и максимумы'!D$10,100,('исходные данные'!F171-'минимумы и максимумы'!D$9)/('минимумы и максимумы'!D$10-'минимумы и максимумы'!D$9)*100)</f>
        <v>0</v>
      </c>
      <c r="G171">
        <f>IF('исходные данные'!G171&gt;'минимумы и максимумы'!E$10,100,('исходные данные'!G171-'минимумы и максимумы'!E$9)/('минимумы и максимумы'!E$10-'минимумы и максимумы'!E$9)*100)</f>
        <v>0</v>
      </c>
      <c r="H171">
        <f>IF('исходные данные'!H171&gt;'минимумы и максимумы'!F$10,100,('исходные данные'!H171-'минимумы и максимумы'!F$9)/('минимумы и максимумы'!F$10-'минимумы и максимумы'!F$9)*100)</f>
        <v>0</v>
      </c>
      <c r="I171">
        <f>IF('исходные данные'!I171&gt;'минимумы и максимумы'!G$10,100,('исходные данные'!I171-'минимумы и максимумы'!G$9)/('минимумы и максимумы'!G$10-'минимумы и максимумы'!G$9)*100)</f>
        <v>0</v>
      </c>
      <c r="J171">
        <f>IF('исходные данные'!J171&gt;'минимумы и максимумы'!H$10,100,('исходные данные'!J171-'минимумы и максимумы'!H$9)/('минимумы и максимумы'!H$10-'минимумы и максимумы'!H$9)*100)</f>
        <v>6.666666666666667</v>
      </c>
      <c r="K171">
        <f>IF('исходные данные'!K171&gt;'минимумы и максимумы'!I$10,100,('исходные данные'!K171-'минимумы и максимумы'!I$9)/('минимумы и максимумы'!I$10-'минимумы и максимумы'!I$9)*100)</f>
        <v>5.5555555555555554</v>
      </c>
      <c r="L171">
        <f>IF('исходные данные'!L171&gt;'минимумы и максимумы'!J$10,100,('исходные данные'!L171-'минимумы и максимумы'!J$9)/('минимумы и максимумы'!J$10-'минимумы и максимумы'!J$9)*100)</f>
        <v>0</v>
      </c>
      <c r="M171">
        <f>IF('исходные данные'!M171&gt;'минимумы и максимумы'!K$10,100,('исходные данные'!M171-'минимумы и максимумы'!K$9)/('минимумы и максимумы'!K$10-'минимумы и максимумы'!K$9)*100)</f>
        <v>0</v>
      </c>
      <c r="N171">
        <f>IF('исходные данные'!N171&gt;'минимумы и максимумы'!L$10,100,('исходные данные'!N171-'минимумы и максимумы'!L$9)/('минимумы и максимумы'!L$10-'минимумы и максимумы'!L$9)*100)</f>
        <v>82.329391620207787</v>
      </c>
      <c r="O171">
        <f>IF('исходные данные'!O171&gt;'минимумы и максимумы'!M$10,100,('исходные данные'!O171-'минимумы и максимумы'!M$9)/('минимумы и максимумы'!M$10-'минимумы и максимумы'!M$9)*100)</f>
        <v>33.333333333333329</v>
      </c>
      <c r="P171">
        <f>IF('исходные данные'!P171&gt;'минимумы и максимумы'!N$10,100,('исходные данные'!P171-'минимумы и максимумы'!N$9)/('минимумы и максимумы'!N$10-'минимумы и максимумы'!N$9)*100)</f>
        <v>0</v>
      </c>
      <c r="Q171">
        <f>IF('исходные данные'!Q171&gt;'минимумы и максимумы'!O$10,100,('исходные данные'!Q171-'минимумы и максимумы'!O$9)/('минимумы и максимумы'!O$10-'минимумы и максимумы'!O$9)*100)</f>
        <v>100</v>
      </c>
      <c r="R171">
        <f>IF('исходные данные'!R171&gt;'минимумы и максимумы'!P$10,100,('исходные данные'!R171-'минимумы и максимумы'!P$9)/('минимумы и максимумы'!P$10-'минимумы и максимумы'!P$9)*100)</f>
        <v>100</v>
      </c>
      <c r="S171">
        <f>IF('исходные данные'!S171&gt;'минимумы и максимумы'!Q$10,100,('исходные данные'!S171-'минимумы и максимумы'!Q$9)/('минимумы и максимумы'!Q$10-'минимумы и максимумы'!Q$9)*100)</f>
        <v>33.333333333333329</v>
      </c>
      <c r="T171">
        <f>IF('исходные данные'!T171&gt;'минимумы и максимумы'!R$10,100,('исходные данные'!T171-'минимумы и максимумы'!R$9)/('минимумы и максимумы'!R$10-'минимумы и максимумы'!R$9)*100)</f>
        <v>8.3716915995396999</v>
      </c>
      <c r="U171">
        <f>IF('исходные данные'!U171&gt;'минимумы и максимумы'!S$10,100,('исходные данные'!U171-'минимумы и максимумы'!S$9)/('минимумы и максимумы'!S$10-'минимумы и максимумы'!S$9)*100)</f>
        <v>0</v>
      </c>
    </row>
    <row r="172" spans="1:21" x14ac:dyDescent="0.45">
      <c r="A172" s="4">
        <v>248</v>
      </c>
      <c r="B172" s="4">
        <v>0</v>
      </c>
      <c r="C172" s="4">
        <v>0</v>
      </c>
      <c r="D172">
        <f>IF('исходные данные'!D172&gt;'минимумы и максимумы'!B$10,100,('исходные данные'!D172-'минимумы и максимумы'!B$9)/('минимумы и максимумы'!B$10-'минимумы и максимумы'!B$9)*100)</f>
        <v>0</v>
      </c>
      <c r="E172">
        <f>IF('исходные данные'!E172&gt;'минимумы и максимумы'!C$10,100,('исходные данные'!E172-'минимумы и максимумы'!C$9)/('минимумы и максимумы'!C$10-'минимумы и максимумы'!C$9)*100)</f>
        <v>0</v>
      </c>
      <c r="F172">
        <f>IF('исходные данные'!F172&gt;'минимумы и максимумы'!D$10,100,('исходные данные'!F172-'минимумы и максимумы'!D$9)/('минимумы и максимумы'!D$10-'минимумы и максимумы'!D$9)*100)</f>
        <v>0</v>
      </c>
      <c r="G172">
        <f>IF('исходные данные'!G172&gt;'минимумы и максимумы'!E$10,100,('исходные данные'!G172-'минимумы и максимумы'!E$9)/('минимумы и максимумы'!E$10-'минимумы и максимумы'!E$9)*100)</f>
        <v>0</v>
      </c>
      <c r="H172">
        <f>IF('исходные данные'!H172&gt;'минимумы и максимумы'!F$10,100,('исходные данные'!H172-'минимумы и максимумы'!F$9)/('минимумы и максимумы'!F$10-'минимумы и максимумы'!F$9)*100)</f>
        <v>0</v>
      </c>
      <c r="I172">
        <f>IF('исходные данные'!I172&gt;'минимумы и максимумы'!G$10,100,('исходные данные'!I172-'минимумы и максимумы'!G$9)/('минимумы и максимумы'!G$10-'минимумы и максимумы'!G$9)*100)</f>
        <v>0</v>
      </c>
      <c r="J172">
        <f>IF('исходные данные'!J172&gt;'минимумы и максимумы'!H$10,100,('исходные данные'!J172-'минимумы и максимумы'!H$9)/('минимумы и максимумы'!H$10-'минимумы и максимумы'!H$9)*100)</f>
        <v>0</v>
      </c>
      <c r="K172">
        <f>IF('исходные данные'!K172&gt;'минимумы и максимумы'!I$10,100,('исходные данные'!K172-'минимумы и максимумы'!I$9)/('минимумы и максимумы'!I$10-'минимумы и максимумы'!I$9)*100)</f>
        <v>0</v>
      </c>
      <c r="L172">
        <f>IF('исходные данные'!L172&gt;'минимумы и максимумы'!J$10,100,('исходные данные'!L172-'минимумы и максимумы'!J$9)/('минимумы и максимумы'!J$10-'минимумы и максимумы'!J$9)*100)</f>
        <v>0</v>
      </c>
      <c r="M172">
        <f>IF('исходные данные'!M172&gt;'минимумы и максимумы'!K$10,100,('исходные данные'!M172-'минимумы и максимумы'!K$9)/('минимумы и максимумы'!K$10-'минимумы и максимумы'!K$9)*100)</f>
        <v>7.1428571428571423</v>
      </c>
      <c r="N172">
        <f>IF('исходные данные'!N172&gt;'минимумы и максимумы'!L$10,100,('исходные данные'!N172-'минимумы и максимумы'!L$9)/('минимумы и максимумы'!L$10-'минимумы и максимумы'!L$9)*100)</f>
        <v>73.798746988182145</v>
      </c>
      <c r="O172">
        <f>IF('исходные данные'!O172&gt;'минимумы и максимумы'!M$10,100,('исходные данные'!O172-'минимумы и максимумы'!M$9)/('минимумы и максимумы'!M$10-'минимумы и максимумы'!M$9)*100)</f>
        <v>33.333333333333329</v>
      </c>
      <c r="P172">
        <f>IF('исходные данные'!P172&gt;'минимумы и максимумы'!N$10,100,('исходные данные'!P172-'минимумы и максимумы'!N$9)/('минимумы и максимумы'!N$10-'минимумы и максимумы'!N$9)*100)</f>
        <v>0</v>
      </c>
      <c r="Q172">
        <f>IF('исходные данные'!Q172&gt;'минимумы и максимумы'!O$10,100,('исходные данные'!Q172-'минимумы и максимумы'!O$9)/('минимумы и максимумы'!O$10-'минимумы и максимумы'!O$9)*100)</f>
        <v>0</v>
      </c>
      <c r="R172">
        <f>IF('исходные данные'!R172&gt;'минимумы и максимумы'!P$10,100,('исходные данные'!R172-'минимумы и максимумы'!P$9)/('минимумы и максимумы'!P$10-'минимумы и максимумы'!P$9)*100)</f>
        <v>50</v>
      </c>
      <c r="S172">
        <f>IF('исходные данные'!S172&gt;'минимумы и максимумы'!Q$10,100,('исходные данные'!S172-'минимумы и максимумы'!Q$9)/('минимумы и максимумы'!Q$10-'минимумы и максимумы'!Q$9)*100)</f>
        <v>16.666666666666664</v>
      </c>
      <c r="T172">
        <f>IF('исходные данные'!T172&gt;'минимумы и максимумы'!R$10,100,('исходные данные'!T172-'минимумы и максимумы'!R$9)/('минимумы и максимумы'!R$10-'минимумы и максимумы'!R$9)*100)</f>
        <v>8.8032220943613346</v>
      </c>
      <c r="U172">
        <f>IF('исходные данные'!U172&gt;'минимумы и максимумы'!S$10,100,('исходные данные'!U172-'минимумы и максимумы'!S$9)/('минимумы и максимумы'!S$10-'минимумы и максимумы'!S$9)*100)</f>
        <v>66.666666666666657</v>
      </c>
    </row>
    <row r="173" spans="1:21" x14ac:dyDescent="0.45">
      <c r="A173" s="4">
        <v>249</v>
      </c>
      <c r="B173" s="4">
        <v>0</v>
      </c>
      <c r="C173" s="4">
        <v>0</v>
      </c>
      <c r="D173">
        <f>IF('исходные данные'!D173&gt;'минимумы и максимумы'!B$10,100,('исходные данные'!D173-'минимумы и максимумы'!B$9)/('минимумы и максимумы'!B$10-'минимумы и максимумы'!B$9)*100)</f>
        <v>0</v>
      </c>
      <c r="E173">
        <f>IF('исходные данные'!E173&gt;'минимумы и максимумы'!C$10,100,('исходные данные'!E173-'минимумы и максимумы'!C$9)/('минимумы и максимумы'!C$10-'минимумы и максимумы'!C$9)*100)</f>
        <v>0</v>
      </c>
      <c r="F173">
        <f>IF('исходные данные'!F173&gt;'минимумы и максимумы'!D$10,100,('исходные данные'!F173-'минимумы и максимумы'!D$9)/('минимумы и максимумы'!D$10-'минимумы и максимумы'!D$9)*100)</f>
        <v>0</v>
      </c>
      <c r="G173">
        <f>IF('исходные данные'!G173&gt;'минимумы и максимумы'!E$10,100,('исходные данные'!G173-'минимумы и максимумы'!E$9)/('минимумы и максимумы'!E$10-'минимумы и максимумы'!E$9)*100)</f>
        <v>0</v>
      </c>
      <c r="H173">
        <f>IF('исходные данные'!H173&gt;'минимумы и максимумы'!F$10,100,('исходные данные'!H173-'минимумы и максимумы'!F$9)/('минимумы и максимумы'!F$10-'минимумы и максимумы'!F$9)*100)</f>
        <v>0</v>
      </c>
      <c r="I173">
        <f>IF('исходные данные'!I173&gt;'минимумы и максимумы'!G$10,100,('исходные данные'!I173-'минимумы и максимумы'!G$9)/('минимумы и максимумы'!G$10-'минимумы и максимумы'!G$9)*100)</f>
        <v>0</v>
      </c>
      <c r="J173">
        <f>IF('исходные данные'!J173&gt;'минимумы и максимумы'!H$10,100,('исходные данные'!J173-'минимумы и максимумы'!H$9)/('минимумы и максимумы'!H$10-'минимумы и максимумы'!H$9)*100)</f>
        <v>0</v>
      </c>
      <c r="K173">
        <f>IF('исходные данные'!K173&gt;'минимумы и максимумы'!I$10,100,('исходные данные'!K173-'минимумы и максимумы'!I$9)/('минимумы и максимумы'!I$10-'минимумы и максимумы'!I$9)*100)</f>
        <v>0</v>
      </c>
      <c r="L173">
        <f>IF('исходные данные'!L173&gt;'минимумы и максимумы'!J$10,100,('исходные данные'!L173-'минимумы и максимумы'!J$9)/('минимумы и максимумы'!J$10-'минимумы и максимумы'!J$9)*100)</f>
        <v>0</v>
      </c>
      <c r="M173">
        <f>IF('исходные данные'!M173&gt;'минимумы и максимумы'!K$10,100,('исходные данные'!M173-'минимумы и максимумы'!K$9)/('минимумы и максимумы'!K$10-'минимумы и максимумы'!K$9)*100)</f>
        <v>0</v>
      </c>
      <c r="N173">
        <f>IF('исходные данные'!N173&gt;'минимумы и максимумы'!L$10,100,('исходные данные'!N173-'минимумы и максимумы'!L$9)/('минимумы и максимумы'!L$10-'минимумы и максимумы'!L$9)*100)</f>
        <v>81.294214562955119</v>
      </c>
      <c r="O173">
        <f>IF('исходные данные'!O173&gt;'минимумы и максимумы'!M$10,100,('исходные данные'!O173-'минимумы и максимумы'!M$9)/('минимумы и максимумы'!M$10-'минимумы и максимумы'!M$9)*100)</f>
        <v>33.333333333333329</v>
      </c>
      <c r="P173">
        <f>IF('исходные данные'!P173&gt;'минимумы и максимумы'!N$10,100,('исходные данные'!P173-'минимумы и максимумы'!N$9)/('минимумы и максимумы'!N$10-'минимумы и максимумы'!N$9)*100)</f>
        <v>0</v>
      </c>
      <c r="Q173">
        <f>IF('исходные данные'!Q173&gt;'минимумы и максимумы'!O$10,100,('исходные данные'!Q173-'минимумы и максимумы'!O$9)/('минимумы и максимумы'!O$10-'минимумы и максимумы'!O$9)*100)</f>
        <v>100</v>
      </c>
      <c r="R173">
        <f>IF('исходные данные'!R173&gt;'минимумы и максимумы'!P$10,100,('исходные данные'!R173-'минимумы и максимумы'!P$9)/('минимумы и максимумы'!P$10-'минимумы и максимумы'!P$9)*100)</f>
        <v>100</v>
      </c>
      <c r="S173">
        <f>IF('исходные данные'!S173&gt;'минимумы и максимумы'!Q$10,100,('исходные данные'!S173-'минимумы и максимумы'!Q$9)/('минимумы и максимумы'!Q$10-'минимумы и максимумы'!Q$9)*100)</f>
        <v>33.333333333333329</v>
      </c>
      <c r="T173">
        <f>IF('исходные данные'!T173&gt;'минимумы и максимумы'!R$10,100,('исходные данные'!T173-'минимумы и максимумы'!R$9)/('минимумы и максимумы'!R$10-'минимумы и максимумы'!R$9)*100)</f>
        <v>9.8388952819332562</v>
      </c>
      <c r="U173">
        <f>IF('исходные данные'!U173&gt;'минимумы и максимумы'!S$10,100,('исходные данные'!U173-'минимумы и максимумы'!S$9)/('минимумы и максимумы'!S$10-'минимумы и максимумы'!S$9)*100)</f>
        <v>33.333333333333329</v>
      </c>
    </row>
    <row r="174" spans="1:21" x14ac:dyDescent="0.45">
      <c r="A174" s="4">
        <v>250</v>
      </c>
      <c r="B174" s="4">
        <v>0</v>
      </c>
      <c r="C174" s="4">
        <v>1</v>
      </c>
      <c r="D174">
        <f>IF('исходные данные'!D174&gt;'минимумы и максимумы'!B$10,100,('исходные данные'!D174-'минимумы и максимумы'!B$9)/('минимумы и максимумы'!B$10-'минимумы и максимумы'!B$9)*100)</f>
        <v>0</v>
      </c>
      <c r="E174">
        <f>IF('исходные данные'!E174&gt;'минимумы и максимумы'!C$10,100,('исходные данные'!E174-'минимумы и максимумы'!C$9)/('минимумы и максимумы'!C$10-'минимумы и максимумы'!C$9)*100)</f>
        <v>10</v>
      </c>
      <c r="F174">
        <f>IF('исходные данные'!F174&gt;'минимумы и максимумы'!D$10,100,('исходные данные'!F174-'минимумы и максимумы'!D$9)/('минимумы и максимумы'!D$10-'минимумы и максимумы'!D$9)*100)</f>
        <v>0</v>
      </c>
      <c r="G174">
        <f>IF('исходные данные'!G174&gt;'минимумы и максимумы'!E$10,100,('исходные данные'!G174-'минимумы и максимумы'!E$9)/('минимумы и максимумы'!E$10-'минимумы и максимумы'!E$9)*100)</f>
        <v>0</v>
      </c>
      <c r="H174">
        <f>IF('исходные данные'!H174&gt;'минимумы и максимумы'!F$10,100,('исходные данные'!H174-'минимумы и максимумы'!F$9)/('минимумы и максимумы'!F$10-'минимумы и максимумы'!F$9)*100)</f>
        <v>13.793103448275861</v>
      </c>
      <c r="I174">
        <f>IF('исходные данные'!I174&gt;'минимумы и максимумы'!G$10,100,('исходные данные'!I174-'минимумы и максимумы'!G$9)/('минимумы и максимумы'!G$10-'минимумы и максимумы'!G$9)*100)</f>
        <v>30.188679245283019</v>
      </c>
      <c r="J174">
        <f>IF('исходные данные'!J174&gt;'минимумы и максимумы'!H$10,100,('исходные данные'!J174-'минимумы и максимумы'!H$9)/('минимумы и максимумы'!H$10-'минимумы и максимумы'!H$9)*100)</f>
        <v>0</v>
      </c>
      <c r="K174">
        <f>IF('исходные данные'!K174&gt;'минимумы и максимумы'!I$10,100,('исходные данные'!K174-'минимумы и максимумы'!I$9)/('минимумы и максимумы'!I$10-'минимумы и максимумы'!I$9)*100)</f>
        <v>22.222222222222221</v>
      </c>
      <c r="L174">
        <f>IF('исходные данные'!L174&gt;'минимумы и максимумы'!J$10,100,('исходные данные'!L174-'минимумы и максимумы'!J$9)/('минимумы и максимумы'!J$10-'минимумы и максимумы'!J$9)*100)</f>
        <v>7.1428571428571423</v>
      </c>
      <c r="M174">
        <f>IF('исходные данные'!M174&gt;'минимумы и максимумы'!K$10,100,('исходные данные'!M174-'минимумы и максимумы'!K$9)/('минимумы и максимумы'!K$10-'минимумы и максимумы'!K$9)*100)</f>
        <v>42.857142857142854</v>
      </c>
      <c r="N174">
        <f>IF('исходные данные'!N174&gt;'минимумы и максимумы'!L$10,100,('исходные данные'!N174-'минимумы и максимумы'!L$9)/('минимумы и максимумы'!L$10-'минимумы и максимумы'!L$9)*100)</f>
        <v>28.068117395499076</v>
      </c>
      <c r="O174">
        <f>IF('исходные данные'!O174&gt;'минимумы и максимумы'!M$10,100,('исходные данные'!O174-'минимумы и максимумы'!M$9)/('минимумы и максимумы'!M$10-'минимумы и максимумы'!M$9)*100)</f>
        <v>100</v>
      </c>
      <c r="P174">
        <f>IF('исходные данные'!P174&gt;'минимумы и максимумы'!N$10,100,('исходные данные'!P174-'минимумы и максимумы'!N$9)/('минимумы и максимумы'!N$10-'минимумы и максимумы'!N$9)*100)</f>
        <v>100</v>
      </c>
      <c r="Q174">
        <f>IF('исходные данные'!Q174&gt;'минимумы и максимумы'!O$10,100,('исходные данные'!Q174-'минимумы и максимумы'!O$9)/('минимумы и максимумы'!O$10-'минимумы и максимумы'!O$9)*100)</f>
        <v>0</v>
      </c>
      <c r="R174">
        <f>IF('исходные данные'!R174&gt;'минимумы и максимумы'!P$10,100,('исходные данные'!R174-'минимумы и максимумы'!P$9)/('минимумы и максимумы'!P$10-'минимумы и максимумы'!P$9)*100)</f>
        <v>50</v>
      </c>
      <c r="S174">
        <f>IF('исходные данные'!S174&gt;'минимумы и максимумы'!Q$10,100,('исходные данные'!S174-'минимумы и максимумы'!Q$9)/('минимумы и максимумы'!Q$10-'минимумы и максимумы'!Q$9)*100)</f>
        <v>33.333333333333329</v>
      </c>
      <c r="T174">
        <f>IF('исходные данные'!T174&gt;'минимумы и максимумы'!R$10,100,('исходные данные'!T174-'минимумы и максимумы'!R$9)/('минимумы и максимумы'!R$10-'минимумы и максимумы'!R$9)*100)</f>
        <v>9.9827387802071339</v>
      </c>
      <c r="U174">
        <f>IF('исходные данные'!U174&gt;'минимумы и максимумы'!S$10,100,('исходные данные'!U174-'минимумы и максимумы'!S$9)/('минимумы и максимумы'!S$10-'минимумы и максимумы'!S$9)*100)</f>
        <v>0</v>
      </c>
    </row>
    <row r="175" spans="1:21" x14ac:dyDescent="0.45">
      <c r="A175" s="4">
        <v>253</v>
      </c>
      <c r="B175" s="4">
        <v>0</v>
      </c>
      <c r="C175" s="4">
        <v>0</v>
      </c>
      <c r="D175">
        <f>IF('исходные данные'!D175&gt;'минимумы и максимумы'!B$10,100,('исходные данные'!D175-'минимумы и максимумы'!B$9)/('минимумы и максимумы'!B$10-'минимумы и максимумы'!B$9)*100)</f>
        <v>11.111111111111111</v>
      </c>
      <c r="E175">
        <f>IF('исходные данные'!E175&gt;'минимумы и максимумы'!C$10,100,('исходные данные'!E175-'минимумы и максимумы'!C$9)/('минимумы и максимумы'!C$10-'минимумы и максимумы'!C$9)*100)</f>
        <v>0</v>
      </c>
      <c r="F175">
        <f>IF('исходные данные'!F175&gt;'минимумы и максимумы'!D$10,100,('исходные данные'!F175-'минимумы и максимумы'!D$9)/('минимумы и максимумы'!D$10-'минимумы и максимумы'!D$9)*100)</f>
        <v>33.333333333333329</v>
      </c>
      <c r="G175">
        <f>IF('исходные данные'!G175&gt;'минимумы и максимумы'!E$10,100,('исходные данные'!G175-'минимумы и максимумы'!E$9)/('минимумы и максимумы'!E$10-'минимумы и максимумы'!E$9)*100)</f>
        <v>4.1666666666666661</v>
      </c>
      <c r="H175">
        <f>IF('исходные данные'!H175&gt;'минимумы и максимумы'!F$10,100,('исходные данные'!H175-'минимумы и максимумы'!F$9)/('минимумы и максимумы'!F$10-'минимумы и максимумы'!F$9)*100)</f>
        <v>3.4482758620689653</v>
      </c>
      <c r="I175">
        <f>IF('исходные данные'!I175&gt;'минимумы и максимумы'!G$10,100,('исходные данные'!I175-'минимумы и максимумы'!G$9)/('минимумы и максимумы'!G$10-'минимумы и максимумы'!G$9)*100)</f>
        <v>9.433962264150944</v>
      </c>
      <c r="J175">
        <f>IF('исходные данные'!J175&gt;'минимумы и максимумы'!H$10,100,('исходные данные'!J175-'минимумы и максимумы'!H$9)/('минимумы и максимумы'!H$10-'минимумы и максимумы'!H$9)*100)</f>
        <v>13.333333333333334</v>
      </c>
      <c r="K175">
        <f>IF('исходные данные'!K175&gt;'минимумы и максимумы'!I$10,100,('исходные данные'!K175-'минимумы и максимумы'!I$9)/('минимумы и максимумы'!I$10-'минимумы и максимумы'!I$9)*100)</f>
        <v>22.222222222222221</v>
      </c>
      <c r="L175">
        <f>IF('исходные данные'!L175&gt;'минимумы и максимумы'!J$10,100,('исходные данные'!L175-'минимумы и максимумы'!J$9)/('минимумы и максимумы'!J$10-'минимумы и максимумы'!J$9)*100)</f>
        <v>0</v>
      </c>
      <c r="M175">
        <f>IF('исходные данные'!M175&gt;'минимумы и максимумы'!K$10,100,('исходные данные'!M175-'минимумы и максимумы'!K$9)/('минимумы и максимумы'!K$10-'минимумы и максимумы'!K$9)*100)</f>
        <v>28.571428571428569</v>
      </c>
      <c r="N175">
        <f>IF('исходные данные'!N175&gt;'минимумы и максимумы'!L$10,100,('исходные данные'!N175-'минимумы и максимумы'!L$9)/('минимумы и максимумы'!L$10-'минимумы и максимумы'!L$9)*100)</f>
        <v>42.2919818668855</v>
      </c>
      <c r="O175">
        <f>IF('исходные данные'!O175&gt;'минимумы и максимумы'!M$10,100,('исходные данные'!O175-'минимумы и максимумы'!M$9)/('минимумы и максимумы'!M$10-'минимумы и максимумы'!M$9)*100)</f>
        <v>33.333333333333329</v>
      </c>
      <c r="P175">
        <f>IF('исходные данные'!P175&gt;'минимумы и максимумы'!N$10,100,('исходные данные'!P175-'минимумы и максимумы'!N$9)/('минимумы и максимумы'!N$10-'минимумы и максимумы'!N$9)*100)</f>
        <v>0</v>
      </c>
      <c r="Q175">
        <f>IF('исходные данные'!Q175&gt;'минимумы и максимумы'!O$10,100,('исходные данные'!Q175-'минимумы и максимумы'!O$9)/('минимумы и максимумы'!O$10-'минимумы и максимумы'!O$9)*100)</f>
        <v>100</v>
      </c>
      <c r="R175">
        <f>IF('исходные данные'!R175&gt;'минимумы и максимумы'!P$10,100,('исходные данные'!R175-'минимумы и максимумы'!P$9)/('минимумы и максимумы'!P$10-'минимумы и максимумы'!P$9)*100)</f>
        <v>75</v>
      </c>
      <c r="S175">
        <f>IF('исходные данные'!S175&gt;'минимумы и максимумы'!Q$10,100,('исходные данные'!S175-'минимумы и максимумы'!Q$9)/('минимумы и максимумы'!Q$10-'минимумы и максимумы'!Q$9)*100)</f>
        <v>33.333333333333329</v>
      </c>
      <c r="T175">
        <f>IF('исходные данные'!T175&gt;'минимумы и максимумы'!R$10,100,('исходные данные'!T175-'минимумы и максимумы'!R$9)/('минимумы и максимумы'!R$10-'минимумы и максимумы'!R$9)*100)</f>
        <v>4.0276179516685851</v>
      </c>
      <c r="U175">
        <f>IF('исходные данные'!U175&gt;'минимумы и максимумы'!S$10,100,('исходные данные'!U175-'минимумы и максимумы'!S$9)/('минимумы и максимумы'!S$10-'минимумы и максимумы'!S$9)*100)</f>
        <v>0</v>
      </c>
    </row>
    <row r="176" spans="1:21" x14ac:dyDescent="0.45">
      <c r="A176" s="4">
        <v>255</v>
      </c>
      <c r="B176" s="4">
        <v>0</v>
      </c>
      <c r="C176" s="4">
        <v>0</v>
      </c>
      <c r="D176">
        <f>IF('исходные данные'!D176&gt;'минимумы и максимумы'!B$10,100,('исходные данные'!D176-'минимумы и максимумы'!B$9)/('минимумы и максимумы'!B$10-'минимумы и максимумы'!B$9)*100)</f>
        <v>22.222222222222221</v>
      </c>
      <c r="E176">
        <f>IF('исходные данные'!E176&gt;'минимумы и максимумы'!C$10,100,('исходные данные'!E176-'минимумы и максимумы'!C$9)/('минимумы и максимумы'!C$10-'минимумы и максимумы'!C$9)*100)</f>
        <v>20</v>
      </c>
      <c r="F176">
        <f>IF('исходные данные'!F176&gt;'минимумы и максимумы'!D$10,100,('исходные данные'!F176-'минимумы и максимумы'!D$9)/('минимумы и максимумы'!D$10-'минимумы и максимумы'!D$9)*100)</f>
        <v>66.666666666666657</v>
      </c>
      <c r="G176">
        <f>IF('исходные данные'!G176&gt;'минимумы и максимумы'!E$10,100,('исходные данные'!G176-'минимумы и максимумы'!E$9)/('минимумы и максимумы'!E$10-'минимумы и максимумы'!E$9)*100)</f>
        <v>41.666666666666671</v>
      </c>
      <c r="H176">
        <f>IF('исходные данные'!H176&gt;'минимумы и максимумы'!F$10,100,('исходные данные'!H176-'минимумы и максимумы'!F$9)/('минимумы и максимумы'!F$10-'минимумы и максимумы'!F$9)*100)</f>
        <v>41.379310344827587</v>
      </c>
      <c r="I176">
        <f>IF('исходные данные'!I176&gt;'минимумы и максимумы'!G$10,100,('исходные данные'!I176-'минимумы и максимумы'!G$9)/('минимумы и максимумы'!G$10-'минимумы и максимумы'!G$9)*100)</f>
        <v>33.962264150943398</v>
      </c>
      <c r="J176">
        <f>IF('исходные данные'!J176&gt;'минимумы и максимумы'!H$10,100,('исходные данные'!J176-'минимумы и максимумы'!H$9)/('минимумы и максимумы'!H$10-'минимумы и максимумы'!H$9)*100)</f>
        <v>20</v>
      </c>
      <c r="K176">
        <f>IF('исходные данные'!K176&gt;'минимумы и максимумы'!I$10,100,('исходные данные'!K176-'минимумы и максимумы'!I$9)/('минимумы и максимумы'!I$10-'минимумы и максимумы'!I$9)*100)</f>
        <v>44.444444444444443</v>
      </c>
      <c r="L176">
        <f>IF('исходные данные'!L176&gt;'минимумы и максимумы'!J$10,100,('исходные данные'!L176-'минимумы и максимумы'!J$9)/('минимумы и максимумы'!J$10-'минимумы и максимумы'!J$9)*100)</f>
        <v>0</v>
      </c>
      <c r="M176">
        <f>IF('исходные данные'!M176&gt;'минимумы и максимумы'!K$10,100,('исходные данные'!M176-'минимумы и максимумы'!K$9)/('минимумы и максимумы'!K$10-'минимумы и максимумы'!K$9)*100)</f>
        <v>50</v>
      </c>
      <c r="N176">
        <f>IF('исходные данные'!N176&gt;'минимумы и максимумы'!L$10,100,('исходные данные'!N176-'минимумы и максимумы'!L$9)/('минимумы и максимумы'!L$10-'минимумы и максимумы'!L$9)*100)</f>
        <v>44.289163291572784</v>
      </c>
      <c r="O176">
        <f>IF('исходные данные'!O176&gt;'минимумы и максимумы'!M$10,100,('исходные данные'!O176-'минимумы и максимумы'!M$9)/('минимумы и максимумы'!M$10-'минимумы и максимумы'!M$9)*100)</f>
        <v>0</v>
      </c>
      <c r="P176">
        <f>IF('исходные данные'!P176&gt;'минимумы и максимумы'!N$10,100,('исходные данные'!P176-'минимумы и максимумы'!N$9)/('минимумы и максимумы'!N$10-'минимумы и максимумы'!N$9)*100)</f>
        <v>0</v>
      </c>
      <c r="Q176">
        <f>IF('исходные данные'!Q176&gt;'минимумы и максимумы'!O$10,100,('исходные данные'!Q176-'минимумы и максимумы'!O$9)/('минимумы и максимумы'!O$10-'минимумы и максимумы'!O$9)*100)</f>
        <v>100</v>
      </c>
      <c r="R176">
        <f>IF('исходные данные'!R176&gt;'минимумы и максимумы'!P$10,100,('исходные данные'!R176-'минимумы и максимумы'!P$9)/('минимумы и максимумы'!P$10-'минимумы и максимумы'!P$9)*100)</f>
        <v>25</v>
      </c>
      <c r="S176">
        <f>IF('исходные данные'!S176&gt;'минимумы и максимумы'!Q$10,100,('исходные данные'!S176-'минимумы и максимумы'!Q$9)/('минимумы и максимумы'!Q$10-'минимумы и максимумы'!Q$9)*100)</f>
        <v>33.333333333333329</v>
      </c>
      <c r="T176">
        <f>IF('исходные данные'!T176&gt;'минимумы и максимумы'!R$10,100,('исходные данные'!T176-'минимумы и максимумы'!R$9)/('минимумы и максимумы'!R$10-'минимумы и максимумы'!R$9)*100)</f>
        <v>7.7675489067894139</v>
      </c>
      <c r="U176">
        <f>IF('исходные данные'!U176&gt;'минимумы и максимумы'!S$10,100,('исходные данные'!U176-'минимумы и максимумы'!S$9)/('минимумы и максимумы'!S$10-'минимумы и максимумы'!S$9)*100)</f>
        <v>33.333333333333329</v>
      </c>
    </row>
    <row r="177" spans="1:21" x14ac:dyDescent="0.45">
      <c r="A177" s="4">
        <v>256</v>
      </c>
      <c r="B177" s="4">
        <v>0</v>
      </c>
      <c r="C177" s="4">
        <v>0</v>
      </c>
      <c r="D177">
        <f>IF('исходные данные'!D177&gt;'минимумы и максимумы'!B$10,100,('исходные данные'!D177-'минимумы и максимумы'!B$9)/('минимумы и максимумы'!B$10-'минимумы и максимумы'!B$9)*100)</f>
        <v>22.222222222222221</v>
      </c>
      <c r="E177">
        <f>IF('исходные данные'!E177&gt;'минимумы и максимумы'!C$10,100,('исходные данные'!E177-'минимумы и максимумы'!C$9)/('минимумы и максимумы'!C$10-'минимумы и максимумы'!C$9)*100)</f>
        <v>20</v>
      </c>
      <c r="F177">
        <f>IF('исходные данные'!F177&gt;'минимумы и максимумы'!D$10,100,('исходные данные'!F177-'минимумы и максимумы'!D$9)/('минимумы и максимумы'!D$10-'минимумы и максимумы'!D$9)*100)</f>
        <v>66.666666666666657</v>
      </c>
      <c r="G177">
        <f>IF('исходные данные'!G177&gt;'минимумы и максимумы'!E$10,100,('исходные данные'!G177-'минимумы и максимумы'!E$9)/('минимумы и максимумы'!E$10-'минимумы и максимумы'!E$9)*100)</f>
        <v>41.666666666666671</v>
      </c>
      <c r="H177">
        <f>IF('исходные данные'!H177&gt;'минимумы и максимумы'!F$10,100,('исходные данные'!H177-'минимумы и максимумы'!F$9)/('минимумы и максимумы'!F$10-'минимумы и максимумы'!F$9)*100)</f>
        <v>41.379310344827587</v>
      </c>
      <c r="I177">
        <f>IF('исходные данные'!I177&gt;'минимумы и максимумы'!G$10,100,('исходные данные'!I177-'минимумы и максимумы'!G$9)/('минимумы и максимумы'!G$10-'минимумы и максимумы'!G$9)*100)</f>
        <v>33.962264150943398</v>
      </c>
      <c r="J177">
        <f>IF('исходные данные'!J177&gt;'минимумы и максимумы'!H$10,100,('исходные данные'!J177-'минимумы и максимумы'!H$9)/('минимумы и максимумы'!H$10-'минимумы и максимумы'!H$9)*100)</f>
        <v>20</v>
      </c>
      <c r="K177">
        <f>IF('исходные данные'!K177&gt;'минимумы и максимумы'!I$10,100,('исходные данные'!K177-'минимумы и максимумы'!I$9)/('минимумы и максимумы'!I$10-'минимумы и максимумы'!I$9)*100)</f>
        <v>44.444444444444443</v>
      </c>
      <c r="L177">
        <f>IF('исходные данные'!L177&gt;'минимумы и максимумы'!J$10,100,('исходные данные'!L177-'минимумы и максимумы'!J$9)/('минимумы и максимумы'!J$10-'минимумы и максимумы'!J$9)*100)</f>
        <v>0</v>
      </c>
      <c r="M177">
        <f>IF('исходные данные'!M177&gt;'минимумы и максимумы'!K$10,100,('исходные данные'!M177-'минимумы и максимумы'!K$9)/('минимумы и максимумы'!K$10-'минимумы и максимумы'!K$9)*100)</f>
        <v>50</v>
      </c>
      <c r="N177">
        <f>IF('исходные данные'!N177&gt;'минимумы и максимумы'!L$10,100,('исходные данные'!N177-'минимумы и максимумы'!L$9)/('минимумы и максимумы'!L$10-'минимумы и максимумы'!L$9)*100)</f>
        <v>44.858777546591696</v>
      </c>
      <c r="O177">
        <f>IF('исходные данные'!O177&gt;'минимумы и максимумы'!M$10,100,('исходные данные'!O177-'минимумы и максимумы'!M$9)/('минимумы и максимумы'!M$10-'минимумы и максимумы'!M$9)*100)</f>
        <v>66.666666666666657</v>
      </c>
      <c r="P177">
        <f>IF('исходные данные'!P177&gt;'минимумы и максимумы'!N$10,100,('исходные данные'!P177-'минимумы и максимумы'!N$9)/('минимумы и максимумы'!N$10-'минимумы и максимумы'!N$9)*100)</f>
        <v>0</v>
      </c>
      <c r="Q177">
        <f>IF('исходные данные'!Q177&gt;'минимумы и максимумы'!O$10,100,('исходные данные'!Q177-'минимумы и максимумы'!O$9)/('минимумы и максимумы'!O$10-'минимумы и максимумы'!O$9)*100)</f>
        <v>100</v>
      </c>
      <c r="R177">
        <f>IF('исходные данные'!R177&gt;'минимумы и максимумы'!P$10,100,('исходные данные'!R177-'минимумы и максимумы'!P$9)/('минимумы и максимумы'!P$10-'минимумы и максимумы'!P$9)*100)</f>
        <v>100</v>
      </c>
      <c r="S177">
        <f>IF('исходные данные'!S177&gt;'минимумы и максимумы'!Q$10,100,('исходные данные'!S177-'минимумы и максимумы'!Q$9)/('минимумы и максимумы'!Q$10-'минимумы и максимумы'!Q$9)*100)</f>
        <v>16.666666666666664</v>
      </c>
      <c r="T177">
        <f>IF('исходные данные'!T177&gt;'минимумы и максимумы'!R$10,100,('исходные данные'!T177-'минимумы и максимумы'!R$9)/('минимумы и максимумы'!R$10-'минимумы и максимумы'!R$9)*100)</f>
        <v>15.276179516685845</v>
      </c>
      <c r="U177">
        <f>IF('исходные данные'!U177&gt;'минимумы и максимумы'!S$10,100,('исходные данные'!U177-'минимумы и максимумы'!S$9)/('минимумы и максимумы'!S$10-'минимумы и максимумы'!S$9)*100)</f>
        <v>0</v>
      </c>
    </row>
    <row r="178" spans="1:21" x14ac:dyDescent="0.45">
      <c r="A178" s="4">
        <v>260</v>
      </c>
      <c r="B178" s="4">
        <v>0</v>
      </c>
      <c r="C178" s="4">
        <v>0</v>
      </c>
      <c r="D178">
        <f>IF('исходные данные'!D178&gt;'минимумы и максимумы'!B$10,100,('исходные данные'!D178-'минимумы и максимумы'!B$9)/('минимумы и максимумы'!B$10-'минимумы и максимумы'!B$9)*100)</f>
        <v>0</v>
      </c>
      <c r="E178">
        <f>IF('исходные данные'!E178&gt;'минимумы и максимумы'!C$10,100,('исходные данные'!E178-'минимумы и максимумы'!C$9)/('минимумы и максимумы'!C$10-'минимумы и максимумы'!C$9)*100)</f>
        <v>10</v>
      </c>
      <c r="F178">
        <f>IF('исходные данные'!F178&gt;'минимумы и максимумы'!D$10,100,('исходные данные'!F178-'минимумы и максимумы'!D$9)/('минимумы и максимумы'!D$10-'минимумы и максимумы'!D$9)*100)</f>
        <v>0</v>
      </c>
      <c r="G178">
        <f>IF('исходные данные'!G178&gt;'минимумы и максимумы'!E$10,100,('исходные данные'!G178-'минимумы и максимумы'!E$9)/('минимумы и максимумы'!E$10-'минимумы и максимумы'!E$9)*100)</f>
        <v>8.3333333333333321</v>
      </c>
      <c r="H178">
        <f>IF('исходные данные'!H178&gt;'минимумы и максимумы'!F$10,100,('исходные данные'!H178-'минимумы и максимумы'!F$9)/('минимумы и максимумы'!F$10-'минимумы и максимумы'!F$9)*100)</f>
        <v>3.4482758620689653</v>
      </c>
      <c r="I178">
        <f>IF('исходные данные'!I178&gt;'минимумы и максимумы'!G$10,100,('исходные данные'!I178-'минимумы и максимумы'!G$9)/('минимумы и максимумы'!G$10-'минимумы и максимумы'!G$9)*100)</f>
        <v>1.8867924528301887</v>
      </c>
      <c r="J178">
        <f>IF('исходные данные'!J178&gt;'минимумы и максимумы'!H$10,100,('исходные данные'!J178-'минимумы и максимумы'!H$9)/('минимумы и максимумы'!H$10-'минимумы и максимумы'!H$9)*100)</f>
        <v>0</v>
      </c>
      <c r="K178">
        <f>IF('исходные данные'!K178&gt;'минимумы и максимумы'!I$10,100,('исходные данные'!K178-'минимумы и максимумы'!I$9)/('минимумы и максимумы'!I$10-'минимумы и максимумы'!I$9)*100)</f>
        <v>11.111111111111111</v>
      </c>
      <c r="L178">
        <f>IF('исходные данные'!L178&gt;'минимумы и максимумы'!J$10,100,('исходные данные'!L178-'минимумы и максимумы'!J$9)/('минимумы и максимумы'!J$10-'минимумы и максимумы'!J$9)*100)</f>
        <v>0</v>
      </c>
      <c r="M178">
        <f>IF('исходные данные'!M178&gt;'минимумы и максимумы'!K$10,100,('исходные данные'!M178-'минимумы и максимумы'!K$9)/('минимумы и максимумы'!K$10-'минимумы и максимумы'!K$9)*100)</f>
        <v>25</v>
      </c>
      <c r="N178">
        <f>IF('исходные данные'!N178&gt;'минимумы и максимумы'!L$10,100,('исходные данные'!N178-'минимумы и максимумы'!L$9)/('минимумы и максимумы'!L$10-'минимумы и максимумы'!L$9)*100)</f>
        <v>46.821863309530343</v>
      </c>
      <c r="O178">
        <f>IF('исходные данные'!O178&gt;'минимумы и максимумы'!M$10,100,('исходные данные'!O178-'минимумы и максимумы'!M$9)/('минимумы и максимумы'!M$10-'минимумы и максимумы'!M$9)*100)</f>
        <v>66.666666666666657</v>
      </c>
      <c r="P178">
        <f>IF('исходные данные'!P178&gt;'минимумы и максимумы'!N$10,100,('исходные данные'!P178-'минимумы и максимумы'!N$9)/('минимумы и максимумы'!N$10-'минимумы и максимумы'!N$9)*100)</f>
        <v>0</v>
      </c>
      <c r="Q178">
        <f>IF('исходные данные'!Q178&gt;'минимумы и максимумы'!O$10,100,('исходные данные'!Q178-'минимумы и максимумы'!O$9)/('минимумы и максимумы'!O$10-'минимумы и максимумы'!O$9)*100)</f>
        <v>0</v>
      </c>
      <c r="R178">
        <f>IF('исходные данные'!R178&gt;'минимумы и максимумы'!P$10,100,('исходные данные'!R178-'минимумы и максимумы'!P$9)/('минимумы и максимумы'!P$10-'минимумы и максимумы'!P$9)*100)</f>
        <v>100</v>
      </c>
      <c r="S178">
        <f>IF('исходные данные'!S178&gt;'минимумы и максимумы'!Q$10,100,('исходные данные'!S178-'минимумы и максимумы'!Q$9)/('минимумы и максимумы'!Q$10-'минимумы и максимумы'!Q$9)*100)</f>
        <v>50</v>
      </c>
      <c r="T178">
        <f>IF('исходные данные'!T178&gt;'минимумы и максимумы'!R$10,100,('исходные данные'!T178-'минимумы и максимумы'!R$9)/('минимумы и максимумы'!R$10-'минимумы и максимумы'!R$9)*100)</f>
        <v>20.598388952819331</v>
      </c>
      <c r="U178">
        <f>IF('исходные данные'!U178&gt;'минимумы и максимумы'!S$10,100,('исходные данные'!U178-'минимумы и максимумы'!S$9)/('минимумы и максимумы'!S$10-'минимумы и максимумы'!S$9)*100)</f>
        <v>66.666666666666657</v>
      </c>
    </row>
    <row r="179" spans="1:21" x14ac:dyDescent="0.45">
      <c r="A179" s="4">
        <v>261</v>
      </c>
      <c r="B179" s="4">
        <v>0</v>
      </c>
      <c r="C179" s="4">
        <v>0</v>
      </c>
      <c r="D179">
        <f>IF('исходные данные'!D179&gt;'минимумы и максимумы'!B$10,100,('исходные данные'!D179-'минимумы и максимумы'!B$9)/('минимумы и максимумы'!B$10-'минимумы и максимумы'!B$9)*100)</f>
        <v>0</v>
      </c>
      <c r="E179">
        <f>IF('исходные данные'!E179&gt;'минимумы и максимумы'!C$10,100,('исходные данные'!E179-'минимумы и максимумы'!C$9)/('минимумы и максимумы'!C$10-'минимумы и максимумы'!C$9)*100)</f>
        <v>10</v>
      </c>
      <c r="F179">
        <f>IF('исходные данные'!F179&gt;'минимумы и максимумы'!D$10,100,('исходные данные'!F179-'минимумы и максимумы'!D$9)/('минимумы и максимумы'!D$10-'минимумы и максимумы'!D$9)*100)</f>
        <v>0</v>
      </c>
      <c r="G179">
        <f>IF('исходные данные'!G179&gt;'минимумы и максимумы'!E$10,100,('исходные данные'!G179-'минимумы и максимумы'!E$9)/('минимумы и максимумы'!E$10-'минимумы и максимумы'!E$9)*100)</f>
        <v>8.3333333333333321</v>
      </c>
      <c r="H179">
        <f>IF('исходные данные'!H179&gt;'минимумы и максимумы'!F$10,100,('исходные данные'!H179-'минимумы и максимумы'!F$9)/('минимумы и максимумы'!F$10-'минимумы и максимумы'!F$9)*100)</f>
        <v>3.4482758620689653</v>
      </c>
      <c r="I179">
        <f>IF('исходные данные'!I179&gt;'минимумы и максимумы'!G$10,100,('исходные данные'!I179-'минимумы и максимумы'!G$9)/('минимумы и максимумы'!G$10-'минимумы и максимумы'!G$9)*100)</f>
        <v>1.8867924528301887</v>
      </c>
      <c r="J179">
        <f>IF('исходные данные'!J179&gt;'минимумы и максимумы'!H$10,100,('исходные данные'!J179-'минимумы и максимумы'!H$9)/('минимумы и максимумы'!H$10-'минимумы и максимумы'!H$9)*100)</f>
        <v>0</v>
      </c>
      <c r="K179">
        <f>IF('исходные данные'!K179&gt;'минимумы и максимумы'!I$10,100,('исходные данные'!K179-'минимумы и максимумы'!I$9)/('минимумы и максимумы'!I$10-'минимумы и максимумы'!I$9)*100)</f>
        <v>11.111111111111111</v>
      </c>
      <c r="L179">
        <f>IF('исходные данные'!L179&gt;'минимумы и максимумы'!J$10,100,('исходные данные'!L179-'минимумы и максимумы'!J$9)/('минимумы и максимумы'!J$10-'минимумы и максимумы'!J$9)*100)</f>
        <v>0</v>
      </c>
      <c r="M179">
        <f>IF('исходные данные'!M179&gt;'минимумы и максимумы'!K$10,100,('исходные данные'!M179-'минимумы и максимумы'!K$9)/('минимумы и максимумы'!K$10-'минимумы и максимумы'!K$9)*100)</f>
        <v>25</v>
      </c>
      <c r="N179">
        <f>IF('исходные данные'!N179&gt;'минимумы и максимумы'!L$10,100,('исходные данные'!N179-'минимумы и максимумы'!L$9)/('минимумы и максимумы'!L$10-'минимумы и максимумы'!L$9)*100)</f>
        <v>46.821863309530343</v>
      </c>
      <c r="O179">
        <f>IF('исходные данные'!O179&gt;'минимумы и максимумы'!M$10,100,('исходные данные'!O179-'минимумы и максимумы'!M$9)/('минимумы и максимумы'!M$10-'минимумы и максимумы'!M$9)*100)</f>
        <v>0</v>
      </c>
      <c r="P179">
        <f>IF('исходные данные'!P179&gt;'минимумы и максимумы'!N$10,100,('исходные данные'!P179-'минимумы и максимумы'!N$9)/('минимумы и максимумы'!N$10-'минимумы и максимумы'!N$9)*100)</f>
        <v>0</v>
      </c>
      <c r="Q179">
        <f>IF('исходные данные'!Q179&gt;'минимумы и максимумы'!O$10,100,('исходные данные'!Q179-'минимумы и максимумы'!O$9)/('минимумы и максимумы'!O$10-'минимумы и максимумы'!O$9)*100)</f>
        <v>100</v>
      </c>
      <c r="R179">
        <f>IF('исходные данные'!R179&gt;'минимумы и максимумы'!P$10,100,('исходные данные'!R179-'минимумы и максимумы'!P$9)/('минимумы и максимумы'!P$10-'минимумы и максимумы'!P$9)*100)</f>
        <v>100</v>
      </c>
      <c r="S179">
        <f>IF('исходные данные'!S179&gt;'минимумы и максимумы'!Q$10,100,('исходные данные'!S179-'минимумы и максимумы'!Q$9)/('минимумы и максимумы'!Q$10-'минимумы и максимумы'!Q$9)*100)</f>
        <v>16.666666666666664</v>
      </c>
      <c r="T179">
        <f>IF('исходные данные'!T179&gt;'минимумы и максимумы'!R$10,100,('исходные данные'!T179-'минимумы и максимумы'!R$9)/('минимумы и максимумы'!R$10-'минимумы и максимумы'!R$9)*100)</f>
        <v>2.9344073647871118</v>
      </c>
      <c r="U179">
        <f>IF('исходные данные'!U179&gt;'минимумы и максимумы'!S$10,100,('исходные данные'!U179-'минимумы и максимумы'!S$9)/('минимумы и максимумы'!S$10-'минимумы и максимумы'!S$9)*100)</f>
        <v>0</v>
      </c>
    </row>
    <row r="180" spans="1:21" x14ac:dyDescent="0.45">
      <c r="A180" s="4">
        <v>262</v>
      </c>
      <c r="B180" s="4">
        <v>0</v>
      </c>
      <c r="C180" s="4">
        <v>0</v>
      </c>
      <c r="D180">
        <f>IF('исходные данные'!D180&gt;'минимумы и максимумы'!B$10,100,('исходные данные'!D180-'минимумы и максимумы'!B$9)/('минимумы и максимумы'!B$10-'минимумы и максимумы'!B$9)*100)</f>
        <v>0</v>
      </c>
      <c r="E180">
        <f>IF('исходные данные'!E180&gt;'минимумы и максимумы'!C$10,100,('исходные данные'!E180-'минимумы и максимумы'!C$9)/('минимумы и максимумы'!C$10-'минимумы и максимумы'!C$9)*100)</f>
        <v>0</v>
      </c>
      <c r="F180">
        <f>IF('исходные данные'!F180&gt;'минимумы и максимумы'!D$10,100,('исходные данные'!F180-'минимумы и максимумы'!D$9)/('минимумы и максимумы'!D$10-'минимумы и максимумы'!D$9)*100)</f>
        <v>0</v>
      </c>
      <c r="G180">
        <f>IF('исходные данные'!G180&gt;'минимумы и максимумы'!E$10,100,('исходные данные'!G180-'минимумы и максимумы'!E$9)/('минимумы и максимумы'!E$10-'минимумы и максимумы'!E$9)*100)</f>
        <v>16.666666666666664</v>
      </c>
      <c r="H180">
        <f>IF('исходные данные'!H180&gt;'минимумы и максимумы'!F$10,100,('исходные данные'!H180-'минимумы и максимумы'!F$9)/('минимумы и максимумы'!F$10-'минимумы и максимумы'!F$9)*100)</f>
        <v>27.586206896551722</v>
      </c>
      <c r="I180">
        <f>IF('исходные данные'!I180&gt;'минимумы и максимумы'!G$10,100,('исходные данные'!I180-'минимумы и максимумы'!G$9)/('минимумы и максимумы'!G$10-'минимумы и максимумы'!G$9)*100)</f>
        <v>5.6603773584905666</v>
      </c>
      <c r="J180">
        <f>IF('исходные данные'!J180&gt;'минимумы и максимумы'!H$10,100,('исходные данные'!J180-'минимумы и максимумы'!H$9)/('минимумы и максимумы'!H$10-'минимумы и максимумы'!H$9)*100)</f>
        <v>0</v>
      </c>
      <c r="K180">
        <f>IF('исходные данные'!K180&gt;'минимумы и максимумы'!I$10,100,('исходные данные'!K180-'минимумы и максимумы'!I$9)/('минимумы и максимумы'!I$10-'минимумы и максимумы'!I$9)*100)</f>
        <v>0</v>
      </c>
      <c r="L180">
        <f>IF('исходные данные'!L180&gt;'минимумы и максимумы'!J$10,100,('исходные данные'!L180-'минимумы и максимумы'!J$9)/('минимумы и максимумы'!J$10-'минимумы и максимумы'!J$9)*100)</f>
        <v>0</v>
      </c>
      <c r="M180">
        <f>IF('исходные данные'!M180&gt;'минимумы и максимумы'!K$10,100,('исходные данные'!M180-'минимумы и максимумы'!K$9)/('минимумы и максимумы'!K$10-'минимумы и максимумы'!K$9)*100)</f>
        <v>25</v>
      </c>
      <c r="N180">
        <f>IF('исходные данные'!N180&gt;'минимумы и максимумы'!L$10,100,('исходные данные'!N180-'минимумы и максимумы'!L$9)/('минимумы и максимумы'!L$10-'минимумы и максимумы'!L$9)*100)</f>
        <v>44.785120387695514</v>
      </c>
      <c r="O180">
        <f>IF('исходные данные'!O180&gt;'минимумы и максимумы'!M$10,100,('исходные данные'!O180-'минимумы и максимумы'!M$9)/('минимумы и максимумы'!M$10-'минимумы и максимумы'!M$9)*100)</f>
        <v>33.333333333333329</v>
      </c>
      <c r="P180">
        <f>IF('исходные данные'!P180&gt;'минимумы и максимумы'!N$10,100,('исходные данные'!P180-'минимумы и максимумы'!N$9)/('минимумы и максимумы'!N$10-'минимумы и максимумы'!N$9)*100)</f>
        <v>0</v>
      </c>
      <c r="Q180">
        <f>IF('исходные данные'!Q180&gt;'минимумы и максимумы'!O$10,100,('исходные данные'!Q180-'минимумы и максимумы'!O$9)/('минимумы и максимумы'!O$10-'минимумы и максимумы'!O$9)*100)</f>
        <v>100</v>
      </c>
      <c r="R180">
        <f>IF('исходные данные'!R180&gt;'минимумы и максимумы'!P$10,100,('исходные данные'!R180-'минимумы и максимумы'!P$9)/('минимумы и максимумы'!P$10-'минимумы и максимумы'!P$9)*100)</f>
        <v>100</v>
      </c>
      <c r="S180">
        <f>IF('исходные данные'!S180&gt;'минимумы и максимумы'!Q$10,100,('исходные данные'!S180-'минимумы и максимумы'!Q$9)/('минимумы и максимумы'!Q$10-'минимумы и максимумы'!Q$9)*100)</f>
        <v>16.666666666666664</v>
      </c>
      <c r="T180">
        <f>IF('исходные данные'!T180&gt;'минимумы и максимумы'!R$10,100,('исходные данные'!T180-'минимумы и максимумы'!R$9)/('минимумы и максимумы'!R$10-'минимумы и максимумы'!R$9)*100)</f>
        <v>6.6455696202531636</v>
      </c>
      <c r="U180">
        <f>IF('исходные данные'!U180&gt;'минимумы и максимумы'!S$10,100,('исходные данные'!U180-'минимумы и максимумы'!S$9)/('минимумы и максимумы'!S$10-'минимумы и максимумы'!S$9)*100)</f>
        <v>0</v>
      </c>
    </row>
    <row r="181" spans="1:21" x14ac:dyDescent="0.45">
      <c r="A181" s="4">
        <v>263</v>
      </c>
      <c r="B181" s="4">
        <v>0</v>
      </c>
      <c r="C181" s="4">
        <v>0</v>
      </c>
      <c r="D181">
        <f>IF('исходные данные'!D181&gt;'минимумы и максимумы'!B$10,100,('исходные данные'!D181-'минимумы и максимумы'!B$9)/('минимумы и максимумы'!B$10-'минимумы и максимумы'!B$9)*100)</f>
        <v>0</v>
      </c>
      <c r="E181">
        <f>IF('исходные данные'!E181&gt;'минимумы и максимумы'!C$10,100,('исходные данные'!E181-'минимумы и максимумы'!C$9)/('минимумы и максимумы'!C$10-'минимумы и максимумы'!C$9)*100)</f>
        <v>10</v>
      </c>
      <c r="F181">
        <f>IF('исходные данные'!F181&gt;'минимумы и максимумы'!D$10,100,('исходные данные'!F181-'минимумы и максимумы'!D$9)/('минимумы и максимумы'!D$10-'минимумы и максимумы'!D$9)*100)</f>
        <v>0</v>
      </c>
      <c r="G181">
        <f>IF('исходные данные'!G181&gt;'минимумы и максимумы'!E$10,100,('исходные данные'!G181-'минимумы и максимумы'!E$9)/('минимумы и максимумы'!E$10-'минимумы и максимумы'!E$9)*100)</f>
        <v>25</v>
      </c>
      <c r="H181">
        <f>IF('исходные данные'!H181&gt;'минимумы и максимумы'!F$10,100,('исходные данные'!H181-'минимумы и максимумы'!F$9)/('минимумы и максимумы'!F$10-'минимумы и максимумы'!F$9)*100)</f>
        <v>24.137931034482758</v>
      </c>
      <c r="I181">
        <f>IF('исходные данные'!I181&gt;'минимумы и максимумы'!G$10,100,('исходные данные'!I181-'минимумы и максимумы'!G$9)/('минимумы и максимумы'!G$10-'минимумы и максимумы'!G$9)*100)</f>
        <v>13.20754716981132</v>
      </c>
      <c r="J181">
        <f>IF('исходные данные'!J181&gt;'минимумы и максимумы'!H$10,100,('исходные данные'!J181-'минимумы и максимумы'!H$9)/('минимумы и максимумы'!H$10-'минимумы и максимумы'!H$9)*100)</f>
        <v>13.333333333333334</v>
      </c>
      <c r="K181">
        <f>IF('исходные данные'!K181&gt;'минимумы и максимумы'!I$10,100,('исходные данные'!K181-'минимумы и максимумы'!I$9)/('минимумы и максимумы'!I$10-'минимумы и максимумы'!I$9)*100)</f>
        <v>16.666666666666664</v>
      </c>
      <c r="L181">
        <f>IF('исходные данные'!L181&gt;'минимумы и максимумы'!J$10,100,('исходные данные'!L181-'минимумы и максимумы'!J$9)/('минимумы и максимумы'!J$10-'минимумы и максимумы'!J$9)*100)</f>
        <v>0</v>
      </c>
      <c r="M181">
        <f>IF('исходные данные'!M181&gt;'минимумы и максимумы'!K$10,100,('исходные данные'!M181-'минимумы и максимумы'!K$9)/('минимумы и максимумы'!K$10-'минимумы и максимумы'!K$9)*100)</f>
        <v>25</v>
      </c>
      <c r="N181">
        <f>IF('исходные данные'!N181&gt;'минимумы и максимумы'!L$10,100,('исходные данные'!N181-'минимумы и максимумы'!L$9)/('минимумы и максимумы'!L$10-'минимумы и максимумы'!L$9)*100)</f>
        <v>48.768539820777583</v>
      </c>
      <c r="O181">
        <f>IF('исходные данные'!O181&gt;'минимумы и максимумы'!M$10,100,('исходные данные'!O181-'минимумы и максимумы'!M$9)/('минимумы и максимумы'!M$10-'минимумы и максимумы'!M$9)*100)</f>
        <v>0</v>
      </c>
      <c r="P181">
        <f>IF('исходные данные'!P181&gt;'минимумы и максимумы'!N$10,100,('исходные данные'!P181-'минимумы и максимумы'!N$9)/('минимумы и максимумы'!N$10-'минимумы и максимумы'!N$9)*100)</f>
        <v>0</v>
      </c>
      <c r="Q181">
        <f>IF('исходные данные'!Q181&gt;'минимумы и максимумы'!O$10,100,('исходные данные'!Q181-'минимумы и максимумы'!O$9)/('минимумы и максимумы'!O$10-'минимумы и максимумы'!O$9)*100)</f>
        <v>100</v>
      </c>
      <c r="R181">
        <f>IF('исходные данные'!R181&gt;'минимумы и максимумы'!P$10,100,('исходные данные'!R181-'минимумы и максимумы'!P$9)/('минимумы и максимумы'!P$10-'минимумы и максимумы'!P$9)*100)</f>
        <v>100</v>
      </c>
      <c r="S181">
        <f>IF('исходные данные'!S181&gt;'минимумы и максимумы'!Q$10,100,('исходные данные'!S181-'минимумы и максимумы'!Q$9)/('минимумы и максимумы'!Q$10-'минимумы и максимумы'!Q$9)*100)</f>
        <v>33.333333333333329</v>
      </c>
      <c r="T181">
        <f>IF('исходные данные'!T181&gt;'минимумы и максимумы'!R$10,100,('исходные данные'!T181-'минимумы и максимумы'!R$9)/('минимумы и максимумы'!R$10-'минимумы и максимумы'!R$9)*100)</f>
        <v>32.65247410817031</v>
      </c>
      <c r="U181">
        <f>IF('исходные данные'!U181&gt;'минимумы и максимумы'!S$10,100,('исходные данные'!U181-'минимумы и максимумы'!S$9)/('минимумы и максимумы'!S$10-'минимумы и максимумы'!S$9)*100)</f>
        <v>66.666666666666657</v>
      </c>
    </row>
    <row r="182" spans="1:21" x14ac:dyDescent="0.45">
      <c r="A182" s="4">
        <v>264</v>
      </c>
      <c r="B182" s="4">
        <v>0</v>
      </c>
      <c r="C182" s="4">
        <v>0</v>
      </c>
      <c r="D182">
        <f>IF('исходные данные'!D182&gt;'минимумы и максимумы'!B$10,100,('исходные данные'!D182-'минимумы и максимумы'!B$9)/('минимумы и максимумы'!B$10-'минимумы и максимумы'!B$9)*100)</f>
        <v>11.111111111111111</v>
      </c>
      <c r="E182">
        <f>IF('исходные данные'!E182&gt;'минимумы и максимумы'!C$10,100,('исходные данные'!E182-'минимумы и максимумы'!C$9)/('минимумы и максимумы'!C$10-'минимумы и максимумы'!C$9)*100)</f>
        <v>0</v>
      </c>
      <c r="F182">
        <f>IF('исходные данные'!F182&gt;'минимумы и максимумы'!D$10,100,('исходные данные'!F182-'минимумы и максимумы'!D$9)/('минимумы и максимумы'!D$10-'минимумы и максимумы'!D$9)*100)</f>
        <v>0</v>
      </c>
      <c r="G182">
        <f>IF('исходные данные'!G182&gt;'минимумы и максимумы'!E$10,100,('исходные данные'!G182-'минимумы и максимумы'!E$9)/('минимумы и максимумы'!E$10-'минимумы и максимумы'!E$9)*100)</f>
        <v>4.1666666666666661</v>
      </c>
      <c r="H182">
        <f>IF('исходные данные'!H182&gt;'минимумы и максимумы'!F$10,100,('исходные данные'!H182-'минимумы и максимумы'!F$9)/('минимумы и максимумы'!F$10-'минимумы и максимумы'!F$9)*100)</f>
        <v>6.8965517241379306</v>
      </c>
      <c r="I182">
        <f>IF('исходные данные'!I182&gt;'минимумы и максимумы'!G$10,100,('исходные данные'!I182-'минимумы и максимумы'!G$9)/('минимумы и максимумы'!G$10-'минимумы и максимумы'!G$9)*100)</f>
        <v>1.8867924528301887</v>
      </c>
      <c r="J182">
        <f>IF('исходные данные'!J182&gt;'минимумы и максимумы'!H$10,100,('исходные данные'!J182-'минимумы и максимумы'!H$9)/('минимумы и максимумы'!H$10-'минимумы и максимумы'!H$9)*100)</f>
        <v>0</v>
      </c>
      <c r="K182">
        <f>IF('исходные данные'!K182&gt;'минимумы и максимумы'!I$10,100,('исходные данные'!K182-'минимумы и максимумы'!I$9)/('минимумы и максимумы'!I$10-'минимумы и максимумы'!I$9)*100)</f>
        <v>0</v>
      </c>
      <c r="L182">
        <f>IF('исходные данные'!L182&gt;'минимумы и максимумы'!J$10,100,('исходные данные'!L182-'минимумы и максимумы'!J$9)/('минимумы и максимумы'!J$10-'минимумы и максимумы'!J$9)*100)</f>
        <v>0</v>
      </c>
      <c r="M182">
        <f>IF('исходные данные'!M182&gt;'минимумы и максимумы'!K$10,100,('исходные данные'!M182-'минимумы и максимумы'!K$9)/('минимумы и максимумы'!K$10-'минимумы и максимумы'!K$9)*100)</f>
        <v>21.428571428571427</v>
      </c>
      <c r="N182">
        <f>IF('исходные данные'!N182&gt;'минимумы и максимумы'!L$10,100,('исходные данные'!N182-'минимумы и максимумы'!L$9)/('минимумы и максимумы'!L$10-'минимумы и максимумы'!L$9)*100)</f>
        <v>50.012994587454799</v>
      </c>
      <c r="O182">
        <f>IF('исходные данные'!O182&gt;'минимумы и максимумы'!M$10,100,('исходные данные'!O182-'минимумы и максимумы'!M$9)/('минимумы и максимумы'!M$10-'минимумы и максимумы'!M$9)*100)</f>
        <v>0</v>
      </c>
      <c r="P182">
        <f>IF('исходные данные'!P182&gt;'минимумы и максимумы'!N$10,100,('исходные данные'!P182-'минимумы и максимумы'!N$9)/('минимумы и максимумы'!N$10-'минимумы и максимумы'!N$9)*100)</f>
        <v>0</v>
      </c>
      <c r="Q182">
        <f>IF('исходные данные'!Q182&gt;'минимумы и максимумы'!O$10,100,('исходные данные'!Q182-'минимумы и максимумы'!O$9)/('минимумы и максимумы'!O$10-'минимумы и максимумы'!O$9)*100)</f>
        <v>100</v>
      </c>
      <c r="R182">
        <f>IF('исходные данные'!R182&gt;'минимумы и максимумы'!P$10,100,('исходные данные'!R182-'минимумы и максимумы'!P$9)/('минимумы и максимумы'!P$10-'минимумы и максимумы'!P$9)*100)</f>
        <v>100</v>
      </c>
      <c r="S182">
        <f>IF('исходные данные'!S182&gt;'минимумы и максимумы'!Q$10,100,('исходные данные'!S182-'минимумы и максимумы'!Q$9)/('минимумы и максимумы'!Q$10-'минимумы и максимумы'!Q$9)*100)</f>
        <v>16.666666666666664</v>
      </c>
      <c r="T182">
        <f>IF('исходные данные'!T182&gt;'минимумы и максимумы'!R$10,100,('исходные данные'!T182-'минимумы и максимумы'!R$9)/('минимумы и максимумы'!R$10-'минимумы и максимумы'!R$9)*100)</f>
        <v>3.5385500575373992</v>
      </c>
      <c r="U182">
        <f>IF('исходные данные'!U182&gt;'минимумы и максимумы'!S$10,100,('исходные данные'!U182-'минимумы и максимумы'!S$9)/('минимумы и максимумы'!S$10-'минимумы и максимумы'!S$9)*100)</f>
        <v>0</v>
      </c>
    </row>
    <row r="183" spans="1:21" x14ac:dyDescent="0.45">
      <c r="A183" s="4">
        <v>265</v>
      </c>
      <c r="B183" s="4">
        <v>0</v>
      </c>
      <c r="C183" s="4">
        <v>0</v>
      </c>
      <c r="D183">
        <f>IF('исходные данные'!D183&gt;'минимумы и максимумы'!B$10,100,('исходные данные'!D183-'минимумы и максимумы'!B$9)/('минимумы и максимумы'!B$10-'минимумы и максимумы'!B$9)*100)</f>
        <v>11.111111111111111</v>
      </c>
      <c r="E183">
        <f>IF('исходные данные'!E183&gt;'минимумы и максимумы'!C$10,100,('исходные данные'!E183-'минимумы и максимумы'!C$9)/('минимумы и максимумы'!C$10-'минимумы и максимумы'!C$9)*100)</f>
        <v>0</v>
      </c>
      <c r="F183">
        <f>IF('исходные данные'!F183&gt;'минимумы и максимумы'!D$10,100,('исходные данные'!F183-'минимумы и максимумы'!D$9)/('минимумы и максимумы'!D$10-'минимумы и максимумы'!D$9)*100)</f>
        <v>0</v>
      </c>
      <c r="G183">
        <f>IF('исходные данные'!G183&gt;'минимумы и максимумы'!E$10,100,('исходные данные'!G183-'минимумы и максимумы'!E$9)/('минимумы и максимумы'!E$10-'минимумы и максимумы'!E$9)*100)</f>
        <v>4.1666666666666661</v>
      </c>
      <c r="H183">
        <f>IF('исходные данные'!H183&gt;'минимумы и максимумы'!F$10,100,('исходные данные'!H183-'минимумы и максимумы'!F$9)/('минимумы и максимумы'!F$10-'минимумы и максимумы'!F$9)*100)</f>
        <v>6.8965517241379306</v>
      </c>
      <c r="I183">
        <f>IF('исходные данные'!I183&gt;'минимумы и максимумы'!G$10,100,('исходные данные'!I183-'минимумы и максимумы'!G$9)/('минимумы и максимумы'!G$10-'минимумы и максимумы'!G$9)*100)</f>
        <v>1.8867924528301887</v>
      </c>
      <c r="J183">
        <f>IF('исходные данные'!J183&gt;'минимумы и максимумы'!H$10,100,('исходные данные'!J183-'минимумы и максимумы'!H$9)/('минимумы и максимумы'!H$10-'минимумы и максимумы'!H$9)*100)</f>
        <v>0</v>
      </c>
      <c r="K183">
        <f>IF('исходные данные'!K183&gt;'минимумы и максимумы'!I$10,100,('исходные данные'!K183-'минимумы и максимумы'!I$9)/('минимумы и максимумы'!I$10-'минимумы и максимумы'!I$9)*100)</f>
        <v>0</v>
      </c>
      <c r="L183">
        <f>IF('исходные данные'!L183&gt;'минимумы и максимумы'!J$10,100,('исходные данные'!L183-'минимумы и максимумы'!J$9)/('минимумы и максимумы'!J$10-'минимумы и максимумы'!J$9)*100)</f>
        <v>0</v>
      </c>
      <c r="M183">
        <f>IF('исходные данные'!M183&gt;'минимумы и максимумы'!K$10,100,('исходные данные'!M183-'минимумы и максимумы'!K$9)/('минимумы и максимумы'!K$10-'минимумы и максимумы'!K$9)*100)</f>
        <v>21.428571428571427</v>
      </c>
      <c r="N183">
        <f>IF('исходные данные'!N183&gt;'минимумы и максимумы'!L$10,100,('исходные данные'!N183-'минимумы и максимумы'!L$9)/('минимумы и максимумы'!L$10-'минимумы и максимумы'!L$9)*100)</f>
        <v>49.880452034751684</v>
      </c>
      <c r="O183">
        <f>IF('исходные данные'!O183&gt;'минимумы и максимумы'!M$10,100,('исходные данные'!O183-'минимумы и максимумы'!M$9)/('минимумы и максимумы'!M$10-'минимумы и максимумы'!M$9)*100)</f>
        <v>0</v>
      </c>
      <c r="P183">
        <f>IF('исходные данные'!P183&gt;'минимумы и максимумы'!N$10,100,('исходные данные'!P183-'минимумы и максимумы'!N$9)/('минимумы и максимумы'!N$10-'минимумы и максимумы'!N$9)*100)</f>
        <v>0</v>
      </c>
      <c r="Q183">
        <f>IF('исходные данные'!Q183&gt;'минимумы и максимумы'!O$10,100,('исходные данные'!Q183-'минимумы и максимумы'!O$9)/('минимумы и максимумы'!O$10-'минимумы и максимумы'!O$9)*100)</f>
        <v>100</v>
      </c>
      <c r="R183">
        <f>IF('исходные данные'!R183&gt;'минимумы и максимумы'!P$10,100,('исходные данные'!R183-'минимумы и максимумы'!P$9)/('минимумы и максимумы'!P$10-'минимумы и максимумы'!P$9)*100)</f>
        <v>100</v>
      </c>
      <c r="S183">
        <f>IF('исходные данные'!S183&gt;'минимумы и максимумы'!Q$10,100,('исходные данные'!S183-'минимумы и максимумы'!Q$9)/('минимумы и максимумы'!Q$10-'минимумы и максимумы'!Q$9)*100)</f>
        <v>16.666666666666664</v>
      </c>
      <c r="T183">
        <f>IF('исходные данные'!T183&gt;'минимумы и максимумы'!R$10,100,('исходные данные'!T183-'минимумы и максимумы'!R$9)/('минимумы и максимумы'!R$10-'минимумы и максимумы'!R$9)*100)</f>
        <v>4.6317606444188728</v>
      </c>
      <c r="U183">
        <f>IF('исходные данные'!U183&gt;'минимумы и максимумы'!S$10,100,('исходные данные'!U183-'минимумы и максимумы'!S$9)/('минимумы и максимумы'!S$10-'минимумы и максимумы'!S$9)*100)</f>
        <v>0</v>
      </c>
    </row>
    <row r="184" spans="1:21" x14ac:dyDescent="0.45">
      <c r="A184" s="4">
        <v>266</v>
      </c>
      <c r="B184" s="4">
        <v>0</v>
      </c>
      <c r="C184" s="4">
        <v>0</v>
      </c>
      <c r="D184">
        <f>IF('исходные данные'!D184&gt;'минимумы и максимумы'!B$10,100,('исходные данные'!D184-'минимумы и максимумы'!B$9)/('минимумы и максимумы'!B$10-'минимумы и максимумы'!B$9)*100)</f>
        <v>0</v>
      </c>
      <c r="E184">
        <f>IF('исходные данные'!E184&gt;'минимумы и максимумы'!C$10,100,('исходные данные'!E184-'минимумы и максимумы'!C$9)/('минимумы и максимумы'!C$10-'минимумы и максимумы'!C$9)*100)</f>
        <v>30</v>
      </c>
      <c r="F184">
        <f>IF('исходные данные'!F184&gt;'минимумы и максимумы'!D$10,100,('исходные данные'!F184-'минимумы и максимумы'!D$9)/('минимумы и максимумы'!D$10-'минимумы и максимумы'!D$9)*100)</f>
        <v>33.333333333333329</v>
      </c>
      <c r="G184">
        <f>IF('исходные данные'!G184&gt;'минимумы и максимумы'!E$10,100,('исходные данные'!G184-'минимумы и максимумы'!E$9)/('минимумы и максимумы'!E$10-'минимумы и максимумы'!E$9)*100)</f>
        <v>20.833333333333336</v>
      </c>
      <c r="H184">
        <f>IF('исходные данные'!H184&gt;'минимумы и максимумы'!F$10,100,('исходные данные'!H184-'минимумы и максимумы'!F$9)/('минимумы и максимумы'!F$10-'минимумы и максимумы'!F$9)*100)</f>
        <v>20.689655172413794</v>
      </c>
      <c r="I184">
        <f>IF('исходные данные'!I184&gt;'минимумы и максимумы'!G$10,100,('исходные данные'!I184-'минимумы и максимумы'!G$9)/('минимумы и максимумы'!G$10-'минимумы и максимумы'!G$9)*100)</f>
        <v>7.5471698113207548</v>
      </c>
      <c r="J184">
        <f>IF('исходные данные'!J184&gt;'минимумы и максимумы'!H$10,100,('исходные данные'!J184-'минимумы и максимумы'!H$9)/('минимумы и максимумы'!H$10-'минимумы и максимумы'!H$9)*100)</f>
        <v>13.333333333333334</v>
      </c>
      <c r="K184">
        <f>IF('исходные данные'!K184&gt;'минимумы и максимумы'!I$10,100,('исходные данные'!K184-'минимумы и максимумы'!I$9)/('минимумы и максимумы'!I$10-'минимумы и максимумы'!I$9)*100)</f>
        <v>0</v>
      </c>
      <c r="L184">
        <f>IF('исходные данные'!L184&gt;'минимумы и максимумы'!J$10,100,('исходные данные'!L184-'минимумы и максимумы'!J$9)/('минимумы и максимумы'!J$10-'минимумы и максимумы'!J$9)*100)</f>
        <v>0</v>
      </c>
      <c r="M184">
        <f>IF('исходные данные'!M184&gt;'минимумы и максимумы'!K$10,100,('исходные данные'!M184-'минимумы и максимумы'!K$9)/('минимумы и максимумы'!K$10-'минимумы и максимумы'!K$9)*100)</f>
        <v>7.1428571428571423</v>
      </c>
      <c r="N184">
        <f>IF('исходные данные'!N184&gt;'минимумы и максимумы'!L$10,100,('исходные данные'!N184-'минимумы и максимумы'!L$9)/('минимумы и максимумы'!L$10-'минимумы и максимумы'!L$9)*100)</f>
        <v>54.779723541994365</v>
      </c>
      <c r="O184">
        <f>IF('исходные данные'!O184&gt;'минимумы и максимумы'!M$10,100,('исходные данные'!O184-'минимумы и максимумы'!M$9)/('минимумы и максимумы'!M$10-'минимумы и максимумы'!M$9)*100)</f>
        <v>0</v>
      </c>
      <c r="P184">
        <f>IF('исходные данные'!P184&gt;'минимумы и максимумы'!N$10,100,('исходные данные'!P184-'минимумы и максимумы'!N$9)/('минимумы и максимумы'!N$10-'минимумы и максимумы'!N$9)*100)</f>
        <v>0</v>
      </c>
      <c r="Q184">
        <f>IF('исходные данные'!Q184&gt;'минимумы и максимумы'!O$10,100,('исходные данные'!Q184-'минимумы и максимумы'!O$9)/('минимумы и максимумы'!O$10-'минимумы и максимумы'!O$9)*100)</f>
        <v>100</v>
      </c>
      <c r="R184">
        <f>IF('исходные данные'!R184&gt;'минимумы и максимумы'!P$10,100,('исходные данные'!R184-'минимумы и максимумы'!P$9)/('минимумы и максимумы'!P$10-'минимумы и максимумы'!P$9)*100)</f>
        <v>100</v>
      </c>
      <c r="S184">
        <f>IF('исходные данные'!S184&gt;'минимумы и максимумы'!Q$10,100,('исходные данные'!S184-'минимумы и максимумы'!Q$9)/('минимумы и максимумы'!Q$10-'минимумы и максимумы'!Q$9)*100)</f>
        <v>16.666666666666664</v>
      </c>
      <c r="T184">
        <f>IF('исходные данные'!T184&gt;'минимумы и максимумы'!R$10,100,('исходные данные'!T184-'минимумы и максимумы'!R$9)/('минимумы и максимумы'!R$10-'минимумы и максимумы'!R$9)*100)</f>
        <v>3.1357882623705411</v>
      </c>
      <c r="U184">
        <f>IF('исходные данные'!U184&gt;'минимумы и максимумы'!S$10,100,('исходные данные'!U184-'минимумы и максимумы'!S$9)/('минимумы и максимумы'!S$10-'минимумы и максимумы'!S$9)*100)</f>
        <v>0</v>
      </c>
    </row>
    <row r="185" spans="1:21" x14ac:dyDescent="0.45">
      <c r="A185" s="4">
        <v>269</v>
      </c>
      <c r="B185" s="4">
        <v>0</v>
      </c>
      <c r="C185" s="4">
        <v>0</v>
      </c>
      <c r="D185">
        <f>IF('исходные данные'!D185&gt;'минимумы и максимумы'!B$10,100,('исходные данные'!D185-'минимумы и максимумы'!B$9)/('минимумы и максимумы'!B$10-'минимумы и максимумы'!B$9)*100)</f>
        <v>11.111111111111111</v>
      </c>
      <c r="E185">
        <f>IF('исходные данные'!E185&gt;'минимумы и максимумы'!C$10,100,('исходные данные'!E185-'минимумы и максимумы'!C$9)/('минимумы и максимумы'!C$10-'минимумы и максимумы'!C$9)*100)</f>
        <v>10</v>
      </c>
      <c r="F185">
        <f>IF('исходные данные'!F185&gt;'минимумы и максимумы'!D$10,100,('исходные данные'!F185-'минимумы и максимумы'!D$9)/('минимумы и максимумы'!D$10-'минимумы и максимумы'!D$9)*100)</f>
        <v>0</v>
      </c>
      <c r="G185">
        <f>IF('исходные данные'!G185&gt;'минимумы и максимумы'!E$10,100,('исходные данные'!G185-'минимумы и максимумы'!E$9)/('минимумы и максимумы'!E$10-'минимумы и максимумы'!E$9)*100)</f>
        <v>0</v>
      </c>
      <c r="H185">
        <f>IF('исходные данные'!H185&gt;'минимумы и максимумы'!F$10,100,('исходные данные'!H185-'минимумы и максимумы'!F$9)/('минимумы и максимумы'!F$10-'минимумы и максимумы'!F$9)*100)</f>
        <v>0</v>
      </c>
      <c r="I185">
        <f>IF('исходные данные'!I185&gt;'минимумы и максимумы'!G$10,100,('исходные данные'!I185-'минимумы и максимумы'!G$9)/('минимумы и максимумы'!G$10-'минимумы и максимумы'!G$9)*100)</f>
        <v>1.8867924528301887</v>
      </c>
      <c r="J185">
        <f>IF('исходные данные'!J185&gt;'минимумы и максимумы'!H$10,100,('исходные данные'!J185-'минимумы и максимумы'!H$9)/('минимумы и максимумы'!H$10-'минимумы и максимумы'!H$9)*100)</f>
        <v>6.666666666666667</v>
      </c>
      <c r="K185">
        <f>IF('исходные данные'!K185&gt;'минимумы и максимумы'!I$10,100,('исходные данные'!K185-'минимумы и максимумы'!I$9)/('минимумы и максимумы'!I$10-'минимумы и максимумы'!I$9)*100)</f>
        <v>0</v>
      </c>
      <c r="L185">
        <f>IF('исходные данные'!L185&gt;'минимумы и максимумы'!J$10,100,('исходные данные'!L185-'минимумы и максимумы'!J$9)/('минимумы и максимумы'!J$10-'минимумы и максимумы'!J$9)*100)</f>
        <v>0</v>
      </c>
      <c r="M185">
        <f>IF('исходные данные'!M185&gt;'минимумы и максимумы'!K$10,100,('исходные данные'!M185-'минимумы и максимумы'!K$9)/('минимумы и максимумы'!K$10-'минимумы и максимумы'!K$9)*100)</f>
        <v>10.714285714285714</v>
      </c>
      <c r="N185">
        <f>IF('исходные данные'!N185&gt;'минимумы и максимумы'!L$10,100,('исходные данные'!N185-'минимумы и максимумы'!L$9)/('минимумы и максимумы'!L$10-'минимумы и максимумы'!L$9)*100)</f>
        <v>57.243590639893185</v>
      </c>
      <c r="O185">
        <f>IF('исходные данные'!O185&gt;'минимумы и максимумы'!M$10,100,('исходные данные'!O185-'минимумы и максимумы'!M$9)/('минимумы и максимумы'!M$10-'минимумы и максимумы'!M$9)*100)</f>
        <v>0</v>
      </c>
      <c r="P185">
        <f>IF('исходные данные'!P185&gt;'минимумы и максимумы'!N$10,100,('исходные данные'!P185-'минимумы и максимумы'!N$9)/('минимумы и максимумы'!N$10-'минимумы и максимумы'!N$9)*100)</f>
        <v>0</v>
      </c>
      <c r="Q185">
        <f>IF('исходные данные'!Q185&gt;'минимумы и максимумы'!O$10,100,('исходные данные'!Q185-'минимумы и максимумы'!O$9)/('минимумы и максимумы'!O$10-'минимумы и максимумы'!O$9)*100)</f>
        <v>100</v>
      </c>
      <c r="R185">
        <f>IF('исходные данные'!R185&gt;'минимумы и максимумы'!P$10,100,('исходные данные'!R185-'минимумы и максимумы'!P$9)/('минимумы и максимумы'!P$10-'минимумы и максимумы'!P$9)*100)</f>
        <v>100</v>
      </c>
      <c r="S185">
        <f>IF('исходные данные'!S185&gt;'минимумы и максимумы'!Q$10,100,('исходные данные'!S185-'минимумы и максимумы'!Q$9)/('минимумы и максимумы'!Q$10-'минимумы и максимумы'!Q$9)*100)</f>
        <v>16.666666666666664</v>
      </c>
      <c r="T185">
        <f>IF('исходные данные'!T185&gt;'минимумы и максимумы'!R$10,100,('исходные данные'!T185-'минимумы и максимумы'!R$9)/('минимумы и максимумы'!R$10-'минимумы и максимумы'!R$9)*100)</f>
        <v>28.337169159953966</v>
      </c>
      <c r="U185">
        <f>IF('исходные данные'!U185&gt;'минимумы и максимумы'!S$10,100,('исходные данные'!U185-'минимумы и максимумы'!S$9)/('минимумы и максимумы'!S$10-'минимумы и максимумы'!S$9)*100)</f>
        <v>66.666666666666657</v>
      </c>
    </row>
    <row r="186" spans="1:21" x14ac:dyDescent="0.45">
      <c r="A186" s="4">
        <v>271</v>
      </c>
      <c r="B186" s="4">
        <v>0</v>
      </c>
      <c r="C186" s="4">
        <v>0</v>
      </c>
      <c r="D186">
        <f>IF('исходные данные'!D186&gt;'минимумы и максимумы'!B$10,100,('исходные данные'!D186-'минимумы и максимумы'!B$9)/('минимумы и максимумы'!B$10-'минимумы и максимумы'!B$9)*100)</f>
        <v>0</v>
      </c>
      <c r="E186">
        <f>IF('исходные данные'!E186&gt;'минимумы и максимумы'!C$10,100,('исходные данные'!E186-'минимумы и максимумы'!C$9)/('минимумы и максимумы'!C$10-'минимумы и максимумы'!C$9)*100)</f>
        <v>0</v>
      </c>
      <c r="F186">
        <f>IF('исходные данные'!F186&gt;'минимумы и максимумы'!D$10,100,('исходные данные'!F186-'минимумы и максимумы'!D$9)/('минимумы и максимумы'!D$10-'минимумы и максимумы'!D$9)*100)</f>
        <v>0</v>
      </c>
      <c r="G186">
        <f>IF('исходные данные'!G186&gt;'минимумы и максимумы'!E$10,100,('исходные данные'!G186-'минимумы и максимумы'!E$9)/('минимумы и максимумы'!E$10-'минимумы и максимумы'!E$9)*100)</f>
        <v>0</v>
      </c>
      <c r="H186">
        <f>IF('исходные данные'!H186&gt;'минимумы и максимумы'!F$10,100,('исходные данные'!H186-'минимумы и максимумы'!F$9)/('минимумы и максимумы'!F$10-'минимумы и максимумы'!F$9)*100)</f>
        <v>0</v>
      </c>
      <c r="I186">
        <f>IF('исходные данные'!I186&gt;'минимумы и максимумы'!G$10,100,('исходные данные'!I186-'минимумы и максимумы'!G$9)/('минимумы и максимумы'!G$10-'минимумы и максимумы'!G$9)*100)</f>
        <v>0</v>
      </c>
      <c r="J186">
        <f>IF('исходные данные'!J186&gt;'минимумы и максимумы'!H$10,100,('исходные данные'!J186-'минимумы и максимумы'!H$9)/('минимумы и максимумы'!H$10-'минимумы и максимумы'!H$9)*100)</f>
        <v>0</v>
      </c>
      <c r="K186">
        <f>IF('исходные данные'!K186&gt;'минимумы и максимумы'!I$10,100,('исходные данные'!K186-'минимумы и максимумы'!I$9)/('минимумы и максимумы'!I$10-'минимумы и максимумы'!I$9)*100)</f>
        <v>0</v>
      </c>
      <c r="L186">
        <f>IF('исходные данные'!L186&gt;'минимумы и максимумы'!J$10,100,('исходные данные'!L186-'минимумы и максимумы'!J$9)/('минимумы и максимумы'!J$10-'минимумы и максимумы'!J$9)*100)</f>
        <v>0</v>
      </c>
      <c r="M186">
        <f>IF('исходные данные'!M186&gt;'минимумы и максимумы'!K$10,100,('исходные данные'!M186-'минимумы и максимумы'!K$9)/('минимумы и максимумы'!K$10-'минимумы и максимумы'!K$9)*100)</f>
        <v>0</v>
      </c>
      <c r="N186">
        <f>IF('исходные данные'!N186&gt;'минимумы и максимумы'!L$10,100,('исходные данные'!N186-'минимумы и максимумы'!L$9)/('минимумы и максимумы'!L$10-'минимумы и максимумы'!L$9)*100)</f>
        <v>67.975371533547019</v>
      </c>
      <c r="O186">
        <f>IF('исходные данные'!O186&gt;'минимумы и максимумы'!M$10,100,('исходные данные'!O186-'минимумы и максимумы'!M$9)/('минимумы и максимумы'!M$10-'минимумы и максимумы'!M$9)*100)</f>
        <v>66.666666666666657</v>
      </c>
      <c r="P186">
        <f>IF('исходные данные'!P186&gt;'минимумы и максимумы'!N$10,100,('исходные данные'!P186-'минимумы и максимумы'!N$9)/('минимумы и максимумы'!N$10-'минимумы и максимумы'!N$9)*100)</f>
        <v>0</v>
      </c>
      <c r="Q186">
        <f>IF('исходные данные'!Q186&gt;'минимумы и максимумы'!O$10,100,('исходные данные'!Q186-'минимумы и максимумы'!O$9)/('минимумы и максимумы'!O$10-'минимумы и максимумы'!O$9)*100)</f>
        <v>0</v>
      </c>
      <c r="R186">
        <f>IF('исходные данные'!R186&gt;'минимумы и максимумы'!P$10,100,('исходные данные'!R186-'минимумы и максимумы'!P$9)/('минимумы и максимумы'!P$10-'минимумы и максимумы'!P$9)*100)</f>
        <v>50</v>
      </c>
      <c r="S186">
        <f>IF('исходные данные'!S186&gt;'минимумы и максимумы'!Q$10,100,('исходные данные'!S186-'минимумы и максимумы'!Q$9)/('минимумы и максимумы'!Q$10-'минимумы и максимумы'!Q$9)*100)</f>
        <v>66.666666666666657</v>
      </c>
      <c r="T186">
        <f>IF('исходные данные'!T186&gt;'минимумы и максимумы'!R$10,100,('исходные данные'!T186-'минимумы и максимумы'!R$9)/('минимумы и максимумы'!R$10-'минимумы и максимумы'!R$9)*100)</f>
        <v>1.093210586881473</v>
      </c>
      <c r="U186">
        <f>IF('исходные данные'!U186&gt;'минимумы и максимумы'!S$10,100,('исходные данные'!U186-'минимумы и максимумы'!S$9)/('минимумы и максимумы'!S$10-'минимумы и максимумы'!S$9)*100)</f>
        <v>33.333333333333329</v>
      </c>
    </row>
    <row r="187" spans="1:21" x14ac:dyDescent="0.45">
      <c r="A187" s="4">
        <v>273</v>
      </c>
      <c r="B187" s="4">
        <v>0</v>
      </c>
      <c r="C187" s="4">
        <v>1</v>
      </c>
      <c r="D187">
        <f>IF('исходные данные'!D187&gt;'минимумы и максимумы'!B$10,100,('исходные данные'!D187-'минимумы и максимумы'!B$9)/('минимумы и максимумы'!B$10-'минимумы и максимумы'!B$9)*100)</f>
        <v>0</v>
      </c>
      <c r="E187">
        <f>IF('исходные данные'!E187&gt;'минимумы и максимумы'!C$10,100,('исходные данные'!E187-'минимумы и максимумы'!C$9)/('минимумы и максимумы'!C$10-'минимумы и максимумы'!C$9)*100)</f>
        <v>10</v>
      </c>
      <c r="F187">
        <f>IF('исходные данные'!F187&gt;'минимумы и максимумы'!D$10,100,('исходные данные'!F187-'минимумы и максимумы'!D$9)/('минимумы и максимумы'!D$10-'минимумы и максимумы'!D$9)*100)</f>
        <v>33.333333333333329</v>
      </c>
      <c r="G187">
        <f>IF('исходные данные'!G187&gt;'минимумы и максимумы'!E$10,100,('исходные данные'!G187-'минимумы и максимумы'!E$9)/('минимумы и максимумы'!E$10-'минимумы и максимумы'!E$9)*100)</f>
        <v>20.833333333333336</v>
      </c>
      <c r="H187">
        <f>IF('исходные данные'!H187&gt;'минимумы и максимумы'!F$10,100,('исходные данные'!H187-'минимумы и максимумы'!F$9)/('минимумы и максимумы'!F$10-'минимумы и максимумы'!F$9)*100)</f>
        <v>17.241379310344829</v>
      </c>
      <c r="I187">
        <f>IF('исходные данные'!I187&gt;'минимумы и максимумы'!G$10,100,('исходные данные'!I187-'минимумы и максимумы'!G$9)/('минимумы и максимумы'!G$10-'минимумы и максимумы'!G$9)*100)</f>
        <v>11.320754716981133</v>
      </c>
      <c r="J187">
        <f>IF('исходные данные'!J187&gt;'минимумы и максимумы'!H$10,100,('исходные данные'!J187-'минимумы и максимумы'!H$9)/('минимумы и максимумы'!H$10-'минимумы и максимумы'!H$9)*100)</f>
        <v>0</v>
      </c>
      <c r="K187">
        <f>IF('исходные данные'!K187&gt;'минимумы и максимумы'!I$10,100,('исходные данные'!K187-'минимумы и максимумы'!I$9)/('минимумы и максимумы'!I$10-'минимумы и максимумы'!I$9)*100)</f>
        <v>5.5555555555555554</v>
      </c>
      <c r="L187">
        <f>IF('исходные данные'!L187&gt;'минимумы и максимумы'!J$10,100,('исходные данные'!L187-'минимумы и максимумы'!J$9)/('минимумы и максимумы'!J$10-'минимумы и максимумы'!J$9)*100)</f>
        <v>7.1428571428571423</v>
      </c>
      <c r="M187">
        <f>IF('исходные данные'!M187&gt;'минимумы и максимумы'!K$10,100,('исходные данные'!M187-'минимумы и максимумы'!K$9)/('минимумы и максимумы'!K$10-'минимумы и максимумы'!K$9)*100)</f>
        <v>7.1428571428571423</v>
      </c>
      <c r="N187">
        <f>IF('исходные данные'!N187&gt;'минимумы и максимумы'!L$10,100,('исходные данные'!N187-'минимумы и максимумы'!L$9)/('минимумы и максимумы'!L$10-'минимумы и максимумы'!L$9)*100)</f>
        <v>36.101242414896305</v>
      </c>
      <c r="O187">
        <f>IF('исходные данные'!O187&gt;'минимумы и максимумы'!M$10,100,('исходные данные'!O187-'минимумы и максимумы'!M$9)/('минимумы и максимумы'!M$10-'минимумы и максимумы'!M$9)*100)</f>
        <v>66.666666666666657</v>
      </c>
      <c r="P187">
        <f>IF('исходные данные'!P187&gt;'минимумы и максимумы'!N$10,100,('исходные данные'!P187-'минимумы и максимумы'!N$9)/('минимумы и максимумы'!N$10-'минимумы и максимумы'!N$9)*100)</f>
        <v>0</v>
      </c>
      <c r="Q187">
        <f>IF('исходные данные'!Q187&gt;'минимумы и максимумы'!O$10,100,('исходные данные'!Q187-'минимумы и максимумы'!O$9)/('минимумы и максимумы'!O$10-'минимумы и максимумы'!O$9)*100)</f>
        <v>0</v>
      </c>
      <c r="R187">
        <f>IF('исходные данные'!R187&gt;'минимумы и максимумы'!P$10,100,('исходные данные'!R187-'минимумы и максимумы'!P$9)/('минимумы и максимумы'!P$10-'минимумы и максимумы'!P$9)*100)</f>
        <v>25</v>
      </c>
      <c r="S187">
        <f>IF('исходные данные'!S187&gt;'минимумы и максимумы'!Q$10,100,('исходные данные'!S187-'минимумы и максимумы'!Q$9)/('минимумы и максимумы'!Q$10-'минимумы и максимумы'!Q$9)*100)</f>
        <v>16.666666666666664</v>
      </c>
      <c r="T187">
        <f>IF('исходные данные'!T187&gt;'минимумы и максимумы'!R$10,100,('исходные данные'!T187-'минимумы и максимумы'!R$9)/('минимумы и максимумы'!R$10-'минимумы и максимумы'!R$9)*100)</f>
        <v>30.408515535097813</v>
      </c>
      <c r="U187">
        <f>IF('исходные данные'!U187&gt;'минимумы и максимумы'!S$10,100,('исходные данные'!U187-'минимумы и максимумы'!S$9)/('минимумы и максимумы'!S$10-'минимумы и максимумы'!S$9)*100)</f>
        <v>33.333333333333329</v>
      </c>
    </row>
    <row r="188" spans="1:21" x14ac:dyDescent="0.45">
      <c r="A188" s="4">
        <v>274</v>
      </c>
      <c r="B188" s="4">
        <v>0</v>
      </c>
      <c r="C188" s="4">
        <v>0</v>
      </c>
      <c r="D188">
        <f>IF('исходные данные'!D188&gt;'минимумы и максимумы'!B$10,100,('исходные данные'!D188-'минимумы и максимумы'!B$9)/('минимумы и максимумы'!B$10-'минимумы и максимумы'!B$9)*100)</f>
        <v>0</v>
      </c>
      <c r="E188">
        <f>IF('исходные данные'!E188&gt;'минимумы и максимумы'!C$10,100,('исходные данные'!E188-'минимумы и максимумы'!C$9)/('минимумы и максимумы'!C$10-'минимумы и максимумы'!C$9)*100)</f>
        <v>10</v>
      </c>
      <c r="F188">
        <f>IF('исходные данные'!F188&gt;'минимумы и максимумы'!D$10,100,('исходные данные'!F188-'минимумы и максимумы'!D$9)/('минимумы и максимумы'!D$10-'минимумы и максимумы'!D$9)*100)</f>
        <v>33.333333333333329</v>
      </c>
      <c r="G188">
        <f>IF('исходные данные'!G188&gt;'минимумы и максимумы'!E$10,100,('исходные данные'!G188-'минимумы и максимумы'!E$9)/('минимумы и максимумы'!E$10-'минимумы и максимумы'!E$9)*100)</f>
        <v>20.833333333333336</v>
      </c>
      <c r="H188">
        <f>IF('исходные данные'!H188&gt;'минимумы и максимумы'!F$10,100,('исходные данные'!H188-'минимумы и максимумы'!F$9)/('минимумы и максимумы'!F$10-'минимумы и максимумы'!F$9)*100)</f>
        <v>10.344827586206897</v>
      </c>
      <c r="I188">
        <f>IF('исходные данные'!I188&gt;'минимумы и максимумы'!G$10,100,('исходные данные'!I188-'минимумы и максимумы'!G$9)/('минимумы и максимумы'!G$10-'минимумы и максимумы'!G$9)*100)</f>
        <v>3.7735849056603774</v>
      </c>
      <c r="J188">
        <f>IF('исходные данные'!J188&gt;'минимумы и максимумы'!H$10,100,('исходные данные'!J188-'минимумы и максимумы'!H$9)/('минимумы и максимумы'!H$10-'минимумы и максимумы'!H$9)*100)</f>
        <v>0</v>
      </c>
      <c r="K188">
        <f>IF('исходные данные'!K188&gt;'минимумы и максимумы'!I$10,100,('исходные данные'!K188-'минимумы и максимумы'!I$9)/('минимумы и максимумы'!I$10-'минимумы и максимумы'!I$9)*100)</f>
        <v>0</v>
      </c>
      <c r="L188">
        <f>IF('исходные данные'!L188&gt;'минимумы и максимумы'!J$10,100,('исходные данные'!L188-'минимумы и максимумы'!J$9)/('минимумы и максимумы'!J$10-'минимумы и максимумы'!J$9)*100)</f>
        <v>0</v>
      </c>
      <c r="M188">
        <f>IF('исходные данные'!M188&gt;'минимумы и максимумы'!K$10,100,('исходные данные'!M188-'минимумы и максимумы'!K$9)/('минимумы и максимумы'!K$10-'минимумы и максимумы'!K$9)*100)</f>
        <v>3.5714285714285712</v>
      </c>
      <c r="N188">
        <f>IF('исходные данные'!N188&gt;'минимумы и максимумы'!L$10,100,('исходные данные'!N188-'минимумы и максимумы'!L$9)/('минимумы и максимумы'!L$10-'минимумы и максимумы'!L$9)*100)</f>
        <v>34.794562704722551</v>
      </c>
      <c r="O188">
        <f>IF('исходные данные'!O188&gt;'минимумы и максимумы'!M$10,100,('исходные данные'!O188-'минимумы и максимумы'!M$9)/('минимумы и максимумы'!M$10-'минимумы и максимумы'!M$9)*100)</f>
        <v>33.333333333333329</v>
      </c>
      <c r="P188">
        <f>IF('исходные данные'!P188&gt;'минимумы и максимумы'!N$10,100,('исходные данные'!P188-'минимумы и максимумы'!N$9)/('минимумы и максимумы'!N$10-'минимумы и максимумы'!N$9)*100)</f>
        <v>0</v>
      </c>
      <c r="Q188">
        <f>IF('исходные данные'!Q188&gt;'минимумы и максимумы'!O$10,100,('исходные данные'!Q188-'минимумы и максимумы'!O$9)/('минимумы и максимумы'!O$10-'минимумы и максимумы'!O$9)*100)</f>
        <v>0</v>
      </c>
      <c r="R188">
        <f>IF('исходные данные'!R188&gt;'минимумы и максимумы'!P$10,100,('исходные данные'!R188-'минимумы и максимумы'!P$9)/('минимумы и максимумы'!P$10-'минимумы и максимумы'!P$9)*100)</f>
        <v>75</v>
      </c>
      <c r="S188">
        <f>IF('исходные данные'!S188&gt;'минимумы и максимумы'!Q$10,100,('исходные данные'!S188-'минимумы и максимумы'!Q$9)/('минимумы и максимумы'!Q$10-'минимумы и максимумы'!Q$9)*100)</f>
        <v>16.666666666666664</v>
      </c>
      <c r="T188">
        <f>IF('исходные данные'!T188&gt;'минимумы и максимумы'!R$10,100,('исходные данные'!T188-'минимумы и максимумы'!R$9)/('минимумы и максимумы'!R$10-'минимумы и максимумы'!R$9)*100)</f>
        <v>3.4234752589182968</v>
      </c>
      <c r="U188">
        <f>IF('исходные данные'!U188&gt;'минимумы и максимумы'!S$10,100,('исходные данные'!U188-'минимумы и максимумы'!S$9)/('минимумы и максимумы'!S$10-'минимумы и максимумы'!S$9)*100)</f>
        <v>0</v>
      </c>
    </row>
    <row r="189" spans="1:21" x14ac:dyDescent="0.45">
      <c r="A189" s="4">
        <v>275</v>
      </c>
      <c r="B189" s="4">
        <v>0</v>
      </c>
      <c r="C189" s="4">
        <v>0</v>
      </c>
      <c r="D189">
        <f>IF('исходные данные'!D189&gt;'минимумы и максимумы'!B$10,100,('исходные данные'!D189-'минимумы и максимумы'!B$9)/('минимумы и максимумы'!B$10-'минимумы и максимумы'!B$9)*100)</f>
        <v>11.111111111111111</v>
      </c>
      <c r="E189">
        <f>IF('исходные данные'!E189&gt;'минимумы и максимумы'!C$10,100,('исходные данные'!E189-'минимумы и максимумы'!C$9)/('минимумы и максимумы'!C$10-'минимумы и максимумы'!C$9)*100)</f>
        <v>0</v>
      </c>
      <c r="F189">
        <f>IF('исходные данные'!F189&gt;'минимумы и максимумы'!D$10,100,('исходные данные'!F189-'минимумы и максимумы'!D$9)/('минимумы и максимумы'!D$10-'минимумы и максимумы'!D$9)*100)</f>
        <v>0</v>
      </c>
      <c r="G189">
        <f>IF('исходные данные'!G189&gt;'минимумы и максимумы'!E$10,100,('исходные данные'!G189-'минимумы и максимумы'!E$9)/('минимумы и максимумы'!E$10-'минимумы и максимумы'!E$9)*100)</f>
        <v>0</v>
      </c>
      <c r="H189">
        <f>IF('исходные данные'!H189&gt;'минимумы и максимумы'!F$10,100,('исходные данные'!H189-'минимумы и максимумы'!F$9)/('минимумы и максимумы'!F$10-'минимумы и максимумы'!F$9)*100)</f>
        <v>6.8965517241379306</v>
      </c>
      <c r="I189">
        <f>IF('исходные данные'!I189&gt;'минимумы и максимумы'!G$10,100,('исходные данные'!I189-'минимумы и максимумы'!G$9)/('минимумы и максимумы'!G$10-'минимумы и максимумы'!G$9)*100)</f>
        <v>18.867924528301888</v>
      </c>
      <c r="J189">
        <f>IF('исходные данные'!J189&gt;'минимумы и максимумы'!H$10,100,('исходные данные'!J189-'минимумы и максимумы'!H$9)/('минимумы и максимумы'!H$10-'минимумы и максимумы'!H$9)*100)</f>
        <v>6.666666666666667</v>
      </c>
      <c r="K189">
        <f>IF('исходные данные'!K189&gt;'минимумы и максимумы'!I$10,100,('исходные данные'!K189-'минимумы и максимумы'!I$9)/('минимумы и максимумы'!I$10-'минимумы и максимумы'!I$9)*100)</f>
        <v>22.222222222222221</v>
      </c>
      <c r="L189">
        <f>IF('исходные данные'!L189&gt;'минимумы и максимумы'!J$10,100,('исходные данные'!L189-'минимумы и максимумы'!J$9)/('минимумы и максимумы'!J$10-'минимумы и максимумы'!J$9)*100)</f>
        <v>7.1428571428571423</v>
      </c>
      <c r="M189">
        <f>IF('исходные данные'!M189&gt;'минимумы и максимумы'!K$10,100,('исходные данные'!M189-'минимумы и максимумы'!K$9)/('минимумы и максимумы'!K$10-'минимумы и максимумы'!K$9)*100)</f>
        <v>17.857142857142858</v>
      </c>
      <c r="N189">
        <f>IF('исходные данные'!N189&gt;'минимумы и максимумы'!L$10,100,('исходные данные'!N189-'минимумы и максимумы'!L$9)/('минимумы и максимумы'!L$10-'минимумы и максимумы'!L$9)*100)</f>
        <v>40.340947132814023</v>
      </c>
      <c r="O189">
        <f>IF('исходные данные'!O189&gt;'минимумы и максимумы'!M$10,100,('исходные данные'!O189-'минимумы и максимумы'!M$9)/('минимумы и максимумы'!M$10-'минимумы и максимумы'!M$9)*100)</f>
        <v>100</v>
      </c>
      <c r="P189">
        <f>IF('исходные данные'!P189&gt;'минимумы и максимумы'!N$10,100,('исходные данные'!P189-'минимумы и максимумы'!N$9)/('минимумы и максимумы'!N$10-'минимумы и максимумы'!N$9)*100)</f>
        <v>0</v>
      </c>
      <c r="Q189">
        <f>IF('исходные данные'!Q189&gt;'минимумы и максимумы'!O$10,100,('исходные данные'!Q189-'минимумы и максимумы'!O$9)/('минимумы и максимумы'!O$10-'минимумы и максимумы'!O$9)*100)</f>
        <v>100</v>
      </c>
      <c r="R189">
        <f>IF('исходные данные'!R189&gt;'минимумы и максимумы'!P$10,100,('исходные данные'!R189-'минимумы и максимумы'!P$9)/('минимумы и максимумы'!P$10-'минимумы и максимумы'!P$9)*100)</f>
        <v>0</v>
      </c>
      <c r="S189">
        <f>IF('исходные данные'!S189&gt;'минимумы и максимумы'!Q$10,100,('исходные данные'!S189-'минимумы и максимумы'!Q$9)/('минимумы и максимумы'!Q$10-'минимумы и максимумы'!Q$9)*100)</f>
        <v>16.666666666666664</v>
      </c>
      <c r="T189">
        <f>IF('исходные данные'!T189&gt;'минимумы и максимумы'!R$10,100,('исходные данные'!T189-'минимумы и максимумы'!R$9)/('минимумы и максимумы'!R$10-'минимумы и максимумы'!R$9)*100)</f>
        <v>16.254315304948218</v>
      </c>
      <c r="U189">
        <f>IF('исходные данные'!U189&gt;'минимумы и максимумы'!S$10,100,('исходные данные'!U189-'минимумы и максимумы'!S$9)/('минимумы и максимумы'!S$10-'минимумы и максимумы'!S$9)*100)</f>
        <v>33.333333333333329</v>
      </c>
    </row>
    <row r="190" spans="1:21" x14ac:dyDescent="0.45">
      <c r="A190" s="4">
        <v>276</v>
      </c>
      <c r="B190" s="4">
        <v>0</v>
      </c>
      <c r="C190" s="4">
        <v>0</v>
      </c>
      <c r="D190">
        <f>IF('исходные данные'!D190&gt;'минимумы и максимумы'!B$10,100,('исходные данные'!D190-'минимумы и максимумы'!B$9)/('минимумы и максимумы'!B$10-'минимумы и максимумы'!B$9)*100)</f>
        <v>22.222222222222221</v>
      </c>
      <c r="E190">
        <f>IF('исходные данные'!E190&gt;'минимумы и максимумы'!C$10,100,('исходные данные'!E190-'минимумы и максимумы'!C$9)/('минимумы и максимумы'!C$10-'минимумы и максимумы'!C$9)*100)</f>
        <v>30</v>
      </c>
      <c r="F190">
        <f>IF('исходные данные'!F190&gt;'минимумы и максимумы'!D$10,100,('исходные данные'!F190-'минимумы и максимумы'!D$9)/('минимумы и максимумы'!D$10-'минимумы и максимумы'!D$9)*100)</f>
        <v>100</v>
      </c>
      <c r="G190">
        <f>IF('исходные данные'!G190&gt;'минимумы и максимумы'!E$10,100,('исходные данные'!G190-'минимумы и максимумы'!E$9)/('минимумы и максимумы'!E$10-'минимумы и максимумы'!E$9)*100)</f>
        <v>29.166666666666668</v>
      </c>
      <c r="H190">
        <f>IF('исходные данные'!H190&gt;'минимумы и максимумы'!F$10,100,('исходные данные'!H190-'минимумы и максимумы'!F$9)/('минимумы и максимумы'!F$10-'минимумы и максимумы'!F$9)*100)</f>
        <v>13.793103448275861</v>
      </c>
      <c r="I190">
        <f>IF('исходные данные'!I190&gt;'минимумы и максимумы'!G$10,100,('исходные данные'!I190-'минимумы и максимумы'!G$9)/('минимумы и максимумы'!G$10-'минимумы и максимумы'!G$9)*100)</f>
        <v>11.320754716981133</v>
      </c>
      <c r="J190">
        <f>IF('исходные данные'!J190&gt;'минимумы и максимумы'!H$10,100,('исходные данные'!J190-'минимумы и максимумы'!H$9)/('минимумы и максимумы'!H$10-'минимумы и максимумы'!H$9)*100)</f>
        <v>13.333333333333334</v>
      </c>
      <c r="K190">
        <f>IF('исходные данные'!K190&gt;'минимумы и максимумы'!I$10,100,('исходные данные'!K190-'минимумы и максимумы'!I$9)/('минимумы и максимумы'!I$10-'минимумы и максимумы'!I$9)*100)</f>
        <v>0</v>
      </c>
      <c r="L190">
        <f>IF('исходные данные'!L190&gt;'минимумы и максимумы'!J$10,100,('исходные данные'!L190-'минимумы и максимумы'!J$9)/('минимумы и максимумы'!J$10-'минимумы и максимумы'!J$9)*100)</f>
        <v>0</v>
      </c>
      <c r="M190">
        <f>IF('исходные данные'!M190&gt;'минимумы и максимумы'!K$10,100,('исходные данные'!M190-'минимумы и максимумы'!K$9)/('минимумы и максимумы'!K$10-'минимумы и максимумы'!K$9)*100)</f>
        <v>42.857142857142854</v>
      </c>
      <c r="N190">
        <f>IF('исходные данные'!N190&gt;'минимумы и максимумы'!L$10,100,('исходные данные'!N190-'минимумы и максимумы'!L$9)/('минимумы и максимумы'!L$10-'минимумы и максимумы'!L$9)*100)</f>
        <v>30.643840384935807</v>
      </c>
      <c r="O190">
        <f>IF('исходные данные'!O190&gt;'минимумы и максимумы'!M$10,100,('исходные данные'!O190-'минимумы и максимумы'!M$9)/('минимумы и максимумы'!M$10-'минимумы и максимумы'!M$9)*100)</f>
        <v>0</v>
      </c>
      <c r="P190">
        <f>IF('исходные данные'!P190&gt;'минимумы и максимумы'!N$10,100,('исходные данные'!P190-'минимумы и максимумы'!N$9)/('минимумы и максимумы'!N$10-'минимумы и максимумы'!N$9)*100)</f>
        <v>0</v>
      </c>
      <c r="Q190">
        <f>IF('исходные данные'!Q190&gt;'минимумы и максимумы'!O$10,100,('исходные данные'!Q190-'минимумы и максимумы'!O$9)/('минимумы и максимумы'!O$10-'минимумы и максимумы'!O$9)*100)</f>
        <v>0</v>
      </c>
      <c r="R190">
        <f>IF('исходные данные'!R190&gt;'минимумы и максимумы'!P$10,100,('исходные данные'!R190-'минимумы и максимумы'!P$9)/('минимумы и максимумы'!P$10-'минимумы и максимумы'!P$9)*100)</f>
        <v>50</v>
      </c>
      <c r="S190">
        <f>IF('исходные данные'!S190&gt;'минимумы и максимумы'!Q$10,100,('исходные данные'!S190-'минимумы и максимумы'!Q$9)/('минимумы и максимумы'!Q$10-'минимумы и максимумы'!Q$9)*100)</f>
        <v>16.666666666666664</v>
      </c>
      <c r="T190">
        <f>IF('исходные данные'!T190&gt;'минимумы и максимумы'!R$10,100,('исходные данные'!T190-'минимумы и максимумы'!R$9)/('минимумы и максимумы'!R$10-'минимумы и максимумы'!R$9)*100)</f>
        <v>1.2658227848101267</v>
      </c>
      <c r="U190">
        <f>IF('исходные данные'!U190&gt;'минимумы и максимумы'!S$10,100,('исходные данные'!U190-'минимумы и максимумы'!S$9)/('минимумы и максимумы'!S$10-'минимумы и максимумы'!S$9)*100)</f>
        <v>0</v>
      </c>
    </row>
    <row r="191" spans="1:21" x14ac:dyDescent="0.45">
      <c r="A191" s="4">
        <v>277</v>
      </c>
      <c r="B191" s="4">
        <v>0</v>
      </c>
      <c r="C191" s="4">
        <v>0</v>
      </c>
      <c r="D191">
        <f>IF('исходные данные'!D191&gt;'минимумы и максимумы'!B$10,100,('исходные данные'!D191-'минимумы и максимумы'!B$9)/('минимумы и максимумы'!B$10-'минимумы и максимумы'!B$9)*100)</f>
        <v>0</v>
      </c>
      <c r="E191">
        <f>IF('исходные данные'!E191&gt;'минимумы и максимумы'!C$10,100,('исходные данные'!E191-'минимумы и максимумы'!C$9)/('минимумы и максимумы'!C$10-'минимумы и максимумы'!C$9)*100)</f>
        <v>0</v>
      </c>
      <c r="F191">
        <f>IF('исходные данные'!F191&gt;'минимумы и максимумы'!D$10,100,('исходные данные'!F191-'минимумы и максимумы'!D$9)/('минимумы и максимумы'!D$10-'минимумы и максимумы'!D$9)*100)</f>
        <v>0</v>
      </c>
      <c r="G191">
        <f>IF('исходные данные'!G191&gt;'минимумы и максимумы'!E$10,100,('исходные данные'!G191-'минимумы и максимумы'!E$9)/('минимумы и максимумы'!E$10-'минимумы и максимумы'!E$9)*100)</f>
        <v>0</v>
      </c>
      <c r="H191">
        <f>IF('исходные данные'!H191&gt;'минимумы и максимумы'!F$10,100,('исходные данные'!H191-'минимумы и максимумы'!F$9)/('минимумы и максимумы'!F$10-'минимумы и максимумы'!F$9)*100)</f>
        <v>10.344827586206897</v>
      </c>
      <c r="I191">
        <f>IF('исходные данные'!I191&gt;'минимумы и максимумы'!G$10,100,('исходные данные'!I191-'минимумы и максимумы'!G$9)/('минимумы и максимумы'!G$10-'минимумы и максимумы'!G$9)*100)</f>
        <v>16.981132075471699</v>
      </c>
      <c r="J191">
        <f>IF('исходные данные'!J191&gt;'минимумы и максимумы'!H$10,100,('исходные данные'!J191-'минимумы и максимумы'!H$9)/('минимумы и максимумы'!H$10-'минимумы и максимумы'!H$9)*100)</f>
        <v>0</v>
      </c>
      <c r="K191">
        <f>IF('исходные данные'!K191&gt;'минимумы и максимумы'!I$10,100,('исходные данные'!K191-'минимумы и максимумы'!I$9)/('минимумы и максимумы'!I$10-'минимумы и максимумы'!I$9)*100)</f>
        <v>11.111111111111111</v>
      </c>
      <c r="L191">
        <f>IF('исходные данные'!L191&gt;'минимумы и максимумы'!J$10,100,('исходные данные'!L191-'минимумы и максимумы'!J$9)/('минимумы и максимумы'!J$10-'минимумы и максимумы'!J$9)*100)</f>
        <v>0</v>
      </c>
      <c r="M191">
        <f>IF('исходные данные'!M191&gt;'минимумы и максимумы'!K$10,100,('исходные данные'!M191-'минимумы и максимумы'!K$9)/('минимумы и максимумы'!K$10-'минимумы и максимумы'!K$9)*100)</f>
        <v>17.857142857142858</v>
      </c>
      <c r="N191">
        <f>IF('исходные данные'!N191&gt;'минимумы и максимумы'!L$10,100,('исходные данные'!N191-'минимумы и максимумы'!L$9)/('минимумы и максимумы'!L$10-'минимумы и максимумы'!L$9)*100)</f>
        <v>36.466070520601704</v>
      </c>
      <c r="O191">
        <f>IF('исходные данные'!O191&gt;'минимумы и максимумы'!M$10,100,('исходные данные'!O191-'минимумы и максимумы'!M$9)/('минимумы и максимумы'!M$10-'минимумы и максимумы'!M$9)*100)</f>
        <v>66.666666666666657</v>
      </c>
      <c r="P191">
        <f>IF('исходные данные'!P191&gt;'минимумы и максимумы'!N$10,100,('исходные данные'!P191-'минимумы и максимумы'!N$9)/('минимумы и максимумы'!N$10-'минимумы и максимумы'!N$9)*100)</f>
        <v>0</v>
      </c>
      <c r="Q191">
        <f>IF('исходные данные'!Q191&gt;'минимумы и максимумы'!O$10,100,('исходные данные'!Q191-'минимумы и максимумы'!O$9)/('минимумы и максимумы'!O$10-'минимумы и максимумы'!O$9)*100)</f>
        <v>0</v>
      </c>
      <c r="R191">
        <f>IF('исходные данные'!R191&gt;'минимумы и максимумы'!P$10,100,('исходные данные'!R191-'минимумы и максимумы'!P$9)/('минимумы и максимумы'!P$10-'минимумы и максимумы'!P$9)*100)</f>
        <v>25</v>
      </c>
      <c r="S191">
        <f>IF('исходные данные'!S191&gt;'минимумы и максимумы'!Q$10,100,('исходные данные'!S191-'минимумы и максимумы'!Q$9)/('минимумы и максимумы'!Q$10-'минимумы и максимумы'!Q$9)*100)</f>
        <v>33.333333333333329</v>
      </c>
      <c r="T191">
        <f>IF('исходные данные'!T191&gt;'минимумы и максимумы'!R$10,100,('исходные данные'!T191-'минимумы и максимумы'!R$9)/('минимумы и максимумы'!R$10-'минимумы и максимумы'!R$9)*100)</f>
        <v>49.021864211737629</v>
      </c>
      <c r="U191">
        <f>IF('исходные данные'!U191&gt;'минимумы и максимумы'!S$10,100,('исходные данные'!U191-'минимумы и максимумы'!S$9)/('минимумы и максимумы'!S$10-'минимумы и максимумы'!S$9)*100)</f>
        <v>66.666666666666657</v>
      </c>
    </row>
    <row r="192" spans="1:21" x14ac:dyDescent="0.45">
      <c r="A192" s="4">
        <v>278</v>
      </c>
      <c r="B192" s="4">
        <v>0</v>
      </c>
      <c r="C192" s="4">
        <v>0</v>
      </c>
      <c r="D192">
        <f>IF('исходные данные'!D192&gt;'минимумы и максимумы'!B$10,100,('исходные данные'!D192-'минимумы и максимумы'!B$9)/('минимумы и максимумы'!B$10-'минимумы и максимумы'!B$9)*100)</f>
        <v>0</v>
      </c>
      <c r="E192">
        <f>IF('исходные данные'!E192&gt;'минимумы и максимумы'!C$10,100,('исходные данные'!E192-'минимумы и максимумы'!C$9)/('минимумы и максимумы'!C$10-'минимумы и максимумы'!C$9)*100)</f>
        <v>0</v>
      </c>
      <c r="F192">
        <f>IF('исходные данные'!F192&gt;'минимумы и максимумы'!D$10,100,('исходные данные'!F192-'минимумы и максимумы'!D$9)/('минимумы и максимумы'!D$10-'минимумы и максимумы'!D$9)*100)</f>
        <v>0</v>
      </c>
      <c r="G192">
        <f>IF('исходные данные'!G192&gt;'минимумы и максимумы'!E$10,100,('исходные данные'!G192-'минимумы и максимумы'!E$9)/('минимумы и максимумы'!E$10-'минимумы и максимумы'!E$9)*100)</f>
        <v>8.3333333333333321</v>
      </c>
      <c r="H192">
        <f>IF('исходные данные'!H192&gt;'минимумы и максимумы'!F$10,100,('исходные данные'!H192-'минимумы и максимумы'!F$9)/('минимумы и максимумы'!F$10-'минимумы и максимумы'!F$9)*100)</f>
        <v>13.793103448275861</v>
      </c>
      <c r="I192">
        <f>IF('исходные данные'!I192&gt;'минимумы и максимумы'!G$10,100,('исходные данные'!I192-'минимумы и максимумы'!G$9)/('минимумы и максимумы'!G$10-'минимумы и максимумы'!G$9)*100)</f>
        <v>15.09433962264151</v>
      </c>
      <c r="J192">
        <f>IF('исходные данные'!J192&gt;'минимумы и максимумы'!H$10,100,('исходные данные'!J192-'минимумы и максимумы'!H$9)/('минимумы и максимумы'!H$10-'минимумы и максимумы'!H$9)*100)</f>
        <v>0</v>
      </c>
      <c r="K192">
        <f>IF('исходные данные'!K192&gt;'минимумы и максимумы'!I$10,100,('исходные данные'!K192-'минимумы и максимумы'!I$9)/('минимумы и максимумы'!I$10-'минимумы и максимумы'!I$9)*100)</f>
        <v>5.5555555555555554</v>
      </c>
      <c r="L192">
        <f>IF('исходные данные'!L192&gt;'минимумы и максимумы'!J$10,100,('исходные данные'!L192-'минимумы и максимумы'!J$9)/('минимумы и максимумы'!J$10-'минимумы и максимумы'!J$9)*100)</f>
        <v>0</v>
      </c>
      <c r="M192">
        <f>IF('исходные данные'!M192&gt;'минимумы и максимумы'!K$10,100,('исходные данные'!M192-'минимумы и максимумы'!K$9)/('минимумы и максимумы'!K$10-'минимумы и максимумы'!K$9)*100)</f>
        <v>21.428571428571427</v>
      </c>
      <c r="N192">
        <f>IF('исходные данные'!N192&gt;'минимумы и максимумы'!L$10,100,('исходные данные'!N192-'минимумы и максимумы'!L$9)/('минимумы и максимумы'!L$10-'минимумы и максимумы'!L$9)*100)</f>
        <v>36.004693455082112</v>
      </c>
      <c r="O192">
        <f>IF('исходные данные'!O192&gt;'минимумы и максимумы'!M$10,100,('исходные данные'!O192-'минимумы и максимумы'!M$9)/('минимумы и максимумы'!M$10-'минимумы и максимумы'!M$9)*100)</f>
        <v>66.666666666666657</v>
      </c>
      <c r="P192">
        <f>IF('исходные данные'!P192&gt;'минимумы и максимумы'!N$10,100,('исходные данные'!P192-'минимумы и максимумы'!N$9)/('минимумы и максимумы'!N$10-'минимумы и максимумы'!N$9)*100)</f>
        <v>0</v>
      </c>
      <c r="Q192">
        <f>IF('исходные данные'!Q192&gt;'минимумы и максимумы'!O$10,100,('исходные данные'!Q192-'минимумы и максимумы'!O$9)/('минимумы и максимумы'!O$10-'минимумы и максимумы'!O$9)*100)</f>
        <v>0</v>
      </c>
      <c r="R192">
        <f>IF('исходные данные'!R192&gt;'минимумы и максимумы'!P$10,100,('исходные данные'!R192-'минимумы и максимумы'!P$9)/('минимумы и максимумы'!P$10-'минимумы и максимумы'!P$9)*100)</f>
        <v>25</v>
      </c>
      <c r="S192">
        <f>IF('исходные данные'!S192&gt;'минимумы и максимумы'!Q$10,100,('исходные данные'!S192-'минимумы и максимумы'!Q$9)/('минимумы и максимумы'!Q$10-'минимумы и максимумы'!Q$9)*100)</f>
        <v>66.666666666666657</v>
      </c>
      <c r="T192">
        <f>IF('исходные данные'!T192&gt;'минимумы и максимумы'!R$10,100,('исходные данные'!T192-'минимумы и максимумы'!R$9)/('минимумы и максимумы'!R$10-'минимумы и максимумы'!R$9)*100)</f>
        <v>50</v>
      </c>
      <c r="U192">
        <f>IF('исходные данные'!U192&gt;'минимумы и максимумы'!S$10,100,('исходные данные'!U192-'минимумы и максимумы'!S$9)/('минимумы и максимумы'!S$10-'минимумы и максимумы'!S$9)*100)</f>
        <v>66.666666666666657</v>
      </c>
    </row>
    <row r="193" spans="1:21" x14ac:dyDescent="0.45">
      <c r="A193" s="4">
        <v>279</v>
      </c>
      <c r="B193" s="4">
        <v>0</v>
      </c>
      <c r="C193" s="4">
        <v>0</v>
      </c>
      <c r="D193">
        <f>IF('исходные данные'!D193&gt;'минимумы и максимумы'!B$10,100,('исходные данные'!D193-'минимумы и максимумы'!B$9)/('минимумы и максимумы'!B$10-'минимумы и максимумы'!B$9)*100)</f>
        <v>0</v>
      </c>
      <c r="E193">
        <f>IF('исходные данные'!E193&gt;'минимумы и максимумы'!C$10,100,('исходные данные'!E193-'минимумы и максимумы'!C$9)/('минимумы и максимумы'!C$10-'минимумы и максимумы'!C$9)*100)</f>
        <v>30</v>
      </c>
      <c r="F193">
        <f>IF('исходные данные'!F193&gt;'минимумы и максимумы'!D$10,100,('исходные данные'!F193-'минимумы и максимумы'!D$9)/('минимумы и максимумы'!D$10-'минимумы и максимумы'!D$9)*100)</f>
        <v>66.666666666666657</v>
      </c>
      <c r="G193">
        <f>IF('исходные данные'!G193&gt;'минимумы и максимумы'!E$10,100,('исходные данные'!G193-'минимумы и максимумы'!E$9)/('минимумы и максимумы'!E$10-'минимумы и максимумы'!E$9)*100)</f>
        <v>16.666666666666664</v>
      </c>
      <c r="H193">
        <f>IF('исходные данные'!H193&gt;'минимумы и максимумы'!F$10,100,('исходные данные'!H193-'минимумы и максимумы'!F$9)/('минимумы и максимумы'!F$10-'минимумы и максимумы'!F$9)*100)</f>
        <v>17.241379310344829</v>
      </c>
      <c r="I193">
        <f>IF('исходные данные'!I193&gt;'минимумы и максимумы'!G$10,100,('исходные данные'!I193-'минимумы и максимумы'!G$9)/('минимумы и максимумы'!G$10-'минимумы и максимумы'!G$9)*100)</f>
        <v>35.849056603773583</v>
      </c>
      <c r="J193">
        <f>IF('исходные данные'!J193&gt;'минимумы и максимумы'!H$10,100,('исходные данные'!J193-'минимумы и максимумы'!H$9)/('минимумы и максимумы'!H$10-'минимумы и максимумы'!H$9)*100)</f>
        <v>6.666666666666667</v>
      </c>
      <c r="K193">
        <f>IF('исходные данные'!K193&gt;'минимумы и максимумы'!I$10,100,('исходные данные'!K193-'минимумы и максимумы'!I$9)/('минимумы и максимумы'!I$10-'минимумы и максимумы'!I$9)*100)</f>
        <v>33.333333333333329</v>
      </c>
      <c r="L193">
        <f>IF('исходные данные'!L193&gt;'минимумы и максимумы'!J$10,100,('исходные данные'!L193-'минимумы и максимумы'!J$9)/('минимумы и максимумы'!J$10-'минимумы и максимумы'!J$9)*100)</f>
        <v>14.285714285714285</v>
      </c>
      <c r="M193">
        <f>IF('исходные данные'!M193&gt;'минимумы и максимумы'!K$10,100,('исходные данные'!M193-'минимумы и максимумы'!K$9)/('минимумы и максимумы'!K$10-'минимумы и максимумы'!K$9)*100)</f>
        <v>57.142857142857139</v>
      </c>
      <c r="N193">
        <f>IF('исходные данные'!N193&gt;'минимумы и максимумы'!L$10,100,('исходные данные'!N193-'минимумы и максимумы'!L$9)/('минимумы и максимумы'!L$10-'минимумы и максимумы'!L$9)*100)</f>
        <v>15.228538324498977</v>
      </c>
      <c r="O193">
        <f>IF('исходные данные'!O193&gt;'минимумы и максимумы'!M$10,100,('исходные данные'!O193-'минимумы и максимумы'!M$9)/('минимумы и максимумы'!M$10-'минимумы и максимумы'!M$9)*100)</f>
        <v>33.333333333333329</v>
      </c>
      <c r="P193">
        <f>IF('исходные данные'!P193&gt;'минимумы и максимумы'!N$10,100,('исходные данные'!P193-'минимумы и максимумы'!N$9)/('минимумы и максимумы'!N$10-'минимумы и максимумы'!N$9)*100)</f>
        <v>0</v>
      </c>
      <c r="Q193">
        <f>IF('исходные данные'!Q193&gt;'минимумы и максимумы'!O$10,100,('исходные данные'!Q193-'минимумы и максимумы'!O$9)/('минимумы и максимумы'!O$10-'минимумы и максимумы'!O$9)*100)</f>
        <v>0</v>
      </c>
      <c r="R193">
        <f>IF('исходные данные'!R193&gt;'минимумы и максимумы'!P$10,100,('исходные данные'!R193-'минимумы и максимумы'!P$9)/('минимумы и максимумы'!P$10-'минимумы и максимумы'!P$9)*100)</f>
        <v>75</v>
      </c>
      <c r="S193">
        <f>IF('исходные данные'!S193&gt;'минимумы и максимумы'!Q$10,100,('исходные данные'!S193-'минимумы и максимумы'!Q$9)/('минимумы и максимумы'!Q$10-'минимумы и максимумы'!Q$9)*100)</f>
        <v>33.333333333333329</v>
      </c>
      <c r="T193">
        <f>IF('исходные данные'!T193&gt;'минимумы и максимумы'!R$10,100,('исходные данные'!T193-'минимумы и максимумы'!R$9)/('минимумы и максимумы'!R$10-'минимумы и максимумы'!R$9)*100)</f>
        <v>17.577675489067897</v>
      </c>
      <c r="U193">
        <f>IF('исходные данные'!U193&gt;'минимумы и максимумы'!S$10,100,('исходные данные'!U193-'минимумы и максимумы'!S$9)/('минимумы и максимумы'!S$10-'минимумы и максимумы'!S$9)*100)</f>
        <v>0</v>
      </c>
    </row>
    <row r="194" spans="1:21" x14ac:dyDescent="0.45">
      <c r="A194" s="4">
        <v>280</v>
      </c>
      <c r="B194" s="4">
        <v>0</v>
      </c>
      <c r="C194" s="4">
        <v>0</v>
      </c>
      <c r="D194">
        <f>IF('исходные данные'!D194&gt;'минимумы и максимумы'!B$10,100,('исходные данные'!D194-'минимумы и максимумы'!B$9)/('минимумы и максимумы'!B$10-'минимумы и максимумы'!B$9)*100)</f>
        <v>0</v>
      </c>
      <c r="E194">
        <f>IF('исходные данные'!E194&gt;'минимумы и максимумы'!C$10,100,('исходные данные'!E194-'минимумы и максимумы'!C$9)/('минимумы и максимумы'!C$10-'минимумы и максимумы'!C$9)*100)</f>
        <v>30</v>
      </c>
      <c r="F194">
        <f>IF('исходные данные'!F194&gt;'минимумы и максимумы'!D$10,100,('исходные данные'!F194-'минимумы и максимумы'!D$9)/('минимумы и максимумы'!D$10-'минимумы и максимумы'!D$9)*100)</f>
        <v>66.666666666666657</v>
      </c>
      <c r="G194">
        <f>IF('исходные данные'!G194&gt;'минимумы и максимумы'!E$10,100,('исходные данные'!G194-'минимумы и максимумы'!E$9)/('минимумы и максимумы'!E$10-'минимумы и максимумы'!E$9)*100)</f>
        <v>16.666666666666664</v>
      </c>
      <c r="H194">
        <f>IF('исходные данные'!H194&gt;'минимумы и максимумы'!F$10,100,('исходные данные'!H194-'минимумы и максимумы'!F$9)/('минимумы и максимумы'!F$10-'минимумы и максимумы'!F$9)*100)</f>
        <v>17.241379310344829</v>
      </c>
      <c r="I194">
        <f>IF('исходные данные'!I194&gt;'минимумы и максимумы'!G$10,100,('исходные данные'!I194-'минимумы и максимумы'!G$9)/('минимумы и максимумы'!G$10-'минимумы и максимумы'!G$9)*100)</f>
        <v>35.849056603773583</v>
      </c>
      <c r="J194">
        <f>IF('исходные данные'!J194&gt;'минимумы и максимумы'!H$10,100,('исходные данные'!J194-'минимумы и максимумы'!H$9)/('минимумы и максимумы'!H$10-'минимумы и максимумы'!H$9)*100)</f>
        <v>6.666666666666667</v>
      </c>
      <c r="K194">
        <f>IF('исходные данные'!K194&gt;'минимумы и максимумы'!I$10,100,('исходные данные'!K194-'минимумы и максимумы'!I$9)/('минимумы и максимумы'!I$10-'минимумы и максимумы'!I$9)*100)</f>
        <v>33.333333333333329</v>
      </c>
      <c r="L194">
        <f>IF('исходные данные'!L194&gt;'минимумы и максимумы'!J$10,100,('исходные данные'!L194-'минимумы и максимумы'!J$9)/('минимумы и максимумы'!J$10-'минимумы и максимумы'!J$9)*100)</f>
        <v>14.285714285714285</v>
      </c>
      <c r="M194">
        <f>IF('исходные данные'!M194&gt;'минимумы и максимумы'!K$10,100,('исходные данные'!M194-'минимумы и максимумы'!K$9)/('минимумы и максимумы'!K$10-'минимумы и максимумы'!K$9)*100)</f>
        <v>57.142857142857139</v>
      </c>
      <c r="N194">
        <f>IF('исходные данные'!N194&gt;'минимумы и максимумы'!L$10,100,('исходные данные'!N194-'минимумы и максимумы'!L$9)/('минимумы и максимумы'!L$10-'минимумы и максимумы'!L$9)*100)</f>
        <v>15.667118176928316</v>
      </c>
      <c r="O194">
        <f>IF('исходные данные'!O194&gt;'минимумы и максимумы'!M$10,100,('исходные данные'!O194-'минимумы и максимумы'!M$9)/('минимумы и максимумы'!M$10-'минимумы и максимумы'!M$9)*100)</f>
        <v>66.666666666666657</v>
      </c>
      <c r="P194">
        <f>IF('исходные данные'!P194&gt;'минимумы и максимумы'!N$10,100,('исходные данные'!P194-'минимумы и максимумы'!N$9)/('минимумы и максимумы'!N$10-'минимумы и максимумы'!N$9)*100)</f>
        <v>100</v>
      </c>
      <c r="Q194">
        <f>IF('исходные данные'!Q194&gt;'минимумы и максимумы'!O$10,100,('исходные данные'!Q194-'минимумы и максимумы'!O$9)/('минимумы и максимумы'!O$10-'минимумы и максимумы'!O$9)*100)</f>
        <v>100</v>
      </c>
      <c r="R194">
        <f>IF('исходные данные'!R194&gt;'минимумы и максимумы'!P$10,100,('исходные данные'!R194-'минимумы и максимумы'!P$9)/('минимумы и максимумы'!P$10-'минимумы и максимумы'!P$9)*100)</f>
        <v>75</v>
      </c>
      <c r="S194">
        <f>IF('исходные данные'!S194&gt;'минимумы и максимумы'!Q$10,100,('исходные данные'!S194-'минимумы и максимумы'!Q$9)/('минимумы и максимумы'!Q$10-'минимумы и максимумы'!Q$9)*100)</f>
        <v>100</v>
      </c>
      <c r="T194">
        <f>IF('исходные данные'!T194&gt;'минимумы и максимумы'!R$10,100,('исходные данные'!T194-'минимумы и максимумы'!R$9)/('минимумы и максимумы'!R$10-'минимумы и максимумы'!R$9)*100)</f>
        <v>90.161104718066738</v>
      </c>
      <c r="U194">
        <f>IF('исходные данные'!U194&gt;'минимумы и максимумы'!S$10,100,('исходные данные'!U194-'минимумы и максимумы'!S$9)/('минимумы и максимумы'!S$10-'минимумы и максимумы'!S$9)*100)</f>
        <v>100</v>
      </c>
    </row>
    <row r="195" spans="1:21" x14ac:dyDescent="0.45">
      <c r="A195" s="4">
        <v>281</v>
      </c>
      <c r="B195" s="4">
        <v>0</v>
      </c>
      <c r="C195" s="4">
        <v>0</v>
      </c>
      <c r="D195">
        <f>IF('исходные данные'!D195&gt;'минимумы и максимумы'!B$10,100,('исходные данные'!D195-'минимумы и максимумы'!B$9)/('минимумы и максимумы'!B$10-'минимумы и максимумы'!B$9)*100)</f>
        <v>0</v>
      </c>
      <c r="E195">
        <f>IF('исходные данные'!E195&gt;'минимумы и максимумы'!C$10,100,('исходные данные'!E195-'минимумы и максимумы'!C$9)/('минимумы и максимумы'!C$10-'минимумы и максимумы'!C$9)*100)</f>
        <v>30</v>
      </c>
      <c r="F195">
        <f>IF('исходные данные'!F195&gt;'минимумы и максимумы'!D$10,100,('исходные данные'!F195-'минимумы и максимумы'!D$9)/('минимумы и максимумы'!D$10-'минимумы и максимумы'!D$9)*100)</f>
        <v>66.666666666666657</v>
      </c>
      <c r="G195">
        <f>IF('исходные данные'!G195&gt;'минимумы и максимумы'!E$10,100,('исходные данные'!G195-'минимумы и максимумы'!E$9)/('минимумы и максимумы'!E$10-'минимумы и максимумы'!E$9)*100)</f>
        <v>16.666666666666664</v>
      </c>
      <c r="H195">
        <f>IF('исходные данные'!H195&gt;'минимумы и максимумы'!F$10,100,('исходные данные'!H195-'минимумы и максимумы'!F$9)/('минимумы и максимумы'!F$10-'минимумы и максимумы'!F$9)*100)</f>
        <v>17.241379310344829</v>
      </c>
      <c r="I195">
        <f>IF('исходные данные'!I195&gt;'минимумы и максимумы'!G$10,100,('исходные данные'!I195-'минимумы и максимумы'!G$9)/('минимумы и максимумы'!G$10-'минимумы и максимумы'!G$9)*100)</f>
        <v>35.849056603773583</v>
      </c>
      <c r="J195">
        <f>IF('исходные данные'!J195&gt;'минимумы и максимумы'!H$10,100,('исходные данные'!J195-'минимумы и максимумы'!H$9)/('минимумы и максимумы'!H$10-'минимумы и максимумы'!H$9)*100)</f>
        <v>6.666666666666667</v>
      </c>
      <c r="K195">
        <f>IF('исходные данные'!K195&gt;'минимумы и максимумы'!I$10,100,('исходные данные'!K195-'минимумы и максимумы'!I$9)/('минимумы и максимумы'!I$10-'минимумы и максимумы'!I$9)*100)</f>
        <v>33.333333333333329</v>
      </c>
      <c r="L195">
        <f>IF('исходные данные'!L195&gt;'минимумы и максимумы'!J$10,100,('исходные данные'!L195-'минимумы и максимумы'!J$9)/('минимумы и максимумы'!J$10-'минимумы и максимумы'!J$9)*100)</f>
        <v>14.285714285714285</v>
      </c>
      <c r="M195">
        <f>IF('исходные данные'!M195&gt;'минимумы и максимумы'!K$10,100,('исходные данные'!M195-'минимумы и максимумы'!K$9)/('минимумы и максимумы'!K$10-'минимумы и максимумы'!K$9)*100)</f>
        <v>57.142857142857139</v>
      </c>
      <c r="N195">
        <f>IF('исходные данные'!N195&gt;'минимумы и максимумы'!L$10,100,('исходные данные'!N195-'минимумы и максимумы'!L$9)/('минимумы и максимумы'!L$10-'минимумы и максимумы'!L$9)*100)</f>
        <v>15.667118176928316</v>
      </c>
      <c r="O195">
        <f>IF('исходные данные'!O195&gt;'минимумы и максимумы'!M$10,100,('исходные данные'!O195-'минимумы и максимумы'!M$9)/('минимумы и максимумы'!M$10-'минимумы и максимумы'!M$9)*100)</f>
        <v>66.666666666666657</v>
      </c>
      <c r="P195">
        <f>IF('исходные данные'!P195&gt;'минимумы и максимумы'!N$10,100,('исходные данные'!P195-'минимумы и максимумы'!N$9)/('минимумы и максимумы'!N$10-'минимумы и максимумы'!N$9)*100)</f>
        <v>0</v>
      </c>
      <c r="Q195">
        <f>IF('исходные данные'!Q195&gt;'минимумы и максимумы'!O$10,100,('исходные данные'!Q195-'минимумы и максимумы'!O$9)/('минимумы и максимумы'!O$10-'минимумы и максимумы'!O$9)*100)</f>
        <v>100</v>
      </c>
      <c r="R195">
        <f>IF('исходные данные'!R195&gt;'минимумы и максимумы'!P$10,100,('исходные данные'!R195-'минимумы и максимумы'!P$9)/('минимумы и максимумы'!P$10-'минимумы и максимумы'!P$9)*100)</f>
        <v>75</v>
      </c>
      <c r="S195">
        <f>IF('исходные данные'!S195&gt;'минимумы и максимумы'!Q$10,100,('исходные данные'!S195-'минимумы и максимумы'!Q$9)/('минимумы и максимумы'!Q$10-'минимумы и максимумы'!Q$9)*100)</f>
        <v>33.333333333333329</v>
      </c>
      <c r="T195">
        <f>IF('исходные данные'!T195&gt;'минимумы и максимумы'!R$10,100,('исходные данные'!T195-'минимумы и максимумы'!R$9)/('минимумы и максимумы'!R$10-'минимумы и максимумы'!R$9)*100)</f>
        <v>7.2784810126582276</v>
      </c>
      <c r="U195">
        <f>IF('исходные данные'!U195&gt;'минимумы и максимумы'!S$10,100,('исходные данные'!U195-'минимумы и максимумы'!S$9)/('минимумы и максимумы'!S$10-'минимумы и максимумы'!S$9)*100)</f>
        <v>0</v>
      </c>
    </row>
    <row r="196" spans="1:21" x14ac:dyDescent="0.45">
      <c r="A196" s="4">
        <v>282</v>
      </c>
      <c r="B196" s="4">
        <v>0</v>
      </c>
      <c r="C196" s="4">
        <v>0</v>
      </c>
      <c r="D196">
        <f>IF('исходные данные'!D196&gt;'минимумы и максимумы'!B$10,100,('исходные данные'!D196-'минимумы и максимумы'!B$9)/('минимумы и максимумы'!B$10-'минимумы и максимумы'!B$9)*100)</f>
        <v>0</v>
      </c>
      <c r="E196">
        <f>IF('исходные данные'!E196&gt;'минимумы и максимумы'!C$10,100,('исходные данные'!E196-'минимумы и максимумы'!C$9)/('минимумы и максимумы'!C$10-'минимумы и максимумы'!C$9)*100)</f>
        <v>30</v>
      </c>
      <c r="F196">
        <f>IF('исходные данные'!F196&gt;'минимумы и максимумы'!D$10,100,('исходные данные'!F196-'минимумы и максимумы'!D$9)/('минимумы и максимумы'!D$10-'минимумы и максимумы'!D$9)*100)</f>
        <v>66.666666666666657</v>
      </c>
      <c r="G196">
        <f>IF('исходные данные'!G196&gt;'минимумы и максимумы'!E$10,100,('исходные данные'!G196-'минимумы и максимумы'!E$9)/('минимумы и максимумы'!E$10-'минимумы и максимумы'!E$9)*100)</f>
        <v>12.5</v>
      </c>
      <c r="H196">
        <f>IF('исходные данные'!H196&gt;'минимумы и максимумы'!F$10,100,('исходные данные'!H196-'минимумы и максимумы'!F$9)/('минимумы и максимумы'!F$10-'минимумы и максимумы'!F$9)*100)</f>
        <v>13.793103448275861</v>
      </c>
      <c r="I196">
        <f>IF('исходные данные'!I196&gt;'минимумы и максимумы'!G$10,100,('исходные данные'!I196-'минимумы и максимумы'!G$9)/('минимумы и максимумы'!G$10-'минимумы и максимумы'!G$9)*100)</f>
        <v>28.30188679245283</v>
      </c>
      <c r="J196">
        <f>IF('исходные данные'!J196&gt;'минимумы и максимумы'!H$10,100,('исходные данные'!J196-'минимумы и максимумы'!H$9)/('минимумы и максимумы'!H$10-'минимумы и максимумы'!H$9)*100)</f>
        <v>0</v>
      </c>
      <c r="K196">
        <f>IF('исходные данные'!K196&gt;'минимумы и максимумы'!I$10,100,('исходные данные'!K196-'минимумы и максимумы'!I$9)/('минимумы и максимумы'!I$10-'минимумы и максимумы'!I$9)*100)</f>
        <v>33.333333333333329</v>
      </c>
      <c r="L196">
        <f>IF('исходные данные'!L196&gt;'минимумы и максимумы'!J$10,100,('исходные данные'!L196-'минимумы и максимумы'!J$9)/('минимумы и максимумы'!J$10-'минимумы и максимумы'!J$9)*100)</f>
        <v>14.285714285714285</v>
      </c>
      <c r="M196">
        <f>IF('исходные данные'!M196&gt;'минимумы и максимумы'!K$10,100,('исходные данные'!M196-'минимумы и максимумы'!K$9)/('минимумы и максимумы'!K$10-'минимумы и максимумы'!K$9)*100)</f>
        <v>46.428571428571431</v>
      </c>
      <c r="N196">
        <f>IF('исходные данные'!N196&gt;'минимумы и максимумы'!L$10,100,('исходные данные'!N196-'минимумы и максимумы'!L$9)/('минимумы и максимумы'!L$10-'минимумы и максимумы'!L$9)*100)</f>
        <v>15.667118176928316</v>
      </c>
      <c r="O196">
        <f>IF('исходные данные'!O196&gt;'минимумы и максимумы'!M$10,100,('исходные данные'!O196-'минимумы и максимумы'!M$9)/('минимумы и максимумы'!M$10-'минимумы и максимумы'!M$9)*100)</f>
        <v>66.666666666666657</v>
      </c>
      <c r="P196">
        <f>IF('исходные данные'!P196&gt;'минимумы и максимумы'!N$10,100,('исходные данные'!P196-'минимумы и максимумы'!N$9)/('минимумы и максимумы'!N$10-'минимумы и максимумы'!N$9)*100)</f>
        <v>100</v>
      </c>
      <c r="Q196">
        <f>IF('исходные данные'!Q196&gt;'минимумы и максимумы'!O$10,100,('исходные данные'!Q196-'минимумы и максимумы'!O$9)/('минимумы и максимумы'!O$10-'минимумы и максимумы'!O$9)*100)</f>
        <v>100</v>
      </c>
      <c r="R196">
        <f>IF('исходные данные'!R196&gt;'минимумы и максимумы'!P$10,100,('исходные данные'!R196-'минимумы и максимумы'!P$9)/('минимумы и максимумы'!P$10-'минимумы и максимумы'!P$9)*100)</f>
        <v>75</v>
      </c>
      <c r="S196">
        <f>IF('исходные данные'!S196&gt;'минимумы и максимумы'!Q$10,100,('исходные данные'!S196-'минимумы и максимумы'!Q$9)/('минимумы и максимумы'!Q$10-'минимумы и максимумы'!Q$9)*100)</f>
        <v>33.333333333333329</v>
      </c>
      <c r="T196">
        <f>IF('исходные данные'!T196&gt;'минимумы и максимумы'!R$10,100,('исходные данные'!T196-'минимумы и максимумы'!R$9)/('минимумы и максимумы'!R$10-'минимумы и максимумы'!R$9)*100)</f>
        <v>13.176064441887227</v>
      </c>
      <c r="U196">
        <f>IF('исходные данные'!U196&gt;'минимумы и максимумы'!S$10,100,('исходные данные'!U196-'минимумы и максимумы'!S$9)/('минимумы и максимумы'!S$10-'минимумы и максимумы'!S$9)*100)</f>
        <v>33.333333333333329</v>
      </c>
    </row>
    <row r="197" spans="1:21" x14ac:dyDescent="0.45">
      <c r="A197" s="4">
        <v>283</v>
      </c>
      <c r="B197" s="4">
        <v>0</v>
      </c>
      <c r="C197" s="4">
        <v>0</v>
      </c>
      <c r="D197">
        <f>IF('исходные данные'!D197&gt;'минимумы и максимумы'!B$10,100,('исходные данные'!D197-'минимумы и максимумы'!B$9)/('минимумы и максимумы'!B$10-'минимумы и максимумы'!B$9)*100)</f>
        <v>0</v>
      </c>
      <c r="E197">
        <f>IF('исходные данные'!E197&gt;'минимумы и максимумы'!C$10,100,('исходные данные'!E197-'минимумы и максимумы'!C$9)/('минимумы и максимумы'!C$10-'минимумы и максимумы'!C$9)*100)</f>
        <v>30</v>
      </c>
      <c r="F197">
        <f>IF('исходные данные'!F197&gt;'минимумы и максимумы'!D$10,100,('исходные данные'!F197-'минимумы и максимумы'!D$9)/('минимумы и максимумы'!D$10-'минимумы и максимумы'!D$9)*100)</f>
        <v>66.666666666666657</v>
      </c>
      <c r="G197">
        <f>IF('исходные данные'!G197&gt;'минимумы и максимумы'!E$10,100,('исходные данные'!G197-'минимумы и максимумы'!E$9)/('минимумы и максимумы'!E$10-'минимумы и максимумы'!E$9)*100)</f>
        <v>8.3333333333333321</v>
      </c>
      <c r="H197">
        <f>IF('исходные данные'!H197&gt;'минимумы и максимумы'!F$10,100,('исходные данные'!H197-'минимумы и максимумы'!F$9)/('минимумы и максимумы'!F$10-'минимумы и максимумы'!F$9)*100)</f>
        <v>13.793103448275861</v>
      </c>
      <c r="I197">
        <f>IF('исходные данные'!I197&gt;'минимумы и максимумы'!G$10,100,('исходные данные'!I197-'минимумы и максимумы'!G$9)/('минимумы и максимумы'!G$10-'минимумы и максимумы'!G$9)*100)</f>
        <v>28.30188679245283</v>
      </c>
      <c r="J197">
        <f>IF('исходные данные'!J197&gt;'минимумы и максимумы'!H$10,100,('исходные данные'!J197-'минимумы и максимумы'!H$9)/('минимумы и максимумы'!H$10-'минимумы и максимумы'!H$9)*100)</f>
        <v>0</v>
      </c>
      <c r="K197">
        <f>IF('исходные данные'!K197&gt;'минимумы и максимумы'!I$10,100,('исходные данные'!K197-'минимумы и максимумы'!I$9)/('минимумы и максимумы'!I$10-'минимумы и максимумы'!I$9)*100)</f>
        <v>16.666666666666664</v>
      </c>
      <c r="L197">
        <f>IF('исходные данные'!L197&gt;'минимумы и максимумы'!J$10,100,('исходные данные'!L197-'минимумы и максимумы'!J$9)/('минимумы и максимумы'!J$10-'минимумы и максимумы'!J$9)*100)</f>
        <v>7.1428571428571423</v>
      </c>
      <c r="M197">
        <f>IF('исходные данные'!M197&gt;'минимумы и максимумы'!K$10,100,('исходные данные'!M197-'минимумы и максимумы'!K$9)/('минимумы и максимумы'!K$10-'минимумы и максимумы'!K$9)*100)</f>
        <v>50</v>
      </c>
      <c r="N197">
        <f>IF('исходные данные'!N197&gt;'минимумы и максимумы'!L$10,100,('исходные данные'!N197-'минимумы и максимумы'!L$9)/('минимумы и максимумы'!L$10-'минимумы и максимумы'!L$9)*100)</f>
        <v>16.203623111502679</v>
      </c>
      <c r="O197">
        <f>IF('исходные данные'!O197&gt;'минимумы и максимумы'!M$10,100,('исходные данные'!O197-'минимумы и максимумы'!M$9)/('минимумы и максимумы'!M$10-'минимумы и максимумы'!M$9)*100)</f>
        <v>66.666666666666657</v>
      </c>
      <c r="P197">
        <f>IF('исходные данные'!P197&gt;'минимумы и максимумы'!N$10,100,('исходные данные'!P197-'минимумы и максимумы'!N$9)/('минимумы и максимумы'!N$10-'минимумы и максимумы'!N$9)*100)</f>
        <v>100</v>
      </c>
      <c r="Q197">
        <f>IF('исходные данные'!Q197&gt;'минимумы и максимумы'!O$10,100,('исходные данные'!Q197-'минимумы и максимумы'!O$9)/('минимумы и максимумы'!O$10-'минимумы и максимумы'!O$9)*100)</f>
        <v>100</v>
      </c>
      <c r="R197">
        <f>IF('исходные данные'!R197&gt;'минимумы и максимумы'!P$10,100,('исходные данные'!R197-'минимумы и максимумы'!P$9)/('минимумы и максимумы'!P$10-'минимумы и максимумы'!P$9)*100)</f>
        <v>75</v>
      </c>
      <c r="S197">
        <f>IF('исходные данные'!S197&gt;'минимумы и максимумы'!Q$10,100,('исходные данные'!S197-'минимумы и максимумы'!Q$9)/('минимумы и максимумы'!Q$10-'минимумы и максимумы'!Q$9)*100)</f>
        <v>33.333333333333329</v>
      </c>
      <c r="T197">
        <f>IF('исходные данные'!T197&gt;'минимумы и максимумы'!R$10,100,('исходные данные'!T197-'минимумы и максимумы'!R$9)/('минимумы и максимумы'!R$10-'минимумы и максимумы'!R$9)*100)</f>
        <v>22.49712313003452</v>
      </c>
      <c r="U197">
        <f>IF('исходные данные'!U197&gt;'минимумы и максимумы'!S$10,100,('исходные данные'!U197-'минимумы и максимумы'!S$9)/('минимумы и максимумы'!S$10-'минимумы и максимумы'!S$9)*100)</f>
        <v>33.333333333333329</v>
      </c>
    </row>
    <row r="198" spans="1:21" x14ac:dyDescent="0.45">
      <c r="A198" s="4">
        <v>284</v>
      </c>
      <c r="B198" s="4">
        <v>0</v>
      </c>
      <c r="C198" s="4">
        <v>0</v>
      </c>
      <c r="D198">
        <f>IF('исходные данные'!D198&gt;'минимумы и максимумы'!B$10,100,('исходные данные'!D198-'минимумы и максимумы'!B$9)/('минимумы и максимумы'!B$10-'минимумы и максимумы'!B$9)*100)</f>
        <v>0</v>
      </c>
      <c r="E198">
        <f>IF('исходные данные'!E198&gt;'минимумы и максимумы'!C$10,100,('исходные данные'!E198-'минимумы и максимумы'!C$9)/('минимумы и максимумы'!C$10-'минимумы и максимумы'!C$9)*100)</f>
        <v>30</v>
      </c>
      <c r="F198">
        <f>IF('исходные данные'!F198&gt;'минимумы и максимумы'!D$10,100,('исходные данные'!F198-'минимумы и максимумы'!D$9)/('минимумы и максимумы'!D$10-'минимумы и максимумы'!D$9)*100)</f>
        <v>66.666666666666657</v>
      </c>
      <c r="G198">
        <f>IF('исходные данные'!G198&gt;'минимумы и максимумы'!E$10,100,('исходные данные'!G198-'минимумы и максимумы'!E$9)/('минимумы и максимумы'!E$10-'минимумы и максимумы'!E$9)*100)</f>
        <v>12.5</v>
      </c>
      <c r="H198">
        <f>IF('исходные данные'!H198&gt;'минимумы и максимумы'!F$10,100,('исходные данные'!H198-'минимумы и максимумы'!F$9)/('минимумы и максимумы'!F$10-'минимумы и максимумы'!F$9)*100)</f>
        <v>13.793103448275861</v>
      </c>
      <c r="I198">
        <f>IF('исходные данные'!I198&gt;'минимумы и максимумы'!G$10,100,('исходные данные'!I198-'минимумы и максимумы'!G$9)/('минимумы и максимумы'!G$10-'минимумы и максимумы'!G$9)*100)</f>
        <v>28.30188679245283</v>
      </c>
      <c r="J198">
        <f>IF('исходные данные'!J198&gt;'минимумы и максимумы'!H$10,100,('исходные данные'!J198-'минимумы и максимумы'!H$9)/('минимумы и максимумы'!H$10-'минимумы и максимумы'!H$9)*100)</f>
        <v>0</v>
      </c>
      <c r="K198">
        <f>IF('исходные данные'!K198&gt;'минимумы и максимумы'!I$10,100,('исходные данные'!K198-'минимумы и максимумы'!I$9)/('минимумы и максимумы'!I$10-'минимумы и максимумы'!I$9)*100)</f>
        <v>33.333333333333329</v>
      </c>
      <c r="L198">
        <f>IF('исходные данные'!L198&gt;'минимумы и максимумы'!J$10,100,('исходные данные'!L198-'минимумы и максимумы'!J$9)/('минимумы и максимумы'!J$10-'минимумы и максимумы'!J$9)*100)</f>
        <v>14.285714285714285</v>
      </c>
      <c r="M198">
        <f>IF('исходные данные'!M198&gt;'минимумы и максимумы'!K$10,100,('исходные данные'!M198-'минимумы и максимумы'!K$9)/('минимумы и максимумы'!K$10-'минимумы и максимумы'!K$9)*100)</f>
        <v>46.428571428571431</v>
      </c>
      <c r="N198">
        <f>IF('исходные данные'!N198&gt;'минимумы и максимумы'!L$10,100,('исходные данные'!N198-'минимумы и максимумы'!L$9)/('минимумы и максимумы'!L$10-'минимумы и максимумы'!L$9)*100)</f>
        <v>15.907097546251547</v>
      </c>
      <c r="O198">
        <f>IF('исходные данные'!O198&gt;'минимумы и максимумы'!M$10,100,('исходные данные'!O198-'минимумы и максимумы'!M$9)/('минимумы и максимумы'!M$10-'минимумы и максимумы'!M$9)*100)</f>
        <v>66.666666666666657</v>
      </c>
      <c r="P198">
        <f>IF('исходные данные'!P198&gt;'минимумы и максимумы'!N$10,100,('исходные данные'!P198-'минимумы и максимумы'!N$9)/('минимумы и максимумы'!N$10-'минимумы и максимумы'!N$9)*100)</f>
        <v>100</v>
      </c>
      <c r="Q198">
        <f>IF('исходные данные'!Q198&gt;'минимумы и максимумы'!O$10,100,('исходные данные'!Q198-'минимумы и максимумы'!O$9)/('минимумы и максимумы'!O$10-'минимумы и максимумы'!O$9)*100)</f>
        <v>100</v>
      </c>
      <c r="R198">
        <f>IF('исходные данные'!R198&gt;'минимумы и максимумы'!P$10,100,('исходные данные'!R198-'минимумы и максимумы'!P$9)/('минимумы и максимумы'!P$10-'минимумы и максимумы'!P$9)*100)</f>
        <v>75</v>
      </c>
      <c r="S198">
        <f>IF('исходные данные'!S198&gt;'минимумы и максимумы'!Q$10,100,('исходные данные'!S198-'минимумы и максимумы'!Q$9)/('минимумы и максимумы'!Q$10-'минимумы и максимумы'!Q$9)*100)</f>
        <v>50</v>
      </c>
      <c r="T198">
        <f>IF('исходные данные'!T198&gt;'минимумы и максимумы'!R$10,100,('исходные данные'!T198-'минимумы и максимумы'!R$9)/('минимумы и максимумы'!R$10-'минимумы и максимумы'!R$9)*100)</f>
        <v>9.8388952819332562</v>
      </c>
      <c r="U198">
        <f>IF('исходные данные'!U198&gt;'минимумы и максимумы'!S$10,100,('исходные данные'!U198-'минимумы и максимумы'!S$9)/('минимумы и максимумы'!S$10-'минимумы и максимумы'!S$9)*100)</f>
        <v>0</v>
      </c>
    </row>
    <row r="199" spans="1:21" x14ac:dyDescent="0.45">
      <c r="A199" s="4">
        <v>285</v>
      </c>
      <c r="B199" s="4">
        <v>0</v>
      </c>
      <c r="C199" s="4">
        <v>0</v>
      </c>
      <c r="D199">
        <f>IF('исходные данные'!D199&gt;'минимумы и максимумы'!B$10,100,('исходные данные'!D199-'минимумы и максимумы'!B$9)/('минимумы и максимумы'!B$10-'минимумы и максимумы'!B$9)*100)</f>
        <v>0</v>
      </c>
      <c r="E199">
        <f>IF('исходные данные'!E199&gt;'минимумы и максимумы'!C$10,100,('исходные данные'!E199-'минимумы и максимумы'!C$9)/('минимумы и максимумы'!C$10-'минимумы и максимумы'!C$9)*100)</f>
        <v>30</v>
      </c>
      <c r="F199">
        <f>IF('исходные данные'!F199&gt;'минимумы и максимумы'!D$10,100,('исходные данные'!F199-'минимумы и максимумы'!D$9)/('минимумы и максимумы'!D$10-'минимумы и максимумы'!D$9)*100)</f>
        <v>66.666666666666657</v>
      </c>
      <c r="G199">
        <f>IF('исходные данные'!G199&gt;'минимумы и максимумы'!E$10,100,('исходные данные'!G199-'минимумы и максимумы'!E$9)/('минимумы и максимумы'!E$10-'минимумы и максимумы'!E$9)*100)</f>
        <v>12.5</v>
      </c>
      <c r="H199">
        <f>IF('исходные данные'!H199&gt;'минимумы и максимумы'!F$10,100,('исходные данные'!H199-'минимумы и максимумы'!F$9)/('минимумы и максимумы'!F$10-'минимумы и максимумы'!F$9)*100)</f>
        <v>13.793103448275861</v>
      </c>
      <c r="I199">
        <f>IF('исходные данные'!I199&gt;'минимумы и максимумы'!G$10,100,('исходные данные'!I199-'минимумы и максимумы'!G$9)/('минимумы и максимумы'!G$10-'минимумы и максимумы'!G$9)*100)</f>
        <v>28.30188679245283</v>
      </c>
      <c r="J199">
        <f>IF('исходные данные'!J199&gt;'минимумы и максимумы'!H$10,100,('исходные данные'!J199-'минимумы и максимумы'!H$9)/('минимумы и максимумы'!H$10-'минимумы и максимумы'!H$9)*100)</f>
        <v>0</v>
      </c>
      <c r="K199">
        <f>IF('исходные данные'!K199&gt;'минимумы и максимумы'!I$10,100,('исходные данные'!K199-'минимумы и максимумы'!I$9)/('минимумы и максимумы'!I$10-'минимумы и максимумы'!I$9)*100)</f>
        <v>33.333333333333329</v>
      </c>
      <c r="L199">
        <f>IF('исходные данные'!L199&gt;'минимумы и максимумы'!J$10,100,('исходные данные'!L199-'минимумы и максимумы'!J$9)/('минимумы и максимумы'!J$10-'минимумы и максимумы'!J$9)*100)</f>
        <v>14.285714285714285</v>
      </c>
      <c r="M199">
        <f>IF('исходные данные'!M199&gt;'минимумы и максимумы'!K$10,100,('исходные данные'!M199-'минимумы и максимумы'!K$9)/('минимумы и максимумы'!K$10-'минимумы и максимумы'!K$9)*100)</f>
        <v>46.428571428571431</v>
      </c>
      <c r="N199">
        <f>IF('исходные данные'!N199&gt;'минимумы и максимумы'!L$10,100,('исходные данные'!N199-'минимумы и максимумы'!L$9)/('минимумы и максимумы'!L$10-'минимумы и максимумы'!L$9)*100)</f>
        <v>15.667118176928316</v>
      </c>
      <c r="O199">
        <f>IF('исходные данные'!O199&gt;'минимумы и максимумы'!M$10,100,('исходные данные'!O199-'минимумы и максимумы'!M$9)/('минимумы и максимумы'!M$10-'минимумы и максимумы'!M$9)*100)</f>
        <v>66.666666666666657</v>
      </c>
      <c r="P199">
        <f>IF('исходные данные'!P199&gt;'минимумы и максимумы'!N$10,100,('исходные данные'!P199-'минимумы и максимумы'!N$9)/('минимумы и максимумы'!N$10-'минимумы и максимумы'!N$9)*100)</f>
        <v>100</v>
      </c>
      <c r="Q199">
        <f>IF('исходные данные'!Q199&gt;'минимумы и максимумы'!O$10,100,('исходные данные'!Q199-'минимумы и максимумы'!O$9)/('минимумы и максимумы'!O$10-'минимумы и максимумы'!O$9)*100)</f>
        <v>100</v>
      </c>
      <c r="R199">
        <f>IF('исходные данные'!R199&gt;'минимумы и максимумы'!P$10,100,('исходные данные'!R199-'минимумы и максимумы'!P$9)/('минимумы и максимумы'!P$10-'минимумы и максимумы'!P$9)*100)</f>
        <v>75</v>
      </c>
      <c r="S199">
        <f>IF('исходные данные'!S199&gt;'минимумы и максимумы'!Q$10,100,('исходные данные'!S199-'минимумы и максимумы'!Q$9)/('минимумы и максимумы'!Q$10-'минимумы и максимумы'!Q$9)*100)</f>
        <v>33.333333333333329</v>
      </c>
      <c r="T199">
        <f>IF('исходные данные'!T199&gt;'минимумы и максимумы'!R$10,100,('исходные данные'!T199-'минимумы и максимумы'!R$9)/('минимумы и максимумы'!R$10-'минимумы и максимумы'!R$9)*100)</f>
        <v>5.8688147295742237</v>
      </c>
      <c r="U199">
        <f>IF('исходные данные'!U199&gt;'минимумы и максимумы'!S$10,100,('исходные данные'!U199-'минимумы и максимумы'!S$9)/('минимумы и максимумы'!S$10-'минимумы и максимумы'!S$9)*100)</f>
        <v>0</v>
      </c>
    </row>
    <row r="200" spans="1:21" x14ac:dyDescent="0.45">
      <c r="A200" s="4">
        <v>286</v>
      </c>
      <c r="B200" s="4">
        <v>0</v>
      </c>
      <c r="C200" s="4">
        <v>0</v>
      </c>
      <c r="D200">
        <f>IF('исходные данные'!D200&gt;'минимумы и максимумы'!B$10,100,('исходные данные'!D200-'минимумы и максимумы'!B$9)/('минимумы и максимумы'!B$10-'минимумы и максимумы'!B$9)*100)</f>
        <v>0</v>
      </c>
      <c r="E200">
        <f>IF('исходные данные'!E200&gt;'минимумы и максимумы'!C$10,100,('исходные данные'!E200-'минимумы и максимумы'!C$9)/('минимумы и максимумы'!C$10-'минимумы и максимумы'!C$9)*100)</f>
        <v>30</v>
      </c>
      <c r="F200">
        <f>IF('исходные данные'!F200&gt;'минимумы и максимумы'!D$10,100,('исходные данные'!F200-'минимумы и максимумы'!D$9)/('минимумы и максимумы'!D$10-'минимумы и максимумы'!D$9)*100)</f>
        <v>66.666666666666657</v>
      </c>
      <c r="G200">
        <f>IF('исходные данные'!G200&gt;'минимумы и максимумы'!E$10,100,('исходные данные'!G200-'минимумы и максимумы'!E$9)/('минимумы и максимумы'!E$10-'минимумы и максимумы'!E$9)*100)</f>
        <v>8.3333333333333321</v>
      </c>
      <c r="H200">
        <f>IF('исходные данные'!H200&gt;'минимумы и максимумы'!F$10,100,('исходные данные'!H200-'минимумы и максимумы'!F$9)/('минимумы и максимумы'!F$10-'минимумы и максимумы'!F$9)*100)</f>
        <v>13.793103448275861</v>
      </c>
      <c r="I200">
        <f>IF('исходные данные'!I200&gt;'минимумы и максимумы'!G$10,100,('исходные данные'!I200-'минимумы и максимумы'!G$9)/('минимумы и максимумы'!G$10-'минимумы и максимумы'!G$9)*100)</f>
        <v>28.30188679245283</v>
      </c>
      <c r="J200">
        <f>IF('исходные данные'!J200&gt;'минимумы и максимумы'!H$10,100,('исходные данные'!J200-'минимумы и максимумы'!H$9)/('минимумы и максимумы'!H$10-'минимумы и максимумы'!H$9)*100)</f>
        <v>0</v>
      </c>
      <c r="K200">
        <f>IF('исходные данные'!K200&gt;'минимумы и максимумы'!I$10,100,('исходные данные'!K200-'минимумы и максимумы'!I$9)/('минимумы и максимумы'!I$10-'минимумы и максимумы'!I$9)*100)</f>
        <v>16.666666666666664</v>
      </c>
      <c r="L200">
        <f>IF('исходные данные'!L200&gt;'минимумы и максимумы'!J$10,100,('исходные данные'!L200-'минимумы и максимумы'!J$9)/('минимумы и максимумы'!J$10-'минимумы и максимумы'!J$9)*100)</f>
        <v>7.1428571428571423</v>
      </c>
      <c r="M200">
        <f>IF('исходные данные'!M200&gt;'минимумы и максимумы'!K$10,100,('исходные данные'!M200-'минимумы и максимумы'!K$9)/('минимумы и максимумы'!K$10-'минимумы и максимумы'!K$9)*100)</f>
        <v>50</v>
      </c>
      <c r="N200">
        <f>IF('исходные данные'!N200&gt;'минимумы и максимумы'!L$10,100,('исходные данные'!N200-'минимумы и максимумы'!L$9)/('минимумы и максимумы'!L$10-'минимумы и максимумы'!L$9)*100)</f>
        <v>16.203623111502679</v>
      </c>
      <c r="O200">
        <f>IF('исходные данные'!O200&gt;'минимумы и максимумы'!M$10,100,('исходные данные'!O200-'минимумы и максимумы'!M$9)/('минимумы и максимумы'!M$10-'минимумы и максимумы'!M$9)*100)</f>
        <v>66.666666666666657</v>
      </c>
      <c r="P200">
        <f>IF('исходные данные'!P200&gt;'минимумы и максимумы'!N$10,100,('исходные данные'!P200-'минимумы и максимумы'!N$9)/('минимумы и максимумы'!N$10-'минимумы и максимумы'!N$9)*100)</f>
        <v>100</v>
      </c>
      <c r="Q200">
        <f>IF('исходные данные'!Q200&gt;'минимумы и максимумы'!O$10,100,('исходные данные'!Q200-'минимумы и максимумы'!O$9)/('минимумы и максимумы'!O$10-'минимумы и максимумы'!O$9)*100)</f>
        <v>100</v>
      </c>
      <c r="R200">
        <f>IF('исходные данные'!R200&gt;'минимумы и максимумы'!P$10,100,('исходные данные'!R200-'минимумы и максимумы'!P$9)/('минимумы и максимумы'!P$10-'минимумы и максимумы'!P$9)*100)</f>
        <v>75</v>
      </c>
      <c r="S200">
        <f>IF('исходные данные'!S200&gt;'минимумы и максимумы'!Q$10,100,('исходные данные'!S200-'минимумы и максимумы'!Q$9)/('минимумы и максимумы'!Q$10-'минимумы и максимумы'!Q$9)*100)</f>
        <v>16.666666666666664</v>
      </c>
      <c r="T200">
        <f>IF('исходные данные'!T200&gt;'минимумы и максимумы'!R$10,100,('исходные данные'!T200-'минимумы и максимумы'!R$9)/('минимумы и максимумы'!R$10-'минимумы и максимумы'!R$9)*100)</f>
        <v>8.9470655926352123</v>
      </c>
      <c r="U200">
        <f>IF('исходные данные'!U200&gt;'минимумы и максимумы'!S$10,100,('исходные данные'!U200-'минимумы и максимумы'!S$9)/('минимумы и максимумы'!S$10-'минимумы и максимумы'!S$9)*100)</f>
        <v>0</v>
      </c>
    </row>
    <row r="201" spans="1:21" x14ac:dyDescent="0.45">
      <c r="A201" s="4">
        <v>287</v>
      </c>
      <c r="B201" s="4">
        <v>0</v>
      </c>
      <c r="C201" s="4">
        <v>0</v>
      </c>
      <c r="D201">
        <f>IF('исходные данные'!D201&gt;'минимумы и максимумы'!B$10,100,('исходные данные'!D201-'минимумы и максимумы'!B$9)/('минимумы и максимумы'!B$10-'минимумы и максимумы'!B$9)*100)</f>
        <v>0</v>
      </c>
      <c r="E201">
        <f>IF('исходные данные'!E201&gt;'минимумы и максимумы'!C$10,100,('исходные данные'!E201-'минимумы и максимумы'!C$9)/('минимумы и максимумы'!C$10-'минимумы и максимумы'!C$9)*100)</f>
        <v>30</v>
      </c>
      <c r="F201">
        <f>IF('исходные данные'!F201&gt;'минимумы и максимумы'!D$10,100,('исходные данные'!F201-'минимумы и максимумы'!D$9)/('минимумы и максимумы'!D$10-'минимумы и максимумы'!D$9)*100)</f>
        <v>66.666666666666657</v>
      </c>
      <c r="G201">
        <f>IF('исходные данные'!G201&gt;'минимумы и максимумы'!E$10,100,('исходные данные'!G201-'минимумы и максимумы'!E$9)/('минимумы и максимумы'!E$10-'минимумы и максимумы'!E$9)*100)</f>
        <v>8.3333333333333321</v>
      </c>
      <c r="H201">
        <f>IF('исходные данные'!H201&gt;'минимумы и максимумы'!F$10,100,('исходные данные'!H201-'минимумы и максимумы'!F$9)/('минимумы и максимумы'!F$10-'минимумы и максимумы'!F$9)*100)</f>
        <v>13.793103448275861</v>
      </c>
      <c r="I201">
        <f>IF('исходные данные'!I201&gt;'минимумы и максимумы'!G$10,100,('исходные данные'!I201-'минимумы и максимумы'!G$9)/('минимумы и максимумы'!G$10-'минимумы и максимумы'!G$9)*100)</f>
        <v>28.30188679245283</v>
      </c>
      <c r="J201">
        <f>IF('исходные данные'!J201&gt;'минимумы и максимумы'!H$10,100,('исходные данные'!J201-'минимумы и максимумы'!H$9)/('минимумы и максимумы'!H$10-'минимумы и максимумы'!H$9)*100)</f>
        <v>0</v>
      </c>
      <c r="K201">
        <f>IF('исходные данные'!K201&gt;'минимумы и максимумы'!I$10,100,('исходные данные'!K201-'минимумы и максимумы'!I$9)/('минимумы и максимумы'!I$10-'минимумы и максимумы'!I$9)*100)</f>
        <v>16.666666666666664</v>
      </c>
      <c r="L201">
        <f>IF('исходные данные'!L201&gt;'минимумы и максимумы'!J$10,100,('исходные данные'!L201-'минимумы и максимумы'!J$9)/('минимумы и максимумы'!J$10-'минимумы и максимумы'!J$9)*100)</f>
        <v>7.1428571428571423</v>
      </c>
      <c r="M201">
        <f>IF('исходные данные'!M201&gt;'минимумы и максимумы'!K$10,100,('исходные данные'!M201-'минимумы и максимумы'!K$9)/('минимумы и максимумы'!K$10-'минимумы и максимумы'!K$9)*100)</f>
        <v>50</v>
      </c>
      <c r="N201">
        <f>IF('исходные данные'!N201&gt;'минимумы и максимумы'!L$10,100,('исходные данные'!N201-'минимумы и максимумы'!L$9)/('минимумы и максимумы'!L$10-'минимумы и максимумы'!L$9)*100)</f>
        <v>17.667065670964284</v>
      </c>
      <c r="O201">
        <f>IF('исходные данные'!O201&gt;'минимумы и максимумы'!M$10,100,('исходные данные'!O201-'минимумы и максимумы'!M$9)/('минимумы и максимумы'!M$10-'минимумы и максимумы'!M$9)*100)</f>
        <v>66.666666666666657</v>
      </c>
      <c r="P201">
        <f>IF('исходные данные'!P201&gt;'минимумы и максимумы'!N$10,100,('исходные данные'!P201-'минимумы и максимумы'!N$9)/('минимумы и максимумы'!N$10-'минимумы и максимумы'!N$9)*100)</f>
        <v>0</v>
      </c>
      <c r="Q201">
        <f>IF('исходные данные'!Q201&gt;'минимумы и максимумы'!O$10,100,('исходные данные'!Q201-'минимумы и максимумы'!O$9)/('минимумы и максимумы'!O$10-'минимумы и максимумы'!O$9)*100)</f>
        <v>100</v>
      </c>
      <c r="R201">
        <f>IF('исходные данные'!R201&gt;'минимумы и максимумы'!P$10,100,('исходные данные'!R201-'минимумы и максимумы'!P$9)/('минимумы и максимумы'!P$10-'минимумы и максимумы'!P$9)*100)</f>
        <v>75</v>
      </c>
      <c r="S201">
        <f>IF('исходные данные'!S201&gt;'минимумы и максимумы'!Q$10,100,('исходные данные'!S201-'минимумы и максимумы'!Q$9)/('минимумы и максимумы'!Q$10-'минимумы и максимумы'!Q$9)*100)</f>
        <v>33.333333333333329</v>
      </c>
      <c r="T201">
        <f>IF('исходные данные'!T201&gt;'минимумы и максимумы'!R$10,100,('исходные данные'!T201-'минимумы и максимумы'!R$9)/('минимумы и максимумы'!R$10-'минимумы и максимумы'!R$9)*100)</f>
        <v>16.7433831990794</v>
      </c>
      <c r="U201">
        <f>IF('исходные данные'!U201&gt;'минимумы и максимумы'!S$10,100,('исходные данные'!U201-'минимумы и максимумы'!S$9)/('минимумы и максимумы'!S$10-'минимумы и максимумы'!S$9)*100)</f>
        <v>0</v>
      </c>
    </row>
    <row r="202" spans="1:21" x14ac:dyDescent="0.45">
      <c r="A202" s="4">
        <v>288</v>
      </c>
      <c r="B202" s="4">
        <v>0</v>
      </c>
      <c r="C202" s="4">
        <v>0</v>
      </c>
      <c r="D202">
        <f>IF('исходные данные'!D202&gt;'минимумы и максимумы'!B$10,100,('исходные данные'!D202-'минимумы и максимумы'!B$9)/('минимумы и максимумы'!B$10-'минимумы и максимумы'!B$9)*100)</f>
        <v>0</v>
      </c>
      <c r="E202">
        <f>IF('исходные данные'!E202&gt;'минимумы и максимумы'!C$10,100,('исходные данные'!E202-'минимумы и максимумы'!C$9)/('минимумы и максимумы'!C$10-'минимумы и максимумы'!C$9)*100)</f>
        <v>30</v>
      </c>
      <c r="F202">
        <f>IF('исходные данные'!F202&gt;'минимумы и максимумы'!D$10,100,('исходные данные'!F202-'минимумы и максимумы'!D$9)/('минимумы и максимумы'!D$10-'минимумы и максимумы'!D$9)*100)</f>
        <v>66.666666666666657</v>
      </c>
      <c r="G202">
        <f>IF('исходные данные'!G202&gt;'минимумы и максимумы'!E$10,100,('исходные данные'!G202-'минимумы и максимумы'!E$9)/('минимумы и максимумы'!E$10-'минимумы и максимумы'!E$9)*100)</f>
        <v>8.3333333333333321</v>
      </c>
      <c r="H202">
        <f>IF('исходные данные'!H202&gt;'минимумы и максимумы'!F$10,100,('исходные данные'!H202-'минимумы и максимумы'!F$9)/('минимумы и максимумы'!F$10-'минимумы и максимумы'!F$9)*100)</f>
        <v>13.793103448275861</v>
      </c>
      <c r="I202">
        <f>IF('исходные данные'!I202&gt;'минимумы и максимумы'!G$10,100,('исходные данные'!I202-'минимумы и максимумы'!G$9)/('минимумы и максимумы'!G$10-'минимумы и максимумы'!G$9)*100)</f>
        <v>28.30188679245283</v>
      </c>
      <c r="J202">
        <f>IF('исходные данные'!J202&gt;'минимумы и максимумы'!H$10,100,('исходные данные'!J202-'минимумы и максимумы'!H$9)/('минимумы и максимумы'!H$10-'минимумы и максимумы'!H$9)*100)</f>
        <v>0</v>
      </c>
      <c r="K202">
        <f>IF('исходные данные'!K202&gt;'минимумы и максимумы'!I$10,100,('исходные данные'!K202-'минимумы и максимумы'!I$9)/('минимумы и максимумы'!I$10-'минимумы и максимумы'!I$9)*100)</f>
        <v>16.666666666666664</v>
      </c>
      <c r="L202">
        <f>IF('исходные данные'!L202&gt;'минимумы и максимумы'!J$10,100,('исходные данные'!L202-'минимумы и максимумы'!J$9)/('минимумы и максимумы'!J$10-'минимумы и максимумы'!J$9)*100)</f>
        <v>7.1428571428571423</v>
      </c>
      <c r="M202">
        <f>IF('исходные данные'!M202&gt;'минимумы и максимумы'!K$10,100,('исходные данные'!M202-'минимумы и максимумы'!K$9)/('минимумы и максимумы'!K$10-'минимумы и максимумы'!K$9)*100)</f>
        <v>50</v>
      </c>
      <c r="N202">
        <f>IF('исходные данные'!N202&gt;'минимумы и максимумы'!L$10,100,('исходные данные'!N202-'минимумы и максимумы'!L$9)/('минимумы и максимумы'!L$10-'минимумы и максимумы'!L$9)*100)</f>
        <v>16.53288410008475</v>
      </c>
      <c r="O202">
        <f>IF('исходные данные'!O202&gt;'минимумы и максимумы'!M$10,100,('исходные данные'!O202-'минимумы и максимумы'!M$9)/('минимумы и максимумы'!M$10-'минимумы и максимумы'!M$9)*100)</f>
        <v>66.666666666666657</v>
      </c>
      <c r="P202">
        <f>IF('исходные данные'!P202&gt;'минимумы и максимумы'!N$10,100,('исходные данные'!P202-'минимумы и максимумы'!N$9)/('минимумы и максимумы'!N$10-'минимумы и максимумы'!N$9)*100)</f>
        <v>0</v>
      </c>
      <c r="Q202">
        <f>IF('исходные данные'!Q202&gt;'минимумы и максимумы'!O$10,100,('исходные данные'!Q202-'минимумы и максимумы'!O$9)/('минимумы и максимумы'!O$10-'минимумы и максимумы'!O$9)*100)</f>
        <v>100</v>
      </c>
      <c r="R202">
        <f>IF('исходные данные'!R202&gt;'минимумы и максимумы'!P$10,100,('исходные данные'!R202-'минимумы и максимумы'!P$9)/('минимумы и максимумы'!P$10-'минимумы и максимумы'!P$9)*100)</f>
        <v>75</v>
      </c>
      <c r="S202">
        <f>IF('исходные данные'!S202&gt;'минимумы и максимумы'!Q$10,100,('исходные данные'!S202-'минимумы и максимумы'!Q$9)/('минимумы и максимумы'!Q$10-'минимумы и максимумы'!Q$9)*100)</f>
        <v>16.666666666666664</v>
      </c>
      <c r="T202">
        <f>IF('исходные данные'!T202&gt;'минимумы и максимумы'!R$10,100,('исходные данные'!T202-'минимумы и максимумы'!R$9)/('минимумы и максимумы'!R$10-'минимумы и максимумы'!R$9)*100)</f>
        <v>3.5673187571921749</v>
      </c>
      <c r="U202">
        <f>IF('исходные данные'!U202&gt;'минимумы и максимумы'!S$10,100,('исходные данные'!U202-'минимумы и максимумы'!S$9)/('минимумы и максимумы'!S$10-'минимумы и максимумы'!S$9)*100)</f>
        <v>33.333333333333329</v>
      </c>
    </row>
    <row r="203" spans="1:21" x14ac:dyDescent="0.45">
      <c r="A203" s="4">
        <v>289</v>
      </c>
      <c r="B203" s="4">
        <v>0</v>
      </c>
      <c r="C203" s="4">
        <v>0</v>
      </c>
      <c r="D203">
        <f>IF('исходные данные'!D203&gt;'минимумы и максимумы'!B$10,100,('исходные данные'!D203-'минимумы и максимумы'!B$9)/('минимумы и максимумы'!B$10-'минимумы и максимумы'!B$9)*100)</f>
        <v>0</v>
      </c>
      <c r="E203">
        <f>IF('исходные данные'!E203&gt;'минимумы и максимумы'!C$10,100,('исходные данные'!E203-'минимумы и максимумы'!C$9)/('минимумы и максимумы'!C$10-'минимумы и максимумы'!C$9)*100)</f>
        <v>0</v>
      </c>
      <c r="F203">
        <f>IF('исходные данные'!F203&gt;'минимумы и максимумы'!D$10,100,('исходные данные'!F203-'минимумы и максимумы'!D$9)/('минимумы и максимумы'!D$10-'минимумы и максимумы'!D$9)*100)</f>
        <v>0</v>
      </c>
      <c r="G203">
        <f>IF('исходные данные'!G203&gt;'минимумы и максимумы'!E$10,100,('исходные данные'!G203-'минимумы и максимумы'!E$9)/('минимумы и максимумы'!E$10-'минимумы и максимумы'!E$9)*100)</f>
        <v>4.1666666666666661</v>
      </c>
      <c r="H203">
        <f>IF('исходные данные'!H203&gt;'минимумы и максимумы'!F$10,100,('исходные данные'!H203-'минимумы и максимумы'!F$9)/('минимумы и максимумы'!F$10-'минимумы и максимумы'!F$9)*100)</f>
        <v>3.4482758620689653</v>
      </c>
      <c r="I203">
        <f>IF('исходные данные'!I203&gt;'минимумы и максимумы'!G$10,100,('исходные данные'!I203-'минимумы и максимумы'!G$9)/('минимумы и максимумы'!G$10-'минимумы и максимумы'!G$9)*100)</f>
        <v>9.433962264150944</v>
      </c>
      <c r="J203">
        <f>IF('исходные данные'!J203&gt;'минимумы и максимумы'!H$10,100,('исходные данные'!J203-'минимумы и максимумы'!H$9)/('минимумы и максимумы'!H$10-'минимумы и максимумы'!H$9)*100)</f>
        <v>0</v>
      </c>
      <c r="K203">
        <f>IF('исходные данные'!K203&gt;'минимумы и максимумы'!I$10,100,('исходные данные'!K203-'минимумы и максимумы'!I$9)/('минимумы и максимумы'!I$10-'минимумы и максимумы'!I$9)*100)</f>
        <v>11.111111111111111</v>
      </c>
      <c r="L203">
        <f>IF('исходные данные'!L203&gt;'минимумы и максимумы'!J$10,100,('исходные данные'!L203-'минимумы и максимумы'!J$9)/('минимумы и максимумы'!J$10-'минимумы и максимумы'!J$9)*100)</f>
        <v>0</v>
      </c>
      <c r="M203">
        <f>IF('исходные данные'!M203&gt;'минимумы и максимумы'!K$10,100,('исходные данные'!M203-'минимумы и максимумы'!K$9)/('минимумы и максимумы'!K$10-'минимумы и максимумы'!K$9)*100)</f>
        <v>25</v>
      </c>
      <c r="N203">
        <f>IF('исходные данные'!N203&gt;'минимумы и максимумы'!L$10,100,('исходные данные'!N203-'минимумы и максимумы'!L$9)/('минимумы и максимумы'!L$10-'минимумы и максимумы'!L$9)*100)</f>
        <v>17.667065670964284</v>
      </c>
      <c r="O203">
        <f>IF('исходные данные'!O203&gt;'минимумы и максимумы'!M$10,100,('исходные данные'!O203-'минимумы и максимумы'!M$9)/('минимумы и максимумы'!M$10-'минимумы и максимумы'!M$9)*100)</f>
        <v>66.666666666666657</v>
      </c>
      <c r="P203">
        <f>IF('исходные данные'!P203&gt;'минимумы и максимумы'!N$10,100,('исходные данные'!P203-'минимумы и максимумы'!N$9)/('минимумы и максимумы'!N$10-'минимумы и максимумы'!N$9)*100)</f>
        <v>0</v>
      </c>
      <c r="Q203">
        <f>IF('исходные данные'!Q203&gt;'минимумы и максимумы'!O$10,100,('исходные данные'!Q203-'минимумы и максимумы'!O$9)/('минимумы и максимумы'!O$10-'минимумы и максимумы'!O$9)*100)</f>
        <v>100</v>
      </c>
      <c r="R203">
        <f>IF('исходные данные'!R203&gt;'минимумы и максимумы'!P$10,100,('исходные данные'!R203-'минимумы и максимумы'!P$9)/('минимумы и максимумы'!P$10-'минимумы и максимумы'!P$9)*100)</f>
        <v>75</v>
      </c>
      <c r="S203">
        <f>IF('исходные данные'!S203&gt;'минимумы и максимумы'!Q$10,100,('исходные данные'!S203-'минимумы и максимумы'!Q$9)/('минимумы и максимумы'!Q$10-'минимумы и максимумы'!Q$9)*100)</f>
        <v>16.666666666666664</v>
      </c>
      <c r="T203">
        <f>IF('исходные данные'!T203&gt;'минимумы и максимумы'!R$10,100,('исходные данные'!T203-'минимумы и максимумы'!R$9)/('минимумы и максимумы'!R$10-'минимумы и максимумы'!R$9)*100)</f>
        <v>12.859608745684694</v>
      </c>
      <c r="U203">
        <f>IF('исходные данные'!U203&gt;'минимумы и максимумы'!S$10,100,('исходные данные'!U203-'минимумы и максимумы'!S$9)/('минимумы и максимумы'!S$10-'минимумы и максимумы'!S$9)*100)</f>
        <v>0</v>
      </c>
    </row>
    <row r="204" spans="1:21" x14ac:dyDescent="0.45">
      <c r="A204" s="4">
        <v>290</v>
      </c>
      <c r="B204" s="4">
        <v>0</v>
      </c>
      <c r="C204" s="4">
        <v>0</v>
      </c>
      <c r="D204">
        <f>IF('исходные данные'!D204&gt;'минимумы и максимумы'!B$10,100,('исходные данные'!D204-'минимумы и максимумы'!B$9)/('минимумы и максимумы'!B$10-'минимумы и максимумы'!B$9)*100)</f>
        <v>0</v>
      </c>
      <c r="E204">
        <f>IF('исходные данные'!E204&gt;'минимумы и максимумы'!C$10,100,('исходные данные'!E204-'минимумы и максимумы'!C$9)/('минимумы и максимумы'!C$10-'минимумы и максимумы'!C$9)*100)</f>
        <v>30</v>
      </c>
      <c r="F204">
        <f>IF('исходные данные'!F204&gt;'минимумы и максимумы'!D$10,100,('исходные данные'!F204-'минимумы и максимумы'!D$9)/('минимумы и максимумы'!D$10-'минимумы и максимумы'!D$9)*100)</f>
        <v>66.666666666666657</v>
      </c>
      <c r="G204">
        <f>IF('исходные данные'!G204&gt;'минимумы и максимумы'!E$10,100,('исходные данные'!G204-'минимумы и максимумы'!E$9)/('минимумы и максимумы'!E$10-'минимумы и максимумы'!E$9)*100)</f>
        <v>8.3333333333333321</v>
      </c>
      <c r="H204">
        <f>IF('исходные данные'!H204&gt;'минимумы и максимумы'!F$10,100,('исходные данные'!H204-'минимумы и максимумы'!F$9)/('минимумы и максимумы'!F$10-'минимумы и максимумы'!F$9)*100)</f>
        <v>13.793103448275861</v>
      </c>
      <c r="I204">
        <f>IF('исходные данные'!I204&gt;'минимумы и максимумы'!G$10,100,('исходные данные'!I204-'минимумы и максимумы'!G$9)/('минимумы и максимумы'!G$10-'минимумы и максимумы'!G$9)*100)</f>
        <v>28.30188679245283</v>
      </c>
      <c r="J204">
        <f>IF('исходные данные'!J204&gt;'минимумы и максимумы'!H$10,100,('исходные данные'!J204-'минимумы и максимумы'!H$9)/('минимумы и максимумы'!H$10-'минимумы и максимумы'!H$9)*100)</f>
        <v>0</v>
      </c>
      <c r="K204">
        <f>IF('исходные данные'!K204&gt;'минимумы и максимумы'!I$10,100,('исходные данные'!K204-'минимумы и максимумы'!I$9)/('минимумы и максимумы'!I$10-'минимумы и максимумы'!I$9)*100)</f>
        <v>16.666666666666664</v>
      </c>
      <c r="L204">
        <f>IF('исходные данные'!L204&gt;'минимумы и максимумы'!J$10,100,('исходные данные'!L204-'минимумы и максимумы'!J$9)/('минимумы и максимумы'!J$10-'минимумы и максимумы'!J$9)*100)</f>
        <v>7.1428571428571423</v>
      </c>
      <c r="M204">
        <f>IF('исходные данные'!M204&gt;'минимумы и максимумы'!K$10,100,('исходные данные'!M204-'минимумы и максимумы'!K$9)/('минимумы и максимумы'!K$10-'минимумы и максимумы'!K$9)*100)</f>
        <v>50</v>
      </c>
      <c r="N204">
        <f>IF('исходные данные'!N204&gt;'минимумы и максимумы'!L$10,100,('исходные данные'!N204-'минимумы и максимумы'!L$9)/('минимумы и максимумы'!L$10-'минимумы и максимумы'!L$9)*100)</f>
        <v>16.203623111502679</v>
      </c>
      <c r="O204">
        <f>IF('исходные данные'!O204&gt;'минимумы и максимумы'!M$10,100,('исходные данные'!O204-'минимумы и максимумы'!M$9)/('минимумы и максимумы'!M$10-'минимумы и максимумы'!M$9)*100)</f>
        <v>66.666666666666657</v>
      </c>
      <c r="P204">
        <f>IF('исходные данные'!P204&gt;'минимумы и максимумы'!N$10,100,('исходные данные'!P204-'минимумы и максимумы'!N$9)/('минимумы и максимумы'!N$10-'минимумы и максимумы'!N$9)*100)</f>
        <v>100</v>
      </c>
      <c r="Q204">
        <f>IF('исходные данные'!Q204&gt;'минимумы и максимумы'!O$10,100,('исходные данные'!Q204-'минимумы и максимумы'!O$9)/('минимумы и максимумы'!O$10-'минимумы и максимумы'!O$9)*100)</f>
        <v>100</v>
      </c>
      <c r="R204">
        <f>IF('исходные данные'!R204&gt;'минимумы и максимумы'!P$10,100,('исходные данные'!R204-'минимумы и максимумы'!P$9)/('минимумы и максимумы'!P$10-'минимумы и максимумы'!P$9)*100)</f>
        <v>75</v>
      </c>
      <c r="S204">
        <f>IF('исходные данные'!S204&gt;'минимумы и максимумы'!Q$10,100,('исходные данные'!S204-'минимумы и максимумы'!Q$9)/('минимумы и максимумы'!Q$10-'минимумы и максимумы'!Q$9)*100)</f>
        <v>33.333333333333329</v>
      </c>
      <c r="T204">
        <f>IF('исходные данные'!T204&gt;'минимумы и максимумы'!R$10,100,('исходные данные'!T204-'минимумы и максимумы'!R$9)/('минимумы и максимумы'!R$10-'минимумы и максимумы'!R$9)*100)</f>
        <v>30.75373993095512</v>
      </c>
      <c r="U204">
        <f>IF('исходные данные'!U204&gt;'минимумы и максимумы'!S$10,100,('исходные данные'!U204-'минимумы и максимумы'!S$9)/('минимумы и максимумы'!S$10-'минимумы и максимумы'!S$9)*100)</f>
        <v>66.666666666666657</v>
      </c>
    </row>
    <row r="205" spans="1:21" x14ac:dyDescent="0.45">
      <c r="A205" s="4">
        <v>291</v>
      </c>
      <c r="B205" s="4">
        <v>0</v>
      </c>
      <c r="C205" s="4">
        <v>0</v>
      </c>
      <c r="D205">
        <f>IF('исходные данные'!D205&gt;'минимумы и максимумы'!B$10,100,('исходные данные'!D205-'минимумы и максимумы'!B$9)/('минимумы и максимумы'!B$10-'минимумы и максимумы'!B$9)*100)</f>
        <v>0</v>
      </c>
      <c r="E205">
        <f>IF('исходные данные'!E205&gt;'минимумы и максимумы'!C$10,100,('исходные данные'!E205-'минимумы и максимумы'!C$9)/('минимумы и максимумы'!C$10-'минимумы и максимумы'!C$9)*100)</f>
        <v>20</v>
      </c>
      <c r="F205">
        <f>IF('исходные данные'!F205&gt;'минимумы и максимумы'!D$10,100,('исходные данные'!F205-'минимумы и максимумы'!D$9)/('минимумы и максимумы'!D$10-'минимумы и максимумы'!D$9)*100)</f>
        <v>66.666666666666657</v>
      </c>
      <c r="G205">
        <f>IF('исходные данные'!G205&gt;'минимумы и максимумы'!E$10,100,('исходные данные'!G205-'минимумы и максимумы'!E$9)/('минимумы и максимумы'!E$10-'минимумы и максимумы'!E$9)*100)</f>
        <v>4.1666666666666661</v>
      </c>
      <c r="H205">
        <f>IF('исходные данные'!H205&gt;'минимумы и максимумы'!F$10,100,('исходные данные'!H205-'минимумы и максимумы'!F$9)/('минимумы и максимумы'!F$10-'минимумы и максимумы'!F$9)*100)</f>
        <v>3.4482758620689653</v>
      </c>
      <c r="I205">
        <f>IF('исходные данные'!I205&gt;'минимумы и максимумы'!G$10,100,('исходные данные'!I205-'минимумы и максимумы'!G$9)/('минимумы и максимумы'!G$10-'минимумы и максимумы'!G$9)*100)</f>
        <v>11.320754716981133</v>
      </c>
      <c r="J205">
        <f>IF('исходные данные'!J205&gt;'минимумы и максимумы'!H$10,100,('исходные данные'!J205-'минимумы и максимумы'!H$9)/('минимумы и максимумы'!H$10-'минимумы и максимумы'!H$9)*100)</f>
        <v>0</v>
      </c>
      <c r="K205">
        <f>IF('исходные данные'!K205&gt;'минимумы и максимумы'!I$10,100,('исходные данные'!K205-'минимумы и максимумы'!I$9)/('минимумы и максимумы'!I$10-'минимумы и максимумы'!I$9)*100)</f>
        <v>5.5555555555555554</v>
      </c>
      <c r="L205">
        <f>IF('исходные данные'!L205&gt;'минимумы и максимумы'!J$10,100,('исходные данные'!L205-'минимумы и максимумы'!J$9)/('минимумы и максимумы'!J$10-'минимумы и максимумы'!J$9)*100)</f>
        <v>7.1428571428571423</v>
      </c>
      <c r="M205">
        <f>IF('исходные данные'!M205&gt;'минимумы и максимумы'!K$10,100,('исходные данные'!M205-'минимумы и максимумы'!K$9)/('минимумы и максимумы'!K$10-'минимумы и максимумы'!K$9)*100)</f>
        <v>32.142857142857146</v>
      </c>
      <c r="N205">
        <f>IF('исходные данные'!N205&gt;'минимумы и максимумы'!L$10,100,('исходные данные'!N205-'минимумы и максимумы'!L$9)/('минимумы и максимумы'!L$10-'минимумы и максимумы'!L$9)*100)</f>
        <v>16.248333545381673</v>
      </c>
      <c r="O205">
        <f>IF('исходные данные'!O205&gt;'минимумы и максимумы'!M$10,100,('исходные данные'!O205-'минимумы и максимумы'!M$9)/('минимумы и максимумы'!M$10-'минимумы и максимумы'!M$9)*100)</f>
        <v>66.666666666666657</v>
      </c>
      <c r="P205">
        <f>IF('исходные данные'!P205&gt;'минимумы и максимумы'!N$10,100,('исходные данные'!P205-'минимумы и максимумы'!N$9)/('минимумы и максимумы'!N$10-'минимумы и максимумы'!N$9)*100)</f>
        <v>0</v>
      </c>
      <c r="Q205">
        <f>IF('исходные данные'!Q205&gt;'минимумы и максимумы'!O$10,100,('исходные данные'!Q205-'минимумы и максимумы'!O$9)/('минимумы и максимумы'!O$10-'минимумы и максимумы'!O$9)*100)</f>
        <v>100</v>
      </c>
      <c r="R205">
        <f>IF('исходные данные'!R205&gt;'минимумы и максимумы'!P$10,100,('исходные данные'!R205-'минимумы и максимумы'!P$9)/('минимумы и максимумы'!P$10-'минимумы и максимумы'!P$9)*100)</f>
        <v>75</v>
      </c>
      <c r="S205">
        <f>IF('исходные данные'!S205&gt;'минимумы и максимумы'!Q$10,100,('исходные данные'!S205-'минимумы и максимумы'!Q$9)/('минимумы и максимумы'!Q$10-'минимумы и максимумы'!Q$9)*100)</f>
        <v>33.333333333333329</v>
      </c>
      <c r="T205">
        <f>IF('исходные данные'!T205&gt;'минимумы и максимумы'!R$10,100,('исходные данные'!T205-'минимумы и максимумы'!R$9)/('минимумы и максимумы'!R$10-'минимумы и максимумы'!R$9)*100)</f>
        <v>1.8124280782508631</v>
      </c>
      <c r="U205">
        <f>IF('исходные данные'!U205&gt;'минимумы и максимумы'!S$10,100,('исходные данные'!U205-'минимумы и максимумы'!S$9)/('минимумы и максимумы'!S$10-'минимумы и максимумы'!S$9)*100)</f>
        <v>0</v>
      </c>
    </row>
    <row r="206" spans="1:21" x14ac:dyDescent="0.45">
      <c r="A206" s="4">
        <v>292</v>
      </c>
      <c r="B206" s="4">
        <v>0</v>
      </c>
      <c r="C206" s="4">
        <v>0</v>
      </c>
      <c r="D206">
        <f>IF('исходные данные'!D206&gt;'минимумы и максимумы'!B$10,100,('исходные данные'!D206-'минимумы и максимумы'!B$9)/('минимумы и максимумы'!B$10-'минимумы и максимумы'!B$9)*100)</f>
        <v>0</v>
      </c>
      <c r="E206">
        <f>IF('исходные данные'!E206&gt;'минимумы и максимумы'!C$10,100,('исходные данные'!E206-'минимумы и максимумы'!C$9)/('минимумы и максимумы'!C$10-'минимумы и максимумы'!C$9)*100)</f>
        <v>20</v>
      </c>
      <c r="F206">
        <f>IF('исходные данные'!F206&gt;'минимумы и максимумы'!D$10,100,('исходные данные'!F206-'минимумы и максимумы'!D$9)/('минимумы и максимумы'!D$10-'минимумы и максимумы'!D$9)*100)</f>
        <v>66.666666666666657</v>
      </c>
      <c r="G206">
        <f>IF('исходные данные'!G206&gt;'минимумы и максимумы'!E$10,100,('исходные данные'!G206-'минимумы и максимумы'!E$9)/('минимумы и максимумы'!E$10-'минимумы и максимумы'!E$9)*100)</f>
        <v>4.1666666666666661</v>
      </c>
      <c r="H206">
        <f>IF('исходные данные'!H206&gt;'минимумы и максимумы'!F$10,100,('исходные данные'!H206-'минимумы и максимумы'!F$9)/('минимумы и максимумы'!F$10-'минимумы и максимумы'!F$9)*100)</f>
        <v>3.4482758620689653</v>
      </c>
      <c r="I206">
        <f>IF('исходные данные'!I206&gt;'минимумы и максимумы'!G$10,100,('исходные данные'!I206-'минимумы и максимумы'!G$9)/('минимумы и максимумы'!G$10-'минимумы и максимумы'!G$9)*100)</f>
        <v>11.320754716981133</v>
      </c>
      <c r="J206">
        <f>IF('исходные данные'!J206&gt;'минимумы и максимумы'!H$10,100,('исходные данные'!J206-'минимумы и максимумы'!H$9)/('минимумы и максимумы'!H$10-'минимумы и максимумы'!H$9)*100)</f>
        <v>0</v>
      </c>
      <c r="K206">
        <f>IF('исходные данные'!K206&gt;'минимумы и максимумы'!I$10,100,('исходные данные'!K206-'минимумы и максимумы'!I$9)/('минимумы и максимумы'!I$10-'минимумы и максимумы'!I$9)*100)</f>
        <v>5.5555555555555554</v>
      </c>
      <c r="L206">
        <f>IF('исходные данные'!L206&gt;'минимумы и максимумы'!J$10,100,('исходные данные'!L206-'минимумы и максимумы'!J$9)/('минимумы и максимумы'!J$10-'минимумы и максимумы'!J$9)*100)</f>
        <v>7.1428571428571423</v>
      </c>
      <c r="M206">
        <f>IF('исходные данные'!M206&gt;'минимумы и максимумы'!K$10,100,('исходные данные'!M206-'минимумы и максимумы'!K$9)/('минимумы и максимумы'!K$10-'минимумы и максимумы'!K$9)*100)</f>
        <v>32.142857142857146</v>
      </c>
      <c r="N206">
        <f>IF('исходные данные'!N206&gt;'минимумы и максимумы'!L$10,100,('исходные данные'!N206-'минимумы и максимумы'!L$9)/('минимумы и максимумы'!L$10-'минимумы и максимумы'!L$9)*100)</f>
        <v>17.92106845634952</v>
      </c>
      <c r="O206">
        <f>IF('исходные данные'!O206&gt;'минимумы и максимумы'!M$10,100,('исходные данные'!O206-'минимумы и максимумы'!M$9)/('минимумы и максимумы'!M$10-'минимумы и максимумы'!M$9)*100)</f>
        <v>66.666666666666657</v>
      </c>
      <c r="P206">
        <f>IF('исходные данные'!P206&gt;'минимумы и максимумы'!N$10,100,('исходные данные'!P206-'минимумы и максимумы'!N$9)/('минимумы и максимумы'!N$10-'минимумы и максимумы'!N$9)*100)</f>
        <v>100</v>
      </c>
      <c r="Q206">
        <f>IF('исходные данные'!Q206&gt;'минимумы и максимумы'!O$10,100,('исходные данные'!Q206-'минимумы и максимумы'!O$9)/('минимумы и максимумы'!O$10-'минимумы и максимумы'!O$9)*100)</f>
        <v>100</v>
      </c>
      <c r="R206">
        <f>IF('исходные данные'!R206&gt;'минимумы и максимумы'!P$10,100,('исходные данные'!R206-'минимумы и максимумы'!P$9)/('минимумы и максимумы'!P$10-'минимумы и максимумы'!P$9)*100)</f>
        <v>75</v>
      </c>
      <c r="S206">
        <f>IF('исходные данные'!S206&gt;'минимумы и максимумы'!Q$10,100,('исходные данные'!S206-'минимумы и максимумы'!Q$9)/('минимумы и максимумы'!Q$10-'минимумы и максимумы'!Q$9)*100)</f>
        <v>100</v>
      </c>
      <c r="T206">
        <f>IF('исходные данные'!T206&gt;'минимумы и максимумы'!R$10,100,('исходные данные'!T206-'минимумы и максимумы'!R$9)/('минимумы и максимумы'!R$10-'минимумы и максимумы'!R$9)*100)</f>
        <v>74.539700805523594</v>
      </c>
      <c r="U206">
        <f>IF('исходные данные'!U206&gt;'минимумы и максимумы'!S$10,100,('исходные данные'!U206-'минимумы и максимумы'!S$9)/('минимумы и максимумы'!S$10-'минимумы и максимумы'!S$9)*100)</f>
        <v>100</v>
      </c>
    </row>
    <row r="207" spans="1:21" x14ac:dyDescent="0.45">
      <c r="A207" s="4">
        <v>293</v>
      </c>
      <c r="B207" s="4">
        <v>0</v>
      </c>
      <c r="C207" s="4">
        <v>0</v>
      </c>
      <c r="D207">
        <f>IF('исходные данные'!D207&gt;'минимумы и максимумы'!B$10,100,('исходные данные'!D207-'минимумы и максимумы'!B$9)/('минимумы и максимумы'!B$10-'минимумы и максимумы'!B$9)*100)</f>
        <v>0</v>
      </c>
      <c r="E207">
        <f>IF('исходные данные'!E207&gt;'минимумы и максимумы'!C$10,100,('исходные данные'!E207-'минимумы и максимумы'!C$9)/('минимумы и максимумы'!C$10-'минимумы и максимумы'!C$9)*100)</f>
        <v>30</v>
      </c>
      <c r="F207">
        <f>IF('исходные данные'!F207&gt;'минимумы и максимумы'!D$10,100,('исходные данные'!F207-'минимумы и максимумы'!D$9)/('минимумы и максимумы'!D$10-'минимумы и максимумы'!D$9)*100)</f>
        <v>66.666666666666657</v>
      </c>
      <c r="G207">
        <f>IF('исходные данные'!G207&gt;'минимумы и максимумы'!E$10,100,('исходные данные'!G207-'минимумы и максимумы'!E$9)/('минимумы и максимумы'!E$10-'минимумы и максимумы'!E$9)*100)</f>
        <v>12.5</v>
      </c>
      <c r="H207">
        <f>IF('исходные данные'!H207&gt;'минимумы и максимумы'!F$10,100,('исходные данные'!H207-'минимумы и максимумы'!F$9)/('минимумы и максимумы'!F$10-'минимумы и максимумы'!F$9)*100)</f>
        <v>3.4482758620689653</v>
      </c>
      <c r="I207">
        <f>IF('исходные данные'!I207&gt;'минимумы и максимумы'!G$10,100,('исходные данные'!I207-'минимумы и максимумы'!G$9)/('минимумы и максимумы'!G$10-'минимумы и максимумы'!G$9)*100)</f>
        <v>15.09433962264151</v>
      </c>
      <c r="J207">
        <f>IF('исходные данные'!J207&gt;'минимумы и максимумы'!H$10,100,('исходные данные'!J207-'минимумы и максимумы'!H$9)/('минимумы и максимумы'!H$10-'минимумы и максимумы'!H$9)*100)</f>
        <v>0</v>
      </c>
      <c r="K207">
        <f>IF('исходные данные'!K207&gt;'минимумы и максимумы'!I$10,100,('исходные данные'!K207-'минимумы и максимумы'!I$9)/('минимумы и максимумы'!I$10-'минимумы и максимумы'!I$9)*100)</f>
        <v>5.5555555555555554</v>
      </c>
      <c r="L207">
        <f>IF('исходные данные'!L207&gt;'минимумы и максимумы'!J$10,100,('исходные данные'!L207-'минимумы и максимумы'!J$9)/('минимумы и максимумы'!J$10-'минимумы и максимумы'!J$9)*100)</f>
        <v>7.1428571428571423</v>
      </c>
      <c r="M207">
        <f>IF('исходные данные'!M207&gt;'минимумы и максимумы'!K$10,100,('исходные данные'!M207-'минимумы и максимумы'!K$9)/('минимумы и максимумы'!K$10-'минимумы и максимумы'!K$9)*100)</f>
        <v>35.714285714285715</v>
      </c>
      <c r="N207">
        <f>IF('исходные данные'!N207&gt;'минимумы и максимумы'!L$10,100,('исходные данные'!N207-'минимумы и максимумы'!L$9)/('минимумы и максимумы'!L$10-'минимумы и максимумы'!L$9)*100)</f>
        <v>15.636289038237702</v>
      </c>
      <c r="O207">
        <f>IF('исходные данные'!O207&gt;'минимумы и максимумы'!M$10,100,('исходные данные'!O207-'минимумы и максимумы'!M$9)/('минимумы и максимумы'!M$10-'минимумы и максимумы'!M$9)*100)</f>
        <v>66.666666666666657</v>
      </c>
      <c r="P207">
        <f>IF('исходные данные'!P207&gt;'минимумы и максимумы'!N$10,100,('исходные данные'!P207-'минимумы и максимумы'!N$9)/('минимумы и максимумы'!N$10-'минимумы и максимумы'!N$9)*100)</f>
        <v>100</v>
      </c>
      <c r="Q207">
        <f>IF('исходные данные'!Q207&gt;'минимумы и максимумы'!O$10,100,('исходные данные'!Q207-'минимумы и максимумы'!O$9)/('минимумы и максимумы'!O$10-'минимумы и максимумы'!O$9)*100)</f>
        <v>100</v>
      </c>
      <c r="R207">
        <f>IF('исходные данные'!R207&gt;'минимумы и максимумы'!P$10,100,('исходные данные'!R207-'минимумы и максимумы'!P$9)/('минимумы и максимумы'!P$10-'минимумы и максимумы'!P$9)*100)</f>
        <v>75</v>
      </c>
      <c r="S207">
        <f>IF('исходные данные'!S207&gt;'минимумы и максимумы'!Q$10,100,('исходные данные'!S207-'минимумы и максимумы'!Q$9)/('минимумы и максимумы'!Q$10-'минимумы и максимумы'!Q$9)*100)</f>
        <v>33.333333333333329</v>
      </c>
      <c r="T207">
        <f>IF('исходные данные'!T207&gt;'минимумы и максимумы'!R$10,100,('исходные данные'!T207-'минимумы и максимумы'!R$9)/('минимумы и максимумы'!R$10-'минимумы и максимумы'!R$9)*100)</f>
        <v>4.6605293440736482</v>
      </c>
      <c r="U207">
        <f>IF('исходные данные'!U207&gt;'минимумы и максимумы'!S$10,100,('исходные данные'!U207-'минимумы и максимумы'!S$9)/('минимумы и максимумы'!S$10-'минимумы и максимумы'!S$9)*100)</f>
        <v>33.333333333333329</v>
      </c>
    </row>
    <row r="208" spans="1:21" x14ac:dyDescent="0.45">
      <c r="A208" s="4">
        <v>294</v>
      </c>
      <c r="B208" s="4">
        <v>0</v>
      </c>
      <c r="C208" s="4">
        <v>0</v>
      </c>
      <c r="D208">
        <f>IF('исходные данные'!D208&gt;'минимумы и максимумы'!B$10,100,('исходные данные'!D208-'минимумы и максимумы'!B$9)/('минимумы и максимумы'!B$10-'минимумы и максимумы'!B$9)*100)</f>
        <v>0</v>
      </c>
      <c r="E208">
        <f>IF('исходные данные'!E208&gt;'минимумы и максимумы'!C$10,100,('исходные данные'!E208-'минимумы и максимумы'!C$9)/('минимумы и максимумы'!C$10-'минимумы и максимумы'!C$9)*100)</f>
        <v>30</v>
      </c>
      <c r="F208">
        <f>IF('исходные данные'!F208&gt;'минимумы и максимумы'!D$10,100,('исходные данные'!F208-'минимумы и максимумы'!D$9)/('минимумы и максимумы'!D$10-'минимумы и максимумы'!D$9)*100)</f>
        <v>66.666666666666657</v>
      </c>
      <c r="G208">
        <f>IF('исходные данные'!G208&gt;'минимумы и максимумы'!E$10,100,('исходные данные'!G208-'минимумы и максимумы'!E$9)/('минимумы и максимумы'!E$10-'минимумы и максимумы'!E$9)*100)</f>
        <v>12.5</v>
      </c>
      <c r="H208">
        <f>IF('исходные данные'!H208&gt;'минимумы и максимумы'!F$10,100,('исходные данные'!H208-'минимумы и максимумы'!F$9)/('минимумы и максимумы'!F$10-'минимумы и максимумы'!F$9)*100)</f>
        <v>3.4482758620689653</v>
      </c>
      <c r="I208">
        <f>IF('исходные данные'!I208&gt;'минимумы и максимумы'!G$10,100,('исходные данные'!I208-'минимумы и максимумы'!G$9)/('минимумы и максимумы'!G$10-'минимумы и максимумы'!G$9)*100)</f>
        <v>15.09433962264151</v>
      </c>
      <c r="J208">
        <f>IF('исходные данные'!J208&gt;'минимумы и максимумы'!H$10,100,('исходные данные'!J208-'минимумы и максимумы'!H$9)/('минимумы и максимумы'!H$10-'минимумы и максимумы'!H$9)*100)</f>
        <v>0</v>
      </c>
      <c r="K208">
        <f>IF('исходные данные'!K208&gt;'минимумы и максимумы'!I$10,100,('исходные данные'!K208-'минимумы и максимумы'!I$9)/('минимумы и максимумы'!I$10-'минимумы и максимумы'!I$9)*100)</f>
        <v>5.5555555555555554</v>
      </c>
      <c r="L208">
        <f>IF('исходные данные'!L208&gt;'минимумы и максимумы'!J$10,100,('исходные данные'!L208-'минимумы и максимумы'!J$9)/('минимумы и максимумы'!J$10-'минимумы и максимумы'!J$9)*100)</f>
        <v>7.1428571428571423</v>
      </c>
      <c r="M208">
        <f>IF('исходные данные'!M208&gt;'минимумы и максимумы'!K$10,100,('исходные данные'!M208-'минимумы и максимумы'!K$9)/('минимумы и максимумы'!K$10-'минимумы и максимумы'!K$9)*100)</f>
        <v>35.714285714285715</v>
      </c>
      <c r="N208">
        <f>IF('исходные данные'!N208&gt;'минимумы и максимумы'!L$10,100,('исходные данные'!N208-'минимумы и максимумы'!L$9)/('минимумы и максимумы'!L$10-'минимумы и максимумы'!L$9)*100)</f>
        <v>15.636289038237702</v>
      </c>
      <c r="O208">
        <f>IF('исходные данные'!O208&gt;'минимумы и максимумы'!M$10,100,('исходные данные'!O208-'минимумы и максимумы'!M$9)/('минимумы и максимумы'!M$10-'минимумы и максимумы'!M$9)*100)</f>
        <v>66.666666666666657</v>
      </c>
      <c r="P208">
        <f>IF('исходные данные'!P208&gt;'минимумы и максимумы'!N$10,100,('исходные данные'!P208-'минимумы и максимумы'!N$9)/('минимумы и максимумы'!N$10-'минимумы и максимумы'!N$9)*100)</f>
        <v>100</v>
      </c>
      <c r="Q208">
        <f>IF('исходные данные'!Q208&gt;'минимумы и максимумы'!O$10,100,('исходные данные'!Q208-'минимумы и максимумы'!O$9)/('минимумы и максимумы'!O$10-'минимумы и максимумы'!O$9)*100)</f>
        <v>100</v>
      </c>
      <c r="R208">
        <f>IF('исходные данные'!R208&gt;'минимумы и максимумы'!P$10,100,('исходные данные'!R208-'минимумы и максимумы'!P$9)/('минимумы и максимумы'!P$10-'минимумы и максимумы'!P$9)*100)</f>
        <v>75</v>
      </c>
      <c r="S208">
        <f>IF('исходные данные'!S208&gt;'минимумы и максимумы'!Q$10,100,('исходные данные'!S208-'минимумы и максимумы'!Q$9)/('минимумы и максимумы'!Q$10-'минимумы и максимумы'!Q$9)*100)</f>
        <v>16.666666666666664</v>
      </c>
      <c r="T208">
        <f>IF('исходные данные'!T208&gt;'минимумы и максимумы'!R$10,100,('исходные данные'!T208-'минимумы и максимумы'!R$9)/('минимумы и максимумы'!R$10-'минимумы и максимумы'!R$9)*100)</f>
        <v>3.3659378596087453</v>
      </c>
      <c r="U208">
        <f>IF('исходные данные'!U208&gt;'минимумы и максимумы'!S$10,100,('исходные данные'!U208-'минимумы и максимумы'!S$9)/('минимумы и максимумы'!S$10-'минимумы и максимумы'!S$9)*100)</f>
        <v>0</v>
      </c>
    </row>
    <row r="209" spans="1:21" x14ac:dyDescent="0.45">
      <c r="A209" s="4">
        <v>295</v>
      </c>
      <c r="B209" s="4">
        <v>0</v>
      </c>
      <c r="C209" s="4">
        <v>0</v>
      </c>
      <c r="D209">
        <f>IF('исходные данные'!D209&gt;'минимумы и максимумы'!B$10,100,('исходные данные'!D209-'минимумы и максимумы'!B$9)/('минимумы и максимумы'!B$10-'минимумы и максимумы'!B$9)*100)</f>
        <v>0</v>
      </c>
      <c r="E209">
        <f>IF('исходные данные'!E209&gt;'минимумы и максимумы'!C$10,100,('исходные данные'!E209-'минимумы и максимумы'!C$9)/('минимумы и максимумы'!C$10-'минимумы и максимумы'!C$9)*100)</f>
        <v>20</v>
      </c>
      <c r="F209">
        <f>IF('исходные данные'!F209&gt;'минимумы и максимумы'!D$10,100,('исходные данные'!F209-'минимумы и максимумы'!D$9)/('минимумы и максимумы'!D$10-'минимумы и максимумы'!D$9)*100)</f>
        <v>66.666666666666657</v>
      </c>
      <c r="G209">
        <f>IF('исходные данные'!G209&gt;'минимумы и максимумы'!E$10,100,('исходные данные'!G209-'минимумы и максимумы'!E$9)/('минимумы и максимумы'!E$10-'минимумы и максимумы'!E$9)*100)</f>
        <v>4.1666666666666661</v>
      </c>
      <c r="H209">
        <f>IF('исходные данные'!H209&gt;'минимумы и максимумы'!F$10,100,('исходные данные'!H209-'минимумы и максимумы'!F$9)/('минимумы и максимумы'!F$10-'минимумы и максимумы'!F$9)*100)</f>
        <v>3.4482758620689653</v>
      </c>
      <c r="I209">
        <f>IF('исходные данные'!I209&gt;'минимумы и максимумы'!G$10,100,('исходные данные'!I209-'минимумы и максимумы'!G$9)/('минимумы и максимумы'!G$10-'минимумы и максимумы'!G$9)*100)</f>
        <v>11.320754716981133</v>
      </c>
      <c r="J209">
        <f>IF('исходные данные'!J209&gt;'минимумы и максимумы'!H$10,100,('исходные данные'!J209-'минимумы и максимумы'!H$9)/('минимумы и максимумы'!H$10-'минимумы и максимумы'!H$9)*100)</f>
        <v>0</v>
      </c>
      <c r="K209">
        <f>IF('исходные данные'!K209&gt;'минимумы и максимумы'!I$10,100,('исходные данные'!K209-'минимумы и максимумы'!I$9)/('минимумы и максимумы'!I$10-'минимумы и максимумы'!I$9)*100)</f>
        <v>5.5555555555555554</v>
      </c>
      <c r="L209">
        <f>IF('исходные данные'!L209&gt;'минимумы и максимумы'!J$10,100,('исходные данные'!L209-'минимумы и максимумы'!J$9)/('минимумы и максимумы'!J$10-'минимумы и максимумы'!J$9)*100)</f>
        <v>7.1428571428571423</v>
      </c>
      <c r="M209">
        <f>IF('исходные данные'!M209&gt;'минимумы и максимумы'!K$10,100,('исходные данные'!M209-'минимумы и максимумы'!K$9)/('минимумы и максимумы'!K$10-'минимумы и максимумы'!K$9)*100)</f>
        <v>32.142857142857146</v>
      </c>
      <c r="N209">
        <f>IF('исходные данные'!N209&gt;'минимумы и максимумы'!L$10,100,('исходные данные'!N209-'минимумы и максимумы'!L$9)/('минимумы и максимумы'!L$10-'минимумы и максимумы'!L$9)*100)</f>
        <v>16.248333545381673</v>
      </c>
      <c r="O209">
        <f>IF('исходные данные'!O209&gt;'минимумы и максимумы'!M$10,100,('исходные данные'!O209-'минимумы и максимумы'!M$9)/('минимумы и максимумы'!M$10-'минимумы и максимумы'!M$9)*100)</f>
        <v>66.666666666666657</v>
      </c>
      <c r="P209">
        <f>IF('исходные данные'!P209&gt;'минимумы и максимумы'!N$10,100,('исходные данные'!P209-'минимумы и максимумы'!N$9)/('минимумы и максимумы'!N$10-'минимумы и максимумы'!N$9)*100)</f>
        <v>100</v>
      </c>
      <c r="Q209">
        <f>IF('исходные данные'!Q209&gt;'минимумы и максимумы'!O$10,100,('исходные данные'!Q209-'минимумы и максимумы'!O$9)/('минимумы и максимумы'!O$10-'минимумы и максимумы'!O$9)*100)</f>
        <v>100</v>
      </c>
      <c r="R209">
        <f>IF('исходные данные'!R209&gt;'минимумы и максимумы'!P$10,100,('исходные данные'!R209-'минимумы и максимумы'!P$9)/('минимумы и максимумы'!P$10-'минимумы и максимумы'!P$9)*100)</f>
        <v>75</v>
      </c>
      <c r="S209">
        <f>IF('исходные данные'!S209&gt;'минимумы и максимумы'!Q$10,100,('исходные данные'!S209-'минимумы и максимумы'!Q$9)/('минимумы и максимумы'!Q$10-'минимумы и максимумы'!Q$9)*100)</f>
        <v>33.333333333333329</v>
      </c>
      <c r="T209">
        <f>IF('исходные данные'!T209&gt;'минимумы и максимумы'!R$10,100,('исходные данные'!T209-'минимумы и максимумы'!R$9)/('минимумы и максимумы'!R$10-'минимумы и максимумы'!R$9)*100)</f>
        <v>5.0632911392405067</v>
      </c>
      <c r="U209">
        <f>IF('исходные данные'!U209&gt;'минимумы и максимумы'!S$10,100,('исходные данные'!U209-'минимумы и максимумы'!S$9)/('минимумы и максимумы'!S$10-'минимумы и максимумы'!S$9)*100)</f>
        <v>66.666666666666657</v>
      </c>
    </row>
    <row r="210" spans="1:21" x14ac:dyDescent="0.45">
      <c r="A210" s="4">
        <v>297</v>
      </c>
      <c r="B210" s="4">
        <v>0</v>
      </c>
      <c r="C210" s="4">
        <v>0</v>
      </c>
      <c r="D210">
        <f>IF('исходные данные'!D210&gt;'минимумы и максимумы'!B$10,100,('исходные данные'!D210-'минимумы и максимумы'!B$9)/('минимумы и максимумы'!B$10-'минимумы и максимумы'!B$9)*100)</f>
        <v>0</v>
      </c>
      <c r="E210">
        <f>IF('исходные данные'!E210&gt;'минимумы и максимумы'!C$10,100,('исходные данные'!E210-'минимумы и максимумы'!C$9)/('минимумы и максимумы'!C$10-'минимумы и максимумы'!C$9)*100)</f>
        <v>0</v>
      </c>
      <c r="F210">
        <f>IF('исходные данные'!F210&gt;'минимумы и максимумы'!D$10,100,('исходные данные'!F210-'минимумы и максимумы'!D$9)/('минимумы и максимумы'!D$10-'минимумы и максимумы'!D$9)*100)</f>
        <v>0</v>
      </c>
      <c r="G210">
        <f>IF('исходные данные'!G210&gt;'минимумы и максимумы'!E$10,100,('исходные данные'!G210-'минимумы и максимумы'!E$9)/('минимумы и максимумы'!E$10-'минимумы и максимумы'!E$9)*100)</f>
        <v>0</v>
      </c>
      <c r="H210">
        <f>IF('исходные данные'!H210&gt;'минимумы и максимумы'!F$10,100,('исходные данные'!H210-'минимумы и максимумы'!F$9)/('минимумы и максимумы'!F$10-'минимумы и максимумы'!F$9)*100)</f>
        <v>0</v>
      </c>
      <c r="I210">
        <f>IF('исходные данные'!I210&gt;'минимумы и максимумы'!G$10,100,('исходные данные'!I210-'минимумы и максимумы'!G$9)/('минимумы и максимумы'!G$10-'минимумы и максимумы'!G$9)*100)</f>
        <v>1.8867924528301887</v>
      </c>
      <c r="J210">
        <f>IF('исходные данные'!J210&gt;'минимумы и максимумы'!H$10,100,('исходные данные'!J210-'минимумы и максимумы'!H$9)/('минимумы и максимумы'!H$10-'минимумы и максимумы'!H$9)*100)</f>
        <v>0</v>
      </c>
      <c r="K210">
        <f>IF('исходные данные'!K210&gt;'минимумы и максимумы'!I$10,100,('исходные данные'!K210-'минимумы и максимумы'!I$9)/('минимумы и максимумы'!I$10-'минимумы и максимумы'!I$9)*100)</f>
        <v>16.666666666666664</v>
      </c>
      <c r="L210">
        <f>IF('исходные данные'!L210&gt;'минимумы и максимумы'!J$10,100,('исходные данные'!L210-'минимумы и максимумы'!J$9)/('минимумы и максимумы'!J$10-'минимумы и максимумы'!J$9)*100)</f>
        <v>0</v>
      </c>
      <c r="M210">
        <f>IF('исходные данные'!M210&gt;'минимумы и максимумы'!K$10,100,('исходные данные'!M210-'минимумы и максимумы'!K$9)/('минимумы и максимумы'!K$10-'минимумы и максимумы'!K$9)*100)</f>
        <v>7.1428571428571423</v>
      </c>
      <c r="N210">
        <f>IF('исходные данные'!N210&gt;'минимумы и максимумы'!L$10,100,('исходные данные'!N210-'минимумы и максимумы'!L$9)/('минимумы и максимумы'!L$10-'минимумы и максимумы'!L$9)*100)</f>
        <v>21.593358203288517</v>
      </c>
      <c r="O210">
        <f>IF('исходные данные'!O210&gt;'минимумы и максимумы'!M$10,100,('исходные данные'!O210-'минимумы и максимумы'!M$9)/('минимумы и максимумы'!M$10-'минимумы и максимумы'!M$9)*100)</f>
        <v>66.666666666666657</v>
      </c>
      <c r="P210">
        <f>IF('исходные данные'!P210&gt;'минимумы и максимумы'!N$10,100,('исходные данные'!P210-'минимумы и максимумы'!N$9)/('минимумы и максимумы'!N$10-'минимумы и максимумы'!N$9)*100)</f>
        <v>100</v>
      </c>
      <c r="Q210">
        <f>IF('исходные данные'!Q210&gt;'минимумы и максимумы'!O$10,100,('исходные данные'!Q210-'минимумы и максимумы'!O$9)/('минимумы и максимумы'!O$10-'минимумы и максимумы'!O$9)*100)</f>
        <v>0</v>
      </c>
      <c r="R210">
        <f>IF('исходные данные'!R210&gt;'минимумы и максимумы'!P$10,100,('исходные данные'!R210-'минимумы и максимумы'!P$9)/('минимумы и максимумы'!P$10-'минимумы и максимумы'!P$9)*100)</f>
        <v>100</v>
      </c>
      <c r="S210">
        <f>IF('исходные данные'!S210&gt;'минимумы и максимумы'!Q$10,100,('исходные данные'!S210-'минимумы и максимумы'!Q$9)/('минимумы и максимумы'!Q$10-'минимумы и максимумы'!Q$9)*100)</f>
        <v>50</v>
      </c>
      <c r="T210">
        <f>IF('исходные данные'!T210&gt;'минимумы и максимумы'!R$10,100,('исходные данные'!T210-'минимумы и максимумы'!R$9)/('минимумы и максимумы'!R$10-'минимумы и максимумы'!R$9)*100)</f>
        <v>14.672036823935558</v>
      </c>
      <c r="U210">
        <f>IF('исходные данные'!U210&gt;'минимумы и максимумы'!S$10,100,('исходные данные'!U210-'минимумы и максимумы'!S$9)/('минимумы и максимумы'!S$10-'минимумы и максимумы'!S$9)*100)</f>
        <v>0</v>
      </c>
    </row>
    <row r="211" spans="1:21" x14ac:dyDescent="0.45">
      <c r="A211" s="4">
        <v>298</v>
      </c>
      <c r="B211" s="4">
        <v>0</v>
      </c>
      <c r="C211" s="4">
        <v>0</v>
      </c>
      <c r="D211">
        <f>IF('исходные данные'!D211&gt;'минимумы и максимумы'!B$10,100,('исходные данные'!D211-'минимумы и максимумы'!B$9)/('минимумы и максимумы'!B$10-'минимумы и максимумы'!B$9)*100)</f>
        <v>0</v>
      </c>
      <c r="E211">
        <f>IF('исходные данные'!E211&gt;'минимумы и максимумы'!C$10,100,('исходные данные'!E211-'минимумы и максимумы'!C$9)/('минимумы и максимумы'!C$10-'минимумы и максимумы'!C$9)*100)</f>
        <v>0</v>
      </c>
      <c r="F211">
        <f>IF('исходные данные'!F211&gt;'минимумы и максимумы'!D$10,100,('исходные данные'!F211-'минимумы и максимумы'!D$9)/('минимумы и максимумы'!D$10-'минимумы и максимумы'!D$9)*100)</f>
        <v>0</v>
      </c>
      <c r="G211">
        <f>IF('исходные данные'!G211&gt;'минимумы и максимумы'!E$10,100,('исходные данные'!G211-'минимумы и максимумы'!E$9)/('минимумы и максимумы'!E$10-'минимумы и максимумы'!E$9)*100)</f>
        <v>0</v>
      </c>
      <c r="H211">
        <f>IF('исходные данные'!H211&gt;'минимумы и максимумы'!F$10,100,('исходные данные'!H211-'минимумы и максимумы'!F$9)/('минимумы и максимумы'!F$10-'минимумы и максимумы'!F$9)*100)</f>
        <v>0</v>
      </c>
      <c r="I211">
        <f>IF('исходные данные'!I211&gt;'минимумы и максимумы'!G$10,100,('исходные данные'!I211-'минимумы и максимумы'!G$9)/('минимумы и максимумы'!G$10-'минимумы и максимумы'!G$9)*100)</f>
        <v>1.8867924528301887</v>
      </c>
      <c r="J211">
        <f>IF('исходные данные'!J211&gt;'минимумы и максимумы'!H$10,100,('исходные данные'!J211-'минимумы и максимумы'!H$9)/('минимумы и максимумы'!H$10-'минимумы и максимумы'!H$9)*100)</f>
        <v>0</v>
      </c>
      <c r="K211">
        <f>IF('исходные данные'!K211&gt;'минимумы и максимумы'!I$10,100,('исходные данные'!K211-'минимумы и максимумы'!I$9)/('минимумы и максимумы'!I$10-'минимумы и максимумы'!I$9)*100)</f>
        <v>16.666666666666664</v>
      </c>
      <c r="L211">
        <f>IF('исходные данные'!L211&gt;'минимумы и максимумы'!J$10,100,('исходные данные'!L211-'минимумы и максимумы'!J$9)/('минимумы и максимумы'!J$10-'минимумы и максимумы'!J$9)*100)</f>
        <v>0</v>
      </c>
      <c r="M211">
        <f>IF('исходные данные'!M211&gt;'минимумы и максимумы'!K$10,100,('исходные данные'!M211-'минимумы и максимумы'!K$9)/('минимумы и максимумы'!K$10-'минимумы и максимумы'!K$9)*100)</f>
        <v>7.1428571428571423</v>
      </c>
      <c r="N211">
        <f>IF('исходные данные'!N211&gt;'минимумы и максимумы'!L$10,100,('исходные данные'!N211-'минимумы и максимумы'!L$9)/('минимумы и максимумы'!L$10-'минимумы и максимумы'!L$9)*100)</f>
        <v>21.175507815169823</v>
      </c>
      <c r="O211">
        <f>IF('исходные данные'!O211&gt;'минимумы и максимумы'!M$10,100,('исходные данные'!O211-'минимумы и максимумы'!M$9)/('минимумы и максимумы'!M$10-'минимумы и максимумы'!M$9)*100)</f>
        <v>66.666666666666657</v>
      </c>
      <c r="P211">
        <f>IF('исходные данные'!P211&gt;'минимумы и максимумы'!N$10,100,('исходные данные'!P211-'минимумы и максимумы'!N$9)/('минимумы и максимумы'!N$10-'минимумы и максимумы'!N$9)*100)</f>
        <v>100</v>
      </c>
      <c r="Q211">
        <f>IF('исходные данные'!Q211&gt;'минимумы и максимумы'!O$10,100,('исходные данные'!Q211-'минимумы и максимумы'!O$9)/('минимумы и максимумы'!O$10-'минимумы и максимумы'!O$9)*100)</f>
        <v>0</v>
      </c>
      <c r="R211">
        <f>IF('исходные данные'!R211&gt;'минимумы и максимумы'!P$10,100,('исходные данные'!R211-'минимумы и максимумы'!P$9)/('минимумы и максимумы'!P$10-'минимумы и максимумы'!P$9)*100)</f>
        <v>100</v>
      </c>
      <c r="S211">
        <f>IF('исходные данные'!S211&gt;'минимумы и максимумы'!Q$10,100,('исходные данные'!S211-'минимумы и максимумы'!Q$9)/('минимумы и максимумы'!Q$10-'минимумы и максимумы'!Q$9)*100)</f>
        <v>50</v>
      </c>
      <c r="T211">
        <f>IF('исходные данные'!T211&gt;'минимумы и максимумы'!R$10,100,('исходные данные'!T211-'минимумы и максимумы'!R$9)/('минимумы и максимумы'!R$10-'минимумы и максимумы'!R$9)*100)</f>
        <v>49.942462600690455</v>
      </c>
      <c r="U211">
        <f>IF('исходные данные'!U211&gt;'минимумы и максимумы'!S$10,100,('исходные данные'!U211-'минимумы и максимумы'!S$9)/('минимумы и максимумы'!S$10-'минимумы и максимумы'!S$9)*100)</f>
        <v>33.333333333333329</v>
      </c>
    </row>
    <row r="212" spans="1:21" x14ac:dyDescent="0.45">
      <c r="A212" s="4">
        <v>299</v>
      </c>
      <c r="B212" s="4">
        <v>0</v>
      </c>
      <c r="C212" s="4">
        <v>0</v>
      </c>
      <c r="D212">
        <f>IF('исходные данные'!D212&gt;'минимумы и максимумы'!B$10,100,('исходные данные'!D212-'минимумы и максимумы'!B$9)/('минимумы и максимумы'!B$10-'минимумы и максимумы'!B$9)*100)</f>
        <v>22.222222222222221</v>
      </c>
      <c r="E212">
        <f>IF('исходные данные'!E212&gt;'минимумы и максимумы'!C$10,100,('исходные данные'!E212-'минимумы и максимумы'!C$9)/('минимумы и максимумы'!C$10-'минимумы и максимумы'!C$9)*100)</f>
        <v>20</v>
      </c>
      <c r="F212">
        <f>IF('исходные данные'!F212&gt;'минимумы и максимумы'!D$10,100,('исходные данные'!F212-'минимумы и максимумы'!D$9)/('минимумы и максимумы'!D$10-'минимумы и максимумы'!D$9)*100)</f>
        <v>0</v>
      </c>
      <c r="G212">
        <f>IF('исходные данные'!G212&gt;'минимумы и максимумы'!E$10,100,('исходные данные'!G212-'минимумы и максимумы'!E$9)/('минимумы и максимумы'!E$10-'минимумы и максимумы'!E$9)*100)</f>
        <v>4.1666666666666661</v>
      </c>
      <c r="H212">
        <f>IF('исходные данные'!H212&gt;'минимумы и максимумы'!F$10,100,('исходные данные'!H212-'минимумы и максимумы'!F$9)/('минимумы и максимумы'!F$10-'минимумы и максимумы'!F$9)*100)</f>
        <v>6.8965517241379306</v>
      </c>
      <c r="I212">
        <f>IF('исходные данные'!I212&gt;'минимумы и максимумы'!G$10,100,('исходные данные'!I212-'минимумы и максимумы'!G$9)/('минимумы и максимумы'!G$10-'минимумы и максимумы'!G$9)*100)</f>
        <v>1.8867924528301887</v>
      </c>
      <c r="J212">
        <f>IF('исходные данные'!J212&gt;'минимумы и максимумы'!H$10,100,('исходные данные'!J212-'минимумы и максимумы'!H$9)/('минимумы и максимумы'!H$10-'минимумы и максимумы'!H$9)*100)</f>
        <v>0</v>
      </c>
      <c r="K212">
        <f>IF('исходные данные'!K212&gt;'минимумы и максимумы'!I$10,100,('исходные данные'!K212-'минимумы и максимумы'!I$9)/('минимумы и максимумы'!I$10-'минимумы и максимумы'!I$9)*100)</f>
        <v>5.5555555555555554</v>
      </c>
      <c r="L212">
        <f>IF('исходные данные'!L212&gt;'минимумы и максимумы'!J$10,100,('исходные данные'!L212-'минимумы и максимумы'!J$9)/('минимумы и максимумы'!J$10-'минимумы и максимумы'!J$9)*100)</f>
        <v>0</v>
      </c>
      <c r="M212">
        <f>IF('исходные данные'!M212&gt;'минимумы и максимумы'!K$10,100,('исходные данные'!M212-'минимумы и максимумы'!K$9)/('минимумы и максимумы'!K$10-'минимумы и максимумы'!K$9)*100)</f>
        <v>50</v>
      </c>
      <c r="N212">
        <f>IF('исходные данные'!N212&gt;'минимумы и максимумы'!L$10,100,('исходные данные'!N212-'минимумы и максимумы'!L$9)/('минимумы и максимумы'!L$10-'минимумы и максимумы'!L$9)*100)</f>
        <v>27.992546938726786</v>
      </c>
      <c r="O212">
        <f>IF('исходные данные'!O212&gt;'минимумы и максимумы'!M$10,100,('исходные данные'!O212-'минимумы и максимумы'!M$9)/('минимумы и максимумы'!M$10-'минимумы и максимумы'!M$9)*100)</f>
        <v>33.333333333333329</v>
      </c>
      <c r="P212">
        <f>IF('исходные данные'!P212&gt;'минимумы и максимумы'!N$10,100,('исходные данные'!P212-'минимумы и максимумы'!N$9)/('минимумы и максимумы'!N$10-'минимумы и максимумы'!N$9)*100)</f>
        <v>0</v>
      </c>
      <c r="Q212">
        <f>IF('исходные данные'!Q212&gt;'минимумы и максимумы'!O$10,100,('исходные данные'!Q212-'минимумы и максимумы'!O$9)/('минимумы и максимумы'!O$10-'минимумы и максимумы'!O$9)*100)</f>
        <v>0</v>
      </c>
      <c r="R212">
        <f>IF('исходные данные'!R212&gt;'минимумы и максимумы'!P$10,100,('исходные данные'!R212-'минимумы и максимумы'!P$9)/('минимумы и максимумы'!P$10-'минимумы и максимумы'!P$9)*100)</f>
        <v>25</v>
      </c>
      <c r="S212">
        <f>IF('исходные данные'!S212&gt;'минимумы и максимумы'!Q$10,100,('исходные данные'!S212-'минимумы и максимумы'!Q$9)/('минимумы и максимумы'!Q$10-'минимумы и максимумы'!Q$9)*100)</f>
        <v>16.666666666666664</v>
      </c>
      <c r="T212">
        <f>IF('исходные данные'!T212&gt;'минимумы и максимумы'!R$10,100,('исходные данные'!T212-'минимумы и максимумы'!R$9)/('минимумы и максимумы'!R$10-'минимумы и максимумы'!R$9)*100)</f>
        <v>10.960874568469507</v>
      </c>
      <c r="U212">
        <f>IF('исходные данные'!U212&gt;'минимумы и максимумы'!S$10,100,('исходные данные'!U212-'минимумы и максимумы'!S$9)/('минимумы и максимумы'!S$10-'минимумы и максимумы'!S$9)*100)</f>
        <v>0</v>
      </c>
    </row>
    <row r="213" spans="1:21" x14ac:dyDescent="0.45">
      <c r="A213" s="4">
        <v>300</v>
      </c>
      <c r="B213" s="4">
        <v>0</v>
      </c>
      <c r="C213" s="4">
        <v>0</v>
      </c>
      <c r="D213">
        <f>IF('исходные данные'!D213&gt;'минимумы и максимумы'!B$10,100,('исходные данные'!D213-'минимумы и максимумы'!B$9)/('минимумы и максимумы'!B$10-'минимумы и максимумы'!B$9)*100)</f>
        <v>22.222222222222221</v>
      </c>
      <c r="E213">
        <f>IF('исходные данные'!E213&gt;'минимумы и максимумы'!C$10,100,('исходные данные'!E213-'минимумы и максимумы'!C$9)/('минимумы и максимумы'!C$10-'минимумы и максимумы'!C$9)*100)</f>
        <v>30</v>
      </c>
      <c r="F213">
        <f>IF('исходные данные'!F213&gt;'минимумы и максимумы'!D$10,100,('исходные данные'!F213-'минимумы и максимумы'!D$9)/('минимумы и максимумы'!D$10-'минимумы и максимумы'!D$9)*100)</f>
        <v>0</v>
      </c>
      <c r="G213">
        <f>IF('исходные данные'!G213&gt;'минимумы и максимумы'!E$10,100,('исходные данные'!G213-'минимумы и максимумы'!E$9)/('минимумы и максимумы'!E$10-'минимумы и максимумы'!E$9)*100)</f>
        <v>4.1666666666666661</v>
      </c>
      <c r="H213">
        <f>IF('исходные данные'!H213&gt;'минимумы и максимумы'!F$10,100,('исходные данные'!H213-'минимумы и максимумы'!F$9)/('минимумы и максимумы'!F$10-'минимумы и максимумы'!F$9)*100)</f>
        <v>10.344827586206897</v>
      </c>
      <c r="I213">
        <f>IF('исходные данные'!I213&gt;'минимумы и максимумы'!G$10,100,('исходные данные'!I213-'минимумы и максимумы'!G$9)/('минимумы и максимумы'!G$10-'минимумы и максимумы'!G$9)*100)</f>
        <v>3.7735849056603774</v>
      </c>
      <c r="J213">
        <f>IF('исходные данные'!J213&gt;'минимумы и максимумы'!H$10,100,('исходные данные'!J213-'минимумы и максимумы'!H$9)/('минимумы и максимумы'!H$10-'минимумы и максимумы'!H$9)*100)</f>
        <v>0</v>
      </c>
      <c r="K213">
        <f>IF('исходные данные'!K213&gt;'минимумы и максимумы'!I$10,100,('исходные данные'!K213-'минимумы и максимумы'!I$9)/('минимумы и максимумы'!I$10-'минимумы и максимумы'!I$9)*100)</f>
        <v>50</v>
      </c>
      <c r="L213">
        <f>IF('исходные данные'!L213&gt;'минимумы и максимумы'!J$10,100,('исходные данные'!L213-'минимумы и максимумы'!J$9)/('минимумы и максимумы'!J$10-'минимумы и максимумы'!J$9)*100)</f>
        <v>0</v>
      </c>
      <c r="M213">
        <f>IF('исходные данные'!M213&gt;'минимумы и максимумы'!K$10,100,('исходные данные'!M213-'минимумы и максимумы'!K$9)/('минимумы и максимумы'!K$10-'минимумы и максимумы'!K$9)*100)</f>
        <v>39.285714285714285</v>
      </c>
      <c r="N213">
        <f>IF('исходные данные'!N213&gt;'минимумы и максимумы'!L$10,100,('исходные данные'!N213-'минимумы и максимумы'!L$9)/('минимумы и максимумы'!L$10-'минимумы и максимумы'!L$9)*100)</f>
        <v>27.155751683946161</v>
      </c>
      <c r="O213">
        <f>IF('исходные данные'!O213&gt;'минимумы и максимумы'!M$10,100,('исходные данные'!O213-'минимумы и максимумы'!M$9)/('минимумы и максимумы'!M$10-'минимумы и максимумы'!M$9)*100)</f>
        <v>33.333333333333329</v>
      </c>
      <c r="P213">
        <f>IF('исходные данные'!P213&gt;'минимумы и максимумы'!N$10,100,('исходные данные'!P213-'минимумы и максимумы'!N$9)/('минимумы и максимумы'!N$10-'минимумы и максимумы'!N$9)*100)</f>
        <v>0</v>
      </c>
      <c r="Q213">
        <f>IF('исходные данные'!Q213&gt;'минимумы и максимумы'!O$10,100,('исходные данные'!Q213-'минимумы и максимумы'!O$9)/('минимумы и максимумы'!O$10-'минимумы и максимумы'!O$9)*100)</f>
        <v>100</v>
      </c>
      <c r="R213">
        <f>IF('исходные данные'!R213&gt;'минимумы и максимумы'!P$10,100,('исходные данные'!R213-'минимумы и максимумы'!P$9)/('минимумы и максимумы'!P$10-'минимумы и максимумы'!P$9)*100)</f>
        <v>25</v>
      </c>
      <c r="S213">
        <f>IF('исходные данные'!S213&gt;'минимумы и максимумы'!Q$10,100,('исходные данные'!S213-'минимумы и максимумы'!Q$9)/('минимумы и максимумы'!Q$10-'минимумы и максимумы'!Q$9)*100)</f>
        <v>33.333333333333329</v>
      </c>
      <c r="T213">
        <f>IF('исходные данные'!T213&gt;'минимумы и максимумы'!R$10,100,('исходные данные'!T213-'минимумы и максимумы'!R$9)/('минимумы и максимумы'!R$10-'минимумы и максимумы'!R$9)*100)</f>
        <v>25.143843498273878</v>
      </c>
      <c r="U213">
        <f>IF('исходные данные'!U213&gt;'минимумы и максимумы'!S$10,100,('исходные данные'!U213-'минимумы и максимумы'!S$9)/('минимумы и максимумы'!S$10-'минимумы и максимумы'!S$9)*100)</f>
        <v>100</v>
      </c>
    </row>
    <row r="214" spans="1:21" x14ac:dyDescent="0.45">
      <c r="A214" s="4">
        <v>301</v>
      </c>
      <c r="B214" s="4">
        <v>0</v>
      </c>
      <c r="C214" s="4">
        <v>0</v>
      </c>
      <c r="D214">
        <f>IF('исходные данные'!D214&gt;'минимумы и максимумы'!B$10,100,('исходные данные'!D214-'минимумы и максимумы'!B$9)/('минимумы и максимумы'!B$10-'минимумы и максимумы'!B$9)*100)</f>
        <v>11.111111111111111</v>
      </c>
      <c r="E214">
        <f>IF('исходные данные'!E214&gt;'минимумы и максимумы'!C$10,100,('исходные данные'!E214-'минимумы и максимумы'!C$9)/('минимумы и максимумы'!C$10-'минимумы и максимумы'!C$9)*100)</f>
        <v>20</v>
      </c>
      <c r="F214">
        <f>IF('исходные данные'!F214&gt;'минимумы и максимумы'!D$10,100,('исходные данные'!F214-'минимумы и максимумы'!D$9)/('минимумы и максимумы'!D$10-'минимумы и максимумы'!D$9)*100)</f>
        <v>33.333333333333329</v>
      </c>
      <c r="G214">
        <f>IF('исходные данные'!G214&gt;'минимумы и максимумы'!E$10,100,('исходные данные'!G214-'минимумы и максимумы'!E$9)/('минимумы и максимумы'!E$10-'минимумы и максимумы'!E$9)*100)</f>
        <v>12.5</v>
      </c>
      <c r="H214">
        <f>IF('исходные данные'!H214&gt;'минимумы и максимумы'!F$10,100,('исходные данные'!H214-'минимумы и максимумы'!F$9)/('минимумы и максимумы'!F$10-'минимумы и максимумы'!F$9)*100)</f>
        <v>3.4482758620689653</v>
      </c>
      <c r="I214">
        <f>IF('исходные данные'!I214&gt;'минимумы и максимумы'!G$10,100,('исходные данные'!I214-'минимумы и максимумы'!G$9)/('минимумы и максимумы'!G$10-'минимумы и максимумы'!G$9)*100)</f>
        <v>20.754716981132077</v>
      </c>
      <c r="J214">
        <f>IF('исходные данные'!J214&gt;'минимумы и максимумы'!H$10,100,('исходные данные'!J214-'минимумы и максимумы'!H$9)/('минимумы и максимумы'!H$10-'минимумы и максимумы'!H$9)*100)</f>
        <v>0</v>
      </c>
      <c r="K214">
        <f>IF('исходные данные'!K214&gt;'минимумы и максимумы'!I$10,100,('исходные данные'!K214-'минимумы и максимумы'!I$9)/('минимумы и максимумы'!I$10-'минимумы и максимумы'!I$9)*100)</f>
        <v>16.666666666666664</v>
      </c>
      <c r="L214">
        <f>IF('исходные данные'!L214&gt;'минимумы и максимумы'!J$10,100,('исходные данные'!L214-'минимумы и максимумы'!J$9)/('минимумы и максимумы'!J$10-'минимумы и максимумы'!J$9)*100)</f>
        <v>0</v>
      </c>
      <c r="M214">
        <f>IF('исходные данные'!M214&gt;'минимумы и максимумы'!K$10,100,('исходные данные'!M214-'минимумы и максимумы'!K$9)/('минимумы и максимумы'!K$10-'минимумы и максимумы'!K$9)*100)</f>
        <v>53.571428571428569</v>
      </c>
      <c r="N214">
        <f>IF('исходные данные'!N214&gt;'минимумы и максимумы'!L$10,100,('исходные данные'!N214-'минимумы и максимумы'!L$9)/('минимумы и максимумы'!L$10-'минимумы и максимумы'!L$9)*100)</f>
        <v>27.414405032046641</v>
      </c>
      <c r="O214">
        <f>IF('исходные данные'!O214&gt;'минимумы и максимумы'!M$10,100,('исходные данные'!O214-'минимумы и максимумы'!M$9)/('минимумы и максимумы'!M$10-'минимумы и максимумы'!M$9)*100)</f>
        <v>100</v>
      </c>
      <c r="P214">
        <f>IF('исходные данные'!P214&gt;'минимумы и максимумы'!N$10,100,('исходные данные'!P214-'минимумы и максимумы'!N$9)/('минимумы и максимумы'!N$10-'минимумы и максимумы'!N$9)*100)</f>
        <v>0</v>
      </c>
      <c r="Q214">
        <f>IF('исходные данные'!Q214&gt;'минимумы и максимумы'!O$10,100,('исходные данные'!Q214-'минимумы и максимумы'!O$9)/('минимумы и максимумы'!O$10-'минимумы и максимумы'!O$9)*100)</f>
        <v>100</v>
      </c>
      <c r="R214">
        <f>IF('исходные данные'!R214&gt;'минимумы и максимумы'!P$10,100,('исходные данные'!R214-'минимумы и максимумы'!P$9)/('минимумы и максимумы'!P$10-'минимумы и максимумы'!P$9)*100)</f>
        <v>75</v>
      </c>
      <c r="S214">
        <f>IF('исходные данные'!S214&gt;'минимумы и максимумы'!Q$10,100,('исходные данные'!S214-'минимумы и максимумы'!Q$9)/('минимумы и максимумы'!Q$10-'минимумы и максимумы'!Q$9)*100)</f>
        <v>83.333333333333343</v>
      </c>
      <c r="T214">
        <f>IF('исходные данные'!T214&gt;'минимумы и максимумы'!R$10,100,('исходные данные'!T214-'минимумы и максимумы'!R$9)/('минимумы и максимумы'!R$10-'минимумы и максимумы'!R$9)*100)</f>
        <v>20.512082853855006</v>
      </c>
      <c r="U214">
        <f>IF('исходные данные'!U214&gt;'минимумы и максимумы'!S$10,100,('исходные данные'!U214-'минимумы и максимумы'!S$9)/('минимумы и максимумы'!S$10-'минимумы и максимумы'!S$9)*100)</f>
        <v>0</v>
      </c>
    </row>
    <row r="215" spans="1:21" x14ac:dyDescent="0.45">
      <c r="A215" s="4">
        <v>302</v>
      </c>
      <c r="B215" s="4">
        <v>0</v>
      </c>
      <c r="C215" s="4">
        <v>0</v>
      </c>
      <c r="D215">
        <f>IF('исходные данные'!D215&gt;'минимумы и максимумы'!B$10,100,('исходные данные'!D215-'минимумы и максимумы'!B$9)/('минимумы и максимумы'!B$10-'минимумы и максимумы'!B$9)*100)</f>
        <v>33.333333333333329</v>
      </c>
      <c r="E215">
        <f>IF('исходные данные'!E215&gt;'минимумы и максимумы'!C$10,100,('исходные данные'!E215-'минимумы и максимумы'!C$9)/('минимумы и максимумы'!C$10-'минимумы и максимумы'!C$9)*100)</f>
        <v>40</v>
      </c>
      <c r="F215">
        <f>IF('исходные данные'!F215&gt;'минимумы и максимумы'!D$10,100,('исходные данные'!F215-'минимумы и максимумы'!D$9)/('минимумы и максимумы'!D$10-'минимумы и максимумы'!D$9)*100)</f>
        <v>0</v>
      </c>
      <c r="G215">
        <f>IF('исходные данные'!G215&gt;'минимумы и максимумы'!E$10,100,('исходные данные'!G215-'минимумы и максимумы'!E$9)/('минимумы и максимумы'!E$10-'минимумы и максимумы'!E$9)*100)</f>
        <v>25</v>
      </c>
      <c r="H215">
        <f>IF('исходные данные'!H215&gt;'минимумы и максимумы'!F$10,100,('исходные данные'!H215-'минимумы и максимумы'!F$9)/('минимумы и максимумы'!F$10-'минимумы и максимумы'!F$9)*100)</f>
        <v>31.03448275862069</v>
      </c>
      <c r="I215">
        <f>IF('исходные данные'!I215&gt;'минимумы и максимумы'!G$10,100,('исходные данные'!I215-'минимумы и максимумы'!G$9)/('минимумы и максимумы'!G$10-'минимумы и максимумы'!G$9)*100)</f>
        <v>13.20754716981132</v>
      </c>
      <c r="J215">
        <f>IF('исходные данные'!J215&gt;'минимумы и максимумы'!H$10,100,('исходные данные'!J215-'минимумы и максимумы'!H$9)/('минимумы и максимумы'!H$10-'минимумы и максимумы'!H$9)*100)</f>
        <v>0</v>
      </c>
      <c r="K215">
        <f>IF('исходные данные'!K215&gt;'минимумы и максимумы'!I$10,100,('исходные данные'!K215-'минимумы и максимумы'!I$9)/('минимумы и максимумы'!I$10-'минимумы и максимумы'!I$9)*100)</f>
        <v>66.666666666666657</v>
      </c>
      <c r="L215">
        <f>IF('исходные данные'!L215&gt;'минимумы и максимумы'!J$10,100,('исходные данные'!L215-'минимумы и максимумы'!J$9)/('минимумы и максимумы'!J$10-'минимумы и максимумы'!J$9)*100)</f>
        <v>0</v>
      </c>
      <c r="M215">
        <f>IF('исходные данные'!M215&gt;'минимумы и максимумы'!K$10,100,('исходные данные'!M215-'минимумы и максимумы'!K$9)/('минимумы и максимумы'!K$10-'минимумы и максимумы'!K$9)*100)</f>
        <v>50</v>
      </c>
      <c r="N215">
        <f>IF('исходные данные'!N215&gt;'минимумы и максимумы'!L$10,100,('исходные данные'!N215-'минимумы и максимумы'!L$9)/('минимумы и максимумы'!L$10-'минимумы и максимумы'!L$9)*100)</f>
        <v>28.021893314063711</v>
      </c>
      <c r="O215">
        <f>IF('исходные данные'!O215&gt;'минимумы и максимумы'!M$10,100,('исходные данные'!O215-'минимумы и максимумы'!M$9)/('минимумы и максимумы'!M$10-'минимумы и максимумы'!M$9)*100)</f>
        <v>66.666666666666657</v>
      </c>
      <c r="P215">
        <f>IF('исходные данные'!P215&gt;'минимумы и максимумы'!N$10,100,('исходные данные'!P215-'минимумы и максимумы'!N$9)/('минимумы и максимумы'!N$10-'минимумы и максимумы'!N$9)*100)</f>
        <v>0</v>
      </c>
      <c r="Q215">
        <f>IF('исходные данные'!Q215&gt;'минимумы и максимумы'!O$10,100,('исходные данные'!Q215-'минимумы и максимумы'!O$9)/('минимумы и максимумы'!O$10-'минимумы и максимумы'!O$9)*100)</f>
        <v>100</v>
      </c>
      <c r="R215">
        <f>IF('исходные данные'!R215&gt;'минимумы и максимумы'!P$10,100,('исходные данные'!R215-'минимумы и максимумы'!P$9)/('минимумы и максимумы'!P$10-'минимумы и максимумы'!P$9)*100)</f>
        <v>75</v>
      </c>
      <c r="S215">
        <f>IF('исходные данные'!S215&gt;'минимумы и максимумы'!Q$10,100,('исходные данные'!S215-'минимумы и максимумы'!Q$9)/('минимумы и максимумы'!Q$10-'минимумы и максимумы'!Q$9)*100)</f>
        <v>66.666666666666657</v>
      </c>
      <c r="T215">
        <f>IF('исходные данные'!T215&gt;'минимумы и максимумы'!R$10,100,('исходные данные'!T215-'минимумы и максимумы'!R$9)/('минимумы и максимумы'!R$10-'минимумы и максимумы'!R$9)*100)</f>
        <v>25.20138089758343</v>
      </c>
      <c r="U215">
        <f>IF('исходные данные'!U215&gt;'минимумы и максимумы'!S$10,100,('исходные данные'!U215-'минимумы и максимумы'!S$9)/('минимумы и максимумы'!S$10-'минимумы и максимумы'!S$9)*100)</f>
        <v>66.666666666666657</v>
      </c>
    </row>
    <row r="216" spans="1:21" x14ac:dyDescent="0.45">
      <c r="A216" s="4">
        <v>303</v>
      </c>
      <c r="B216" s="4">
        <v>0</v>
      </c>
      <c r="C216" s="4">
        <v>0</v>
      </c>
      <c r="D216">
        <f>IF('исходные данные'!D216&gt;'минимумы и максимумы'!B$10,100,('исходные данные'!D216-'минимумы и максимумы'!B$9)/('минимумы и максимумы'!B$10-'минимумы и максимумы'!B$9)*100)</f>
        <v>0</v>
      </c>
      <c r="E216">
        <f>IF('исходные данные'!E216&gt;'минимумы и максимумы'!C$10,100,('исходные данные'!E216-'минимумы и максимумы'!C$9)/('минимумы и максимумы'!C$10-'минимумы и максимумы'!C$9)*100)</f>
        <v>0</v>
      </c>
      <c r="F216">
        <f>IF('исходные данные'!F216&gt;'минимумы и максимумы'!D$10,100,('исходные данные'!F216-'минимумы и максимумы'!D$9)/('минимумы и максимумы'!D$10-'минимумы и максимумы'!D$9)*100)</f>
        <v>0</v>
      </c>
      <c r="G216">
        <f>IF('исходные данные'!G216&gt;'минимумы и максимумы'!E$10,100,('исходные данные'!G216-'минимумы и максимумы'!E$9)/('минимумы и максимумы'!E$10-'минимумы и максимумы'!E$9)*100)</f>
        <v>0</v>
      </c>
      <c r="H216">
        <f>IF('исходные данные'!H216&gt;'минимумы и максимумы'!F$10,100,('исходные данные'!H216-'минимумы и максимумы'!F$9)/('минимумы и максимумы'!F$10-'минимумы и максимумы'!F$9)*100)</f>
        <v>0</v>
      </c>
      <c r="I216">
        <f>IF('исходные данные'!I216&gt;'минимумы и максимумы'!G$10,100,('исходные данные'!I216-'минимумы и максимумы'!G$9)/('минимумы и максимумы'!G$10-'минимумы и максимумы'!G$9)*100)</f>
        <v>5.6603773584905666</v>
      </c>
      <c r="J216">
        <f>IF('исходные данные'!J216&gt;'минимумы и максимумы'!H$10,100,('исходные данные'!J216-'минимумы и максимумы'!H$9)/('минимумы и максимумы'!H$10-'минимумы и максимумы'!H$9)*100)</f>
        <v>0</v>
      </c>
      <c r="K216">
        <f>IF('исходные данные'!K216&gt;'минимумы и максимумы'!I$10,100,('исходные данные'!K216-'минимумы и максимумы'!I$9)/('минимумы и максимумы'!I$10-'минимумы и максимумы'!I$9)*100)</f>
        <v>27.777777777777779</v>
      </c>
      <c r="L216">
        <f>IF('исходные данные'!L216&gt;'минимумы и максимумы'!J$10,100,('исходные данные'!L216-'минимумы и максимумы'!J$9)/('минимумы и максимумы'!J$10-'минимумы и максимумы'!J$9)*100)</f>
        <v>0</v>
      </c>
      <c r="M216">
        <f>IF('исходные данные'!M216&gt;'минимумы и максимумы'!K$10,100,('исходные данные'!M216-'минимумы и максимумы'!K$9)/('минимумы и максимумы'!K$10-'минимумы и максимумы'!K$9)*100)</f>
        <v>35.714285714285715</v>
      </c>
      <c r="N216">
        <f>IF('исходные данные'!N216&gt;'минимумы и максимумы'!L$10,100,('исходные данные'!N216-'минимумы и максимумы'!L$9)/('минимумы и максимумы'!L$10-'минимумы и максимумы'!L$9)*100)</f>
        <v>19.185715494275538</v>
      </c>
      <c r="O216">
        <f>IF('исходные данные'!O216&gt;'минимумы и максимумы'!M$10,100,('исходные данные'!O216-'минимумы и максимумы'!M$9)/('минимумы и максимумы'!M$10-'минимумы и максимумы'!M$9)*100)</f>
        <v>66.666666666666657</v>
      </c>
      <c r="P216">
        <f>IF('исходные данные'!P216&gt;'минимумы и максимумы'!N$10,100,('исходные данные'!P216-'минимумы и максимумы'!N$9)/('минимумы и максимумы'!N$10-'минимумы и максимумы'!N$9)*100)</f>
        <v>0</v>
      </c>
      <c r="Q216">
        <f>IF('исходные данные'!Q216&gt;'минимумы и максимумы'!O$10,100,('исходные данные'!Q216-'минимумы и максимумы'!O$9)/('минимумы и максимумы'!O$10-'минимумы и максимумы'!O$9)*100)</f>
        <v>0</v>
      </c>
      <c r="R216">
        <f>IF('исходные данные'!R216&gt;'минимумы и максимумы'!P$10,100,('исходные данные'!R216-'минимумы и максимумы'!P$9)/('минимумы и максимумы'!P$10-'минимумы и максимумы'!P$9)*100)</f>
        <v>25</v>
      </c>
      <c r="S216">
        <f>IF('исходные данные'!S216&gt;'минимумы и максимумы'!Q$10,100,('исходные данные'!S216-'минимумы и максимумы'!Q$9)/('минимумы и максимумы'!Q$10-'минимумы и максимумы'!Q$9)*100)</f>
        <v>16.666666666666664</v>
      </c>
      <c r="T216">
        <f>IF('исходные данные'!T216&gt;'минимумы и максимумы'!R$10,100,('исходные данные'!T216-'минимумы и максимумы'!R$9)/('минимумы и максимумы'!R$10-'минимумы и максимумы'!R$9)*100)</f>
        <v>11.507479861910241</v>
      </c>
      <c r="U216">
        <f>IF('исходные данные'!U216&gt;'минимумы и максимумы'!S$10,100,('исходные данные'!U216-'минимумы и максимумы'!S$9)/('минимумы и максимумы'!S$10-'минимумы и максимумы'!S$9)*100)</f>
        <v>100</v>
      </c>
    </row>
    <row r="217" spans="1:21" x14ac:dyDescent="0.45">
      <c r="A217" s="4">
        <v>304</v>
      </c>
      <c r="B217" s="4">
        <v>1</v>
      </c>
      <c r="C217" s="4">
        <v>0</v>
      </c>
      <c r="D217">
        <f>IF('исходные данные'!D217&gt;'минимумы и максимумы'!B$10,100,('исходные данные'!D217-'минимумы и максимумы'!B$9)/('минимумы и максимумы'!B$10-'минимумы и максимумы'!B$9)*100)</f>
        <v>0</v>
      </c>
      <c r="E217">
        <f>IF('исходные данные'!E217&gt;'минимумы и максимумы'!C$10,100,('исходные данные'!E217-'минимумы и максимумы'!C$9)/('минимумы и максимумы'!C$10-'минимумы и максимумы'!C$9)*100)</f>
        <v>0</v>
      </c>
      <c r="F217">
        <f>IF('исходные данные'!F217&gt;'минимумы и максимумы'!D$10,100,('исходные данные'!F217-'минимумы и максимумы'!D$9)/('минимумы и максимумы'!D$10-'минимумы и максимумы'!D$9)*100)</f>
        <v>0</v>
      </c>
      <c r="G217">
        <f>IF('исходные данные'!G217&gt;'минимумы и максимумы'!E$10,100,('исходные данные'!G217-'минимумы и максимумы'!E$9)/('минимумы и максимумы'!E$10-'минимумы и максимумы'!E$9)*100)</f>
        <v>8.3333333333333321</v>
      </c>
      <c r="H217">
        <f>IF('исходные данные'!H217&gt;'минимумы и максимумы'!F$10,100,('исходные данные'!H217-'минимумы и максимумы'!F$9)/('минимумы и максимумы'!F$10-'минимумы и максимумы'!F$9)*100)</f>
        <v>0</v>
      </c>
      <c r="I217">
        <f>IF('исходные данные'!I217&gt;'минимумы и максимумы'!G$10,100,('исходные данные'!I217-'минимумы и максимумы'!G$9)/('минимумы и максимумы'!G$10-'минимумы и максимумы'!G$9)*100)</f>
        <v>11.320754716981133</v>
      </c>
      <c r="J217">
        <f>IF('исходные данные'!J217&gt;'минимумы и максимумы'!H$10,100,('исходные данные'!J217-'минимумы и максимумы'!H$9)/('минимумы и максимумы'!H$10-'минимумы и максимумы'!H$9)*100)</f>
        <v>0</v>
      </c>
      <c r="K217">
        <f>IF('исходные данные'!K217&gt;'минимумы и максимумы'!I$10,100,('исходные данные'!K217-'минимумы и максимумы'!I$9)/('минимумы и максимумы'!I$10-'минимумы и максимумы'!I$9)*100)</f>
        <v>16.666666666666664</v>
      </c>
      <c r="L217">
        <f>IF('исходные данные'!L217&gt;'минимумы и максимумы'!J$10,100,('исходные данные'!L217-'минимумы и максимумы'!J$9)/('минимумы и максимумы'!J$10-'минимумы и максимумы'!J$9)*100)</f>
        <v>0</v>
      </c>
      <c r="M217">
        <f>IF('исходные данные'!M217&gt;'минимумы и максимумы'!K$10,100,('исходные данные'!M217-'минимумы и максимумы'!K$9)/('минимумы и максимумы'!K$10-'минимумы и максимумы'!K$9)*100)</f>
        <v>32.142857142857146</v>
      </c>
      <c r="N217">
        <f>IF('исходные данные'!N217&gt;'минимумы и максимумы'!L$10,100,('исходные данные'!N217-'минимумы и максимумы'!L$9)/('минимумы и максимумы'!L$10-'минимумы и максимумы'!L$9)*100)</f>
        <v>21.686006987975396</v>
      </c>
      <c r="O217">
        <f>IF('исходные данные'!O217&gt;'минимумы и максимумы'!M$10,100,('исходные данные'!O217-'минимумы и максимумы'!M$9)/('минимумы и максимумы'!M$10-'минимумы и максимумы'!M$9)*100)</f>
        <v>0</v>
      </c>
      <c r="P217">
        <f>IF('исходные данные'!P217&gt;'минимумы и максимумы'!N$10,100,('исходные данные'!P217-'минимумы и максимумы'!N$9)/('минимумы и максимумы'!N$10-'минимумы и максимумы'!N$9)*100)</f>
        <v>0</v>
      </c>
      <c r="Q217">
        <f>IF('исходные данные'!Q217&gt;'минимумы и максимумы'!O$10,100,('исходные данные'!Q217-'минимумы и максимумы'!O$9)/('минимумы и максимумы'!O$10-'минимумы и максимумы'!O$9)*100)</f>
        <v>0</v>
      </c>
      <c r="R217">
        <f>IF('исходные данные'!R217&gt;'минимумы и максимумы'!P$10,100,('исходные данные'!R217-'минимумы и максимумы'!P$9)/('минимумы и максимумы'!P$10-'минимумы и максимумы'!P$9)*100)</f>
        <v>25</v>
      </c>
      <c r="S217">
        <f>IF('исходные данные'!S217&gt;'минимумы и максимумы'!Q$10,100,('исходные данные'!S217-'минимумы и максимумы'!Q$9)/('минимумы и максимумы'!Q$10-'минимумы и максимумы'!Q$9)*100)</f>
        <v>16.666666666666664</v>
      </c>
      <c r="T217">
        <f>IF('исходные данные'!T217&gt;'минимумы и максимумы'!R$10,100,('исходные данные'!T217-'минимумы и максимумы'!R$9)/('минимумы и максимумы'!R$10-'минимумы и максимумы'!R$9)*100)</f>
        <v>11.881472957422325</v>
      </c>
      <c r="U217">
        <f>IF('исходные данные'!U217&gt;'минимумы и максимумы'!S$10,100,('исходные данные'!U217-'минимумы и максимумы'!S$9)/('минимумы и максимумы'!S$10-'минимумы и максимумы'!S$9)*100)</f>
        <v>0</v>
      </c>
    </row>
    <row r="218" spans="1:21" x14ac:dyDescent="0.45">
      <c r="A218" s="4">
        <v>305</v>
      </c>
      <c r="B218" s="4">
        <v>0</v>
      </c>
      <c r="C218" s="4">
        <v>1</v>
      </c>
      <c r="D218">
        <f>IF('исходные данные'!D218&gt;'минимумы и максимумы'!B$10,100,('исходные данные'!D218-'минимумы и максимумы'!B$9)/('минимумы и максимумы'!B$10-'минимумы и максимумы'!B$9)*100)</f>
        <v>0</v>
      </c>
      <c r="E218">
        <f>IF('исходные данные'!E218&gt;'минимумы и максимумы'!C$10,100,('исходные данные'!E218-'минимумы и максимумы'!C$9)/('минимумы и максимумы'!C$10-'минимумы и максимумы'!C$9)*100)</f>
        <v>0</v>
      </c>
      <c r="F218">
        <f>IF('исходные данные'!F218&gt;'минимумы и максимумы'!D$10,100,('исходные данные'!F218-'минимумы и максимумы'!D$9)/('минимумы и максимумы'!D$10-'минимумы и максимумы'!D$9)*100)</f>
        <v>33.333333333333329</v>
      </c>
      <c r="G218">
        <f>IF('исходные данные'!G218&gt;'минимумы и максимумы'!E$10,100,('исходные данные'!G218-'минимумы и максимумы'!E$9)/('минимумы и максимумы'!E$10-'минимумы и максимумы'!E$9)*100)</f>
        <v>4.1666666666666661</v>
      </c>
      <c r="H218">
        <f>IF('исходные данные'!H218&gt;'минимумы и максимумы'!F$10,100,('исходные данные'!H218-'минимумы и максимумы'!F$9)/('минимумы и максимумы'!F$10-'минимумы и максимумы'!F$9)*100)</f>
        <v>6.8965517241379306</v>
      </c>
      <c r="I218">
        <f>IF('исходные данные'!I218&gt;'минимумы и максимумы'!G$10,100,('исходные данные'!I218-'минимумы и максимумы'!G$9)/('минимумы и максимумы'!G$10-'минимумы и максимумы'!G$9)*100)</f>
        <v>9.433962264150944</v>
      </c>
      <c r="J218">
        <f>IF('исходные данные'!J218&gt;'минимумы и максимумы'!H$10,100,('исходные данные'!J218-'минимумы и максимумы'!H$9)/('минимумы и максимумы'!H$10-'минимумы и максимумы'!H$9)*100)</f>
        <v>0</v>
      </c>
      <c r="K218">
        <f>IF('исходные данные'!K218&gt;'минимумы и максимумы'!I$10,100,('исходные данные'!K218-'минимумы и максимумы'!I$9)/('минимумы и максимумы'!I$10-'минимумы и максимумы'!I$9)*100)</f>
        <v>27.777777777777779</v>
      </c>
      <c r="L218">
        <f>IF('исходные данные'!L218&gt;'минимумы и максимумы'!J$10,100,('исходные данные'!L218-'минимумы и максимумы'!J$9)/('минимумы и максимумы'!J$10-'минимумы и максимумы'!J$9)*100)</f>
        <v>14.285714285714285</v>
      </c>
      <c r="M218">
        <f>IF('исходные данные'!M218&gt;'минимумы и максимумы'!K$10,100,('исходные данные'!M218-'минимумы и максимумы'!K$9)/('минимумы и максимумы'!K$10-'минимумы и максимумы'!K$9)*100)</f>
        <v>42.857142857142854</v>
      </c>
      <c r="N218">
        <f>IF('исходные данные'!N218&gt;'минимумы и максимумы'!L$10,100,('исходные данные'!N218-'минимумы и максимумы'!L$9)/('минимумы и максимумы'!L$10-'минимумы и максимумы'!L$9)*100)</f>
        <v>24.196273186033984</v>
      </c>
      <c r="O218">
        <f>IF('исходные данные'!O218&gt;'минимумы и максимумы'!M$10,100,('исходные данные'!O218-'минимумы и максимумы'!M$9)/('минимумы и максимумы'!M$10-'минимумы и максимумы'!M$9)*100)</f>
        <v>0</v>
      </c>
      <c r="P218">
        <f>IF('исходные данные'!P218&gt;'минимумы и максимумы'!N$10,100,('исходные данные'!P218-'минимумы и максимумы'!N$9)/('минимумы и максимумы'!N$10-'минимумы и максимумы'!N$9)*100)</f>
        <v>0</v>
      </c>
      <c r="Q218">
        <f>IF('исходные данные'!Q218&gt;'минимумы и максимумы'!O$10,100,('исходные данные'!Q218-'минимумы и максимумы'!O$9)/('минимумы и максимумы'!O$10-'минимумы и максимумы'!O$9)*100)</f>
        <v>0</v>
      </c>
      <c r="R218">
        <f>IF('исходные данные'!R218&gt;'минимумы и максимумы'!P$10,100,('исходные данные'!R218-'минимумы и максимумы'!P$9)/('минимумы и максимумы'!P$10-'минимумы и максимумы'!P$9)*100)</f>
        <v>25</v>
      </c>
      <c r="S218">
        <f>IF('исходные данные'!S218&gt;'минимумы и максимумы'!Q$10,100,('исходные данные'!S218-'минимумы и максимумы'!Q$9)/('минимумы и максимумы'!Q$10-'минимумы и максимумы'!Q$9)*100)</f>
        <v>16.666666666666664</v>
      </c>
      <c r="T218">
        <f>IF('исходные данные'!T218&gt;'минимумы и максимумы'!R$10,100,('исходные данные'!T218-'минимумы и максимумы'!R$9)/('минимумы и максимумы'!R$10-'минимумы и максимумы'!R$9)*100)</f>
        <v>11.363636363636363</v>
      </c>
      <c r="U218">
        <f>IF('исходные данные'!U218&gt;'минимумы и максимумы'!S$10,100,('исходные данные'!U218-'минимумы и максимумы'!S$9)/('минимумы и максимумы'!S$10-'минимумы и максимумы'!S$9)*100)</f>
        <v>0</v>
      </c>
    </row>
    <row r="219" spans="1:21" x14ac:dyDescent="0.45">
      <c r="A219" s="4">
        <v>306</v>
      </c>
      <c r="B219" s="4">
        <v>0</v>
      </c>
      <c r="C219" s="4">
        <v>0</v>
      </c>
      <c r="D219">
        <f>IF('исходные данные'!D219&gt;'минимумы и максимумы'!B$10,100,('исходные данные'!D219-'минимумы и максимумы'!B$9)/('минимумы и максимумы'!B$10-'минимумы и максимумы'!B$9)*100)</f>
        <v>0</v>
      </c>
      <c r="E219">
        <f>IF('исходные данные'!E219&gt;'минимумы и максимумы'!C$10,100,('исходные данные'!E219-'минимумы и максимумы'!C$9)/('минимумы и максимумы'!C$10-'минимумы и максимумы'!C$9)*100)</f>
        <v>10</v>
      </c>
      <c r="F219">
        <f>IF('исходные данные'!F219&gt;'минимумы и максимумы'!D$10,100,('исходные данные'!F219-'минимумы и максимумы'!D$9)/('минимумы и максимумы'!D$10-'минимумы и максимумы'!D$9)*100)</f>
        <v>0</v>
      </c>
      <c r="G219">
        <f>IF('исходные данные'!G219&gt;'минимумы и максимумы'!E$10,100,('исходные данные'!G219-'минимумы и максимумы'!E$9)/('минимумы и максимумы'!E$10-'минимумы и максимумы'!E$9)*100)</f>
        <v>29.166666666666668</v>
      </c>
      <c r="H219">
        <f>IF('исходные данные'!H219&gt;'минимумы и максимумы'!F$10,100,('исходные данные'!H219-'минимумы и максимумы'!F$9)/('минимумы и максимумы'!F$10-'минимумы и максимумы'!F$9)*100)</f>
        <v>24.137931034482758</v>
      </c>
      <c r="I219">
        <f>IF('исходные данные'!I219&gt;'минимумы и максимумы'!G$10,100,('исходные данные'!I219-'минимумы и максимумы'!G$9)/('минимумы и максимумы'!G$10-'минимумы и максимумы'!G$9)*100)</f>
        <v>32.075471698113205</v>
      </c>
      <c r="J219">
        <f>IF('исходные данные'!J219&gt;'минимумы и максимумы'!H$10,100,('исходные данные'!J219-'минимумы и максимумы'!H$9)/('минимумы и максимумы'!H$10-'минимумы и максимумы'!H$9)*100)</f>
        <v>0</v>
      </c>
      <c r="K219">
        <f>IF('исходные данные'!K219&gt;'минимумы и максимумы'!I$10,100,('исходные данные'!K219-'минимумы и максимумы'!I$9)/('минимумы и максимумы'!I$10-'минимумы и максимумы'!I$9)*100)</f>
        <v>44.444444444444443</v>
      </c>
      <c r="L219">
        <f>IF('исходные данные'!L219&gt;'минимумы и максимумы'!J$10,100,('исходные данные'!L219-'минимумы и максимумы'!J$9)/('минимумы и максимумы'!J$10-'минимумы и максимумы'!J$9)*100)</f>
        <v>0</v>
      </c>
      <c r="M219">
        <f>IF('исходные данные'!M219&gt;'минимумы и максимумы'!K$10,100,('исходные данные'!M219-'минимумы и максимумы'!K$9)/('минимумы и максимумы'!K$10-'минимумы и максимумы'!K$9)*100)</f>
        <v>53.571428571428569</v>
      </c>
      <c r="N219">
        <f>IF('исходные данные'!N219&gt;'минимумы и максимумы'!L$10,100,('исходные данные'!N219-'минимумы и максимумы'!L$9)/('минимумы и максимумы'!L$10-'минимумы и максимумы'!L$9)*100)</f>
        <v>26.583145758497256</v>
      </c>
      <c r="O219">
        <f>IF('исходные данные'!O219&gt;'минимумы и максимумы'!M$10,100,('исходные данные'!O219-'минимумы и максимумы'!M$9)/('минимумы и максимумы'!M$10-'минимумы и максимумы'!M$9)*100)</f>
        <v>0</v>
      </c>
      <c r="P219">
        <f>IF('исходные данные'!P219&gt;'минимумы и максимумы'!N$10,100,('исходные данные'!P219-'минимумы и максимумы'!N$9)/('минимумы и максимумы'!N$10-'минимумы и максимумы'!N$9)*100)</f>
        <v>100</v>
      </c>
      <c r="Q219">
        <f>IF('исходные данные'!Q219&gt;'минимумы и максимумы'!O$10,100,('исходные данные'!Q219-'минимумы и максимумы'!O$9)/('минимумы и максимумы'!O$10-'минимумы и максимумы'!O$9)*100)</f>
        <v>100</v>
      </c>
      <c r="R219">
        <f>IF('исходные данные'!R219&gt;'минимумы и максимумы'!P$10,100,('исходные данные'!R219-'минимумы и максимумы'!P$9)/('минимумы и максимумы'!P$10-'минимумы и максимумы'!P$9)*100)</f>
        <v>75</v>
      </c>
      <c r="S219">
        <f>IF('исходные данные'!S219&gt;'минимумы и максимумы'!Q$10,100,('исходные данные'!S219-'минимумы и максимумы'!Q$9)/('минимумы и максимумы'!Q$10-'минимумы и максимумы'!Q$9)*100)</f>
        <v>50</v>
      </c>
      <c r="T219">
        <f>IF('исходные данные'!T219&gt;'минимумы и максимумы'!R$10,100,('исходные данные'!T219-'минимумы и максимумы'!R$9)/('минимумы и максимумы'!R$10-'минимумы и максимумы'!R$9)*100)</f>
        <v>13.463751438434981</v>
      </c>
      <c r="U219">
        <f>IF('исходные данные'!U219&gt;'минимумы и максимумы'!S$10,100,('исходные данные'!U219-'минимумы и максимумы'!S$9)/('минимумы и максимумы'!S$10-'минимумы и максимумы'!S$9)*100)</f>
        <v>0</v>
      </c>
    </row>
    <row r="220" spans="1:21" x14ac:dyDescent="0.45">
      <c r="A220" s="4">
        <v>307</v>
      </c>
      <c r="B220" s="4">
        <v>0</v>
      </c>
      <c r="C220" s="4">
        <v>0</v>
      </c>
      <c r="D220">
        <f>IF('исходные данные'!D220&gt;'минимумы и максимумы'!B$10,100,('исходные данные'!D220-'минимумы и максимумы'!B$9)/('минимумы и максимумы'!B$10-'минимумы и максимумы'!B$9)*100)</f>
        <v>0</v>
      </c>
      <c r="E220">
        <f>IF('исходные данные'!E220&gt;'минимумы и максимумы'!C$10,100,('исходные данные'!E220-'минимумы и максимумы'!C$9)/('минимумы и максимумы'!C$10-'минимумы и максимумы'!C$9)*100)</f>
        <v>10</v>
      </c>
      <c r="F220">
        <f>IF('исходные данные'!F220&gt;'минимумы и максимумы'!D$10,100,('исходные данные'!F220-'минимумы и максимумы'!D$9)/('минимумы и максимумы'!D$10-'минимумы и максимумы'!D$9)*100)</f>
        <v>0</v>
      </c>
      <c r="G220">
        <f>IF('исходные данные'!G220&gt;'минимумы и максимумы'!E$10,100,('исходные данные'!G220-'минимумы и максимумы'!E$9)/('минимумы и максимумы'!E$10-'минимумы и максимумы'!E$9)*100)</f>
        <v>29.166666666666668</v>
      </c>
      <c r="H220">
        <f>IF('исходные данные'!H220&gt;'минимумы и максимумы'!F$10,100,('исходные данные'!H220-'минимумы и максимумы'!F$9)/('минимумы и максимумы'!F$10-'минимумы и максимумы'!F$9)*100)</f>
        <v>24.137931034482758</v>
      </c>
      <c r="I220">
        <f>IF('исходные данные'!I220&gt;'минимумы и максимумы'!G$10,100,('исходные данные'!I220-'минимумы и максимумы'!G$9)/('минимумы и максимумы'!G$10-'минимумы и максимумы'!G$9)*100)</f>
        <v>32.075471698113205</v>
      </c>
      <c r="J220">
        <f>IF('исходные данные'!J220&gt;'минимумы и максимумы'!H$10,100,('исходные данные'!J220-'минимумы и максимумы'!H$9)/('минимумы и максимумы'!H$10-'минимумы и максимумы'!H$9)*100)</f>
        <v>0</v>
      </c>
      <c r="K220">
        <f>IF('исходные данные'!K220&gt;'минимумы и максимумы'!I$10,100,('исходные данные'!K220-'минимумы и максимумы'!I$9)/('минимумы и максимумы'!I$10-'минимумы и максимумы'!I$9)*100)</f>
        <v>44.444444444444443</v>
      </c>
      <c r="L220">
        <f>IF('исходные данные'!L220&gt;'минимумы и максимумы'!J$10,100,('исходные данные'!L220-'минимумы и максимумы'!J$9)/('минимумы и максимумы'!J$10-'минимумы и максимумы'!J$9)*100)</f>
        <v>0</v>
      </c>
      <c r="M220">
        <f>IF('исходные данные'!M220&gt;'минимумы и максимумы'!K$10,100,('исходные данные'!M220-'минимумы и максимумы'!K$9)/('минимумы и максимумы'!K$10-'минимумы и максимумы'!K$9)*100)</f>
        <v>53.571428571428569</v>
      </c>
      <c r="N220">
        <f>IF('исходные данные'!N220&gt;'минимумы и максимумы'!L$10,100,('исходные данные'!N220-'минимумы и максимумы'!L$9)/('минимумы и максимумы'!L$10-'минимумы и максимумы'!L$9)*100)</f>
        <v>25.853062087139612</v>
      </c>
      <c r="O220">
        <f>IF('исходные данные'!O220&gt;'минимумы и максимумы'!M$10,100,('исходные данные'!O220-'минимумы и максимумы'!M$9)/('минимумы и максимумы'!M$10-'минимумы и максимумы'!M$9)*100)</f>
        <v>66.666666666666657</v>
      </c>
      <c r="P220">
        <f>IF('исходные данные'!P220&gt;'минимумы и максимумы'!N$10,100,('исходные данные'!P220-'минимумы и максимумы'!N$9)/('минимумы и максимумы'!N$10-'минимумы и максимумы'!N$9)*100)</f>
        <v>100</v>
      </c>
      <c r="Q220">
        <f>IF('исходные данные'!Q220&gt;'минимумы и максимумы'!O$10,100,('исходные данные'!Q220-'минимумы и максимумы'!O$9)/('минимумы и максимумы'!O$10-'минимумы и максимумы'!O$9)*100)</f>
        <v>100</v>
      </c>
      <c r="R220">
        <f>IF('исходные данные'!R220&gt;'минимумы и максимумы'!P$10,100,('исходные данные'!R220-'минимумы и максимумы'!P$9)/('минимумы и максимумы'!P$10-'минимумы и максимумы'!P$9)*100)</f>
        <v>75</v>
      </c>
      <c r="S220">
        <f>IF('исходные данные'!S220&gt;'минимумы и максимумы'!Q$10,100,('исходные данные'!S220-'минимумы и максимумы'!Q$9)/('минимумы и максимумы'!Q$10-'минимумы и максимумы'!Q$9)*100)</f>
        <v>83.333333333333343</v>
      </c>
      <c r="T220">
        <f>IF('исходные данные'!T220&gt;'минимумы и максимумы'!R$10,100,('исходные данные'!T220-'минимумы и максимумы'!R$9)/('минимумы и максимумы'!R$10-'минимумы и максимумы'!R$9)*100)</f>
        <v>42.894131185270425</v>
      </c>
      <c r="U220">
        <f>IF('исходные данные'!U220&gt;'минимумы и максимумы'!S$10,100,('исходные данные'!U220-'минимумы и максимумы'!S$9)/('минимумы и максимумы'!S$10-'минимумы и максимумы'!S$9)*100)</f>
        <v>33.333333333333329</v>
      </c>
    </row>
    <row r="221" spans="1:21" x14ac:dyDescent="0.45">
      <c r="A221" s="4">
        <v>308</v>
      </c>
      <c r="B221" s="4">
        <v>0</v>
      </c>
      <c r="C221" s="4">
        <v>0</v>
      </c>
      <c r="D221">
        <f>IF('исходные данные'!D221&gt;'минимумы и максимумы'!B$10,100,('исходные данные'!D221-'минимумы и максимумы'!B$9)/('минимумы и максимумы'!B$10-'минимумы и максимумы'!B$9)*100)</f>
        <v>0</v>
      </c>
      <c r="E221">
        <f>IF('исходные данные'!E221&gt;'минимумы и максимумы'!C$10,100,('исходные данные'!E221-'минимумы и максимумы'!C$9)/('минимумы и максимумы'!C$10-'минимумы и максимумы'!C$9)*100)</f>
        <v>0</v>
      </c>
      <c r="F221">
        <f>IF('исходные данные'!F221&gt;'минимумы и максимумы'!D$10,100,('исходные данные'!F221-'минимумы и максимумы'!D$9)/('минимумы и максимумы'!D$10-'минимумы и максимумы'!D$9)*100)</f>
        <v>0</v>
      </c>
      <c r="G221">
        <f>IF('исходные данные'!G221&gt;'минимумы и максимумы'!E$10,100,('исходные данные'!G221-'минимумы и максимумы'!E$9)/('минимумы и максимумы'!E$10-'минимумы и максимумы'!E$9)*100)</f>
        <v>0</v>
      </c>
      <c r="H221">
        <f>IF('исходные данные'!H221&gt;'минимумы и максимумы'!F$10,100,('исходные данные'!H221-'минимумы и максимумы'!F$9)/('минимумы и максимумы'!F$10-'минимумы и максимумы'!F$9)*100)</f>
        <v>0</v>
      </c>
      <c r="I221">
        <f>IF('исходные данные'!I221&gt;'минимумы и максимумы'!G$10,100,('исходные данные'!I221-'минимумы и максимумы'!G$9)/('минимумы и максимумы'!G$10-'минимумы и максимумы'!G$9)*100)</f>
        <v>1.8867924528301887</v>
      </c>
      <c r="J221">
        <f>IF('исходные данные'!J221&gt;'минимумы и максимумы'!H$10,100,('исходные данные'!J221-'минимумы и максимумы'!H$9)/('минимумы и максимумы'!H$10-'минимумы и максимумы'!H$9)*100)</f>
        <v>0</v>
      </c>
      <c r="K221">
        <f>IF('исходные данные'!K221&gt;'минимумы и максимумы'!I$10,100,('исходные данные'!K221-'минимумы и максимумы'!I$9)/('минимумы и максимумы'!I$10-'минимумы и максимумы'!I$9)*100)</f>
        <v>11.111111111111111</v>
      </c>
      <c r="L221">
        <f>IF('исходные данные'!L221&gt;'минимумы и максимумы'!J$10,100,('исходные данные'!L221-'минимумы и максимумы'!J$9)/('минимумы и максимумы'!J$10-'минимумы и максимумы'!J$9)*100)</f>
        <v>0</v>
      </c>
      <c r="M221">
        <f>IF('исходные данные'!M221&gt;'минимумы и максимумы'!K$10,100,('исходные данные'!M221-'минимумы и максимумы'!K$9)/('минимумы и максимумы'!K$10-'минимумы и максимумы'!K$9)*100)</f>
        <v>14.285714285714285</v>
      </c>
      <c r="N221">
        <f>IF('исходные данные'!N221&gt;'минимумы и максимумы'!L$10,100,('исходные данные'!N221-'минимумы и максимумы'!L$9)/('минимумы и максимумы'!L$10-'минимумы и максимумы'!L$9)*100)</f>
        <v>24.193009345060755</v>
      </c>
      <c r="O221">
        <f>IF('исходные данные'!O221&gt;'минимумы и максимумы'!M$10,100,('исходные данные'!O221-'минимумы и максимумы'!M$9)/('минимумы и максимумы'!M$10-'минимумы и максимумы'!M$9)*100)</f>
        <v>66.666666666666657</v>
      </c>
      <c r="P221">
        <f>IF('исходные данные'!P221&gt;'минимумы и максимумы'!N$10,100,('исходные данные'!P221-'минимумы и максимумы'!N$9)/('минимумы и максимумы'!N$10-'минимумы и максимумы'!N$9)*100)</f>
        <v>0</v>
      </c>
      <c r="Q221">
        <f>IF('исходные данные'!Q221&gt;'минимумы и максимумы'!O$10,100,('исходные данные'!Q221-'минимумы и максимумы'!O$9)/('минимумы и максимумы'!O$10-'минимумы и максимумы'!O$9)*100)</f>
        <v>100</v>
      </c>
      <c r="R221">
        <f>IF('исходные данные'!R221&gt;'минимумы и максимумы'!P$10,100,('исходные данные'!R221-'минимумы и максимумы'!P$9)/('минимумы и максимумы'!P$10-'минимумы и максимумы'!P$9)*100)</f>
        <v>75</v>
      </c>
      <c r="S221">
        <f>IF('исходные данные'!S221&gt;'минимумы и максимумы'!Q$10,100,('исходные данные'!S221-'минимумы и максимумы'!Q$9)/('минимумы и максимумы'!Q$10-'минимумы и максимумы'!Q$9)*100)</f>
        <v>83.333333333333343</v>
      </c>
      <c r="T221">
        <f>IF('исходные данные'!T221&gt;'минимумы и максимумы'!R$10,100,('исходные данные'!T221-'минимумы и максимумы'!R$9)/('минимумы и максимумы'!R$10-'минимумы и максимумы'!R$9)*100)</f>
        <v>13.319907940161105</v>
      </c>
      <c r="U221">
        <f>IF('исходные данные'!U221&gt;'минимумы и максимумы'!S$10,100,('исходные данные'!U221-'минимумы и максимумы'!S$9)/('минимумы и максимумы'!S$10-'минимумы и максимумы'!S$9)*100)</f>
        <v>0</v>
      </c>
    </row>
    <row r="222" spans="1:21" x14ac:dyDescent="0.45">
      <c r="A222" s="4">
        <v>309</v>
      </c>
      <c r="B222" s="4">
        <v>0</v>
      </c>
      <c r="C222" s="4">
        <v>1</v>
      </c>
      <c r="D222">
        <f>IF('исходные данные'!D222&gt;'минимумы и максимумы'!B$10,100,('исходные данные'!D222-'минимумы и максимумы'!B$9)/('минимумы и максимумы'!B$10-'минимумы и максимумы'!B$9)*100)</f>
        <v>22.222222222222221</v>
      </c>
      <c r="E222">
        <f>IF('исходные данные'!E222&gt;'минимумы и максимумы'!C$10,100,('исходные данные'!E222-'минимумы и максимумы'!C$9)/('минимумы и максимумы'!C$10-'минимумы и максимумы'!C$9)*100)</f>
        <v>20</v>
      </c>
      <c r="F222">
        <f>IF('исходные данные'!F222&gt;'минимумы и максимумы'!D$10,100,('исходные данные'!F222-'минимумы и максимумы'!D$9)/('минимумы и максимумы'!D$10-'минимумы и максимумы'!D$9)*100)</f>
        <v>0</v>
      </c>
      <c r="G222">
        <f>IF('исходные данные'!G222&gt;'минимумы и максимумы'!E$10,100,('исходные данные'!G222-'минимумы и максимумы'!E$9)/('минимумы и максимумы'!E$10-'минимумы и максимумы'!E$9)*100)</f>
        <v>16.666666666666664</v>
      </c>
      <c r="H222">
        <f>IF('исходные данные'!H222&gt;'минимумы и максимумы'!F$10,100,('исходные данные'!H222-'минимумы и максимумы'!F$9)/('минимумы и максимумы'!F$10-'минимумы и максимумы'!F$9)*100)</f>
        <v>17.241379310344829</v>
      </c>
      <c r="I222">
        <f>IF('исходные данные'!I222&gt;'минимумы и максимумы'!G$10,100,('исходные данные'!I222-'минимумы и максимумы'!G$9)/('минимумы и максимумы'!G$10-'минимумы и максимумы'!G$9)*100)</f>
        <v>11.320754716981133</v>
      </c>
      <c r="J222">
        <f>IF('исходные данные'!J222&gt;'минимумы и максимумы'!H$10,100,('исходные данные'!J222-'минимумы и максимумы'!H$9)/('минимумы и максимумы'!H$10-'минимумы и максимумы'!H$9)*100)</f>
        <v>0</v>
      </c>
      <c r="K222">
        <f>IF('исходные данные'!K222&gt;'минимумы и максимумы'!I$10,100,('исходные данные'!K222-'минимумы и максимумы'!I$9)/('минимумы и максимумы'!I$10-'минимумы и максимумы'!I$9)*100)</f>
        <v>5.5555555555555554</v>
      </c>
      <c r="L222">
        <f>IF('исходные данные'!L222&gt;'минимумы и максимумы'!J$10,100,('исходные данные'!L222-'минимумы и максимумы'!J$9)/('минимумы и максимумы'!J$10-'минимумы и максимумы'!J$9)*100)</f>
        <v>0</v>
      </c>
      <c r="M222">
        <f>IF('исходные данные'!M222&gt;'минимумы и максимумы'!K$10,100,('исходные данные'!M222-'минимумы и максимумы'!K$9)/('минимумы и максимумы'!K$10-'минимумы и максимумы'!K$9)*100)</f>
        <v>71.428571428571431</v>
      </c>
      <c r="N222">
        <f>IF('исходные данные'!N222&gt;'минимумы и максимумы'!L$10,100,('исходные данные'!N222-'минимумы и максимумы'!L$9)/('минимумы и максимумы'!L$10-'минимумы и максимумы'!L$9)*100)</f>
        <v>39.205225725069539</v>
      </c>
      <c r="O222">
        <f>IF('исходные данные'!O222&gt;'минимумы и максимумы'!M$10,100,('исходные данные'!O222-'минимумы и максимумы'!M$9)/('минимумы и максимумы'!M$10-'минимумы и максимумы'!M$9)*100)</f>
        <v>0</v>
      </c>
      <c r="P222">
        <f>IF('исходные данные'!P222&gt;'минимумы и максимумы'!N$10,100,('исходные данные'!P222-'минимумы и максимумы'!N$9)/('минимумы и максимумы'!N$10-'минимумы и максимумы'!N$9)*100)</f>
        <v>0</v>
      </c>
      <c r="Q222">
        <f>IF('исходные данные'!Q222&gt;'минимумы и максимумы'!O$10,100,('исходные данные'!Q222-'минимумы и максимумы'!O$9)/('минимумы и максимумы'!O$10-'минимумы и максимумы'!O$9)*100)</f>
        <v>100</v>
      </c>
      <c r="R222">
        <f>IF('исходные данные'!R222&gt;'минимумы и максимумы'!P$10,100,('исходные данные'!R222-'минимумы и максимумы'!P$9)/('минимумы и максимумы'!P$10-'минимумы и максимумы'!P$9)*100)</f>
        <v>100</v>
      </c>
      <c r="S222">
        <f>IF('исходные данные'!S222&gt;'минимумы и максимумы'!Q$10,100,('исходные данные'!S222-'минимумы и максимумы'!Q$9)/('минимумы и максимумы'!Q$10-'минимумы и максимумы'!Q$9)*100)</f>
        <v>33.333333333333329</v>
      </c>
      <c r="T222">
        <f>IF('исходные данные'!T222&gt;'минимумы и максимумы'!R$10,100,('исходные данные'!T222-'минимумы и максимумы'!R$9)/('минимумы и максимумы'!R$10-'минимумы и максимумы'!R$9)*100)</f>
        <v>4.1426927502876865</v>
      </c>
      <c r="U222">
        <f>IF('исходные данные'!U222&gt;'минимумы и максимумы'!S$10,100,('исходные данные'!U222-'минимумы и максимумы'!S$9)/('минимумы и максимумы'!S$10-'минимумы и максимумы'!S$9)*100)</f>
        <v>0</v>
      </c>
    </row>
    <row r="223" spans="1:21" x14ac:dyDescent="0.45">
      <c r="A223" s="4">
        <v>311</v>
      </c>
      <c r="B223" s="4">
        <v>0</v>
      </c>
      <c r="C223" s="4">
        <v>1</v>
      </c>
      <c r="D223">
        <f>IF('исходные данные'!D223&gt;'минимумы и максимумы'!B$10,100,('исходные данные'!D223-'минимумы и максимумы'!B$9)/('минимумы и максимумы'!B$10-'минимумы и максимумы'!B$9)*100)</f>
        <v>11.111111111111111</v>
      </c>
      <c r="E223">
        <f>IF('исходные данные'!E223&gt;'минимумы и максимумы'!C$10,100,('исходные данные'!E223-'минимумы и максимумы'!C$9)/('минимумы и максимумы'!C$10-'минимумы и максимумы'!C$9)*100)</f>
        <v>0</v>
      </c>
      <c r="F223">
        <f>IF('исходные данные'!F223&gt;'минимумы и максимумы'!D$10,100,('исходные данные'!F223-'минимумы и максимумы'!D$9)/('минимумы и максимумы'!D$10-'минимумы и максимумы'!D$9)*100)</f>
        <v>0</v>
      </c>
      <c r="G223">
        <f>IF('исходные данные'!G223&gt;'минимумы и максимумы'!E$10,100,('исходные данные'!G223-'минимумы и максимумы'!E$9)/('минимумы и максимумы'!E$10-'минимумы и максимумы'!E$9)*100)</f>
        <v>16.666666666666664</v>
      </c>
      <c r="H223">
        <f>IF('исходные данные'!H223&gt;'минимумы и максимумы'!F$10,100,('исходные данные'!H223-'минимумы и максимумы'!F$9)/('минимумы и максимумы'!F$10-'минимумы и максимумы'!F$9)*100)</f>
        <v>17.241379310344829</v>
      </c>
      <c r="I223">
        <f>IF('исходные данные'!I223&gt;'минимумы и максимумы'!G$10,100,('исходные данные'!I223-'минимумы и максимумы'!G$9)/('минимумы и максимумы'!G$10-'минимумы и максимумы'!G$9)*100)</f>
        <v>37.735849056603776</v>
      </c>
      <c r="J223">
        <f>IF('исходные данные'!J223&gt;'минимумы и максимумы'!H$10,100,('исходные данные'!J223-'минимумы и максимумы'!H$9)/('минимумы и максимумы'!H$10-'минимумы и максимумы'!H$9)*100)</f>
        <v>0</v>
      </c>
      <c r="K223">
        <f>IF('исходные данные'!K223&gt;'минимумы и максимумы'!I$10,100,('исходные данные'!K223-'минимумы и максимумы'!I$9)/('минимумы и максимумы'!I$10-'минимумы и максимумы'!I$9)*100)</f>
        <v>5.5555555555555554</v>
      </c>
      <c r="L223">
        <f>IF('исходные данные'!L223&gt;'минимумы и максимумы'!J$10,100,('исходные данные'!L223-'минимумы и максимумы'!J$9)/('минимумы и максимумы'!J$10-'минимумы и максимумы'!J$9)*100)</f>
        <v>7.1428571428571423</v>
      </c>
      <c r="M223">
        <f>IF('исходные данные'!M223&gt;'минимумы и максимумы'!K$10,100,('исходные данные'!M223-'минимумы и максимумы'!K$9)/('минимумы и максимумы'!K$10-'минимумы и максимумы'!K$9)*100)</f>
        <v>28.571428571428569</v>
      </c>
      <c r="N223">
        <f>IF('исходные данные'!N223&gt;'минимумы и максимумы'!L$10,100,('исходные данные'!N223-'минимумы и максимумы'!L$9)/('минимумы и максимумы'!L$10-'минимумы и максимумы'!L$9)*100)</f>
        <v>30.754023998984565</v>
      </c>
      <c r="O223">
        <f>IF('исходные данные'!O223&gt;'минимумы и максимумы'!M$10,100,('исходные данные'!O223-'минимумы и максимумы'!M$9)/('минимумы и максимумы'!M$10-'минимумы и максимумы'!M$9)*100)</f>
        <v>0</v>
      </c>
      <c r="P223">
        <f>IF('исходные данные'!P223&gt;'минимумы и максимумы'!N$10,100,('исходные данные'!P223-'минимумы и максимумы'!N$9)/('минимумы и максимумы'!N$10-'минимумы и максимумы'!N$9)*100)</f>
        <v>0</v>
      </c>
      <c r="Q223">
        <f>IF('исходные данные'!Q223&gt;'минимумы и максимумы'!O$10,100,('исходные данные'!Q223-'минимумы и максимумы'!O$9)/('минимумы и максимумы'!O$10-'минимумы и максимумы'!O$9)*100)</f>
        <v>100</v>
      </c>
      <c r="R223">
        <f>IF('исходные данные'!R223&gt;'минимумы и максимумы'!P$10,100,('исходные данные'!R223-'минимумы и максимумы'!P$9)/('минимумы и максимумы'!P$10-'минимумы и максимумы'!P$9)*100)</f>
        <v>25</v>
      </c>
      <c r="S223">
        <f>IF('исходные данные'!S223&gt;'минимумы и максимумы'!Q$10,100,('исходные данные'!S223-'минимумы и максимумы'!Q$9)/('минимумы и максимумы'!Q$10-'минимумы и максимумы'!Q$9)*100)</f>
        <v>16.666666666666664</v>
      </c>
      <c r="T223">
        <f>IF('исходные данные'!T223&gt;'минимумы и максимумы'!R$10,100,('исходные данные'!T223-'минимумы и максимумы'!R$9)/('минимумы и максимумы'!R$10-'минимумы и максимумы'!R$9)*100)</f>
        <v>12.054085155350979</v>
      </c>
      <c r="U223">
        <f>IF('исходные данные'!U223&gt;'минимумы и максимумы'!S$10,100,('исходные данные'!U223-'минимумы и максимумы'!S$9)/('минимумы и максимумы'!S$10-'минимумы и максимумы'!S$9)*100)</f>
        <v>0</v>
      </c>
    </row>
    <row r="224" spans="1:21" x14ac:dyDescent="0.45">
      <c r="A224" s="4">
        <v>313</v>
      </c>
      <c r="B224" s="4">
        <v>0</v>
      </c>
      <c r="C224" s="4">
        <v>0</v>
      </c>
      <c r="D224">
        <f>IF('исходные данные'!D224&gt;'минимумы и максимумы'!B$10,100,('исходные данные'!D224-'минимумы и максимумы'!B$9)/('минимумы и максимумы'!B$10-'минимумы и максимумы'!B$9)*100)</f>
        <v>11.111111111111111</v>
      </c>
      <c r="E224">
        <f>IF('исходные данные'!E224&gt;'минимумы и максимумы'!C$10,100,('исходные данные'!E224-'минимумы и максимумы'!C$9)/('минимумы и максимумы'!C$10-'минимумы и максимумы'!C$9)*100)</f>
        <v>0</v>
      </c>
      <c r="F224">
        <f>IF('исходные данные'!F224&gt;'минимумы и максимумы'!D$10,100,('исходные данные'!F224-'минимумы и максимумы'!D$9)/('минимумы и максимумы'!D$10-'минимумы и максимумы'!D$9)*100)</f>
        <v>100</v>
      </c>
      <c r="G224">
        <f>IF('исходные данные'!G224&gt;'минимумы и максимумы'!E$10,100,('исходные данные'!G224-'минимумы и максимумы'!E$9)/('минимумы и максимумы'!E$10-'минимумы и максимумы'!E$9)*100)</f>
        <v>20.833333333333336</v>
      </c>
      <c r="H224">
        <f>IF('исходные данные'!H224&gt;'минимумы и максимумы'!F$10,100,('исходные данные'!H224-'минимумы и максимумы'!F$9)/('минимумы и максимумы'!F$10-'минимумы и максимумы'!F$9)*100)</f>
        <v>31.03448275862069</v>
      </c>
      <c r="I224">
        <f>IF('исходные данные'!I224&gt;'минимумы и максимумы'!G$10,100,('исходные данные'!I224-'минимумы и максимумы'!G$9)/('минимумы и максимумы'!G$10-'минимумы и максимумы'!G$9)*100)</f>
        <v>7.5471698113207548</v>
      </c>
      <c r="J224">
        <f>IF('исходные данные'!J224&gt;'минимумы и максимумы'!H$10,100,('исходные данные'!J224-'минимумы и максимумы'!H$9)/('минимумы и максимумы'!H$10-'минимумы и максимумы'!H$9)*100)</f>
        <v>6.666666666666667</v>
      </c>
      <c r="K224">
        <f>IF('исходные данные'!K224&gt;'минимумы и максимумы'!I$10,100,('исходные данные'!K224-'минимумы и максимумы'!I$9)/('минимумы и максимумы'!I$10-'минимумы и максимумы'!I$9)*100)</f>
        <v>11.111111111111111</v>
      </c>
      <c r="L224">
        <f>IF('исходные данные'!L224&gt;'минимумы и максимумы'!J$10,100,('исходные данные'!L224-'минимумы и максимумы'!J$9)/('минимумы и максимумы'!J$10-'минимумы и максимумы'!J$9)*100)</f>
        <v>7.1428571428571423</v>
      </c>
      <c r="M224">
        <f>IF('исходные данные'!M224&gt;'минимумы и максимумы'!K$10,100,('исходные данные'!M224-'минимумы и максимумы'!K$9)/('минимумы и максимумы'!K$10-'минимумы и максимумы'!K$9)*100)</f>
        <v>21.428571428571427</v>
      </c>
      <c r="N224">
        <f>IF('исходные данные'!N224&gt;'минимумы и максимумы'!L$10,100,('исходные данные'!N224-'минимумы и максимумы'!L$9)/('минимумы и максимумы'!L$10-'минимумы и максимумы'!L$9)*100)</f>
        <v>37.494637716244789</v>
      </c>
      <c r="O224">
        <f>IF('исходные данные'!O224&gt;'минимумы и максимумы'!M$10,100,('исходные данные'!O224-'минимумы и максимумы'!M$9)/('минимумы и максимумы'!M$10-'минимумы и максимумы'!M$9)*100)</f>
        <v>0</v>
      </c>
      <c r="P224">
        <f>IF('исходные данные'!P224&gt;'минимумы и максимумы'!N$10,100,('исходные данные'!P224-'минимумы и максимумы'!N$9)/('минимумы и максимумы'!N$10-'минимумы и максимумы'!N$9)*100)</f>
        <v>0</v>
      </c>
      <c r="Q224">
        <f>IF('исходные данные'!Q224&gt;'минимумы и максимумы'!O$10,100,('исходные данные'!Q224-'минимумы и максимумы'!O$9)/('минимумы и максимумы'!O$10-'минимумы и максимумы'!O$9)*100)</f>
        <v>100</v>
      </c>
      <c r="R224">
        <f>IF('исходные данные'!R224&gt;'минимумы и максимумы'!P$10,100,('исходные данные'!R224-'минимумы и максимумы'!P$9)/('минимумы и максимумы'!P$10-'минимумы и максимумы'!P$9)*100)</f>
        <v>100</v>
      </c>
      <c r="S224">
        <f>IF('исходные данные'!S224&gt;'минимумы и максимумы'!Q$10,100,('исходные данные'!S224-'минимумы и максимумы'!Q$9)/('минимумы и максимумы'!Q$10-'минимумы и максимумы'!Q$9)*100)</f>
        <v>50</v>
      </c>
      <c r="T224">
        <f>IF('исходные данные'!T224&gt;'минимумы и максимумы'!R$10,100,('исходные данные'!T224-'минимумы и максимумы'!R$9)/('минимумы и максимумы'!R$10-'минимумы и максимумы'!R$9)*100)</f>
        <v>18.555811277330264</v>
      </c>
      <c r="U224">
        <f>IF('исходные данные'!U224&gt;'минимумы и максимумы'!S$10,100,('исходные данные'!U224-'минимумы и максимумы'!S$9)/('минимумы и максимумы'!S$10-'минимумы и максимумы'!S$9)*100)</f>
        <v>33.333333333333329</v>
      </c>
    </row>
    <row r="225" spans="1:21" x14ac:dyDescent="0.45">
      <c r="A225" s="4">
        <v>314</v>
      </c>
      <c r="B225" s="4">
        <v>0</v>
      </c>
      <c r="C225" s="4">
        <v>0</v>
      </c>
      <c r="D225">
        <f>IF('исходные данные'!D225&gt;'минимумы и максимумы'!B$10,100,('исходные данные'!D225-'минимумы и максимумы'!B$9)/('минимумы и максимумы'!B$10-'минимумы и максимумы'!B$9)*100)</f>
        <v>11.111111111111111</v>
      </c>
      <c r="E225">
        <f>IF('исходные данные'!E225&gt;'минимумы и максимумы'!C$10,100,('исходные данные'!E225-'минимумы и максимумы'!C$9)/('минимумы и максимумы'!C$10-'минимумы и максимумы'!C$9)*100)</f>
        <v>0</v>
      </c>
      <c r="F225">
        <f>IF('исходные данные'!F225&gt;'минимумы и максимумы'!D$10,100,('исходные данные'!F225-'минимумы и максимумы'!D$9)/('минимумы и максимумы'!D$10-'минимумы и максимумы'!D$9)*100)</f>
        <v>100</v>
      </c>
      <c r="G225">
        <f>IF('исходные данные'!G225&gt;'минимумы и максимумы'!E$10,100,('исходные данные'!G225-'минимумы и максимумы'!E$9)/('минимумы и максимумы'!E$10-'минимумы и максимумы'!E$9)*100)</f>
        <v>20.833333333333336</v>
      </c>
      <c r="H225">
        <f>IF('исходные данные'!H225&gt;'минимумы и максимумы'!F$10,100,('исходные данные'!H225-'минимумы и максимумы'!F$9)/('минимумы и максимумы'!F$10-'минимумы и максимумы'!F$9)*100)</f>
        <v>31.03448275862069</v>
      </c>
      <c r="I225">
        <f>IF('исходные данные'!I225&gt;'минимумы и максимумы'!G$10,100,('исходные данные'!I225-'минимумы и максимумы'!G$9)/('минимумы и максимумы'!G$10-'минимумы и максимумы'!G$9)*100)</f>
        <v>7.5471698113207548</v>
      </c>
      <c r="J225">
        <f>IF('исходные данные'!J225&gt;'минимумы и максимумы'!H$10,100,('исходные данные'!J225-'минимумы и максимумы'!H$9)/('минимумы и максимумы'!H$10-'минимумы и максимумы'!H$9)*100)</f>
        <v>6.666666666666667</v>
      </c>
      <c r="K225">
        <f>IF('исходные данные'!K225&gt;'минимумы и максимумы'!I$10,100,('исходные данные'!K225-'минимумы и максимумы'!I$9)/('минимумы и максимумы'!I$10-'минимумы и максимумы'!I$9)*100)</f>
        <v>11.111111111111111</v>
      </c>
      <c r="L225">
        <f>IF('исходные данные'!L225&gt;'минимумы и максимумы'!J$10,100,('исходные данные'!L225-'минимумы и максимумы'!J$9)/('минимумы и максимумы'!J$10-'минимумы и максимумы'!J$9)*100)</f>
        <v>7.1428571428571423</v>
      </c>
      <c r="M225">
        <f>IF('исходные данные'!M225&gt;'минимумы и максимумы'!K$10,100,('исходные данные'!M225-'минимумы и максимумы'!K$9)/('минимумы и максимумы'!K$10-'минимумы и максимумы'!K$9)*100)</f>
        <v>21.428571428571427</v>
      </c>
      <c r="N225">
        <f>IF('исходные данные'!N225&gt;'минимумы и максимумы'!L$10,100,('исходные данные'!N225-'минимумы и максимумы'!L$9)/('минимумы и максимумы'!L$10-'минимумы и максимумы'!L$9)*100)</f>
        <v>37.800771950349372</v>
      </c>
      <c r="O225">
        <f>IF('исходные данные'!O225&gt;'минимумы и максимумы'!M$10,100,('исходные данные'!O225-'минимумы и максимумы'!M$9)/('минимумы и максимумы'!M$10-'минимумы и максимумы'!M$9)*100)</f>
        <v>66.666666666666657</v>
      </c>
      <c r="P225">
        <f>IF('исходные данные'!P225&gt;'минимумы и максимумы'!N$10,100,('исходные данные'!P225-'минимумы и максимумы'!N$9)/('минимумы и максимумы'!N$10-'минимумы и максимумы'!N$9)*100)</f>
        <v>0</v>
      </c>
      <c r="Q225">
        <f>IF('исходные данные'!Q225&gt;'минимумы и максимумы'!O$10,100,('исходные данные'!Q225-'минимумы и максимумы'!O$9)/('минимумы и максимумы'!O$10-'минимумы и максимумы'!O$9)*100)</f>
        <v>100</v>
      </c>
      <c r="R225">
        <f>IF('исходные данные'!R225&gt;'минимумы и максимумы'!P$10,100,('исходные данные'!R225-'минимумы и максимумы'!P$9)/('минимумы и максимумы'!P$10-'минимумы и максимумы'!P$9)*100)</f>
        <v>100</v>
      </c>
      <c r="S225">
        <f>IF('исходные данные'!S225&gt;'минимумы и максимумы'!Q$10,100,('исходные данные'!S225-'минимумы и максимумы'!Q$9)/('минимумы и максимумы'!Q$10-'минимумы и максимумы'!Q$9)*100)</f>
        <v>50</v>
      </c>
      <c r="T225">
        <f>IF('исходные данные'!T225&gt;'минимумы и максимумы'!R$10,100,('исходные данные'!T225-'минимумы и максимумы'!R$9)/('минимумы и максимумы'!R$10-'минимумы и максимумы'!R$9)*100)</f>
        <v>18.555811277330264</v>
      </c>
      <c r="U225">
        <f>IF('исходные данные'!U225&gt;'минимумы и максимумы'!S$10,100,('исходные данные'!U225-'минимумы и максимумы'!S$9)/('минимумы и максимумы'!S$10-'минимумы и максимумы'!S$9)*100)</f>
        <v>33.333333333333329</v>
      </c>
    </row>
    <row r="226" spans="1:21" x14ac:dyDescent="0.45">
      <c r="A226" s="4">
        <v>315</v>
      </c>
      <c r="B226" s="4">
        <v>0</v>
      </c>
      <c r="C226" s="4">
        <v>0</v>
      </c>
      <c r="D226">
        <f>IF('исходные данные'!D226&gt;'минимумы и максимумы'!B$10,100,('исходные данные'!D226-'минимумы и максимумы'!B$9)/('минимумы и максимумы'!B$10-'минимумы и максимумы'!B$9)*100)</f>
        <v>11.111111111111111</v>
      </c>
      <c r="E226">
        <f>IF('исходные данные'!E226&gt;'минимумы и максимумы'!C$10,100,('исходные данные'!E226-'минимумы и максимумы'!C$9)/('минимумы и максимумы'!C$10-'минимумы и максимумы'!C$9)*100)</f>
        <v>0</v>
      </c>
      <c r="F226">
        <f>IF('исходные данные'!F226&gt;'минимумы и максимумы'!D$10,100,('исходные данные'!F226-'минимумы и максимумы'!D$9)/('минимумы и максимумы'!D$10-'минимумы и максимумы'!D$9)*100)</f>
        <v>100</v>
      </c>
      <c r="G226">
        <f>IF('исходные данные'!G226&gt;'минимумы и максимумы'!E$10,100,('исходные данные'!G226-'минимумы и максимумы'!E$9)/('минимумы и максимумы'!E$10-'минимумы и максимумы'!E$9)*100)</f>
        <v>20.833333333333336</v>
      </c>
      <c r="H226">
        <f>IF('исходные данные'!H226&gt;'минимумы и максимумы'!F$10,100,('исходные данные'!H226-'минимумы и максимумы'!F$9)/('минимумы и максимумы'!F$10-'минимумы и максимумы'!F$9)*100)</f>
        <v>31.03448275862069</v>
      </c>
      <c r="I226">
        <f>IF('исходные данные'!I226&gt;'минимумы и максимумы'!G$10,100,('исходные данные'!I226-'минимумы и максимумы'!G$9)/('минимумы и максимумы'!G$10-'минимумы и максимумы'!G$9)*100)</f>
        <v>7.5471698113207548</v>
      </c>
      <c r="J226">
        <f>IF('исходные данные'!J226&gt;'минимумы и максимумы'!H$10,100,('исходные данные'!J226-'минимумы и максимумы'!H$9)/('минимумы и максимумы'!H$10-'минимумы и максимумы'!H$9)*100)</f>
        <v>6.666666666666667</v>
      </c>
      <c r="K226">
        <f>IF('исходные данные'!K226&gt;'минимумы и максимумы'!I$10,100,('исходные данные'!K226-'минимумы и максимумы'!I$9)/('минимумы и максимумы'!I$10-'минимумы и максимумы'!I$9)*100)</f>
        <v>11.111111111111111</v>
      </c>
      <c r="L226">
        <f>IF('исходные данные'!L226&gt;'минимумы и максимумы'!J$10,100,('исходные данные'!L226-'минимумы и максимумы'!J$9)/('минимумы и максимумы'!J$10-'минимумы и максимумы'!J$9)*100)</f>
        <v>7.1428571428571423</v>
      </c>
      <c r="M226">
        <f>IF('исходные данные'!M226&gt;'минимумы и максимумы'!K$10,100,('исходные данные'!M226-'минимумы и максимумы'!K$9)/('минимумы и максимумы'!K$10-'минимумы и максимумы'!K$9)*100)</f>
        <v>21.428571428571427</v>
      </c>
      <c r="N226">
        <f>IF('исходные данные'!N226&gt;'минимумы и максимумы'!L$10,100,('исходные данные'!N226-'минимумы и максимумы'!L$9)/('минимумы и максимумы'!L$10-'минимумы и максимумы'!L$9)*100)</f>
        <v>37.764204897175908</v>
      </c>
      <c r="O226">
        <f>IF('исходные данные'!O226&gt;'минимумы и максимумы'!M$10,100,('исходные данные'!O226-'минимумы и максимумы'!M$9)/('минимумы и максимумы'!M$10-'минимумы и максимумы'!M$9)*100)</f>
        <v>66.666666666666657</v>
      </c>
      <c r="P226">
        <f>IF('исходные данные'!P226&gt;'минимумы и максимумы'!N$10,100,('исходные данные'!P226-'минимумы и максимумы'!N$9)/('минимумы и максимумы'!N$10-'минимумы и максимумы'!N$9)*100)</f>
        <v>0</v>
      </c>
      <c r="Q226">
        <f>IF('исходные данные'!Q226&gt;'минимумы и максимумы'!O$10,100,('исходные данные'!Q226-'минимумы и максимумы'!O$9)/('минимумы и максимумы'!O$10-'минимумы и максимумы'!O$9)*100)</f>
        <v>100</v>
      </c>
      <c r="R226">
        <f>IF('исходные данные'!R226&gt;'минимумы и максимумы'!P$10,100,('исходные данные'!R226-'минимумы и максимумы'!P$9)/('минимумы и максимумы'!P$10-'минимумы и максимумы'!P$9)*100)</f>
        <v>100</v>
      </c>
      <c r="S226">
        <f>IF('исходные данные'!S226&gt;'минимумы и максимумы'!Q$10,100,('исходные данные'!S226-'минимумы и максимумы'!Q$9)/('минимумы и максимумы'!Q$10-'минимумы и максимумы'!Q$9)*100)</f>
        <v>50</v>
      </c>
      <c r="T226">
        <f>IF('исходные данные'!T226&gt;'минимумы и максимумы'!R$10,100,('исходные данные'!T226-'минимумы и максимумы'!R$9)/('минимумы и максимумы'!R$10-'минимумы и максимумы'!R$9)*100)</f>
        <v>18.555811277330264</v>
      </c>
      <c r="U226">
        <f>IF('исходные данные'!U226&gt;'минимумы и максимумы'!S$10,100,('исходные данные'!U226-'минимумы и максимумы'!S$9)/('минимумы и максимумы'!S$10-'минимумы и максимумы'!S$9)*100)</f>
        <v>33.333333333333329</v>
      </c>
    </row>
    <row r="227" spans="1:21" x14ac:dyDescent="0.45">
      <c r="A227" s="4">
        <v>316</v>
      </c>
      <c r="B227" s="4">
        <v>0</v>
      </c>
      <c r="C227" s="4">
        <v>0</v>
      </c>
      <c r="D227">
        <f>IF('исходные данные'!D227&gt;'минимумы и максимумы'!B$10,100,('исходные данные'!D227-'минимумы и максимумы'!B$9)/('минимумы и максимумы'!B$10-'минимумы и максимумы'!B$9)*100)</f>
        <v>11.111111111111111</v>
      </c>
      <c r="E227">
        <f>IF('исходные данные'!E227&gt;'минимумы и максимумы'!C$10,100,('исходные данные'!E227-'минимумы и максимумы'!C$9)/('минимумы и максимумы'!C$10-'минимумы и максимумы'!C$9)*100)</f>
        <v>10</v>
      </c>
      <c r="F227">
        <f>IF('исходные данные'!F227&gt;'минимумы и максимумы'!D$10,100,('исходные данные'!F227-'минимумы и максимумы'!D$9)/('минимумы и максимумы'!D$10-'минимумы и максимумы'!D$9)*100)</f>
        <v>100</v>
      </c>
      <c r="G227">
        <f>IF('исходные данные'!G227&gt;'минимумы и максимумы'!E$10,100,('исходные данные'!G227-'минимумы и максимумы'!E$9)/('минимумы и максимумы'!E$10-'минимумы и максимумы'!E$9)*100)</f>
        <v>20.833333333333336</v>
      </c>
      <c r="H227">
        <f>IF('исходные данные'!H227&gt;'минимумы и максимумы'!F$10,100,('исходные данные'!H227-'минимумы и максимумы'!F$9)/('минимумы и максимумы'!F$10-'минимумы и максимумы'!F$9)*100)</f>
        <v>31.03448275862069</v>
      </c>
      <c r="I227">
        <f>IF('исходные данные'!I227&gt;'минимумы и максимумы'!G$10,100,('исходные данные'!I227-'минимумы и максимумы'!G$9)/('минимумы и максимумы'!G$10-'минимумы и максимумы'!G$9)*100)</f>
        <v>5.6603773584905666</v>
      </c>
      <c r="J227">
        <f>IF('исходные данные'!J227&gt;'минимумы и максимумы'!H$10,100,('исходные данные'!J227-'минимумы и максимумы'!H$9)/('минимумы и максимумы'!H$10-'минимумы и максимумы'!H$9)*100)</f>
        <v>0</v>
      </c>
      <c r="K227">
        <f>IF('исходные данные'!K227&gt;'минимумы и максимумы'!I$10,100,('исходные данные'!K227-'минимумы и максимумы'!I$9)/('минимумы и максимумы'!I$10-'минимумы и максимумы'!I$9)*100)</f>
        <v>0</v>
      </c>
      <c r="L227">
        <f>IF('исходные данные'!L227&gt;'минимумы и максимумы'!J$10,100,('исходные данные'!L227-'минимумы и максимумы'!J$9)/('минимумы и максимумы'!J$10-'минимумы и максимумы'!J$9)*100)</f>
        <v>7.1428571428571423</v>
      </c>
      <c r="M227">
        <f>IF('исходные данные'!M227&gt;'минимумы и максимумы'!K$10,100,('исходные данные'!M227-'минимумы и максимумы'!K$9)/('минимумы и максимумы'!K$10-'минимумы и максимумы'!K$9)*100)</f>
        <v>14.285714285714285</v>
      </c>
      <c r="N227">
        <f>IF('исходные данные'!N227&gt;'минимумы и максимумы'!L$10,100,('исходные данные'!N227-'минимумы и максимумы'!L$9)/('минимумы и максимумы'!L$10-'минимумы и максимумы'!L$9)*100)</f>
        <v>40.671317355363058</v>
      </c>
      <c r="O227">
        <f>IF('исходные данные'!O227&gt;'минимумы и максимумы'!M$10,100,('исходные данные'!O227-'минимумы и максимумы'!M$9)/('минимумы и максимумы'!M$10-'минимумы и максимумы'!M$9)*100)</f>
        <v>66.666666666666657</v>
      </c>
      <c r="P227">
        <f>IF('исходные данные'!P227&gt;'минимумы и максимумы'!N$10,100,('исходные данные'!P227-'минимумы и максимумы'!N$9)/('минимумы и максимумы'!N$10-'минимумы и максимумы'!N$9)*100)</f>
        <v>0</v>
      </c>
      <c r="Q227">
        <f>IF('исходные данные'!Q227&gt;'минимумы и максимумы'!O$10,100,('исходные данные'!Q227-'минимумы и максимумы'!O$9)/('минимумы и максимумы'!O$10-'минимумы и максимумы'!O$9)*100)</f>
        <v>100</v>
      </c>
      <c r="R227">
        <f>IF('исходные данные'!R227&gt;'минимумы и максимумы'!P$10,100,('исходные данные'!R227-'минимумы и максимумы'!P$9)/('минимумы и максимумы'!P$10-'минимумы и максимумы'!P$9)*100)</f>
        <v>75</v>
      </c>
      <c r="S227">
        <f>IF('исходные данные'!S227&gt;'минимумы и максимумы'!Q$10,100,('исходные данные'!S227-'минимумы и максимумы'!Q$9)/('минимумы и максимумы'!Q$10-'минимумы и максимумы'!Q$9)*100)</f>
        <v>33.333333333333329</v>
      </c>
      <c r="T227">
        <f>IF('исходные данные'!T227&gt;'минимумы и максимумы'!R$10,100,('исходные данные'!T227-'минимумы и максимумы'!R$9)/('минимумы и максимумы'!R$10-'минимумы и максимумы'!R$9)*100)</f>
        <v>14.844649021864212</v>
      </c>
      <c r="U227">
        <f>IF('исходные данные'!U227&gt;'минимумы и максимумы'!S$10,100,('исходные данные'!U227-'минимумы и максимумы'!S$9)/('минимумы и максимумы'!S$10-'минимумы и максимумы'!S$9)*100)</f>
        <v>0</v>
      </c>
    </row>
    <row r="228" spans="1:21" x14ac:dyDescent="0.45">
      <c r="A228" s="4">
        <v>317</v>
      </c>
      <c r="B228" s="4">
        <v>0</v>
      </c>
      <c r="C228" s="4">
        <v>0</v>
      </c>
      <c r="D228">
        <f>IF('исходные данные'!D228&gt;'минимумы и максимумы'!B$10,100,('исходные данные'!D228-'минимумы и максимумы'!B$9)/('минимумы и максимумы'!B$10-'минимумы и максимумы'!B$9)*100)</f>
        <v>0</v>
      </c>
      <c r="E228">
        <f>IF('исходные данные'!E228&gt;'минимумы и максимумы'!C$10,100,('исходные данные'!E228-'минимумы и максимумы'!C$9)/('минимумы и максимумы'!C$10-'минимумы и максимумы'!C$9)*100)</f>
        <v>10</v>
      </c>
      <c r="F228">
        <f>IF('исходные данные'!F228&gt;'минимумы и максимумы'!D$10,100,('исходные данные'!F228-'минимумы и максимумы'!D$9)/('минимумы и максимумы'!D$10-'минимумы и максимумы'!D$9)*100)</f>
        <v>0</v>
      </c>
      <c r="G228">
        <f>IF('исходные данные'!G228&gt;'минимумы и максимумы'!E$10,100,('исходные данные'!G228-'минимумы и максимумы'!E$9)/('минимумы и максимумы'!E$10-'минимумы и максимумы'!E$9)*100)</f>
        <v>16.666666666666664</v>
      </c>
      <c r="H228">
        <f>IF('исходные данные'!H228&gt;'минимумы и максимумы'!F$10,100,('исходные данные'!H228-'минимумы и максимумы'!F$9)/('минимумы и максимумы'!F$10-'минимумы и максимумы'!F$9)*100)</f>
        <v>20.689655172413794</v>
      </c>
      <c r="I228">
        <f>IF('исходные данные'!I228&gt;'минимумы и максимумы'!G$10,100,('исходные данные'!I228-'минимумы и максимумы'!G$9)/('минимумы и максимумы'!G$10-'минимумы и максимумы'!G$9)*100)</f>
        <v>13.20754716981132</v>
      </c>
      <c r="J228">
        <f>IF('исходные данные'!J228&gt;'минимумы и максимумы'!H$10,100,('исходные данные'!J228-'минимумы и максимумы'!H$9)/('минимумы и максимумы'!H$10-'минимумы и максимумы'!H$9)*100)</f>
        <v>6.666666666666667</v>
      </c>
      <c r="K228">
        <f>IF('исходные данные'!K228&gt;'минимумы и максимумы'!I$10,100,('исходные данные'!K228-'минимумы и максимумы'!I$9)/('минимумы и максимумы'!I$10-'минимумы и максимумы'!I$9)*100)</f>
        <v>0</v>
      </c>
      <c r="L228">
        <f>IF('исходные данные'!L228&gt;'минимумы и максимумы'!J$10,100,('исходные данные'!L228-'минимумы и максимумы'!J$9)/('минимумы и максимумы'!J$10-'минимумы и максимумы'!J$9)*100)</f>
        <v>0</v>
      </c>
      <c r="M228">
        <f>IF('исходные данные'!M228&gt;'минимумы и максимумы'!K$10,100,('исходные данные'!M228-'минимумы и максимумы'!K$9)/('минимумы и максимумы'!K$10-'минимумы и максимумы'!K$9)*100)</f>
        <v>64.285714285714292</v>
      </c>
      <c r="N228">
        <f>IF('исходные данные'!N228&gt;'минимумы и максимумы'!L$10,100,('исходные данные'!N228-'минимумы и максимумы'!L$9)/('минимумы и максимумы'!L$10-'минимумы и максимумы'!L$9)*100)</f>
        <v>44.285813676826393</v>
      </c>
      <c r="O228">
        <f>IF('исходные данные'!O228&gt;'минимумы и максимумы'!M$10,100,('исходные данные'!O228-'минимумы и максимумы'!M$9)/('минимумы и максимумы'!M$10-'минимумы и максимумы'!M$9)*100)</f>
        <v>0</v>
      </c>
      <c r="P228">
        <f>IF('исходные данные'!P228&gt;'минимумы и максимумы'!N$10,100,('исходные данные'!P228-'минимумы и максимумы'!N$9)/('минимумы и максимумы'!N$10-'минимумы и максимумы'!N$9)*100)</f>
        <v>0</v>
      </c>
      <c r="Q228">
        <f>IF('исходные данные'!Q228&gt;'минимумы и максимумы'!O$10,100,('исходные данные'!Q228-'минимумы и максимумы'!O$9)/('минимумы и максимумы'!O$10-'минимумы и максимумы'!O$9)*100)</f>
        <v>100</v>
      </c>
      <c r="R228">
        <f>IF('исходные данные'!R228&gt;'минимумы и максимумы'!P$10,100,('исходные данные'!R228-'минимумы и максимумы'!P$9)/('минимумы и максимумы'!P$10-'минимумы и максимумы'!P$9)*100)</f>
        <v>100</v>
      </c>
      <c r="S228">
        <f>IF('исходные данные'!S228&gt;'минимумы и максимумы'!Q$10,100,('исходные данные'!S228-'минимумы и максимумы'!Q$9)/('минимумы и максимумы'!Q$10-'минимумы и максимумы'!Q$9)*100)</f>
        <v>83.333333333333343</v>
      </c>
      <c r="T228">
        <f>IF('исходные данные'!T228&gt;'минимумы и максимумы'!R$10,100,('исходные данные'!T228-'минимумы и максимумы'!R$9)/('минимумы и максимумы'!R$10-'минимумы и максимумы'!R$9)*100)</f>
        <v>21.921749136939013</v>
      </c>
      <c r="U228">
        <f>IF('исходные данные'!U228&gt;'минимумы и максимумы'!S$10,100,('исходные данные'!U228-'минимумы и максимумы'!S$9)/('минимумы и максимумы'!S$10-'минимумы и максимумы'!S$9)*100)</f>
        <v>0</v>
      </c>
    </row>
    <row r="229" spans="1:21" x14ac:dyDescent="0.45">
      <c r="A229" s="4">
        <v>318</v>
      </c>
      <c r="B229" s="4">
        <v>0</v>
      </c>
      <c r="C229" s="4">
        <v>0</v>
      </c>
      <c r="D229">
        <f>IF('исходные данные'!D229&gt;'минимумы и максимумы'!B$10,100,('исходные данные'!D229-'минимумы и максимумы'!B$9)/('минимумы и максимумы'!B$10-'минимумы и максимумы'!B$9)*100)</f>
        <v>11.111111111111111</v>
      </c>
      <c r="E229">
        <f>IF('исходные данные'!E229&gt;'минимумы и максимумы'!C$10,100,('исходные данные'!E229-'минимумы и максимумы'!C$9)/('минимумы и максимумы'!C$10-'минимумы и максимумы'!C$9)*100)</f>
        <v>20</v>
      </c>
      <c r="F229">
        <f>IF('исходные данные'!F229&gt;'минимумы и максимумы'!D$10,100,('исходные данные'!F229-'минимумы и максимумы'!D$9)/('минимумы и максимумы'!D$10-'минимумы и максимумы'!D$9)*100)</f>
        <v>33.333333333333329</v>
      </c>
      <c r="G229">
        <f>IF('исходные данные'!G229&gt;'минимумы и максимумы'!E$10,100,('исходные данные'!G229-'минимумы и максимумы'!E$9)/('минимумы и максимумы'!E$10-'минимумы и максимумы'!E$9)*100)</f>
        <v>25</v>
      </c>
      <c r="H229">
        <f>IF('исходные данные'!H229&gt;'минимумы и максимумы'!F$10,100,('исходные данные'!H229-'минимумы и максимумы'!F$9)/('минимумы и максимумы'!F$10-'минимумы и максимумы'!F$9)*100)</f>
        <v>17.241379310344829</v>
      </c>
      <c r="I229">
        <f>IF('исходные данные'!I229&gt;'минимумы и максимумы'!G$10,100,('исходные данные'!I229-'минимумы и максимумы'!G$9)/('минимумы и максимумы'!G$10-'минимумы и максимумы'!G$9)*100)</f>
        <v>1.8867924528301887</v>
      </c>
      <c r="J229">
        <f>IF('исходные данные'!J229&gt;'минимумы и максимумы'!H$10,100,('исходные данные'!J229-'минимумы и максимумы'!H$9)/('минимумы и максимумы'!H$10-'минимумы и максимумы'!H$9)*100)</f>
        <v>0</v>
      </c>
      <c r="K229">
        <f>IF('исходные данные'!K229&gt;'минимумы и максимумы'!I$10,100,('исходные данные'!K229-'минимумы и максимумы'!I$9)/('минимумы и максимумы'!I$10-'минимумы и максимумы'!I$9)*100)</f>
        <v>0</v>
      </c>
      <c r="L229">
        <f>IF('исходные данные'!L229&gt;'минимумы и максимумы'!J$10,100,('исходные данные'!L229-'минимумы и максимумы'!J$9)/('минимумы и максимумы'!J$10-'минимумы и максимумы'!J$9)*100)</f>
        <v>0</v>
      </c>
      <c r="M229">
        <f>IF('исходные данные'!M229&gt;'минимумы и максимумы'!K$10,100,('исходные данные'!M229-'минимумы и максимумы'!K$9)/('минимумы и максимумы'!K$10-'минимумы и максимумы'!K$9)*100)</f>
        <v>28.571428571428569</v>
      </c>
      <c r="N229">
        <f>IF('исходные данные'!N229&gt;'минимумы и максимумы'!L$10,100,('исходные данные'!N229-'минимумы и максимумы'!L$9)/('минимумы и максимумы'!L$10-'минимумы и максимумы'!L$9)*100)</f>
        <v>51.658638597760145</v>
      </c>
      <c r="O229">
        <f>IF('исходные данные'!O229&gt;'минимумы и максимумы'!M$10,100,('исходные данные'!O229-'минимумы и максимумы'!M$9)/('минимумы и максимумы'!M$10-'минимумы и максимумы'!M$9)*100)</f>
        <v>100</v>
      </c>
      <c r="P229">
        <f>IF('исходные данные'!P229&gt;'минимумы и максимумы'!N$10,100,('исходные данные'!P229-'минимумы и максимумы'!N$9)/('минимумы и максимумы'!N$10-'минимумы и максимумы'!N$9)*100)</f>
        <v>0</v>
      </c>
      <c r="Q229">
        <f>IF('исходные данные'!Q229&gt;'минимумы и максимумы'!O$10,100,('исходные данные'!Q229-'минимумы и максимумы'!O$9)/('минимумы и максимумы'!O$10-'минимумы и максимумы'!O$9)*100)</f>
        <v>100</v>
      </c>
      <c r="R229">
        <f>IF('исходные данные'!R229&gt;'минимумы и максимумы'!P$10,100,('исходные данные'!R229-'минимумы и максимумы'!P$9)/('минимумы и максимумы'!P$10-'минимумы и максимумы'!P$9)*100)</f>
        <v>75</v>
      </c>
      <c r="S229">
        <f>IF('исходные данные'!S229&gt;'минимумы и максимумы'!Q$10,100,('исходные данные'!S229-'минимумы и максимумы'!Q$9)/('минимумы и максимумы'!Q$10-'минимумы и максимумы'!Q$9)*100)</f>
        <v>66.666666666666657</v>
      </c>
      <c r="T229">
        <f>IF('исходные данные'!T229&gt;'минимумы и максимумы'!R$10,100,('исходные данные'!T229-'минимумы и максимумы'!R$9)/('минимумы и максимумы'!R$10-'минимумы и максимумы'!R$9)*100)</f>
        <v>100</v>
      </c>
      <c r="U229">
        <f>IF('исходные данные'!U229&gt;'минимумы и максимумы'!S$10,100,('исходные данные'!U229-'минимумы и максимумы'!S$9)/('минимумы и максимумы'!S$10-'минимумы и максимумы'!S$9)*100)</f>
        <v>100</v>
      </c>
    </row>
    <row r="230" spans="1:21" x14ac:dyDescent="0.45">
      <c r="A230" s="4">
        <v>319</v>
      </c>
      <c r="B230" s="4">
        <v>0</v>
      </c>
      <c r="C230" s="4">
        <v>0</v>
      </c>
      <c r="D230">
        <f>IF('исходные данные'!D230&gt;'минимумы и максимумы'!B$10,100,('исходные данные'!D230-'минимумы и максимумы'!B$9)/('минимумы и максимумы'!B$10-'минимумы и максимумы'!B$9)*100)</f>
        <v>33.333333333333329</v>
      </c>
      <c r="E230">
        <f>IF('исходные данные'!E230&gt;'минимумы и максимумы'!C$10,100,('исходные данные'!E230-'минимумы и максимумы'!C$9)/('минимумы и максимумы'!C$10-'минимумы и максимумы'!C$9)*100)</f>
        <v>40</v>
      </c>
      <c r="F230">
        <f>IF('исходные данные'!F230&gt;'минимумы и максимумы'!D$10,100,('исходные данные'!F230-'минимумы и максимумы'!D$9)/('минимумы и максимумы'!D$10-'минимумы и максимумы'!D$9)*100)</f>
        <v>100</v>
      </c>
      <c r="G230">
        <f>IF('исходные данные'!G230&gt;'минимумы и максимумы'!E$10,100,('исходные данные'!G230-'минимумы и максимумы'!E$9)/('минимумы и максимумы'!E$10-'минимумы и максимумы'!E$9)*100)</f>
        <v>16.666666666666664</v>
      </c>
      <c r="H230">
        <f>IF('исходные данные'!H230&gt;'минимумы и максимумы'!F$10,100,('исходные данные'!H230-'минимумы и максимумы'!F$9)/('минимумы и максимумы'!F$10-'минимумы и максимумы'!F$9)*100)</f>
        <v>13.793103448275861</v>
      </c>
      <c r="I230">
        <f>IF('исходные данные'!I230&gt;'минимумы и максимумы'!G$10,100,('исходные данные'!I230-'минимумы и максимумы'!G$9)/('минимумы и максимумы'!G$10-'минимумы и максимумы'!G$9)*100)</f>
        <v>3.7735849056603774</v>
      </c>
      <c r="J230">
        <f>IF('исходные данные'!J230&gt;'минимумы и максимумы'!H$10,100,('исходные данные'!J230-'минимумы и максимумы'!H$9)/('минимумы и максимумы'!H$10-'минимумы и максимумы'!H$9)*100)</f>
        <v>0</v>
      </c>
      <c r="K230">
        <f>IF('исходные данные'!K230&gt;'минимумы и максимумы'!I$10,100,('исходные данные'!K230-'минимумы и максимумы'!I$9)/('минимумы и максимумы'!I$10-'минимумы и максимумы'!I$9)*100)</f>
        <v>0</v>
      </c>
      <c r="L230">
        <f>IF('исходные данные'!L230&gt;'минимумы и максимумы'!J$10,100,('исходные данные'!L230-'минимумы и максимумы'!J$9)/('минимумы и максимумы'!J$10-'минимумы и максимумы'!J$9)*100)</f>
        <v>0</v>
      </c>
      <c r="M230">
        <f>IF('исходные данные'!M230&gt;'минимумы и максимумы'!K$10,100,('исходные данные'!M230-'минимумы и максимумы'!K$9)/('минимумы и максимумы'!K$10-'минимумы и максимумы'!K$9)*100)</f>
        <v>25</v>
      </c>
      <c r="N230">
        <f>IF('исходные данные'!N230&gt;'минимумы и максимумы'!L$10,100,('исходные данные'!N230-'минимумы и максимумы'!L$9)/('минимумы и максимумы'!L$10-'минимумы и максимумы'!L$9)*100)</f>
        <v>59.6566865274078</v>
      </c>
      <c r="O230">
        <f>IF('исходные данные'!O230&gt;'минимумы и максимумы'!M$10,100,('исходные данные'!O230-'минимумы и максимумы'!M$9)/('минимумы и максимумы'!M$10-'минимумы и максимумы'!M$9)*100)</f>
        <v>100</v>
      </c>
      <c r="P230">
        <f>IF('исходные данные'!P230&gt;'минимумы и максимумы'!N$10,100,('исходные данные'!P230-'минимумы и максимумы'!N$9)/('минимумы и максимумы'!N$10-'минимумы и максимумы'!N$9)*100)</f>
        <v>0</v>
      </c>
      <c r="Q230">
        <f>IF('исходные данные'!Q230&gt;'минимумы и максимумы'!O$10,100,('исходные данные'!Q230-'минимумы и максимумы'!O$9)/('минимумы и максимумы'!O$10-'минимумы и максимумы'!O$9)*100)</f>
        <v>100</v>
      </c>
      <c r="R230">
        <f>IF('исходные данные'!R230&gt;'минимумы и максимумы'!P$10,100,('исходные данные'!R230-'минимумы и максимумы'!P$9)/('минимумы и максимумы'!P$10-'минимумы и максимумы'!P$9)*100)</f>
        <v>100</v>
      </c>
      <c r="S230">
        <f>IF('исходные данные'!S230&gt;'минимумы и максимумы'!Q$10,100,('исходные данные'!S230-'минимумы и максимумы'!Q$9)/('минимумы и максимумы'!Q$10-'минимумы и максимумы'!Q$9)*100)</f>
        <v>33.333333333333329</v>
      </c>
      <c r="T230">
        <f>IF('исходные данные'!T230&gt;'минимумы и максимумы'!R$10,100,('исходные данные'!T230-'минимумы и максимумы'!R$9)/('минимумы и максимумы'!R$10-'минимумы и максимумы'!R$9)*100)</f>
        <v>30.235903337169162</v>
      </c>
      <c r="U230">
        <f>IF('исходные данные'!U230&gt;'минимумы и максимумы'!S$10,100,('исходные данные'!U230-'минимумы и максимумы'!S$9)/('минимумы и максимумы'!S$10-'минимумы и максимумы'!S$9)*100)</f>
        <v>66.666666666666657</v>
      </c>
    </row>
    <row r="231" spans="1:21" x14ac:dyDescent="0.45">
      <c r="A231" s="4">
        <v>320</v>
      </c>
      <c r="B231" s="4">
        <v>0</v>
      </c>
      <c r="C231" s="4">
        <v>0</v>
      </c>
      <c r="D231">
        <f>IF('исходные данные'!D231&gt;'минимумы и максимумы'!B$10,100,('исходные данные'!D231-'минимумы и максимумы'!B$9)/('минимумы и максимумы'!B$10-'минимумы и максимумы'!B$9)*100)</f>
        <v>22.222222222222221</v>
      </c>
      <c r="E231">
        <f>IF('исходные данные'!E231&gt;'минимумы и максимумы'!C$10,100,('исходные данные'!E231-'минимумы и максимумы'!C$9)/('минимумы и максимумы'!C$10-'минимумы и максимумы'!C$9)*100)</f>
        <v>40</v>
      </c>
      <c r="F231">
        <f>IF('исходные данные'!F231&gt;'минимумы и максимумы'!D$10,100,('исходные данные'!F231-'минимумы и максимумы'!D$9)/('минимумы и максимумы'!D$10-'минимумы и максимумы'!D$9)*100)</f>
        <v>33.333333333333329</v>
      </c>
      <c r="G231">
        <f>IF('исходные данные'!G231&gt;'минимумы и максимумы'!E$10,100,('исходные данные'!G231-'минимумы и максимумы'!E$9)/('минимумы и максимумы'!E$10-'минимумы и максимумы'!E$9)*100)</f>
        <v>50</v>
      </c>
      <c r="H231">
        <f>IF('исходные данные'!H231&gt;'минимумы и максимумы'!F$10,100,('исходные данные'!H231-'минимумы и максимумы'!F$9)/('минимумы и максимумы'!F$10-'минимумы и максимумы'!F$9)*100)</f>
        <v>34.482758620689658</v>
      </c>
      <c r="I231">
        <f>IF('исходные данные'!I231&gt;'минимумы и максимумы'!G$10,100,('исходные данные'!I231-'минимумы и максимумы'!G$9)/('минимумы и максимумы'!G$10-'минимумы и максимумы'!G$9)*100)</f>
        <v>11.320754716981133</v>
      </c>
      <c r="J231">
        <f>IF('исходные данные'!J231&gt;'минимумы и максимумы'!H$10,100,('исходные данные'!J231-'минимумы и максимумы'!H$9)/('минимумы и максимумы'!H$10-'минимумы и максимумы'!H$9)*100)</f>
        <v>6.666666666666667</v>
      </c>
      <c r="K231">
        <f>IF('исходные данные'!K231&gt;'минимумы и максимумы'!I$10,100,('исходные данные'!K231-'минимумы и максимумы'!I$9)/('минимумы и максимумы'!I$10-'минимумы и максимумы'!I$9)*100)</f>
        <v>5.5555555555555554</v>
      </c>
      <c r="L231">
        <f>IF('исходные данные'!L231&gt;'минимумы и максимумы'!J$10,100,('исходные данные'!L231-'минимумы и максимумы'!J$9)/('минимумы и максимумы'!J$10-'минимумы и максимумы'!J$9)*100)</f>
        <v>0</v>
      </c>
      <c r="M231">
        <f>IF('исходные данные'!M231&gt;'минимумы и максимумы'!K$10,100,('исходные данные'!M231-'минимумы и максимумы'!K$9)/('минимумы и максимумы'!K$10-'минимумы и максимумы'!K$9)*100)</f>
        <v>25</v>
      </c>
      <c r="N231">
        <f>IF('исходные данные'!N231&gt;'минимумы и максимумы'!L$10,100,('исходные данные'!N231-'минимумы и максимумы'!L$9)/('минимумы и максимумы'!L$10-'минимумы и максимумы'!L$9)*100)</f>
        <v>58.614428213809212</v>
      </c>
      <c r="O231">
        <f>IF('исходные данные'!O231&gt;'минимумы и максимумы'!M$10,100,('исходные данные'!O231-'минимумы и максимумы'!M$9)/('минимумы и максимумы'!M$10-'минимумы и максимумы'!M$9)*100)</f>
        <v>100</v>
      </c>
      <c r="P231">
        <f>IF('исходные данные'!P231&gt;'минимумы и максимумы'!N$10,100,('исходные данные'!P231-'минимумы и максимумы'!N$9)/('минимумы и максимумы'!N$10-'минимумы и максимумы'!N$9)*100)</f>
        <v>0</v>
      </c>
      <c r="Q231">
        <f>IF('исходные данные'!Q231&gt;'минимумы и максимумы'!O$10,100,('исходные данные'!Q231-'минимумы и максимумы'!O$9)/('минимумы и максимумы'!O$10-'минимумы и максимумы'!O$9)*100)</f>
        <v>100</v>
      </c>
      <c r="R231">
        <f>IF('исходные данные'!R231&gt;'минимумы и максимумы'!P$10,100,('исходные данные'!R231-'минимумы и максимумы'!P$9)/('минимумы и максимумы'!P$10-'минимумы и максимумы'!P$9)*100)</f>
        <v>75</v>
      </c>
      <c r="S231">
        <f>IF('исходные данные'!S231&gt;'минимумы и максимумы'!Q$10,100,('исходные данные'!S231-'минимумы и максимумы'!Q$9)/('минимумы и максимумы'!Q$10-'минимумы и максимумы'!Q$9)*100)</f>
        <v>50</v>
      </c>
      <c r="T231">
        <f>IF('исходные данные'!T231&gt;'минимумы и максимумы'!R$10,100,('исходные данные'!T231-'минимумы и максимумы'!R$9)/('минимумы и максимумы'!R$10-'минимумы и максимумы'!R$9)*100)</f>
        <v>13.924050632911392</v>
      </c>
      <c r="U231">
        <f>IF('исходные данные'!U231&gt;'минимумы и максимумы'!S$10,100,('исходные данные'!U231-'минимумы и максимумы'!S$9)/('минимумы и максимумы'!S$10-'минимумы и максимумы'!S$9)*100)</f>
        <v>33.333333333333329</v>
      </c>
    </row>
    <row r="232" spans="1:21" x14ac:dyDescent="0.45">
      <c r="A232" s="4">
        <v>324</v>
      </c>
      <c r="B232" s="4">
        <v>0</v>
      </c>
      <c r="C232" s="4">
        <v>1</v>
      </c>
      <c r="D232">
        <f>IF('исходные данные'!D232&gt;'минимумы и максимумы'!B$10,100,('исходные данные'!D232-'минимумы и максимумы'!B$9)/('минимумы и максимумы'!B$10-'минимумы и максимумы'!B$9)*100)</f>
        <v>0</v>
      </c>
      <c r="E232">
        <f>IF('исходные данные'!E232&gt;'минимумы и максимумы'!C$10,100,('исходные данные'!E232-'минимумы и максимумы'!C$9)/('минимумы и максимумы'!C$10-'минимумы и максимумы'!C$9)*100)</f>
        <v>0</v>
      </c>
      <c r="F232">
        <f>IF('исходные данные'!F232&gt;'минимумы и максимумы'!D$10,100,('исходные данные'!F232-'минимумы и максимумы'!D$9)/('минимумы и максимумы'!D$10-'минимумы и максимумы'!D$9)*100)</f>
        <v>0</v>
      </c>
      <c r="G232">
        <f>IF('исходные данные'!G232&gt;'минимумы и максимумы'!E$10,100,('исходные данные'!G232-'минимумы и максимумы'!E$9)/('минимумы и максимумы'!E$10-'минимумы и максимумы'!E$9)*100)</f>
        <v>0</v>
      </c>
      <c r="H232">
        <f>IF('исходные данные'!H232&gt;'минимумы и максимумы'!F$10,100,('исходные данные'!H232-'минимумы и максимумы'!F$9)/('минимумы и максимумы'!F$10-'минимумы и максимумы'!F$9)*100)</f>
        <v>3.4482758620689653</v>
      </c>
      <c r="I232">
        <f>IF('исходные данные'!I232&gt;'минимумы и максимумы'!G$10,100,('исходные данные'!I232-'минимумы и максимумы'!G$9)/('минимумы и максимумы'!G$10-'минимумы и максимумы'!G$9)*100)</f>
        <v>0</v>
      </c>
      <c r="J232">
        <f>IF('исходные данные'!J232&gt;'минимумы и максимумы'!H$10,100,('исходные данные'!J232-'минимумы и максимумы'!H$9)/('минимумы и максимумы'!H$10-'минимумы и максимумы'!H$9)*100)</f>
        <v>0</v>
      </c>
      <c r="K232">
        <f>IF('исходные данные'!K232&gt;'минимумы и максимумы'!I$10,100,('исходные данные'!K232-'минимумы и максимумы'!I$9)/('минимумы и максимумы'!I$10-'минимумы и максимумы'!I$9)*100)</f>
        <v>0</v>
      </c>
      <c r="L232">
        <f>IF('исходные данные'!L232&gt;'минимумы и максимумы'!J$10,100,('исходные данные'!L232-'минимумы и максимумы'!J$9)/('минимумы и максимумы'!J$10-'минимумы и максимумы'!J$9)*100)</f>
        <v>0</v>
      </c>
      <c r="M232">
        <f>IF('исходные данные'!M232&gt;'минимумы и максимумы'!K$10,100,('исходные данные'!M232-'минимумы и максимумы'!K$9)/('минимумы и максимумы'!K$10-'минимумы и максимумы'!K$9)*100)</f>
        <v>7.1428571428571423</v>
      </c>
      <c r="N232">
        <f>IF('исходные данные'!N232&gt;'минимумы и максимумы'!L$10,100,('исходные данные'!N232-'минимумы и максимумы'!L$9)/('минимумы и максимумы'!L$10-'минимумы и максимумы'!L$9)*100)</f>
        <v>62.502191441639013</v>
      </c>
      <c r="O232">
        <f>IF('исходные данные'!O232&gt;'минимумы и максимумы'!M$10,100,('исходные данные'!O232-'минимумы и максимумы'!M$9)/('минимумы и максимумы'!M$10-'минимумы и максимумы'!M$9)*100)</f>
        <v>33.333333333333329</v>
      </c>
      <c r="P232">
        <f>IF('исходные данные'!P232&gt;'минимумы и максимумы'!N$10,100,('исходные данные'!P232-'минимумы и максимумы'!N$9)/('минимумы и максимумы'!N$10-'минимумы и максимумы'!N$9)*100)</f>
        <v>0</v>
      </c>
      <c r="Q232">
        <f>IF('исходные данные'!Q232&gt;'минимумы и максимумы'!O$10,100,('исходные данные'!Q232-'минимумы и максимумы'!O$9)/('минимумы и максимумы'!O$10-'минимумы и максимумы'!O$9)*100)</f>
        <v>100</v>
      </c>
      <c r="R232">
        <f>IF('исходные данные'!R232&gt;'минимумы и максимумы'!P$10,100,('исходные данные'!R232-'минимумы и максимумы'!P$9)/('минимумы и максимумы'!P$10-'минимумы и максимумы'!P$9)*100)</f>
        <v>100</v>
      </c>
      <c r="S232">
        <f>IF('исходные данные'!S232&gt;'минимумы и максимумы'!Q$10,100,('исходные данные'!S232-'минимумы и максимумы'!Q$9)/('минимумы и максимумы'!Q$10-'минимумы и максимумы'!Q$9)*100)</f>
        <v>33.333333333333329</v>
      </c>
      <c r="T232">
        <f>IF('исходные данные'!T232&gt;'минимумы и максимумы'!R$10,100,('исходные данные'!T232-'минимумы и максимумы'!R$9)/('минимумы и максимумы'!R$10-'минимумы и максимумы'!R$9)*100)</f>
        <v>11.478711162255467</v>
      </c>
      <c r="U232">
        <f>IF('исходные данные'!U232&gt;'минимумы и максимумы'!S$10,100,('исходные данные'!U232-'минимумы и максимумы'!S$9)/('минимумы и максимумы'!S$10-'минимумы и максимумы'!S$9)*100)</f>
        <v>33.333333333333329</v>
      </c>
    </row>
    <row r="233" spans="1:21" x14ac:dyDescent="0.45">
      <c r="A233" s="4">
        <v>325</v>
      </c>
      <c r="B233" s="4">
        <v>0</v>
      </c>
      <c r="C233" s="4">
        <v>0</v>
      </c>
      <c r="D233">
        <f>IF('исходные данные'!D233&gt;'минимумы и максимумы'!B$10,100,('исходные данные'!D233-'минимумы и максимумы'!B$9)/('минимумы и максимумы'!B$10-'минимумы и максимумы'!B$9)*100)</f>
        <v>0</v>
      </c>
      <c r="E233">
        <f>IF('исходные данные'!E233&gt;'минимумы и максимумы'!C$10,100,('исходные данные'!E233-'минимумы и максимумы'!C$9)/('минимумы и максимумы'!C$10-'минимумы и максимумы'!C$9)*100)</f>
        <v>0</v>
      </c>
      <c r="F233">
        <f>IF('исходные данные'!F233&gt;'минимумы и максимумы'!D$10,100,('исходные данные'!F233-'минимумы и максимумы'!D$9)/('минимумы и максимумы'!D$10-'минимумы и максимумы'!D$9)*100)</f>
        <v>0</v>
      </c>
      <c r="G233">
        <f>IF('исходные данные'!G233&gt;'минимумы и максимумы'!E$10,100,('исходные данные'!G233-'минимумы и максимумы'!E$9)/('минимумы и максимумы'!E$10-'минимумы и максимумы'!E$9)*100)</f>
        <v>8.3333333333333321</v>
      </c>
      <c r="H233">
        <f>IF('исходные данные'!H233&gt;'минимумы и максимумы'!F$10,100,('исходные данные'!H233-'минимумы и максимумы'!F$9)/('минимумы и максимумы'!F$10-'минимумы и максимумы'!F$9)*100)</f>
        <v>6.8965517241379306</v>
      </c>
      <c r="I233">
        <f>IF('исходные данные'!I233&gt;'минимумы и максимумы'!G$10,100,('исходные данные'!I233-'минимумы и максимумы'!G$9)/('минимумы и максимумы'!G$10-'минимумы и максимумы'!G$9)*100)</f>
        <v>5.6603773584905666</v>
      </c>
      <c r="J233">
        <f>IF('исходные данные'!J233&gt;'минимумы и максимумы'!H$10,100,('исходные данные'!J233-'минимумы и максимумы'!H$9)/('минимумы и максимумы'!H$10-'минимумы и максимумы'!H$9)*100)</f>
        <v>0</v>
      </c>
      <c r="K233">
        <f>IF('исходные данные'!K233&gt;'минимумы и максимумы'!I$10,100,('исходные данные'!K233-'минимумы и максимумы'!I$9)/('минимумы и максимумы'!I$10-'минимумы и максимумы'!I$9)*100)</f>
        <v>0</v>
      </c>
      <c r="L233">
        <f>IF('исходные данные'!L233&gt;'минимумы и максимумы'!J$10,100,('исходные данные'!L233-'минимумы и максимумы'!J$9)/('минимумы и максимумы'!J$10-'минимумы и максимумы'!J$9)*100)</f>
        <v>0</v>
      </c>
      <c r="M233">
        <f>IF('исходные данные'!M233&gt;'минимумы и максимумы'!K$10,100,('исходные данные'!M233-'минимумы и максимумы'!K$9)/('минимумы и максимумы'!K$10-'минимумы и максимумы'!K$9)*100)</f>
        <v>14.285714285714285</v>
      </c>
      <c r="N233">
        <f>IF('исходные данные'!N233&gt;'минимумы и максимумы'!L$10,100,('исходные данные'!N233-'минимумы и максимумы'!L$9)/('минимумы и максимумы'!L$10-'минимумы и максимумы'!L$9)*100)</f>
        <v>59.513108337701759</v>
      </c>
      <c r="O233">
        <f>IF('исходные данные'!O233&gt;'минимумы и максимумы'!M$10,100,('исходные данные'!O233-'минимумы и максимумы'!M$9)/('минимумы и максимумы'!M$10-'минимумы и максимумы'!M$9)*100)</f>
        <v>0</v>
      </c>
      <c r="P233">
        <f>IF('исходные данные'!P233&gt;'минимумы и максимумы'!N$10,100,('исходные данные'!P233-'минимумы и максимумы'!N$9)/('минимумы и максимумы'!N$10-'минимумы и максимумы'!N$9)*100)</f>
        <v>0</v>
      </c>
      <c r="Q233">
        <f>IF('исходные данные'!Q233&gt;'минимумы и максимумы'!O$10,100,('исходные данные'!Q233-'минимумы и максимумы'!O$9)/('минимумы и максимумы'!O$10-'минимумы и максимумы'!O$9)*100)</f>
        <v>100</v>
      </c>
      <c r="R233">
        <f>IF('исходные данные'!R233&gt;'минимумы и максимумы'!P$10,100,('исходные данные'!R233-'минимумы и максимумы'!P$9)/('минимумы и максимумы'!P$10-'минимумы и максимумы'!P$9)*100)</f>
        <v>25</v>
      </c>
      <c r="S233">
        <f>IF('исходные данные'!S233&gt;'минимумы и максимумы'!Q$10,100,('исходные данные'!S233-'минимумы и максимумы'!Q$9)/('минимумы и максимумы'!Q$10-'минимумы и максимумы'!Q$9)*100)</f>
        <v>33.333333333333329</v>
      </c>
      <c r="T233">
        <f>IF('исходные данные'!T233&gt;'минимумы и максимумы'!R$10,100,('исходные данные'!T233-'минимумы и максимумы'!R$9)/('минимумы и максимумы'!R$10-'минимумы и максимумы'!R$9)*100)</f>
        <v>21.202531645569618</v>
      </c>
      <c r="U233">
        <f>IF('исходные данные'!U233&gt;'минимумы и максимумы'!S$10,100,('исходные данные'!U233-'минимумы и максимумы'!S$9)/('минимумы и максимумы'!S$10-'минимумы и максимумы'!S$9)*100)</f>
        <v>0</v>
      </c>
    </row>
    <row r="234" spans="1:21" x14ac:dyDescent="0.45">
      <c r="A234" s="4">
        <v>326</v>
      </c>
      <c r="B234" s="4">
        <v>0</v>
      </c>
      <c r="C234" s="4">
        <v>1</v>
      </c>
      <c r="D234">
        <f>IF('исходные данные'!D234&gt;'минимумы и максимумы'!B$10,100,('исходные данные'!D234-'минимумы и максимумы'!B$9)/('минимумы и максимумы'!B$10-'минимумы и максимумы'!B$9)*100)</f>
        <v>0</v>
      </c>
      <c r="E234">
        <f>IF('исходные данные'!E234&gt;'минимумы и максимумы'!C$10,100,('исходные данные'!E234-'минимумы и максимумы'!C$9)/('минимумы и максимумы'!C$10-'минимумы и максимумы'!C$9)*100)</f>
        <v>0</v>
      </c>
      <c r="F234">
        <f>IF('исходные данные'!F234&gt;'минимумы и максимумы'!D$10,100,('исходные данные'!F234-'минимумы и максимумы'!D$9)/('минимумы и максимумы'!D$10-'минимумы и максимумы'!D$9)*100)</f>
        <v>0</v>
      </c>
      <c r="G234">
        <f>IF('исходные данные'!G234&gt;'минимумы и максимумы'!E$10,100,('исходные данные'!G234-'минимумы и максимумы'!E$9)/('минимумы и максимумы'!E$10-'минимумы и максимумы'!E$9)*100)</f>
        <v>0</v>
      </c>
      <c r="H234">
        <f>IF('исходные данные'!H234&gt;'минимумы и максимумы'!F$10,100,('исходные данные'!H234-'минимумы и максимумы'!F$9)/('минимумы и максимумы'!F$10-'минимумы и максимумы'!F$9)*100)</f>
        <v>0</v>
      </c>
      <c r="I234">
        <f>IF('исходные данные'!I234&gt;'минимумы и максимумы'!G$10,100,('исходные данные'!I234-'минимумы и максимумы'!G$9)/('минимумы и максимумы'!G$10-'минимумы и максимумы'!G$9)*100)</f>
        <v>0</v>
      </c>
      <c r="J234">
        <f>IF('исходные данные'!J234&gt;'минимумы и максимумы'!H$10,100,('исходные данные'!J234-'минимумы и максимумы'!H$9)/('минимумы и максимумы'!H$10-'минимумы и максимумы'!H$9)*100)</f>
        <v>0</v>
      </c>
      <c r="K234">
        <f>IF('исходные данные'!K234&gt;'минимумы и максимумы'!I$10,100,('исходные данные'!K234-'минимумы и максимумы'!I$9)/('минимумы и максимумы'!I$10-'минимумы и максимумы'!I$9)*100)</f>
        <v>5.5555555555555554</v>
      </c>
      <c r="L234">
        <f>IF('исходные данные'!L234&gt;'минимумы и максимумы'!J$10,100,('исходные данные'!L234-'минимумы и максимумы'!J$9)/('минимумы и максимумы'!J$10-'минимумы и максимумы'!J$9)*100)</f>
        <v>0</v>
      </c>
      <c r="M234">
        <f>IF('исходные данные'!M234&gt;'минимумы и максимумы'!K$10,100,('исходные данные'!M234-'минимумы и максимумы'!K$9)/('минимумы и максимумы'!K$10-'минимумы и максимумы'!K$9)*100)</f>
        <v>10.714285714285714</v>
      </c>
      <c r="N234">
        <f>IF('исходные данные'!N234&gt;'минимумы и максимумы'!L$10,100,('исходные данные'!N234-'минимумы и максимумы'!L$9)/('минимумы и максимумы'!L$10-'минимумы и максимумы'!L$9)*100)</f>
        <v>61.104672583147988</v>
      </c>
      <c r="O234">
        <f>IF('исходные данные'!O234&gt;'минимумы и максимумы'!M$10,100,('исходные данные'!O234-'минимумы и максимумы'!M$9)/('минимумы и максимумы'!M$10-'минимумы и максимумы'!M$9)*100)</f>
        <v>0</v>
      </c>
      <c r="P234">
        <f>IF('исходные данные'!P234&gt;'минимумы и максимумы'!N$10,100,('исходные данные'!P234-'минимумы и максимумы'!N$9)/('минимумы и максимумы'!N$10-'минимумы и максимумы'!N$9)*100)</f>
        <v>0</v>
      </c>
      <c r="Q234">
        <f>IF('исходные данные'!Q234&gt;'минимумы и максимумы'!O$10,100,('исходные данные'!Q234-'минимумы и максимумы'!O$9)/('минимумы и максимумы'!O$10-'минимумы и максимумы'!O$9)*100)</f>
        <v>100</v>
      </c>
      <c r="R234">
        <f>IF('исходные данные'!R234&gt;'минимумы и максимумы'!P$10,100,('исходные данные'!R234-'минимумы и максимумы'!P$9)/('минимумы и максимумы'!P$10-'минимумы и максимумы'!P$9)*100)</f>
        <v>25</v>
      </c>
      <c r="S234">
        <f>IF('исходные данные'!S234&gt;'минимумы и максимумы'!Q$10,100,('исходные данные'!S234-'минимумы и максимумы'!Q$9)/('минимумы и максимумы'!Q$10-'минимумы и максимумы'!Q$9)*100)</f>
        <v>16.666666666666664</v>
      </c>
      <c r="T234">
        <f>IF('исходные данные'!T234&gt;'минимумы и максимумы'!R$10,100,('исходные данные'!T234-'минимумы и максимумы'!R$9)/('минимумы и максимумы'!R$10-'минимумы и максимумы'!R$9)*100)</f>
        <v>13.434982738780207</v>
      </c>
      <c r="U234">
        <f>IF('исходные данные'!U234&gt;'минимумы и максимумы'!S$10,100,('исходные данные'!U234-'минимумы и максимумы'!S$9)/('минимумы и максимумы'!S$10-'минимумы и максимумы'!S$9)*100)</f>
        <v>66.666666666666657</v>
      </c>
    </row>
    <row r="235" spans="1:21" x14ac:dyDescent="0.45">
      <c r="A235" s="4">
        <v>327</v>
      </c>
      <c r="B235" s="4">
        <v>0</v>
      </c>
      <c r="C235" s="4">
        <v>0</v>
      </c>
      <c r="D235">
        <f>IF('исходные данные'!D235&gt;'минимумы и максимумы'!B$10,100,('исходные данные'!D235-'минимумы и максимумы'!B$9)/('минимумы и максимумы'!B$10-'минимумы и максимумы'!B$9)*100)</f>
        <v>0</v>
      </c>
      <c r="E235">
        <f>IF('исходные данные'!E235&gt;'минимумы и максимумы'!C$10,100,('исходные данные'!E235-'минимумы и максимумы'!C$9)/('минимумы и максимумы'!C$10-'минимумы и максимумы'!C$9)*100)</f>
        <v>0</v>
      </c>
      <c r="F235">
        <f>IF('исходные данные'!F235&gt;'минимумы и максимумы'!D$10,100,('исходные данные'!F235-'минимумы и максимумы'!D$9)/('минимумы и максимумы'!D$10-'минимумы и максимумы'!D$9)*100)</f>
        <v>0</v>
      </c>
      <c r="G235">
        <f>IF('исходные данные'!G235&gt;'минимумы и максимумы'!E$10,100,('исходные данные'!G235-'минимумы и максимумы'!E$9)/('минимумы и максимумы'!E$10-'минимумы и максимумы'!E$9)*100)</f>
        <v>0</v>
      </c>
      <c r="H235">
        <f>IF('исходные данные'!H235&gt;'минимумы и максимумы'!F$10,100,('исходные данные'!H235-'минимумы и максимумы'!F$9)/('минимумы и максимумы'!F$10-'минимумы и максимумы'!F$9)*100)</f>
        <v>0</v>
      </c>
      <c r="I235">
        <f>IF('исходные данные'!I235&gt;'минимумы и максимумы'!G$10,100,('исходные данные'!I235-'минимумы и максимумы'!G$9)/('минимумы и максимумы'!G$10-'минимумы и максимумы'!G$9)*100)</f>
        <v>0</v>
      </c>
      <c r="J235">
        <f>IF('исходные данные'!J235&gt;'минимумы и максимумы'!H$10,100,('исходные данные'!J235-'минимумы и максимумы'!H$9)/('минимумы и максимумы'!H$10-'минимумы и максимумы'!H$9)*100)</f>
        <v>0</v>
      </c>
      <c r="K235">
        <f>IF('исходные данные'!K235&gt;'минимумы и максимумы'!I$10,100,('исходные данные'!K235-'минимумы и максимумы'!I$9)/('минимумы и максимумы'!I$10-'минимумы и максимумы'!I$9)*100)</f>
        <v>5.5555555555555554</v>
      </c>
      <c r="L235">
        <f>IF('исходные данные'!L235&gt;'минимумы и максимумы'!J$10,100,('исходные данные'!L235-'минимумы и максимумы'!J$9)/('минимумы и максимумы'!J$10-'минимумы и максимумы'!J$9)*100)</f>
        <v>0</v>
      </c>
      <c r="M235">
        <f>IF('исходные данные'!M235&gt;'минимумы и максимумы'!K$10,100,('исходные данные'!M235-'минимумы и максимумы'!K$9)/('минимумы и максимумы'!K$10-'минимумы и максимумы'!K$9)*100)</f>
        <v>14.285714285714285</v>
      </c>
      <c r="N235">
        <f>IF('исходные данные'!N235&gt;'минимумы и максимумы'!L$10,100,('исходные данные'!N235-'минимумы и максимумы'!L$9)/('минимумы и максимумы'!L$10-'минимумы и максимумы'!L$9)*100)</f>
        <v>60.231277875504752</v>
      </c>
      <c r="O235">
        <f>IF('исходные данные'!O235&gt;'минимумы и максимумы'!M$10,100,('исходные данные'!O235-'минимумы и максимумы'!M$9)/('минимумы и максимумы'!M$10-'минимумы и максимумы'!M$9)*100)</f>
        <v>0</v>
      </c>
      <c r="P235">
        <f>IF('исходные данные'!P235&gt;'минимумы и максимумы'!N$10,100,('исходные данные'!P235-'минимумы и максимумы'!N$9)/('минимумы и максимумы'!N$10-'минимумы и максимумы'!N$9)*100)</f>
        <v>0</v>
      </c>
      <c r="Q235">
        <f>IF('исходные данные'!Q235&gt;'минимумы и максимумы'!O$10,100,('исходные данные'!Q235-'минимумы и максимумы'!O$9)/('минимумы и максимумы'!O$10-'минимумы и максимумы'!O$9)*100)</f>
        <v>100</v>
      </c>
      <c r="R235">
        <f>IF('исходные данные'!R235&gt;'минимумы и максимумы'!P$10,100,('исходные данные'!R235-'минимумы и максимумы'!P$9)/('минимумы и максимумы'!P$10-'минимумы и максимумы'!P$9)*100)</f>
        <v>25</v>
      </c>
      <c r="S235">
        <f>IF('исходные данные'!S235&gt;'минимумы и максимумы'!Q$10,100,('исходные данные'!S235-'минимумы и максимумы'!Q$9)/('минимумы и максимумы'!Q$10-'минимумы и максимумы'!Q$9)*100)</f>
        <v>16.666666666666664</v>
      </c>
      <c r="T235">
        <f>IF('исходные данные'!T235&gt;'минимумы и максимумы'!R$10,100,('исходные данные'!T235-'минимумы и максимумы'!R$9)/('минимумы и максимумы'!R$10-'минимумы и максимумы'!R$9)*100)</f>
        <v>13.032220943613348</v>
      </c>
      <c r="U235">
        <f>IF('исходные данные'!U235&gt;'минимумы и максимумы'!S$10,100,('исходные данные'!U235-'минимумы и максимумы'!S$9)/('минимумы и максимумы'!S$10-'минимумы и максимумы'!S$9)*100)</f>
        <v>66.666666666666657</v>
      </c>
    </row>
    <row r="236" spans="1:21" x14ac:dyDescent="0.45">
      <c r="A236" s="4">
        <v>328</v>
      </c>
      <c r="B236" s="4">
        <v>0</v>
      </c>
      <c r="C236" s="4">
        <v>0</v>
      </c>
      <c r="D236">
        <f>IF('исходные данные'!D236&gt;'минимумы и максимумы'!B$10,100,('исходные данные'!D236-'минимумы и максимумы'!B$9)/('минимумы и максимумы'!B$10-'минимумы и максимумы'!B$9)*100)</f>
        <v>0</v>
      </c>
      <c r="E236">
        <f>IF('исходные данные'!E236&gt;'минимумы и максимумы'!C$10,100,('исходные данные'!E236-'минимумы и максимумы'!C$9)/('минимумы и максимумы'!C$10-'минимумы и максимумы'!C$9)*100)</f>
        <v>0</v>
      </c>
      <c r="F236">
        <f>IF('исходные данные'!F236&gt;'минимумы и максимумы'!D$10,100,('исходные данные'!F236-'минимумы и максимумы'!D$9)/('минимумы и максимумы'!D$10-'минимумы и максимумы'!D$9)*100)</f>
        <v>0</v>
      </c>
      <c r="G236">
        <f>IF('исходные данные'!G236&gt;'минимумы и максимумы'!E$10,100,('исходные данные'!G236-'минимумы и максимумы'!E$9)/('минимумы и максимумы'!E$10-'минимумы и максимумы'!E$9)*100)</f>
        <v>0</v>
      </c>
      <c r="H236">
        <f>IF('исходные данные'!H236&gt;'минимумы и максимумы'!F$10,100,('исходные данные'!H236-'минимумы и максимумы'!F$9)/('минимумы и максимумы'!F$10-'минимумы и максимумы'!F$9)*100)</f>
        <v>0</v>
      </c>
      <c r="I236">
        <f>IF('исходные данные'!I236&gt;'минимумы и максимумы'!G$10,100,('исходные данные'!I236-'минимумы и максимумы'!G$9)/('минимумы и максимумы'!G$10-'минимумы и максимумы'!G$9)*100)</f>
        <v>0</v>
      </c>
      <c r="J236">
        <f>IF('исходные данные'!J236&gt;'минимумы и максимумы'!H$10,100,('исходные данные'!J236-'минимумы и максимумы'!H$9)/('минимумы и максимумы'!H$10-'минимумы и максимумы'!H$9)*100)</f>
        <v>0</v>
      </c>
      <c r="K236">
        <f>IF('исходные данные'!K236&gt;'минимумы и максимумы'!I$10,100,('исходные данные'!K236-'минимумы и максимумы'!I$9)/('минимумы и максимумы'!I$10-'минимумы и максимумы'!I$9)*100)</f>
        <v>5.5555555555555554</v>
      </c>
      <c r="L236">
        <f>IF('исходные данные'!L236&gt;'минимумы и максимумы'!J$10,100,('исходные данные'!L236-'минимумы и максимумы'!J$9)/('минимумы и максимумы'!J$10-'минимумы и максимумы'!J$9)*100)</f>
        <v>0</v>
      </c>
      <c r="M236">
        <f>IF('исходные данные'!M236&gt;'минимумы и максимумы'!K$10,100,('исходные данные'!M236-'минимумы и максимумы'!K$9)/('минимумы и максимумы'!K$10-'минимумы и максимумы'!K$9)*100)</f>
        <v>14.285714285714285</v>
      </c>
      <c r="N236">
        <f>IF('исходные данные'!N236&gt;'минимумы и максимумы'!L$10,100,('исходные данные'!N236-'минимумы и максимумы'!L$9)/('минимумы и максимумы'!L$10-'минимумы и максимумы'!L$9)*100)</f>
        <v>60.169903884911925</v>
      </c>
      <c r="O236">
        <f>IF('исходные данные'!O236&gt;'минимумы и максимумы'!M$10,100,('исходные данные'!O236-'минимумы и максимумы'!M$9)/('минимумы и максимумы'!M$10-'минимумы и максимумы'!M$9)*100)</f>
        <v>0</v>
      </c>
      <c r="P236">
        <f>IF('исходные данные'!P236&gt;'минимумы и максимумы'!N$10,100,('исходные данные'!P236-'минимумы и максимумы'!N$9)/('минимумы и максимумы'!N$10-'минимумы и максимумы'!N$9)*100)</f>
        <v>0</v>
      </c>
      <c r="Q236">
        <f>IF('исходные данные'!Q236&gt;'минимумы и максимумы'!O$10,100,('исходные данные'!Q236-'минимумы и максимумы'!O$9)/('минимумы и максимумы'!O$10-'минимумы и максимумы'!O$9)*100)</f>
        <v>100</v>
      </c>
      <c r="R236">
        <f>IF('исходные данные'!R236&gt;'минимумы и максимумы'!P$10,100,('исходные данные'!R236-'минимумы и максимумы'!P$9)/('минимумы и максимумы'!P$10-'минимумы и максимумы'!P$9)*100)</f>
        <v>25</v>
      </c>
      <c r="S236">
        <f>IF('исходные данные'!S236&gt;'минимумы и максимумы'!Q$10,100,('исходные данные'!S236-'минимумы и максимумы'!Q$9)/('минимумы и максимумы'!Q$10-'минимумы и максимумы'!Q$9)*100)</f>
        <v>16.666666666666664</v>
      </c>
      <c r="T236">
        <f>IF('исходные данные'!T236&gt;'минимумы и максимумы'!R$10,100,('исходные данные'!T236-'минимумы и максимумы'!R$9)/('минимумы и максимумы'!R$10-'минимумы и максимумы'!R$9)*100)</f>
        <v>13.089758342922901</v>
      </c>
      <c r="U236">
        <f>IF('исходные данные'!U236&gt;'минимумы и максимумы'!S$10,100,('исходные данные'!U236-'минимумы и максимумы'!S$9)/('минимумы и максимумы'!S$10-'минимумы и максимумы'!S$9)*100)</f>
        <v>66.666666666666657</v>
      </c>
    </row>
    <row r="237" spans="1:21" x14ac:dyDescent="0.45">
      <c r="A237" s="4">
        <v>329</v>
      </c>
      <c r="B237" s="4">
        <v>0</v>
      </c>
      <c r="C237" s="4">
        <v>0</v>
      </c>
      <c r="D237">
        <f>IF('исходные данные'!D237&gt;'минимумы и максимумы'!B$10,100,('исходные данные'!D237-'минимумы и максимумы'!B$9)/('минимумы и максимумы'!B$10-'минимумы и максимумы'!B$9)*100)</f>
        <v>0</v>
      </c>
      <c r="E237">
        <f>IF('исходные данные'!E237&gt;'минимумы и максимумы'!C$10,100,('исходные данные'!E237-'минимумы и максимумы'!C$9)/('минимумы и максимумы'!C$10-'минимумы и максимумы'!C$9)*100)</f>
        <v>0</v>
      </c>
      <c r="F237">
        <f>IF('исходные данные'!F237&gt;'минимумы и максимумы'!D$10,100,('исходные данные'!F237-'минимумы и максимумы'!D$9)/('минимумы и максимумы'!D$10-'минимумы и максимумы'!D$9)*100)</f>
        <v>0</v>
      </c>
      <c r="G237">
        <f>IF('исходные данные'!G237&gt;'минимумы и максимумы'!E$10,100,('исходные данные'!G237-'минимумы и максимумы'!E$9)/('минимумы и максимумы'!E$10-'минимумы и максимумы'!E$9)*100)</f>
        <v>0</v>
      </c>
      <c r="H237">
        <f>IF('исходные данные'!H237&gt;'минимумы и максимумы'!F$10,100,('исходные данные'!H237-'минимумы и максимумы'!F$9)/('минимумы и максимумы'!F$10-'минимумы и максимумы'!F$9)*100)</f>
        <v>0</v>
      </c>
      <c r="I237">
        <f>IF('исходные данные'!I237&gt;'минимумы и максимумы'!G$10,100,('исходные данные'!I237-'минимумы и максимумы'!G$9)/('минимумы и максимумы'!G$10-'минимумы и максимумы'!G$9)*100)</f>
        <v>0</v>
      </c>
      <c r="J237">
        <f>IF('исходные данные'!J237&gt;'минимумы и максимумы'!H$10,100,('исходные данные'!J237-'минимумы и максимумы'!H$9)/('минимумы и максимумы'!H$10-'минимумы и максимумы'!H$9)*100)</f>
        <v>0</v>
      </c>
      <c r="K237">
        <f>IF('исходные данные'!K237&gt;'минимумы и максимумы'!I$10,100,('исходные данные'!K237-'минимумы и максимумы'!I$9)/('минимумы и максимумы'!I$10-'минимумы и максимумы'!I$9)*100)</f>
        <v>5.5555555555555554</v>
      </c>
      <c r="L237">
        <f>IF('исходные данные'!L237&gt;'минимумы и максимумы'!J$10,100,('исходные данные'!L237-'минимумы и максимумы'!J$9)/('минимумы и максимумы'!J$10-'минимумы и максимумы'!J$9)*100)</f>
        <v>0</v>
      </c>
      <c r="M237">
        <f>IF('исходные данные'!M237&gt;'минимумы и максимумы'!K$10,100,('исходные данные'!M237-'минимумы и максимумы'!K$9)/('минимумы и максимумы'!K$10-'минимумы и максимумы'!K$9)*100)</f>
        <v>14.285714285714285</v>
      </c>
      <c r="N237">
        <f>IF('исходные данные'!N237&gt;'минимумы и максимумы'!L$10,100,('исходные данные'!N237-'минимумы и максимумы'!L$9)/('минимумы и максимумы'!L$10-'минимумы и максимумы'!L$9)*100)</f>
        <v>59.881129399762358</v>
      </c>
      <c r="O237">
        <f>IF('исходные данные'!O237&gt;'минимумы и максимумы'!M$10,100,('исходные данные'!O237-'минимумы и максимумы'!M$9)/('минимумы и максимумы'!M$10-'минимумы и максимумы'!M$9)*100)</f>
        <v>0</v>
      </c>
      <c r="P237">
        <f>IF('исходные данные'!P237&gt;'минимумы и максимумы'!N$10,100,('исходные данные'!P237-'минимумы и максимумы'!N$9)/('минимумы и максимумы'!N$10-'минимумы и максимумы'!N$9)*100)</f>
        <v>0</v>
      </c>
      <c r="Q237">
        <f>IF('исходные данные'!Q237&gt;'минимумы и максимумы'!O$10,100,('исходные данные'!Q237-'минимумы и максимумы'!O$9)/('минимумы и максимумы'!O$10-'минимумы и максимумы'!O$9)*100)</f>
        <v>100</v>
      </c>
      <c r="R237">
        <f>IF('исходные данные'!R237&gt;'минимумы и максимумы'!P$10,100,('исходные данные'!R237-'минимумы и максимумы'!P$9)/('минимумы и максимумы'!P$10-'минимумы и максимумы'!P$9)*100)</f>
        <v>25</v>
      </c>
      <c r="S237">
        <f>IF('исходные данные'!S237&gt;'минимумы и максимумы'!Q$10,100,('исходные данные'!S237-'минимумы и максимумы'!Q$9)/('минимумы и максимумы'!Q$10-'минимумы и максимумы'!Q$9)*100)</f>
        <v>16.666666666666664</v>
      </c>
      <c r="T237">
        <f>IF('исходные данные'!T237&gt;'минимумы и максимумы'!R$10,100,('исходные данные'!T237-'минимумы и максимумы'!R$9)/('минимумы и максимумы'!R$10-'минимумы и максимумы'!R$9)*100)</f>
        <v>13.032220943613348</v>
      </c>
      <c r="U237">
        <f>IF('исходные данные'!U237&gt;'минимумы и максимумы'!S$10,100,('исходные данные'!U237-'минимумы и максимумы'!S$9)/('минимумы и максимумы'!S$10-'минимумы и максимумы'!S$9)*100)</f>
        <v>66.666666666666657</v>
      </c>
    </row>
    <row r="238" spans="1:21" x14ac:dyDescent="0.45">
      <c r="A238" s="4">
        <v>330</v>
      </c>
      <c r="B238" s="4">
        <v>0</v>
      </c>
      <c r="C238" s="4">
        <v>0</v>
      </c>
      <c r="D238">
        <f>IF('исходные данные'!D238&gt;'минимумы и максимумы'!B$10,100,('исходные данные'!D238-'минимумы и максимумы'!B$9)/('минимумы и максимумы'!B$10-'минимумы и максимумы'!B$9)*100)</f>
        <v>0</v>
      </c>
      <c r="E238">
        <f>IF('исходные данные'!E238&gt;'минимумы и максимумы'!C$10,100,('исходные данные'!E238-'минимумы и максимумы'!C$9)/('минимумы и максимумы'!C$10-'минимумы и максимумы'!C$9)*100)</f>
        <v>10</v>
      </c>
      <c r="F238">
        <f>IF('исходные данные'!F238&gt;'минимумы и максимумы'!D$10,100,('исходные данные'!F238-'минимумы и максимумы'!D$9)/('минимумы и максимумы'!D$10-'минимумы и максимумы'!D$9)*100)</f>
        <v>0</v>
      </c>
      <c r="G238">
        <f>IF('исходные данные'!G238&gt;'минимумы и максимумы'!E$10,100,('исходные данные'!G238-'минимумы и максимумы'!E$9)/('минимумы и максимумы'!E$10-'минимумы и максимумы'!E$9)*100)</f>
        <v>0</v>
      </c>
      <c r="H238">
        <f>IF('исходные данные'!H238&gt;'минимумы и максимумы'!F$10,100,('исходные данные'!H238-'минимумы и максимумы'!F$9)/('минимумы и максимумы'!F$10-'минимумы и максимумы'!F$9)*100)</f>
        <v>13.793103448275861</v>
      </c>
      <c r="I238">
        <f>IF('исходные данные'!I238&gt;'минимумы и максимумы'!G$10,100,('исходные данные'!I238-'минимумы и максимумы'!G$9)/('минимумы и максимумы'!G$10-'минимумы и максимумы'!G$9)*100)</f>
        <v>0</v>
      </c>
      <c r="J238">
        <f>IF('исходные данные'!J238&gt;'минимумы и максимумы'!H$10,100,('исходные данные'!J238-'минимумы и максимумы'!H$9)/('минимумы и максимумы'!H$10-'минимумы и максимумы'!H$9)*100)</f>
        <v>6.666666666666667</v>
      </c>
      <c r="K238">
        <f>IF('исходные данные'!K238&gt;'минимумы и максимумы'!I$10,100,('исходные данные'!K238-'минимумы и максимумы'!I$9)/('минимумы и максимумы'!I$10-'минимумы и максимумы'!I$9)*100)</f>
        <v>0</v>
      </c>
      <c r="L238">
        <f>IF('исходные данные'!L238&gt;'минимумы и максимумы'!J$10,100,('исходные данные'!L238-'минимумы и максимумы'!J$9)/('минимумы и максимумы'!J$10-'минимумы и максимумы'!J$9)*100)</f>
        <v>0</v>
      </c>
      <c r="M238">
        <f>IF('исходные данные'!M238&gt;'минимумы и максимумы'!K$10,100,('исходные данные'!M238-'минимумы и максимумы'!K$9)/('минимумы и максимумы'!K$10-'минимумы и максимумы'!K$9)*100)</f>
        <v>7.1428571428571423</v>
      </c>
      <c r="N238">
        <f>IF('исходные данные'!N238&gt;'минимумы и максимумы'!L$10,100,('исходные данные'!N238-'минимумы и максимумы'!L$9)/('минимумы и максимумы'!L$10-'минимумы и максимумы'!L$9)*100)</f>
        <v>51.6844934412212</v>
      </c>
      <c r="O238">
        <f>IF('исходные данные'!O238&gt;'минимумы и максимумы'!M$10,100,('исходные данные'!O238-'минимумы и максимумы'!M$9)/('минимумы и максимумы'!M$10-'минимумы и максимумы'!M$9)*100)</f>
        <v>0</v>
      </c>
      <c r="P238">
        <f>IF('исходные данные'!P238&gt;'минимумы и максимумы'!N$10,100,('исходные данные'!P238-'минимумы и максимумы'!N$9)/('минимумы и максимумы'!N$10-'минимумы и максимумы'!N$9)*100)</f>
        <v>0</v>
      </c>
      <c r="Q238">
        <f>IF('исходные данные'!Q238&gt;'минимумы и максимумы'!O$10,100,('исходные данные'!Q238-'минимумы и максимумы'!O$9)/('минимумы и максимумы'!O$10-'минимумы и максимумы'!O$9)*100)</f>
        <v>100</v>
      </c>
      <c r="R238">
        <f>IF('исходные данные'!R238&gt;'минимумы и максимумы'!P$10,100,('исходные данные'!R238-'минимумы и максимумы'!P$9)/('минимумы и максимумы'!P$10-'минимумы и максимумы'!P$9)*100)</f>
        <v>50</v>
      </c>
      <c r="S238">
        <f>IF('исходные данные'!S238&gt;'минимумы и максимумы'!Q$10,100,('исходные данные'!S238-'минимумы и максимумы'!Q$9)/('минимумы и максимумы'!Q$10-'минимумы и максимумы'!Q$9)*100)</f>
        <v>16.666666666666664</v>
      </c>
      <c r="T238">
        <f>IF('исходные данные'!T238&gt;'минимумы и максимумы'!R$10,100,('исходные данные'!T238-'минимумы и максимумы'!R$9)/('минимумы и максимумы'!R$10-'минимумы и максимумы'!R$9)*100)</f>
        <v>3.5097813578826234</v>
      </c>
      <c r="U238">
        <f>IF('исходные данные'!U238&gt;'минимумы и максимумы'!S$10,100,('исходные данные'!U238-'минимумы и максимумы'!S$9)/('минимумы и максимумы'!S$10-'минимумы и максимумы'!S$9)*100)</f>
        <v>0</v>
      </c>
    </row>
    <row r="239" spans="1:21" x14ac:dyDescent="0.45">
      <c r="A239" s="4">
        <v>331</v>
      </c>
      <c r="B239" s="4">
        <v>0</v>
      </c>
      <c r="C239" s="4">
        <v>0</v>
      </c>
      <c r="D239">
        <f>IF('исходные данные'!D239&gt;'минимумы и максимумы'!B$10,100,('исходные данные'!D239-'минимумы и максимумы'!B$9)/('минимумы и максимумы'!B$10-'минимумы и максимумы'!B$9)*100)</f>
        <v>0</v>
      </c>
      <c r="E239">
        <f>IF('исходные данные'!E239&gt;'минимумы и максимумы'!C$10,100,('исходные данные'!E239-'минимумы и максимумы'!C$9)/('минимумы и максимумы'!C$10-'минимумы и максимумы'!C$9)*100)</f>
        <v>0</v>
      </c>
      <c r="F239">
        <f>IF('исходные данные'!F239&gt;'минимумы и максимумы'!D$10,100,('исходные данные'!F239-'минимумы и максимумы'!D$9)/('минимумы и максимумы'!D$10-'минимумы и максимумы'!D$9)*100)</f>
        <v>0</v>
      </c>
      <c r="G239">
        <f>IF('исходные данные'!G239&gt;'минимумы и максимумы'!E$10,100,('исходные данные'!G239-'минимумы и максимумы'!E$9)/('минимумы и максимумы'!E$10-'минимумы и максимумы'!E$9)*100)</f>
        <v>0</v>
      </c>
      <c r="H239">
        <f>IF('исходные данные'!H239&gt;'минимумы и максимумы'!F$10,100,('исходные данные'!H239-'минимумы и максимумы'!F$9)/('минимумы и максимумы'!F$10-'минимумы и максимумы'!F$9)*100)</f>
        <v>0</v>
      </c>
      <c r="I239">
        <f>IF('исходные данные'!I239&gt;'минимумы и максимумы'!G$10,100,('исходные данные'!I239-'минимумы и максимумы'!G$9)/('минимумы и максимумы'!G$10-'минимумы и максимумы'!G$9)*100)</f>
        <v>0</v>
      </c>
      <c r="J239">
        <f>IF('исходные данные'!J239&gt;'минимумы и максимумы'!H$10,100,('исходные данные'!J239-'минимумы и максимумы'!H$9)/('минимумы и максимумы'!H$10-'минимумы и максимумы'!H$9)*100)</f>
        <v>0</v>
      </c>
      <c r="K239">
        <f>IF('исходные данные'!K239&gt;'минимумы и максимумы'!I$10,100,('исходные данные'!K239-'минимумы и максимумы'!I$9)/('минимумы и максимумы'!I$10-'минимумы и максимумы'!I$9)*100)</f>
        <v>0</v>
      </c>
      <c r="L239">
        <f>IF('исходные данные'!L239&gt;'минимумы и максимумы'!J$10,100,('исходные данные'!L239-'минимумы и максимумы'!J$9)/('минимумы и максимумы'!J$10-'минимумы и максимумы'!J$9)*100)</f>
        <v>0</v>
      </c>
      <c r="M239">
        <f>IF('исходные данные'!M239&gt;'минимумы и максимумы'!K$10,100,('исходные данные'!M239-'минимумы и максимумы'!K$9)/('минимумы и максимумы'!K$10-'минимумы и максимумы'!K$9)*100)</f>
        <v>3.5714285714285712</v>
      </c>
      <c r="N239">
        <f>IF('исходные данные'!N239&gt;'минимумы и максимумы'!L$10,100,('исходные данные'!N239-'минимумы и максимумы'!L$9)/('минимумы и максимумы'!L$10-'минимумы и максимумы'!L$9)*100)</f>
        <v>53.639218580181961</v>
      </c>
      <c r="O239">
        <f>IF('исходные данные'!O239&gt;'минимумы и максимумы'!M$10,100,('исходные данные'!O239-'минимумы и максимумы'!M$9)/('минимумы и максимумы'!M$10-'минимумы и максимумы'!M$9)*100)</f>
        <v>0</v>
      </c>
      <c r="P239">
        <f>IF('исходные данные'!P239&gt;'минимумы и максимумы'!N$10,100,('исходные данные'!P239-'минимумы и максимумы'!N$9)/('минимумы и максимумы'!N$10-'минимумы и максимумы'!N$9)*100)</f>
        <v>0</v>
      </c>
      <c r="Q239">
        <f>IF('исходные данные'!Q239&gt;'минимумы и максимумы'!O$10,100,('исходные данные'!Q239-'минимумы и максимумы'!O$9)/('минимумы и максимумы'!O$10-'минимумы и максимумы'!O$9)*100)</f>
        <v>100</v>
      </c>
      <c r="R239">
        <f>IF('исходные данные'!R239&gt;'минимумы и максимумы'!P$10,100,('исходные данные'!R239-'минимумы и максимумы'!P$9)/('минимумы и максимумы'!P$10-'минимумы и максимумы'!P$9)*100)</f>
        <v>75</v>
      </c>
      <c r="S239">
        <f>IF('исходные данные'!S239&gt;'минимумы и максимумы'!Q$10,100,('исходные данные'!S239-'минимумы и максимумы'!Q$9)/('минимумы и максимумы'!Q$10-'минимумы и максимумы'!Q$9)*100)</f>
        <v>16.666666666666664</v>
      </c>
      <c r="T239">
        <f>IF('исходные данные'!T239&gt;'минимумы и максимумы'!R$10,100,('исходные данные'!T239-'минимумы и максимумы'!R$9)/('минимумы и максимумы'!R$10-'минимумы и максимумы'!R$9)*100)</f>
        <v>2.2727272727272729</v>
      </c>
      <c r="U239">
        <f>IF('исходные данные'!U239&gt;'минимумы и максимумы'!S$10,100,('исходные данные'!U239-'минимумы и максимумы'!S$9)/('минимумы и максимумы'!S$10-'минимумы и максимумы'!S$9)*100)</f>
        <v>0</v>
      </c>
    </row>
    <row r="240" spans="1:21" x14ac:dyDescent="0.45">
      <c r="A240" s="4">
        <v>332</v>
      </c>
      <c r="B240" s="4">
        <v>0</v>
      </c>
      <c r="C240" s="4">
        <v>0</v>
      </c>
      <c r="D240">
        <f>IF('исходные данные'!D240&gt;'минимумы и максимумы'!B$10,100,('исходные данные'!D240-'минимумы и максимумы'!B$9)/('минимумы и максимумы'!B$10-'минимумы и максимумы'!B$9)*100)</f>
        <v>0</v>
      </c>
      <c r="E240">
        <f>IF('исходные данные'!E240&gt;'минимумы и максимумы'!C$10,100,('исходные данные'!E240-'минимумы и максимумы'!C$9)/('минимумы и максимумы'!C$10-'минимумы и максимумы'!C$9)*100)</f>
        <v>0</v>
      </c>
      <c r="F240">
        <f>IF('исходные данные'!F240&gt;'минимумы и максимумы'!D$10,100,('исходные данные'!F240-'минимумы и максимумы'!D$9)/('минимумы и максимумы'!D$10-'минимумы и максимумы'!D$9)*100)</f>
        <v>0</v>
      </c>
      <c r="G240">
        <f>IF('исходные данные'!G240&gt;'минимумы и максимумы'!E$10,100,('исходные данные'!G240-'минимумы и максимумы'!E$9)/('минимумы и максимумы'!E$10-'минимумы и максимумы'!E$9)*100)</f>
        <v>0</v>
      </c>
      <c r="H240">
        <f>IF('исходные данные'!H240&gt;'минимумы и максимумы'!F$10,100,('исходные данные'!H240-'минимумы и максимумы'!F$9)/('минимумы и максимумы'!F$10-'минимумы и максимумы'!F$9)*100)</f>
        <v>0</v>
      </c>
      <c r="I240">
        <f>IF('исходные данные'!I240&gt;'минимумы и максимумы'!G$10,100,('исходные данные'!I240-'минимумы и максимумы'!G$9)/('минимумы и максимумы'!G$10-'минимумы и максимумы'!G$9)*100)</f>
        <v>0</v>
      </c>
      <c r="J240">
        <f>IF('исходные данные'!J240&gt;'минимумы и максимумы'!H$10,100,('исходные данные'!J240-'минимумы и максимумы'!H$9)/('минимумы и максимумы'!H$10-'минимумы и максимумы'!H$9)*100)</f>
        <v>0</v>
      </c>
      <c r="K240">
        <f>IF('исходные данные'!K240&gt;'минимумы и максимумы'!I$10,100,('исходные данные'!K240-'минимумы и максимумы'!I$9)/('минимумы и максимумы'!I$10-'минимумы и максимумы'!I$9)*100)</f>
        <v>0</v>
      </c>
      <c r="L240">
        <f>IF('исходные данные'!L240&gt;'минимумы и максимумы'!J$10,100,('исходные данные'!L240-'минимумы и максимумы'!J$9)/('минимумы и максимумы'!J$10-'минимумы и максимумы'!J$9)*100)</f>
        <v>0</v>
      </c>
      <c r="M240">
        <f>IF('исходные данные'!M240&gt;'минимумы и максимумы'!K$10,100,('исходные данные'!M240-'минимумы и максимумы'!K$9)/('минимумы и максимумы'!K$10-'минимумы и максимумы'!K$9)*100)</f>
        <v>0</v>
      </c>
      <c r="N240">
        <f>IF('исходные данные'!N240&gt;'минимумы и максимумы'!L$10,100,('исходные данные'!N240-'минимумы и максимумы'!L$9)/('минимумы и максимумы'!L$10-'минимумы и максимумы'!L$9)*100)</f>
        <v>58.413167516571384</v>
      </c>
      <c r="O240">
        <f>IF('исходные данные'!O240&gt;'минимумы и максимумы'!M$10,100,('исходные данные'!O240-'минимумы и максимумы'!M$9)/('минимумы и максимумы'!M$10-'минимумы и максимумы'!M$9)*100)</f>
        <v>0</v>
      </c>
      <c r="P240">
        <f>IF('исходные данные'!P240&gt;'минимумы и максимумы'!N$10,100,('исходные данные'!P240-'минимумы и максимумы'!N$9)/('минимумы и максимумы'!N$10-'минимумы и максимумы'!N$9)*100)</f>
        <v>0</v>
      </c>
      <c r="Q240">
        <f>IF('исходные данные'!Q240&gt;'минимумы и максимумы'!O$10,100,('исходные данные'!Q240-'минимумы и максимумы'!O$9)/('минимумы и максимумы'!O$10-'минимумы и максимумы'!O$9)*100)</f>
        <v>100</v>
      </c>
      <c r="R240">
        <f>IF('исходные данные'!R240&gt;'минимумы и максимумы'!P$10,100,('исходные данные'!R240-'минимумы и максимумы'!P$9)/('минимумы и максимумы'!P$10-'минимумы и максимумы'!P$9)*100)</f>
        <v>100</v>
      </c>
      <c r="S240">
        <f>IF('исходные данные'!S240&gt;'минимумы и максимумы'!Q$10,100,('исходные данные'!S240-'минимумы и максимумы'!Q$9)/('минимумы и максимумы'!Q$10-'минимумы и максимумы'!Q$9)*100)</f>
        <v>16.666666666666664</v>
      </c>
      <c r="T240">
        <f>IF('исходные данные'!T240&gt;'минимумы и максимумы'!R$10,100,('исходные данные'!T240-'минимумы и максимумы'!R$9)/('минимумы и максимумы'!R$10-'минимумы и максимумы'!R$9)*100)</f>
        <v>60.903337169159954</v>
      </c>
      <c r="U240">
        <f>IF('исходные данные'!U240&gt;'минимумы и максимумы'!S$10,100,('исходные данные'!U240-'минимумы и максимумы'!S$9)/('минимумы и максимумы'!S$10-'минимумы и максимумы'!S$9)*100)</f>
        <v>0</v>
      </c>
    </row>
    <row r="241" spans="1:21" x14ac:dyDescent="0.45">
      <c r="A241" s="4">
        <v>333</v>
      </c>
      <c r="B241" s="4">
        <v>0</v>
      </c>
      <c r="C241" s="4">
        <v>0</v>
      </c>
      <c r="D241">
        <f>IF('исходные данные'!D241&gt;'минимумы и максимумы'!B$10,100,('исходные данные'!D241-'минимумы и максимумы'!B$9)/('минимумы и максимумы'!B$10-'минимумы и максимумы'!B$9)*100)</f>
        <v>0</v>
      </c>
      <c r="E241">
        <f>IF('исходные данные'!E241&gt;'минимумы и максимумы'!C$10,100,('исходные данные'!E241-'минимумы и максимумы'!C$9)/('минимумы и максимумы'!C$10-'минимумы и максимумы'!C$9)*100)</f>
        <v>0</v>
      </c>
      <c r="F241">
        <f>IF('исходные данные'!F241&gt;'минимумы и максимумы'!D$10,100,('исходные данные'!F241-'минимумы и максимумы'!D$9)/('минимумы и максимумы'!D$10-'минимумы и максимумы'!D$9)*100)</f>
        <v>0</v>
      </c>
      <c r="G241">
        <f>IF('исходные данные'!G241&gt;'минимумы и максимумы'!E$10,100,('исходные данные'!G241-'минимумы и максимумы'!E$9)/('минимумы и максимумы'!E$10-'минимумы и максимумы'!E$9)*100)</f>
        <v>0</v>
      </c>
      <c r="H241">
        <f>IF('исходные данные'!H241&gt;'минимумы и максимумы'!F$10,100,('исходные данные'!H241-'минимумы и максимумы'!F$9)/('минимумы и максимумы'!F$10-'минимумы и максимумы'!F$9)*100)</f>
        <v>0</v>
      </c>
      <c r="I241">
        <f>IF('исходные данные'!I241&gt;'минимумы и максимумы'!G$10,100,('исходные данные'!I241-'минимумы и максимумы'!G$9)/('минимумы и максимумы'!G$10-'минимумы и максимумы'!G$9)*100)</f>
        <v>0</v>
      </c>
      <c r="J241">
        <f>IF('исходные данные'!J241&gt;'минимумы и максимумы'!H$10,100,('исходные данные'!J241-'минимумы и максимумы'!H$9)/('минимумы и максимумы'!H$10-'минимумы и максимумы'!H$9)*100)</f>
        <v>0</v>
      </c>
      <c r="K241">
        <f>IF('исходные данные'!K241&gt;'минимумы и максимумы'!I$10,100,('исходные данные'!K241-'минимумы и максимумы'!I$9)/('минимумы и максимумы'!I$10-'минимумы и максимумы'!I$9)*100)</f>
        <v>0</v>
      </c>
      <c r="L241">
        <f>IF('исходные данные'!L241&gt;'минимумы и максимумы'!J$10,100,('исходные данные'!L241-'минимумы и максимумы'!J$9)/('минимумы и максимумы'!J$10-'минимумы и максимумы'!J$9)*100)</f>
        <v>0</v>
      </c>
      <c r="M241">
        <f>IF('исходные данные'!M241&gt;'минимумы и максимумы'!K$10,100,('исходные данные'!M241-'минимумы и максимумы'!K$9)/('минимумы и максимумы'!K$10-'минимумы и максимумы'!K$9)*100)</f>
        <v>0</v>
      </c>
      <c r="N241">
        <f>IF('исходные данные'!N241&gt;'минимумы и максимумы'!L$10,100,('исходные данные'!N241-'минимумы и максимумы'!L$9)/('минимумы и максимумы'!L$10-'минимумы и максимумы'!L$9)*100)</f>
        <v>58.134073490619542</v>
      </c>
      <c r="O241">
        <f>IF('исходные данные'!O241&gt;'минимумы и максимумы'!M$10,100,('исходные данные'!O241-'минимумы и максимумы'!M$9)/('минимумы и максимумы'!M$10-'минимумы и максимумы'!M$9)*100)</f>
        <v>0</v>
      </c>
      <c r="P241">
        <f>IF('исходные данные'!P241&gt;'минимумы и максимумы'!N$10,100,('исходные данные'!P241-'минимумы и максимумы'!N$9)/('минимумы и максимумы'!N$10-'минимумы и максимумы'!N$9)*100)</f>
        <v>0</v>
      </c>
      <c r="Q241">
        <f>IF('исходные данные'!Q241&gt;'минимумы и максимумы'!O$10,100,('исходные данные'!Q241-'минимумы и максимумы'!O$9)/('минимумы и максимумы'!O$10-'минимумы и максимумы'!O$9)*100)</f>
        <v>100</v>
      </c>
      <c r="R241">
        <f>IF('исходные данные'!R241&gt;'минимумы и максимумы'!P$10,100,('исходные данные'!R241-'минимумы и максимумы'!P$9)/('минимумы и максимумы'!P$10-'минимумы и максимумы'!P$9)*100)</f>
        <v>100</v>
      </c>
      <c r="S241">
        <f>IF('исходные данные'!S241&gt;'минимумы и максимумы'!Q$10,100,('исходные данные'!S241-'минимумы и максимумы'!Q$9)/('минимумы и максимумы'!Q$10-'минимумы и максимумы'!Q$9)*100)</f>
        <v>16.666666666666664</v>
      </c>
      <c r="T241">
        <f>IF('исходные данные'!T241&gt;'минимумы и максимумы'!R$10,100,('исходные данные'!T241-'минимумы и максимумы'!R$9)/('минимумы и максимумы'!R$10-'минимумы и максимумы'!R$9)*100)</f>
        <v>34.953970080552359</v>
      </c>
      <c r="U241">
        <f>IF('исходные данные'!U241&gt;'минимумы и максимумы'!S$10,100,('исходные данные'!U241-'минимумы и максимумы'!S$9)/('минимумы и максимумы'!S$10-'минимумы и максимумы'!S$9)*100)</f>
        <v>0</v>
      </c>
    </row>
    <row r="242" spans="1:21" x14ac:dyDescent="0.45">
      <c r="A242" s="4">
        <v>334</v>
      </c>
      <c r="B242" s="4">
        <v>0</v>
      </c>
      <c r="C242" s="4">
        <v>0</v>
      </c>
      <c r="D242">
        <f>IF('исходные данные'!D242&gt;'минимумы и максимумы'!B$10,100,('исходные данные'!D242-'минимумы и максимумы'!B$9)/('минимумы и максимумы'!B$10-'минимумы и максимумы'!B$9)*100)</f>
        <v>0</v>
      </c>
      <c r="E242">
        <f>IF('исходные данные'!E242&gt;'минимумы и максимумы'!C$10,100,('исходные данные'!E242-'минимумы и максимумы'!C$9)/('минимумы и максимумы'!C$10-'минимумы и максимумы'!C$9)*100)</f>
        <v>0</v>
      </c>
      <c r="F242">
        <f>IF('исходные данные'!F242&gt;'минимумы и максимумы'!D$10,100,('исходные данные'!F242-'минимумы и максимумы'!D$9)/('минимумы и максимумы'!D$10-'минимумы и максимумы'!D$9)*100)</f>
        <v>0</v>
      </c>
      <c r="G242">
        <f>IF('исходные данные'!G242&gt;'минимумы и максимумы'!E$10,100,('исходные данные'!G242-'минимумы и максимумы'!E$9)/('минимумы и максимумы'!E$10-'минимумы и максимумы'!E$9)*100)</f>
        <v>0</v>
      </c>
      <c r="H242">
        <f>IF('исходные данные'!H242&gt;'минимумы и максимумы'!F$10,100,('исходные данные'!H242-'минимумы и максимумы'!F$9)/('минимумы и максимумы'!F$10-'минимумы и максимумы'!F$9)*100)</f>
        <v>0</v>
      </c>
      <c r="I242">
        <f>IF('исходные данные'!I242&gt;'минимумы и максимумы'!G$10,100,('исходные данные'!I242-'минимумы и максимумы'!G$9)/('минимумы и максимумы'!G$10-'минимумы и максимумы'!G$9)*100)</f>
        <v>0</v>
      </c>
      <c r="J242">
        <f>IF('исходные данные'!J242&gt;'минимумы и максимумы'!H$10,100,('исходные данные'!J242-'минимумы и максимумы'!H$9)/('минимумы и максимумы'!H$10-'минимумы и максимумы'!H$9)*100)</f>
        <v>0</v>
      </c>
      <c r="K242">
        <f>IF('исходные данные'!K242&gt;'минимумы и максимумы'!I$10,100,('исходные данные'!K242-'минимумы и максимумы'!I$9)/('минимумы и максимумы'!I$10-'минимумы и максимумы'!I$9)*100)</f>
        <v>0</v>
      </c>
      <c r="L242">
        <f>IF('исходные данные'!L242&gt;'минимумы и максимумы'!J$10,100,('исходные данные'!L242-'минимумы и максимумы'!J$9)/('минимумы и максимумы'!J$10-'минимумы и максимумы'!J$9)*100)</f>
        <v>0</v>
      </c>
      <c r="M242">
        <f>IF('исходные данные'!M242&gt;'минимумы и максимумы'!K$10,100,('исходные данные'!M242-'минимумы и максимумы'!K$9)/('минимумы и максимумы'!K$10-'минимумы и максимумы'!K$9)*100)</f>
        <v>0</v>
      </c>
      <c r="N242">
        <f>IF('исходные данные'!N242&gt;'минимумы и максимумы'!L$10,100,('исходные данные'!N242-'минимумы и максимумы'!L$9)/('минимумы и максимумы'!L$10-'минимумы и максимумы'!L$9)*100)</f>
        <v>58.59574275166446</v>
      </c>
      <c r="O242">
        <f>IF('исходные данные'!O242&gt;'минимумы и максимумы'!M$10,100,('исходные данные'!O242-'минимумы и максимумы'!M$9)/('минимумы и максимумы'!M$10-'минимумы и максимумы'!M$9)*100)</f>
        <v>0</v>
      </c>
      <c r="P242">
        <f>IF('исходные данные'!P242&gt;'минимумы и максимумы'!N$10,100,('исходные данные'!P242-'минимумы и максимумы'!N$9)/('минимумы и максимумы'!N$10-'минимумы и максимумы'!N$9)*100)</f>
        <v>0</v>
      </c>
      <c r="Q242">
        <f>IF('исходные данные'!Q242&gt;'минимумы и максимумы'!O$10,100,('исходные данные'!Q242-'минимумы и максимумы'!O$9)/('минимумы и максимумы'!O$10-'минимумы и максимумы'!O$9)*100)</f>
        <v>100</v>
      </c>
      <c r="R242">
        <f>IF('исходные данные'!R242&gt;'минимумы и максимумы'!P$10,100,('исходные данные'!R242-'минимумы и максимумы'!P$9)/('минимумы и максимумы'!P$10-'минимумы и максимумы'!P$9)*100)</f>
        <v>100</v>
      </c>
      <c r="S242">
        <f>IF('исходные данные'!S242&gt;'минимумы и максимумы'!Q$10,100,('исходные данные'!S242-'минимумы и максимумы'!Q$9)/('минимумы и максимумы'!Q$10-'минимумы и максимумы'!Q$9)*100)</f>
        <v>16.666666666666664</v>
      </c>
      <c r="T242">
        <f>IF('исходные данные'!T242&gt;'минимумы и максимумы'!R$10,100,('исходные данные'!T242-'минимумы и максимумы'!R$9)/('минимумы и максимумы'!R$10-'минимумы и максимумы'!R$9)*100)</f>
        <v>64.298043728423465</v>
      </c>
      <c r="U242">
        <f>IF('исходные данные'!U242&gt;'минимумы и максимумы'!S$10,100,('исходные данные'!U242-'минимумы и максимумы'!S$9)/('минимумы и максимумы'!S$10-'минимумы и максимумы'!S$9)*100)</f>
        <v>0</v>
      </c>
    </row>
    <row r="243" spans="1:21" x14ac:dyDescent="0.45">
      <c r="A243" s="4">
        <v>335</v>
      </c>
      <c r="B243" s="4">
        <v>0</v>
      </c>
      <c r="C243" s="4">
        <v>0</v>
      </c>
      <c r="D243">
        <f>IF('исходные данные'!D243&gt;'минимумы и максимумы'!B$10,100,('исходные данные'!D243-'минимумы и максимумы'!B$9)/('минимумы и максимумы'!B$10-'минимумы и максимумы'!B$9)*100)</f>
        <v>0</v>
      </c>
      <c r="E243">
        <f>IF('исходные данные'!E243&gt;'минимумы и максимумы'!C$10,100,('исходные данные'!E243-'минимумы и максимумы'!C$9)/('минимумы и максимумы'!C$10-'минимумы и максимумы'!C$9)*100)</f>
        <v>0</v>
      </c>
      <c r="F243">
        <f>IF('исходные данные'!F243&gt;'минимумы и максимумы'!D$10,100,('исходные данные'!F243-'минимумы и максимумы'!D$9)/('минимумы и максимумы'!D$10-'минимумы и максимумы'!D$9)*100)</f>
        <v>0</v>
      </c>
      <c r="G243">
        <f>IF('исходные данные'!G243&gt;'минимумы и максимумы'!E$10,100,('исходные данные'!G243-'минимумы и максимумы'!E$9)/('минимумы и максимумы'!E$10-'минимумы и максимумы'!E$9)*100)</f>
        <v>0</v>
      </c>
      <c r="H243">
        <f>IF('исходные данные'!H243&gt;'минимумы и максимумы'!F$10,100,('исходные данные'!H243-'минимумы и максимумы'!F$9)/('минимумы и максимумы'!F$10-'минимумы и максимумы'!F$9)*100)</f>
        <v>0</v>
      </c>
      <c r="I243">
        <f>IF('исходные данные'!I243&gt;'минимумы и максимумы'!G$10,100,('исходные данные'!I243-'минимумы и максимумы'!G$9)/('минимумы и максимумы'!G$10-'минимумы и максимумы'!G$9)*100)</f>
        <v>0</v>
      </c>
      <c r="J243">
        <f>IF('исходные данные'!J243&gt;'минимумы и максимумы'!H$10,100,('исходные данные'!J243-'минимумы и максимумы'!H$9)/('минимумы и максимумы'!H$10-'минимумы и максимумы'!H$9)*100)</f>
        <v>0</v>
      </c>
      <c r="K243">
        <f>IF('исходные данные'!K243&gt;'минимумы и максимумы'!I$10,100,('исходные данные'!K243-'минимумы и максимумы'!I$9)/('минимумы и максимумы'!I$10-'минимумы и максимумы'!I$9)*100)</f>
        <v>0</v>
      </c>
      <c r="L243">
        <f>IF('исходные данные'!L243&gt;'минимумы и максимумы'!J$10,100,('исходные данные'!L243-'минимумы и максимумы'!J$9)/('минимумы и максимумы'!J$10-'минимумы и максимумы'!J$9)*100)</f>
        <v>0</v>
      </c>
      <c r="M243">
        <f>IF('исходные данные'!M243&gt;'минимумы и максимумы'!K$10,100,('исходные данные'!M243-'минимумы и максимумы'!K$9)/('минимумы и максимумы'!K$10-'минимумы и максимумы'!K$9)*100)</f>
        <v>0</v>
      </c>
      <c r="N243">
        <f>IF('исходные данные'!N243&gt;'минимумы и максимумы'!L$10,100,('исходные данные'!N243-'минимумы и максимумы'!L$9)/('минимумы и максимумы'!L$10-'минимумы и максимумы'!L$9)*100)</f>
        <v>57.88422707529206</v>
      </c>
      <c r="O243">
        <f>IF('исходные данные'!O243&gt;'минимумы и максимумы'!M$10,100,('исходные данные'!O243-'минимумы и максимумы'!M$9)/('минимумы и максимумы'!M$10-'минимумы и максимумы'!M$9)*100)</f>
        <v>0</v>
      </c>
      <c r="P243">
        <f>IF('исходные данные'!P243&gt;'минимумы и максимумы'!N$10,100,('исходные данные'!P243-'минимумы и максимумы'!N$9)/('минимумы и максимумы'!N$10-'минимумы и максимумы'!N$9)*100)</f>
        <v>0</v>
      </c>
      <c r="Q243">
        <f>IF('исходные данные'!Q243&gt;'минимумы и максимумы'!O$10,100,('исходные данные'!Q243-'минимумы и максимумы'!O$9)/('минимумы и максимумы'!O$10-'минимумы и максимумы'!O$9)*100)</f>
        <v>100</v>
      </c>
      <c r="R243">
        <f>IF('исходные данные'!R243&gt;'минимумы и максимумы'!P$10,100,('исходные данные'!R243-'минимумы и максимумы'!P$9)/('минимумы и максимумы'!P$10-'минимумы и максимумы'!P$9)*100)</f>
        <v>100</v>
      </c>
      <c r="S243">
        <f>IF('исходные данные'!S243&gt;'минимумы и максимумы'!Q$10,100,('исходные данные'!S243-'минимумы и максимумы'!Q$9)/('минимумы и максимумы'!Q$10-'минимумы и максимумы'!Q$9)*100)</f>
        <v>16.666666666666664</v>
      </c>
      <c r="T243">
        <f>IF('исходные данные'!T243&gt;'минимумы и максимумы'!R$10,100,('исходные данные'!T243-'минимумы и максимумы'!R$9)/('минимумы и максимумы'!R$10-'минимумы и максимумы'!R$9)*100)</f>
        <v>39.672036823935557</v>
      </c>
      <c r="U243">
        <f>IF('исходные данные'!U243&gt;'минимумы и максимумы'!S$10,100,('исходные данные'!U243-'минимумы и максимумы'!S$9)/('минимумы и максимумы'!S$10-'минимумы и максимумы'!S$9)*100)</f>
        <v>0</v>
      </c>
    </row>
    <row r="244" spans="1:21" x14ac:dyDescent="0.45">
      <c r="A244" s="4">
        <v>338</v>
      </c>
      <c r="B244" s="4">
        <v>0</v>
      </c>
      <c r="C244" s="4">
        <v>0</v>
      </c>
      <c r="D244">
        <f>IF('исходные данные'!D244&gt;'минимумы и максимумы'!B$10,100,('исходные данные'!D244-'минимумы и максимумы'!B$9)/('минимумы и максимумы'!B$10-'минимумы и максимумы'!B$9)*100)</f>
        <v>44.444444444444443</v>
      </c>
      <c r="E244">
        <f>IF('исходные данные'!E244&gt;'минимумы и максимумы'!C$10,100,('исходные данные'!E244-'минимумы и максимумы'!C$9)/('минимумы и максимумы'!C$10-'минимумы и максимумы'!C$9)*100)</f>
        <v>50</v>
      </c>
      <c r="F244">
        <f>IF('исходные данные'!F244&gt;'минимумы и максимумы'!D$10,100,('исходные данные'!F244-'минимумы и максимумы'!D$9)/('минимумы и максимумы'!D$10-'минимумы и максимумы'!D$9)*100)</f>
        <v>33.333333333333329</v>
      </c>
      <c r="G244">
        <f>IF('исходные данные'!G244&gt;'минимумы и максимумы'!E$10,100,('исходные данные'!G244-'минимумы и максимумы'!E$9)/('минимумы и максимумы'!E$10-'минимумы и максимумы'!E$9)*100)</f>
        <v>25</v>
      </c>
      <c r="H244">
        <f>IF('исходные данные'!H244&gt;'минимумы и максимумы'!F$10,100,('исходные данные'!H244-'минимумы и максимумы'!F$9)/('минимумы и максимумы'!F$10-'минимумы и максимумы'!F$9)*100)</f>
        <v>93.103448275862064</v>
      </c>
      <c r="I244">
        <f>IF('исходные данные'!I244&gt;'минимумы и максимумы'!G$10,100,('исходные данные'!I244-'минимумы и максимумы'!G$9)/('минимумы и максимумы'!G$10-'минимумы и максимумы'!G$9)*100)</f>
        <v>26.415094339622641</v>
      </c>
      <c r="J244">
        <f>IF('исходные данные'!J244&gt;'минимумы и максимумы'!H$10,100,('исходные данные'!J244-'минимумы и максимумы'!H$9)/('минимумы и максимумы'!H$10-'минимумы и максимумы'!H$9)*100)</f>
        <v>0</v>
      </c>
      <c r="K244">
        <f>IF('исходные данные'!K244&gt;'минимумы и максимумы'!I$10,100,('исходные данные'!K244-'минимумы и максимумы'!I$9)/('минимумы и максимумы'!I$10-'минимумы и максимумы'!I$9)*100)</f>
        <v>0</v>
      </c>
      <c r="L244">
        <f>IF('исходные данные'!L244&gt;'минимумы и максимумы'!J$10,100,('исходные данные'!L244-'минимумы и максимумы'!J$9)/('минимумы и максимумы'!J$10-'минимумы и максимумы'!J$9)*100)</f>
        <v>57.142857142857139</v>
      </c>
      <c r="M244">
        <f>IF('исходные данные'!M244&gt;'минимумы и максимумы'!K$10,100,('исходные данные'!M244-'минимумы и максимумы'!K$9)/('минимумы и максимумы'!K$10-'минимумы и максимумы'!K$9)*100)</f>
        <v>53.571428571428569</v>
      </c>
      <c r="N244">
        <f>IF('исходные данные'!N244&gt;'минимумы и максимумы'!L$10,100,('исходные данные'!N244-'минимумы и максимумы'!L$9)/('минимумы и максимумы'!L$10-'минимумы и максимумы'!L$9)*100)</f>
        <v>46.379174126021262</v>
      </c>
      <c r="O244">
        <f>IF('исходные данные'!O244&gt;'минимумы и максимумы'!M$10,100,('исходные данные'!O244-'минимумы и максимумы'!M$9)/('минимумы и максимумы'!M$10-'минимумы и максимумы'!M$9)*100)</f>
        <v>66.666666666666657</v>
      </c>
      <c r="P244">
        <f>IF('исходные данные'!P244&gt;'минимумы и максимумы'!N$10,100,('исходные данные'!P244-'минимумы и максимумы'!N$9)/('минимумы и максимумы'!N$10-'минимумы и максимумы'!N$9)*100)</f>
        <v>0</v>
      </c>
      <c r="Q244">
        <f>IF('исходные данные'!Q244&gt;'минимумы и максимумы'!O$10,100,('исходные данные'!Q244-'минимумы и максимумы'!O$9)/('минимумы и максимумы'!O$10-'минимумы и максимумы'!O$9)*100)</f>
        <v>0</v>
      </c>
      <c r="R244">
        <f>IF('исходные данные'!R244&gt;'минимумы и максимумы'!P$10,100,('исходные данные'!R244-'минимумы и максимумы'!P$9)/('минимумы и максимумы'!P$10-'минимумы и максимумы'!P$9)*100)</f>
        <v>100</v>
      </c>
      <c r="S244">
        <f>IF('исходные данные'!S244&gt;'минимумы и максимумы'!Q$10,100,('исходные данные'!S244-'минимумы и максимумы'!Q$9)/('минимумы и максимумы'!Q$10-'минимумы и максимумы'!Q$9)*100)</f>
        <v>66.666666666666657</v>
      </c>
      <c r="T244">
        <f>IF('исходные данные'!T244&gt;'минимумы и максимумы'!R$10,100,('исходные данные'!T244-'минимумы и максимумы'!R$9)/('минимумы и максимумы'!R$10-'минимумы и максимумы'!R$9)*100)</f>
        <v>28.682393555811274</v>
      </c>
      <c r="U244">
        <f>IF('исходные данные'!U244&gt;'минимумы и максимумы'!S$10,100,('исходные данные'!U244-'минимумы и максимумы'!S$9)/('минимумы и максимумы'!S$10-'минимумы и максимумы'!S$9)*100)</f>
        <v>0</v>
      </c>
    </row>
    <row r="245" spans="1:21" x14ac:dyDescent="0.45">
      <c r="A245" s="4">
        <v>339</v>
      </c>
      <c r="B245" s="4">
        <v>0</v>
      </c>
      <c r="C245" s="4">
        <v>0</v>
      </c>
      <c r="D245">
        <f>IF('исходные данные'!D245&gt;'минимумы и максимумы'!B$10,100,('исходные данные'!D245-'минимумы и максимумы'!B$9)/('минимумы и максимумы'!B$10-'минимумы и максимумы'!B$9)*100)</f>
        <v>22.222222222222221</v>
      </c>
      <c r="E245">
        <f>IF('исходные данные'!E245&gt;'минимумы и максимумы'!C$10,100,('исходные данные'!E245-'минимумы и максимумы'!C$9)/('минимумы и максимумы'!C$10-'минимумы и максимумы'!C$9)*100)</f>
        <v>40</v>
      </c>
      <c r="F245">
        <f>IF('исходные данные'!F245&gt;'минимумы и максимумы'!D$10,100,('исходные данные'!F245-'минимумы и максимумы'!D$9)/('минимумы и максимумы'!D$10-'минимумы и максимумы'!D$9)*100)</f>
        <v>0</v>
      </c>
      <c r="G245">
        <f>IF('исходные данные'!G245&gt;'минимумы и максимумы'!E$10,100,('исходные данные'!G245-'минимумы и максимумы'!E$9)/('минимумы и максимумы'!E$10-'минимумы и максимумы'!E$9)*100)</f>
        <v>8.3333333333333321</v>
      </c>
      <c r="H245">
        <f>IF('исходные данные'!H245&gt;'минимумы и максимумы'!F$10,100,('исходные данные'!H245-'минимумы и максимумы'!F$9)/('минимумы и максимумы'!F$10-'минимумы и максимумы'!F$9)*100)</f>
        <v>10.344827586206897</v>
      </c>
      <c r="I245">
        <f>IF('исходные данные'!I245&gt;'минимумы и максимумы'!G$10,100,('исходные данные'!I245-'минимумы и максимумы'!G$9)/('минимумы и максимумы'!G$10-'минимумы и максимумы'!G$9)*100)</f>
        <v>3.7735849056603774</v>
      </c>
      <c r="J245">
        <f>IF('исходные данные'!J245&gt;'минимумы и максимумы'!H$10,100,('исходные данные'!J245-'минимумы и максимумы'!H$9)/('минимумы и максимумы'!H$10-'минимумы и максимумы'!H$9)*100)</f>
        <v>0</v>
      </c>
      <c r="K245">
        <f>IF('исходные данные'!K245&gt;'минимумы и максимумы'!I$10,100,('исходные данные'!K245-'минимумы и максимумы'!I$9)/('минимумы и максимумы'!I$10-'минимумы и максимумы'!I$9)*100)</f>
        <v>0</v>
      </c>
      <c r="L245">
        <f>IF('исходные данные'!L245&gt;'минимумы и максимумы'!J$10,100,('исходные данные'!L245-'минимумы и максимумы'!J$9)/('минимумы и максимумы'!J$10-'минимумы и максимумы'!J$9)*100)</f>
        <v>7.1428571428571423</v>
      </c>
      <c r="M245">
        <f>IF('исходные данные'!M245&gt;'минимумы и максимумы'!K$10,100,('исходные данные'!M245-'минимумы и максимумы'!K$9)/('минимумы и максимумы'!K$10-'минимумы и максимумы'!K$9)*100)</f>
        <v>21.428571428571427</v>
      </c>
      <c r="N245">
        <f>IF('исходные данные'!N245&gt;'минимумы и максимумы'!L$10,100,('исходные данные'!N245-'минимумы и максимумы'!L$9)/('минимумы и максимумы'!L$10-'минимумы и максимумы'!L$9)*100)</f>
        <v>33.756682639737022</v>
      </c>
      <c r="O245">
        <f>IF('исходные данные'!O245&gt;'минимумы и максимумы'!M$10,100,('исходные данные'!O245-'минимумы и максимумы'!M$9)/('минимумы и максимумы'!M$10-'минимумы и максимумы'!M$9)*100)</f>
        <v>100</v>
      </c>
      <c r="P245">
        <f>IF('исходные данные'!P245&gt;'минимумы и максимумы'!N$10,100,('исходные данные'!P245-'минимумы и максимумы'!N$9)/('минимумы и максимумы'!N$10-'минимумы и максимумы'!N$9)*100)</f>
        <v>0</v>
      </c>
      <c r="Q245">
        <f>IF('исходные данные'!Q245&gt;'минимумы и максимумы'!O$10,100,('исходные данные'!Q245-'минимумы и максимумы'!O$9)/('минимумы и максимумы'!O$10-'минимумы и максимумы'!O$9)*100)</f>
        <v>0</v>
      </c>
      <c r="R245">
        <f>IF('исходные данные'!R245&gt;'минимумы и максимумы'!P$10,100,('исходные данные'!R245-'минимумы и максимумы'!P$9)/('минимумы и максимумы'!P$10-'минимумы и максимумы'!P$9)*100)</f>
        <v>25</v>
      </c>
      <c r="S245">
        <f>IF('исходные данные'!S245&gt;'минимумы и максимумы'!Q$10,100,('исходные данные'!S245-'минимумы и максимумы'!Q$9)/('минимумы и максимумы'!Q$10-'минимумы и максимумы'!Q$9)*100)</f>
        <v>50</v>
      </c>
      <c r="T245">
        <f>IF('исходные данные'!T245&gt;'минимумы и максимумы'!R$10,100,('исходные данные'!T245-'минимумы и максимумы'!R$9)/('минимумы и максимумы'!R$10-'минимумы и максимумы'!R$9)*100)</f>
        <v>28.135788262370543</v>
      </c>
      <c r="U245">
        <f>IF('исходные данные'!U245&gt;'минимумы и максимумы'!S$10,100,('исходные данные'!U245-'минимумы и максимумы'!S$9)/('минимумы и максимумы'!S$10-'минимумы и максимумы'!S$9)*100)</f>
        <v>0</v>
      </c>
    </row>
    <row r="246" spans="1:21" x14ac:dyDescent="0.45">
      <c r="A246" s="4">
        <v>340</v>
      </c>
      <c r="B246" s="4">
        <v>0</v>
      </c>
      <c r="C246" s="4">
        <v>0</v>
      </c>
      <c r="D246">
        <f>IF('исходные данные'!D246&gt;'минимумы и максимумы'!B$10,100,('исходные данные'!D246-'минимумы и максимумы'!B$9)/('минимумы и максимумы'!B$10-'минимумы и максимумы'!B$9)*100)</f>
        <v>0</v>
      </c>
      <c r="E246">
        <f>IF('исходные данные'!E246&gt;'минимумы и максимумы'!C$10,100,('исходные данные'!E246-'минимумы и максимумы'!C$9)/('минимумы и максимумы'!C$10-'минимумы и максимумы'!C$9)*100)</f>
        <v>0</v>
      </c>
      <c r="F246">
        <f>IF('исходные данные'!F246&gt;'минимумы и максимумы'!D$10,100,('исходные данные'!F246-'минимумы и максимумы'!D$9)/('минимумы и максимумы'!D$10-'минимумы и максимумы'!D$9)*100)</f>
        <v>0</v>
      </c>
      <c r="G246">
        <f>IF('исходные данные'!G246&gt;'минимумы и максимумы'!E$10,100,('исходные данные'!G246-'минимумы и максимумы'!E$9)/('минимумы и максимумы'!E$10-'минимумы и максимумы'!E$9)*100)</f>
        <v>0</v>
      </c>
      <c r="H246">
        <f>IF('исходные данные'!H246&gt;'минимумы и максимумы'!F$10,100,('исходные данные'!H246-'минимумы и максимумы'!F$9)/('минимумы и максимумы'!F$10-'минимумы и максимумы'!F$9)*100)</f>
        <v>0</v>
      </c>
      <c r="I246">
        <f>IF('исходные данные'!I246&gt;'минимумы и максимумы'!G$10,100,('исходные данные'!I246-'минимумы и максимумы'!G$9)/('минимумы и максимумы'!G$10-'минимумы и максимумы'!G$9)*100)</f>
        <v>0</v>
      </c>
      <c r="J246">
        <f>IF('исходные данные'!J246&gt;'минимумы и максимумы'!H$10,100,('исходные данные'!J246-'минимумы и максимумы'!H$9)/('минимумы и максимумы'!H$10-'минимумы и максимумы'!H$9)*100)</f>
        <v>0</v>
      </c>
      <c r="K246">
        <f>IF('исходные данные'!K246&gt;'минимумы и максимумы'!I$10,100,('исходные данные'!K246-'минимумы и максимумы'!I$9)/('минимумы и максимумы'!I$10-'минимумы и максимумы'!I$9)*100)</f>
        <v>0</v>
      </c>
      <c r="L246">
        <f>IF('исходные данные'!L246&gt;'минимумы и максимумы'!J$10,100,('исходные данные'!L246-'минимумы и максимумы'!J$9)/('минимумы и максимумы'!J$10-'минимумы и максимумы'!J$9)*100)</f>
        <v>0</v>
      </c>
      <c r="M246">
        <f>IF('исходные данные'!M246&gt;'минимумы и максимумы'!K$10,100,('исходные данные'!M246-'минимумы и максимумы'!K$9)/('минимумы и максимумы'!K$10-'минимумы и максимумы'!K$9)*100)</f>
        <v>0</v>
      </c>
      <c r="N246">
        <f>IF('исходные данные'!N246&gt;'минимумы и максимумы'!L$10,100,('исходные данные'!N246-'минимумы и максимумы'!L$9)/('минимумы и максимумы'!L$10-'минимумы и максимумы'!L$9)*100)</f>
        <v>54.235152926302156</v>
      </c>
      <c r="O246">
        <f>IF('исходные данные'!O246&gt;'минимумы и максимумы'!M$10,100,('исходные данные'!O246-'минимумы и максимумы'!M$9)/('минимумы и максимумы'!M$10-'минимумы и максимумы'!M$9)*100)</f>
        <v>0</v>
      </c>
      <c r="P246">
        <f>IF('исходные данные'!P246&gt;'минимумы и максимумы'!N$10,100,('исходные данные'!P246-'минимумы и максимумы'!N$9)/('минимумы и максимумы'!N$10-'минимумы и максимумы'!N$9)*100)</f>
        <v>0</v>
      </c>
      <c r="Q246">
        <f>IF('исходные данные'!Q246&gt;'минимумы и максимумы'!O$10,100,('исходные данные'!Q246-'минимумы и максимумы'!O$9)/('минимумы и максимумы'!O$10-'минимумы и максимумы'!O$9)*100)</f>
        <v>0</v>
      </c>
      <c r="R246">
        <f>IF('исходные данные'!R246&gt;'минимумы и максимумы'!P$10,100,('исходные данные'!R246-'минимумы и максимумы'!P$9)/('минимумы и максимумы'!P$10-'минимумы и максимумы'!P$9)*100)</f>
        <v>25</v>
      </c>
      <c r="S246">
        <f>IF('исходные данные'!S246&gt;'минимумы и максимумы'!Q$10,100,('исходные данные'!S246-'минимумы и максимумы'!Q$9)/('минимумы и максимумы'!Q$10-'минимумы и максимумы'!Q$9)*100)</f>
        <v>66.666666666666657</v>
      </c>
      <c r="T246">
        <f>IF('исходные данные'!T246&gt;'минимумы и максимумы'!R$10,100,('исходные данные'!T246-'минимумы и максимумы'!R$9)/('минимумы и максимумы'!R$10-'минимумы и максимумы'!R$9)*100)</f>
        <v>23.878020713463751</v>
      </c>
      <c r="U246">
        <f>IF('исходные данные'!U246&gt;'минимумы и максимумы'!S$10,100,('исходные данные'!U246-'минимумы и максимумы'!S$9)/('минимумы и максимумы'!S$10-'минимумы и максимумы'!S$9)*100)</f>
        <v>0</v>
      </c>
    </row>
    <row r="247" spans="1:21" x14ac:dyDescent="0.45">
      <c r="A247" s="4">
        <v>341</v>
      </c>
      <c r="B247" s="4">
        <v>0</v>
      </c>
      <c r="C247" s="4">
        <v>0</v>
      </c>
      <c r="D247">
        <f>IF('исходные данные'!D247&gt;'минимумы и максимумы'!B$10,100,('исходные данные'!D247-'минимумы и максимумы'!B$9)/('минимумы и максимумы'!B$10-'минимумы и максимумы'!B$9)*100)</f>
        <v>0</v>
      </c>
      <c r="E247">
        <f>IF('исходные данные'!E247&gt;'минимумы и максимумы'!C$10,100,('исходные данные'!E247-'минимумы и максимумы'!C$9)/('минимумы и максимумы'!C$10-'минимумы и максимумы'!C$9)*100)</f>
        <v>10</v>
      </c>
      <c r="F247">
        <f>IF('исходные данные'!F247&gt;'минимумы и максимумы'!D$10,100,('исходные данные'!F247-'минимумы и максимумы'!D$9)/('минимумы и максимумы'!D$10-'минимумы и максимумы'!D$9)*100)</f>
        <v>33.333333333333329</v>
      </c>
      <c r="G247">
        <f>IF('исходные данные'!G247&gt;'минимумы и максимумы'!E$10,100,('исходные данные'!G247-'минимумы и максимумы'!E$9)/('минимумы и максимумы'!E$10-'минимумы и максимумы'!E$9)*100)</f>
        <v>8.3333333333333321</v>
      </c>
      <c r="H247">
        <f>IF('исходные данные'!H247&gt;'минимумы и максимумы'!F$10,100,('исходные данные'!H247-'минимумы и максимумы'!F$9)/('минимумы и максимумы'!F$10-'минимумы и максимумы'!F$9)*100)</f>
        <v>6.8965517241379306</v>
      </c>
      <c r="I247">
        <f>IF('исходные данные'!I247&gt;'минимумы и максимумы'!G$10,100,('исходные данные'!I247-'минимумы и максимумы'!G$9)/('минимумы и максимумы'!G$10-'минимумы и максимумы'!G$9)*100)</f>
        <v>1.8867924528301887</v>
      </c>
      <c r="J247">
        <f>IF('исходные данные'!J247&gt;'минимумы и максимумы'!H$10,100,('исходные данные'!J247-'минимумы и максимумы'!H$9)/('минимумы и максимумы'!H$10-'минимумы и максимумы'!H$9)*100)</f>
        <v>0</v>
      </c>
      <c r="K247">
        <f>IF('исходные данные'!K247&gt;'минимумы и максимумы'!I$10,100,('исходные данные'!K247-'минимумы и максимумы'!I$9)/('минимумы и максимумы'!I$10-'минимумы и максимумы'!I$9)*100)</f>
        <v>5.5555555555555554</v>
      </c>
      <c r="L247">
        <f>IF('исходные данные'!L247&gt;'минимумы и максимумы'!J$10,100,('исходные данные'!L247-'минимумы и максимумы'!J$9)/('минимумы и максимумы'!J$10-'минимумы и максимумы'!J$9)*100)</f>
        <v>0</v>
      </c>
      <c r="M247">
        <f>IF('исходные данные'!M247&gt;'минимумы и максимумы'!K$10,100,('исходные данные'!M247-'минимумы и максимумы'!K$9)/('минимумы и максимумы'!K$10-'минимумы и максимумы'!K$9)*100)</f>
        <v>10.714285714285714</v>
      </c>
      <c r="N247">
        <f>IF('исходные данные'!N247&gt;'минимумы и максимумы'!L$10,100,('исходные данные'!N247-'минимумы и максимумы'!L$9)/('минимумы и максимумы'!L$10-'минимумы и максимумы'!L$9)*100)</f>
        <v>49.975426345730007</v>
      </c>
      <c r="O247">
        <f>IF('исходные данные'!O247&gt;'минимумы и максимумы'!M$10,100,('исходные данные'!O247-'минимумы и максимумы'!M$9)/('минимумы и максимумы'!M$10-'минимумы и максимумы'!M$9)*100)</f>
        <v>66.666666666666657</v>
      </c>
      <c r="P247">
        <f>IF('исходные данные'!P247&gt;'минимумы и максимумы'!N$10,100,('исходные данные'!P247-'минимумы и максимумы'!N$9)/('минимумы и максимумы'!N$10-'минимумы и максимумы'!N$9)*100)</f>
        <v>100</v>
      </c>
      <c r="Q247">
        <f>IF('исходные данные'!Q247&gt;'минимумы и максимумы'!O$10,100,('исходные данные'!Q247-'минимумы и максимумы'!O$9)/('минимумы и максимумы'!O$10-'минимумы и максимумы'!O$9)*100)</f>
        <v>100</v>
      </c>
      <c r="R247">
        <f>IF('исходные данные'!R247&gt;'минимумы и максимумы'!P$10,100,('исходные данные'!R247-'минимумы и максимумы'!P$9)/('минимумы и максимумы'!P$10-'минимумы и максимумы'!P$9)*100)</f>
        <v>75</v>
      </c>
      <c r="S247">
        <f>IF('исходные данные'!S247&gt;'минимумы и максимумы'!Q$10,100,('исходные данные'!S247-'минимумы и максимумы'!Q$9)/('минимумы и максимумы'!Q$10-'минимумы и максимумы'!Q$9)*100)</f>
        <v>33.333333333333329</v>
      </c>
      <c r="T247">
        <f>IF('исходные данные'!T247&gt;'минимумы и максимумы'!R$10,100,('исходные данные'!T247-'минимумы и максимумы'!R$9)/('минимумы и максимумы'!R$10-'минимумы и максимумы'!R$9)*100)</f>
        <v>3.0782508630609899</v>
      </c>
      <c r="U247">
        <f>IF('исходные данные'!U247&gt;'минимумы и максимумы'!S$10,100,('исходные данные'!U247-'минимумы и максимумы'!S$9)/('минимумы и максимумы'!S$10-'минимумы и максимумы'!S$9)*100)</f>
        <v>0</v>
      </c>
    </row>
    <row r="248" spans="1:21" x14ac:dyDescent="0.45">
      <c r="A248" s="4">
        <v>342</v>
      </c>
      <c r="B248" s="4">
        <v>0</v>
      </c>
      <c r="C248" s="4">
        <v>0</v>
      </c>
      <c r="D248">
        <f>IF('исходные данные'!D248&gt;'минимумы и максимумы'!B$10,100,('исходные данные'!D248-'минимумы и максимумы'!B$9)/('минимумы и максимумы'!B$10-'минимумы и максимумы'!B$9)*100)</f>
        <v>11.111111111111111</v>
      </c>
      <c r="E248">
        <f>IF('исходные данные'!E248&gt;'минимумы и максимумы'!C$10,100,('исходные данные'!E248-'минимумы и максимумы'!C$9)/('минимумы и максимумы'!C$10-'минимумы и максимумы'!C$9)*100)</f>
        <v>20</v>
      </c>
      <c r="F248">
        <f>IF('исходные данные'!F248&gt;'минимумы и максимумы'!D$10,100,('исходные данные'!F248-'минимумы и максимумы'!D$9)/('минимумы и максимумы'!D$10-'минимумы и максимумы'!D$9)*100)</f>
        <v>0</v>
      </c>
      <c r="G248">
        <f>IF('исходные данные'!G248&gt;'минимумы и максимумы'!E$10,100,('исходные данные'!G248-'минимумы и максимумы'!E$9)/('минимумы и максимумы'!E$10-'минимумы и максимумы'!E$9)*100)</f>
        <v>20.833333333333336</v>
      </c>
      <c r="H248">
        <f>IF('исходные данные'!H248&gt;'минимумы и максимумы'!F$10,100,('исходные данные'!H248-'минимумы и максимумы'!F$9)/('минимумы и максимумы'!F$10-'минимумы и максимумы'!F$9)*100)</f>
        <v>31.03448275862069</v>
      </c>
      <c r="I248">
        <f>IF('исходные данные'!I248&gt;'минимумы и максимумы'!G$10,100,('исходные данные'!I248-'минимумы и максимумы'!G$9)/('минимумы и максимумы'!G$10-'минимумы и максимумы'!G$9)*100)</f>
        <v>11.320754716981133</v>
      </c>
      <c r="J248">
        <f>IF('исходные данные'!J248&gt;'минимумы и максимумы'!H$10,100,('исходные данные'!J248-'минимумы и максимумы'!H$9)/('минимумы и максимумы'!H$10-'минимумы и максимумы'!H$9)*100)</f>
        <v>13.333333333333334</v>
      </c>
      <c r="K248">
        <f>IF('исходные данные'!K248&gt;'минимумы и максимумы'!I$10,100,('исходные данные'!K248-'минимумы и максимумы'!I$9)/('минимумы и максимумы'!I$10-'минимумы и максимумы'!I$9)*100)</f>
        <v>0</v>
      </c>
      <c r="L248">
        <f>IF('исходные данные'!L248&gt;'минимумы и максимумы'!J$10,100,('исходные данные'!L248-'минимумы и максимумы'!J$9)/('минимумы и максимумы'!J$10-'минимумы и максимумы'!J$9)*100)</f>
        <v>7.1428571428571423</v>
      </c>
      <c r="M248">
        <f>IF('исходные данные'!M248&gt;'минимумы и максимумы'!K$10,100,('исходные данные'!M248-'минимумы и максимумы'!K$9)/('минимумы и максимумы'!K$10-'минимумы и максимумы'!K$9)*100)</f>
        <v>35.714285714285715</v>
      </c>
      <c r="N248">
        <f>IF('исходные данные'!N248&gt;'минимумы и максимумы'!L$10,100,('исходные данные'!N248-'минимумы и максимумы'!L$9)/('минимумы и максимумы'!L$10-'минимумы и максимумы'!L$9)*100)</f>
        <v>50.742767991883817</v>
      </c>
      <c r="O248">
        <f>IF('исходные данные'!O248&gt;'минимумы и максимумы'!M$10,100,('исходные данные'!O248-'минимумы и максимумы'!M$9)/('минимумы и максимумы'!M$10-'минимумы и максимумы'!M$9)*100)</f>
        <v>0</v>
      </c>
      <c r="P248">
        <f>IF('исходные данные'!P248&gt;'минимумы и максимумы'!N$10,100,('исходные данные'!P248-'минимумы и максимумы'!N$9)/('минимумы и максимумы'!N$10-'минимумы и максимумы'!N$9)*100)</f>
        <v>0</v>
      </c>
      <c r="Q248">
        <f>IF('исходные данные'!Q248&gt;'минимумы и максимумы'!O$10,100,('исходные данные'!Q248-'минимумы и максимумы'!O$9)/('минимумы и максимумы'!O$10-'минимумы и максимумы'!O$9)*100)</f>
        <v>100</v>
      </c>
      <c r="R248">
        <f>IF('исходные данные'!R248&gt;'минимумы и максимумы'!P$10,100,('исходные данные'!R248-'минимумы и максимумы'!P$9)/('минимумы и максимумы'!P$10-'минимумы и максимумы'!P$9)*100)</f>
        <v>100</v>
      </c>
      <c r="S248">
        <f>IF('исходные данные'!S248&gt;'минимумы и максимумы'!Q$10,100,('исходные данные'!S248-'минимумы и максимумы'!Q$9)/('минимумы и максимумы'!Q$10-'минимумы и максимумы'!Q$9)*100)</f>
        <v>50</v>
      </c>
      <c r="T248">
        <f>IF('исходные данные'!T248&gt;'минимумы и максимумы'!R$10,100,('исходные данные'!T248-'минимумы и максимумы'!R$9)/('минимумы и максимумы'!R$10-'минимумы и максимумы'!R$9)*100)</f>
        <v>3.4234752589182968</v>
      </c>
      <c r="U248">
        <f>IF('исходные данные'!U248&gt;'минимумы и максимумы'!S$10,100,('исходные данные'!U248-'минимумы и максимумы'!S$9)/('минимумы и максимумы'!S$10-'минимумы и максимумы'!S$9)*100)</f>
        <v>0</v>
      </c>
    </row>
    <row r="249" spans="1:21" x14ac:dyDescent="0.45">
      <c r="A249" s="4">
        <v>343</v>
      </c>
      <c r="B249" s="4">
        <v>0</v>
      </c>
      <c r="C249" s="4">
        <v>0</v>
      </c>
      <c r="D249">
        <f>IF('исходные данные'!D249&gt;'минимумы и максимумы'!B$10,100,('исходные данные'!D249-'минимумы и максимумы'!B$9)/('минимумы и максимумы'!B$10-'минимумы и максимумы'!B$9)*100)</f>
        <v>11.111111111111111</v>
      </c>
      <c r="E249">
        <f>IF('исходные данные'!E249&gt;'минимумы и максимумы'!C$10,100,('исходные данные'!E249-'минимумы и максимумы'!C$9)/('минимумы и максимумы'!C$10-'минимумы и максимумы'!C$9)*100)</f>
        <v>20</v>
      </c>
      <c r="F249">
        <f>IF('исходные данные'!F249&gt;'минимумы и максимумы'!D$10,100,('исходные данные'!F249-'минимумы и максимумы'!D$9)/('минимумы и максимумы'!D$10-'минимумы и максимумы'!D$9)*100)</f>
        <v>33.333333333333329</v>
      </c>
      <c r="G249">
        <f>IF('исходные данные'!G249&gt;'минимумы и максимумы'!E$10,100,('исходные данные'!G249-'минимумы и максимумы'!E$9)/('минимумы и максимумы'!E$10-'минимумы и максимумы'!E$9)*100)</f>
        <v>20.833333333333336</v>
      </c>
      <c r="H249">
        <f>IF('исходные данные'!H249&gt;'минимумы и максимумы'!F$10,100,('исходные данные'!H249-'минимумы и максимумы'!F$9)/('минимумы и максимумы'!F$10-'минимумы и максимумы'!F$9)*100)</f>
        <v>31.03448275862069</v>
      </c>
      <c r="I249">
        <f>IF('исходные данные'!I249&gt;'минимумы и максимумы'!G$10,100,('исходные данные'!I249-'минимумы и максимумы'!G$9)/('минимумы и максимумы'!G$10-'минимумы и максимумы'!G$9)*100)</f>
        <v>11.320754716981133</v>
      </c>
      <c r="J249">
        <f>IF('исходные данные'!J249&gt;'минимумы и максимумы'!H$10,100,('исходные данные'!J249-'минимумы и максимумы'!H$9)/('минимумы и максимумы'!H$10-'минимумы и максимумы'!H$9)*100)</f>
        <v>13.333333333333334</v>
      </c>
      <c r="K249">
        <f>IF('исходные данные'!K249&gt;'минимумы и максимумы'!I$10,100,('исходные данные'!K249-'минимумы и максимумы'!I$9)/('минимумы и максимумы'!I$10-'минимумы и максимумы'!I$9)*100)</f>
        <v>0</v>
      </c>
      <c r="L249">
        <f>IF('исходные данные'!L249&gt;'минимумы и максимумы'!J$10,100,('исходные данные'!L249-'минимумы и максимумы'!J$9)/('минимумы и максимумы'!J$10-'минимумы и максимумы'!J$9)*100)</f>
        <v>0</v>
      </c>
      <c r="M249">
        <f>IF('исходные данные'!M249&gt;'минимумы и максимумы'!K$10,100,('исходные данные'!M249-'минимумы и максимумы'!K$9)/('минимумы и максимумы'!K$10-'минимумы и максимумы'!K$9)*100)</f>
        <v>35.714285714285715</v>
      </c>
      <c r="N249">
        <f>IF('исходные данные'!N249&gt;'минимумы и максимумы'!L$10,100,('исходные данные'!N249-'минимумы и максимумы'!L$9)/('минимумы и максимумы'!L$10-'минимумы и максимумы'!L$9)*100)</f>
        <v>49.621139859069871</v>
      </c>
      <c r="O249">
        <f>IF('исходные данные'!O249&gt;'минимумы и максимумы'!M$10,100,('исходные данные'!O249-'минимумы и максимумы'!M$9)/('минимумы и максимумы'!M$10-'минимумы и максимумы'!M$9)*100)</f>
        <v>66.666666666666657</v>
      </c>
      <c r="P249">
        <f>IF('исходные данные'!P249&gt;'минимумы и максимумы'!N$10,100,('исходные данные'!P249-'минимумы и максимумы'!N$9)/('минимумы и максимумы'!N$10-'минимумы и максимумы'!N$9)*100)</f>
        <v>0</v>
      </c>
      <c r="Q249">
        <f>IF('исходные данные'!Q249&gt;'минимумы и максимумы'!O$10,100,('исходные данные'!Q249-'минимумы и максимумы'!O$9)/('минимумы и максимумы'!O$10-'минимумы и максимумы'!O$9)*100)</f>
        <v>0</v>
      </c>
      <c r="R249">
        <f>IF('исходные данные'!R249&gt;'минимумы и максимумы'!P$10,100,('исходные данные'!R249-'минимумы и максимумы'!P$9)/('минимумы и максимумы'!P$10-'минимумы и максимумы'!P$9)*100)</f>
        <v>75</v>
      </c>
      <c r="S249">
        <f>IF('исходные данные'!S249&gt;'минимумы и максимумы'!Q$10,100,('исходные данные'!S249-'минимумы и максимумы'!Q$9)/('минимумы и максимумы'!Q$10-'минимумы и максимумы'!Q$9)*100)</f>
        <v>16.666666666666664</v>
      </c>
      <c r="T249">
        <f>IF('исходные данные'!T249&gt;'минимумы и максимумы'!R$10,100,('исходные данные'!T249-'минимумы и максимумы'!R$9)/('минимумы и максимумы'!R$10-'минимумы и максимумы'!R$9)*100)</f>
        <v>5.6962025316455698</v>
      </c>
      <c r="U249">
        <f>IF('исходные данные'!U249&gt;'минимумы и максимумы'!S$10,100,('исходные данные'!U249-'минимумы и максимумы'!S$9)/('минимумы и максимумы'!S$10-'минимумы и максимумы'!S$9)*100)</f>
        <v>0</v>
      </c>
    </row>
    <row r="250" spans="1:21" x14ac:dyDescent="0.45">
      <c r="A250" s="4">
        <v>344</v>
      </c>
      <c r="B250" s="4">
        <v>0</v>
      </c>
      <c r="C250" s="4">
        <v>0</v>
      </c>
      <c r="D250">
        <f>IF('исходные данные'!D250&gt;'минимумы и максимумы'!B$10,100,('исходные данные'!D250-'минимумы и максимумы'!B$9)/('минимумы и максимумы'!B$10-'минимумы и максимумы'!B$9)*100)</f>
        <v>33.333333333333329</v>
      </c>
      <c r="E250">
        <f>IF('исходные данные'!E250&gt;'минимумы и максимумы'!C$10,100,('исходные данные'!E250-'минимумы и максимумы'!C$9)/('минимумы и максимумы'!C$10-'минимумы и максимумы'!C$9)*100)</f>
        <v>20</v>
      </c>
      <c r="F250">
        <f>IF('исходные данные'!F250&gt;'минимумы и максимумы'!D$10,100,('исходные данные'!F250-'минимумы и максимумы'!D$9)/('минимумы и максимумы'!D$10-'минимумы и максимумы'!D$9)*100)</f>
        <v>0</v>
      </c>
      <c r="G250">
        <f>IF('исходные данные'!G250&gt;'минимумы и максимумы'!E$10,100,('исходные данные'!G250-'минимумы и максимумы'!E$9)/('минимумы и максимумы'!E$10-'минимумы и максимумы'!E$9)*100)</f>
        <v>33.333333333333329</v>
      </c>
      <c r="H250">
        <f>IF('исходные данные'!H250&gt;'минимумы и максимумы'!F$10,100,('исходные данные'!H250-'минимумы и максимумы'!F$9)/('минимумы и максимумы'!F$10-'минимумы и максимумы'!F$9)*100)</f>
        <v>34.482758620689658</v>
      </c>
      <c r="I250">
        <f>IF('исходные данные'!I250&gt;'минимумы и максимумы'!G$10,100,('исходные данные'!I250-'минимумы и максимумы'!G$9)/('минимумы и максимумы'!G$10-'минимумы и максимумы'!G$9)*100)</f>
        <v>13.20754716981132</v>
      </c>
      <c r="J250">
        <f>IF('исходные данные'!J250&gt;'минимумы и максимумы'!H$10,100,('исходные данные'!J250-'минимумы и максимумы'!H$9)/('минимумы и максимумы'!H$10-'минимумы и максимумы'!H$9)*100)</f>
        <v>13.333333333333334</v>
      </c>
      <c r="K250">
        <f>IF('исходные данные'!K250&gt;'минимумы и максимумы'!I$10,100,('исходные данные'!K250-'минимумы и максимумы'!I$9)/('минимумы и максимумы'!I$10-'минимумы и максимумы'!I$9)*100)</f>
        <v>0</v>
      </c>
      <c r="L250">
        <f>IF('исходные данные'!L250&gt;'минимумы и максимумы'!J$10,100,('исходные данные'!L250-'минимумы и максимумы'!J$9)/('минимумы и максимумы'!J$10-'минимумы и максимумы'!J$9)*100)</f>
        <v>7.1428571428571423</v>
      </c>
      <c r="M250">
        <f>IF('исходные данные'!M250&gt;'минимумы и максимумы'!K$10,100,('исходные данные'!M250-'минимумы и максимумы'!K$9)/('минимумы и максимумы'!K$10-'минимумы и максимумы'!K$9)*100)</f>
        <v>42.857142857142854</v>
      </c>
      <c r="N250">
        <f>IF('исходные данные'!N250&gt;'минимумы и максимумы'!L$10,100,('исходные данные'!N250-'минимумы и максимумы'!L$9)/('минимумы и максимумы'!L$10-'минимумы и максимумы'!L$9)*100)</f>
        <v>49.134704533343196</v>
      </c>
      <c r="O250">
        <f>IF('исходные данные'!O250&gt;'минимумы и максимумы'!M$10,100,('исходные данные'!O250-'минимумы и максимумы'!M$9)/('минимумы и максимумы'!M$10-'минимумы и максимумы'!M$9)*100)</f>
        <v>100</v>
      </c>
      <c r="P250">
        <f>IF('исходные данные'!P250&gt;'минимумы и максимумы'!N$10,100,('исходные данные'!P250-'минимумы и максимумы'!N$9)/('минимумы и максимумы'!N$10-'минимумы и максимумы'!N$9)*100)</f>
        <v>0</v>
      </c>
      <c r="Q250">
        <f>IF('исходные данные'!Q250&gt;'минимумы и максимумы'!O$10,100,('исходные данные'!Q250-'минимумы и максимумы'!O$9)/('минимумы и максимумы'!O$10-'минимумы и максимумы'!O$9)*100)</f>
        <v>100</v>
      </c>
      <c r="R250">
        <f>IF('исходные данные'!R250&gt;'минимумы и максимумы'!P$10,100,('исходные данные'!R250-'минимумы и максимумы'!P$9)/('минимумы и максимумы'!P$10-'минимумы и максимумы'!P$9)*100)</f>
        <v>25</v>
      </c>
      <c r="S250">
        <f>IF('исходные данные'!S250&gt;'минимумы и максимумы'!Q$10,100,('исходные данные'!S250-'минимумы и максимумы'!Q$9)/('минимумы и максимумы'!Q$10-'минимумы и максимумы'!Q$9)*100)</f>
        <v>16.666666666666664</v>
      </c>
      <c r="T250">
        <f>IF('исходные данные'!T250&gt;'минимумы и максимумы'!R$10,100,('исходные данные'!T250-'минимумы и максимумы'!R$9)/('минимумы и максимумы'!R$10-'минимумы и максимумы'!R$9)*100)</f>
        <v>3.6823935558112773</v>
      </c>
      <c r="U250">
        <f>IF('исходные данные'!U250&gt;'минимумы и максимумы'!S$10,100,('исходные данные'!U250-'минимумы и максимумы'!S$9)/('минимумы и максимумы'!S$10-'минимумы и максимумы'!S$9)*100)</f>
        <v>0</v>
      </c>
    </row>
    <row r="251" spans="1:21" x14ac:dyDescent="0.45">
      <c r="A251" s="4">
        <v>345</v>
      </c>
      <c r="B251" s="4">
        <v>0</v>
      </c>
      <c r="C251" s="4">
        <v>1</v>
      </c>
      <c r="D251">
        <f>IF('исходные данные'!D251&gt;'минимумы и максимумы'!B$10,100,('исходные данные'!D251-'минимумы и максимумы'!B$9)/('минимумы и максимумы'!B$10-'минимумы и максимумы'!B$9)*100)</f>
        <v>33.333333333333329</v>
      </c>
      <c r="E251">
        <f>IF('исходные данные'!E251&gt;'минимумы и максимумы'!C$10,100,('исходные данные'!E251-'минимумы и максимумы'!C$9)/('минимумы и максимумы'!C$10-'минимумы и максимумы'!C$9)*100)</f>
        <v>20</v>
      </c>
      <c r="F251">
        <f>IF('исходные данные'!F251&gt;'минимумы и максимумы'!D$10,100,('исходные данные'!F251-'минимумы и максимумы'!D$9)/('минимумы и максимумы'!D$10-'минимумы и максимумы'!D$9)*100)</f>
        <v>0</v>
      </c>
      <c r="G251">
        <f>IF('исходные данные'!G251&gt;'минимумы и максимумы'!E$10,100,('исходные данные'!G251-'минимумы и максимумы'!E$9)/('минимумы и максимумы'!E$10-'минимумы и максимумы'!E$9)*100)</f>
        <v>33.333333333333329</v>
      </c>
      <c r="H251">
        <f>IF('исходные данные'!H251&gt;'минимумы и максимумы'!F$10,100,('исходные данные'!H251-'минимумы и максимумы'!F$9)/('минимумы и максимумы'!F$10-'минимумы и максимумы'!F$9)*100)</f>
        <v>34.482758620689658</v>
      </c>
      <c r="I251">
        <f>IF('исходные данные'!I251&gt;'минимумы и максимумы'!G$10,100,('исходные данные'!I251-'минимумы и максимумы'!G$9)/('минимумы и максимумы'!G$10-'минимумы и максимумы'!G$9)*100)</f>
        <v>13.20754716981132</v>
      </c>
      <c r="J251">
        <f>IF('исходные данные'!J251&gt;'минимумы и максимумы'!H$10,100,('исходные данные'!J251-'минимумы и максимумы'!H$9)/('минимумы и максимумы'!H$10-'минимумы и максимумы'!H$9)*100)</f>
        <v>13.333333333333334</v>
      </c>
      <c r="K251">
        <f>IF('исходные данные'!K251&gt;'минимумы и максимумы'!I$10,100,('исходные данные'!K251-'минимумы и максимумы'!I$9)/('минимумы и максимумы'!I$10-'минимумы и максимумы'!I$9)*100)</f>
        <v>0</v>
      </c>
      <c r="L251">
        <f>IF('исходные данные'!L251&gt;'минимумы и максимумы'!J$10,100,('исходные данные'!L251-'минимумы и максимумы'!J$9)/('минимумы и максимумы'!J$10-'минимумы и максимумы'!J$9)*100)</f>
        <v>7.1428571428571423</v>
      </c>
      <c r="M251">
        <f>IF('исходные данные'!M251&gt;'минимумы и максимумы'!K$10,100,('исходные данные'!M251-'минимумы и максимумы'!K$9)/('минимумы и максимумы'!K$10-'минимумы и максимумы'!K$9)*100)</f>
        <v>42.857142857142854</v>
      </c>
      <c r="N251">
        <f>IF('исходные данные'!N251&gt;'минимумы и максимумы'!L$10,100,('исходные данные'!N251-'минимумы и максимумы'!L$9)/('минимумы и максимумы'!L$10-'минимумы и максимумы'!L$9)*100)</f>
        <v>49.544971952679688</v>
      </c>
      <c r="O251">
        <f>IF('исходные данные'!O251&gt;'минимумы и максимумы'!M$10,100,('исходные данные'!O251-'минимумы и максимумы'!M$9)/('минимумы и максимумы'!M$10-'минимумы и максимумы'!M$9)*100)</f>
        <v>0</v>
      </c>
      <c r="P251">
        <f>IF('исходные данные'!P251&gt;'минимумы и максимумы'!N$10,100,('исходные данные'!P251-'минимумы и максимумы'!N$9)/('минимумы и максимумы'!N$10-'минимумы и максимумы'!N$9)*100)</f>
        <v>0</v>
      </c>
      <c r="Q251">
        <f>IF('исходные данные'!Q251&gt;'минимумы и максимумы'!O$10,100,('исходные данные'!Q251-'минимумы и максимумы'!O$9)/('минимумы и максимумы'!O$10-'минимумы и максимумы'!O$9)*100)</f>
        <v>0</v>
      </c>
      <c r="R251">
        <f>IF('исходные данные'!R251&gt;'минимумы и максимумы'!P$10,100,('исходные данные'!R251-'минимумы и максимумы'!P$9)/('минимумы и максимумы'!P$10-'минимумы и максимумы'!P$9)*100)</f>
        <v>25</v>
      </c>
      <c r="S251">
        <f>IF('исходные данные'!S251&gt;'минимумы и максимумы'!Q$10,100,('исходные данные'!S251-'минимумы и максимумы'!Q$9)/('минимумы и максимумы'!Q$10-'минимумы и максимумы'!Q$9)*100)</f>
        <v>16.666666666666664</v>
      </c>
      <c r="T251">
        <f>IF('исходные данные'!T251&gt;'минимумы и максимумы'!R$10,100,('исходные данные'!T251-'минимумы и максимумы'!R$9)/('минимумы и максимумы'!R$10-'минимумы и максимумы'!R$9)*100)</f>
        <v>7.0483314154200229</v>
      </c>
      <c r="U251">
        <f>IF('исходные данные'!U251&gt;'минимумы и максимумы'!S$10,100,('исходные данные'!U251-'минимумы и максимумы'!S$9)/('минимумы и максимумы'!S$10-'минимумы и максимумы'!S$9)*100)</f>
        <v>0</v>
      </c>
    </row>
    <row r="252" spans="1:21" x14ac:dyDescent="0.45">
      <c r="A252" s="4">
        <v>346</v>
      </c>
      <c r="B252" s="4">
        <v>0</v>
      </c>
      <c r="C252" s="4">
        <v>0</v>
      </c>
      <c r="D252">
        <f>IF('исходные данные'!D252&gt;'минимумы и максимумы'!B$10,100,('исходные данные'!D252-'минимумы и максимумы'!B$9)/('минимумы и максимумы'!B$10-'минимумы и максимумы'!B$9)*100)</f>
        <v>0</v>
      </c>
      <c r="E252">
        <f>IF('исходные данные'!E252&gt;'минимумы и максимумы'!C$10,100,('исходные данные'!E252-'минимумы и максимумы'!C$9)/('минимумы и максимумы'!C$10-'минимумы и максимумы'!C$9)*100)</f>
        <v>0</v>
      </c>
      <c r="F252">
        <f>IF('исходные данные'!F252&gt;'минимумы и максимумы'!D$10,100,('исходные данные'!F252-'минимумы и максимумы'!D$9)/('минимумы и максимумы'!D$10-'минимумы и максимумы'!D$9)*100)</f>
        <v>0</v>
      </c>
      <c r="G252">
        <f>IF('исходные данные'!G252&gt;'минимумы и максимумы'!E$10,100,('исходные данные'!G252-'минимумы и максимумы'!E$9)/('минимумы и максимумы'!E$10-'минимумы и максимумы'!E$9)*100)</f>
        <v>0</v>
      </c>
      <c r="H252">
        <f>IF('исходные данные'!H252&gt;'минимумы и максимумы'!F$10,100,('исходные данные'!H252-'минимумы и максимумы'!F$9)/('минимумы и максимумы'!F$10-'минимумы и максимумы'!F$9)*100)</f>
        <v>0</v>
      </c>
      <c r="I252">
        <f>IF('исходные данные'!I252&gt;'минимумы и максимумы'!G$10,100,('исходные данные'!I252-'минимумы и максимумы'!G$9)/('минимумы и максимумы'!G$10-'минимумы и максимумы'!G$9)*100)</f>
        <v>3.7735849056603774</v>
      </c>
      <c r="J252">
        <f>IF('исходные данные'!J252&gt;'минимумы и максимумы'!H$10,100,('исходные данные'!J252-'минимумы и максимумы'!H$9)/('минимумы и максимумы'!H$10-'минимумы и максимумы'!H$9)*100)</f>
        <v>0</v>
      </c>
      <c r="K252">
        <f>IF('исходные данные'!K252&gt;'минимумы и максимумы'!I$10,100,('исходные данные'!K252-'минимумы и максимумы'!I$9)/('минимумы и максимумы'!I$10-'минимумы и максимумы'!I$9)*100)</f>
        <v>0</v>
      </c>
      <c r="L252">
        <f>IF('исходные данные'!L252&gt;'минимумы и максимумы'!J$10,100,('исходные данные'!L252-'минимумы и максимумы'!J$9)/('минимумы и максимумы'!J$10-'минимумы и максимумы'!J$9)*100)</f>
        <v>0</v>
      </c>
      <c r="M252">
        <f>IF('исходные данные'!M252&gt;'минимумы и максимумы'!K$10,100,('исходные данные'!M252-'минимумы и максимумы'!K$9)/('минимумы и максимумы'!K$10-'минимумы и максимумы'!K$9)*100)</f>
        <v>10.714285714285714</v>
      </c>
      <c r="N252">
        <f>IF('исходные данные'!N252&gt;'минимумы и максимумы'!L$10,100,('исходные данные'!N252-'минимумы и максимумы'!L$9)/('минимумы и максимумы'!L$10-'минимумы и максимумы'!L$9)*100)</f>
        <v>45.839225385980939</v>
      </c>
      <c r="O252">
        <f>IF('исходные данные'!O252&gt;'минимумы и максимумы'!M$10,100,('исходные данные'!O252-'минимумы и максимумы'!M$9)/('минимумы и максимумы'!M$10-'минимумы и максимумы'!M$9)*100)</f>
        <v>33.333333333333329</v>
      </c>
      <c r="P252">
        <f>IF('исходные данные'!P252&gt;'минимумы и максимумы'!N$10,100,('исходные данные'!P252-'минимумы и максимумы'!N$9)/('минимумы и максимумы'!N$10-'минимумы и максимумы'!N$9)*100)</f>
        <v>100</v>
      </c>
      <c r="Q252">
        <f>IF('исходные данные'!Q252&gt;'минимумы и максимумы'!O$10,100,('исходные данные'!Q252-'минимумы и максимумы'!O$9)/('минимумы и максимумы'!O$10-'минимумы и максимумы'!O$9)*100)</f>
        <v>100</v>
      </c>
      <c r="R252">
        <f>IF('исходные данные'!R252&gt;'минимумы и максимумы'!P$10,100,('исходные данные'!R252-'минимумы и максимумы'!P$9)/('минимумы и максимумы'!P$10-'минимумы и максимумы'!P$9)*100)</f>
        <v>75</v>
      </c>
      <c r="S252">
        <f>IF('исходные данные'!S252&gt;'минимумы и максимумы'!Q$10,100,('исходные данные'!S252-'минимумы и максимумы'!Q$9)/('минимумы и максимумы'!Q$10-'минимумы и максимумы'!Q$9)*100)</f>
        <v>33.333333333333329</v>
      </c>
      <c r="T252">
        <f>IF('исходные данные'!T252&gt;'минимумы и максимумы'!R$10,100,('исходные данные'!T252-'минимумы и максимумы'!R$9)/('минимумы и максимумы'!R$10-'минимумы и максимумы'!R$9)*100)</f>
        <v>14.959723820483314</v>
      </c>
      <c r="U252">
        <f>IF('исходные данные'!U252&gt;'минимумы и максимумы'!S$10,100,('исходные данные'!U252-'минимумы и максимумы'!S$9)/('минимумы и максимумы'!S$10-'минимумы и максимумы'!S$9)*100)</f>
        <v>33.333333333333329</v>
      </c>
    </row>
    <row r="253" spans="1:21" x14ac:dyDescent="0.45">
      <c r="A253" s="4">
        <v>347</v>
      </c>
      <c r="B253" s="4">
        <v>0</v>
      </c>
      <c r="C253" s="4">
        <v>0</v>
      </c>
      <c r="D253">
        <f>IF('исходные данные'!D253&gt;'минимумы и максимумы'!B$10,100,('исходные данные'!D253-'минимумы и максимумы'!B$9)/('минимумы и максимумы'!B$10-'минимумы и максимумы'!B$9)*100)</f>
        <v>0</v>
      </c>
      <c r="E253">
        <f>IF('исходные данные'!E253&gt;'минимумы и максимумы'!C$10,100,('исходные данные'!E253-'минимумы и максимумы'!C$9)/('минимумы и максимумы'!C$10-'минимумы и максимумы'!C$9)*100)</f>
        <v>0</v>
      </c>
      <c r="F253">
        <f>IF('исходные данные'!F253&gt;'минимумы и максимумы'!D$10,100,('исходные данные'!F253-'минимумы и максимумы'!D$9)/('минимумы и максимумы'!D$10-'минимумы и максимумы'!D$9)*100)</f>
        <v>0</v>
      </c>
      <c r="G253">
        <f>IF('исходные данные'!G253&gt;'минимумы и максимумы'!E$10,100,('исходные данные'!G253-'минимумы и максимумы'!E$9)/('минимумы и максимумы'!E$10-'минимумы и максимумы'!E$9)*100)</f>
        <v>0</v>
      </c>
      <c r="H253">
        <f>IF('исходные данные'!H253&gt;'минимумы и максимумы'!F$10,100,('исходные данные'!H253-'минимумы и максимумы'!F$9)/('минимумы и максимумы'!F$10-'минимумы и максимумы'!F$9)*100)</f>
        <v>0</v>
      </c>
      <c r="I253">
        <f>IF('исходные данные'!I253&gt;'минимумы и максимумы'!G$10,100,('исходные данные'!I253-'минимумы и максимумы'!G$9)/('минимумы и максимумы'!G$10-'минимумы и максимумы'!G$9)*100)</f>
        <v>1.8867924528301887</v>
      </c>
      <c r="J253">
        <f>IF('исходные данные'!J253&gt;'минимумы и максимумы'!H$10,100,('исходные данные'!J253-'минимумы и максимумы'!H$9)/('минимумы и максимумы'!H$10-'минимумы и максимумы'!H$9)*100)</f>
        <v>0</v>
      </c>
      <c r="K253">
        <f>IF('исходные данные'!K253&gt;'минимумы и максимумы'!I$10,100,('исходные данные'!K253-'минимумы и максимумы'!I$9)/('минимумы и максимумы'!I$10-'минимумы и максимумы'!I$9)*100)</f>
        <v>0</v>
      </c>
      <c r="L253">
        <f>IF('исходные данные'!L253&gt;'минимумы и максимумы'!J$10,100,('исходные данные'!L253-'минимумы и максимумы'!J$9)/('минимумы и максимумы'!J$10-'минимумы и максимумы'!J$9)*100)</f>
        <v>0</v>
      </c>
      <c r="M253">
        <f>IF('исходные данные'!M253&gt;'минимумы и максимумы'!K$10,100,('исходные данные'!M253-'минимумы и максимумы'!K$9)/('минимумы и максимумы'!K$10-'минимумы и максимумы'!K$9)*100)</f>
        <v>0</v>
      </c>
      <c r="N253">
        <f>IF('исходные данные'!N253&gt;'минимумы и максимумы'!L$10,100,('исходные данные'!N253-'минимумы и максимумы'!L$9)/('минимумы и максимумы'!L$10-'минимумы и максимумы'!L$9)*100)</f>
        <v>55.13469760769415</v>
      </c>
      <c r="O253">
        <f>IF('исходные данные'!O253&gt;'минимумы и максимумы'!M$10,100,('исходные данные'!O253-'минимумы и максимумы'!M$9)/('минимумы и максимумы'!M$10-'минимумы и максимумы'!M$9)*100)</f>
        <v>100</v>
      </c>
      <c r="P253">
        <f>IF('исходные данные'!P253&gt;'минимумы и максимумы'!N$10,100,('исходные данные'!P253-'минимумы и максимумы'!N$9)/('минимумы и максимумы'!N$10-'минимумы и максимумы'!N$9)*100)</f>
        <v>100</v>
      </c>
      <c r="Q253">
        <f>IF('исходные данные'!Q253&gt;'минимумы и максимумы'!O$10,100,('исходные данные'!Q253-'минимумы и максимумы'!O$9)/('минимумы и максимумы'!O$10-'минимумы и максимумы'!O$9)*100)</f>
        <v>0</v>
      </c>
      <c r="R253">
        <f>IF('исходные данные'!R253&gt;'минимумы и максимумы'!P$10,100,('исходные данные'!R253-'минимумы и максимумы'!P$9)/('минимумы и максимумы'!P$10-'минимумы и максимумы'!P$9)*100)</f>
        <v>50</v>
      </c>
      <c r="S253">
        <f>IF('исходные данные'!S253&gt;'минимумы и максимумы'!Q$10,100,('исходные данные'!S253-'минимумы и максимумы'!Q$9)/('минимумы и максимумы'!Q$10-'минимумы и максимумы'!Q$9)*100)</f>
        <v>16.666666666666664</v>
      </c>
      <c r="T253">
        <f>IF('исходные данные'!T253&gt;'минимумы и максимумы'!R$10,100,('исходные данные'!T253-'минимумы и максимумы'!R$9)/('минимумы и максимумы'!R$10-'минимумы и максимумы'!R$9)*100)</f>
        <v>4.8619102416570765</v>
      </c>
      <c r="U253">
        <f>IF('исходные данные'!U253&gt;'минимумы и максимумы'!S$10,100,('исходные данные'!U253-'минимумы и максимумы'!S$9)/('минимумы и максимумы'!S$10-'минимумы и максимумы'!S$9)*100)</f>
        <v>0</v>
      </c>
    </row>
    <row r="254" spans="1:21" x14ac:dyDescent="0.45">
      <c r="A254" s="4">
        <v>348</v>
      </c>
      <c r="B254" s="4">
        <v>0</v>
      </c>
      <c r="C254" s="4">
        <v>0</v>
      </c>
      <c r="D254">
        <f>IF('исходные данные'!D254&gt;'минимумы и максимумы'!B$10,100,('исходные данные'!D254-'минимумы и максимумы'!B$9)/('минимумы и максимумы'!B$10-'минимумы и максимумы'!B$9)*100)</f>
        <v>0</v>
      </c>
      <c r="E254">
        <f>IF('исходные данные'!E254&gt;'минимумы и максимумы'!C$10,100,('исходные данные'!E254-'минимумы и максимумы'!C$9)/('минимумы и максимумы'!C$10-'минимумы и максимумы'!C$9)*100)</f>
        <v>0</v>
      </c>
      <c r="F254">
        <f>IF('исходные данные'!F254&gt;'минимумы и максимумы'!D$10,100,('исходные данные'!F254-'минимумы и максимумы'!D$9)/('минимумы и максимумы'!D$10-'минимумы и максимумы'!D$9)*100)</f>
        <v>0</v>
      </c>
      <c r="G254">
        <f>IF('исходные данные'!G254&gt;'минимумы и максимумы'!E$10,100,('исходные данные'!G254-'минимумы и максимумы'!E$9)/('минимумы и максимумы'!E$10-'минимумы и максимумы'!E$9)*100)</f>
        <v>4.1666666666666661</v>
      </c>
      <c r="H254">
        <f>IF('исходные данные'!H254&gt;'минимумы и максимумы'!F$10,100,('исходные данные'!H254-'минимумы и максимумы'!F$9)/('минимумы и максимумы'!F$10-'минимумы и максимумы'!F$9)*100)</f>
        <v>0</v>
      </c>
      <c r="I254">
        <f>IF('исходные данные'!I254&gt;'минимумы и максимумы'!G$10,100,('исходные данные'!I254-'минимумы и максимумы'!G$9)/('минимумы и максимумы'!G$10-'минимумы и максимумы'!G$9)*100)</f>
        <v>1.8867924528301887</v>
      </c>
      <c r="J254">
        <f>IF('исходные данные'!J254&gt;'минимумы и максимумы'!H$10,100,('исходные данные'!J254-'минимумы и максимумы'!H$9)/('минимумы и максимумы'!H$10-'минимумы и максимумы'!H$9)*100)</f>
        <v>0</v>
      </c>
      <c r="K254">
        <f>IF('исходные данные'!K254&gt;'минимумы и максимумы'!I$10,100,('исходные данные'!K254-'минимумы и максимумы'!I$9)/('минимумы и максимумы'!I$10-'минимумы и максимумы'!I$9)*100)</f>
        <v>0</v>
      </c>
      <c r="L254">
        <f>IF('исходные данные'!L254&gt;'минимумы и максимумы'!J$10,100,('исходные данные'!L254-'минимумы и максимумы'!J$9)/('минимумы и максимумы'!J$10-'минимумы и максимумы'!J$9)*100)</f>
        <v>0</v>
      </c>
      <c r="M254">
        <f>IF('исходные данные'!M254&gt;'минимумы и максимумы'!K$10,100,('исходные данные'!M254-'минимумы и максимумы'!K$9)/('минимумы и максимумы'!K$10-'минимумы и максимумы'!K$9)*100)</f>
        <v>0</v>
      </c>
      <c r="N254">
        <f>IF('исходные данные'!N254&gt;'минимумы и максимумы'!L$10,100,('исходные данные'!N254-'минимумы и максимумы'!L$9)/('минимумы и максимумы'!L$10-'минимумы и максимумы'!L$9)*100)</f>
        <v>54.614716602133626</v>
      </c>
      <c r="O254">
        <f>IF('исходные данные'!O254&gt;'минимумы и максимумы'!M$10,100,('исходные данные'!O254-'минимумы и максимумы'!M$9)/('минимумы и максимумы'!M$10-'минимумы и максимумы'!M$9)*100)</f>
        <v>100</v>
      </c>
      <c r="P254">
        <f>IF('исходные данные'!P254&gt;'минимумы и максимумы'!N$10,100,('исходные данные'!P254-'минимумы и максимумы'!N$9)/('минимумы и максимумы'!N$10-'минимумы и максимумы'!N$9)*100)</f>
        <v>100</v>
      </c>
      <c r="Q254">
        <f>IF('исходные данные'!Q254&gt;'минимумы и максимумы'!O$10,100,('исходные данные'!Q254-'минимумы и максимумы'!O$9)/('минимумы и максимумы'!O$10-'минимумы и максимумы'!O$9)*100)</f>
        <v>0</v>
      </c>
      <c r="R254">
        <f>IF('исходные данные'!R254&gt;'минимумы и максимумы'!P$10,100,('исходные данные'!R254-'минимумы и максимумы'!P$9)/('минимумы и максимумы'!P$10-'минимумы и максимумы'!P$9)*100)</f>
        <v>50</v>
      </c>
      <c r="S254">
        <f>IF('исходные данные'!S254&gt;'минимумы и максимумы'!Q$10,100,('исходные данные'!S254-'минимумы и максимумы'!Q$9)/('минимумы и максимумы'!Q$10-'минимумы и максимумы'!Q$9)*100)</f>
        <v>16.666666666666664</v>
      </c>
      <c r="T254">
        <f>IF('исходные данные'!T254&gt;'минимумы и максимумы'!R$10,100,('исходные данные'!T254-'минимумы и максимумы'!R$9)/('минимумы и максимумы'!R$10-'минимумы и максимумы'!R$9)*100)</f>
        <v>4.8331415420023012</v>
      </c>
      <c r="U254">
        <f>IF('исходные данные'!U254&gt;'минимумы и максимумы'!S$10,100,('исходные данные'!U254-'минимумы и максимумы'!S$9)/('минимумы и максимумы'!S$10-'минимумы и максимумы'!S$9)*100)</f>
        <v>0</v>
      </c>
    </row>
    <row r="255" spans="1:21" x14ac:dyDescent="0.45">
      <c r="A255" s="4">
        <v>349</v>
      </c>
      <c r="B255" s="4">
        <v>0</v>
      </c>
      <c r="C255" s="4">
        <v>0</v>
      </c>
      <c r="D255">
        <f>IF('исходные данные'!D255&gt;'минимумы и максимумы'!B$10,100,('исходные данные'!D255-'минимумы и максимумы'!B$9)/('минимумы и максимумы'!B$10-'минимумы и максимумы'!B$9)*100)</f>
        <v>0</v>
      </c>
      <c r="E255">
        <f>IF('исходные данные'!E255&gt;'минимумы и максимумы'!C$10,100,('исходные данные'!E255-'минимумы и максимумы'!C$9)/('минимумы и максимумы'!C$10-'минимумы и максимумы'!C$9)*100)</f>
        <v>0</v>
      </c>
      <c r="F255">
        <f>IF('исходные данные'!F255&gt;'минимумы и максимумы'!D$10,100,('исходные данные'!F255-'минимумы и максимумы'!D$9)/('минимумы и максимумы'!D$10-'минимумы и максимумы'!D$9)*100)</f>
        <v>0</v>
      </c>
      <c r="G255">
        <f>IF('исходные данные'!G255&gt;'минимумы и максимумы'!E$10,100,('исходные данные'!G255-'минимумы и максимумы'!E$9)/('минимумы и максимумы'!E$10-'минимумы и максимумы'!E$9)*100)</f>
        <v>4.1666666666666661</v>
      </c>
      <c r="H255">
        <f>IF('исходные данные'!H255&gt;'минимумы и максимумы'!F$10,100,('исходные данные'!H255-'минимумы и максимумы'!F$9)/('минимумы и максимумы'!F$10-'минимумы и максимумы'!F$9)*100)</f>
        <v>0</v>
      </c>
      <c r="I255">
        <f>IF('исходные данные'!I255&gt;'минимумы и максимумы'!G$10,100,('исходные данные'!I255-'минимумы и максимумы'!G$9)/('минимумы и максимумы'!G$10-'минимумы и максимумы'!G$9)*100)</f>
        <v>3.7735849056603774</v>
      </c>
      <c r="J255">
        <f>IF('исходные данные'!J255&gt;'минимумы и максимумы'!H$10,100,('исходные данные'!J255-'минимумы и максимумы'!H$9)/('минимумы и максимумы'!H$10-'минимумы и максимумы'!H$9)*100)</f>
        <v>0</v>
      </c>
      <c r="K255">
        <f>IF('исходные данные'!K255&gt;'минимумы и максимумы'!I$10,100,('исходные данные'!K255-'минимумы и максимумы'!I$9)/('минимумы и максимумы'!I$10-'минимумы и максимумы'!I$9)*100)</f>
        <v>5.5555555555555554</v>
      </c>
      <c r="L255">
        <f>IF('исходные данные'!L255&gt;'минимумы и максимумы'!J$10,100,('исходные данные'!L255-'минимумы и максимумы'!J$9)/('минимумы и максимумы'!J$10-'минимумы и максимумы'!J$9)*100)</f>
        <v>0</v>
      </c>
      <c r="M255">
        <f>IF('исходные данные'!M255&gt;'минимумы и максимумы'!K$10,100,('исходные данные'!M255-'минимумы и максимумы'!K$9)/('минимумы и максимумы'!K$10-'минимумы и максимумы'!K$9)*100)</f>
        <v>0</v>
      </c>
      <c r="N255">
        <f>IF('исходные данные'!N255&gt;'минимумы и максимумы'!L$10,100,('исходные данные'!N255-'минимумы и максимумы'!L$9)/('минимумы и максимумы'!L$10-'минимумы и максимумы'!L$9)*100)</f>
        <v>54.27397452091499</v>
      </c>
      <c r="O255">
        <f>IF('исходные данные'!O255&gt;'минимумы и максимумы'!M$10,100,('исходные данные'!O255-'минимумы и максимумы'!M$9)/('минимумы и максимумы'!M$10-'минимумы и максимумы'!M$9)*100)</f>
        <v>100</v>
      </c>
      <c r="P255">
        <f>IF('исходные данные'!P255&gt;'минимумы и максимумы'!N$10,100,('исходные данные'!P255-'минимумы и максимумы'!N$9)/('минимумы и максимумы'!N$10-'минимумы и максимумы'!N$9)*100)</f>
        <v>100</v>
      </c>
      <c r="Q255">
        <f>IF('исходные данные'!Q255&gt;'минимумы и максимумы'!O$10,100,('исходные данные'!Q255-'минимумы и максимумы'!O$9)/('минимумы и максимумы'!O$10-'минимумы и максимумы'!O$9)*100)</f>
        <v>0</v>
      </c>
      <c r="R255">
        <f>IF('исходные данные'!R255&gt;'минимумы и максимумы'!P$10,100,('исходные данные'!R255-'минимумы и максимумы'!P$9)/('минимумы и максимумы'!P$10-'минимумы и максимумы'!P$9)*100)</f>
        <v>50</v>
      </c>
      <c r="S255">
        <f>IF('исходные данные'!S255&gt;'минимумы и максимумы'!Q$10,100,('исходные данные'!S255-'минимумы и максимумы'!Q$9)/('минимумы и максимумы'!Q$10-'минимумы и максимумы'!Q$9)*100)</f>
        <v>16.666666666666664</v>
      </c>
      <c r="T255">
        <f>IF('исходные данные'!T255&gt;'минимумы и максимумы'!R$10,100,('исходные данные'!T255-'минимумы и максимумы'!R$9)/('минимумы и максимумы'!R$10-'минимумы и максимумы'!R$9)*100)</f>
        <v>10.788262370540853</v>
      </c>
      <c r="U255">
        <f>IF('исходные данные'!U255&gt;'минимумы и максимумы'!S$10,100,('исходные данные'!U255-'минимумы и максимумы'!S$9)/('минимумы и максимумы'!S$10-'минимумы и максимумы'!S$9)*100)</f>
        <v>0</v>
      </c>
    </row>
    <row r="256" spans="1:21" x14ac:dyDescent="0.45">
      <c r="A256" s="4">
        <v>350</v>
      </c>
      <c r="B256" s="4">
        <v>0</v>
      </c>
      <c r="C256" s="4">
        <v>0</v>
      </c>
      <c r="D256">
        <f>IF('исходные данные'!D256&gt;'минимумы и максимумы'!B$10,100,('исходные данные'!D256-'минимумы и максимумы'!B$9)/('минимумы и максимумы'!B$10-'минимумы и максимумы'!B$9)*100)</f>
        <v>0</v>
      </c>
      <c r="E256">
        <f>IF('исходные данные'!E256&gt;'минимумы и максимумы'!C$10,100,('исходные данные'!E256-'минимумы и максимумы'!C$9)/('минимумы и максимумы'!C$10-'минимумы и максимумы'!C$9)*100)</f>
        <v>0</v>
      </c>
      <c r="F256">
        <f>IF('исходные данные'!F256&gt;'минимумы и максимумы'!D$10,100,('исходные данные'!F256-'минимумы и максимумы'!D$9)/('минимумы и максимумы'!D$10-'минимумы и максимумы'!D$9)*100)</f>
        <v>0</v>
      </c>
      <c r="G256">
        <f>IF('исходные данные'!G256&gt;'минимумы и максимумы'!E$10,100,('исходные данные'!G256-'минимумы и максимумы'!E$9)/('минимумы и максимумы'!E$10-'минимумы и максимумы'!E$9)*100)</f>
        <v>4.1666666666666661</v>
      </c>
      <c r="H256">
        <f>IF('исходные данные'!H256&gt;'минимумы и максимумы'!F$10,100,('исходные данные'!H256-'минимумы и максимумы'!F$9)/('минимумы и максимумы'!F$10-'минимумы и максимумы'!F$9)*100)</f>
        <v>0</v>
      </c>
      <c r="I256">
        <f>IF('исходные данные'!I256&gt;'минимумы и максимумы'!G$10,100,('исходные данные'!I256-'минимумы и максимумы'!G$9)/('минимумы и максимумы'!G$10-'минимумы и максимумы'!G$9)*100)</f>
        <v>3.7735849056603774</v>
      </c>
      <c r="J256">
        <f>IF('исходные данные'!J256&gt;'минимумы и максимумы'!H$10,100,('исходные данные'!J256-'минимумы и максимумы'!H$9)/('минимумы и максимумы'!H$10-'минимумы и максимумы'!H$9)*100)</f>
        <v>0</v>
      </c>
      <c r="K256">
        <f>IF('исходные данные'!K256&gt;'минимумы и максимумы'!I$10,100,('исходные данные'!K256-'минимумы и максимумы'!I$9)/('минимумы и максимумы'!I$10-'минимумы и максимумы'!I$9)*100)</f>
        <v>5.5555555555555554</v>
      </c>
      <c r="L256">
        <f>IF('исходные данные'!L256&gt;'минимумы и максимумы'!J$10,100,('исходные данные'!L256-'минимумы и максимумы'!J$9)/('минимумы и максимумы'!J$10-'минимумы и максимумы'!J$9)*100)</f>
        <v>0</v>
      </c>
      <c r="M256">
        <f>IF('исходные данные'!M256&gt;'минимумы и максимумы'!K$10,100,('исходные данные'!M256-'минимумы и максимумы'!K$9)/('минимумы и максимумы'!K$10-'минимумы и максимумы'!K$9)*100)</f>
        <v>0</v>
      </c>
      <c r="N256">
        <f>IF('исходные данные'!N256&gt;'минимумы и максимумы'!L$10,100,('исходные данные'!N256-'минимумы и максимумы'!L$9)/('минимумы и максимумы'!L$10-'минимумы и максимумы'!L$9)*100)</f>
        <v>53.910947261615803</v>
      </c>
      <c r="O256">
        <f>IF('исходные данные'!O256&gt;'минимумы и максимумы'!M$10,100,('исходные данные'!O256-'минимумы и максимумы'!M$9)/('минимумы и максимумы'!M$10-'минимумы и максимумы'!M$9)*100)</f>
        <v>100</v>
      </c>
      <c r="P256">
        <f>IF('исходные данные'!P256&gt;'минимумы и максимумы'!N$10,100,('исходные данные'!P256-'минимумы и максимумы'!N$9)/('минимумы и максимумы'!N$10-'минимумы и максимумы'!N$9)*100)</f>
        <v>0</v>
      </c>
      <c r="Q256">
        <f>IF('исходные данные'!Q256&gt;'минимумы и максимумы'!O$10,100,('исходные данные'!Q256-'минимумы и максимумы'!O$9)/('минимумы и максимумы'!O$10-'минимумы и максимумы'!O$9)*100)</f>
        <v>0</v>
      </c>
      <c r="R256">
        <f>IF('исходные данные'!R256&gt;'минимумы и максимумы'!P$10,100,('исходные данные'!R256-'минимумы и максимумы'!P$9)/('минимумы и максимумы'!P$10-'минимумы и максимумы'!P$9)*100)</f>
        <v>50</v>
      </c>
      <c r="S256">
        <f>IF('исходные данные'!S256&gt;'минимумы и максимумы'!Q$10,100,('исходные данные'!S256-'минимумы и максимумы'!Q$9)/('минимумы и максимумы'!Q$10-'минимумы и максимумы'!Q$9)*100)</f>
        <v>16.666666666666664</v>
      </c>
      <c r="T256">
        <f>IF('исходные данные'!T256&gt;'минимумы и максимумы'!R$10,100,('исходные данные'!T256-'минимумы и максимумы'!R$9)/('минимумы и максимумы'!R$10-'минимумы и максимумы'!R$9)*100)</f>
        <v>8.0264672036823939</v>
      </c>
      <c r="U256">
        <f>IF('исходные данные'!U256&gt;'минимумы и максимумы'!S$10,100,('исходные данные'!U256-'минимумы и максимумы'!S$9)/('минимумы и максимумы'!S$10-'минимумы и максимумы'!S$9)*100)</f>
        <v>0</v>
      </c>
    </row>
    <row r="257" spans="1:21" x14ac:dyDescent="0.45">
      <c r="A257" s="4">
        <v>351</v>
      </c>
      <c r="B257" s="4">
        <v>0</v>
      </c>
      <c r="C257" s="4">
        <v>0</v>
      </c>
      <c r="D257">
        <f>IF('исходные данные'!D257&gt;'минимумы и максимумы'!B$10,100,('исходные данные'!D257-'минимумы и максимумы'!B$9)/('минимумы и максимумы'!B$10-'минимумы и максимумы'!B$9)*100)</f>
        <v>0</v>
      </c>
      <c r="E257">
        <f>IF('исходные данные'!E257&gt;'минимумы и максимумы'!C$10,100,('исходные данные'!E257-'минимумы и максимумы'!C$9)/('минимумы и максимумы'!C$10-'минимумы и максимумы'!C$9)*100)</f>
        <v>0</v>
      </c>
      <c r="F257">
        <f>IF('исходные данные'!F257&gt;'минимумы и максимумы'!D$10,100,('исходные данные'!F257-'минимумы и максимумы'!D$9)/('минимумы и максимумы'!D$10-'минимумы и максимумы'!D$9)*100)</f>
        <v>0</v>
      </c>
      <c r="G257">
        <f>IF('исходные данные'!G257&gt;'минимумы и максимумы'!E$10,100,('исходные данные'!G257-'минимумы и максимумы'!E$9)/('минимумы и максимумы'!E$10-'минимумы и максимумы'!E$9)*100)</f>
        <v>4.1666666666666661</v>
      </c>
      <c r="H257">
        <f>IF('исходные данные'!H257&gt;'минимумы и максимумы'!F$10,100,('исходные данные'!H257-'минимумы и максимумы'!F$9)/('минимумы и максимумы'!F$10-'минимумы и максимумы'!F$9)*100)</f>
        <v>0</v>
      </c>
      <c r="I257">
        <f>IF('исходные данные'!I257&gt;'минимумы и максимумы'!G$10,100,('исходные данные'!I257-'минимумы и максимумы'!G$9)/('минимумы и максимумы'!G$10-'минимумы и максимумы'!G$9)*100)</f>
        <v>5.6603773584905666</v>
      </c>
      <c r="J257">
        <f>IF('исходные данные'!J257&gt;'минимумы и максимумы'!H$10,100,('исходные данные'!J257-'минимумы и максимумы'!H$9)/('минимумы и максимумы'!H$10-'минимумы и максимумы'!H$9)*100)</f>
        <v>0</v>
      </c>
      <c r="K257">
        <f>IF('исходные данные'!K257&gt;'минимумы и максимумы'!I$10,100,('исходные данные'!K257-'минимумы и максимумы'!I$9)/('минимумы и максимумы'!I$10-'минимумы и максимумы'!I$9)*100)</f>
        <v>11.111111111111111</v>
      </c>
      <c r="L257">
        <f>IF('исходные данные'!L257&gt;'минимумы и максимумы'!J$10,100,('исходные данные'!L257-'минимумы и максимумы'!J$9)/('минимумы и максимумы'!J$10-'минимумы и максимумы'!J$9)*100)</f>
        <v>0</v>
      </c>
      <c r="M257">
        <f>IF('исходные данные'!M257&gt;'минимумы и максимумы'!K$10,100,('исходные данные'!M257-'минимумы и максимумы'!K$9)/('минимумы и максимумы'!K$10-'минимумы и максимумы'!K$9)*100)</f>
        <v>10.714285714285714</v>
      </c>
      <c r="N257">
        <f>IF('исходные данные'!N257&gt;'минимумы и максимумы'!L$10,100,('исходные данные'!N257-'минимумы и максимумы'!L$9)/('минимумы и максимумы'!L$10-'минимумы и максимумы'!L$9)*100)</f>
        <v>50.416504793538628</v>
      </c>
      <c r="O257">
        <f>IF('исходные данные'!O257&gt;'минимумы и максимумы'!M$10,100,('исходные данные'!O257-'минимумы и максимумы'!M$9)/('минимумы и максимумы'!M$10-'минимумы и максимумы'!M$9)*100)</f>
        <v>33.333333333333329</v>
      </c>
      <c r="P257">
        <f>IF('исходные данные'!P257&gt;'минимумы и максимумы'!N$10,100,('исходные данные'!P257-'минимумы и максимумы'!N$9)/('минимумы и максимумы'!N$10-'минимумы и максимумы'!N$9)*100)</f>
        <v>0</v>
      </c>
      <c r="Q257">
        <f>IF('исходные данные'!Q257&gt;'минимумы и максимумы'!O$10,100,('исходные данные'!Q257-'минимумы и максимумы'!O$9)/('минимумы и максимумы'!O$10-'минимумы и максимумы'!O$9)*100)</f>
        <v>0</v>
      </c>
      <c r="R257">
        <f>IF('исходные данные'!R257&gt;'минимумы и максимумы'!P$10,100,('исходные данные'!R257-'минимумы и максимумы'!P$9)/('минимумы и максимумы'!P$10-'минимумы и максимумы'!P$9)*100)</f>
        <v>25</v>
      </c>
      <c r="S257">
        <f>IF('исходные данные'!S257&gt;'минимумы и максимумы'!Q$10,100,('исходные данные'!S257-'минимумы и максимумы'!Q$9)/('минимумы и максимумы'!Q$10-'минимумы и максимумы'!Q$9)*100)</f>
        <v>16.666666666666664</v>
      </c>
      <c r="T257">
        <f>IF('исходные данные'!T257&gt;'минимумы и максимумы'!R$10,100,('исходные данные'!T257-'минимумы и максимумы'!R$9)/('минимумы и максимумы'!R$10-'минимумы и максимумы'!R$9)*100)</f>
        <v>0.2589182968929804</v>
      </c>
      <c r="U257">
        <f>IF('исходные данные'!U257&gt;'минимумы и максимумы'!S$10,100,('исходные данные'!U257-'минимумы и максимумы'!S$9)/('минимумы и максимумы'!S$10-'минимумы и максимумы'!S$9)*100)</f>
        <v>0</v>
      </c>
    </row>
    <row r="258" spans="1:21" x14ac:dyDescent="0.45">
      <c r="A258" s="4">
        <v>352</v>
      </c>
      <c r="B258" s="4">
        <v>0</v>
      </c>
      <c r="C258" s="4">
        <v>0</v>
      </c>
      <c r="D258">
        <f>IF('исходные данные'!D258&gt;'минимумы и максимумы'!B$10,100,('исходные данные'!D258-'минимумы и максимумы'!B$9)/('минимумы и максимумы'!B$10-'минимумы и максимумы'!B$9)*100)</f>
        <v>0</v>
      </c>
      <c r="E258">
        <f>IF('исходные данные'!E258&gt;'минимумы и максимумы'!C$10,100,('исходные данные'!E258-'минимумы и максимумы'!C$9)/('минимумы и максимумы'!C$10-'минимумы и максимумы'!C$9)*100)</f>
        <v>0</v>
      </c>
      <c r="F258">
        <f>IF('исходные данные'!F258&gt;'минимумы и максимумы'!D$10,100,('исходные данные'!F258-'минимумы и максимумы'!D$9)/('минимумы и максимумы'!D$10-'минимумы и максимумы'!D$9)*100)</f>
        <v>0</v>
      </c>
      <c r="G258">
        <f>IF('исходные данные'!G258&gt;'минимумы и максимумы'!E$10,100,('исходные данные'!G258-'минимумы и максимумы'!E$9)/('минимумы и максимумы'!E$10-'минимумы и максимумы'!E$9)*100)</f>
        <v>0</v>
      </c>
      <c r="H258">
        <f>IF('исходные данные'!H258&gt;'минимумы и максимумы'!F$10,100,('исходные данные'!H258-'минимумы и максимумы'!F$9)/('минимумы и максимумы'!F$10-'минимумы и максимумы'!F$9)*100)</f>
        <v>0</v>
      </c>
      <c r="I258">
        <f>IF('исходные данные'!I258&gt;'минимумы и максимумы'!G$10,100,('исходные данные'!I258-'минимумы и максимумы'!G$9)/('минимумы и максимумы'!G$10-'минимумы и максимумы'!G$9)*100)</f>
        <v>0</v>
      </c>
      <c r="J258">
        <f>IF('исходные данные'!J258&gt;'минимумы и максимумы'!H$10,100,('исходные данные'!J258-'минимумы и максимумы'!H$9)/('минимумы и максимумы'!H$10-'минимумы и максимумы'!H$9)*100)</f>
        <v>0</v>
      </c>
      <c r="K258">
        <f>IF('исходные данные'!K258&gt;'минимумы и максимумы'!I$10,100,('исходные данные'!K258-'минимумы и максимумы'!I$9)/('минимумы и максимумы'!I$10-'минимумы и максимумы'!I$9)*100)</f>
        <v>0</v>
      </c>
      <c r="L258">
        <f>IF('исходные данные'!L258&gt;'минимумы и максимумы'!J$10,100,('исходные данные'!L258-'минимумы и максимумы'!J$9)/('минимумы и максимумы'!J$10-'минимумы и максимумы'!J$9)*100)</f>
        <v>0</v>
      </c>
      <c r="M258">
        <f>IF('исходные данные'!M258&gt;'минимумы и максимумы'!K$10,100,('исходные данные'!M258-'минимумы и максимумы'!K$9)/('минимумы и максимумы'!K$10-'минимумы и максимумы'!K$9)*100)</f>
        <v>0</v>
      </c>
      <c r="N258">
        <f>IF('исходные данные'!N258&gt;'минимумы и максимумы'!L$10,100,('исходные данные'!N258-'минимумы и максимумы'!L$9)/('минимумы и максимумы'!L$10-'минимумы и максимумы'!L$9)*100)</f>
        <v>56.850701390489931</v>
      </c>
      <c r="O258">
        <f>IF('исходные данные'!O258&gt;'минимумы и максимумы'!M$10,100,('исходные данные'!O258-'минимумы и максимумы'!M$9)/('минимумы и максимумы'!M$10-'минимумы и максимумы'!M$9)*100)</f>
        <v>66.666666666666657</v>
      </c>
      <c r="P258">
        <f>IF('исходные данные'!P258&gt;'минимумы и максимумы'!N$10,100,('исходные данные'!P258-'минимумы и максимумы'!N$9)/('минимумы и максимумы'!N$10-'минимумы и максимумы'!N$9)*100)</f>
        <v>0</v>
      </c>
      <c r="Q258">
        <f>IF('исходные данные'!Q258&gt;'минимумы и максимумы'!O$10,100,('исходные данные'!Q258-'минимумы и максимумы'!O$9)/('минимумы и максимумы'!O$10-'минимумы и максимумы'!O$9)*100)</f>
        <v>0</v>
      </c>
      <c r="R258">
        <f>IF('исходные данные'!R258&gt;'минимумы и максимумы'!P$10,100,('исходные данные'!R258-'минимумы и максимумы'!P$9)/('минимумы и максимумы'!P$10-'минимумы и максимумы'!P$9)*100)</f>
        <v>50</v>
      </c>
      <c r="S258">
        <f>IF('исходные данные'!S258&gt;'минимумы и максимумы'!Q$10,100,('исходные данные'!S258-'минимумы и максимумы'!Q$9)/('минимумы и максимумы'!Q$10-'минимумы и максимумы'!Q$9)*100)</f>
        <v>16.666666666666664</v>
      </c>
      <c r="T258">
        <f>IF('исходные данные'!T258&gt;'минимумы и максимумы'!R$10,100,('исходные данные'!T258-'минимумы и максимумы'!R$9)/('минимумы и максимумы'!R$10-'минимумы и максимумы'!R$9)*100)</f>
        <v>3.0494821634062141</v>
      </c>
      <c r="U258">
        <f>IF('исходные данные'!U258&gt;'минимумы и максимумы'!S$10,100,('исходные данные'!U258-'минимумы и максимумы'!S$9)/('минимумы и максимумы'!S$10-'минимумы и максимумы'!S$9)*100)</f>
        <v>0</v>
      </c>
    </row>
    <row r="259" spans="1:21" x14ac:dyDescent="0.45">
      <c r="A259" s="4">
        <v>353</v>
      </c>
      <c r="B259" s="4">
        <v>0</v>
      </c>
      <c r="C259" s="4">
        <v>0</v>
      </c>
      <c r="D259">
        <f>IF('исходные данные'!D259&gt;'минимумы и максимумы'!B$10,100,('исходные данные'!D259-'минимумы и максимумы'!B$9)/('минимумы и максимумы'!B$10-'минимумы и максимумы'!B$9)*100)</f>
        <v>0</v>
      </c>
      <c r="E259">
        <f>IF('исходные данные'!E259&gt;'минимумы и максимумы'!C$10,100,('исходные данные'!E259-'минимумы и максимумы'!C$9)/('минимумы и максимумы'!C$10-'минимумы и максимумы'!C$9)*100)</f>
        <v>0</v>
      </c>
      <c r="F259">
        <f>IF('исходные данные'!F259&gt;'минимумы и максимумы'!D$10,100,('исходные данные'!F259-'минимумы и максимумы'!D$9)/('минимумы и максимумы'!D$10-'минимумы и максимумы'!D$9)*100)</f>
        <v>0</v>
      </c>
      <c r="G259">
        <f>IF('исходные данные'!G259&gt;'минимумы и максимумы'!E$10,100,('исходные данные'!G259-'минимумы и максимумы'!E$9)/('минимумы и максимумы'!E$10-'минимумы и максимумы'!E$9)*100)</f>
        <v>0</v>
      </c>
      <c r="H259">
        <f>IF('исходные данные'!H259&gt;'минимумы и максимумы'!F$10,100,('исходные данные'!H259-'минимумы и максимумы'!F$9)/('минимумы и максимумы'!F$10-'минимумы и максимумы'!F$9)*100)</f>
        <v>0</v>
      </c>
      <c r="I259">
        <f>IF('исходные данные'!I259&gt;'минимумы и максимумы'!G$10,100,('исходные данные'!I259-'минимумы и максимумы'!G$9)/('минимумы и максимумы'!G$10-'минимумы и максимумы'!G$9)*100)</f>
        <v>0</v>
      </c>
      <c r="J259">
        <f>IF('исходные данные'!J259&gt;'минимумы и максимумы'!H$10,100,('исходные данные'!J259-'минимумы и максимумы'!H$9)/('минимумы и максимумы'!H$10-'минимумы и максимумы'!H$9)*100)</f>
        <v>0</v>
      </c>
      <c r="K259">
        <f>IF('исходные данные'!K259&gt;'минимумы и максимумы'!I$10,100,('исходные данные'!K259-'минимумы и максимумы'!I$9)/('минимумы и максимумы'!I$10-'минимумы и максимумы'!I$9)*100)</f>
        <v>0</v>
      </c>
      <c r="L259">
        <f>IF('исходные данные'!L259&gt;'минимумы и максимумы'!J$10,100,('исходные данные'!L259-'минимумы и максимумы'!J$9)/('минимумы и максимумы'!J$10-'минимумы и максимумы'!J$9)*100)</f>
        <v>0</v>
      </c>
      <c r="M259">
        <f>IF('исходные данные'!M259&gt;'минимумы и максимумы'!K$10,100,('исходные данные'!M259-'минимумы и максимумы'!K$9)/('минимумы и максимумы'!K$10-'минимумы и максимумы'!K$9)*100)</f>
        <v>0</v>
      </c>
      <c r="N259">
        <f>IF('исходные данные'!N259&gt;'минимумы и максимумы'!L$10,100,('исходные данные'!N259-'минимумы и максимумы'!L$9)/('минимумы и максимумы'!L$10-'минимумы и максимумы'!L$9)*100)</f>
        <v>54.088305422870434</v>
      </c>
      <c r="O259">
        <f>IF('исходные данные'!O259&gt;'минимумы и максимумы'!M$10,100,('исходные данные'!O259-'минимумы и максимумы'!M$9)/('минимумы и максимумы'!M$10-'минимумы и максимумы'!M$9)*100)</f>
        <v>0</v>
      </c>
      <c r="P259">
        <f>IF('исходные данные'!P259&gt;'минимумы и максимумы'!N$10,100,('исходные данные'!P259-'минимумы и максимумы'!N$9)/('минимумы и максимумы'!N$10-'минимумы и максимумы'!N$9)*100)</f>
        <v>0</v>
      </c>
      <c r="Q259">
        <f>IF('исходные данные'!Q259&gt;'минимумы и максимумы'!O$10,100,('исходные данные'!Q259-'минимумы и максимумы'!O$9)/('минимумы и максимумы'!O$10-'минимумы и максимумы'!O$9)*100)</f>
        <v>0</v>
      </c>
      <c r="R259">
        <f>IF('исходные данные'!R259&gt;'минимумы и максимумы'!P$10,100,('исходные данные'!R259-'минимумы и максимумы'!P$9)/('минимумы и максимумы'!P$10-'минимумы и максимумы'!P$9)*100)</f>
        <v>25</v>
      </c>
      <c r="S259">
        <f>IF('исходные данные'!S259&gt;'минимумы и максимумы'!Q$10,100,('исходные данные'!S259-'минимумы и максимумы'!Q$9)/('минимумы и максимумы'!Q$10-'минимумы и максимумы'!Q$9)*100)</f>
        <v>16.666666666666664</v>
      </c>
      <c r="T259">
        <f>IF('исходные данные'!T259&gt;'минимумы и максимумы'!R$10,100,('исходные данные'!T259-'минимумы и максимумы'!R$9)/('минимумы и максимумы'!R$10-'минимумы и максимумы'!R$9)*100)</f>
        <v>0.54660529344073649</v>
      </c>
      <c r="U259">
        <f>IF('исходные данные'!U259&gt;'минимумы и максимумы'!S$10,100,('исходные данные'!U259-'минимумы и максимумы'!S$9)/('минимумы и максимумы'!S$10-'минимумы и максимумы'!S$9)*100)</f>
        <v>0</v>
      </c>
    </row>
    <row r="260" spans="1:21" x14ac:dyDescent="0.45">
      <c r="A260" s="4">
        <v>355</v>
      </c>
      <c r="B260" s="4">
        <v>0</v>
      </c>
      <c r="C260" s="4">
        <v>0</v>
      </c>
      <c r="D260">
        <f>IF('исходные данные'!D260&gt;'минимумы и максимумы'!B$10,100,('исходные данные'!D260-'минимумы и максимумы'!B$9)/('минимумы и максимумы'!B$10-'минимумы и максимумы'!B$9)*100)</f>
        <v>11.111111111111111</v>
      </c>
      <c r="E260">
        <f>IF('исходные данные'!E260&gt;'минимумы и максимумы'!C$10,100,('исходные данные'!E260-'минимумы и максимумы'!C$9)/('минимумы и максимумы'!C$10-'минимумы и максимумы'!C$9)*100)</f>
        <v>10</v>
      </c>
      <c r="F260">
        <f>IF('исходные данные'!F260&gt;'минимумы и максимумы'!D$10,100,('исходные данные'!F260-'минимумы и максимумы'!D$9)/('минимумы и максимумы'!D$10-'минимумы и максимумы'!D$9)*100)</f>
        <v>0</v>
      </c>
      <c r="G260">
        <f>IF('исходные данные'!G260&gt;'минимумы и максимумы'!E$10,100,('исходные данные'!G260-'минимумы и максимумы'!E$9)/('минимумы и максимумы'!E$10-'минимумы и максимумы'!E$9)*100)</f>
        <v>16.666666666666664</v>
      </c>
      <c r="H260">
        <f>IF('исходные данные'!H260&gt;'минимумы и максимумы'!F$10,100,('исходные данные'!H260-'минимумы и максимумы'!F$9)/('минимумы и максимумы'!F$10-'минимумы и максимумы'!F$9)*100)</f>
        <v>20.689655172413794</v>
      </c>
      <c r="I260">
        <f>IF('исходные данные'!I260&gt;'минимумы и максимумы'!G$10,100,('исходные данные'!I260-'минимумы и максимумы'!G$9)/('минимумы и максимумы'!G$10-'минимумы и максимумы'!G$9)*100)</f>
        <v>24.528301886792452</v>
      </c>
      <c r="J260">
        <f>IF('исходные данные'!J260&gt;'минимумы и максимумы'!H$10,100,('исходные данные'!J260-'минимумы и максимумы'!H$9)/('минимумы и максимумы'!H$10-'минимумы и максимумы'!H$9)*100)</f>
        <v>0</v>
      </c>
      <c r="K260">
        <f>IF('исходные данные'!K260&gt;'минимумы и максимумы'!I$10,100,('исходные данные'!K260-'минимумы и максимумы'!I$9)/('минимумы и максимумы'!I$10-'минимумы и максимумы'!I$9)*100)</f>
        <v>33.333333333333329</v>
      </c>
      <c r="L260">
        <f>IF('исходные данные'!L260&gt;'минимумы и максимумы'!J$10,100,('исходные данные'!L260-'минимумы и максимумы'!J$9)/('минимумы и максимумы'!J$10-'минимумы и максимумы'!J$9)*100)</f>
        <v>0</v>
      </c>
      <c r="M260">
        <f>IF('исходные данные'!M260&gt;'минимумы и максимумы'!K$10,100,('исходные данные'!M260-'минимумы и максимумы'!K$9)/('минимумы и максимумы'!K$10-'минимумы и максимумы'!K$9)*100)</f>
        <v>25</v>
      </c>
      <c r="N260">
        <f>IF('исходные данные'!N260&gt;'минимумы и максимумы'!L$10,100,('исходные данные'!N260-'минимумы и максимумы'!L$9)/('минимумы и максимумы'!L$10-'минимумы и максимумы'!L$9)*100)</f>
        <v>32.744216940079191</v>
      </c>
      <c r="O260">
        <f>IF('исходные данные'!O260&gt;'минимумы и максимумы'!M$10,100,('исходные данные'!O260-'минимумы и максимумы'!M$9)/('минимумы и максимумы'!M$10-'минимумы и максимумы'!M$9)*100)</f>
        <v>66.666666666666657</v>
      </c>
      <c r="P260">
        <f>IF('исходные данные'!P260&gt;'минимумы и максимумы'!N$10,100,('исходные данные'!P260-'минимумы и максимумы'!N$9)/('минимумы и максимумы'!N$10-'минимумы и максимумы'!N$9)*100)</f>
        <v>0</v>
      </c>
      <c r="Q260">
        <f>IF('исходные данные'!Q260&gt;'минимумы и максимумы'!O$10,100,('исходные данные'!Q260-'минимумы и максимумы'!O$9)/('минимумы и максимумы'!O$10-'минимумы и максимумы'!O$9)*100)</f>
        <v>100</v>
      </c>
      <c r="R260">
        <f>IF('исходные данные'!R260&gt;'минимумы и максимумы'!P$10,100,('исходные данные'!R260-'минимумы и максимумы'!P$9)/('минимумы и максимумы'!P$10-'минимумы и максимумы'!P$9)*100)</f>
        <v>25</v>
      </c>
      <c r="S260">
        <f>IF('исходные данные'!S260&gt;'минимумы и максимумы'!Q$10,100,('исходные данные'!S260-'минимумы и максимумы'!Q$9)/('минимумы и максимумы'!Q$10-'минимумы и максимумы'!Q$9)*100)</f>
        <v>66.666666666666657</v>
      </c>
      <c r="T260">
        <f>IF('исходные данные'!T260&gt;'минимумы и максимумы'!R$10,100,('исходные данные'!T260-'минимумы и максимумы'!R$9)/('минимумы и максимумы'!R$10-'минимумы и максимумы'!R$9)*100)</f>
        <v>28.365937859608749</v>
      </c>
      <c r="U260">
        <f>IF('исходные данные'!U260&gt;'минимумы и максимумы'!S$10,100,('исходные данные'!U260-'минимумы и максимумы'!S$9)/('минимумы и максимумы'!S$10-'минимумы и максимумы'!S$9)*100)</f>
        <v>66.666666666666657</v>
      </c>
    </row>
    <row r="261" spans="1:21" x14ac:dyDescent="0.45">
      <c r="A261" s="4">
        <v>356</v>
      </c>
      <c r="B261" s="4">
        <v>0</v>
      </c>
      <c r="C261" s="4">
        <v>0</v>
      </c>
      <c r="D261">
        <f>IF('исходные данные'!D261&gt;'минимумы и максимумы'!B$10,100,('исходные данные'!D261-'минимумы и максимумы'!B$9)/('минимумы и максимумы'!B$10-'минимумы и максимумы'!B$9)*100)</f>
        <v>11.111111111111111</v>
      </c>
      <c r="E261">
        <f>IF('исходные данные'!E261&gt;'минимумы и максимумы'!C$10,100,('исходные данные'!E261-'минимумы и максимумы'!C$9)/('минимумы и максимумы'!C$10-'минимумы и максимумы'!C$9)*100)</f>
        <v>10</v>
      </c>
      <c r="F261">
        <f>IF('исходные данные'!F261&gt;'минимумы и максимумы'!D$10,100,('исходные данные'!F261-'минимумы и максимумы'!D$9)/('минимумы и максимумы'!D$10-'минимумы и максимумы'!D$9)*100)</f>
        <v>0</v>
      </c>
      <c r="G261">
        <f>IF('исходные данные'!G261&gt;'минимумы и максимумы'!E$10,100,('исходные данные'!G261-'минимумы и максимумы'!E$9)/('минимумы и максимумы'!E$10-'минимумы и максимумы'!E$9)*100)</f>
        <v>16.666666666666664</v>
      </c>
      <c r="H261">
        <f>IF('исходные данные'!H261&gt;'минимумы и максимумы'!F$10,100,('исходные данные'!H261-'минимумы и максимумы'!F$9)/('минимумы и максимумы'!F$10-'минимумы и максимумы'!F$9)*100)</f>
        <v>20.689655172413794</v>
      </c>
      <c r="I261">
        <f>IF('исходные данные'!I261&gt;'минимумы и максимумы'!G$10,100,('исходные данные'!I261-'минимумы и максимумы'!G$9)/('минимумы и максимумы'!G$10-'минимумы и максимумы'!G$9)*100)</f>
        <v>24.528301886792452</v>
      </c>
      <c r="J261">
        <f>IF('исходные данные'!J261&gt;'минимумы и максимумы'!H$10,100,('исходные данные'!J261-'минимумы и максимумы'!H$9)/('минимумы и максимумы'!H$10-'минимумы и максимумы'!H$9)*100)</f>
        <v>0</v>
      </c>
      <c r="K261">
        <f>IF('исходные данные'!K261&gt;'минимумы и максимумы'!I$10,100,('исходные данные'!K261-'минимумы и максимумы'!I$9)/('минимумы и максимумы'!I$10-'минимумы и максимумы'!I$9)*100)</f>
        <v>33.333333333333329</v>
      </c>
      <c r="L261">
        <f>IF('исходные данные'!L261&gt;'минимумы и максимумы'!J$10,100,('исходные данные'!L261-'минимумы и максимумы'!J$9)/('минимумы и максимумы'!J$10-'минимумы и максимумы'!J$9)*100)</f>
        <v>0</v>
      </c>
      <c r="M261">
        <f>IF('исходные данные'!M261&gt;'минимумы и максимумы'!K$10,100,('исходные данные'!M261-'минимумы и максимумы'!K$9)/('минимумы и максимумы'!K$10-'минимумы и максимумы'!K$9)*100)</f>
        <v>25</v>
      </c>
      <c r="N261">
        <f>IF('исходные данные'!N261&gt;'минимумы и максимумы'!L$10,100,('исходные данные'!N261-'минимумы и максимумы'!L$9)/('минимумы и максимумы'!L$10-'минимумы и максимумы'!L$9)*100)</f>
        <v>33.339323492538796</v>
      </c>
      <c r="O261">
        <f>IF('исходные данные'!O261&gt;'минимумы и максимумы'!M$10,100,('исходные данные'!O261-'минимумы и максимумы'!M$9)/('минимумы и максимумы'!M$10-'минимумы и максимумы'!M$9)*100)</f>
        <v>66.666666666666657</v>
      </c>
      <c r="P261">
        <f>IF('исходные данные'!P261&gt;'минимумы и максимумы'!N$10,100,('исходные данные'!P261-'минимумы и максимумы'!N$9)/('минимумы и максимумы'!N$10-'минимумы и максимумы'!N$9)*100)</f>
        <v>0</v>
      </c>
      <c r="Q261">
        <f>IF('исходные данные'!Q261&gt;'минимумы и максимумы'!O$10,100,('исходные данные'!Q261-'минимумы и максимумы'!O$9)/('минимумы и максимумы'!O$10-'минимумы и максимумы'!O$9)*100)</f>
        <v>100</v>
      </c>
      <c r="R261">
        <f>IF('исходные данные'!R261&gt;'минимумы и максимумы'!P$10,100,('исходные данные'!R261-'минимумы и максимумы'!P$9)/('минимумы и максимумы'!P$10-'минимумы и максимумы'!P$9)*100)</f>
        <v>25</v>
      </c>
      <c r="S261">
        <f>IF('исходные данные'!S261&gt;'минимумы и максимумы'!Q$10,100,('исходные данные'!S261-'минимумы и максимумы'!Q$9)/('минимумы и максимумы'!Q$10-'минимумы и максимумы'!Q$9)*100)</f>
        <v>16.666666666666664</v>
      </c>
      <c r="T261">
        <f>IF('исходные данные'!T261&gt;'минимумы и максимумы'!R$10,100,('исходные данные'!T261-'минимумы и максимумы'!R$9)/('минимумы и максимумы'!R$10-'минимумы и максимумы'!R$9)*100)</f>
        <v>8.6018411967779063</v>
      </c>
      <c r="U261">
        <f>IF('исходные данные'!U261&gt;'минимумы и максимумы'!S$10,100,('исходные данные'!U261-'минимумы и максимумы'!S$9)/('минимумы и максимумы'!S$10-'минимумы и максимумы'!S$9)*100)</f>
        <v>0</v>
      </c>
    </row>
    <row r="262" spans="1:21" x14ac:dyDescent="0.45">
      <c r="A262" s="4">
        <v>357</v>
      </c>
      <c r="B262" s="4">
        <v>0</v>
      </c>
      <c r="C262" s="4">
        <v>0</v>
      </c>
      <c r="D262">
        <f>IF('исходные данные'!D262&gt;'минимумы и максимумы'!B$10,100,('исходные данные'!D262-'минимумы и максимумы'!B$9)/('минимумы и максимумы'!B$10-'минимумы и максимумы'!B$9)*100)</f>
        <v>11.111111111111111</v>
      </c>
      <c r="E262">
        <f>IF('исходные данные'!E262&gt;'минимумы и максимумы'!C$10,100,('исходные данные'!E262-'минимумы и максимумы'!C$9)/('минимумы и максимумы'!C$10-'минимумы и максимумы'!C$9)*100)</f>
        <v>10</v>
      </c>
      <c r="F262">
        <f>IF('исходные данные'!F262&gt;'минимумы и максимумы'!D$10,100,('исходные данные'!F262-'минимумы и максимумы'!D$9)/('минимумы и максимумы'!D$10-'минимумы и максимумы'!D$9)*100)</f>
        <v>0</v>
      </c>
      <c r="G262">
        <f>IF('исходные данные'!G262&gt;'минимумы и максимумы'!E$10,100,('исходные данные'!G262-'минимумы и максимумы'!E$9)/('минимумы и максимумы'!E$10-'минимумы и максимумы'!E$9)*100)</f>
        <v>16.666666666666664</v>
      </c>
      <c r="H262">
        <f>IF('исходные данные'!H262&gt;'минимумы и максимумы'!F$10,100,('исходные данные'!H262-'минимумы и максимумы'!F$9)/('минимумы и максимумы'!F$10-'минимумы и максимумы'!F$9)*100)</f>
        <v>20.689655172413794</v>
      </c>
      <c r="I262">
        <f>IF('исходные данные'!I262&gt;'минимумы и максимумы'!G$10,100,('исходные данные'!I262-'минимумы и максимумы'!G$9)/('минимумы и максимумы'!G$10-'минимумы и максимумы'!G$9)*100)</f>
        <v>24.528301886792452</v>
      </c>
      <c r="J262">
        <f>IF('исходные данные'!J262&gt;'минимумы и максимумы'!H$10,100,('исходные данные'!J262-'минимумы и максимумы'!H$9)/('минимумы и максимумы'!H$10-'минимумы и максимумы'!H$9)*100)</f>
        <v>0</v>
      </c>
      <c r="K262">
        <f>IF('исходные данные'!K262&gt;'минимумы и максимумы'!I$10,100,('исходные данные'!K262-'минимумы и максимумы'!I$9)/('минимумы и максимумы'!I$10-'минимумы и максимумы'!I$9)*100)</f>
        <v>33.333333333333329</v>
      </c>
      <c r="L262">
        <f>IF('исходные данные'!L262&gt;'минимумы и максимумы'!J$10,100,('исходные данные'!L262-'минимумы и максимумы'!J$9)/('минимумы и максимумы'!J$10-'минимумы и максимумы'!J$9)*100)</f>
        <v>0</v>
      </c>
      <c r="M262">
        <f>IF('исходные данные'!M262&gt;'минимумы и максимумы'!K$10,100,('исходные данные'!M262-'минимумы и максимумы'!K$9)/('минимумы и максимумы'!K$10-'минимумы и максимумы'!K$9)*100)</f>
        <v>25</v>
      </c>
      <c r="N262">
        <f>IF('исходные данные'!N262&gt;'минимумы и максимумы'!L$10,100,('исходные данные'!N262-'минимумы и максимумы'!L$9)/('минимумы и максимумы'!L$10-'минимумы и максимумы'!L$9)*100)</f>
        <v>33.02112848161903</v>
      </c>
      <c r="O262">
        <f>IF('исходные данные'!O262&gt;'минимумы и максимумы'!M$10,100,('исходные данные'!O262-'минимумы и максимумы'!M$9)/('минимумы и максимумы'!M$10-'минимумы и максимумы'!M$9)*100)</f>
        <v>66.666666666666657</v>
      </c>
      <c r="P262">
        <f>IF('исходные данные'!P262&gt;'минимумы и максимумы'!N$10,100,('исходные данные'!P262-'минимумы и максимумы'!N$9)/('минимумы и максимумы'!N$10-'минимумы и максимумы'!N$9)*100)</f>
        <v>0</v>
      </c>
      <c r="Q262">
        <f>IF('исходные данные'!Q262&gt;'минимумы и максимумы'!O$10,100,('исходные данные'!Q262-'минимумы и максимумы'!O$9)/('минимумы и максимумы'!O$10-'минимумы и максимумы'!O$9)*100)</f>
        <v>100</v>
      </c>
      <c r="R262">
        <f>IF('исходные данные'!R262&gt;'минимумы и максимумы'!P$10,100,('исходные данные'!R262-'минимумы и максимумы'!P$9)/('минимумы и максимумы'!P$10-'минимумы и максимумы'!P$9)*100)</f>
        <v>25</v>
      </c>
      <c r="S262">
        <f>IF('исходные данные'!S262&gt;'минимумы и максимумы'!Q$10,100,('исходные данные'!S262-'минимумы и максимумы'!Q$9)/('минимумы и максимумы'!Q$10-'минимумы и максимумы'!Q$9)*100)</f>
        <v>33.333333333333329</v>
      </c>
      <c r="T262">
        <f>IF('исходные данные'!T262&gt;'минимумы и максимумы'!R$10,100,('исходные данные'!T262-'минимумы и максимумы'!R$9)/('минимумы и максимумы'!R$10-'минимумы и максимумы'!R$9)*100)</f>
        <v>5.5235903337169159</v>
      </c>
      <c r="U262">
        <f>IF('исходные данные'!U262&gt;'минимумы и максимумы'!S$10,100,('исходные данные'!U262-'минимумы и максимумы'!S$9)/('минимумы и максимумы'!S$10-'минимумы и максимумы'!S$9)*100)</f>
        <v>0</v>
      </c>
    </row>
    <row r="263" spans="1:21" x14ac:dyDescent="0.45">
      <c r="A263" s="4">
        <v>358</v>
      </c>
      <c r="B263" s="4">
        <v>0</v>
      </c>
      <c r="C263" s="4">
        <v>0</v>
      </c>
      <c r="D263">
        <f>IF('исходные данные'!D263&gt;'минимумы и максимумы'!B$10,100,('исходные данные'!D263-'минимумы и максимумы'!B$9)/('минимумы и максимумы'!B$10-'минимумы и максимумы'!B$9)*100)</f>
        <v>11.111111111111111</v>
      </c>
      <c r="E263">
        <f>IF('исходные данные'!E263&gt;'минимумы и максимумы'!C$10,100,('исходные данные'!E263-'минимумы и максимумы'!C$9)/('минимумы и максимумы'!C$10-'минимумы и максимумы'!C$9)*100)</f>
        <v>10</v>
      </c>
      <c r="F263">
        <f>IF('исходные данные'!F263&gt;'минимумы и максимумы'!D$10,100,('исходные данные'!F263-'минимумы и максимумы'!D$9)/('минимумы и максимумы'!D$10-'минимумы и максимумы'!D$9)*100)</f>
        <v>0</v>
      </c>
      <c r="G263">
        <f>IF('исходные данные'!G263&gt;'минимумы и максимумы'!E$10,100,('исходные данные'!G263-'минимумы и максимумы'!E$9)/('минимумы и максимумы'!E$10-'минимумы и максимумы'!E$9)*100)</f>
        <v>16.666666666666664</v>
      </c>
      <c r="H263">
        <f>IF('исходные данные'!H263&gt;'минимумы и максимумы'!F$10,100,('исходные данные'!H263-'минимумы и максимумы'!F$9)/('минимумы и максимумы'!F$10-'минимумы и максимумы'!F$9)*100)</f>
        <v>20.689655172413794</v>
      </c>
      <c r="I263">
        <f>IF('исходные данные'!I263&gt;'минимумы и максимумы'!G$10,100,('исходные данные'!I263-'минимумы и максимумы'!G$9)/('минимумы и максимумы'!G$10-'минимумы и максимумы'!G$9)*100)</f>
        <v>24.528301886792452</v>
      </c>
      <c r="J263">
        <f>IF('исходные данные'!J263&gt;'минимумы и максимумы'!H$10,100,('исходные данные'!J263-'минимумы и максимумы'!H$9)/('минимумы и максимумы'!H$10-'минимумы и максимумы'!H$9)*100)</f>
        <v>0</v>
      </c>
      <c r="K263">
        <f>IF('исходные данные'!K263&gt;'минимумы и максимумы'!I$10,100,('исходные данные'!K263-'минимумы и максимумы'!I$9)/('минимумы и максимумы'!I$10-'минимумы и максимумы'!I$9)*100)</f>
        <v>33.333333333333329</v>
      </c>
      <c r="L263">
        <f>IF('исходные данные'!L263&gt;'минимумы и максимумы'!J$10,100,('исходные данные'!L263-'минимумы и максимумы'!J$9)/('минимумы и максимумы'!J$10-'минимумы и максимумы'!J$9)*100)</f>
        <v>0</v>
      </c>
      <c r="M263">
        <f>IF('исходные данные'!M263&gt;'минимумы и максимумы'!K$10,100,('исходные данные'!M263-'минимумы и максимумы'!K$9)/('минимумы и максимумы'!K$10-'минимумы и максимумы'!K$9)*100)</f>
        <v>25</v>
      </c>
      <c r="N263">
        <f>IF('исходные данные'!N263&gt;'минимумы и максимумы'!L$10,100,('исходные данные'!N263-'минимумы и максимумы'!L$9)/('минимумы и максимумы'!L$10-'минимумы и максимумы'!L$9)*100)</f>
        <v>33.02112848161903</v>
      </c>
      <c r="O263">
        <f>IF('исходные данные'!O263&gt;'минимумы и максимумы'!M$10,100,('исходные данные'!O263-'минимумы и максимумы'!M$9)/('минимумы и максимумы'!M$10-'минимумы и максимумы'!M$9)*100)</f>
        <v>66.666666666666657</v>
      </c>
      <c r="P263">
        <f>IF('исходные данные'!P263&gt;'минимумы и максимумы'!N$10,100,('исходные данные'!P263-'минимумы и максимумы'!N$9)/('минимумы и максимумы'!N$10-'минимумы и максимумы'!N$9)*100)</f>
        <v>0</v>
      </c>
      <c r="Q263">
        <f>IF('исходные данные'!Q263&gt;'минимумы и максимумы'!O$10,100,('исходные данные'!Q263-'минимумы и максимумы'!O$9)/('минимумы и максимумы'!O$10-'минимумы и максимумы'!O$9)*100)</f>
        <v>100</v>
      </c>
      <c r="R263">
        <f>IF('исходные данные'!R263&gt;'минимумы и максимумы'!P$10,100,('исходные данные'!R263-'минимумы и максимумы'!P$9)/('минимумы и максимумы'!P$10-'минимумы и максимумы'!P$9)*100)</f>
        <v>25</v>
      </c>
      <c r="S263">
        <f>IF('исходные данные'!S263&gt;'минимумы и максимумы'!Q$10,100,('исходные данные'!S263-'минимумы и максимумы'!Q$9)/('минимумы и максимумы'!Q$10-'минимумы и максимумы'!Q$9)*100)</f>
        <v>33.333333333333329</v>
      </c>
      <c r="T263">
        <f>IF('исходные данные'!T263&gt;'минимумы и максимумы'!R$10,100,('исходные данные'!T263-'минимумы и максимумы'!R$9)/('минимумы и максимумы'!R$10-'минимумы и максимумы'!R$9)*100)</f>
        <v>5.6674338319907935</v>
      </c>
      <c r="U263">
        <f>IF('исходные данные'!U263&gt;'минимумы и максимумы'!S$10,100,('исходные данные'!U263-'минимумы и максимумы'!S$9)/('минимумы и максимумы'!S$10-'минимумы и максимумы'!S$9)*100)</f>
        <v>0</v>
      </c>
    </row>
    <row r="264" spans="1:21" x14ac:dyDescent="0.45">
      <c r="A264" s="4">
        <v>359</v>
      </c>
      <c r="B264" s="4">
        <v>0</v>
      </c>
      <c r="C264" s="4">
        <v>0</v>
      </c>
      <c r="D264">
        <f>IF('исходные данные'!D264&gt;'минимумы и максимумы'!B$10,100,('исходные данные'!D264-'минимумы и максимумы'!B$9)/('минимумы и максимумы'!B$10-'минимумы и максимумы'!B$9)*100)</f>
        <v>11.111111111111111</v>
      </c>
      <c r="E264">
        <f>IF('исходные данные'!E264&gt;'минимумы и максимумы'!C$10,100,('исходные данные'!E264-'минимумы и максимумы'!C$9)/('минимумы и максимумы'!C$10-'минимумы и максимумы'!C$9)*100)</f>
        <v>10</v>
      </c>
      <c r="F264">
        <f>IF('исходные данные'!F264&gt;'минимумы и максимумы'!D$10,100,('исходные данные'!F264-'минимумы и максимумы'!D$9)/('минимумы и максимумы'!D$10-'минимумы и максимумы'!D$9)*100)</f>
        <v>0</v>
      </c>
      <c r="G264">
        <f>IF('исходные данные'!G264&gt;'минимумы и максимумы'!E$10,100,('исходные данные'!G264-'минимумы и максимумы'!E$9)/('минимумы и максимумы'!E$10-'минимумы и максимумы'!E$9)*100)</f>
        <v>16.666666666666664</v>
      </c>
      <c r="H264">
        <f>IF('исходные данные'!H264&gt;'минимумы и максимумы'!F$10,100,('исходные данные'!H264-'минимумы и максимумы'!F$9)/('минимумы и максимумы'!F$10-'минимумы и максимумы'!F$9)*100)</f>
        <v>20.689655172413794</v>
      </c>
      <c r="I264">
        <f>IF('исходные данные'!I264&gt;'минимумы и максимумы'!G$10,100,('исходные данные'!I264-'минимумы и максимумы'!G$9)/('минимумы и максимумы'!G$10-'минимумы и максимумы'!G$9)*100)</f>
        <v>24.528301886792452</v>
      </c>
      <c r="J264">
        <f>IF('исходные данные'!J264&gt;'минимумы и максимумы'!H$10,100,('исходные данные'!J264-'минимумы и максимумы'!H$9)/('минимумы и максимумы'!H$10-'минимумы и максимумы'!H$9)*100)</f>
        <v>0</v>
      </c>
      <c r="K264">
        <f>IF('исходные данные'!K264&gt;'минимумы и максимумы'!I$10,100,('исходные данные'!K264-'минимумы и максимумы'!I$9)/('минимумы и максимумы'!I$10-'минимумы и максимумы'!I$9)*100)</f>
        <v>33.333333333333329</v>
      </c>
      <c r="L264">
        <f>IF('исходные данные'!L264&gt;'минимумы и максимумы'!J$10,100,('исходные данные'!L264-'минимумы и максимумы'!J$9)/('минимумы и максимумы'!J$10-'минимумы и максимумы'!J$9)*100)</f>
        <v>0</v>
      </c>
      <c r="M264">
        <f>IF('исходные данные'!M264&gt;'минимумы и максимумы'!K$10,100,('исходные данные'!M264-'минимумы и максимумы'!K$9)/('минимумы и максимумы'!K$10-'минимумы и максимумы'!K$9)*100)</f>
        <v>25</v>
      </c>
      <c r="N264">
        <f>IF('исходные данные'!N264&gt;'минимумы и максимумы'!L$10,100,('исходные данные'!N264-'минимумы и максимумы'!L$9)/('минимумы и максимумы'!L$10-'минимумы и максимумы'!L$9)*100)</f>
        <v>33.259224751467222</v>
      </c>
      <c r="O264">
        <f>IF('исходные данные'!O264&gt;'минимумы и максимумы'!M$10,100,('исходные данные'!O264-'минимумы и максимумы'!M$9)/('минимумы и максимумы'!M$10-'минимумы и максимумы'!M$9)*100)</f>
        <v>66.666666666666657</v>
      </c>
      <c r="P264">
        <f>IF('исходные данные'!P264&gt;'минимумы и максимумы'!N$10,100,('исходные данные'!P264-'минимумы и максимумы'!N$9)/('минимумы и максимумы'!N$10-'минимумы и максимумы'!N$9)*100)</f>
        <v>0</v>
      </c>
      <c r="Q264">
        <f>IF('исходные данные'!Q264&gt;'минимумы и максимумы'!O$10,100,('исходные данные'!Q264-'минимумы и максимумы'!O$9)/('минимумы и максимумы'!O$10-'минимумы и максимумы'!O$9)*100)</f>
        <v>100</v>
      </c>
      <c r="R264">
        <f>IF('исходные данные'!R264&gt;'минимумы и максимумы'!P$10,100,('исходные данные'!R264-'минимумы и максимумы'!P$9)/('минимумы и максимумы'!P$10-'минимумы и максимумы'!P$9)*100)</f>
        <v>25</v>
      </c>
      <c r="S264">
        <f>IF('исходные данные'!S264&gt;'минимумы и максимумы'!Q$10,100,('исходные данные'!S264-'минимумы и максимумы'!Q$9)/('минимумы и максимумы'!Q$10-'минимумы и максимумы'!Q$9)*100)</f>
        <v>66.666666666666657</v>
      </c>
      <c r="T264">
        <f>IF('исходные данные'!T264&gt;'минимумы и максимумы'!R$10,100,('исходные данные'!T264-'минимумы и максимумы'!R$9)/('минимумы и максимумы'!R$10-'минимумы и максимумы'!R$9)*100)</f>
        <v>16.858457997698505</v>
      </c>
      <c r="U264">
        <f>IF('исходные данные'!U264&gt;'минимумы и максимумы'!S$10,100,('исходные данные'!U264-'минимумы и максимумы'!S$9)/('минимумы и максимумы'!S$10-'минимумы и максимумы'!S$9)*100)</f>
        <v>0</v>
      </c>
    </row>
    <row r="265" spans="1:21" x14ac:dyDescent="0.45">
      <c r="A265" s="4">
        <v>360</v>
      </c>
      <c r="B265" s="4">
        <v>0</v>
      </c>
      <c r="C265" s="4">
        <v>0</v>
      </c>
      <c r="D265">
        <f>IF('исходные данные'!D265&gt;'минимумы и максимумы'!B$10,100,('исходные данные'!D265-'минимумы и максимумы'!B$9)/('минимумы и максимумы'!B$10-'минимумы и максимумы'!B$9)*100)</f>
        <v>0</v>
      </c>
      <c r="E265">
        <f>IF('исходные данные'!E265&gt;'минимумы и максимумы'!C$10,100,('исходные данные'!E265-'минимумы и максимумы'!C$9)/('минимумы и максимумы'!C$10-'минимумы и максимумы'!C$9)*100)</f>
        <v>0</v>
      </c>
      <c r="F265">
        <f>IF('исходные данные'!F265&gt;'минимумы и максимумы'!D$10,100,('исходные данные'!F265-'минимумы и максимумы'!D$9)/('минимумы и максимумы'!D$10-'минимумы и максимумы'!D$9)*100)</f>
        <v>0</v>
      </c>
      <c r="G265">
        <f>IF('исходные данные'!G265&gt;'минимумы и максимумы'!E$10,100,('исходные данные'!G265-'минимумы и максимумы'!E$9)/('минимумы и максимумы'!E$10-'минимумы и максимумы'!E$9)*100)</f>
        <v>0</v>
      </c>
      <c r="H265">
        <f>IF('исходные данные'!H265&gt;'минимумы и максимумы'!F$10,100,('исходные данные'!H265-'минимумы и максимумы'!F$9)/('минимумы и максимумы'!F$10-'минимумы и максимумы'!F$9)*100)</f>
        <v>0</v>
      </c>
      <c r="I265">
        <f>IF('исходные данные'!I265&gt;'минимумы и максимумы'!G$10,100,('исходные данные'!I265-'минимумы и максимумы'!G$9)/('минимумы и максимумы'!G$10-'минимумы и максимумы'!G$9)*100)</f>
        <v>3.7735849056603774</v>
      </c>
      <c r="J265">
        <f>IF('исходные данные'!J265&gt;'минимумы и максимумы'!H$10,100,('исходные данные'!J265-'минимумы и максимумы'!H$9)/('минимумы и максимумы'!H$10-'минимумы и максимумы'!H$9)*100)</f>
        <v>0</v>
      </c>
      <c r="K265">
        <f>IF('исходные данные'!K265&gt;'минимумы и максимумы'!I$10,100,('исходные данные'!K265-'минимумы и максимумы'!I$9)/('минимумы и максимумы'!I$10-'минимумы и максимумы'!I$9)*100)</f>
        <v>0</v>
      </c>
      <c r="L265">
        <f>IF('исходные данные'!L265&gt;'минимумы и максимумы'!J$10,100,('исходные данные'!L265-'минимумы и максимумы'!J$9)/('минимумы и максимумы'!J$10-'минимумы и максимумы'!J$9)*100)</f>
        <v>0</v>
      </c>
      <c r="M265">
        <f>IF('исходные данные'!M265&gt;'минимумы и максимумы'!K$10,100,('исходные данные'!M265-'минимумы и максимумы'!K$9)/('минимумы и максимумы'!K$10-'минимумы и максимумы'!K$9)*100)</f>
        <v>10.714285714285714</v>
      </c>
      <c r="N265">
        <f>IF('исходные данные'!N265&gt;'минимумы и максимумы'!L$10,100,('исходные данные'!N265-'минимумы и максимумы'!L$9)/('минимумы и максимумы'!L$10-'минимумы и максимумы'!L$9)*100)</f>
        <v>41.93702237560678</v>
      </c>
      <c r="O265">
        <f>IF('исходные данные'!O265&gt;'минимумы и максимумы'!M$10,100,('исходные данные'!O265-'минимумы и максимумы'!M$9)/('минимумы и максимумы'!M$10-'минимумы и максимумы'!M$9)*100)</f>
        <v>0</v>
      </c>
      <c r="P265">
        <f>IF('исходные данные'!P265&gt;'минимумы и максимумы'!N$10,100,('исходные данные'!P265-'минимумы и максимумы'!N$9)/('минимумы и максимумы'!N$10-'минимумы и максимумы'!N$9)*100)</f>
        <v>100</v>
      </c>
      <c r="Q265">
        <f>IF('исходные данные'!Q265&gt;'минимумы и максимумы'!O$10,100,('исходные данные'!Q265-'минимумы и максимумы'!O$9)/('минимумы и максимумы'!O$10-'минимумы и максимумы'!O$9)*100)</f>
        <v>0</v>
      </c>
      <c r="R265">
        <f>IF('исходные данные'!R265&gt;'минимумы и максимумы'!P$10,100,('исходные данные'!R265-'минимумы и максимумы'!P$9)/('минимумы и максимумы'!P$10-'минимумы и максимумы'!P$9)*100)</f>
        <v>75</v>
      </c>
      <c r="S265">
        <f>IF('исходные данные'!S265&gt;'минимумы и максимумы'!Q$10,100,('исходные данные'!S265-'минимумы и максимумы'!Q$9)/('минимумы и максимумы'!Q$10-'минимумы и максимумы'!Q$9)*100)</f>
        <v>50</v>
      </c>
      <c r="T265">
        <f>IF('исходные данные'!T265&gt;'минимумы и максимумы'!R$10,100,('исходные данные'!T265-'минимумы и максимумы'!R$9)/('минимумы и максимумы'!R$10-'минимумы и максимумы'!R$9)*100)</f>
        <v>40.794016110471809</v>
      </c>
      <c r="U265">
        <f>IF('исходные данные'!U265&gt;'минимумы и максимумы'!S$10,100,('исходные данные'!U265-'минимумы и максимумы'!S$9)/('минимумы и максимумы'!S$10-'минимумы и максимумы'!S$9)*100)</f>
        <v>66.666666666666657</v>
      </c>
    </row>
    <row r="266" spans="1:21" x14ac:dyDescent="0.45">
      <c r="A266" s="4">
        <v>361</v>
      </c>
      <c r="B266" s="4">
        <v>0</v>
      </c>
      <c r="C266" s="4">
        <v>0</v>
      </c>
      <c r="D266">
        <f>IF('исходные данные'!D266&gt;'минимумы и максимумы'!B$10,100,('исходные данные'!D266-'минимумы и максимумы'!B$9)/('минимумы и максимумы'!B$10-'минимумы и максимумы'!B$9)*100)</f>
        <v>11.111111111111111</v>
      </c>
      <c r="E266">
        <f>IF('исходные данные'!E266&gt;'минимумы и максимумы'!C$10,100,('исходные данные'!E266-'минимумы и максимумы'!C$9)/('минимумы и максимумы'!C$10-'минимумы и максимумы'!C$9)*100)</f>
        <v>0</v>
      </c>
      <c r="F266">
        <f>IF('исходные данные'!F266&gt;'минимумы и максимумы'!D$10,100,('исходные данные'!F266-'минимумы и максимумы'!D$9)/('минимумы и максимумы'!D$10-'минимумы и максимумы'!D$9)*100)</f>
        <v>0</v>
      </c>
      <c r="G266">
        <f>IF('исходные данные'!G266&gt;'минимумы и максимумы'!E$10,100,('исходные данные'!G266-'минимумы и максимумы'!E$9)/('минимумы и максимумы'!E$10-'минимумы и максимумы'!E$9)*100)</f>
        <v>0</v>
      </c>
      <c r="H266">
        <f>IF('исходные данные'!H266&gt;'минимумы и максимумы'!F$10,100,('исходные данные'!H266-'минимумы и максимумы'!F$9)/('минимумы и максимумы'!F$10-'минимумы и максимумы'!F$9)*100)</f>
        <v>0</v>
      </c>
      <c r="I266">
        <f>IF('исходные данные'!I266&gt;'минимумы и максимумы'!G$10,100,('исходные данные'!I266-'минимумы и максимумы'!G$9)/('минимумы и максимумы'!G$10-'минимумы и максимумы'!G$9)*100)</f>
        <v>5.6603773584905666</v>
      </c>
      <c r="J266">
        <f>IF('исходные данные'!J266&gt;'минимумы и максимумы'!H$10,100,('исходные данные'!J266-'минимумы и максимумы'!H$9)/('минимумы и максимумы'!H$10-'минимумы и максимумы'!H$9)*100)</f>
        <v>0</v>
      </c>
      <c r="K266">
        <f>IF('исходные данные'!K266&gt;'минимумы и максимумы'!I$10,100,('исходные данные'!K266-'минимумы и максимумы'!I$9)/('минимумы и максимумы'!I$10-'минимумы и максимумы'!I$9)*100)</f>
        <v>0</v>
      </c>
      <c r="L266">
        <f>IF('исходные данные'!L266&gt;'минимумы и максимумы'!J$10,100,('исходные данные'!L266-'минимумы и максимумы'!J$9)/('минимумы и максимумы'!J$10-'минимумы и максимумы'!J$9)*100)</f>
        <v>0</v>
      </c>
      <c r="M266">
        <f>IF('исходные данные'!M266&gt;'минимумы и максимумы'!K$10,100,('исходные данные'!M266-'минимумы и максимумы'!K$9)/('минимумы и максимумы'!K$10-'минимумы и максимумы'!K$9)*100)</f>
        <v>0</v>
      </c>
      <c r="N266">
        <f>IF('исходные данные'!N266&gt;'минимумы и максимумы'!L$10,100,('исходные данные'!N266-'минимумы и максимумы'!L$9)/('минимумы и максимумы'!L$10-'минимумы и максимумы'!L$9)*100)</f>
        <v>41.788766609290391</v>
      </c>
      <c r="O266">
        <f>IF('исходные данные'!O266&gt;'минимумы и максимумы'!M$10,100,('исходные данные'!O266-'минимумы и максимумы'!M$9)/('минимумы и максимумы'!M$10-'минимумы и максимумы'!M$9)*100)</f>
        <v>33.333333333333329</v>
      </c>
      <c r="P266">
        <f>IF('исходные данные'!P266&gt;'минимумы и максимумы'!N$10,100,('исходные данные'!P266-'минимумы и максимумы'!N$9)/('минимумы и максимумы'!N$10-'минимумы и максимумы'!N$9)*100)</f>
        <v>100</v>
      </c>
      <c r="Q266">
        <f>IF('исходные данные'!Q266&gt;'минимумы и максимумы'!O$10,100,('исходные данные'!Q266-'минимумы и максимумы'!O$9)/('минимумы и максимумы'!O$10-'минимумы и максимумы'!O$9)*100)</f>
        <v>100</v>
      </c>
      <c r="R266">
        <f>IF('исходные данные'!R266&gt;'минимумы и максимумы'!P$10,100,('исходные данные'!R266-'минимумы и максимумы'!P$9)/('минимумы и максимумы'!P$10-'минимумы и максимумы'!P$9)*100)</f>
        <v>75</v>
      </c>
      <c r="S266">
        <f>IF('исходные данные'!S266&gt;'минимумы и максимумы'!Q$10,100,('исходные данные'!S266-'минимумы и максимумы'!Q$9)/('минимумы и максимумы'!Q$10-'минимумы и максимумы'!Q$9)*100)</f>
        <v>33.333333333333329</v>
      </c>
      <c r="T266">
        <f>IF('исходные данные'!T266&gt;'минимумы и максимумы'!R$10,100,('исходные данные'!T266-'минимумы и максимумы'!R$9)/('минимумы и максимумы'!R$10-'минимумы и максимумы'!R$9)*100)</f>
        <v>37.428078250863059</v>
      </c>
      <c r="U266">
        <f>IF('исходные данные'!U266&gt;'минимумы и максимумы'!S$10,100,('исходные данные'!U266-'минимумы и максимумы'!S$9)/('минимумы и максимумы'!S$10-'минимумы и максимумы'!S$9)*100)</f>
        <v>0</v>
      </c>
    </row>
    <row r="267" spans="1:21" x14ac:dyDescent="0.45">
      <c r="A267" s="4">
        <v>362</v>
      </c>
      <c r="B267" s="4">
        <v>0</v>
      </c>
      <c r="C267" s="4">
        <v>0</v>
      </c>
      <c r="D267">
        <f>IF('исходные данные'!D267&gt;'минимумы и максимумы'!B$10,100,('исходные данные'!D267-'минимумы и максимумы'!B$9)/('минимумы и максимумы'!B$10-'минимумы и максимумы'!B$9)*100)</f>
        <v>11.111111111111111</v>
      </c>
      <c r="E267">
        <f>IF('исходные данные'!E267&gt;'минимумы и максимумы'!C$10,100,('исходные данные'!E267-'минимумы и максимумы'!C$9)/('минимумы и максимумы'!C$10-'минимумы и максимумы'!C$9)*100)</f>
        <v>50</v>
      </c>
      <c r="F267">
        <f>IF('исходные данные'!F267&gt;'минимумы и максимумы'!D$10,100,('исходные данные'!F267-'минимумы и максимумы'!D$9)/('минимумы и максимумы'!D$10-'минимумы и максимумы'!D$9)*100)</f>
        <v>0</v>
      </c>
      <c r="G267">
        <f>IF('исходные данные'!G267&gt;'минимумы и максимумы'!E$10,100,('исходные данные'!G267-'минимумы и максимумы'!E$9)/('минимумы и максимумы'!E$10-'минимумы и максимумы'!E$9)*100)</f>
        <v>37.5</v>
      </c>
      <c r="H267">
        <f>IF('исходные данные'!H267&gt;'минимумы и максимумы'!F$10,100,('исходные данные'!H267-'минимумы и максимумы'!F$9)/('минимумы и максимумы'!F$10-'минимумы и максимумы'!F$9)*100)</f>
        <v>48.275862068965516</v>
      </c>
      <c r="I267">
        <f>IF('исходные данные'!I267&gt;'минимумы и максимумы'!G$10,100,('исходные данные'!I267-'минимумы и максимумы'!G$9)/('минимумы и максимумы'!G$10-'минимумы и максимумы'!G$9)*100)</f>
        <v>24.528301886792452</v>
      </c>
      <c r="J267">
        <f>IF('исходные данные'!J267&gt;'минимумы и максимумы'!H$10,100,('исходные данные'!J267-'минимумы и максимумы'!H$9)/('минимумы и максимумы'!H$10-'минимумы и максимумы'!H$9)*100)</f>
        <v>13.333333333333334</v>
      </c>
      <c r="K267">
        <f>IF('исходные данные'!K267&gt;'минимумы и максимумы'!I$10,100,('исходные данные'!K267-'минимумы и максимумы'!I$9)/('минимумы и максимумы'!I$10-'минимумы и максимумы'!I$9)*100)</f>
        <v>5.5555555555555554</v>
      </c>
      <c r="L267">
        <f>IF('исходные данные'!L267&gt;'минимумы и максимумы'!J$10,100,('исходные данные'!L267-'минимумы и максимумы'!J$9)/('минимумы и максимумы'!J$10-'минимумы и максимумы'!J$9)*100)</f>
        <v>7.1428571428571423</v>
      </c>
      <c r="M267">
        <f>IF('исходные данные'!M267&gt;'минимумы и максимумы'!K$10,100,('исходные данные'!M267-'минимумы и максимумы'!K$9)/('минимумы и максимумы'!K$10-'минимумы и максимумы'!K$9)*100)</f>
        <v>67.857142857142861</v>
      </c>
      <c r="N267">
        <f>IF('исходные данные'!N267&gt;'минимумы и максимумы'!L$10,100,('исходные данные'!N267-'минимумы и максимумы'!L$9)/('минимумы и максимумы'!L$10-'минимумы и максимумы'!L$9)*100)</f>
        <v>28.848429288113238</v>
      </c>
      <c r="O267">
        <f>IF('исходные данные'!O267&gt;'минимумы и максимумы'!M$10,100,('исходные данные'!O267-'минимумы и максимумы'!M$9)/('минимумы и максимумы'!M$10-'минимумы и максимумы'!M$9)*100)</f>
        <v>66.666666666666657</v>
      </c>
      <c r="P267">
        <f>IF('исходные данные'!P267&gt;'минимумы и максимумы'!N$10,100,('исходные данные'!P267-'минимумы и максимумы'!N$9)/('минимумы и максимумы'!N$10-'минимумы и максимумы'!N$9)*100)</f>
        <v>0</v>
      </c>
      <c r="Q267">
        <f>IF('исходные данные'!Q267&gt;'минимумы и максимумы'!O$10,100,('исходные данные'!Q267-'минимумы и максимумы'!O$9)/('минимумы и максимумы'!O$10-'минимумы и максимумы'!O$9)*100)</f>
        <v>100</v>
      </c>
      <c r="R267">
        <f>IF('исходные данные'!R267&gt;'минимумы и максимумы'!P$10,100,('исходные данные'!R267-'минимумы и максимумы'!P$9)/('минимумы и максимумы'!P$10-'минимумы и максимумы'!P$9)*100)</f>
        <v>100</v>
      </c>
      <c r="S267">
        <f>IF('исходные данные'!S267&gt;'минимумы и максимумы'!Q$10,100,('исходные данные'!S267-'минимумы и максимумы'!Q$9)/('минимумы и максимумы'!Q$10-'минимумы и максимумы'!Q$9)*100)</f>
        <v>50</v>
      </c>
      <c r="T267">
        <f>IF('исходные данные'!T267&gt;'минимумы и максимумы'!R$10,100,('исходные данные'!T267-'минимумы и максимумы'!R$9)/('минимумы и максимумы'!R$10-'минимумы и максимумы'!R$9)*100)</f>
        <v>12.917146144994247</v>
      </c>
      <c r="U267">
        <f>IF('исходные данные'!U267&gt;'минимумы и максимумы'!S$10,100,('исходные данные'!U267-'минимумы и максимумы'!S$9)/('минимумы и максимумы'!S$10-'минимумы и максимумы'!S$9)*100)</f>
        <v>33.333333333333329</v>
      </c>
    </row>
    <row r="268" spans="1:21" x14ac:dyDescent="0.45">
      <c r="A268" s="4">
        <v>363</v>
      </c>
      <c r="B268" s="4">
        <v>0</v>
      </c>
      <c r="C268" s="4">
        <v>0</v>
      </c>
      <c r="D268">
        <f>IF('исходные данные'!D268&gt;'минимумы и максимумы'!B$10,100,('исходные данные'!D268-'минимумы и максимумы'!B$9)/('минимумы и максимумы'!B$10-'минимумы и максимумы'!B$9)*100)</f>
        <v>0</v>
      </c>
      <c r="E268">
        <f>IF('исходные данные'!E268&gt;'минимумы и максимумы'!C$10,100,('исходные данные'!E268-'минимумы и максимумы'!C$9)/('минимумы и максимумы'!C$10-'минимумы и максимумы'!C$9)*100)</f>
        <v>20</v>
      </c>
      <c r="F268">
        <f>IF('исходные данные'!F268&gt;'минимумы и максимумы'!D$10,100,('исходные данные'!F268-'минимумы и максимумы'!D$9)/('минимумы и максимумы'!D$10-'минимумы и максимумы'!D$9)*100)</f>
        <v>0</v>
      </c>
      <c r="G268">
        <f>IF('исходные данные'!G268&gt;'минимумы и максимумы'!E$10,100,('исходные данные'!G268-'минимумы и максимумы'!E$9)/('минимумы и максимумы'!E$10-'минимумы и максимумы'!E$9)*100)</f>
        <v>25</v>
      </c>
      <c r="H268">
        <f>IF('исходные данные'!H268&gt;'минимумы и максимумы'!F$10,100,('исходные данные'!H268-'минимумы и максимумы'!F$9)/('минимумы и максимумы'!F$10-'минимумы и максимумы'!F$9)*100)</f>
        <v>31.03448275862069</v>
      </c>
      <c r="I268">
        <f>IF('исходные данные'!I268&gt;'минимумы и максимумы'!G$10,100,('исходные данные'!I268-'минимумы и максимумы'!G$9)/('минимумы и максимумы'!G$10-'минимумы и максимумы'!G$9)*100)</f>
        <v>49.056603773584904</v>
      </c>
      <c r="J268">
        <f>IF('исходные данные'!J268&gt;'минимумы и максимумы'!H$10,100,('исходные данные'!J268-'минимумы и максимумы'!H$9)/('минимумы и максимумы'!H$10-'минимумы и максимумы'!H$9)*100)</f>
        <v>0</v>
      </c>
      <c r="K268">
        <f>IF('исходные данные'!K268&gt;'минимумы и максимумы'!I$10,100,('исходные данные'!K268-'минимумы и максимумы'!I$9)/('минимумы и максимумы'!I$10-'минимумы и максимумы'!I$9)*100)</f>
        <v>61.111111111111114</v>
      </c>
      <c r="L268">
        <f>IF('исходные данные'!L268&gt;'минимумы и максимумы'!J$10,100,('исходные данные'!L268-'минимумы и максимумы'!J$9)/('минимумы и максимумы'!J$10-'минимумы и максимумы'!J$9)*100)</f>
        <v>0</v>
      </c>
      <c r="M268">
        <f>IF('исходные данные'!M268&gt;'минимумы и максимумы'!K$10,100,('исходные данные'!M268-'минимумы и максимумы'!K$9)/('минимумы и максимумы'!K$10-'минимумы и максимумы'!K$9)*100)</f>
        <v>28.571428571428569</v>
      </c>
      <c r="N268">
        <f>IF('исходные данные'!N268&gt;'минимумы и максимумы'!L$10,100,('исходные данные'!N268-'минимумы и максимумы'!L$9)/('минимумы и максимумы'!L$10-'минимумы и максимумы'!L$9)*100)</f>
        <v>27.86347530654627</v>
      </c>
      <c r="O268">
        <f>IF('исходные данные'!O268&gt;'минимумы и максимумы'!M$10,100,('исходные данные'!O268-'минимумы и максимумы'!M$9)/('минимумы и максимумы'!M$10-'минимумы и максимумы'!M$9)*100)</f>
        <v>66.666666666666657</v>
      </c>
      <c r="P268">
        <f>IF('исходные данные'!P268&gt;'минимумы и максимумы'!N$10,100,('исходные данные'!P268-'минимумы и максимумы'!N$9)/('минимумы и максимумы'!N$10-'минимумы и максимумы'!N$9)*100)</f>
        <v>0</v>
      </c>
      <c r="Q268">
        <f>IF('исходные данные'!Q268&gt;'минимумы и максимумы'!O$10,100,('исходные данные'!Q268-'минимумы и максимумы'!O$9)/('минимумы и максимумы'!O$10-'минимумы и максимумы'!O$9)*100)</f>
        <v>100</v>
      </c>
      <c r="R268">
        <f>IF('исходные данные'!R268&gt;'минимумы и максимумы'!P$10,100,('исходные данные'!R268-'минимумы и максимумы'!P$9)/('минимумы и максимумы'!P$10-'минимумы и максимумы'!P$9)*100)</f>
        <v>25</v>
      </c>
      <c r="S268">
        <f>IF('исходные данные'!S268&gt;'минимумы и максимумы'!Q$10,100,('исходные данные'!S268-'минимумы и максимумы'!Q$9)/('минимумы и максимумы'!Q$10-'минимумы и максимумы'!Q$9)*100)</f>
        <v>33.333333333333329</v>
      </c>
      <c r="T268">
        <f>IF('исходные данные'!T268&gt;'минимумы и максимумы'!R$10,100,('исходные данные'!T268-'минимумы и максимумы'!R$9)/('минимумы и максимумы'!R$10-'минимумы и максимумы'!R$9)*100)</f>
        <v>5.3797468354430382</v>
      </c>
      <c r="U268">
        <f>IF('исходные данные'!U268&gt;'минимумы и максимумы'!S$10,100,('исходные данные'!U268-'минимумы и максимумы'!S$9)/('минимумы и максимумы'!S$10-'минимумы и максимумы'!S$9)*100)</f>
        <v>0</v>
      </c>
    </row>
    <row r="269" spans="1:21" x14ac:dyDescent="0.45">
      <c r="A269" s="4">
        <v>364</v>
      </c>
      <c r="B269" s="4">
        <v>0</v>
      </c>
      <c r="C269" s="4">
        <v>0</v>
      </c>
      <c r="D269">
        <f>IF('исходные данные'!D269&gt;'минимумы и максимумы'!B$10,100,('исходные данные'!D269-'минимумы и максимумы'!B$9)/('минимумы и максимумы'!B$10-'минимумы и максимумы'!B$9)*100)</f>
        <v>0</v>
      </c>
      <c r="E269">
        <f>IF('исходные данные'!E269&gt;'минимумы и максимумы'!C$10,100,('исходные данные'!E269-'минимумы и максимумы'!C$9)/('минимумы и максимумы'!C$10-'минимумы и максимумы'!C$9)*100)</f>
        <v>0</v>
      </c>
      <c r="F269">
        <f>IF('исходные данные'!F269&gt;'минимумы и максимумы'!D$10,100,('исходные данные'!F269-'минимумы и максимумы'!D$9)/('минимумы и максимумы'!D$10-'минимумы и максимумы'!D$9)*100)</f>
        <v>0</v>
      </c>
      <c r="G269">
        <f>IF('исходные данные'!G269&gt;'минимумы и максимумы'!E$10,100,('исходные данные'!G269-'минимумы и максимумы'!E$9)/('минимумы и максимумы'!E$10-'минимумы и максимумы'!E$9)*100)</f>
        <v>12.5</v>
      </c>
      <c r="H269">
        <f>IF('исходные данные'!H269&gt;'минимумы и максимумы'!F$10,100,('исходные данные'!H269-'минимумы и максимумы'!F$9)/('минимумы и максимумы'!F$10-'минимумы и максимумы'!F$9)*100)</f>
        <v>0</v>
      </c>
      <c r="I269">
        <f>IF('исходные данные'!I269&gt;'минимумы и максимумы'!G$10,100,('исходные данные'!I269-'минимумы и максимумы'!G$9)/('минимумы и максимумы'!G$10-'минимумы и максимумы'!G$9)*100)</f>
        <v>43.39622641509434</v>
      </c>
      <c r="J269">
        <f>IF('исходные данные'!J269&gt;'минимумы и максимумы'!H$10,100,('исходные данные'!J269-'минимумы и максимумы'!H$9)/('минимумы и максимумы'!H$10-'минимумы и максимумы'!H$9)*100)</f>
        <v>0</v>
      </c>
      <c r="K269">
        <f>IF('исходные данные'!K269&gt;'минимумы и максимумы'!I$10,100,('исходные данные'!K269-'минимумы и максимумы'!I$9)/('минимумы и максимумы'!I$10-'минимумы и максимумы'!I$9)*100)</f>
        <v>33.333333333333329</v>
      </c>
      <c r="L269">
        <f>IF('исходные данные'!L269&gt;'минимумы и максимумы'!J$10,100,('исходные данные'!L269-'минимумы и максимумы'!J$9)/('минимумы и максимумы'!J$10-'минимумы и максимумы'!J$9)*100)</f>
        <v>0</v>
      </c>
      <c r="M269">
        <f>IF('исходные данные'!M269&gt;'минимумы и максимумы'!K$10,100,('исходные данные'!M269-'минимумы и максимумы'!K$9)/('минимумы и максимумы'!K$10-'минимумы и максимумы'!K$9)*100)</f>
        <v>28.571428571428569</v>
      </c>
      <c r="N269">
        <f>IF('исходные данные'!N269&gt;'минимумы и максимумы'!L$10,100,('исходные данные'!N269-'минимумы и максимумы'!L$9)/('минимумы и максимумы'!L$10-'минимумы и максимумы'!L$9)*100)</f>
        <v>30.522067697602022</v>
      </c>
      <c r="O269">
        <f>IF('исходные данные'!O269&gt;'минимумы и максимумы'!M$10,100,('исходные данные'!O269-'минимумы и максимумы'!M$9)/('минимумы и максимумы'!M$10-'минимумы и максимумы'!M$9)*100)</f>
        <v>0</v>
      </c>
      <c r="P269">
        <f>IF('исходные данные'!P269&gt;'минимумы и максимумы'!N$10,100,('исходные данные'!P269-'минимумы и максимумы'!N$9)/('минимумы и максимумы'!N$10-'минимумы и максимумы'!N$9)*100)</f>
        <v>0</v>
      </c>
      <c r="Q269">
        <f>IF('исходные данные'!Q269&gt;'минимумы и максимумы'!O$10,100,('исходные данные'!Q269-'минимумы и максимумы'!O$9)/('минимумы и максимумы'!O$10-'минимумы и максимумы'!O$9)*100)</f>
        <v>0</v>
      </c>
      <c r="R269">
        <f>IF('исходные данные'!R269&gt;'минимумы и максимумы'!P$10,100,('исходные данные'!R269-'минимумы и максимумы'!P$9)/('минимумы и максимумы'!P$10-'минимумы и максимумы'!P$9)*100)</f>
        <v>25</v>
      </c>
      <c r="S269">
        <f>IF('исходные данные'!S269&gt;'минимумы и максимумы'!Q$10,100,('исходные данные'!S269-'минимумы и максимумы'!Q$9)/('минимумы и максимумы'!Q$10-'минимумы и максимумы'!Q$9)*100)</f>
        <v>16.666666666666664</v>
      </c>
      <c r="T269">
        <f>IF('исходные данные'!T269&gt;'минимумы и максимумы'!R$10,100,('исходные данные'!T269-'минимумы и максимумы'!R$9)/('минимумы и максимумы'!R$10-'минимумы и максимумы'!R$9)*100)</f>
        <v>34.349827387802073</v>
      </c>
      <c r="U269">
        <f>IF('исходные данные'!U269&gt;'минимумы и максимумы'!S$10,100,('исходные данные'!U269-'минимумы и максимумы'!S$9)/('минимумы и максимумы'!S$10-'минимумы и максимумы'!S$9)*100)</f>
        <v>0</v>
      </c>
    </row>
    <row r="270" spans="1:21" x14ac:dyDescent="0.45">
      <c r="A270" s="4">
        <v>365</v>
      </c>
      <c r="B270" s="4">
        <v>0</v>
      </c>
      <c r="C270" s="4">
        <v>0</v>
      </c>
      <c r="D270">
        <f>IF('исходные данные'!D270&gt;'минимумы и максимумы'!B$10,100,('исходные данные'!D270-'минимумы и максимумы'!B$9)/('минимумы и максимумы'!B$10-'минимумы и максимумы'!B$9)*100)</f>
        <v>11.111111111111111</v>
      </c>
      <c r="E270">
        <f>IF('исходные данные'!E270&gt;'минимумы и максимумы'!C$10,100,('исходные данные'!E270-'минимумы и максимумы'!C$9)/('минимумы и максимумы'!C$10-'минимумы и максимумы'!C$9)*100)</f>
        <v>20</v>
      </c>
      <c r="F270">
        <f>IF('исходные данные'!F270&gt;'минимумы и максимумы'!D$10,100,('исходные данные'!F270-'минимумы и максимумы'!D$9)/('минимумы и максимумы'!D$10-'минимумы и максимумы'!D$9)*100)</f>
        <v>33.333333333333329</v>
      </c>
      <c r="G270">
        <f>IF('исходные данные'!G270&gt;'минимумы и максимумы'!E$10,100,('исходные данные'!G270-'минимумы и максимумы'!E$9)/('минимумы и максимумы'!E$10-'минимумы и максимумы'!E$9)*100)</f>
        <v>16.666666666666664</v>
      </c>
      <c r="H270">
        <f>IF('исходные данные'!H270&gt;'минимумы и максимумы'!F$10,100,('исходные данные'!H270-'минимумы и максимумы'!F$9)/('минимумы и максимумы'!F$10-'минимумы и максимумы'!F$9)*100)</f>
        <v>17.241379310344829</v>
      </c>
      <c r="I270">
        <f>IF('исходные данные'!I270&gt;'минимумы и максимумы'!G$10,100,('исходные данные'!I270-'минимумы и максимумы'!G$9)/('минимумы и максимумы'!G$10-'минимумы и максимумы'!G$9)*100)</f>
        <v>9.433962264150944</v>
      </c>
      <c r="J270">
        <f>IF('исходные данные'!J270&gt;'минимумы и максимумы'!H$10,100,('исходные данные'!J270-'минимумы и максимумы'!H$9)/('минимумы и максимумы'!H$10-'минимумы и максимумы'!H$9)*100)</f>
        <v>0</v>
      </c>
      <c r="K270">
        <f>IF('исходные данные'!K270&gt;'минимумы и максимумы'!I$10,100,('исходные данные'!K270-'минимумы и максимумы'!I$9)/('минимумы и максимумы'!I$10-'минимумы и максимумы'!I$9)*100)</f>
        <v>5.5555555555555554</v>
      </c>
      <c r="L270">
        <f>IF('исходные данные'!L270&gt;'минимумы и максимумы'!J$10,100,('исходные данные'!L270-'минимумы и максимумы'!J$9)/('минимумы и максимумы'!J$10-'минимумы и максимумы'!J$9)*100)</f>
        <v>0</v>
      </c>
      <c r="M270">
        <f>IF('исходные данные'!M270&gt;'минимумы и максимумы'!K$10,100,('исходные данные'!M270-'минимумы и максимумы'!K$9)/('минимумы и максимумы'!K$10-'минимумы и максимумы'!K$9)*100)</f>
        <v>57.142857142857139</v>
      </c>
      <c r="N270">
        <f>IF('исходные данные'!N270&gt;'минимумы и максимумы'!L$10,100,('исходные данные'!N270-'минимумы и максимумы'!L$9)/('минимумы и максимумы'!L$10-'минимумы и максимумы'!L$9)*100)</f>
        <v>26.571629883539867</v>
      </c>
      <c r="O270">
        <f>IF('исходные данные'!O270&gt;'минимумы и максимумы'!M$10,100,('исходные данные'!O270-'минимумы и максимумы'!M$9)/('минимумы и максимумы'!M$10-'минимумы и максимумы'!M$9)*100)</f>
        <v>100</v>
      </c>
      <c r="P270">
        <f>IF('исходные данные'!P270&gt;'минимумы и максимумы'!N$10,100,('исходные данные'!P270-'минимумы и максимумы'!N$9)/('минимумы и максимумы'!N$10-'минимумы и максимумы'!N$9)*100)</f>
        <v>100</v>
      </c>
      <c r="Q270">
        <f>IF('исходные данные'!Q270&gt;'минимумы и максимумы'!O$10,100,('исходные данные'!Q270-'минимумы и максимумы'!O$9)/('минимумы и максимумы'!O$10-'минимумы и максимумы'!O$9)*100)</f>
        <v>100</v>
      </c>
      <c r="R270">
        <f>IF('исходные данные'!R270&gt;'минимумы и максимумы'!P$10,100,('исходные данные'!R270-'минимумы и максимумы'!P$9)/('минимумы и максимумы'!P$10-'минимумы и максимумы'!P$9)*100)</f>
        <v>75</v>
      </c>
      <c r="S270">
        <f>IF('исходные данные'!S270&gt;'минимумы и максимумы'!Q$10,100,('исходные данные'!S270-'минимумы и максимумы'!Q$9)/('минимумы и максимумы'!Q$10-'минимумы и максимумы'!Q$9)*100)</f>
        <v>66.666666666666657</v>
      </c>
      <c r="T270">
        <f>IF('исходные данные'!T270&gt;'минимумы и максимумы'!R$10,100,('исходные данные'!T270-'минимумы и максимумы'!R$9)/('минимумы и максимумы'!R$10-'минимумы и максимумы'!R$9)*100)</f>
        <v>96.547756041426922</v>
      </c>
      <c r="U270">
        <f>IF('исходные данные'!U270&gt;'минимумы и максимумы'!S$10,100,('исходные данные'!U270-'минимумы и максимумы'!S$9)/('минимумы и максимумы'!S$10-'минимумы и максимумы'!S$9)*100)</f>
        <v>0</v>
      </c>
    </row>
    <row r="271" spans="1:21" x14ac:dyDescent="0.45">
      <c r="A271" s="4">
        <v>366</v>
      </c>
      <c r="B271" s="4">
        <v>0</v>
      </c>
      <c r="C271" s="4">
        <v>0</v>
      </c>
      <c r="D271">
        <f>IF('исходные данные'!D271&gt;'минимумы и максимумы'!B$10,100,('исходные данные'!D271-'минимумы и максимумы'!B$9)/('минимумы и максимумы'!B$10-'минимумы и максимумы'!B$9)*100)</f>
        <v>11.111111111111111</v>
      </c>
      <c r="E271">
        <f>IF('исходные данные'!E271&gt;'минимумы и максимумы'!C$10,100,('исходные данные'!E271-'минимумы и максимумы'!C$9)/('минимумы и максимумы'!C$10-'минимумы и максимумы'!C$9)*100)</f>
        <v>20</v>
      </c>
      <c r="F271">
        <f>IF('исходные данные'!F271&gt;'минимумы и максимумы'!D$10,100,('исходные данные'!F271-'минимумы и максимумы'!D$9)/('минимумы и максимумы'!D$10-'минимумы и максимумы'!D$9)*100)</f>
        <v>33.333333333333329</v>
      </c>
      <c r="G271">
        <f>IF('исходные данные'!G271&gt;'минимумы и максимумы'!E$10,100,('исходные данные'!G271-'минимумы и максимумы'!E$9)/('минимумы и максимумы'!E$10-'минимумы и максимумы'!E$9)*100)</f>
        <v>16.666666666666664</v>
      </c>
      <c r="H271">
        <f>IF('исходные данные'!H271&gt;'минимумы и максимумы'!F$10,100,('исходные данные'!H271-'минимумы и максимумы'!F$9)/('минимумы и максимумы'!F$10-'минимумы и максимумы'!F$9)*100)</f>
        <v>17.241379310344829</v>
      </c>
      <c r="I271">
        <f>IF('исходные данные'!I271&gt;'минимумы и максимумы'!G$10,100,('исходные данные'!I271-'минимумы и максимумы'!G$9)/('минимумы и максимумы'!G$10-'минимумы и максимумы'!G$9)*100)</f>
        <v>9.433962264150944</v>
      </c>
      <c r="J271">
        <f>IF('исходные данные'!J271&gt;'минимумы и максимумы'!H$10,100,('исходные данные'!J271-'минимумы и максимумы'!H$9)/('минимумы и максимумы'!H$10-'минимумы и максимумы'!H$9)*100)</f>
        <v>0</v>
      </c>
      <c r="K271">
        <f>IF('исходные данные'!K271&gt;'минимумы и максимумы'!I$10,100,('исходные данные'!K271-'минимумы и максимумы'!I$9)/('минимумы и максимумы'!I$10-'минимумы и максимумы'!I$9)*100)</f>
        <v>5.5555555555555554</v>
      </c>
      <c r="L271">
        <f>IF('исходные данные'!L271&gt;'минимумы и максимумы'!J$10,100,('исходные данные'!L271-'минимумы и максимумы'!J$9)/('минимумы и максимумы'!J$10-'минимумы и максимумы'!J$9)*100)</f>
        <v>0</v>
      </c>
      <c r="M271">
        <f>IF('исходные данные'!M271&gt;'минимумы и максимумы'!K$10,100,('исходные данные'!M271-'минимумы и максимумы'!K$9)/('минимумы и максимумы'!K$10-'минимумы и максимумы'!K$9)*100)</f>
        <v>57.142857142857139</v>
      </c>
      <c r="N271">
        <f>IF('исходные данные'!N271&gt;'минимумы и максимумы'!L$10,100,('исходные данные'!N271-'минимумы и максимумы'!L$9)/('минимумы и максимумы'!L$10-'минимумы и максимумы'!L$9)*100)</f>
        <v>26.571629883539867</v>
      </c>
      <c r="O271">
        <f>IF('исходные данные'!O271&gt;'минимумы и максимумы'!M$10,100,('исходные данные'!O271-'минимумы и максимумы'!M$9)/('минимумы и максимумы'!M$10-'минимумы и максимумы'!M$9)*100)</f>
        <v>66.666666666666657</v>
      </c>
      <c r="P271">
        <f>IF('исходные данные'!P271&gt;'минимумы и максимумы'!N$10,100,('исходные данные'!P271-'минимумы и максимумы'!N$9)/('минимумы и максимумы'!N$10-'минимумы и максимумы'!N$9)*100)</f>
        <v>100</v>
      </c>
      <c r="Q271">
        <f>IF('исходные данные'!Q271&gt;'минимумы и максимумы'!O$10,100,('исходные данные'!Q271-'минимумы и максимумы'!O$9)/('минимумы и максимумы'!O$10-'минимумы и максимумы'!O$9)*100)</f>
        <v>100</v>
      </c>
      <c r="R271">
        <f>IF('исходные данные'!R271&gt;'минимумы и максимумы'!P$10,100,('исходные данные'!R271-'минимумы и максимумы'!P$9)/('минимумы и максимумы'!P$10-'минимумы и максимумы'!P$9)*100)</f>
        <v>75</v>
      </c>
      <c r="S271">
        <f>IF('исходные данные'!S271&gt;'минимумы и максимумы'!Q$10,100,('исходные данные'!S271-'минимумы и максимумы'!Q$9)/('минимумы и максимумы'!Q$10-'минимумы и максимумы'!Q$9)*100)</f>
        <v>50</v>
      </c>
      <c r="T271">
        <f>IF('исходные данные'!T271&gt;'минимумы и максимумы'!R$10,100,('исходные данные'!T271-'минимумы и максимумы'!R$9)/('минимумы и максимумы'!R$10-'минимумы и максимумы'!R$9)*100)</f>
        <v>46.921749136939013</v>
      </c>
      <c r="U271">
        <f>IF('исходные данные'!U271&gt;'минимумы и максимумы'!S$10,100,('исходные данные'!U271-'минимумы и максимумы'!S$9)/('минимумы и максимумы'!S$10-'минимумы и максимумы'!S$9)*100)</f>
        <v>0</v>
      </c>
    </row>
    <row r="272" spans="1:21" x14ac:dyDescent="0.45">
      <c r="A272" s="4">
        <v>367</v>
      </c>
      <c r="B272" s="4">
        <v>0</v>
      </c>
      <c r="C272" s="4">
        <v>0</v>
      </c>
      <c r="D272">
        <f>IF('исходные данные'!D272&gt;'минимумы и максимумы'!B$10,100,('исходные данные'!D272-'минимумы и максимумы'!B$9)/('минимумы и максимумы'!B$10-'минимумы и максимумы'!B$9)*100)</f>
        <v>11.111111111111111</v>
      </c>
      <c r="E272">
        <f>IF('исходные данные'!E272&gt;'минимумы и максимумы'!C$10,100,('исходные данные'!E272-'минимумы и максимумы'!C$9)/('минимумы и максимумы'!C$10-'минимумы и максимумы'!C$9)*100)</f>
        <v>30</v>
      </c>
      <c r="F272">
        <f>IF('исходные данные'!F272&gt;'минимумы и максимумы'!D$10,100,('исходные данные'!F272-'минимумы и максимумы'!D$9)/('минимумы и максимумы'!D$10-'минимумы и максимумы'!D$9)*100)</f>
        <v>33.333333333333329</v>
      </c>
      <c r="G272">
        <f>IF('исходные данные'!G272&gt;'минимумы и максимумы'!E$10,100,('исходные данные'!G272-'минимумы и максимумы'!E$9)/('минимумы и максимумы'!E$10-'минимумы и максимумы'!E$9)*100)</f>
        <v>20.833333333333336</v>
      </c>
      <c r="H272">
        <f>IF('исходные данные'!H272&gt;'минимумы и максимумы'!F$10,100,('исходные данные'!H272-'минимумы и максимумы'!F$9)/('минимумы и максимумы'!F$10-'минимумы и максимумы'!F$9)*100)</f>
        <v>20.689655172413794</v>
      </c>
      <c r="I272">
        <f>IF('исходные данные'!I272&gt;'минимумы и максимумы'!G$10,100,('исходные данные'!I272-'минимумы и максимумы'!G$9)/('минимумы и максимумы'!G$10-'минимумы и максимумы'!G$9)*100)</f>
        <v>9.433962264150944</v>
      </c>
      <c r="J272">
        <f>IF('исходные данные'!J272&gt;'минимумы и максимумы'!H$10,100,('исходные данные'!J272-'минимумы и максимумы'!H$9)/('минимумы и максимумы'!H$10-'минимумы и максимумы'!H$9)*100)</f>
        <v>0</v>
      </c>
      <c r="K272">
        <f>IF('исходные данные'!K272&gt;'минимумы и максимумы'!I$10,100,('исходные данные'!K272-'минимумы и максимумы'!I$9)/('минимумы и максимумы'!I$10-'минимумы и максимумы'!I$9)*100)</f>
        <v>11.111111111111111</v>
      </c>
      <c r="L272">
        <f>IF('исходные данные'!L272&gt;'минимумы и максимумы'!J$10,100,('исходные данные'!L272-'минимумы и максимумы'!J$9)/('минимумы и максимумы'!J$10-'минимумы и максимумы'!J$9)*100)</f>
        <v>0</v>
      </c>
      <c r="M272">
        <f>IF('исходные данные'!M272&gt;'минимумы и максимумы'!K$10,100,('исходные данные'!M272-'минимумы и максимумы'!K$9)/('минимумы и максимумы'!K$10-'минимумы и максимумы'!K$9)*100)</f>
        <v>64.285714285714292</v>
      </c>
      <c r="N272">
        <f>IF('исходные данные'!N272&gt;'минимумы и максимумы'!L$10,100,('исходные данные'!N272-'минимумы и максимумы'!L$9)/('минимумы и максимумы'!L$10-'минимумы и максимумы'!L$9)*100)</f>
        <v>26.571629883539867</v>
      </c>
      <c r="O272">
        <f>IF('исходные данные'!O272&gt;'минимумы и максимумы'!M$10,100,('исходные данные'!O272-'минимумы и максимумы'!M$9)/('минимумы и максимумы'!M$10-'минимумы и максимумы'!M$9)*100)</f>
        <v>66.666666666666657</v>
      </c>
      <c r="P272">
        <f>IF('исходные данные'!P272&gt;'минимумы и максимумы'!N$10,100,('исходные данные'!P272-'минимумы и максимумы'!N$9)/('минимумы и максимумы'!N$10-'минимумы и максимумы'!N$9)*100)</f>
        <v>100</v>
      </c>
      <c r="Q272">
        <f>IF('исходные данные'!Q272&gt;'минимумы и максимумы'!O$10,100,('исходные данные'!Q272-'минимумы и максимумы'!O$9)/('минимумы и максимумы'!O$10-'минимумы и максимумы'!O$9)*100)</f>
        <v>100</v>
      </c>
      <c r="R272">
        <f>IF('исходные данные'!R272&gt;'минимумы и максимумы'!P$10,100,('исходные данные'!R272-'минимумы и максимумы'!P$9)/('минимумы и максимумы'!P$10-'минимумы и максимумы'!P$9)*100)</f>
        <v>75</v>
      </c>
      <c r="S272">
        <f>IF('исходные данные'!S272&gt;'минимумы и максимумы'!Q$10,100,('исходные данные'!S272-'минимумы и максимумы'!Q$9)/('минимумы и максимумы'!Q$10-'минимумы и максимумы'!Q$9)*100)</f>
        <v>50</v>
      </c>
      <c r="T272">
        <f>IF('исходные данные'!T272&gt;'минимумы и максимумы'!R$10,100,('исходные данные'!T272-'минимумы и максимумы'!R$9)/('минимумы и максимумы'!R$10-'минимумы и максимумы'!R$9)*100)</f>
        <v>45.339470655926348</v>
      </c>
      <c r="U272">
        <f>IF('исходные данные'!U272&gt;'минимумы и максимумы'!S$10,100,('исходные данные'!U272-'минимумы и максимумы'!S$9)/('минимумы и максимумы'!S$10-'минимумы и максимумы'!S$9)*100)</f>
        <v>0</v>
      </c>
    </row>
    <row r="273" spans="1:21" x14ac:dyDescent="0.45">
      <c r="A273" s="4">
        <v>369</v>
      </c>
      <c r="B273" s="4">
        <v>0</v>
      </c>
      <c r="C273" s="4">
        <v>0</v>
      </c>
      <c r="D273">
        <f>IF('исходные данные'!D273&gt;'минимумы и максимумы'!B$10,100,('исходные данные'!D273-'минимумы и максимумы'!B$9)/('минимумы и максимумы'!B$10-'минимумы и максимумы'!B$9)*100)</f>
        <v>22.222222222222221</v>
      </c>
      <c r="E273">
        <f>IF('исходные данные'!E273&gt;'минимумы и максимумы'!C$10,100,('исходные данные'!E273-'минимумы и максимумы'!C$9)/('минимумы и максимумы'!C$10-'минимумы и максимумы'!C$9)*100)</f>
        <v>30</v>
      </c>
      <c r="F273">
        <f>IF('исходные данные'!F273&gt;'минимумы и максимумы'!D$10,100,('исходные данные'!F273-'минимумы и максимумы'!D$9)/('минимумы и максимумы'!D$10-'минимумы и максимумы'!D$9)*100)</f>
        <v>33.333333333333329</v>
      </c>
      <c r="G273">
        <f>IF('исходные данные'!G273&gt;'минимумы и максимумы'!E$10,100,('исходные данные'!G273-'минимумы и максимумы'!E$9)/('минимумы и максимумы'!E$10-'минимумы и максимумы'!E$9)*100)</f>
        <v>33.333333333333329</v>
      </c>
      <c r="H273">
        <f>IF('исходные данные'!H273&gt;'минимумы и максимумы'!F$10,100,('исходные данные'!H273-'минимумы и максимумы'!F$9)/('минимумы и максимумы'!F$10-'минимумы и максимумы'!F$9)*100)</f>
        <v>31.03448275862069</v>
      </c>
      <c r="I273">
        <f>IF('исходные данные'!I273&gt;'минимумы и максимумы'!G$10,100,('исходные данные'!I273-'минимумы и максимумы'!G$9)/('минимумы и максимумы'!G$10-'минимумы и максимумы'!G$9)*100)</f>
        <v>15.09433962264151</v>
      </c>
      <c r="J273">
        <f>IF('исходные данные'!J273&gt;'минимумы и максимумы'!H$10,100,('исходные данные'!J273-'минимумы и максимумы'!H$9)/('минимумы и максимумы'!H$10-'минимумы и максимумы'!H$9)*100)</f>
        <v>0</v>
      </c>
      <c r="K273">
        <f>IF('исходные данные'!K273&gt;'минимумы и максимумы'!I$10,100,('исходные данные'!K273-'минимумы и максимумы'!I$9)/('минимумы и максимумы'!I$10-'минимумы и максимумы'!I$9)*100)</f>
        <v>38.888888888888893</v>
      </c>
      <c r="L273">
        <f>IF('исходные данные'!L273&gt;'минимумы и максимумы'!J$10,100,('исходные данные'!L273-'минимумы и максимумы'!J$9)/('минимумы и максимумы'!J$10-'минимумы и максимумы'!J$9)*100)</f>
        <v>50</v>
      </c>
      <c r="M273">
        <f>IF('исходные данные'!M273&gt;'минимумы и максимумы'!K$10,100,('исходные данные'!M273-'минимумы и максимумы'!K$9)/('минимумы и максимумы'!K$10-'минимумы и максимумы'!K$9)*100)</f>
        <v>46.428571428571431</v>
      </c>
      <c r="N273">
        <f>IF('исходные данные'!N273&gt;'минимумы и максимумы'!L$10,100,('исходные данные'!N273-'минимумы и максимумы'!L$9)/('минимумы и максимумы'!L$10-'минимумы и максимумы'!L$9)*100)</f>
        <v>28.449994261661445</v>
      </c>
      <c r="O273">
        <f>IF('исходные данные'!O273&gt;'минимумы и максимумы'!M$10,100,('исходные данные'!O273-'минимумы и максимумы'!M$9)/('минимумы и максимумы'!M$10-'минимумы и максимумы'!M$9)*100)</f>
        <v>100</v>
      </c>
      <c r="P273">
        <f>IF('исходные данные'!P273&gt;'минимумы и максимумы'!N$10,100,('исходные данные'!P273-'минимумы и максимумы'!N$9)/('минимумы и максимумы'!N$10-'минимумы и максимумы'!N$9)*100)</f>
        <v>0</v>
      </c>
      <c r="Q273">
        <f>IF('исходные данные'!Q273&gt;'минимумы и максимумы'!O$10,100,('исходные данные'!Q273-'минимумы и максимумы'!O$9)/('минимумы и максимумы'!O$10-'минимумы и максимумы'!O$9)*100)</f>
        <v>100</v>
      </c>
      <c r="R273">
        <f>IF('исходные данные'!R273&gt;'минимумы и максимумы'!P$10,100,('исходные данные'!R273-'минимумы и максимумы'!P$9)/('минимумы и максимумы'!P$10-'минимумы и максимумы'!P$9)*100)</f>
        <v>50</v>
      </c>
      <c r="S273">
        <f>IF('исходные данные'!S273&gt;'минимумы и максимумы'!Q$10,100,('исходные данные'!S273-'минимумы и максимумы'!Q$9)/('минимумы и максимумы'!Q$10-'минимумы и максимумы'!Q$9)*100)</f>
        <v>33.333333333333329</v>
      </c>
      <c r="T273">
        <f>IF('исходные данные'!T273&gt;'минимумы и максимумы'!R$10,100,('исходные данные'!T273-'минимумы и максимумы'!R$9)/('минимумы и максимумы'!R$10-'минимумы и максимумы'!R$9)*100)</f>
        <v>13.808975834292289</v>
      </c>
      <c r="U273">
        <f>IF('исходные данные'!U273&gt;'минимумы и максимумы'!S$10,100,('исходные данные'!U273-'минимумы и максимумы'!S$9)/('минимумы и максимумы'!S$10-'минимумы и максимумы'!S$9)*100)</f>
        <v>0</v>
      </c>
    </row>
    <row r="274" spans="1:21" x14ac:dyDescent="0.45">
      <c r="A274" s="4">
        <v>370</v>
      </c>
      <c r="B274" s="4">
        <v>1</v>
      </c>
      <c r="C274" s="4">
        <v>0</v>
      </c>
      <c r="D274">
        <f>IF('исходные данные'!D274&gt;'минимумы и максимумы'!B$10,100,('исходные данные'!D274-'минимумы и максимумы'!B$9)/('минимумы и максимумы'!B$10-'минимумы и максимумы'!B$9)*100)</f>
        <v>0</v>
      </c>
      <c r="E274">
        <f>IF('исходные данные'!E274&gt;'минимумы и максимумы'!C$10,100,('исходные данные'!E274-'минимумы и максимумы'!C$9)/('минимумы и максимумы'!C$10-'минимумы и максимумы'!C$9)*100)</f>
        <v>0</v>
      </c>
      <c r="F274">
        <f>IF('исходные данные'!F274&gt;'минимумы и максимумы'!D$10,100,('исходные данные'!F274-'минимумы и максимумы'!D$9)/('минимумы и максимумы'!D$10-'минимумы и максимумы'!D$9)*100)</f>
        <v>0</v>
      </c>
      <c r="G274">
        <f>IF('исходные данные'!G274&gt;'минимумы и максимумы'!E$10,100,('исходные данные'!G274-'минимумы и максимумы'!E$9)/('минимумы и максимумы'!E$10-'минимумы и максимумы'!E$9)*100)</f>
        <v>0</v>
      </c>
      <c r="H274">
        <f>IF('исходные данные'!H274&gt;'минимумы и максимумы'!F$10,100,('исходные данные'!H274-'минимумы и максимумы'!F$9)/('минимумы и максимумы'!F$10-'минимумы и максимумы'!F$9)*100)</f>
        <v>0</v>
      </c>
      <c r="I274">
        <f>IF('исходные данные'!I274&gt;'минимумы и максимумы'!G$10,100,('исходные данные'!I274-'минимумы и максимумы'!G$9)/('минимумы и максимумы'!G$10-'минимумы и максимумы'!G$9)*100)</f>
        <v>3.7735849056603774</v>
      </c>
      <c r="J274">
        <f>IF('исходные данные'!J274&gt;'минимумы и максимумы'!H$10,100,('исходные данные'!J274-'минимумы и максимумы'!H$9)/('минимумы и максимумы'!H$10-'минимумы и максимумы'!H$9)*100)</f>
        <v>0</v>
      </c>
      <c r="K274">
        <f>IF('исходные данные'!K274&gt;'минимумы и максимумы'!I$10,100,('исходные данные'!K274-'минимумы и максимумы'!I$9)/('минимумы и максимумы'!I$10-'минимумы и максимумы'!I$9)*100)</f>
        <v>11.111111111111111</v>
      </c>
      <c r="L274">
        <f>IF('исходные данные'!L274&gt;'минимумы и максимумы'!J$10,100,('исходные данные'!L274-'минимумы и максимумы'!J$9)/('минимумы и максимумы'!J$10-'минимумы и максимумы'!J$9)*100)</f>
        <v>0</v>
      </c>
      <c r="M274">
        <f>IF('исходные данные'!M274&gt;'минимумы и максимумы'!K$10,100,('исходные данные'!M274-'минимумы и максимумы'!K$9)/('минимумы и максимумы'!K$10-'минимумы и максимумы'!K$9)*100)</f>
        <v>10.714285714285714</v>
      </c>
      <c r="N274">
        <f>IF('исходные данные'!N274&gt;'минимумы и максимумы'!L$10,100,('исходные данные'!N274-'минимумы и максимумы'!L$9)/('минимумы и максимумы'!L$10-'минимумы и максимумы'!L$9)*100)</f>
        <v>61.646141991194447</v>
      </c>
      <c r="O274">
        <f>IF('исходные данные'!O274&gt;'минимумы и максимумы'!M$10,100,('исходные данные'!O274-'минимумы и максимумы'!M$9)/('минимумы и максимумы'!M$10-'минимумы и максимумы'!M$9)*100)</f>
        <v>0</v>
      </c>
      <c r="P274">
        <f>IF('исходные данные'!P274&gt;'минимумы и максимумы'!N$10,100,('исходные данные'!P274-'минимумы и максимумы'!N$9)/('минимумы и максимумы'!N$10-'минимумы и максимумы'!N$9)*100)</f>
        <v>100</v>
      </c>
      <c r="Q274">
        <f>IF('исходные данные'!Q274&gt;'минимумы и максимумы'!O$10,100,('исходные данные'!Q274-'минимумы и максимумы'!O$9)/('минимумы и максимумы'!O$10-'минимумы и максимумы'!O$9)*100)</f>
        <v>0</v>
      </c>
      <c r="R274">
        <f>IF('исходные данные'!R274&gt;'минимумы и максимумы'!P$10,100,('исходные данные'!R274-'минимумы и максимумы'!P$9)/('минимумы и максимумы'!P$10-'минимумы и максимумы'!P$9)*100)</f>
        <v>25</v>
      </c>
      <c r="S274">
        <f>IF('исходные данные'!S274&gt;'минимумы и максимумы'!Q$10,100,('исходные данные'!S274-'минимумы и максимумы'!Q$9)/('минимумы и максимумы'!Q$10-'минимумы и максимумы'!Q$9)*100)</f>
        <v>33.333333333333329</v>
      </c>
      <c r="T274">
        <f>IF('исходные данные'!T274&gt;'минимумы и максимумы'!R$10,100,('исходные данные'!T274-'минимумы и максимумы'!R$9)/('минимумы и максимумы'!R$10-'минимумы и максимумы'!R$9)*100)</f>
        <v>12.543153049482164</v>
      </c>
      <c r="U274">
        <f>IF('исходные данные'!U274&gt;'минимумы и максимумы'!S$10,100,('исходные данные'!U274-'минимумы и максимумы'!S$9)/('минимумы и максимумы'!S$10-'минимумы и максимумы'!S$9)*100)</f>
        <v>66.666666666666657</v>
      </c>
    </row>
    <row r="275" spans="1:21" x14ac:dyDescent="0.45">
      <c r="A275" s="4">
        <v>371</v>
      </c>
      <c r="B275" s="4">
        <v>0</v>
      </c>
      <c r="C275" s="4">
        <v>0</v>
      </c>
      <c r="D275">
        <f>IF('исходные данные'!D275&gt;'минимумы и максимумы'!B$10,100,('исходные данные'!D275-'минимумы и максимумы'!B$9)/('минимумы и максимумы'!B$10-'минимумы и максимумы'!B$9)*100)</f>
        <v>0</v>
      </c>
      <c r="E275">
        <f>IF('исходные данные'!E275&gt;'минимумы и максимумы'!C$10,100,('исходные данные'!E275-'минимумы и максимумы'!C$9)/('минимумы и максимумы'!C$10-'минимумы и максимумы'!C$9)*100)</f>
        <v>0</v>
      </c>
      <c r="F275">
        <f>IF('исходные данные'!F275&gt;'минимумы и максимумы'!D$10,100,('исходные данные'!F275-'минимумы и максимумы'!D$9)/('минимумы и максимумы'!D$10-'минимумы и максимумы'!D$9)*100)</f>
        <v>0</v>
      </c>
      <c r="G275">
        <f>IF('исходные данные'!G275&gt;'минимумы и максимумы'!E$10,100,('исходные данные'!G275-'минимумы и максимумы'!E$9)/('минимумы и максимумы'!E$10-'минимумы и максимумы'!E$9)*100)</f>
        <v>0</v>
      </c>
      <c r="H275">
        <f>IF('исходные данные'!H275&gt;'минимумы и максимумы'!F$10,100,('исходные данные'!H275-'минимумы и максимумы'!F$9)/('минимумы и максимумы'!F$10-'минимумы и максимумы'!F$9)*100)</f>
        <v>0</v>
      </c>
      <c r="I275">
        <f>IF('исходные данные'!I275&gt;'минимумы и максимумы'!G$10,100,('исходные данные'!I275-'минимумы и максимумы'!G$9)/('минимумы и максимумы'!G$10-'минимумы и максимумы'!G$9)*100)</f>
        <v>3.7735849056603774</v>
      </c>
      <c r="J275">
        <f>IF('исходные данные'!J275&gt;'минимумы и максимумы'!H$10,100,('исходные данные'!J275-'минимумы и максимумы'!H$9)/('минимумы и максимумы'!H$10-'минимумы и максимумы'!H$9)*100)</f>
        <v>0</v>
      </c>
      <c r="K275">
        <f>IF('исходные данные'!K275&gt;'минимумы и максимумы'!I$10,100,('исходные данные'!K275-'минимумы и максимумы'!I$9)/('минимумы и максимумы'!I$10-'минимумы и максимумы'!I$9)*100)</f>
        <v>11.111111111111111</v>
      </c>
      <c r="L275">
        <f>IF('исходные данные'!L275&gt;'минимумы и максимумы'!J$10,100,('исходные данные'!L275-'минимумы и максимумы'!J$9)/('минимумы и максимумы'!J$10-'минимумы и максимумы'!J$9)*100)</f>
        <v>0</v>
      </c>
      <c r="M275">
        <f>IF('исходные данные'!M275&gt;'минимумы и максимумы'!K$10,100,('исходные данные'!M275-'минимумы и максимумы'!K$9)/('минимумы и максимумы'!K$10-'минимумы и максимумы'!K$9)*100)</f>
        <v>10.714285714285714</v>
      </c>
      <c r="N275">
        <f>IF('исходные данные'!N275&gt;'минимумы и максимумы'!L$10,100,('исходные данные'!N275-'минимумы и максимумы'!L$9)/('минимумы и максимумы'!L$10-'минимумы и максимумы'!L$9)*100)</f>
        <v>61.646141991194447</v>
      </c>
      <c r="O275">
        <f>IF('исходные данные'!O275&gt;'минимумы и максимумы'!M$10,100,('исходные данные'!O275-'минимумы и максимумы'!M$9)/('минимумы и максимумы'!M$10-'минимумы и максимумы'!M$9)*100)</f>
        <v>66.666666666666657</v>
      </c>
      <c r="P275">
        <f>IF('исходные данные'!P275&gt;'минимумы и максимумы'!N$10,100,('исходные данные'!P275-'минимумы и максимумы'!N$9)/('минимумы и максимумы'!N$10-'минимумы и максимумы'!N$9)*100)</f>
        <v>100</v>
      </c>
      <c r="Q275">
        <f>IF('исходные данные'!Q275&gt;'минимумы и максимумы'!O$10,100,('исходные данные'!Q275-'минимумы и максимумы'!O$9)/('минимумы и максимумы'!O$10-'минимумы и максимумы'!O$9)*100)</f>
        <v>0</v>
      </c>
      <c r="R275">
        <f>IF('исходные данные'!R275&gt;'минимумы и максимумы'!P$10,100,('исходные данные'!R275-'минимумы и максимумы'!P$9)/('минимумы и максимумы'!P$10-'минимумы и максимумы'!P$9)*100)</f>
        <v>25</v>
      </c>
      <c r="S275">
        <f>IF('исходные данные'!S275&gt;'минимумы и максимумы'!Q$10,100,('исходные данные'!S275-'минимумы и максимумы'!Q$9)/('минимумы и максимумы'!Q$10-'минимумы и максимумы'!Q$9)*100)</f>
        <v>33.333333333333329</v>
      </c>
      <c r="T275">
        <f>IF('исходные данные'!T275&gt;'минимумы и максимумы'!R$10,100,('исходные данные'!T275-'минимумы и максимумы'!R$9)/('минимумы и максимумы'!R$10-'минимумы и максимумы'!R$9)*100)</f>
        <v>2.4453394706559264</v>
      </c>
      <c r="U275">
        <f>IF('исходные данные'!U275&gt;'минимумы и максимумы'!S$10,100,('исходные данные'!U275-'минимумы и максимумы'!S$9)/('минимумы и максимумы'!S$10-'минимумы и максимумы'!S$9)*100)</f>
        <v>0</v>
      </c>
    </row>
    <row r="276" spans="1:21" x14ac:dyDescent="0.45">
      <c r="A276" s="4">
        <v>372</v>
      </c>
      <c r="B276" s="4">
        <v>0</v>
      </c>
      <c r="C276" s="4">
        <v>0</v>
      </c>
      <c r="D276">
        <f>IF('исходные данные'!D276&gt;'минимумы и максимумы'!B$10,100,('исходные данные'!D276-'минимумы и максимумы'!B$9)/('минимумы и максимумы'!B$10-'минимумы и максимумы'!B$9)*100)</f>
        <v>0</v>
      </c>
      <c r="E276">
        <f>IF('исходные данные'!E276&gt;'минимумы и максимумы'!C$10,100,('исходные данные'!E276-'минимумы и максимумы'!C$9)/('минимумы и максимумы'!C$10-'минимумы и максимумы'!C$9)*100)</f>
        <v>0</v>
      </c>
      <c r="F276">
        <f>IF('исходные данные'!F276&gt;'минимумы и максимумы'!D$10,100,('исходные данные'!F276-'минимумы и максимумы'!D$9)/('минимумы и максимумы'!D$10-'минимумы и максимумы'!D$9)*100)</f>
        <v>0</v>
      </c>
      <c r="G276">
        <f>IF('исходные данные'!G276&gt;'минимумы и максимумы'!E$10,100,('исходные данные'!G276-'минимумы и максимумы'!E$9)/('минимумы и максимумы'!E$10-'минимумы и максимумы'!E$9)*100)</f>
        <v>0</v>
      </c>
      <c r="H276">
        <f>IF('исходные данные'!H276&gt;'минимумы и максимумы'!F$10,100,('исходные данные'!H276-'минимумы и максимумы'!F$9)/('минимумы и максимумы'!F$10-'минимумы и максимумы'!F$9)*100)</f>
        <v>0</v>
      </c>
      <c r="I276">
        <f>IF('исходные данные'!I276&gt;'минимумы и максимумы'!G$10,100,('исходные данные'!I276-'минимумы и максимумы'!G$9)/('минимумы и максимумы'!G$10-'минимумы и максимумы'!G$9)*100)</f>
        <v>3.7735849056603774</v>
      </c>
      <c r="J276">
        <f>IF('исходные данные'!J276&gt;'минимумы и максимумы'!H$10,100,('исходные данные'!J276-'минимумы и максимумы'!H$9)/('минимумы и максимумы'!H$10-'минимумы и максимумы'!H$9)*100)</f>
        <v>0</v>
      </c>
      <c r="K276">
        <f>IF('исходные данные'!K276&gt;'минимумы и максимумы'!I$10,100,('исходные данные'!K276-'минимумы и максимумы'!I$9)/('минимумы и максимумы'!I$10-'минимумы и максимумы'!I$9)*100)</f>
        <v>11.111111111111111</v>
      </c>
      <c r="L276">
        <f>IF('исходные данные'!L276&gt;'минимумы и максимумы'!J$10,100,('исходные данные'!L276-'минимумы и максимумы'!J$9)/('минимумы и максимумы'!J$10-'минимумы и максимумы'!J$9)*100)</f>
        <v>0</v>
      </c>
      <c r="M276">
        <f>IF('исходные данные'!M276&gt;'минимумы и максимумы'!K$10,100,('исходные данные'!M276-'минимумы и максимумы'!K$9)/('минимумы и максимумы'!K$10-'минимумы и максимумы'!K$9)*100)</f>
        <v>10.714285714285714</v>
      </c>
      <c r="N276">
        <f>IF('исходные данные'!N276&gt;'минимумы и максимумы'!L$10,100,('исходные данные'!N276-'минимумы и максимумы'!L$9)/('минимумы и максимумы'!L$10-'минимумы и максимумы'!L$9)*100)</f>
        <v>62.390027612487145</v>
      </c>
      <c r="O276">
        <f>IF('исходные данные'!O276&gt;'минимумы и максимумы'!M$10,100,('исходные данные'!O276-'минимумы и максимумы'!M$9)/('минимумы и максимумы'!M$10-'минимумы и максимумы'!M$9)*100)</f>
        <v>0</v>
      </c>
      <c r="P276">
        <f>IF('исходные данные'!P276&gt;'минимумы и максимумы'!N$10,100,('исходные данные'!P276-'минимумы и максимумы'!N$9)/('минимумы и максимумы'!N$10-'минимумы и максимумы'!N$9)*100)</f>
        <v>100</v>
      </c>
      <c r="Q276">
        <f>IF('исходные данные'!Q276&gt;'минимумы и максимумы'!O$10,100,('исходные данные'!Q276-'минимумы и максимумы'!O$9)/('минимумы и максимумы'!O$10-'минимумы и максимумы'!O$9)*100)</f>
        <v>0</v>
      </c>
      <c r="R276">
        <f>IF('исходные данные'!R276&gt;'минимумы и максимумы'!P$10,100,('исходные данные'!R276-'минимумы и максимумы'!P$9)/('минимумы и максимумы'!P$10-'минимумы и максимумы'!P$9)*100)</f>
        <v>25</v>
      </c>
      <c r="S276">
        <f>IF('исходные данные'!S276&gt;'минимумы и максимумы'!Q$10,100,('исходные данные'!S276-'минимумы и максимумы'!Q$9)/('минимумы и максимумы'!Q$10-'минимумы и максимумы'!Q$9)*100)</f>
        <v>33.333333333333329</v>
      </c>
      <c r="T276">
        <f>IF('исходные данные'!T276&gt;'минимумы и максимумы'!R$10,100,('исходные данные'!T276-'минимумы и максимумы'!R$9)/('минимумы и максимумы'!R$10-'минимумы и максимумы'!R$9)*100)</f>
        <v>7.9976985040276185</v>
      </c>
      <c r="U276">
        <f>IF('исходные данные'!U276&gt;'минимумы и максимумы'!S$10,100,('исходные данные'!U276-'минимумы и максимумы'!S$9)/('минимумы и максимумы'!S$10-'минимумы и максимумы'!S$9)*100)</f>
        <v>0</v>
      </c>
    </row>
    <row r="277" spans="1:21" x14ac:dyDescent="0.45">
      <c r="A277" s="4">
        <v>373</v>
      </c>
      <c r="B277" s="4">
        <v>0</v>
      </c>
      <c r="C277" s="4">
        <v>0</v>
      </c>
      <c r="D277">
        <f>IF('исходные данные'!D277&gt;'минимумы и максимумы'!B$10,100,('исходные данные'!D277-'минимумы и максимумы'!B$9)/('минимумы и максимумы'!B$10-'минимумы и максимумы'!B$9)*100)</f>
        <v>0</v>
      </c>
      <c r="E277">
        <f>IF('исходные данные'!E277&gt;'минимумы и максимумы'!C$10,100,('исходные данные'!E277-'минимумы и максимумы'!C$9)/('минимумы и максимумы'!C$10-'минимумы и максимумы'!C$9)*100)</f>
        <v>0</v>
      </c>
      <c r="F277">
        <f>IF('исходные данные'!F277&gt;'минимумы и максимумы'!D$10,100,('исходные данные'!F277-'минимумы и максимумы'!D$9)/('минимумы и максимумы'!D$10-'минимумы и максимумы'!D$9)*100)</f>
        <v>0</v>
      </c>
      <c r="G277">
        <f>IF('исходные данные'!G277&gt;'минимумы и максимумы'!E$10,100,('исходные данные'!G277-'минимумы и максимумы'!E$9)/('минимумы и максимумы'!E$10-'минимумы и максимумы'!E$9)*100)</f>
        <v>0</v>
      </c>
      <c r="H277">
        <f>IF('исходные данные'!H277&gt;'минимумы и максимумы'!F$10,100,('исходные данные'!H277-'минимумы и максимумы'!F$9)/('минимумы и максимумы'!F$10-'минимумы и максимумы'!F$9)*100)</f>
        <v>0</v>
      </c>
      <c r="I277">
        <f>IF('исходные данные'!I277&gt;'минимумы и максимумы'!G$10,100,('исходные данные'!I277-'минимумы и максимумы'!G$9)/('минимумы и максимумы'!G$10-'минимумы и максимумы'!G$9)*100)</f>
        <v>1.8867924528301887</v>
      </c>
      <c r="J277">
        <f>IF('исходные данные'!J277&gt;'минимумы и максимумы'!H$10,100,('исходные данные'!J277-'минимумы и максимумы'!H$9)/('минимумы и максимумы'!H$10-'минимумы и максимумы'!H$9)*100)</f>
        <v>0</v>
      </c>
      <c r="K277">
        <f>IF('исходные данные'!K277&gt;'минимумы и максимумы'!I$10,100,('исходные данные'!K277-'минимумы и максимумы'!I$9)/('минимумы и максимумы'!I$10-'минимумы и максимумы'!I$9)*100)</f>
        <v>11.111111111111111</v>
      </c>
      <c r="L277">
        <f>IF('исходные данные'!L277&gt;'минимумы и максимумы'!J$10,100,('исходные данные'!L277-'минимумы и максимумы'!J$9)/('минимумы и максимумы'!J$10-'минимумы и максимумы'!J$9)*100)</f>
        <v>0</v>
      </c>
      <c r="M277">
        <f>IF('исходные данные'!M277&gt;'минимумы и максимумы'!K$10,100,('исходные данные'!M277-'минимумы и максимумы'!K$9)/('минимумы и максимумы'!K$10-'минимумы и максимумы'!K$9)*100)</f>
        <v>7.1428571428571423</v>
      </c>
      <c r="N277">
        <f>IF('исходные данные'!N277&gt;'минимумы и максимумы'!L$10,100,('исходные данные'!N277-'минимумы и максимумы'!L$9)/('минимумы и максимумы'!L$10-'минимумы и максимумы'!L$9)*100)</f>
        <v>62.743892709313201</v>
      </c>
      <c r="O277">
        <f>IF('исходные данные'!O277&gt;'минимумы и максимумы'!M$10,100,('исходные данные'!O277-'минимумы и максимумы'!M$9)/('минимумы и максимумы'!M$10-'минимумы и максимумы'!M$9)*100)</f>
        <v>33.333333333333329</v>
      </c>
      <c r="P277">
        <f>IF('исходные данные'!P277&gt;'минимумы и максимумы'!N$10,100,('исходные данные'!P277-'минимумы и максимумы'!N$9)/('минимумы и максимумы'!N$10-'минимумы и максимумы'!N$9)*100)</f>
        <v>100</v>
      </c>
      <c r="Q277">
        <f>IF('исходные данные'!Q277&gt;'минимумы и максимумы'!O$10,100,('исходные данные'!Q277-'минимумы и максимумы'!O$9)/('минимумы и максимумы'!O$10-'минимумы и максимумы'!O$9)*100)</f>
        <v>0</v>
      </c>
      <c r="R277">
        <f>IF('исходные данные'!R277&gt;'минимумы и максимумы'!P$10,100,('исходные данные'!R277-'минимумы и максимумы'!P$9)/('минимумы и максимумы'!P$10-'минимумы и максимумы'!P$9)*100)</f>
        <v>25</v>
      </c>
      <c r="S277">
        <f>IF('исходные данные'!S277&gt;'минимумы и максимумы'!Q$10,100,('исходные данные'!S277-'минимумы и максимумы'!Q$9)/('минимумы и максимумы'!Q$10-'минимумы и максимумы'!Q$9)*100)</f>
        <v>33.333333333333329</v>
      </c>
      <c r="T277">
        <f>IF('исходные данные'!T277&gt;'минимумы и максимумы'!R$10,100,('исходные данные'!T277-'минимумы и максимумы'!R$9)/('минимумы и максимумы'!R$10-'минимумы и максимумы'!R$9)*100)</f>
        <v>7.7675489067894139</v>
      </c>
      <c r="U277">
        <f>IF('исходные данные'!U277&gt;'минимумы и максимумы'!S$10,100,('исходные данные'!U277-'минимумы и максимумы'!S$9)/('минимумы и максимумы'!S$10-'минимумы и максимумы'!S$9)*100)</f>
        <v>0</v>
      </c>
    </row>
    <row r="278" spans="1:21" x14ac:dyDescent="0.45">
      <c r="A278" s="4">
        <v>374</v>
      </c>
      <c r="B278" s="4">
        <v>0</v>
      </c>
      <c r="C278" s="4">
        <v>0</v>
      </c>
      <c r="D278">
        <f>IF('исходные данные'!D278&gt;'минимумы и максимумы'!B$10,100,('исходные данные'!D278-'минимумы и максимумы'!B$9)/('минимумы и максимумы'!B$10-'минимумы и максимумы'!B$9)*100)</f>
        <v>0</v>
      </c>
      <c r="E278">
        <f>IF('исходные данные'!E278&gt;'минимумы и максимумы'!C$10,100,('исходные данные'!E278-'минимумы и максимумы'!C$9)/('минимумы и максимумы'!C$10-'минимумы и максимумы'!C$9)*100)</f>
        <v>0</v>
      </c>
      <c r="F278">
        <f>IF('исходные данные'!F278&gt;'минимумы и максимумы'!D$10,100,('исходные данные'!F278-'минимумы и максимумы'!D$9)/('минимумы и максимумы'!D$10-'минимумы и максимумы'!D$9)*100)</f>
        <v>0</v>
      </c>
      <c r="G278">
        <f>IF('исходные данные'!G278&gt;'минимумы и максимумы'!E$10,100,('исходные данные'!G278-'минимумы и максимумы'!E$9)/('минимумы и максимумы'!E$10-'минимумы и максимумы'!E$9)*100)</f>
        <v>0</v>
      </c>
      <c r="H278">
        <f>IF('исходные данные'!H278&gt;'минимумы и максимумы'!F$10,100,('исходные данные'!H278-'минимумы и максимумы'!F$9)/('минимумы и максимумы'!F$10-'минимумы и максимумы'!F$9)*100)</f>
        <v>0</v>
      </c>
      <c r="I278">
        <f>IF('исходные данные'!I278&gt;'минимумы и максимумы'!G$10,100,('исходные данные'!I278-'минимумы и максимумы'!G$9)/('минимумы и максимумы'!G$10-'минимумы и максимумы'!G$9)*100)</f>
        <v>3.7735849056603774</v>
      </c>
      <c r="J278">
        <f>IF('исходные данные'!J278&gt;'минимумы и максимумы'!H$10,100,('исходные данные'!J278-'минимумы и максимумы'!H$9)/('минимумы и максимумы'!H$10-'минимумы и максимумы'!H$9)*100)</f>
        <v>0</v>
      </c>
      <c r="K278">
        <f>IF('исходные данные'!K278&gt;'минимумы и максимумы'!I$10,100,('исходные данные'!K278-'минимумы и максимумы'!I$9)/('минимумы и максимумы'!I$10-'минимумы и максимумы'!I$9)*100)</f>
        <v>11.111111111111111</v>
      </c>
      <c r="L278">
        <f>IF('исходные данные'!L278&gt;'минимумы и максимумы'!J$10,100,('исходные данные'!L278-'минимумы и максимумы'!J$9)/('минимумы и максимумы'!J$10-'минимумы и максимумы'!J$9)*100)</f>
        <v>0</v>
      </c>
      <c r="M278">
        <f>IF('исходные данные'!M278&gt;'минимумы и максимумы'!K$10,100,('исходные данные'!M278-'минимумы и максимумы'!K$9)/('минимумы и максимумы'!K$10-'минимумы и максимумы'!K$9)*100)</f>
        <v>10.714285714285714</v>
      </c>
      <c r="N278">
        <f>IF('исходные данные'!N278&gt;'минимумы и максимумы'!L$10,100,('исходные данные'!N278-'минимумы и максимумы'!L$9)/('минимумы и максимумы'!L$10-'минимумы и максимумы'!L$9)*100)</f>
        <v>62.390027612487145</v>
      </c>
      <c r="O278">
        <f>IF('исходные данные'!O278&gt;'минимумы и максимумы'!M$10,100,('исходные данные'!O278-'минимумы и максимумы'!M$9)/('минимумы и максимумы'!M$10-'минимумы и максимумы'!M$9)*100)</f>
        <v>100</v>
      </c>
      <c r="P278">
        <f>IF('исходные данные'!P278&gt;'минимумы и максимумы'!N$10,100,('исходные данные'!P278-'минимумы и максимумы'!N$9)/('минимумы и максимумы'!N$10-'минимумы и максимумы'!N$9)*100)</f>
        <v>100</v>
      </c>
      <c r="Q278">
        <f>IF('исходные данные'!Q278&gt;'минимумы и максимумы'!O$10,100,('исходные данные'!Q278-'минимумы и максимумы'!O$9)/('минимумы и максимумы'!O$10-'минимумы и максимумы'!O$9)*100)</f>
        <v>0</v>
      </c>
      <c r="R278">
        <f>IF('исходные данные'!R278&gt;'минимумы и максимумы'!P$10,100,('исходные данные'!R278-'минимумы и максимумы'!P$9)/('минимумы и максимумы'!P$10-'минимумы и максимумы'!P$9)*100)</f>
        <v>25</v>
      </c>
      <c r="S278">
        <f>IF('исходные данные'!S278&gt;'минимумы и максимумы'!Q$10,100,('исходные данные'!S278-'минимумы и максимумы'!Q$9)/('минимумы и максимумы'!Q$10-'минимумы и максимумы'!Q$9)*100)</f>
        <v>33.333333333333329</v>
      </c>
      <c r="T278">
        <f>IF('исходные данные'!T278&gt;'минимумы и максимумы'!R$10,100,('исходные данные'!T278-'минимумы и максимумы'!R$9)/('минимумы и максимумы'!R$10-'минимумы и максимумы'!R$9)*100)</f>
        <v>20.627157652474107</v>
      </c>
      <c r="U278">
        <f>IF('исходные данные'!U278&gt;'минимумы и максимумы'!S$10,100,('исходные данные'!U278-'минимумы и максимумы'!S$9)/('минимумы и максимумы'!S$10-'минимумы и максимумы'!S$9)*100)</f>
        <v>33.333333333333329</v>
      </c>
    </row>
    <row r="279" spans="1:21" x14ac:dyDescent="0.45">
      <c r="A279" s="4">
        <v>375</v>
      </c>
      <c r="B279" s="4">
        <v>0</v>
      </c>
      <c r="C279" s="4">
        <v>0</v>
      </c>
      <c r="D279">
        <f>IF('исходные данные'!D279&gt;'минимумы и максимумы'!B$10,100,('исходные данные'!D279-'минимумы и максимумы'!B$9)/('минимумы и максимумы'!B$10-'минимумы и максимумы'!B$9)*100)</f>
        <v>0</v>
      </c>
      <c r="E279">
        <f>IF('исходные данные'!E279&gt;'минимумы и максимумы'!C$10,100,('исходные данные'!E279-'минимумы и максимумы'!C$9)/('минимумы и максимумы'!C$10-'минимумы и максимумы'!C$9)*100)</f>
        <v>0</v>
      </c>
      <c r="F279">
        <f>IF('исходные данные'!F279&gt;'минимумы и максимумы'!D$10,100,('исходные данные'!F279-'минимумы и максимумы'!D$9)/('минимумы и максимумы'!D$10-'минимумы и максимумы'!D$9)*100)</f>
        <v>0</v>
      </c>
      <c r="G279">
        <f>IF('исходные данные'!G279&gt;'минимумы и максимумы'!E$10,100,('исходные данные'!G279-'минимумы и максимумы'!E$9)/('минимумы и максимумы'!E$10-'минимумы и максимумы'!E$9)*100)</f>
        <v>4.1666666666666661</v>
      </c>
      <c r="H279">
        <f>IF('исходные данные'!H279&gt;'минимумы и максимумы'!F$10,100,('исходные данные'!H279-'минимумы и максимумы'!F$9)/('минимумы и максимумы'!F$10-'минимумы и максимумы'!F$9)*100)</f>
        <v>6.8965517241379306</v>
      </c>
      <c r="I279">
        <f>IF('исходные данные'!I279&gt;'минимумы и максимумы'!G$10,100,('исходные данные'!I279-'минимумы и максимумы'!G$9)/('минимумы и максимумы'!G$10-'минимумы и максимумы'!G$9)*100)</f>
        <v>3.7735849056603774</v>
      </c>
      <c r="J279">
        <f>IF('исходные данные'!J279&gt;'минимумы и максимумы'!H$10,100,('исходные данные'!J279-'минимумы и максимумы'!H$9)/('минимумы и максимумы'!H$10-'минимумы и максимумы'!H$9)*100)</f>
        <v>0</v>
      </c>
      <c r="K279">
        <f>IF('исходные данные'!K279&gt;'минимумы и максимумы'!I$10,100,('исходные данные'!K279-'минимумы и максимумы'!I$9)/('минимумы и максимумы'!I$10-'минимумы и максимумы'!I$9)*100)</f>
        <v>11.111111111111111</v>
      </c>
      <c r="L279">
        <f>IF('исходные данные'!L279&gt;'минимумы и максимумы'!J$10,100,('исходные данные'!L279-'минимумы и максимумы'!J$9)/('минимумы и максимумы'!J$10-'минимумы и максимумы'!J$9)*100)</f>
        <v>0</v>
      </c>
      <c r="M279">
        <f>IF('исходные данные'!M279&gt;'минимумы и максимумы'!K$10,100,('исходные данные'!M279-'минимумы и максимумы'!K$9)/('минимумы и максимумы'!K$10-'минимумы и максимумы'!K$9)*100)</f>
        <v>7.1428571428571423</v>
      </c>
      <c r="N279">
        <f>IF('исходные данные'!N279&gt;'минимумы и максимумы'!L$10,100,('исходные данные'!N279-'минимумы и максимумы'!L$9)/('минимумы и максимумы'!L$10-'минимумы и максимумы'!L$9)*100)</f>
        <v>62.390897744534669</v>
      </c>
      <c r="O279">
        <f>IF('исходные данные'!O279&gt;'минимумы и максимумы'!M$10,100,('исходные данные'!O279-'минимумы и максимумы'!M$9)/('минимумы и максимумы'!M$10-'минимумы и максимумы'!M$9)*100)</f>
        <v>100</v>
      </c>
      <c r="P279">
        <f>IF('исходные данные'!P279&gt;'минимумы и максимумы'!N$10,100,('исходные данные'!P279-'минимумы и максимумы'!N$9)/('минимумы и максимумы'!N$10-'минимумы и максимумы'!N$9)*100)</f>
        <v>100</v>
      </c>
      <c r="Q279">
        <f>IF('исходные данные'!Q279&gt;'минимумы и максимумы'!O$10,100,('исходные данные'!Q279-'минимумы и максимумы'!O$9)/('минимумы и максимумы'!O$10-'минимумы и максимумы'!O$9)*100)</f>
        <v>0</v>
      </c>
      <c r="R279">
        <f>IF('исходные данные'!R279&gt;'минимумы и максимумы'!P$10,100,('исходные данные'!R279-'минимумы и максимумы'!P$9)/('минимумы и максимумы'!P$10-'минимумы и максимумы'!P$9)*100)</f>
        <v>25</v>
      </c>
      <c r="S279">
        <f>IF('исходные данные'!S279&gt;'минимумы и максимумы'!Q$10,100,('исходные данные'!S279-'минимумы и максимумы'!Q$9)/('минимумы и максимумы'!Q$10-'минимумы и максимумы'!Q$9)*100)</f>
        <v>66.666666666666657</v>
      </c>
      <c r="T279">
        <f>IF('исходные данные'!T279&gt;'минимумы и максимумы'!R$10,100,('исходные данные'!T279-'минимумы и максимумы'!R$9)/('минимумы и максимумы'!R$10-'минимумы и максимумы'!R$9)*100)</f>
        <v>27.4741081703107</v>
      </c>
      <c r="U279">
        <f>IF('исходные данные'!U279&gt;'минимумы и максимумы'!S$10,100,('исходные данные'!U279-'минимумы и максимумы'!S$9)/('минимумы и максимумы'!S$10-'минимумы и максимумы'!S$9)*100)</f>
        <v>66.666666666666657</v>
      </c>
    </row>
    <row r="280" spans="1:21" x14ac:dyDescent="0.45">
      <c r="A280" s="4">
        <v>376</v>
      </c>
      <c r="B280" s="4">
        <v>0</v>
      </c>
      <c r="C280" s="4">
        <v>0</v>
      </c>
      <c r="D280">
        <f>IF('исходные данные'!D280&gt;'минимумы и максимумы'!B$10,100,('исходные данные'!D280-'минимумы и максимумы'!B$9)/('минимумы и максимумы'!B$10-'минимумы и максимумы'!B$9)*100)</f>
        <v>0</v>
      </c>
      <c r="E280">
        <f>IF('исходные данные'!E280&gt;'минимумы и максимумы'!C$10,100,('исходные данные'!E280-'минимумы и максимумы'!C$9)/('минимумы и максимумы'!C$10-'минимумы и максимумы'!C$9)*100)</f>
        <v>10</v>
      </c>
      <c r="F280">
        <f>IF('исходные данные'!F280&gt;'минимумы и максимумы'!D$10,100,('исходные данные'!F280-'минимумы и максимумы'!D$9)/('минимумы и максимумы'!D$10-'минимумы и максимумы'!D$9)*100)</f>
        <v>0</v>
      </c>
      <c r="G280">
        <f>IF('исходные данные'!G280&gt;'минимумы и максимумы'!E$10,100,('исходные данные'!G280-'минимумы и максимумы'!E$9)/('минимумы и максимумы'!E$10-'минимумы и максимумы'!E$9)*100)</f>
        <v>20.833333333333336</v>
      </c>
      <c r="H280">
        <f>IF('исходные данные'!H280&gt;'минимумы и максимумы'!F$10,100,('исходные данные'!H280-'минимумы и максимумы'!F$9)/('минимумы и максимумы'!F$10-'минимумы и максимумы'!F$9)*100)</f>
        <v>20.689655172413794</v>
      </c>
      <c r="I280">
        <f>IF('исходные данные'!I280&gt;'минимумы и максимумы'!G$10,100,('исходные данные'!I280-'минимумы и максимумы'!G$9)/('минимумы и максимумы'!G$10-'минимумы и максимумы'!G$9)*100)</f>
        <v>3.7735849056603774</v>
      </c>
      <c r="J280">
        <f>IF('исходные данные'!J280&gt;'минимумы и максимумы'!H$10,100,('исходные данные'!J280-'минимумы и максимумы'!H$9)/('минимумы и максимумы'!H$10-'минимумы и максимумы'!H$9)*100)</f>
        <v>0</v>
      </c>
      <c r="K280">
        <f>IF('исходные данные'!K280&gt;'минимумы и максимумы'!I$10,100,('исходные данные'!K280-'минимумы и максимумы'!I$9)/('минимумы и максимумы'!I$10-'минимумы и максимумы'!I$9)*100)</f>
        <v>5.5555555555555554</v>
      </c>
      <c r="L280">
        <f>IF('исходные данные'!L280&gt;'минимумы и максимумы'!J$10,100,('исходные данные'!L280-'минимумы и максимумы'!J$9)/('минимумы и максимумы'!J$10-'минимумы и максимумы'!J$9)*100)</f>
        <v>0</v>
      </c>
      <c r="M280">
        <f>IF('исходные данные'!M280&gt;'минимумы и максимумы'!K$10,100,('исходные данные'!M280-'минимумы и максимумы'!K$9)/('минимумы и максимумы'!K$10-'минимумы и максимумы'!K$9)*100)</f>
        <v>10.714285714285714</v>
      </c>
      <c r="N280">
        <f>IF('исходные данные'!N280&gt;'минимумы и максимумы'!L$10,100,('исходные данные'!N280-'минимумы и максимумы'!L$9)/('минимумы и максимумы'!L$10-'минимумы и максимумы'!L$9)*100)</f>
        <v>41.052612550562131</v>
      </c>
      <c r="O280">
        <f>IF('исходные данные'!O280&gt;'минимумы и максимумы'!M$10,100,('исходные данные'!O280-'минимумы и максимумы'!M$9)/('минимумы и максимумы'!M$10-'минимумы и максимумы'!M$9)*100)</f>
        <v>66.666666666666657</v>
      </c>
      <c r="P280">
        <f>IF('исходные данные'!P280&gt;'минимумы и максимумы'!N$10,100,('исходные данные'!P280-'минимумы и максимумы'!N$9)/('минимумы и максимумы'!N$10-'минимумы и максимумы'!N$9)*100)</f>
        <v>100</v>
      </c>
      <c r="Q280">
        <f>IF('исходные данные'!Q280&gt;'минимумы и максимумы'!O$10,100,('исходные данные'!Q280-'минимумы и максимумы'!O$9)/('минимумы и максимумы'!O$10-'минимумы и максимумы'!O$9)*100)</f>
        <v>100</v>
      </c>
      <c r="R280">
        <f>IF('исходные данные'!R280&gt;'минимумы и максимумы'!P$10,100,('исходные данные'!R280-'минимумы и максимумы'!P$9)/('минимумы и максимумы'!P$10-'минимумы и максимумы'!P$9)*100)</f>
        <v>100</v>
      </c>
      <c r="S280">
        <f>IF('исходные данные'!S280&gt;'минимумы и максимумы'!Q$10,100,('исходные данные'!S280-'минимумы и максимумы'!Q$9)/('минимумы и максимумы'!Q$10-'минимумы и максимумы'!Q$9)*100)</f>
        <v>50</v>
      </c>
      <c r="T280">
        <f>IF('исходные данные'!T280&gt;'минимумы и максимумы'!R$10,100,('исходные данные'!T280-'минимумы и максимумы'!R$9)/('минимумы и максимумы'!R$10-'минимумы и максимумы'!R$9)*100)</f>
        <v>14.2692750287687</v>
      </c>
      <c r="U280">
        <f>IF('исходные данные'!U280&gt;'минимумы и максимумы'!S$10,100,('исходные данные'!U280-'минимумы и максимумы'!S$9)/('минимумы и максимумы'!S$10-'минимумы и максимумы'!S$9)*100)</f>
        <v>66.666666666666657</v>
      </c>
    </row>
    <row r="281" spans="1:21" x14ac:dyDescent="0.45">
      <c r="A281" s="4">
        <v>377</v>
      </c>
      <c r="B281" s="4">
        <v>0</v>
      </c>
      <c r="C281" s="4">
        <v>0</v>
      </c>
      <c r="D281">
        <f>IF('исходные данные'!D281&gt;'минимумы и максимумы'!B$10,100,('исходные данные'!D281-'минимумы и максимумы'!B$9)/('минимумы и максимумы'!B$10-'минимумы и максимумы'!B$9)*100)</f>
        <v>11.111111111111111</v>
      </c>
      <c r="E281">
        <f>IF('исходные данные'!E281&gt;'минимумы и максимумы'!C$10,100,('исходные данные'!E281-'минимумы и максимумы'!C$9)/('минимумы и максимумы'!C$10-'минимумы и максимумы'!C$9)*100)</f>
        <v>0</v>
      </c>
      <c r="F281">
        <f>IF('исходные данные'!F281&gt;'минимумы и максимумы'!D$10,100,('исходные данные'!F281-'минимумы и максимумы'!D$9)/('минимумы и максимумы'!D$10-'минимумы и максимумы'!D$9)*100)</f>
        <v>0</v>
      </c>
      <c r="G281">
        <f>IF('исходные данные'!G281&gt;'минимумы и максимумы'!E$10,100,('исходные данные'!G281-'минимумы и максимумы'!E$9)/('минимумы и максимумы'!E$10-'минимумы и максимумы'!E$9)*100)</f>
        <v>12.5</v>
      </c>
      <c r="H281">
        <f>IF('исходные данные'!H281&gt;'минимумы и максимумы'!F$10,100,('исходные данные'!H281-'минимумы и максимумы'!F$9)/('минимумы и максимумы'!F$10-'минимумы и максимумы'!F$9)*100)</f>
        <v>20.689655172413794</v>
      </c>
      <c r="I281">
        <f>IF('исходные данные'!I281&gt;'минимумы и максимумы'!G$10,100,('исходные данные'!I281-'минимумы и максимумы'!G$9)/('минимумы и максимумы'!G$10-'минимумы и максимумы'!G$9)*100)</f>
        <v>9.433962264150944</v>
      </c>
      <c r="J281">
        <f>IF('исходные данные'!J281&gt;'минимумы и максимумы'!H$10,100,('исходные данные'!J281-'минимумы и максимумы'!H$9)/('минимумы и максимумы'!H$10-'минимумы и максимумы'!H$9)*100)</f>
        <v>0</v>
      </c>
      <c r="K281">
        <f>IF('исходные данные'!K281&gt;'минимумы и максимумы'!I$10,100,('исходные данные'!K281-'минимумы и максимумы'!I$9)/('минимумы и максимумы'!I$10-'минимумы и максимумы'!I$9)*100)</f>
        <v>0</v>
      </c>
      <c r="L281">
        <f>IF('исходные данные'!L281&gt;'минимумы и максимумы'!J$10,100,('исходные данные'!L281-'минимумы и максимумы'!J$9)/('минимумы и максимумы'!J$10-'минимумы и максимумы'!J$9)*100)</f>
        <v>0</v>
      </c>
      <c r="M281">
        <f>IF('исходные данные'!M281&gt;'минимумы и максимумы'!K$10,100,('исходные данные'!M281-'минимумы и максимумы'!K$9)/('минимумы и максимумы'!K$10-'минимумы и максимумы'!K$9)*100)</f>
        <v>10.714285714285714</v>
      </c>
      <c r="N281">
        <f>IF('исходные данные'!N281&gt;'минимумы и максимумы'!L$10,100,('исходные данные'!N281-'минимумы и максимумы'!L$9)/('минимумы и максимумы'!L$10-'минимумы и максимумы'!L$9)*100)</f>
        <v>49.299456668764925</v>
      </c>
      <c r="O281">
        <f>IF('исходные данные'!O281&gt;'минимумы и максимумы'!M$10,100,('исходные данные'!O281-'минимумы и максимумы'!M$9)/('минимумы и максимумы'!M$10-'минимумы и максимумы'!M$9)*100)</f>
        <v>0</v>
      </c>
      <c r="P281">
        <f>IF('исходные данные'!P281&gt;'минимумы и максимумы'!N$10,100,('исходные данные'!P281-'минимумы и максимумы'!N$9)/('минимумы и максимумы'!N$10-'минимумы и максимумы'!N$9)*100)</f>
        <v>0</v>
      </c>
      <c r="Q281">
        <f>IF('исходные данные'!Q281&gt;'минимумы и максимумы'!O$10,100,('исходные данные'!Q281-'минимумы и максимумы'!O$9)/('минимумы и максимумы'!O$10-'минимумы и максимумы'!O$9)*100)</f>
        <v>100</v>
      </c>
      <c r="R281">
        <f>IF('исходные данные'!R281&gt;'минимумы и максимумы'!P$10,100,('исходные данные'!R281-'минимумы и максимумы'!P$9)/('минимумы и максимумы'!P$10-'минимумы и максимумы'!P$9)*100)</f>
        <v>100</v>
      </c>
      <c r="S281">
        <f>IF('исходные данные'!S281&gt;'минимумы и максимумы'!Q$10,100,('исходные данные'!S281-'минимумы и максимумы'!Q$9)/('минимумы и максимумы'!Q$10-'минимумы и максимумы'!Q$9)*100)</f>
        <v>33.333333333333329</v>
      </c>
      <c r="T281">
        <f>IF('исходные данные'!T281&gt;'минимумы и максимумы'!R$10,100,('исходные данные'!T281-'минимумы и максимумы'!R$9)/('минимумы и максимумы'!R$10-'минимумы и максимумы'!R$9)*100)</f>
        <v>25.287686996547755</v>
      </c>
      <c r="U281">
        <f>IF('исходные данные'!U281&gt;'минимумы и максимумы'!S$10,100,('исходные данные'!U281-'минимумы и максимумы'!S$9)/('минимумы и максимумы'!S$10-'минимумы и максимумы'!S$9)*100)</f>
        <v>66.666666666666657</v>
      </c>
    </row>
    <row r="282" spans="1:21" x14ac:dyDescent="0.45">
      <c r="A282" s="4">
        <v>378</v>
      </c>
      <c r="B282" s="4">
        <v>0</v>
      </c>
      <c r="C282" s="4">
        <v>0</v>
      </c>
      <c r="D282">
        <f>IF('исходные данные'!D282&gt;'минимумы и максимумы'!B$10,100,('исходные данные'!D282-'минимумы и максимумы'!B$9)/('минимумы и максимумы'!B$10-'минимумы и максимумы'!B$9)*100)</f>
        <v>0</v>
      </c>
      <c r="E282">
        <f>IF('исходные данные'!E282&gt;'минимумы и максимумы'!C$10,100,('исходные данные'!E282-'минимумы и максимумы'!C$9)/('минимумы и максимумы'!C$10-'минимумы и максимумы'!C$9)*100)</f>
        <v>0</v>
      </c>
      <c r="F282">
        <f>IF('исходные данные'!F282&gt;'минимумы и максимумы'!D$10,100,('исходные данные'!F282-'минимумы и максимумы'!D$9)/('минимумы и максимумы'!D$10-'минимумы и максимумы'!D$9)*100)</f>
        <v>0</v>
      </c>
      <c r="G282">
        <f>IF('исходные данные'!G282&gt;'минимумы и максимумы'!E$10,100,('исходные данные'!G282-'минимумы и максимумы'!E$9)/('минимумы и максимумы'!E$10-'минимумы и максимумы'!E$9)*100)</f>
        <v>0</v>
      </c>
      <c r="H282">
        <f>IF('исходные данные'!H282&gt;'минимумы и максимумы'!F$10,100,('исходные данные'!H282-'минимумы и максимумы'!F$9)/('минимумы и максимумы'!F$10-'минимумы и максимумы'!F$9)*100)</f>
        <v>0</v>
      </c>
      <c r="I282">
        <f>IF('исходные данные'!I282&gt;'минимумы и максимумы'!G$10,100,('исходные данные'!I282-'минимумы и максимумы'!G$9)/('минимумы и максимумы'!G$10-'минимумы и максимумы'!G$9)*100)</f>
        <v>1.8867924528301887</v>
      </c>
      <c r="J282">
        <f>IF('исходные данные'!J282&gt;'минимумы и максимумы'!H$10,100,('исходные данные'!J282-'минимумы и максимумы'!H$9)/('минимумы и максимумы'!H$10-'минимумы и максимумы'!H$9)*100)</f>
        <v>6.666666666666667</v>
      </c>
      <c r="K282">
        <f>IF('исходные данные'!K282&gt;'минимумы и максимумы'!I$10,100,('исходные данные'!K282-'минимумы и максимумы'!I$9)/('минимумы и максимумы'!I$10-'минимумы и максимумы'!I$9)*100)</f>
        <v>0</v>
      </c>
      <c r="L282">
        <f>IF('исходные данные'!L282&gt;'минимумы и максимумы'!J$10,100,('исходные данные'!L282-'минимумы и максимумы'!J$9)/('минимумы и максимумы'!J$10-'минимумы и максимумы'!J$9)*100)</f>
        <v>0</v>
      </c>
      <c r="M282">
        <f>IF('исходные данные'!M282&gt;'минимумы и максимумы'!K$10,100,('исходные данные'!M282-'минимумы и максимумы'!K$9)/('минимумы и максимумы'!K$10-'минимумы и максимумы'!K$9)*100)</f>
        <v>7.1428571428571423</v>
      </c>
      <c r="N282">
        <f>IF('исходные данные'!N282&gt;'минимумы и максимумы'!L$10,100,('исходные данные'!N282-'минимумы и максимумы'!L$9)/('минимумы и максимумы'!L$10-'минимумы и максимумы'!L$9)*100)</f>
        <v>50.036924183869758</v>
      </c>
      <c r="O282">
        <f>IF('исходные данные'!O282&gt;'минимумы и максимумы'!M$10,100,('исходные данные'!O282-'минимумы и максимумы'!M$9)/('минимумы и максимумы'!M$10-'минимумы и максимумы'!M$9)*100)</f>
        <v>33.333333333333329</v>
      </c>
      <c r="P282">
        <f>IF('исходные данные'!P282&gt;'минимумы и максимумы'!N$10,100,('исходные данные'!P282-'минимумы и максимумы'!N$9)/('минимумы и максимумы'!N$10-'минимумы и максимумы'!N$9)*100)</f>
        <v>0</v>
      </c>
      <c r="Q282">
        <f>IF('исходные данные'!Q282&gt;'минимумы и максимумы'!O$10,100,('исходные данные'!Q282-'минимумы и максимумы'!O$9)/('минимумы и максимумы'!O$10-'минимумы и максимумы'!O$9)*100)</f>
        <v>0</v>
      </c>
      <c r="R282">
        <f>IF('исходные данные'!R282&gt;'минимумы и максимумы'!P$10,100,('исходные данные'!R282-'минимумы и максимумы'!P$9)/('минимумы и максимумы'!P$10-'минимумы и максимумы'!P$9)*100)</f>
        <v>75</v>
      </c>
      <c r="S282">
        <f>IF('исходные данные'!S282&gt;'минимумы и максимумы'!Q$10,100,('исходные данные'!S282-'минимумы и максимумы'!Q$9)/('минимумы и максимумы'!Q$10-'минимумы и максимумы'!Q$9)*100)</f>
        <v>50</v>
      </c>
      <c r="T282">
        <f>IF('исходные данные'!T282&gt;'минимумы и максимумы'!R$10,100,('исходные данные'!T282-'минимумы и максимумы'!R$9)/('минимумы и максимумы'!R$10-'минимумы и максимумы'!R$9)*100)</f>
        <v>5.8400460299194474</v>
      </c>
      <c r="U282">
        <f>IF('исходные данные'!U282&gt;'минимумы и максимумы'!S$10,100,('исходные данные'!U282-'минимумы и максимумы'!S$9)/('минимумы и максимумы'!S$10-'минимумы и максимумы'!S$9)*100)</f>
        <v>0</v>
      </c>
    </row>
    <row r="283" spans="1:21" x14ac:dyDescent="0.45">
      <c r="A283" s="4">
        <v>379</v>
      </c>
      <c r="B283" s="4">
        <v>0</v>
      </c>
      <c r="C283" s="4">
        <v>0</v>
      </c>
      <c r="D283">
        <f>IF('исходные данные'!D283&gt;'минимумы и максимумы'!B$10,100,('исходные данные'!D283-'минимумы и максимумы'!B$9)/('минимумы и максимумы'!B$10-'минимумы и максимумы'!B$9)*100)</f>
        <v>11.111111111111111</v>
      </c>
      <c r="E283">
        <f>IF('исходные данные'!E283&gt;'минимумы и максимумы'!C$10,100,('исходные данные'!E283-'минимумы и максимумы'!C$9)/('минимумы и максимумы'!C$10-'минимумы и максимумы'!C$9)*100)</f>
        <v>10</v>
      </c>
      <c r="F283">
        <f>IF('исходные данные'!F283&gt;'минимумы и максимумы'!D$10,100,('исходные данные'!F283-'минимумы и максимумы'!D$9)/('минимумы и максимумы'!D$10-'минимумы и максимумы'!D$9)*100)</f>
        <v>0</v>
      </c>
      <c r="G283">
        <f>IF('исходные данные'!G283&gt;'минимумы и максимумы'!E$10,100,('исходные данные'!G283-'минимумы и максимумы'!E$9)/('минимумы и максимумы'!E$10-'минимумы и максимумы'!E$9)*100)</f>
        <v>12.5</v>
      </c>
      <c r="H283">
        <f>IF('исходные данные'!H283&gt;'минимумы и максимумы'!F$10,100,('исходные данные'!H283-'минимумы и максимумы'!F$9)/('минимумы и максимумы'!F$10-'минимумы и максимумы'!F$9)*100)</f>
        <v>20.689655172413794</v>
      </c>
      <c r="I283">
        <f>IF('исходные данные'!I283&gt;'минимумы и максимумы'!G$10,100,('исходные данные'!I283-'минимумы и максимумы'!G$9)/('минимумы и максимумы'!G$10-'минимумы и максимумы'!G$9)*100)</f>
        <v>11.320754716981133</v>
      </c>
      <c r="J283">
        <f>IF('исходные данные'!J283&gt;'минимумы и максимумы'!H$10,100,('исходные данные'!J283-'минимумы и максимумы'!H$9)/('минимумы и максимумы'!H$10-'минимумы и максимумы'!H$9)*100)</f>
        <v>0</v>
      </c>
      <c r="K283">
        <f>IF('исходные данные'!K283&gt;'минимумы и максимумы'!I$10,100,('исходные данные'!K283-'минимумы и максимумы'!I$9)/('минимумы и максимумы'!I$10-'минимумы и максимумы'!I$9)*100)</f>
        <v>0</v>
      </c>
      <c r="L283">
        <f>IF('исходные данные'!L283&gt;'минимумы и максимумы'!J$10,100,('исходные данные'!L283-'минимумы и максимумы'!J$9)/('минимумы и максимумы'!J$10-'минимумы и максимумы'!J$9)*100)</f>
        <v>0</v>
      </c>
      <c r="M283">
        <f>IF('исходные данные'!M283&gt;'минимумы и максимумы'!K$10,100,('исходные данные'!M283-'минимумы и максимумы'!K$9)/('минимумы и максимумы'!K$10-'минимумы и максимумы'!K$9)*100)</f>
        <v>10.714285714285714</v>
      </c>
      <c r="N283">
        <f>IF('исходные данные'!N283&gt;'минимумы и максимумы'!L$10,100,('исходные данные'!N283-'минимумы и максимумы'!L$9)/('минимумы и максимумы'!L$10-'минимумы и максимумы'!L$9)*100)</f>
        <v>48.849986797412939</v>
      </c>
      <c r="O283">
        <f>IF('исходные данные'!O283&gt;'минимумы и максимумы'!M$10,100,('исходные данные'!O283-'минимумы и максимумы'!M$9)/('минимумы и максимумы'!M$10-'минимумы и максимумы'!M$9)*100)</f>
        <v>33.333333333333329</v>
      </c>
      <c r="P283">
        <f>IF('исходные данные'!P283&gt;'минимумы и максимумы'!N$10,100,('исходные данные'!P283-'минимумы и максимумы'!N$9)/('минимумы и максимумы'!N$10-'минимумы и максимумы'!N$9)*100)</f>
        <v>0</v>
      </c>
      <c r="Q283">
        <f>IF('исходные данные'!Q283&gt;'минимумы и максимумы'!O$10,100,('исходные данные'!Q283-'минимумы и максимумы'!O$9)/('минимумы и максимумы'!O$10-'минимумы и максимумы'!O$9)*100)</f>
        <v>0</v>
      </c>
      <c r="R283">
        <f>IF('исходные данные'!R283&gt;'минимумы и максимумы'!P$10,100,('исходные данные'!R283-'минимумы и максимумы'!P$9)/('минимумы и максимумы'!P$10-'минимумы и максимумы'!P$9)*100)</f>
        <v>75</v>
      </c>
      <c r="S283">
        <f>IF('исходные данные'!S283&gt;'минимумы и максимумы'!Q$10,100,('исходные данные'!S283-'минимумы и максимумы'!Q$9)/('минимумы и максимумы'!Q$10-'минимумы и максимумы'!Q$9)*100)</f>
        <v>16.666666666666664</v>
      </c>
      <c r="T283">
        <f>IF('исходные данные'!T283&gt;'минимумы и максимумы'!R$10,100,('исходные данные'!T283-'минимумы и максимумы'!R$9)/('минимумы и максимумы'!R$10-'минимумы и максимумы'!R$9)*100)</f>
        <v>2.905638665132336</v>
      </c>
      <c r="U283">
        <f>IF('исходные данные'!U283&gt;'минимумы и максимумы'!S$10,100,('исходные данные'!U283-'минимумы и максимумы'!S$9)/('минимумы и максимумы'!S$10-'минимумы и максимумы'!S$9)*100)</f>
        <v>0</v>
      </c>
    </row>
    <row r="284" spans="1:21" x14ac:dyDescent="0.45">
      <c r="A284" s="4">
        <v>380</v>
      </c>
      <c r="B284" s="4">
        <v>0</v>
      </c>
      <c r="C284" s="4">
        <v>0</v>
      </c>
      <c r="D284">
        <f>IF('исходные данные'!D284&gt;'минимумы и максимумы'!B$10,100,('исходные данные'!D284-'минимумы и максимумы'!B$9)/('минимумы и максимумы'!B$10-'минимумы и максимумы'!B$9)*100)</f>
        <v>0</v>
      </c>
      <c r="E284">
        <f>IF('исходные данные'!E284&gt;'минимумы и максимумы'!C$10,100,('исходные данные'!E284-'минимумы и максимумы'!C$9)/('минимумы и максимумы'!C$10-'минимумы и максимумы'!C$9)*100)</f>
        <v>0</v>
      </c>
      <c r="F284">
        <f>IF('исходные данные'!F284&gt;'минимумы и максимумы'!D$10,100,('исходные данные'!F284-'минимумы и максимумы'!D$9)/('минимумы и максимумы'!D$10-'минимумы и максимумы'!D$9)*100)</f>
        <v>0</v>
      </c>
      <c r="G284">
        <f>IF('исходные данные'!G284&gt;'минимумы и максимумы'!E$10,100,('исходные данные'!G284-'минимумы и максимумы'!E$9)/('минимумы и максимумы'!E$10-'минимумы и максимумы'!E$9)*100)</f>
        <v>0</v>
      </c>
      <c r="H284">
        <f>IF('исходные данные'!H284&gt;'минимумы и максимумы'!F$10,100,('исходные данные'!H284-'минимумы и максимумы'!F$9)/('минимумы и максимумы'!F$10-'минимумы и максимумы'!F$9)*100)</f>
        <v>0</v>
      </c>
      <c r="I284">
        <f>IF('исходные данные'!I284&gt;'минимумы и максимумы'!G$10,100,('исходные данные'!I284-'минимумы и максимумы'!G$9)/('минимумы и максимумы'!G$10-'минимумы и максимумы'!G$9)*100)</f>
        <v>1.8867924528301887</v>
      </c>
      <c r="J284">
        <f>IF('исходные данные'!J284&gt;'минимумы и максимумы'!H$10,100,('исходные данные'!J284-'минимумы и максимумы'!H$9)/('минимумы и максимумы'!H$10-'минимумы и максимумы'!H$9)*100)</f>
        <v>0</v>
      </c>
      <c r="K284">
        <f>IF('исходные данные'!K284&gt;'минимумы и максимумы'!I$10,100,('исходные данные'!K284-'минимумы и максимумы'!I$9)/('минимумы и максимумы'!I$10-'минимумы и максимумы'!I$9)*100)</f>
        <v>0</v>
      </c>
      <c r="L284">
        <f>IF('исходные данные'!L284&gt;'минимумы и максимумы'!J$10,100,('исходные данные'!L284-'минимумы и максимумы'!J$9)/('минимумы и максимумы'!J$10-'минимумы и максимумы'!J$9)*100)</f>
        <v>0</v>
      </c>
      <c r="M284">
        <f>IF('исходные данные'!M284&gt;'минимумы и максимумы'!K$10,100,('исходные данные'!M284-'минимумы и максимумы'!K$9)/('минимумы и максимумы'!K$10-'минимумы и максимумы'!K$9)*100)</f>
        <v>3.5714285714285712</v>
      </c>
      <c r="N284">
        <f>IF('исходные данные'!N284&gt;'минимумы и максимумы'!L$10,100,('исходные данные'!N284-'минимумы и максимумы'!L$9)/('минимумы и максимумы'!L$10-'минимумы и максимумы'!L$9)*100)</f>
        <v>49.878369857803264</v>
      </c>
      <c r="O284">
        <f>IF('исходные данные'!O284&gt;'минимумы и максимумы'!M$10,100,('исходные данные'!O284-'минимумы и максимумы'!M$9)/('минимумы и максимумы'!M$10-'минимумы и максимумы'!M$9)*100)</f>
        <v>0</v>
      </c>
      <c r="P284">
        <f>IF('исходные данные'!P284&gt;'минимумы и максимумы'!N$10,100,('исходные данные'!P284-'минимумы и максимумы'!N$9)/('минимумы и максимумы'!N$10-'минимумы и максимумы'!N$9)*100)</f>
        <v>100</v>
      </c>
      <c r="Q284">
        <f>IF('исходные данные'!Q284&gt;'минимумы и максимумы'!O$10,100,('исходные данные'!Q284-'минимумы и максимумы'!O$9)/('минимумы и максимумы'!O$10-'минимумы и максимумы'!O$9)*100)</f>
        <v>0</v>
      </c>
      <c r="R284">
        <f>IF('исходные данные'!R284&gt;'минимумы и максимумы'!P$10,100,('исходные данные'!R284-'минимумы и максимумы'!P$9)/('минимумы и максимумы'!P$10-'минимумы и максимумы'!P$9)*100)</f>
        <v>100</v>
      </c>
      <c r="S284">
        <f>IF('исходные данные'!S284&gt;'минимумы и максимумы'!Q$10,100,('исходные данные'!S284-'минимумы и максимумы'!Q$9)/('минимумы и максимумы'!Q$10-'минимумы и максимумы'!Q$9)*100)</f>
        <v>100</v>
      </c>
      <c r="T284">
        <f>IF('исходные данные'!T284&gt;'минимумы и максимумы'!R$10,100,('исходные данные'!T284-'минимумы и максимумы'!R$9)/('минимумы и максимумы'!R$10-'минимумы и максимумы'!R$9)*100)</f>
        <v>100</v>
      </c>
      <c r="U284">
        <f>IF('исходные данные'!U284&gt;'минимумы и максимумы'!S$10,100,('исходные данные'!U284-'минимумы и максимумы'!S$9)/('минимумы и максимумы'!S$10-'минимумы и максимумы'!S$9)*100)</f>
        <v>100</v>
      </c>
    </row>
    <row r="285" spans="1:21" x14ac:dyDescent="0.45">
      <c r="A285" s="4">
        <v>381</v>
      </c>
      <c r="B285" s="4">
        <v>0</v>
      </c>
      <c r="C285" s="4">
        <v>1</v>
      </c>
      <c r="D285">
        <f>IF('исходные данные'!D285&gt;'минимумы и максимумы'!B$10,100,('исходные данные'!D285-'минимумы и максимумы'!B$9)/('минимумы и максимумы'!B$10-'минимумы и максимумы'!B$9)*100)</f>
        <v>11.111111111111111</v>
      </c>
      <c r="E285">
        <f>IF('исходные данные'!E285&gt;'минимумы и максимумы'!C$10,100,('исходные данные'!E285-'минимумы и максимумы'!C$9)/('минимумы и максимумы'!C$10-'минимумы и максимумы'!C$9)*100)</f>
        <v>10</v>
      </c>
      <c r="F285">
        <f>IF('исходные данные'!F285&gt;'минимумы и максимумы'!D$10,100,('исходные данные'!F285-'минимумы и максимумы'!D$9)/('минимумы и максимумы'!D$10-'минимумы и максимумы'!D$9)*100)</f>
        <v>0</v>
      </c>
      <c r="G285">
        <f>IF('исходные данные'!G285&gt;'минимумы и максимумы'!E$10,100,('исходные данные'!G285-'минимумы и максимумы'!E$9)/('минимумы и максимумы'!E$10-'минимумы и максимумы'!E$9)*100)</f>
        <v>0</v>
      </c>
      <c r="H285">
        <f>IF('исходные данные'!H285&gt;'минимумы и максимумы'!F$10,100,('исходные данные'!H285-'минимумы и максимумы'!F$9)/('минимумы и максимумы'!F$10-'минимумы и максимумы'!F$9)*100)</f>
        <v>0</v>
      </c>
      <c r="I285">
        <f>IF('исходные данные'!I285&gt;'минимумы и максимумы'!G$10,100,('исходные данные'!I285-'минимумы и максимумы'!G$9)/('минимумы и максимумы'!G$10-'минимумы и максимумы'!G$9)*100)</f>
        <v>1.8867924528301887</v>
      </c>
      <c r="J285">
        <f>IF('исходные данные'!J285&gt;'минимумы и максимумы'!H$10,100,('исходные данные'!J285-'минимумы и максимумы'!H$9)/('минимумы и максимумы'!H$10-'минимумы и максимумы'!H$9)*100)</f>
        <v>0</v>
      </c>
      <c r="K285">
        <f>IF('исходные данные'!K285&gt;'минимумы и максимумы'!I$10,100,('исходные данные'!K285-'минимумы и максимумы'!I$9)/('минимумы и максимумы'!I$10-'минимумы и максимумы'!I$9)*100)</f>
        <v>0</v>
      </c>
      <c r="L285">
        <f>IF('исходные данные'!L285&gt;'минимумы и максимумы'!J$10,100,('исходные данные'!L285-'минимумы и максимумы'!J$9)/('минимумы и максимумы'!J$10-'минимумы и максимумы'!J$9)*100)</f>
        <v>0</v>
      </c>
      <c r="M285">
        <f>IF('исходные данные'!M285&gt;'минимумы и максимумы'!K$10,100,('исходные данные'!M285-'минимумы и максимумы'!K$9)/('минимумы и максимумы'!K$10-'минимумы и максимумы'!K$9)*100)</f>
        <v>7.1428571428571423</v>
      </c>
      <c r="N285">
        <f>IF('исходные данные'!N285&gt;'минимумы и максимумы'!L$10,100,('исходные данные'!N285-'минимумы и максимумы'!L$9)/('минимумы и максимумы'!L$10-'минимумы и максимумы'!L$9)*100)</f>
        <v>51.479710679459799</v>
      </c>
      <c r="O285">
        <f>IF('исходные данные'!O285&gt;'минимумы и максимумы'!M$10,100,('исходные данные'!O285-'минимумы и максимумы'!M$9)/('минимумы и максимумы'!M$10-'минимумы и максимумы'!M$9)*100)</f>
        <v>66.666666666666657</v>
      </c>
      <c r="P285">
        <f>IF('исходные данные'!P285&gt;'минимумы и максимумы'!N$10,100,('исходные данные'!P285-'минимумы и максимумы'!N$9)/('минимумы и максимумы'!N$10-'минимумы и максимумы'!N$9)*100)</f>
        <v>0</v>
      </c>
      <c r="Q285">
        <f>IF('исходные данные'!Q285&gt;'минимумы и максимумы'!O$10,100,('исходные данные'!Q285-'минимумы и максимумы'!O$9)/('минимумы и максимумы'!O$10-'минимумы и максимумы'!O$9)*100)</f>
        <v>0</v>
      </c>
      <c r="R285">
        <f>IF('исходные данные'!R285&gt;'минимумы и максимумы'!P$10,100,('исходные данные'!R285-'минимумы и максимумы'!P$9)/('минимумы и максимумы'!P$10-'минимумы и максимумы'!P$9)*100)</f>
        <v>75</v>
      </c>
      <c r="S285">
        <f>IF('исходные данные'!S285&gt;'минимумы и максимумы'!Q$10,100,('исходные данные'!S285-'минимумы и максимумы'!Q$9)/('минимумы и максимумы'!Q$10-'минимумы и максимумы'!Q$9)*100)</f>
        <v>33.333333333333329</v>
      </c>
      <c r="T285">
        <f>IF('исходные данные'!T285&gt;'минимумы и максимумы'!R$10,100,('исходные данные'!T285-'минимумы и максимумы'!R$9)/('минимумы и максимумы'!R$10-'минимумы и максимумы'!R$9)*100)</f>
        <v>16.829689298043728</v>
      </c>
      <c r="U285">
        <f>IF('исходные данные'!U285&gt;'минимумы и максимумы'!S$10,100,('исходные данные'!U285-'минимумы и максимумы'!S$9)/('минимумы и максимумы'!S$10-'минимумы и максимумы'!S$9)*100)</f>
        <v>0</v>
      </c>
    </row>
    <row r="286" spans="1:21" x14ac:dyDescent="0.45">
      <c r="A286" s="4">
        <v>386</v>
      </c>
      <c r="B286" s="4">
        <v>0</v>
      </c>
      <c r="C286" s="4">
        <v>1</v>
      </c>
      <c r="D286">
        <f>IF('исходные данные'!D286&gt;'минимумы и максимумы'!B$10,100,('исходные данные'!D286-'минимумы и максимумы'!B$9)/('минимумы и максимумы'!B$10-'минимумы и максимумы'!B$9)*100)</f>
        <v>0</v>
      </c>
      <c r="E286">
        <f>IF('исходные данные'!E286&gt;'минимумы и максимумы'!C$10,100,('исходные данные'!E286-'минимумы и максимумы'!C$9)/('минимумы и максимумы'!C$10-'минимумы и максимумы'!C$9)*100)</f>
        <v>0</v>
      </c>
      <c r="F286">
        <f>IF('исходные данные'!F286&gt;'минимумы и максимумы'!D$10,100,('исходные данные'!F286-'минимумы и максимумы'!D$9)/('минимумы и максимумы'!D$10-'минимумы и максимумы'!D$9)*100)</f>
        <v>0</v>
      </c>
      <c r="G286">
        <f>IF('исходные данные'!G286&gt;'минимумы и максимумы'!E$10,100,('исходные данные'!G286-'минимумы и максимумы'!E$9)/('минимумы и максимумы'!E$10-'минимумы и максимумы'!E$9)*100)</f>
        <v>0</v>
      </c>
      <c r="H286">
        <f>IF('исходные данные'!H286&gt;'минимумы и максимумы'!F$10,100,('исходные данные'!H286-'минимумы и максимумы'!F$9)/('минимумы и максимумы'!F$10-'минимумы и максимумы'!F$9)*100)</f>
        <v>0</v>
      </c>
      <c r="I286">
        <f>IF('исходные данные'!I286&gt;'минимумы и максимумы'!G$10,100,('исходные данные'!I286-'минимумы и максимумы'!G$9)/('минимумы и максимумы'!G$10-'минимумы и максимумы'!G$9)*100)</f>
        <v>0</v>
      </c>
      <c r="J286">
        <f>IF('исходные данные'!J286&gt;'минимумы и максимумы'!H$10,100,('исходные данные'!J286-'минимумы и максимумы'!H$9)/('минимумы и максимумы'!H$10-'минимумы и максимумы'!H$9)*100)</f>
        <v>0</v>
      </c>
      <c r="K286">
        <f>IF('исходные данные'!K286&gt;'минимумы и максимумы'!I$10,100,('исходные данные'!K286-'минимумы и максимумы'!I$9)/('минимумы и максимумы'!I$10-'минимумы и максимумы'!I$9)*100)</f>
        <v>0</v>
      </c>
      <c r="L286">
        <f>IF('исходные данные'!L286&gt;'минимумы и максимумы'!J$10,100,('исходные данные'!L286-'минимумы и максимумы'!J$9)/('минимумы и максимумы'!J$10-'минимумы и максимумы'!J$9)*100)</f>
        <v>0</v>
      </c>
      <c r="M286">
        <f>IF('исходные данные'!M286&gt;'минимумы и максимумы'!K$10,100,('исходные данные'!M286-'минимумы и максимумы'!K$9)/('минимумы и максимумы'!K$10-'минимумы и максимумы'!K$9)*100)</f>
        <v>0</v>
      </c>
      <c r="N286">
        <f>IF('исходные данные'!N286&gt;'минимумы и максимумы'!L$10,100,('исходные данные'!N286-'минимумы и максимумы'!L$9)/('минимумы и максимумы'!L$10-'минимумы и максимумы'!L$9)*100)</f>
        <v>91.052364934808978</v>
      </c>
      <c r="O286">
        <f>IF('исходные данные'!O286&gt;'минимумы и максимумы'!M$10,100,('исходные данные'!O286-'минимумы и максимумы'!M$9)/('минимумы и максимумы'!M$10-'минимумы и максимумы'!M$9)*100)</f>
        <v>66.666666666666657</v>
      </c>
      <c r="P286">
        <f>IF('исходные данные'!P286&gt;'минимумы и максимумы'!N$10,100,('исходные данные'!P286-'минимумы и максимумы'!N$9)/('минимумы и максимумы'!N$10-'минимумы и максимумы'!N$9)*100)</f>
        <v>0</v>
      </c>
      <c r="Q286">
        <f>IF('исходные данные'!Q286&gt;'минимумы и максимумы'!O$10,100,('исходные данные'!Q286-'минимумы и максимумы'!O$9)/('минимумы и максимумы'!O$10-'минимумы и максимумы'!O$9)*100)</f>
        <v>0</v>
      </c>
      <c r="R286">
        <f>IF('исходные данные'!R286&gt;'минимумы и максимумы'!P$10,100,('исходные данные'!R286-'минимумы и максимумы'!P$9)/('минимумы и максимумы'!P$10-'минимумы и максимумы'!P$9)*100)</f>
        <v>25</v>
      </c>
      <c r="S286">
        <f>IF('исходные данные'!S286&gt;'минимумы и максимумы'!Q$10,100,('исходные данные'!S286-'минимумы и максимумы'!Q$9)/('минимумы и максимумы'!Q$10-'минимумы и максимумы'!Q$9)*100)</f>
        <v>16.666666666666664</v>
      </c>
      <c r="T286">
        <f>IF('исходные данные'!T286&gt;'минимумы и максимумы'!R$10,100,('исходные данные'!T286-'минимумы и максимумы'!R$9)/('минимумы и максимумы'!R$10-'минимумы и максимумы'!R$9)*100)</f>
        <v>11.104718066743382</v>
      </c>
      <c r="U286">
        <f>IF('исходные данные'!U286&gt;'минимумы и максимумы'!S$10,100,('исходные данные'!U286-'минимумы и максимумы'!S$9)/('минимумы и максимумы'!S$10-'минимумы и максимумы'!S$9)*100)</f>
        <v>0</v>
      </c>
    </row>
    <row r="287" spans="1:21" x14ac:dyDescent="0.45">
      <c r="A287" s="4">
        <v>387</v>
      </c>
      <c r="B287" s="4">
        <v>0</v>
      </c>
      <c r="C287" s="4">
        <v>0</v>
      </c>
      <c r="D287">
        <f>IF('исходные данные'!D287&gt;'минимумы и максимумы'!B$10,100,('исходные данные'!D287-'минимумы и максимумы'!B$9)/('минимумы и максимумы'!B$10-'минимумы и максимумы'!B$9)*100)</f>
        <v>0</v>
      </c>
      <c r="E287">
        <f>IF('исходные данные'!E287&gt;'минимумы и максимумы'!C$10,100,('исходные данные'!E287-'минимумы и максимумы'!C$9)/('минимумы и максимумы'!C$10-'минимумы и максимумы'!C$9)*100)</f>
        <v>0</v>
      </c>
      <c r="F287">
        <f>IF('исходные данные'!F287&gt;'минимумы и максимумы'!D$10,100,('исходные данные'!F287-'минимумы и максимумы'!D$9)/('минимумы и максимумы'!D$10-'минимумы и максимумы'!D$9)*100)</f>
        <v>0</v>
      </c>
      <c r="G287">
        <f>IF('исходные данные'!G287&gt;'минимумы и максимумы'!E$10,100,('исходные данные'!G287-'минимумы и максимумы'!E$9)/('минимумы и максимумы'!E$10-'минимумы и максимумы'!E$9)*100)</f>
        <v>0</v>
      </c>
      <c r="H287">
        <f>IF('исходные данные'!H287&gt;'минимумы и максимумы'!F$10,100,('исходные данные'!H287-'минимумы и максимумы'!F$9)/('минимумы и максимумы'!F$10-'минимумы и максимумы'!F$9)*100)</f>
        <v>0</v>
      </c>
      <c r="I287">
        <f>IF('исходные данные'!I287&gt;'минимумы и максимумы'!G$10,100,('исходные данные'!I287-'минимумы и максимумы'!G$9)/('минимумы и максимумы'!G$10-'минимумы и максимумы'!G$9)*100)</f>
        <v>0</v>
      </c>
      <c r="J287">
        <f>IF('исходные данные'!J287&gt;'минимумы и максимумы'!H$10,100,('исходные данные'!J287-'минимумы и максимумы'!H$9)/('минимумы и максимумы'!H$10-'минимумы и максимумы'!H$9)*100)</f>
        <v>0</v>
      </c>
      <c r="K287">
        <f>IF('исходные данные'!K287&gt;'минимумы и максимумы'!I$10,100,('исходные данные'!K287-'минимумы и максимумы'!I$9)/('минимумы и максимумы'!I$10-'минимумы и максимумы'!I$9)*100)</f>
        <v>0</v>
      </c>
      <c r="L287">
        <f>IF('исходные данные'!L287&gt;'минимумы и максимумы'!J$10,100,('исходные данные'!L287-'минимумы и максимумы'!J$9)/('минимумы и максимумы'!J$10-'минимумы и максимумы'!J$9)*100)</f>
        <v>0</v>
      </c>
      <c r="M287">
        <f>IF('исходные данные'!M287&gt;'минимумы и максимумы'!K$10,100,('исходные данные'!M287-'минимумы и максимумы'!K$9)/('минимумы и максимумы'!K$10-'минимумы и максимумы'!K$9)*100)</f>
        <v>0</v>
      </c>
      <c r="N287">
        <f>IF('исходные данные'!N287&gt;'минимумы и максимумы'!L$10,100,('исходные данные'!N287-'минимумы и максимумы'!L$9)/('минимумы и максимумы'!L$10-'минимумы и максимумы'!L$9)*100)</f>
        <v>91.237031617585984</v>
      </c>
      <c r="O287">
        <f>IF('исходные данные'!O287&gt;'минимумы и максимумы'!M$10,100,('исходные данные'!O287-'минимумы и максимумы'!M$9)/('минимумы и максимумы'!M$10-'минимумы и максимумы'!M$9)*100)</f>
        <v>33.333333333333329</v>
      </c>
      <c r="P287">
        <f>IF('исходные данные'!P287&gt;'минимумы и максимумы'!N$10,100,('исходные данные'!P287-'минимумы и максимумы'!N$9)/('минимумы и максимумы'!N$10-'минимумы и максимумы'!N$9)*100)</f>
        <v>0</v>
      </c>
      <c r="Q287">
        <f>IF('исходные данные'!Q287&gt;'минимумы и максимумы'!O$10,100,('исходные данные'!Q287-'минимумы и максимумы'!O$9)/('минимумы и максимумы'!O$10-'минимумы и максимумы'!O$9)*100)</f>
        <v>0</v>
      </c>
      <c r="R287">
        <f>IF('исходные данные'!R287&gt;'минимумы и максимумы'!P$10,100,('исходные данные'!R287-'минимумы и максимумы'!P$9)/('минимумы и максимумы'!P$10-'минимумы и максимумы'!P$9)*100)</f>
        <v>25</v>
      </c>
      <c r="S287">
        <f>IF('исходные данные'!S287&gt;'минимумы и максимумы'!Q$10,100,('исходные данные'!S287-'минимумы и максимумы'!Q$9)/('минимумы и максимумы'!Q$10-'минимумы и максимумы'!Q$9)*100)</f>
        <v>16.666666666666664</v>
      </c>
      <c r="T287">
        <f>IF('исходные данные'!T287&gt;'минимумы и максимумы'!R$10,100,('исходные данные'!T287-'минимумы и максимумы'!R$9)/('минимумы и максимумы'!R$10-'минимумы и максимумы'!R$9)*100)</f>
        <v>18.268124280782509</v>
      </c>
      <c r="U287">
        <f>IF('исходные данные'!U287&gt;'минимумы и максимумы'!S$10,100,('исходные данные'!U287-'минимумы и максимумы'!S$9)/('минимумы и максимумы'!S$10-'минимумы и максимумы'!S$9)*100)</f>
        <v>0</v>
      </c>
    </row>
    <row r="288" spans="1:21" x14ac:dyDescent="0.45">
      <c r="A288" s="4">
        <v>389</v>
      </c>
      <c r="B288" s="4">
        <v>0</v>
      </c>
      <c r="C288" s="4">
        <v>1</v>
      </c>
      <c r="D288">
        <f>IF('исходные данные'!D288&gt;'минимумы и максимумы'!B$10,100,('исходные данные'!D288-'минимумы и максимумы'!B$9)/('минимумы и максимумы'!B$10-'минимумы и максимумы'!B$9)*100)</f>
        <v>0</v>
      </c>
      <c r="E288">
        <f>IF('исходные данные'!E288&gt;'минимумы и максимумы'!C$10,100,('исходные данные'!E288-'минимумы и максимумы'!C$9)/('минимумы и максимумы'!C$10-'минимумы и максимумы'!C$9)*100)</f>
        <v>0</v>
      </c>
      <c r="F288">
        <f>IF('исходные данные'!F288&gt;'минимумы и максимумы'!D$10,100,('исходные данные'!F288-'минимумы и максимумы'!D$9)/('минимумы и максимумы'!D$10-'минимумы и максимумы'!D$9)*100)</f>
        <v>0</v>
      </c>
      <c r="G288">
        <f>IF('исходные данные'!G288&gt;'минимумы и максимумы'!E$10,100,('исходные данные'!G288-'минимумы и максимумы'!E$9)/('минимумы и максимумы'!E$10-'минимумы и максимумы'!E$9)*100)</f>
        <v>16.666666666666664</v>
      </c>
      <c r="H288">
        <f>IF('исходные данные'!H288&gt;'минимумы и максимумы'!F$10,100,('исходные данные'!H288-'минимумы и максимумы'!F$9)/('минимумы и максимумы'!F$10-'минимумы и максимумы'!F$9)*100)</f>
        <v>24.137931034482758</v>
      </c>
      <c r="I288">
        <f>IF('исходные данные'!I288&gt;'минимумы и максимумы'!G$10,100,('исходные данные'!I288-'минимумы и максимумы'!G$9)/('минимумы и максимумы'!G$10-'минимумы и максимумы'!G$9)*100)</f>
        <v>9.433962264150944</v>
      </c>
      <c r="J288">
        <f>IF('исходные данные'!J288&gt;'минимумы и максимумы'!H$10,100,('исходные данные'!J288-'минимумы и максимумы'!H$9)/('минимумы и максимумы'!H$10-'минимумы и максимумы'!H$9)*100)</f>
        <v>0</v>
      </c>
      <c r="K288">
        <f>IF('исходные данные'!K288&gt;'минимумы и максимумы'!I$10,100,('исходные данные'!K288-'минимумы и максимумы'!I$9)/('минимумы и максимумы'!I$10-'минимумы и максимумы'!I$9)*100)</f>
        <v>0</v>
      </c>
      <c r="L288">
        <f>IF('исходные данные'!L288&gt;'минимумы и максимумы'!J$10,100,('исходные данные'!L288-'минимумы и максимумы'!J$9)/('минимумы и максимумы'!J$10-'минимумы и максимумы'!J$9)*100)</f>
        <v>0</v>
      </c>
      <c r="M288">
        <f>IF('исходные данные'!M288&gt;'минимумы и максимумы'!K$10,100,('исходные данные'!M288-'минимумы и максимумы'!K$9)/('минимумы и максимумы'!K$10-'минимумы и максимумы'!K$9)*100)</f>
        <v>7.1428571428571423</v>
      </c>
      <c r="N288">
        <f>IF('исходные данные'!N288&gt;'минимумы и максимумы'!L$10,100,('исходные данные'!N288-'минимумы и максимумы'!L$9)/('минимумы и максимумы'!L$10-'минимумы и максимумы'!L$9)*100)</f>
        <v>83.509126613085371</v>
      </c>
      <c r="O288">
        <f>IF('исходные данные'!O288&gt;'минимумы и максимумы'!M$10,100,('исходные данные'!O288-'минимумы и максимумы'!M$9)/('минимумы и максимумы'!M$10-'минимумы и максимумы'!M$9)*100)</f>
        <v>0</v>
      </c>
      <c r="P288">
        <f>IF('исходные данные'!P288&gt;'минимумы и максимумы'!N$10,100,('исходные данные'!P288-'минимумы и максимумы'!N$9)/('минимумы и максимумы'!N$10-'минимумы и максимумы'!N$9)*100)</f>
        <v>0</v>
      </c>
      <c r="Q288">
        <f>IF('исходные данные'!Q288&gt;'минимумы и максимумы'!O$10,100,('исходные данные'!Q288-'минимумы и максимумы'!O$9)/('минимумы и максимумы'!O$10-'минимумы и максимумы'!O$9)*100)</f>
        <v>100</v>
      </c>
      <c r="R288">
        <f>IF('исходные данные'!R288&gt;'минимумы и максимумы'!P$10,100,('исходные данные'!R288-'минимумы и максимумы'!P$9)/('минимумы и максимумы'!P$10-'минимумы и максимумы'!P$9)*100)</f>
        <v>100</v>
      </c>
      <c r="S288">
        <f>IF('исходные данные'!S288&gt;'минимумы и максимумы'!Q$10,100,('исходные данные'!S288-'минимумы и максимумы'!Q$9)/('минимумы и максимумы'!Q$10-'минимумы и максимумы'!Q$9)*100)</f>
        <v>16.666666666666664</v>
      </c>
      <c r="T288">
        <f>IF('исходные данные'!T288&gt;'минимумы и максимумы'!R$10,100,('исходные данные'!T288-'минимумы и максимумы'!R$9)/('минимумы и максимумы'!R$10-'минимумы и максимумы'!R$9)*100)</f>
        <v>1.2082853855005753</v>
      </c>
      <c r="U288">
        <f>IF('исходные данные'!U288&gt;'минимумы и максимумы'!S$10,100,('исходные данные'!U288-'минимумы и максимумы'!S$9)/('минимумы и максимумы'!S$10-'минимумы и максимумы'!S$9)*100)</f>
        <v>0</v>
      </c>
    </row>
    <row r="289" spans="1:21" x14ac:dyDescent="0.45">
      <c r="A289" s="4">
        <v>390</v>
      </c>
      <c r="B289" s="4">
        <v>0</v>
      </c>
      <c r="C289" s="4">
        <v>0</v>
      </c>
      <c r="D289">
        <f>IF('исходные данные'!D289&gt;'минимумы и максимумы'!B$10,100,('исходные данные'!D289-'минимумы и максимумы'!B$9)/('минимумы и максимумы'!B$10-'минимумы и максимумы'!B$9)*100)</f>
        <v>0</v>
      </c>
      <c r="E289">
        <f>IF('исходные данные'!E289&gt;'минимумы и максимумы'!C$10,100,('исходные данные'!E289-'минимумы и максимумы'!C$9)/('минимумы и максимумы'!C$10-'минимумы и максимумы'!C$9)*100)</f>
        <v>10</v>
      </c>
      <c r="F289">
        <f>IF('исходные данные'!F289&gt;'минимумы и максимумы'!D$10,100,('исходные данные'!F289-'минимумы и максимумы'!D$9)/('минимумы и максимумы'!D$10-'минимумы и максимумы'!D$9)*100)</f>
        <v>0</v>
      </c>
      <c r="G289">
        <f>IF('исходные данные'!G289&gt;'минимумы и максимумы'!E$10,100,('исходные данные'!G289-'минимумы и максимумы'!E$9)/('минимумы и максимумы'!E$10-'минимумы и максимумы'!E$9)*100)</f>
        <v>4.1666666666666661</v>
      </c>
      <c r="H289">
        <f>IF('исходные данные'!H289&gt;'минимумы и максимумы'!F$10,100,('исходные данные'!H289-'минимумы и максимумы'!F$9)/('минимумы и максимумы'!F$10-'минимумы и максимумы'!F$9)*100)</f>
        <v>6.8965517241379306</v>
      </c>
      <c r="I289">
        <f>IF('исходные данные'!I289&gt;'минимумы и максимумы'!G$10,100,('исходные данные'!I289-'минимумы и максимумы'!G$9)/('минимумы и максимумы'!G$10-'минимумы и максимумы'!G$9)*100)</f>
        <v>1.8867924528301887</v>
      </c>
      <c r="J289">
        <f>IF('исходные данные'!J289&gt;'минимумы и максимумы'!H$10,100,('исходные данные'!J289-'минимумы и максимумы'!H$9)/('минимумы и максимумы'!H$10-'минимумы и максимумы'!H$9)*100)</f>
        <v>0</v>
      </c>
      <c r="K289">
        <f>IF('исходные данные'!K289&gt;'минимумы и максимумы'!I$10,100,('исходные данные'!K289-'минимумы и максимумы'!I$9)/('минимумы и максимумы'!I$10-'минимумы и максимумы'!I$9)*100)</f>
        <v>0</v>
      </c>
      <c r="L289">
        <f>IF('исходные данные'!L289&gt;'минимумы и максимумы'!J$10,100,('исходные данные'!L289-'минимумы и максимумы'!J$9)/('минимумы и максимумы'!J$10-'минимумы и максимумы'!J$9)*100)</f>
        <v>0</v>
      </c>
      <c r="M289">
        <f>IF('исходные данные'!M289&gt;'минимумы и максимумы'!K$10,100,('исходные данные'!M289-'минимумы и максимумы'!K$9)/('минимумы и максимумы'!K$10-'минимумы и максимумы'!K$9)*100)</f>
        <v>10.714285714285714</v>
      </c>
      <c r="N289">
        <f>IF('исходные данные'!N289&gt;'минимумы и максимумы'!L$10,100,('исходные данные'!N289-'минимумы и максимумы'!L$9)/('минимумы и максимумы'!L$10-'минимумы и максимумы'!L$9)*100)</f>
        <v>81.597941296335904</v>
      </c>
      <c r="O289">
        <f>IF('исходные данные'!O289&gt;'минимумы и максимумы'!M$10,100,('исходные данные'!O289-'минимумы и максимумы'!M$9)/('минимумы и максимумы'!M$10-'минимумы и максимумы'!M$9)*100)</f>
        <v>0</v>
      </c>
      <c r="P289">
        <f>IF('исходные данные'!P289&gt;'минимумы и максимумы'!N$10,100,('исходные данные'!P289-'минимумы и максимумы'!N$9)/('минимумы и максимумы'!N$10-'минимумы и максимумы'!N$9)*100)</f>
        <v>100</v>
      </c>
      <c r="Q289">
        <f>IF('исходные данные'!Q289&gt;'минимумы и максимумы'!O$10,100,('исходные данные'!Q289-'минимумы и максимумы'!O$9)/('минимумы и максимумы'!O$10-'минимумы и максимумы'!O$9)*100)</f>
        <v>100</v>
      </c>
      <c r="R289">
        <f>IF('исходные данные'!R289&gt;'минимумы и максимумы'!P$10,100,('исходные данные'!R289-'минимумы и максимумы'!P$9)/('минимумы и максимумы'!P$10-'минимумы и максимумы'!P$9)*100)</f>
        <v>50</v>
      </c>
      <c r="S289">
        <f>IF('исходные данные'!S289&gt;'минимумы и максимумы'!Q$10,100,('исходные данные'!S289-'минимумы и максимумы'!Q$9)/('минимумы и максимумы'!Q$10-'минимумы и максимумы'!Q$9)*100)</f>
        <v>33.333333333333329</v>
      </c>
      <c r="T289">
        <f>IF('исходные данные'!T289&gt;'минимумы и максимумы'!R$10,100,('исходные данные'!T289-'минимумы и максимумы'!R$9)/('минимумы и максимумы'!R$10-'минимумы и максимумы'!R$9)*100)</f>
        <v>9.6375143843498261</v>
      </c>
      <c r="U289">
        <f>IF('исходные данные'!U289&gt;'минимумы и максимумы'!S$10,100,('исходные данные'!U289-'минимумы и максимумы'!S$9)/('минимумы и максимумы'!S$10-'минимумы и максимумы'!S$9)*100)</f>
        <v>0</v>
      </c>
    </row>
    <row r="290" spans="1:21" x14ac:dyDescent="0.45">
      <c r="A290" s="4">
        <v>391</v>
      </c>
      <c r="B290" s="4">
        <v>0</v>
      </c>
      <c r="C290" s="4">
        <v>0</v>
      </c>
      <c r="D290">
        <f>IF('исходные данные'!D290&gt;'минимумы и максимумы'!B$10,100,('исходные данные'!D290-'минимумы и максимумы'!B$9)/('минимумы и максимумы'!B$10-'минимумы и максимумы'!B$9)*100)</f>
        <v>0</v>
      </c>
      <c r="E290">
        <f>IF('исходные данные'!E290&gt;'минимумы и максимумы'!C$10,100,('исходные данные'!E290-'минимумы и максимумы'!C$9)/('минимумы и максимумы'!C$10-'минимумы и максимумы'!C$9)*100)</f>
        <v>30</v>
      </c>
      <c r="F290">
        <f>IF('исходные данные'!F290&gt;'минимумы и максимумы'!D$10,100,('исходные данные'!F290-'минимумы и максимумы'!D$9)/('минимумы и максимумы'!D$10-'минимумы и максимумы'!D$9)*100)</f>
        <v>0</v>
      </c>
      <c r="G290">
        <f>IF('исходные данные'!G290&gt;'минимумы и максимумы'!E$10,100,('исходные данные'!G290-'минимумы и максимумы'!E$9)/('минимумы и максимумы'!E$10-'минимумы и максимумы'!E$9)*100)</f>
        <v>20.833333333333336</v>
      </c>
      <c r="H290">
        <f>IF('исходные данные'!H290&gt;'минимумы и максимумы'!F$10,100,('исходные данные'!H290-'минимумы и максимумы'!F$9)/('минимумы и максимумы'!F$10-'минимумы и максимумы'!F$9)*100)</f>
        <v>27.586206896551722</v>
      </c>
      <c r="I290">
        <f>IF('исходные данные'!I290&gt;'минимумы и максимумы'!G$10,100,('исходные данные'!I290-'минимумы и максимумы'!G$9)/('минимумы и максимумы'!G$10-'минимумы и максимумы'!G$9)*100)</f>
        <v>11.320754716981133</v>
      </c>
      <c r="J290">
        <f>IF('исходные данные'!J290&gt;'минимумы и максимумы'!H$10,100,('исходные данные'!J290-'минимумы и максимумы'!H$9)/('минимумы и максимумы'!H$10-'минимумы и максимумы'!H$9)*100)</f>
        <v>0</v>
      </c>
      <c r="K290">
        <f>IF('исходные данные'!K290&gt;'минимумы и максимумы'!I$10,100,('исходные данные'!K290-'минимумы и максимумы'!I$9)/('минимумы и максимумы'!I$10-'минимумы и максимумы'!I$9)*100)</f>
        <v>0</v>
      </c>
      <c r="L290">
        <f>IF('исходные данные'!L290&gt;'минимумы и максимумы'!J$10,100,('исходные данные'!L290-'минимумы и максимумы'!J$9)/('минимумы и максимумы'!J$10-'минимумы и максимумы'!J$9)*100)</f>
        <v>0</v>
      </c>
      <c r="M290">
        <f>IF('исходные данные'!M290&gt;'минимумы и максимумы'!K$10,100,('исходные данные'!M290-'минимумы и максимумы'!K$9)/('минимумы и максимумы'!K$10-'минимумы и максимумы'!K$9)*100)</f>
        <v>46.428571428571431</v>
      </c>
      <c r="N290">
        <f>IF('исходные данные'!N290&gt;'минимумы и максимумы'!L$10,100,('исходные данные'!N290-'минимумы и максимумы'!L$9)/('минимумы и максимумы'!L$10-'минимумы и максимумы'!L$9)*100)</f>
        <v>69.881788219481095</v>
      </c>
      <c r="O290">
        <f>IF('исходные данные'!O290&gt;'минимумы и максимумы'!M$10,100,('исходные данные'!O290-'минимумы и максимумы'!M$9)/('минимумы и максимумы'!M$10-'минимумы и максимумы'!M$9)*100)</f>
        <v>0</v>
      </c>
      <c r="P290">
        <f>IF('исходные данные'!P290&gt;'минимумы и максимумы'!N$10,100,('исходные данные'!P290-'минимумы и максимумы'!N$9)/('минимумы и максимумы'!N$10-'минимумы и максимумы'!N$9)*100)</f>
        <v>100</v>
      </c>
      <c r="Q290">
        <f>IF('исходные данные'!Q290&gt;'минимумы и максимумы'!O$10,100,('исходные данные'!Q290-'минимумы и максимумы'!O$9)/('минимумы и максимумы'!O$10-'минимумы и максимумы'!O$9)*100)</f>
        <v>100</v>
      </c>
      <c r="R290">
        <f>IF('исходные данные'!R290&gt;'минимумы и максимумы'!P$10,100,('исходные данные'!R290-'минимумы и максимумы'!P$9)/('минимумы и максимумы'!P$10-'минимумы и максимумы'!P$9)*100)</f>
        <v>100</v>
      </c>
      <c r="S290">
        <f>IF('исходные данные'!S290&gt;'минимумы и максимумы'!Q$10,100,('исходные данные'!S290-'минимумы и максимумы'!Q$9)/('минимумы и максимумы'!Q$10-'минимумы и максимумы'!Q$9)*100)</f>
        <v>33.333333333333329</v>
      </c>
      <c r="T290">
        <f>IF('исходные данные'!T290&gt;'минимумы и максимумы'!R$10,100,('исходные данные'!T290-'минимумы и максимумы'!R$9)/('минимумы и максимумы'!R$10-'минимумы и максимумы'!R$9)*100)</f>
        <v>9.7813578826237055</v>
      </c>
      <c r="U290">
        <f>IF('исходные данные'!U290&gt;'минимумы и максимумы'!S$10,100,('исходные данные'!U290-'минимумы и максимумы'!S$9)/('минимумы и максимумы'!S$10-'минимумы и максимумы'!S$9)*100)</f>
        <v>66.666666666666657</v>
      </c>
    </row>
    <row r="291" spans="1:21" x14ac:dyDescent="0.45">
      <c r="A291" s="4">
        <v>392</v>
      </c>
      <c r="B291" s="4">
        <v>0</v>
      </c>
      <c r="C291" s="4">
        <v>0</v>
      </c>
      <c r="D291">
        <f>IF('исходные данные'!D291&gt;'минимумы и максимумы'!B$10,100,('исходные данные'!D291-'минимумы и максимумы'!B$9)/('минимумы и максимумы'!B$10-'минимумы и максимумы'!B$9)*100)</f>
        <v>0</v>
      </c>
      <c r="E291">
        <f>IF('исходные данные'!E291&gt;'минимумы и максимумы'!C$10,100,('исходные данные'!E291-'минимумы и максимумы'!C$9)/('минимумы и максимумы'!C$10-'минимумы и максимумы'!C$9)*100)</f>
        <v>10</v>
      </c>
      <c r="F291">
        <f>IF('исходные данные'!F291&gt;'минимумы и максимумы'!D$10,100,('исходные данные'!F291-'минимумы и максимумы'!D$9)/('минимумы и максимумы'!D$10-'минимумы и максимумы'!D$9)*100)</f>
        <v>0</v>
      </c>
      <c r="G291">
        <f>IF('исходные данные'!G291&gt;'минимумы и максимумы'!E$10,100,('исходные данные'!G291-'минимумы и максимумы'!E$9)/('минимумы и максимумы'!E$10-'минимумы и максимумы'!E$9)*100)</f>
        <v>4.1666666666666661</v>
      </c>
      <c r="H291">
        <f>IF('исходные данные'!H291&gt;'минимумы и максимумы'!F$10,100,('исходные данные'!H291-'минимумы и максимумы'!F$9)/('минимумы и максимумы'!F$10-'минимумы и максимумы'!F$9)*100)</f>
        <v>6.8965517241379306</v>
      </c>
      <c r="I291">
        <f>IF('исходные данные'!I291&gt;'минимумы и максимумы'!G$10,100,('исходные данные'!I291-'минимумы и максимумы'!G$9)/('минимумы и максимумы'!G$10-'минимумы и максимумы'!G$9)*100)</f>
        <v>1.8867924528301887</v>
      </c>
      <c r="J291">
        <f>IF('исходные данные'!J291&gt;'минимумы и максимумы'!H$10,100,('исходные данные'!J291-'минимумы и максимумы'!H$9)/('минимумы и максимумы'!H$10-'минимумы и максимумы'!H$9)*100)</f>
        <v>0</v>
      </c>
      <c r="K291">
        <f>IF('исходные данные'!K291&gt;'минимумы и максимумы'!I$10,100,('исходные данные'!K291-'минимумы и максимумы'!I$9)/('минимумы и максимумы'!I$10-'минимумы и максимумы'!I$9)*100)</f>
        <v>0</v>
      </c>
      <c r="L291">
        <f>IF('исходные данные'!L291&gt;'минимумы и максимумы'!J$10,100,('исходные данные'!L291-'минимумы и максимумы'!J$9)/('минимумы и максимумы'!J$10-'минимумы и максимумы'!J$9)*100)</f>
        <v>0</v>
      </c>
      <c r="M291">
        <f>IF('исходные данные'!M291&gt;'минимумы и максимумы'!K$10,100,('исходные данные'!M291-'минимумы и максимумы'!K$9)/('минимумы и максимумы'!K$10-'минимумы и максимумы'!K$9)*100)</f>
        <v>0</v>
      </c>
      <c r="N291">
        <f>IF('исходные данные'!N291&gt;'минимумы и максимумы'!L$10,100,('исходные данные'!N291-'минимумы и максимумы'!L$9)/('минимумы и максимумы'!L$10-'минимумы и максимумы'!L$9)*100)</f>
        <v>68.607980502918181</v>
      </c>
      <c r="O291">
        <f>IF('исходные данные'!O291&gt;'минимумы и максимумы'!M$10,100,('исходные данные'!O291-'минимумы и максимумы'!M$9)/('минимумы и максимумы'!M$10-'минимумы и максимумы'!M$9)*100)</f>
        <v>66.666666666666657</v>
      </c>
      <c r="P291">
        <f>IF('исходные данные'!P291&gt;'минимумы и максимумы'!N$10,100,('исходные данные'!P291-'минимумы и максимумы'!N$9)/('минимумы и максимумы'!N$10-'минимумы и максимумы'!N$9)*100)</f>
        <v>0</v>
      </c>
      <c r="Q291">
        <f>IF('исходные данные'!Q291&gt;'минимумы и максимумы'!O$10,100,('исходные данные'!Q291-'минимумы и максимумы'!O$9)/('минимумы и максимумы'!O$10-'минимумы и максимумы'!O$9)*100)</f>
        <v>0</v>
      </c>
      <c r="R291">
        <f>IF('исходные данные'!R291&gt;'минимумы и максимумы'!P$10,100,('исходные данные'!R291-'минимумы и максимумы'!P$9)/('минимумы и максимумы'!P$10-'минимумы и максимумы'!P$9)*100)</f>
        <v>25</v>
      </c>
      <c r="S291">
        <f>IF('исходные данные'!S291&gt;'минимумы и максимумы'!Q$10,100,('исходные данные'!S291-'минимумы и максимумы'!Q$9)/('минимумы и максимумы'!Q$10-'минимумы и максимумы'!Q$9)*100)</f>
        <v>33.333333333333329</v>
      </c>
      <c r="T291">
        <f>IF('исходные данные'!T291&gt;'минимумы и максимумы'!R$10,100,('исходные данные'!T291-'минимумы и максимумы'!R$9)/('минимумы и максимумы'!R$10-'минимумы и максимумы'!R$9)*100)</f>
        <v>35.471806674338318</v>
      </c>
      <c r="U291">
        <f>IF('исходные данные'!U291&gt;'минимумы и максимумы'!S$10,100,('исходные данные'!U291-'минимумы и максимумы'!S$9)/('минимумы и максимумы'!S$10-'минимумы и максимумы'!S$9)*100)</f>
        <v>0</v>
      </c>
    </row>
    <row r="292" spans="1:21" x14ac:dyDescent="0.45">
      <c r="A292" s="4">
        <v>393</v>
      </c>
      <c r="B292" s="4">
        <v>0</v>
      </c>
      <c r="C292" s="4">
        <v>0</v>
      </c>
      <c r="D292">
        <f>IF('исходные данные'!D292&gt;'минимумы и максимумы'!B$10,100,('исходные данные'!D292-'минимумы и максимумы'!B$9)/('минимумы и максимумы'!B$10-'минимумы и максимумы'!B$9)*100)</f>
        <v>0</v>
      </c>
      <c r="E292">
        <f>IF('исходные данные'!E292&gt;'минимумы и максимумы'!C$10,100,('исходные данные'!E292-'минимумы и максимумы'!C$9)/('минимумы и максимумы'!C$10-'минимумы и максимумы'!C$9)*100)</f>
        <v>10</v>
      </c>
      <c r="F292">
        <f>IF('исходные данные'!F292&gt;'минимумы и максимумы'!D$10,100,('исходные данные'!F292-'минимумы и максимумы'!D$9)/('минимумы и максимумы'!D$10-'минимумы и максимумы'!D$9)*100)</f>
        <v>0</v>
      </c>
      <c r="G292">
        <f>IF('исходные данные'!G292&gt;'минимумы и максимумы'!E$10,100,('исходные данные'!G292-'минимумы и максимумы'!E$9)/('минимумы и максимумы'!E$10-'минимумы и максимумы'!E$9)*100)</f>
        <v>0</v>
      </c>
      <c r="H292">
        <f>IF('исходные данные'!H292&gt;'минимумы и максимумы'!F$10,100,('исходные данные'!H292-'минимумы и максимумы'!F$9)/('минимумы и максимумы'!F$10-'минимумы и максимумы'!F$9)*100)</f>
        <v>3.4482758620689653</v>
      </c>
      <c r="I292">
        <f>IF('исходные данные'!I292&gt;'минимумы и максимумы'!G$10,100,('исходные данные'!I292-'минимумы и максимумы'!G$9)/('минимумы и максимумы'!G$10-'минимумы и максимумы'!G$9)*100)</f>
        <v>1.8867924528301887</v>
      </c>
      <c r="J292">
        <f>IF('исходные данные'!J292&gt;'минимумы и максимумы'!H$10,100,('исходные данные'!J292-'минимумы и максимумы'!H$9)/('минимумы и максимумы'!H$10-'минимумы и максимумы'!H$9)*100)</f>
        <v>0</v>
      </c>
      <c r="K292">
        <f>IF('исходные данные'!K292&gt;'минимумы и максимумы'!I$10,100,('исходные данные'!K292-'минимумы и максимумы'!I$9)/('минимумы и максимумы'!I$10-'минимумы и максимумы'!I$9)*100)</f>
        <v>0</v>
      </c>
      <c r="L292">
        <f>IF('исходные данные'!L292&gt;'минимумы и максимумы'!J$10,100,('исходные данные'!L292-'минимумы и максимумы'!J$9)/('минимумы и максимумы'!J$10-'минимумы и максимумы'!J$9)*100)</f>
        <v>0</v>
      </c>
      <c r="M292">
        <f>IF('исходные данные'!M292&gt;'минимумы и максимумы'!K$10,100,('исходные данные'!M292-'минимумы и максимумы'!K$9)/('минимумы и максимумы'!K$10-'минимумы и максимумы'!K$9)*100)</f>
        <v>10.714285714285714</v>
      </c>
      <c r="N292">
        <f>IF('исходные данные'!N292&gt;'минимумы и максимумы'!L$10,100,('исходные данные'!N292-'минимумы и максимумы'!L$9)/('минимумы и максимумы'!L$10-'минимумы и максимумы'!L$9)*100)</f>
        <v>68.018769491218507</v>
      </c>
      <c r="O292">
        <f>IF('исходные данные'!O292&gt;'минимумы и максимумы'!M$10,100,('исходные данные'!O292-'минимумы и максимумы'!M$9)/('минимумы и максимумы'!M$10-'минимумы и максимумы'!M$9)*100)</f>
        <v>66.666666666666657</v>
      </c>
      <c r="P292">
        <f>IF('исходные данные'!P292&gt;'минимумы и максимумы'!N$10,100,('исходные данные'!P292-'минимумы и максимумы'!N$9)/('минимумы и максимумы'!N$10-'минимумы и максимумы'!N$9)*100)</f>
        <v>0</v>
      </c>
      <c r="Q292">
        <f>IF('исходные данные'!Q292&gt;'минимумы и максимумы'!O$10,100,('исходные данные'!Q292-'минимумы и максимумы'!O$9)/('минимумы и максимумы'!O$10-'минимумы и максимумы'!O$9)*100)</f>
        <v>0</v>
      </c>
      <c r="R292">
        <f>IF('исходные данные'!R292&gt;'минимумы и максимумы'!P$10,100,('исходные данные'!R292-'минимумы и максимумы'!P$9)/('минимумы и максимумы'!P$10-'минимумы и максимумы'!P$9)*100)</f>
        <v>25</v>
      </c>
      <c r="S292">
        <f>IF('исходные данные'!S292&gt;'минимумы и максимумы'!Q$10,100,('исходные данные'!S292-'минимумы и максимумы'!Q$9)/('минимумы и максимумы'!Q$10-'минимумы и максимумы'!Q$9)*100)</f>
        <v>33.333333333333329</v>
      </c>
      <c r="T292">
        <f>IF('исходные данные'!T292&gt;'минимумы и максимумы'!R$10,100,('исходные данные'!T292-'минимумы и максимумы'!R$9)/('минимумы и максимумы'!R$10-'минимумы и максимумы'!R$9)*100)</f>
        <v>20.368239355581128</v>
      </c>
      <c r="U292">
        <f>IF('исходные данные'!U292&gt;'минимумы и максимумы'!S$10,100,('исходные данные'!U292-'минимумы и максимумы'!S$9)/('минимумы и максимумы'!S$10-'минимумы и максимумы'!S$9)*100)</f>
        <v>0</v>
      </c>
    </row>
    <row r="293" spans="1:21" x14ac:dyDescent="0.45">
      <c r="A293" s="4">
        <v>394</v>
      </c>
      <c r="B293" s="4">
        <v>0</v>
      </c>
      <c r="C293" s="4">
        <v>1</v>
      </c>
      <c r="D293">
        <f>IF('исходные данные'!D293&gt;'минимумы и максимумы'!B$10,100,('исходные данные'!D293-'минимумы и максимумы'!B$9)/('минимумы и максимумы'!B$10-'минимумы и максимумы'!B$9)*100)</f>
        <v>0</v>
      </c>
      <c r="E293">
        <f>IF('исходные данные'!E293&gt;'минимумы и максимумы'!C$10,100,('исходные данные'!E293-'минимумы и максимумы'!C$9)/('минимумы и максимумы'!C$10-'минимумы и максимумы'!C$9)*100)</f>
        <v>10</v>
      </c>
      <c r="F293">
        <f>IF('исходные данные'!F293&gt;'минимумы и максимумы'!D$10,100,('исходные данные'!F293-'минимумы и максимумы'!D$9)/('минимумы и максимумы'!D$10-'минимумы и максимумы'!D$9)*100)</f>
        <v>0</v>
      </c>
      <c r="G293">
        <f>IF('исходные данные'!G293&gt;'минимумы и максимумы'!E$10,100,('исходные данные'!G293-'минимумы и максимумы'!E$9)/('минимумы и максимумы'!E$10-'минимумы и максимумы'!E$9)*100)</f>
        <v>12.5</v>
      </c>
      <c r="H293">
        <f>IF('исходные данные'!H293&gt;'минимумы и максимумы'!F$10,100,('исходные данные'!H293-'минимумы и максимумы'!F$9)/('минимумы и максимумы'!F$10-'минимумы и максимумы'!F$9)*100)</f>
        <v>6.8965517241379306</v>
      </c>
      <c r="I293">
        <f>IF('исходные данные'!I293&gt;'минимумы и максимумы'!G$10,100,('исходные данные'!I293-'минимумы и максимумы'!G$9)/('минимумы и максимумы'!G$10-'минимумы и максимумы'!G$9)*100)</f>
        <v>1.8867924528301887</v>
      </c>
      <c r="J293">
        <f>IF('исходные данные'!J293&gt;'минимумы и максимумы'!H$10,100,('исходные данные'!J293-'минимумы и максимумы'!H$9)/('минимумы и максимумы'!H$10-'минимумы и максимумы'!H$9)*100)</f>
        <v>0</v>
      </c>
      <c r="K293">
        <f>IF('исходные данные'!K293&gt;'минимумы и максимумы'!I$10,100,('исходные данные'!K293-'минимумы и максимумы'!I$9)/('минимумы и максимумы'!I$10-'минимумы и максимумы'!I$9)*100)</f>
        <v>0</v>
      </c>
      <c r="L293">
        <f>IF('исходные данные'!L293&gt;'минимумы и максимумы'!J$10,100,('исходные данные'!L293-'минимумы и максимумы'!J$9)/('минимумы и максимумы'!J$10-'минимумы и максимумы'!J$9)*100)</f>
        <v>0</v>
      </c>
      <c r="M293">
        <f>IF('исходные данные'!M293&gt;'минимумы и максимумы'!K$10,100,('исходные данные'!M293-'минимумы и максимумы'!K$9)/('минимумы и максимумы'!K$10-'минимумы и максимумы'!K$9)*100)</f>
        <v>39.285714285714285</v>
      </c>
      <c r="N293">
        <f>IF('исходные данные'!N293&gt;'минимумы и максимумы'!L$10,100,('исходные данные'!N293-'минимумы и максимумы'!L$9)/('минимумы и максимумы'!L$10-'минимумы и максимумы'!L$9)*100)</f>
        <v>67.600388399129926</v>
      </c>
      <c r="O293">
        <f>IF('исходные данные'!O293&gt;'минимумы и максимумы'!M$10,100,('исходные данные'!O293-'минимумы и максимумы'!M$9)/('минимумы и максимумы'!M$10-'минимумы и максимумы'!M$9)*100)</f>
        <v>66.666666666666657</v>
      </c>
      <c r="P293">
        <f>IF('исходные данные'!P293&gt;'минимумы и максимумы'!N$10,100,('исходные данные'!P293-'минимумы и максимумы'!N$9)/('минимумы и максимумы'!N$10-'минимумы и максимумы'!N$9)*100)</f>
        <v>0</v>
      </c>
      <c r="Q293">
        <f>IF('исходные данные'!Q293&gt;'минимумы и максимумы'!O$10,100,('исходные данные'!Q293-'минимумы и максимумы'!O$9)/('минимумы и максимумы'!O$10-'минимумы и максимумы'!O$9)*100)</f>
        <v>0</v>
      </c>
      <c r="R293">
        <f>IF('исходные данные'!R293&gt;'минимумы и максимумы'!P$10,100,('исходные данные'!R293-'минимумы и максимумы'!P$9)/('минимумы и максимумы'!P$10-'минимумы и максимумы'!P$9)*100)</f>
        <v>25</v>
      </c>
      <c r="S293">
        <f>IF('исходные данные'!S293&gt;'минимумы и максимумы'!Q$10,100,('исходные данные'!S293-'минимумы и максимумы'!Q$9)/('минимумы и максимумы'!Q$10-'минимумы и максимумы'!Q$9)*100)</f>
        <v>16.666666666666664</v>
      </c>
      <c r="T293">
        <f>IF('исходные данные'!T293&gt;'минимумы и максимумы'!R$10,100,('исходные данные'!T293-'минимумы и максимумы'!R$9)/('минимумы и максимумы'!R$10-'минимумы и максимумы'!R$9)*100)</f>
        <v>3.3659378596087453</v>
      </c>
      <c r="U293">
        <f>IF('исходные данные'!U293&gt;'минимумы и максимумы'!S$10,100,('исходные данные'!U293-'минимумы и максимумы'!S$9)/('минимумы и максимумы'!S$10-'минимумы и максимумы'!S$9)*100)</f>
        <v>0</v>
      </c>
    </row>
    <row r="294" spans="1:21" x14ac:dyDescent="0.45">
      <c r="A294" s="4">
        <v>395</v>
      </c>
      <c r="B294" s="4">
        <v>0</v>
      </c>
      <c r="C294" s="4">
        <v>0</v>
      </c>
      <c r="D294">
        <f>IF('исходные данные'!D294&gt;'минимумы и максимумы'!B$10,100,('исходные данные'!D294-'минимумы и максимумы'!B$9)/('минимумы и максимумы'!B$10-'минимумы и максимумы'!B$9)*100)</f>
        <v>0</v>
      </c>
      <c r="E294">
        <f>IF('исходные данные'!E294&gt;'минимумы и максимумы'!C$10,100,('исходные данные'!E294-'минимумы и максимумы'!C$9)/('минимумы и максимумы'!C$10-'минимумы и максимумы'!C$9)*100)</f>
        <v>0</v>
      </c>
      <c r="F294">
        <f>IF('исходные данные'!F294&gt;'минимумы и максимумы'!D$10,100,('исходные данные'!F294-'минимумы и максимумы'!D$9)/('минимумы и максимумы'!D$10-'минимумы и максимумы'!D$9)*100)</f>
        <v>0</v>
      </c>
      <c r="G294">
        <f>IF('исходные данные'!G294&gt;'минимумы и максимумы'!E$10,100,('исходные данные'!G294-'минимумы и максимумы'!E$9)/('минимумы и максимумы'!E$10-'минимумы и максимумы'!E$9)*100)</f>
        <v>0</v>
      </c>
      <c r="H294">
        <f>IF('исходные данные'!H294&gt;'минимумы и максимумы'!F$10,100,('исходные данные'!H294-'минимумы и максимумы'!F$9)/('минимумы и максимумы'!F$10-'минимумы и максимумы'!F$9)*100)</f>
        <v>0</v>
      </c>
      <c r="I294">
        <f>IF('исходные данные'!I294&gt;'минимумы и максимумы'!G$10,100,('исходные данные'!I294-'минимумы и максимумы'!G$9)/('минимумы и максимумы'!G$10-'минимумы и максимумы'!G$9)*100)</f>
        <v>0</v>
      </c>
      <c r="J294">
        <f>IF('исходные данные'!J294&gt;'минимумы и максимумы'!H$10,100,('исходные данные'!J294-'минимумы и максимумы'!H$9)/('минимумы и максимумы'!H$10-'минимумы и максимумы'!H$9)*100)</f>
        <v>0</v>
      </c>
      <c r="K294">
        <f>IF('исходные данные'!K294&gt;'минимумы и максимумы'!I$10,100,('исходные данные'!K294-'минимумы и максимумы'!I$9)/('минимумы и максимумы'!I$10-'минимумы и максимумы'!I$9)*100)</f>
        <v>0</v>
      </c>
      <c r="L294">
        <f>IF('исходные данные'!L294&gt;'минимумы и максимумы'!J$10,100,('исходные данные'!L294-'минимумы и максимумы'!J$9)/('минимумы и максимумы'!J$10-'минимумы и максимумы'!J$9)*100)</f>
        <v>0</v>
      </c>
      <c r="M294">
        <f>IF('исходные данные'!M294&gt;'минимумы и максимумы'!K$10,100,('исходные данные'!M294-'минимумы и максимумы'!K$9)/('минимумы и максимумы'!K$10-'минимумы и максимумы'!K$9)*100)</f>
        <v>7.1428571428571423</v>
      </c>
      <c r="N294">
        <f>IF('исходные данные'!N294&gt;'минимумы и максимумы'!L$10,100,('исходные данные'!N294-'минимумы и максимумы'!L$9)/('минимумы и максимумы'!L$10-'минимумы и максимумы'!L$9)*100)</f>
        <v>66.780089317623066</v>
      </c>
      <c r="O294">
        <f>IF('исходные данные'!O294&gt;'минимумы и максимумы'!M$10,100,('исходные данные'!O294-'минимумы и максимумы'!M$9)/('минимумы и максимумы'!M$10-'минимумы и максимумы'!M$9)*100)</f>
        <v>33.333333333333329</v>
      </c>
      <c r="P294">
        <f>IF('исходные данные'!P294&gt;'минимумы и максимумы'!N$10,100,('исходные данные'!P294-'минимумы и максимумы'!N$9)/('минимумы и максимумы'!N$10-'минимумы и максимумы'!N$9)*100)</f>
        <v>0</v>
      </c>
      <c r="Q294">
        <f>IF('исходные данные'!Q294&gt;'минимумы и максимумы'!O$10,100,('исходные данные'!Q294-'минимумы и максимумы'!O$9)/('минимумы и максимумы'!O$10-'минимумы и максимумы'!O$9)*100)</f>
        <v>0</v>
      </c>
      <c r="R294">
        <f>IF('исходные данные'!R294&gt;'минимумы и максимумы'!P$10,100,('исходные данные'!R294-'минимумы и максимумы'!P$9)/('минимумы и максимумы'!P$10-'минимумы и максимумы'!P$9)*100)</f>
        <v>50</v>
      </c>
      <c r="S294">
        <f>IF('исходные данные'!S294&gt;'минимумы и максимумы'!Q$10,100,('исходные данные'!S294-'минимумы и максимумы'!Q$9)/('минимумы и максимумы'!Q$10-'минимумы и максимумы'!Q$9)*100)</f>
        <v>16.666666666666664</v>
      </c>
      <c r="T294">
        <f>IF('исходные данные'!T294&gt;'минимумы и максимумы'!R$10,100,('исходные данные'!T294-'минимумы и максимумы'!R$9)/('минимумы и максимумы'!R$10-'минимумы и максимумы'!R$9)*100)</f>
        <v>5.092059838895282</v>
      </c>
      <c r="U294">
        <f>IF('исходные данные'!U294&gt;'минимумы и максимумы'!S$10,100,('исходные данные'!U294-'минимумы и максимумы'!S$9)/('минимумы и максимумы'!S$10-'минимумы и максимумы'!S$9)*100)</f>
        <v>0</v>
      </c>
    </row>
    <row r="295" spans="1:21" x14ac:dyDescent="0.45">
      <c r="A295" s="4">
        <v>397</v>
      </c>
      <c r="B295" s="4">
        <v>0</v>
      </c>
      <c r="C295" s="4">
        <v>0</v>
      </c>
      <c r="D295">
        <f>IF('исходные данные'!D295&gt;'минимумы и максимумы'!B$10,100,('исходные данные'!D295-'минимумы и максимумы'!B$9)/('минимумы и максимумы'!B$10-'минимумы и максимумы'!B$9)*100)</f>
        <v>11.111111111111111</v>
      </c>
      <c r="E295">
        <f>IF('исходные данные'!E295&gt;'минимумы и максимумы'!C$10,100,('исходные данные'!E295-'минимумы и максимумы'!C$9)/('минимумы и максимумы'!C$10-'минимумы и максимумы'!C$9)*100)</f>
        <v>30</v>
      </c>
      <c r="F295">
        <f>IF('исходные данные'!F295&gt;'минимумы и максимумы'!D$10,100,('исходные данные'!F295-'минимумы и максимумы'!D$9)/('минимумы и максимумы'!D$10-'минимумы и максимумы'!D$9)*100)</f>
        <v>33.333333333333329</v>
      </c>
      <c r="G295">
        <f>IF('исходные данные'!G295&gt;'минимумы и максимумы'!E$10,100,('исходные данные'!G295-'минимумы и максимумы'!E$9)/('минимумы и максимумы'!E$10-'минимумы и максимумы'!E$9)*100)</f>
        <v>16.666666666666664</v>
      </c>
      <c r="H295">
        <f>IF('исходные данные'!H295&gt;'минимумы и максимумы'!F$10,100,('исходные данные'!H295-'минимумы и максимумы'!F$9)/('минимумы и максимумы'!F$10-'минимумы и максимумы'!F$9)*100)</f>
        <v>24.137931034482758</v>
      </c>
      <c r="I295">
        <f>IF('исходные данные'!I295&gt;'минимумы и максимумы'!G$10,100,('исходные данные'!I295-'минимумы и максимумы'!G$9)/('минимумы и максимумы'!G$10-'минимумы и максимумы'!G$9)*100)</f>
        <v>16.981132075471699</v>
      </c>
      <c r="J295">
        <f>IF('исходные данные'!J295&gt;'минимумы и максимумы'!H$10,100,('исходные данные'!J295-'минимумы и максимумы'!H$9)/('минимумы и максимумы'!H$10-'минимумы и максимумы'!H$9)*100)</f>
        <v>13.333333333333334</v>
      </c>
      <c r="K295">
        <f>IF('исходные данные'!K295&gt;'минимумы и максимумы'!I$10,100,('исходные данные'!K295-'минимумы и максимумы'!I$9)/('минимумы и максимумы'!I$10-'минимумы и максимумы'!I$9)*100)</f>
        <v>33.333333333333329</v>
      </c>
      <c r="L295">
        <f>IF('исходные данные'!L295&gt;'минимумы и максимумы'!J$10,100,('исходные данные'!L295-'минимумы и максимумы'!J$9)/('минимумы и максимумы'!J$10-'минимумы и максимумы'!J$9)*100)</f>
        <v>0</v>
      </c>
      <c r="M295">
        <f>IF('исходные данные'!M295&gt;'минимумы и максимумы'!K$10,100,('исходные данные'!M295-'минимумы и максимумы'!K$9)/('минимумы и максимумы'!K$10-'минимумы и максимумы'!K$9)*100)</f>
        <v>82.142857142857139</v>
      </c>
      <c r="N295">
        <f>IF('исходные данные'!N295&gt;'минимумы и максимумы'!L$10,100,('исходные данные'!N295-'минимумы и максимумы'!L$9)/('минимумы и максимумы'!L$10-'минимумы и максимумы'!L$9)*100)</f>
        <v>60.69559176533005</v>
      </c>
      <c r="O295">
        <f>IF('исходные данные'!O295&gt;'минимумы и максимумы'!M$10,100,('исходные данные'!O295-'минимумы и максимумы'!M$9)/('минимумы и максимумы'!M$10-'минимумы и максимумы'!M$9)*100)</f>
        <v>66.666666666666657</v>
      </c>
      <c r="P295">
        <f>IF('исходные данные'!P295&gt;'минимумы и максимумы'!N$10,100,('исходные данные'!P295-'минимумы и максимумы'!N$9)/('минимумы и максимумы'!N$10-'минимумы и максимумы'!N$9)*100)</f>
        <v>0</v>
      </c>
      <c r="Q295">
        <f>IF('исходные данные'!Q295&gt;'минимумы и максимумы'!O$10,100,('исходные данные'!Q295-'минимумы и максимумы'!O$9)/('минимумы и максимумы'!O$10-'минимумы и максимумы'!O$9)*100)</f>
        <v>0</v>
      </c>
      <c r="R295">
        <f>IF('исходные данные'!R295&gt;'минимумы и максимумы'!P$10,100,('исходные данные'!R295-'минимумы и максимумы'!P$9)/('минимумы и максимумы'!P$10-'минимумы и максимумы'!P$9)*100)</f>
        <v>100</v>
      </c>
      <c r="S295">
        <f>IF('исходные данные'!S295&gt;'минимумы и максимумы'!Q$10,100,('исходные данные'!S295-'минимумы и максимумы'!Q$9)/('минимумы и максимумы'!Q$10-'минимумы и максимумы'!Q$9)*100)</f>
        <v>16.666666666666664</v>
      </c>
      <c r="T295">
        <f>IF('исходные данные'!T295&gt;'минимумы и максимумы'!R$10,100,('исходные данные'!T295-'минимумы и максимумы'!R$9)/('минимумы и максимумы'!R$10-'минимумы и максимумы'!R$9)*100)</f>
        <v>2.3878020713463752</v>
      </c>
      <c r="U295">
        <f>IF('исходные данные'!U295&gt;'минимумы и максимумы'!S$10,100,('исходные данные'!U295-'минимумы и максимумы'!S$9)/('минимумы и максимумы'!S$10-'минимумы и максимумы'!S$9)*100)</f>
        <v>33.333333333333329</v>
      </c>
    </row>
    <row r="296" spans="1:21" x14ac:dyDescent="0.45">
      <c r="A296" s="4">
        <v>398</v>
      </c>
      <c r="B296" s="4">
        <v>0</v>
      </c>
      <c r="C296" s="4">
        <v>0</v>
      </c>
      <c r="D296">
        <f>IF('исходные данные'!D296&gt;'минимумы и максимумы'!B$10,100,('исходные данные'!D296-'минимумы и максимумы'!B$9)/('минимумы и максимумы'!B$10-'минимумы и максимумы'!B$9)*100)</f>
        <v>11.111111111111111</v>
      </c>
      <c r="E296">
        <f>IF('исходные данные'!E296&gt;'минимумы и максимумы'!C$10,100,('исходные данные'!E296-'минимумы и максимумы'!C$9)/('минимумы и максимумы'!C$10-'минимумы и максимумы'!C$9)*100)</f>
        <v>60</v>
      </c>
      <c r="F296">
        <f>IF('исходные данные'!F296&gt;'минимумы и максимумы'!D$10,100,('исходные данные'!F296-'минимумы и максимумы'!D$9)/('минимумы и максимумы'!D$10-'минимумы и максимумы'!D$9)*100)</f>
        <v>0</v>
      </c>
      <c r="G296">
        <f>IF('исходные данные'!G296&gt;'минимумы и максимумы'!E$10,100,('исходные данные'!G296-'минимумы и максимумы'!E$9)/('минимумы и максимумы'!E$10-'минимумы и максимумы'!E$9)*100)</f>
        <v>62.5</v>
      </c>
      <c r="H296">
        <f>IF('исходные данные'!H296&gt;'минимумы и максимумы'!F$10,100,('исходные данные'!H296-'минимумы и максимумы'!F$9)/('минимумы и максимумы'!F$10-'минимумы и максимумы'!F$9)*100)</f>
        <v>72.41379310344827</v>
      </c>
      <c r="I296">
        <f>IF('исходные данные'!I296&gt;'минимумы и максимумы'!G$10,100,('исходные данные'!I296-'минимумы и максимумы'!G$9)/('минимумы и максимумы'!G$10-'минимумы и максимумы'!G$9)*100)</f>
        <v>28.30188679245283</v>
      </c>
      <c r="J296">
        <f>IF('исходные данные'!J296&gt;'минимумы и максимумы'!H$10,100,('исходные данные'!J296-'минимумы и максимумы'!H$9)/('минимумы и максимумы'!H$10-'минимумы и максимумы'!H$9)*100)</f>
        <v>6.666666666666667</v>
      </c>
      <c r="K296">
        <f>IF('исходные данные'!K296&gt;'минимумы и максимумы'!I$10,100,('исходные данные'!K296-'минимумы и максимумы'!I$9)/('минимумы и максимумы'!I$10-'минимумы и максимумы'!I$9)*100)</f>
        <v>27.777777777777779</v>
      </c>
      <c r="L296">
        <f>IF('исходные данные'!L296&gt;'минимумы и максимумы'!J$10,100,('исходные данные'!L296-'минимумы и максимумы'!J$9)/('минимумы и максимумы'!J$10-'минимумы и максимумы'!J$9)*100)</f>
        <v>7.1428571428571423</v>
      </c>
      <c r="M296">
        <f>IF('исходные данные'!M296&gt;'минимумы и максимумы'!K$10,100,('исходные данные'!M296-'минимумы и максимумы'!K$9)/('минимумы и максимумы'!K$10-'минимумы и максимумы'!K$9)*100)</f>
        <v>60.714285714285708</v>
      </c>
      <c r="N296">
        <f>IF('исходные данные'!N296&gt;'минимумы и максимумы'!L$10,100,('исходные данные'!N296-'минимумы и максимумы'!L$9)/('минимумы и максимумы'!L$10-'минимумы и максимумы'!L$9)*100)</f>
        <v>57.549783438550072</v>
      </c>
      <c r="O296">
        <f>IF('исходные данные'!O296&gt;'минимумы и максимумы'!M$10,100,('исходные данные'!O296-'минимумы и максимумы'!M$9)/('минимумы и максимумы'!M$10-'минимумы и максимумы'!M$9)*100)</f>
        <v>66.666666666666657</v>
      </c>
      <c r="P296">
        <f>IF('исходные данные'!P296&gt;'минимумы и максимумы'!N$10,100,('исходные данные'!P296-'минимумы и максимумы'!N$9)/('минимумы и максимумы'!N$10-'минимумы и максимумы'!N$9)*100)</f>
        <v>0</v>
      </c>
      <c r="Q296">
        <f>IF('исходные данные'!Q296&gt;'минимумы и максимумы'!O$10,100,('исходные данные'!Q296-'минимумы и максимумы'!O$9)/('минимумы и максимумы'!O$10-'минимумы и максимумы'!O$9)*100)</f>
        <v>100</v>
      </c>
      <c r="R296">
        <f>IF('исходные данные'!R296&gt;'минимумы и максимумы'!P$10,100,('исходные данные'!R296-'минимумы и максимумы'!P$9)/('минимумы и максимумы'!P$10-'минимумы и максимумы'!P$9)*100)</f>
        <v>100</v>
      </c>
      <c r="S296">
        <f>IF('исходные данные'!S296&gt;'минимумы и максимумы'!Q$10,100,('исходные данные'!S296-'минимумы и максимумы'!Q$9)/('минимумы и максимумы'!Q$10-'минимумы и максимумы'!Q$9)*100)</f>
        <v>66.666666666666657</v>
      </c>
      <c r="T296">
        <f>IF('исходные данные'!T296&gt;'минимумы и максимумы'!R$10,100,('исходные данные'!T296-'минимумы и максимумы'!R$9)/('минимумы и максимумы'!R$10-'минимумы и максимумы'!R$9)*100)</f>
        <v>21.087456846950516</v>
      </c>
      <c r="U296">
        <f>IF('исходные данные'!U296&gt;'минимумы и максимумы'!S$10,100,('исходные данные'!U296-'минимумы и максимумы'!S$9)/('минимумы и максимумы'!S$10-'минимумы и максимумы'!S$9)*100)</f>
        <v>66.666666666666657</v>
      </c>
    </row>
    <row r="297" spans="1:21" x14ac:dyDescent="0.45">
      <c r="A297" s="4">
        <v>399</v>
      </c>
      <c r="B297" s="4">
        <v>0</v>
      </c>
      <c r="C297" s="4">
        <v>0</v>
      </c>
      <c r="D297">
        <f>IF('исходные данные'!D297&gt;'минимумы и максимумы'!B$10,100,('исходные данные'!D297-'минимумы и максимумы'!B$9)/('минимумы и максимумы'!B$10-'минимумы и максимумы'!B$9)*100)</f>
        <v>11.111111111111111</v>
      </c>
      <c r="E297">
        <f>IF('исходные данные'!E297&gt;'минимумы и максимумы'!C$10,100,('исходные данные'!E297-'минимумы и максимумы'!C$9)/('минимумы и максимумы'!C$10-'минимумы и максимумы'!C$9)*100)</f>
        <v>60</v>
      </c>
      <c r="F297">
        <f>IF('исходные данные'!F297&gt;'минимумы и максимумы'!D$10,100,('исходные данные'!F297-'минимумы и максимумы'!D$9)/('минимумы и максимумы'!D$10-'минимумы и максимумы'!D$9)*100)</f>
        <v>0</v>
      </c>
      <c r="G297">
        <f>IF('исходные данные'!G297&gt;'минимумы и максимумы'!E$10,100,('исходные данные'!G297-'минимумы и максимумы'!E$9)/('минимумы и максимумы'!E$10-'минимумы и максимумы'!E$9)*100)</f>
        <v>62.5</v>
      </c>
      <c r="H297">
        <f>IF('исходные данные'!H297&gt;'минимумы и максимумы'!F$10,100,('исходные данные'!H297-'минимумы и максимумы'!F$9)/('минимумы и максимумы'!F$10-'минимумы и максимумы'!F$9)*100)</f>
        <v>72.41379310344827</v>
      </c>
      <c r="I297">
        <f>IF('исходные данные'!I297&gt;'минимумы и максимумы'!G$10,100,('исходные данные'!I297-'минимумы и максимумы'!G$9)/('минимумы и максимумы'!G$10-'минимумы и максимумы'!G$9)*100)</f>
        <v>28.30188679245283</v>
      </c>
      <c r="J297">
        <f>IF('исходные данные'!J297&gt;'минимумы и максимумы'!H$10,100,('исходные данные'!J297-'минимумы и максимумы'!H$9)/('минимумы и максимумы'!H$10-'минимумы и максимумы'!H$9)*100)</f>
        <v>6.666666666666667</v>
      </c>
      <c r="K297">
        <f>IF('исходные данные'!K297&gt;'минимумы и максимумы'!I$10,100,('исходные данные'!K297-'минимумы и максимумы'!I$9)/('минимумы и максимумы'!I$10-'минимумы и максимумы'!I$9)*100)</f>
        <v>27.777777777777779</v>
      </c>
      <c r="L297">
        <f>IF('исходные данные'!L297&gt;'минимумы и максимумы'!J$10,100,('исходные данные'!L297-'минимумы и максимумы'!J$9)/('минимумы и максимумы'!J$10-'минимумы и максимумы'!J$9)*100)</f>
        <v>7.1428571428571423</v>
      </c>
      <c r="M297">
        <f>IF('исходные данные'!M297&gt;'минимумы и максимумы'!K$10,100,('исходные данные'!M297-'минимумы и максимумы'!K$9)/('минимумы и максимумы'!K$10-'минимумы и максимумы'!K$9)*100)</f>
        <v>60.714285714285708</v>
      </c>
      <c r="N297">
        <f>IF('исходные данные'!N297&gt;'минимумы и максимумы'!L$10,100,('исходные данные'!N297-'минимумы и максимумы'!L$9)/('минимумы и максимумы'!L$10-'минимумы и максимумы'!L$9)*100)</f>
        <v>57.299807134676485</v>
      </c>
      <c r="O297">
        <f>IF('исходные данные'!O297&gt;'минимумы и максимумы'!M$10,100,('исходные данные'!O297-'минимумы и максимумы'!M$9)/('минимумы и максимумы'!M$10-'минимумы и максимумы'!M$9)*100)</f>
        <v>66.666666666666657</v>
      </c>
      <c r="P297">
        <f>IF('исходные данные'!P297&gt;'минимумы и максимумы'!N$10,100,('исходные данные'!P297-'минимумы и максимумы'!N$9)/('минимумы и максимумы'!N$10-'минимумы и максимумы'!N$9)*100)</f>
        <v>0</v>
      </c>
      <c r="Q297">
        <f>IF('исходные данные'!Q297&gt;'минимумы и максимумы'!O$10,100,('исходные данные'!Q297-'минимумы и максимумы'!O$9)/('минимумы и максимумы'!O$10-'минимумы и максимумы'!O$9)*100)</f>
        <v>100</v>
      </c>
      <c r="R297">
        <f>IF('исходные данные'!R297&gt;'минимумы и максимумы'!P$10,100,('исходные данные'!R297-'минимумы и максимумы'!P$9)/('минимумы и максимумы'!P$10-'минимумы и максимумы'!P$9)*100)</f>
        <v>100</v>
      </c>
      <c r="S297">
        <f>IF('исходные данные'!S297&gt;'минимумы и максимумы'!Q$10,100,('исходные данные'!S297-'минимумы и максимумы'!Q$9)/('минимумы и максимумы'!Q$10-'минимумы и максимумы'!Q$9)*100)</f>
        <v>33.333333333333329</v>
      </c>
      <c r="T297">
        <f>IF('исходные данные'!T297&gt;'минимумы и максимумы'!R$10,100,('исходные данные'!T297-'минимумы и максимумы'!R$9)/('минимумы и максимумы'!R$10-'минимумы и максимумы'!R$9)*100)</f>
        <v>12.83084004602992</v>
      </c>
      <c r="U297">
        <f>IF('исходные данные'!U297&gt;'минимумы и максимумы'!S$10,100,('исходные данные'!U297-'минимумы и максимумы'!S$9)/('минимумы и максимумы'!S$10-'минимумы и максимумы'!S$9)*100)</f>
        <v>0</v>
      </c>
    </row>
    <row r="298" spans="1:21" x14ac:dyDescent="0.45">
      <c r="A298" s="4">
        <v>400</v>
      </c>
      <c r="B298" s="4">
        <v>0</v>
      </c>
      <c r="C298" s="4">
        <v>0</v>
      </c>
      <c r="D298">
        <f>IF('исходные данные'!D298&gt;'минимумы и максимумы'!B$10,100,('исходные данные'!D298-'минимумы и максимумы'!B$9)/('минимумы и максимумы'!B$10-'минимумы и максимумы'!B$9)*100)</f>
        <v>11.111111111111111</v>
      </c>
      <c r="E298">
        <f>IF('исходные данные'!E298&gt;'минимумы и максимумы'!C$10,100,('исходные данные'!E298-'минимумы и максимумы'!C$9)/('минимумы и максимумы'!C$10-'минимумы и максимумы'!C$9)*100)</f>
        <v>40</v>
      </c>
      <c r="F298">
        <f>IF('исходные данные'!F298&gt;'минимумы и максимумы'!D$10,100,('исходные данные'!F298-'минимумы и максимумы'!D$9)/('минимумы и максимумы'!D$10-'минимумы и максимумы'!D$9)*100)</f>
        <v>33.333333333333329</v>
      </c>
      <c r="G298">
        <f>IF('исходные данные'!G298&gt;'минимумы и максимумы'!E$10,100,('исходные данные'!G298-'минимумы и максимумы'!E$9)/('минимумы и максимумы'!E$10-'минимумы и максимумы'!E$9)*100)</f>
        <v>29.166666666666668</v>
      </c>
      <c r="H298">
        <f>IF('исходные данные'!H298&gt;'минимумы и максимумы'!F$10,100,('исходные данные'!H298-'минимумы и максимумы'!F$9)/('минимумы и максимумы'!F$10-'минимумы и максимумы'!F$9)*100)</f>
        <v>37.931034482758619</v>
      </c>
      <c r="I298">
        <f>IF('исходные данные'!I298&gt;'минимумы и максимумы'!G$10,100,('исходные данные'!I298-'минимумы и максимумы'!G$9)/('минимумы и максимумы'!G$10-'минимумы и максимумы'!G$9)*100)</f>
        <v>11.320754716981133</v>
      </c>
      <c r="J298">
        <f>IF('исходные данные'!J298&gt;'минимумы и максимумы'!H$10,100,('исходные данные'!J298-'минимумы и максимумы'!H$9)/('минимумы и максимумы'!H$10-'минимумы и максимумы'!H$9)*100)</f>
        <v>13.333333333333334</v>
      </c>
      <c r="K298">
        <f>IF('исходные данные'!K298&gt;'минимумы и максимумы'!I$10,100,('исходные данные'!K298-'минимумы и максимумы'!I$9)/('минимумы и максимумы'!I$10-'минимумы и максимумы'!I$9)*100)</f>
        <v>5.5555555555555554</v>
      </c>
      <c r="L298">
        <f>IF('исходные данные'!L298&gt;'минимумы и максимумы'!J$10,100,('исходные данные'!L298-'минимумы и максимумы'!J$9)/('минимумы и максимумы'!J$10-'минимумы и максимумы'!J$9)*100)</f>
        <v>0</v>
      </c>
      <c r="M298">
        <f>IF('исходные данные'!M298&gt;'минимумы и максимумы'!K$10,100,('исходные данные'!M298-'минимумы и максимумы'!K$9)/('минимумы и максимумы'!K$10-'минимумы и максимумы'!K$9)*100)</f>
        <v>60.714285714285708</v>
      </c>
      <c r="N298">
        <f>IF('исходные данные'!N298&gt;'минимумы и максимумы'!L$10,100,('исходные данные'!N298-'минимумы и максимумы'!L$9)/('минимумы и максимумы'!L$10-'минимумы и максимумы'!L$9)*100)</f>
        <v>61.87292359889048</v>
      </c>
      <c r="O298">
        <f>IF('исходные данные'!O298&gt;'минимумы и максимумы'!M$10,100,('исходные данные'!O298-'минимумы и максимумы'!M$9)/('минимумы и максимумы'!M$10-'минимумы и максимумы'!M$9)*100)</f>
        <v>33.333333333333329</v>
      </c>
      <c r="P298">
        <f>IF('исходные данные'!P298&gt;'минимумы и максимумы'!N$10,100,('исходные данные'!P298-'минимумы и максимумы'!N$9)/('минимумы и максимумы'!N$10-'минимумы и максимумы'!N$9)*100)</f>
        <v>0</v>
      </c>
      <c r="Q298">
        <f>IF('исходные данные'!Q298&gt;'минимумы и максимумы'!O$10,100,('исходные данные'!Q298-'минимумы и максимумы'!O$9)/('минимумы и максимумы'!O$10-'минимумы и максимумы'!O$9)*100)</f>
        <v>100</v>
      </c>
      <c r="R298">
        <f>IF('исходные данные'!R298&gt;'минимумы и максимумы'!P$10,100,('исходные данные'!R298-'минимумы и максимумы'!P$9)/('минимумы и максимумы'!P$10-'минимумы и максимумы'!P$9)*100)</f>
        <v>100</v>
      </c>
      <c r="S298">
        <f>IF('исходные данные'!S298&gt;'минимумы и максимумы'!Q$10,100,('исходные данные'!S298-'минимумы и максимумы'!Q$9)/('минимумы и максимумы'!Q$10-'минимумы и максимумы'!Q$9)*100)</f>
        <v>83.333333333333343</v>
      </c>
      <c r="T298">
        <f>IF('исходные данные'!T298&gt;'минимумы и максимумы'!R$10,100,('исходные данные'!T298-'минимумы и максимумы'!R$9)/('минимумы и максимумы'!R$10-'минимумы и максимумы'!R$9)*100)</f>
        <v>52.790563866513232</v>
      </c>
      <c r="U298">
        <f>IF('исходные данные'!U298&gt;'минимумы и максимумы'!S$10,100,('исходные данные'!U298-'минимумы и максимумы'!S$9)/('минимумы и максимумы'!S$10-'минимумы и максимумы'!S$9)*100)</f>
        <v>66.666666666666657</v>
      </c>
    </row>
    <row r="299" spans="1:21" x14ac:dyDescent="0.45">
      <c r="A299" s="4">
        <v>401</v>
      </c>
      <c r="B299" s="4">
        <v>0</v>
      </c>
      <c r="C299" s="4">
        <v>0</v>
      </c>
      <c r="D299">
        <f>IF('исходные данные'!D299&gt;'минимумы и максимумы'!B$10,100,('исходные данные'!D299-'минимумы и максимумы'!B$9)/('минимумы и максимумы'!B$10-'минимумы и максимумы'!B$9)*100)</f>
        <v>11.111111111111111</v>
      </c>
      <c r="E299">
        <f>IF('исходные данные'!E299&gt;'минимумы и максимумы'!C$10,100,('исходные данные'!E299-'минимумы и максимумы'!C$9)/('минимумы и максимумы'!C$10-'минимумы и максимумы'!C$9)*100)</f>
        <v>30</v>
      </c>
      <c r="F299">
        <f>IF('исходные данные'!F299&gt;'минимумы и максимумы'!D$10,100,('исходные данные'!F299-'минимумы и максимумы'!D$9)/('минимумы и максимумы'!D$10-'минимумы и максимумы'!D$9)*100)</f>
        <v>0</v>
      </c>
      <c r="G299">
        <f>IF('исходные данные'!G299&gt;'минимумы и максимумы'!E$10,100,('исходные данные'!G299-'минимумы и максимумы'!E$9)/('минимумы и максимумы'!E$10-'минимумы и максимумы'!E$9)*100)</f>
        <v>4.1666666666666661</v>
      </c>
      <c r="H299">
        <f>IF('исходные данные'!H299&gt;'минимумы и максимумы'!F$10,100,('исходные данные'!H299-'минимумы и максимумы'!F$9)/('минимумы и максимумы'!F$10-'минимумы и максимумы'!F$9)*100)</f>
        <v>13.793103448275861</v>
      </c>
      <c r="I299">
        <f>IF('исходные данные'!I299&gt;'минимумы и максимумы'!G$10,100,('исходные данные'!I299-'минимумы и максимумы'!G$9)/('минимумы и максимумы'!G$10-'минимумы и максимумы'!G$9)*100)</f>
        <v>0</v>
      </c>
      <c r="J299">
        <f>IF('исходные данные'!J299&gt;'минимумы и максимумы'!H$10,100,('исходные данные'!J299-'минимумы и максимумы'!H$9)/('минимумы и максимумы'!H$10-'минимумы и максимумы'!H$9)*100)</f>
        <v>0</v>
      </c>
      <c r="K299">
        <f>IF('исходные данные'!K299&gt;'минимумы и максимумы'!I$10,100,('исходные данные'!K299-'минимумы и максимумы'!I$9)/('минимумы и максимумы'!I$10-'минимумы и максимумы'!I$9)*100)</f>
        <v>0</v>
      </c>
      <c r="L299">
        <f>IF('исходные данные'!L299&gt;'минимумы и максимумы'!J$10,100,('исходные данные'!L299-'минимумы и максимумы'!J$9)/('минимумы и максимумы'!J$10-'минимумы и максимумы'!J$9)*100)</f>
        <v>0</v>
      </c>
      <c r="M299">
        <f>IF('исходные данные'!M299&gt;'минимумы и максимумы'!K$10,100,('исходные данные'!M299-'минимумы и максимумы'!K$9)/('минимумы и максимумы'!K$10-'минимумы и максимумы'!K$9)*100)</f>
        <v>7.1428571428571423</v>
      </c>
      <c r="N299">
        <f>IF('исходные данные'!N299&gt;'минимумы и максимумы'!L$10,100,('исходные данные'!N299-'минимумы и максимумы'!L$9)/('минимумы и максимумы'!L$10-'минимумы и максимумы'!L$9)*100)</f>
        <v>65.283907329719057</v>
      </c>
      <c r="O299">
        <f>IF('исходные данные'!O299&gt;'минимумы и максимумы'!M$10,100,('исходные данные'!O299-'минимумы и максимумы'!M$9)/('минимумы и максимумы'!M$10-'минимумы и максимумы'!M$9)*100)</f>
        <v>0</v>
      </c>
      <c r="P299">
        <f>IF('исходные данные'!P299&gt;'минимумы и максимумы'!N$10,100,('исходные данные'!P299-'минимумы и максимумы'!N$9)/('минимумы и максимумы'!N$10-'минимумы и максимумы'!N$9)*100)</f>
        <v>0</v>
      </c>
      <c r="Q299">
        <f>IF('исходные данные'!Q299&gt;'минимумы и максимумы'!O$10,100,('исходные данные'!Q299-'минимумы и максимумы'!O$9)/('минимумы и максимумы'!O$10-'минимумы и максимумы'!O$9)*100)</f>
        <v>100</v>
      </c>
      <c r="R299">
        <f>IF('исходные данные'!R299&gt;'минимумы и максимумы'!P$10,100,('исходные данные'!R299-'минимумы и максимумы'!P$9)/('минимумы и максимумы'!P$10-'минимумы и максимумы'!P$9)*100)</f>
        <v>100</v>
      </c>
      <c r="S299">
        <f>IF('исходные данные'!S299&gt;'минимумы и максимумы'!Q$10,100,('исходные данные'!S299-'минимумы и максимумы'!Q$9)/('минимумы и максимумы'!Q$10-'минимумы и максимумы'!Q$9)*100)</f>
        <v>33.333333333333329</v>
      </c>
      <c r="T299">
        <f>IF('исходные данные'!T299&gt;'минимумы и максимумы'!R$10,100,('исходные данные'!T299-'минимумы и максимумы'!R$9)/('минимумы и максимумы'!R$10-'минимумы и максимумы'!R$9)*100)</f>
        <v>15.851553509781358</v>
      </c>
      <c r="U299">
        <f>IF('исходные данные'!U299&gt;'минимумы и максимумы'!S$10,100,('исходные данные'!U299-'минимумы и максимумы'!S$9)/('минимумы и максимумы'!S$10-'минимумы и максимумы'!S$9)*100)</f>
        <v>33.333333333333329</v>
      </c>
    </row>
    <row r="300" spans="1:21" x14ac:dyDescent="0.45">
      <c r="A300" s="4">
        <v>402</v>
      </c>
      <c r="B300" s="4">
        <v>0</v>
      </c>
      <c r="C300" s="4">
        <v>1</v>
      </c>
      <c r="D300">
        <f>IF('исходные данные'!D300&gt;'минимумы и максимумы'!B$10,100,('исходные данные'!D300-'минимумы и максимумы'!B$9)/('минимумы и максимумы'!B$10-'минимумы и максимумы'!B$9)*100)</f>
        <v>0</v>
      </c>
      <c r="E300">
        <f>IF('исходные данные'!E300&gt;'минимумы и максимумы'!C$10,100,('исходные данные'!E300-'минимумы и максимумы'!C$9)/('минимумы и максимумы'!C$10-'минимумы и максимумы'!C$9)*100)</f>
        <v>20</v>
      </c>
      <c r="F300">
        <f>IF('исходные данные'!F300&gt;'минимумы и максимумы'!D$10,100,('исходные данные'!F300-'минимумы и максимумы'!D$9)/('минимумы и максимумы'!D$10-'минимумы и максимумы'!D$9)*100)</f>
        <v>0</v>
      </c>
      <c r="G300">
        <f>IF('исходные данные'!G300&gt;'минимумы и максимумы'!E$10,100,('исходные данные'!G300-'минимумы и максимумы'!E$9)/('минимумы и максимумы'!E$10-'минимумы и максимумы'!E$9)*100)</f>
        <v>4.1666666666666661</v>
      </c>
      <c r="H300">
        <f>IF('исходные данные'!H300&gt;'минимумы и максимумы'!F$10,100,('исходные данные'!H300-'минимумы и максимумы'!F$9)/('минимумы и максимумы'!F$10-'минимумы и максимумы'!F$9)*100)</f>
        <v>13.793103448275861</v>
      </c>
      <c r="I300">
        <f>IF('исходные данные'!I300&gt;'минимумы и максимумы'!G$10,100,('исходные данные'!I300-'минимумы и максимумы'!G$9)/('минимумы и максимумы'!G$10-'минимумы и максимумы'!G$9)*100)</f>
        <v>1.8867924528301887</v>
      </c>
      <c r="J300">
        <f>IF('исходные данные'!J300&gt;'минимумы и максимумы'!H$10,100,('исходные данные'!J300-'минимумы и максимумы'!H$9)/('минимумы и максимумы'!H$10-'минимумы и максимумы'!H$9)*100)</f>
        <v>0</v>
      </c>
      <c r="K300">
        <f>IF('исходные данные'!K300&gt;'минимумы и максимумы'!I$10,100,('исходные данные'!K300-'минимумы и максимумы'!I$9)/('минимумы и максимумы'!I$10-'минимумы и максимумы'!I$9)*100)</f>
        <v>0</v>
      </c>
      <c r="L300">
        <f>IF('исходные данные'!L300&gt;'минимумы и максимумы'!J$10,100,('исходные данные'!L300-'минимумы и максимумы'!J$9)/('минимумы и максимумы'!J$10-'минимумы и максимумы'!J$9)*100)</f>
        <v>0</v>
      </c>
      <c r="M300">
        <f>IF('исходные данные'!M300&gt;'минимумы и максимумы'!K$10,100,('исходные данные'!M300-'минимумы и максимумы'!K$9)/('минимумы и максимумы'!K$10-'минимумы и максимумы'!K$9)*100)</f>
        <v>10.714285714285714</v>
      </c>
      <c r="N300">
        <f>IF('исходные данные'!N300&gt;'минимумы и максимумы'!L$10,100,('исходные данные'!N300-'минимумы и максимумы'!L$9)/('минимумы и максимумы'!L$10-'минимумы и максимумы'!L$9)*100)</f>
        <v>65.537030294298063</v>
      </c>
      <c r="O300">
        <f>IF('исходные данные'!O300&gt;'минимумы и максимумы'!M$10,100,('исходные данные'!O300-'минимумы и максимумы'!M$9)/('минимумы и максимумы'!M$10-'минимумы и максимумы'!M$9)*100)</f>
        <v>0</v>
      </c>
      <c r="P300">
        <f>IF('исходные данные'!P300&gt;'минимумы и максимумы'!N$10,100,('исходные данные'!P300-'минимумы и максимумы'!N$9)/('минимумы и максимумы'!N$10-'минимумы и максимумы'!N$9)*100)</f>
        <v>0</v>
      </c>
      <c r="Q300">
        <f>IF('исходные данные'!Q300&gt;'минимумы и максимумы'!O$10,100,('исходные данные'!Q300-'минимумы и максимумы'!O$9)/('минимумы и максимумы'!O$10-'минимумы и максимумы'!O$9)*100)</f>
        <v>100</v>
      </c>
      <c r="R300">
        <f>IF('исходные данные'!R300&gt;'минимумы и максимумы'!P$10,100,('исходные данные'!R300-'минимумы и максимумы'!P$9)/('минимумы и максимумы'!P$10-'минимумы и максимумы'!P$9)*100)</f>
        <v>100</v>
      </c>
      <c r="S300">
        <f>IF('исходные данные'!S300&gt;'минимумы и максимумы'!Q$10,100,('исходные данные'!S300-'минимумы и максимумы'!Q$9)/('минимумы и максимумы'!Q$10-'минимумы и максимумы'!Q$9)*100)</f>
        <v>33.333333333333329</v>
      </c>
      <c r="T300">
        <f>IF('исходные данные'!T300&gt;'минимумы и максимумы'!R$10,100,('исходные данные'!T300-'минимумы и максимумы'!R$9)/('минимумы и максимумы'!R$10-'минимумы и максимумы'!R$9)*100)</f>
        <v>16.254315304948218</v>
      </c>
      <c r="U300">
        <f>IF('исходные данные'!U300&gt;'минимумы и максимумы'!S$10,100,('исходные данные'!U300-'минимумы и максимумы'!S$9)/('минимумы и максимумы'!S$10-'минимумы и максимумы'!S$9)*100)</f>
        <v>33.333333333333329</v>
      </c>
    </row>
    <row r="301" spans="1:21" x14ac:dyDescent="0.45">
      <c r="A301" s="4">
        <v>404</v>
      </c>
      <c r="B301" s="4">
        <v>0</v>
      </c>
      <c r="C301" s="4">
        <v>0</v>
      </c>
      <c r="D301">
        <f>IF('исходные данные'!D301&gt;'минимумы и максимумы'!B$10,100,('исходные данные'!D301-'минимумы и максимумы'!B$9)/('минимумы и максимумы'!B$10-'минимумы и максимумы'!B$9)*100)</f>
        <v>11.111111111111111</v>
      </c>
      <c r="E301">
        <f>IF('исходные данные'!E301&gt;'минимумы и максимумы'!C$10,100,('исходные данные'!E301-'минимумы и максимумы'!C$9)/('минимумы и максимумы'!C$10-'минимумы и максимумы'!C$9)*100)</f>
        <v>10</v>
      </c>
      <c r="F301">
        <f>IF('исходные данные'!F301&gt;'минимумы и максимумы'!D$10,100,('исходные данные'!F301-'минимумы и максимумы'!D$9)/('минимумы и максимумы'!D$10-'минимумы и максимумы'!D$9)*100)</f>
        <v>0</v>
      </c>
      <c r="G301">
        <f>IF('исходные данные'!G301&gt;'минимумы и максимумы'!E$10,100,('исходные данные'!G301-'минимумы и максимумы'!E$9)/('минимумы и максимумы'!E$10-'минимумы и максимумы'!E$9)*100)</f>
        <v>16.666666666666664</v>
      </c>
      <c r="H301">
        <f>IF('исходные данные'!H301&gt;'минимумы и максимумы'!F$10,100,('исходные данные'!H301-'минимумы и максимумы'!F$9)/('минимумы и максимумы'!F$10-'минимумы и максимумы'!F$9)*100)</f>
        <v>27.586206896551722</v>
      </c>
      <c r="I301">
        <f>IF('исходные данные'!I301&gt;'минимумы и максимумы'!G$10,100,('исходные данные'!I301-'минимумы и максимумы'!G$9)/('минимумы и максимумы'!G$10-'минимумы и максимумы'!G$9)*100)</f>
        <v>7.5471698113207548</v>
      </c>
      <c r="J301">
        <f>IF('исходные данные'!J301&gt;'минимумы и максимумы'!H$10,100,('исходные данные'!J301-'минимумы и максимумы'!H$9)/('минимумы и максимумы'!H$10-'минимумы и максимумы'!H$9)*100)</f>
        <v>0</v>
      </c>
      <c r="K301">
        <f>IF('исходные данные'!K301&gt;'минимумы и максимумы'!I$10,100,('исходные данные'!K301-'минимумы и максимумы'!I$9)/('минимумы и максимумы'!I$10-'минимумы и максимумы'!I$9)*100)</f>
        <v>0</v>
      </c>
      <c r="L301">
        <f>IF('исходные данные'!L301&gt;'минимумы и максимумы'!J$10,100,('исходные данные'!L301-'минимумы и максимумы'!J$9)/('минимумы и максимумы'!J$10-'минимумы и максимумы'!J$9)*100)</f>
        <v>0</v>
      </c>
      <c r="M301">
        <f>IF('исходные данные'!M301&gt;'минимумы и максимумы'!K$10,100,('исходные данные'!M301-'минимумы и максимумы'!K$9)/('минимумы и максимумы'!K$10-'минимумы и максимумы'!K$9)*100)</f>
        <v>21.428571428571427</v>
      </c>
      <c r="N301">
        <f>IF('исходные данные'!N301&gt;'минимумы и максимумы'!L$10,100,('исходные данные'!N301-'минимумы и максимумы'!L$9)/('минимумы и максимумы'!L$10-'минимумы и максимумы'!L$9)*100)</f>
        <v>60.096697379366717</v>
      </c>
      <c r="O301">
        <f>IF('исходные данные'!O301&gt;'минимумы и максимумы'!M$10,100,('исходные данные'!O301-'минимумы и максимумы'!M$9)/('минимумы и максимумы'!M$10-'минимумы и максимумы'!M$9)*100)</f>
        <v>33.333333333333329</v>
      </c>
      <c r="P301">
        <f>IF('исходные данные'!P301&gt;'минимумы и максимумы'!N$10,100,('исходные данные'!P301-'минимумы и максимумы'!N$9)/('минимумы и максимумы'!N$10-'минимумы и максимумы'!N$9)*100)</f>
        <v>0</v>
      </c>
      <c r="Q301">
        <f>IF('исходные данные'!Q301&gt;'минимумы и максимумы'!O$10,100,('исходные данные'!Q301-'минимумы и максимумы'!O$9)/('минимумы и максимумы'!O$10-'минимумы и максимумы'!O$9)*100)</f>
        <v>0</v>
      </c>
      <c r="R301">
        <f>IF('исходные данные'!R301&gt;'минимумы и максимумы'!P$10,100,('исходные данные'!R301-'минимумы и максимумы'!P$9)/('минимумы и максимумы'!P$10-'минимумы и максимумы'!P$9)*100)</f>
        <v>75</v>
      </c>
      <c r="S301">
        <f>IF('исходные данные'!S301&gt;'минимумы и максимумы'!Q$10,100,('исходные данные'!S301-'минимумы и максимумы'!Q$9)/('минимумы и максимумы'!Q$10-'минимумы и максимумы'!Q$9)*100)</f>
        <v>16.666666666666664</v>
      </c>
      <c r="T301">
        <f>IF('исходные данные'!T301&gt;'минимумы и максимумы'!R$10,100,('исходные данные'!T301-'минимумы и максимумы'!R$9)/('минимумы и максимумы'!R$10-'минимумы и максимумы'!R$9)*100)</f>
        <v>31.271576524741079</v>
      </c>
      <c r="U301">
        <f>IF('исходные данные'!U301&gt;'минимумы и максимумы'!S$10,100,('исходные данные'!U301-'минимумы и максимумы'!S$9)/('минимумы и максимумы'!S$10-'минимумы и максимумы'!S$9)*100)</f>
        <v>66.666666666666657</v>
      </c>
    </row>
    <row r="302" spans="1:21" x14ac:dyDescent="0.45">
      <c r="A302" s="4">
        <v>405</v>
      </c>
      <c r="B302" s="4">
        <v>0</v>
      </c>
      <c r="C302" s="4">
        <v>0</v>
      </c>
      <c r="D302">
        <f>IF('исходные данные'!D302&gt;'минимумы и максимумы'!B$10,100,('исходные данные'!D302-'минимумы и максимумы'!B$9)/('минимумы и максимумы'!B$10-'минимумы и максимумы'!B$9)*100)</f>
        <v>22.222222222222221</v>
      </c>
      <c r="E302">
        <f>IF('исходные данные'!E302&gt;'минимумы и максимумы'!C$10,100,('исходные данные'!E302-'минимумы и максимумы'!C$9)/('минимумы и максимумы'!C$10-'минимумы и максимумы'!C$9)*100)</f>
        <v>20</v>
      </c>
      <c r="F302">
        <f>IF('исходные данные'!F302&gt;'минимумы и максимумы'!D$10,100,('исходные данные'!F302-'минимумы и максимумы'!D$9)/('минимумы и максимумы'!D$10-'минимумы и максимумы'!D$9)*100)</f>
        <v>0</v>
      </c>
      <c r="G302">
        <f>IF('исходные данные'!G302&gt;'минимумы и максимумы'!E$10,100,('исходные данные'!G302-'минимумы и максимумы'!E$9)/('минимумы и максимумы'!E$10-'минимумы и максимумы'!E$9)*100)</f>
        <v>16.666666666666664</v>
      </c>
      <c r="H302">
        <f>IF('исходные данные'!H302&gt;'минимумы и максимумы'!F$10,100,('исходные данные'!H302-'минимумы и максимумы'!F$9)/('минимумы и максимумы'!F$10-'минимумы и максимумы'!F$9)*100)</f>
        <v>10.344827586206897</v>
      </c>
      <c r="I302">
        <f>IF('исходные данные'!I302&gt;'минимумы и максимумы'!G$10,100,('исходные данные'!I302-'минимумы и максимумы'!G$9)/('минимумы и максимумы'!G$10-'минимумы и максимумы'!G$9)*100)</f>
        <v>7.5471698113207548</v>
      </c>
      <c r="J302">
        <f>IF('исходные данные'!J302&gt;'минимумы и максимумы'!H$10,100,('исходные данные'!J302-'минимумы и максимумы'!H$9)/('минимумы и максимумы'!H$10-'минимумы и максимумы'!H$9)*100)</f>
        <v>0</v>
      </c>
      <c r="K302">
        <f>IF('исходные данные'!K302&gt;'минимумы и максимумы'!I$10,100,('исходные данные'!K302-'минимумы и максимумы'!I$9)/('минимумы и максимумы'!I$10-'минимумы и максимумы'!I$9)*100)</f>
        <v>0</v>
      </c>
      <c r="L302">
        <f>IF('исходные данные'!L302&gt;'минимумы и максимумы'!J$10,100,('исходные данные'!L302-'минимумы и максимумы'!J$9)/('минимумы и максимумы'!J$10-'минимумы и максимумы'!J$9)*100)</f>
        <v>0</v>
      </c>
      <c r="M302">
        <f>IF('исходные данные'!M302&gt;'минимумы и максимумы'!K$10,100,('исходные данные'!M302-'минимумы и максимумы'!K$9)/('минимумы и максимумы'!K$10-'минимумы и максимумы'!K$9)*100)</f>
        <v>14.285714285714285</v>
      </c>
      <c r="N302">
        <f>IF('исходные данные'!N302&gt;'минимумы и максимумы'!L$10,100,('исходные данные'!N302-'минимумы и максимумы'!L$9)/('минимумы и максимумы'!L$10-'минимумы и максимумы'!L$9)*100)</f>
        <v>58.58827881616746</v>
      </c>
      <c r="O302">
        <f>IF('исходные данные'!O302&gt;'минимумы и максимумы'!M$10,100,('исходные данные'!O302-'минимумы и максимумы'!M$9)/('минимумы и максимумы'!M$10-'минимумы и максимумы'!M$9)*100)</f>
        <v>0</v>
      </c>
      <c r="P302">
        <f>IF('исходные данные'!P302&gt;'минимумы и максимумы'!N$10,100,('исходные данные'!P302-'минимумы и максимумы'!N$9)/('минимумы и максимумы'!N$10-'минимумы и максимумы'!N$9)*100)</f>
        <v>0</v>
      </c>
      <c r="Q302">
        <f>IF('исходные данные'!Q302&gt;'минимумы и максимумы'!O$10,100,('исходные данные'!Q302-'минимумы и максимумы'!O$9)/('минимумы и максимумы'!O$10-'минимумы и максимумы'!O$9)*100)</f>
        <v>0</v>
      </c>
      <c r="R302">
        <f>IF('исходные данные'!R302&gt;'минимумы и максимумы'!P$10,100,('исходные данные'!R302-'минимумы и максимумы'!P$9)/('минимумы и максимумы'!P$10-'минимумы и максимумы'!P$9)*100)</f>
        <v>0</v>
      </c>
      <c r="S302">
        <f>IF('исходные данные'!S302&gt;'минимумы и максимумы'!Q$10,100,('исходные данные'!S302-'минимумы и максимумы'!Q$9)/('минимумы и максимумы'!Q$10-'минимумы и максимумы'!Q$9)*100)</f>
        <v>33.333333333333329</v>
      </c>
      <c r="T302">
        <f>IF('исходные данные'!T302&gt;'минимумы и максимумы'!R$10,100,('исходные данные'!T302-'минимумы и максимумы'!R$9)/('минимумы и максимумы'!R$10-'минимумы и максимумы'!R$9)*100)</f>
        <v>4.6605293440736482</v>
      </c>
      <c r="U302">
        <f>IF('исходные данные'!U302&gt;'минимумы и максимумы'!S$10,100,('исходные данные'!U302-'минимумы и максимумы'!S$9)/('минимумы и максимумы'!S$10-'минимумы и максимумы'!S$9)*100)</f>
        <v>0</v>
      </c>
    </row>
    <row r="303" spans="1:21" x14ac:dyDescent="0.45">
      <c r="A303" s="4">
        <v>406</v>
      </c>
      <c r="B303" s="4">
        <v>0</v>
      </c>
      <c r="C303" s="4">
        <v>0</v>
      </c>
      <c r="D303">
        <f>IF('исходные данные'!D303&gt;'минимумы и максимумы'!B$10,100,('исходные данные'!D303-'минимумы и максимумы'!B$9)/('минимумы и максимумы'!B$10-'минимумы и максимумы'!B$9)*100)</f>
        <v>0</v>
      </c>
      <c r="E303">
        <f>IF('исходные данные'!E303&gt;'минимумы и максимумы'!C$10,100,('исходные данные'!E303-'минимумы и максимумы'!C$9)/('минимумы и максимумы'!C$10-'минимумы и максимумы'!C$9)*100)</f>
        <v>0</v>
      </c>
      <c r="F303">
        <f>IF('исходные данные'!F303&gt;'минимумы и максимумы'!D$10,100,('исходные данные'!F303-'минимумы и максимумы'!D$9)/('минимумы и максимумы'!D$10-'минимумы и максимумы'!D$9)*100)</f>
        <v>0</v>
      </c>
      <c r="G303">
        <f>IF('исходные данные'!G303&gt;'минимумы и максимумы'!E$10,100,('исходные данные'!G303-'минимумы и максимумы'!E$9)/('минимумы и максимумы'!E$10-'минимумы и максимумы'!E$9)*100)</f>
        <v>4.1666666666666661</v>
      </c>
      <c r="H303">
        <f>IF('исходные данные'!H303&gt;'минимумы и максимумы'!F$10,100,('исходные данные'!H303-'минимумы и максимумы'!F$9)/('минимумы и максимумы'!F$10-'минимумы и максимумы'!F$9)*100)</f>
        <v>6.8965517241379306</v>
      </c>
      <c r="I303">
        <f>IF('исходные данные'!I303&gt;'минимумы и максимумы'!G$10,100,('исходные данные'!I303-'минимумы и максимумы'!G$9)/('минимумы и максимумы'!G$10-'минимумы и максимумы'!G$9)*100)</f>
        <v>9.433962264150944</v>
      </c>
      <c r="J303">
        <f>IF('исходные данные'!J303&gt;'минимумы и максимумы'!H$10,100,('исходные данные'!J303-'минимумы и максимумы'!H$9)/('минимумы и максимумы'!H$10-'минимумы и максимумы'!H$9)*100)</f>
        <v>0</v>
      </c>
      <c r="K303">
        <f>IF('исходные данные'!K303&gt;'минимумы и максимумы'!I$10,100,('исходные данные'!K303-'минимумы и максимумы'!I$9)/('минимумы и максимумы'!I$10-'минимумы и максимумы'!I$9)*100)</f>
        <v>33.333333333333329</v>
      </c>
      <c r="L303">
        <f>IF('исходные данные'!L303&gt;'минимумы и максимумы'!J$10,100,('исходные данные'!L303-'минимумы и максимумы'!J$9)/('минимумы и максимумы'!J$10-'минимумы и максимумы'!J$9)*100)</f>
        <v>0</v>
      </c>
      <c r="M303">
        <f>IF('исходные данные'!M303&gt;'минимумы и максимумы'!K$10,100,('исходные данные'!M303-'минимумы и максимумы'!K$9)/('минимумы и максимумы'!K$10-'минимумы и максимумы'!K$9)*100)</f>
        <v>17.857142857142858</v>
      </c>
      <c r="N303">
        <f>IF('исходные данные'!N303&gt;'минимумы и максимумы'!L$10,100,('исходные данные'!N303-'минимумы и максимумы'!L$9)/('минимумы и максимумы'!L$10-'минимумы и максимумы'!L$9)*100)</f>
        <v>27.335629584943526</v>
      </c>
      <c r="O303">
        <f>IF('исходные данные'!O303&gt;'минимумы и максимумы'!M$10,100,('исходные данные'!O303-'минимумы и максимумы'!M$9)/('минимумы и максимумы'!M$10-'минимумы и максимумы'!M$9)*100)</f>
        <v>0</v>
      </c>
      <c r="P303">
        <f>IF('исходные данные'!P303&gt;'минимумы и максимумы'!N$10,100,('исходные данные'!P303-'минимумы и максимумы'!N$9)/('минимумы и максимумы'!N$10-'минимумы и максимумы'!N$9)*100)</f>
        <v>0</v>
      </c>
      <c r="Q303">
        <f>IF('исходные данные'!Q303&gt;'минимумы и максимумы'!O$10,100,('исходные данные'!Q303-'минимумы и максимумы'!O$9)/('минимумы и максимумы'!O$10-'минимумы и максимумы'!O$9)*100)</f>
        <v>0</v>
      </c>
      <c r="R303">
        <f>IF('исходные данные'!R303&gt;'минимумы и максимумы'!P$10,100,('исходные данные'!R303-'минимумы и максимумы'!P$9)/('минимумы и максимумы'!P$10-'минимумы и максимумы'!P$9)*100)</f>
        <v>25</v>
      </c>
      <c r="S303">
        <f>IF('исходные данные'!S303&gt;'минимумы и максимумы'!Q$10,100,('исходные данные'!S303-'минимумы и максимумы'!Q$9)/('минимумы и максимумы'!Q$10-'минимумы и максимумы'!Q$9)*100)</f>
        <v>16.666666666666664</v>
      </c>
      <c r="T303">
        <f>IF('исходные данные'!T303&gt;'минимумы и максимумы'!R$10,100,('исходные данные'!T303-'минимумы и максимумы'!R$9)/('минимумы и максимумы'!R$10-'минимумы и максимумы'!R$9)*100)</f>
        <v>11.219792865362486</v>
      </c>
      <c r="U303">
        <f>IF('исходные данные'!U303&gt;'минимумы и максимумы'!S$10,100,('исходные данные'!U303-'минимумы и максимумы'!S$9)/('минимумы и максимумы'!S$10-'минимумы и максимумы'!S$9)*100)</f>
        <v>0</v>
      </c>
    </row>
    <row r="304" spans="1:21" x14ac:dyDescent="0.45">
      <c r="A304" s="4">
        <v>407</v>
      </c>
      <c r="B304" s="4">
        <v>0</v>
      </c>
      <c r="C304" s="4">
        <v>1</v>
      </c>
      <c r="D304">
        <f>IF('исходные данные'!D304&gt;'минимумы и максимумы'!B$10,100,('исходные данные'!D304-'минимумы и максимумы'!B$9)/('минимумы и максимумы'!B$10-'минимумы и максимумы'!B$9)*100)</f>
        <v>11.111111111111111</v>
      </c>
      <c r="E304">
        <f>IF('исходные данные'!E304&gt;'минимумы и максимумы'!C$10,100,('исходные данные'!E304-'минимумы и максимумы'!C$9)/('минимумы и максимумы'!C$10-'минимумы и максимумы'!C$9)*100)</f>
        <v>0</v>
      </c>
      <c r="F304">
        <f>IF('исходные данные'!F304&gt;'минимумы и максимумы'!D$10,100,('исходные данные'!F304-'минимумы и максимумы'!D$9)/('минимумы и максимумы'!D$10-'минимумы и максимумы'!D$9)*100)</f>
        <v>0</v>
      </c>
      <c r="G304">
        <f>IF('исходные данные'!G304&gt;'минимумы и максимумы'!E$10,100,('исходные данные'!G304-'минимумы и максимумы'!E$9)/('минимумы и максимумы'!E$10-'минимумы и максимумы'!E$9)*100)</f>
        <v>4.1666666666666661</v>
      </c>
      <c r="H304">
        <f>IF('исходные данные'!H304&gt;'минимумы и максимумы'!F$10,100,('исходные данные'!H304-'минимумы и максимумы'!F$9)/('минимумы и максимумы'!F$10-'минимумы и максимумы'!F$9)*100)</f>
        <v>6.8965517241379306</v>
      </c>
      <c r="I304">
        <f>IF('исходные данные'!I304&gt;'минимумы и максимумы'!G$10,100,('исходные данные'!I304-'минимумы и максимумы'!G$9)/('минимумы и максимумы'!G$10-'минимумы и максимумы'!G$9)*100)</f>
        <v>11.320754716981133</v>
      </c>
      <c r="J304">
        <f>IF('исходные данные'!J304&gt;'минимумы и максимумы'!H$10,100,('исходные данные'!J304-'минимумы и максимумы'!H$9)/('минимумы и максимумы'!H$10-'минимумы и максимумы'!H$9)*100)</f>
        <v>13.333333333333334</v>
      </c>
      <c r="K304">
        <f>IF('исходные данные'!K304&gt;'минимумы и максимумы'!I$10,100,('исходные данные'!K304-'минимумы и максимумы'!I$9)/('минимумы и максимумы'!I$10-'минимумы и максимумы'!I$9)*100)</f>
        <v>33.333333333333329</v>
      </c>
      <c r="L304">
        <f>IF('исходные данные'!L304&gt;'минимумы и максимумы'!J$10,100,('исходные данные'!L304-'минимумы и максимумы'!J$9)/('минимумы и максимумы'!J$10-'минимумы и максимумы'!J$9)*100)</f>
        <v>0</v>
      </c>
      <c r="M304">
        <f>IF('исходные данные'!M304&gt;'минимумы и максимумы'!K$10,100,('исходные данные'!M304-'минимумы и максимумы'!K$9)/('минимумы и максимумы'!K$10-'минимумы и максимумы'!K$9)*100)</f>
        <v>32.142857142857146</v>
      </c>
      <c r="N304">
        <f>IF('исходные данные'!N304&gt;'минимумы и максимумы'!L$10,100,('исходные данные'!N304-'минимумы и максимумы'!L$9)/('минимумы и максимумы'!L$10-'минимумы и максимумы'!L$9)*100)</f>
        <v>27.619608425413507</v>
      </c>
      <c r="O304">
        <f>IF('исходные данные'!O304&gt;'минимумы и максимумы'!M$10,100,('исходные данные'!O304-'минимумы и максимумы'!M$9)/('минимумы и максимумы'!M$10-'минимумы и максимумы'!M$9)*100)</f>
        <v>0</v>
      </c>
      <c r="P304">
        <f>IF('исходные данные'!P304&gt;'минимумы и максимумы'!N$10,100,('исходные данные'!P304-'минимумы и максимумы'!N$9)/('минимумы и максимумы'!N$10-'минимумы и максимумы'!N$9)*100)</f>
        <v>0</v>
      </c>
      <c r="Q304">
        <f>IF('исходные данные'!Q304&gt;'минимумы и максимумы'!O$10,100,('исходные данные'!Q304-'минимумы и максимумы'!O$9)/('минимумы и максимумы'!O$10-'минимумы и максимумы'!O$9)*100)</f>
        <v>0</v>
      </c>
      <c r="R304">
        <f>IF('исходные данные'!R304&gt;'минимумы и максимумы'!P$10,100,('исходные данные'!R304-'минимумы и максимумы'!P$9)/('минимумы и максимумы'!P$10-'минимумы и максимумы'!P$9)*100)</f>
        <v>25</v>
      </c>
      <c r="S304">
        <f>IF('исходные данные'!S304&gt;'минимумы и максимумы'!Q$10,100,('исходные данные'!S304-'минимумы и максимумы'!Q$9)/('минимумы и максимумы'!Q$10-'минимумы и максимумы'!Q$9)*100)</f>
        <v>33.333333333333329</v>
      </c>
      <c r="T304">
        <f>IF('исходные данные'!T304&gt;'минимумы и максимумы'!R$10,100,('исходные данные'!T304-'минимумы и максимумы'!R$9)/('минимумы и максимумы'!R$10-'минимумы и максимумы'!R$9)*100)</f>
        <v>39.585730724971228</v>
      </c>
      <c r="U304">
        <f>IF('исходные данные'!U304&gt;'минимумы и максимумы'!S$10,100,('исходные данные'!U304-'минимумы и максимумы'!S$9)/('минимумы и максимумы'!S$10-'минимумы и максимумы'!S$9)*100)</f>
        <v>33.333333333333329</v>
      </c>
    </row>
    <row r="305" spans="1:21" x14ac:dyDescent="0.45">
      <c r="A305" s="4">
        <v>408</v>
      </c>
      <c r="B305" s="4">
        <v>0</v>
      </c>
      <c r="C305" s="4">
        <v>1</v>
      </c>
      <c r="D305">
        <f>IF('исходные данные'!D305&gt;'минимумы и максимумы'!B$10,100,('исходные данные'!D305-'минимумы и максимумы'!B$9)/('минимумы и максимумы'!B$10-'минимумы и максимумы'!B$9)*100)</f>
        <v>11.111111111111111</v>
      </c>
      <c r="E305">
        <f>IF('исходные данные'!E305&gt;'минимумы и максимумы'!C$10,100,('исходные данные'!E305-'минимумы и максимумы'!C$9)/('минимумы и максимумы'!C$10-'минимумы и максимумы'!C$9)*100)</f>
        <v>0</v>
      </c>
      <c r="F305">
        <f>IF('исходные данные'!F305&gt;'минимумы и максимумы'!D$10,100,('исходные данные'!F305-'минимумы и максимумы'!D$9)/('минимумы и максимумы'!D$10-'минимумы и максимумы'!D$9)*100)</f>
        <v>0</v>
      </c>
      <c r="G305">
        <f>IF('исходные данные'!G305&gt;'минимумы и максимумы'!E$10,100,('исходные данные'!G305-'минимумы и максимумы'!E$9)/('минимумы и максимумы'!E$10-'минимумы и максимумы'!E$9)*100)</f>
        <v>4.1666666666666661</v>
      </c>
      <c r="H305">
        <f>IF('исходные данные'!H305&gt;'минимумы и максимумы'!F$10,100,('исходные данные'!H305-'минимумы и максимумы'!F$9)/('минимумы и максимумы'!F$10-'минимумы и максимумы'!F$9)*100)</f>
        <v>6.8965517241379306</v>
      </c>
      <c r="I305">
        <f>IF('исходные данные'!I305&gt;'минимумы и максимумы'!G$10,100,('исходные данные'!I305-'минимумы и максимумы'!G$9)/('минимумы и максимумы'!G$10-'минимумы и максимумы'!G$9)*100)</f>
        <v>5.6603773584905666</v>
      </c>
      <c r="J305">
        <f>IF('исходные данные'!J305&gt;'минимумы и максимумы'!H$10,100,('исходные данные'!J305-'минимумы и максимумы'!H$9)/('минимумы и максимумы'!H$10-'минимумы и максимумы'!H$9)*100)</f>
        <v>0</v>
      </c>
      <c r="K305">
        <f>IF('исходные данные'!K305&gt;'минимумы и максимумы'!I$10,100,('исходные данные'!K305-'минимумы и максимумы'!I$9)/('минимумы и максимумы'!I$10-'минимумы и максимумы'!I$9)*100)</f>
        <v>27.777777777777779</v>
      </c>
      <c r="L305">
        <f>IF('исходные данные'!L305&gt;'минимумы и максимумы'!J$10,100,('исходные данные'!L305-'минимумы и максимумы'!J$9)/('минимумы и максимумы'!J$10-'минимумы и максимумы'!J$9)*100)</f>
        <v>0</v>
      </c>
      <c r="M305">
        <f>IF('исходные данные'!M305&gt;'минимумы и максимумы'!K$10,100,('исходные данные'!M305-'минимумы и максимумы'!K$9)/('минимумы и максимумы'!K$10-'минимумы и максимумы'!K$9)*100)</f>
        <v>28.571428571428569</v>
      </c>
      <c r="N305">
        <f>IF('исходные данные'!N305&gt;'минимумы и максимумы'!L$10,100,('исходные данные'!N305-'минимумы и максимумы'!L$9)/('минимумы и максимумы'!L$10-'минимумы и максимумы'!L$9)*100)</f>
        <v>27.940039326288396</v>
      </c>
      <c r="O305">
        <f>IF('исходные данные'!O305&gt;'минимумы и максимумы'!M$10,100,('исходные данные'!O305-'минимумы и максимумы'!M$9)/('минимумы и максимумы'!M$10-'минимумы и максимумы'!M$9)*100)</f>
        <v>33.333333333333329</v>
      </c>
      <c r="P305">
        <f>IF('исходные данные'!P305&gt;'минимумы и максимумы'!N$10,100,('исходные данные'!P305-'минимумы и максимумы'!N$9)/('минимумы и максимумы'!N$10-'минимумы и максимумы'!N$9)*100)</f>
        <v>0</v>
      </c>
      <c r="Q305">
        <f>IF('исходные данные'!Q305&gt;'минимумы и максимумы'!O$10,100,('исходные данные'!Q305-'минимумы и максимумы'!O$9)/('минимумы и максимумы'!O$10-'минимумы и максимумы'!O$9)*100)</f>
        <v>0</v>
      </c>
      <c r="R305">
        <f>IF('исходные данные'!R305&gt;'минимумы и максимумы'!P$10,100,('исходные данные'!R305-'минимумы и максимумы'!P$9)/('минимумы и максимумы'!P$10-'минимумы и максимумы'!P$9)*100)</f>
        <v>25</v>
      </c>
      <c r="S305">
        <f>IF('исходные данные'!S305&gt;'минимумы и максимумы'!Q$10,100,('исходные данные'!S305-'минимумы и максимумы'!Q$9)/('минимумы и максимумы'!Q$10-'минимумы и максимумы'!Q$9)*100)</f>
        <v>16.666666666666664</v>
      </c>
      <c r="T305">
        <f>IF('исходные данные'!T305&gt;'минимумы и максимумы'!R$10,100,('исходные данные'!T305-'минимумы и максимумы'!R$9)/('минимумы и максимумы'!R$10-'минимумы и максимумы'!R$9)*100)</f>
        <v>19.82163406214039</v>
      </c>
      <c r="U305">
        <f>IF('исходные данные'!U305&gt;'минимумы и максимумы'!S$10,100,('исходные данные'!U305-'минимумы и максимумы'!S$9)/('минимумы и максимумы'!S$10-'минимумы и максимумы'!S$9)*100)</f>
        <v>0</v>
      </c>
    </row>
    <row r="306" spans="1:21" x14ac:dyDescent="0.45">
      <c r="A306" s="4">
        <v>409</v>
      </c>
      <c r="B306" s="4">
        <v>0</v>
      </c>
      <c r="C306" s="4">
        <v>1</v>
      </c>
      <c r="D306">
        <f>IF('исходные данные'!D306&gt;'минимумы и максимумы'!B$10,100,('исходные данные'!D306-'минимумы и максимумы'!B$9)/('минимумы и максимумы'!B$10-'минимумы и максимумы'!B$9)*100)</f>
        <v>11.111111111111111</v>
      </c>
      <c r="E306">
        <f>IF('исходные данные'!E306&gt;'минимумы и максимумы'!C$10,100,('исходные данные'!E306-'минимумы и максимумы'!C$9)/('минимумы и максимумы'!C$10-'минимумы и максимумы'!C$9)*100)</f>
        <v>0</v>
      </c>
      <c r="F306">
        <f>IF('исходные данные'!F306&gt;'минимумы и максимумы'!D$10,100,('исходные данные'!F306-'минимумы и максимумы'!D$9)/('минимумы и максимумы'!D$10-'минимумы и максимумы'!D$9)*100)</f>
        <v>0</v>
      </c>
      <c r="G306">
        <f>IF('исходные данные'!G306&gt;'минимумы и максимумы'!E$10,100,('исходные данные'!G306-'минимумы и максимумы'!E$9)/('минимумы и максимумы'!E$10-'минимумы и максимумы'!E$9)*100)</f>
        <v>4.1666666666666661</v>
      </c>
      <c r="H306">
        <f>IF('исходные данные'!H306&gt;'минимумы и максимумы'!F$10,100,('исходные данные'!H306-'минимумы и максимумы'!F$9)/('минимумы и максимумы'!F$10-'минимумы и максимумы'!F$9)*100)</f>
        <v>6.8965517241379306</v>
      </c>
      <c r="I306">
        <f>IF('исходные данные'!I306&gt;'минимумы и максимумы'!G$10,100,('исходные данные'!I306-'минимумы и максимумы'!G$9)/('минимумы и максимумы'!G$10-'минимумы и максимумы'!G$9)*100)</f>
        <v>9.433962264150944</v>
      </c>
      <c r="J306">
        <f>IF('исходные данные'!J306&gt;'минимумы и максимумы'!H$10,100,('исходные данные'!J306-'минимумы и максимумы'!H$9)/('минимумы и максимумы'!H$10-'минимумы и максимумы'!H$9)*100)</f>
        <v>0</v>
      </c>
      <c r="K306">
        <f>IF('исходные данные'!K306&gt;'минимумы и максимумы'!I$10,100,('исходные данные'!K306-'минимумы и максимумы'!I$9)/('минимумы и максимумы'!I$10-'минимумы и максимумы'!I$9)*100)</f>
        <v>33.333333333333329</v>
      </c>
      <c r="L306">
        <f>IF('исходные данные'!L306&gt;'минимумы и максимумы'!J$10,100,('исходные данные'!L306-'минимумы и максимумы'!J$9)/('минимумы и максимумы'!J$10-'минимумы и максимумы'!J$9)*100)</f>
        <v>0</v>
      </c>
      <c r="M306">
        <f>IF('исходные данные'!M306&gt;'минимумы и максимумы'!K$10,100,('исходные данные'!M306-'минимумы и максимумы'!K$9)/('минимумы и максимумы'!K$10-'минимумы и максимумы'!K$9)*100)</f>
        <v>28.571428571428569</v>
      </c>
      <c r="N306">
        <f>IF('исходные данные'!N306&gt;'минимумы и максимумы'!L$10,100,('исходные данные'!N306-'минимумы и максимумы'!L$9)/('минимумы и максимумы'!L$10-'минимумы и максимумы'!L$9)*100)</f>
        <v>27.335629584943526</v>
      </c>
      <c r="O306">
        <f>IF('исходные данные'!O306&gt;'минимумы и максимумы'!M$10,100,('исходные данные'!O306-'минимумы и максимумы'!M$9)/('минимумы и максимумы'!M$10-'минимумы и максимумы'!M$9)*100)</f>
        <v>66.666666666666657</v>
      </c>
      <c r="P306">
        <f>IF('исходные данные'!P306&gt;'минимумы и максимумы'!N$10,100,('исходные данные'!P306-'минимумы и максимумы'!N$9)/('минимумы и максимумы'!N$10-'минимумы и максимумы'!N$9)*100)</f>
        <v>0</v>
      </c>
      <c r="Q306">
        <f>IF('исходные данные'!Q306&gt;'минимумы и максимумы'!O$10,100,('исходные данные'!Q306-'минимумы и максимумы'!O$9)/('минимумы и максимумы'!O$10-'минимумы и максимумы'!O$9)*100)</f>
        <v>100</v>
      </c>
      <c r="R306">
        <f>IF('исходные данные'!R306&gt;'минимумы и максимумы'!P$10,100,('исходные данные'!R306-'минимумы и максимумы'!P$9)/('минимумы и максимумы'!P$10-'минимумы и максимумы'!P$9)*100)</f>
        <v>25</v>
      </c>
      <c r="S306">
        <f>IF('исходные данные'!S306&gt;'минимумы и максимумы'!Q$10,100,('исходные данные'!S306-'минимумы и максимумы'!Q$9)/('минимумы и максимумы'!Q$10-'минимумы и максимумы'!Q$9)*100)</f>
        <v>66.666666666666657</v>
      </c>
      <c r="T306">
        <f>IF('исходные данные'!T306&gt;'минимумы и максимумы'!R$10,100,('исходные данные'!T306-'минимумы и максимумы'!R$9)/('минимумы и максимумы'!R$10-'минимумы и максимумы'!R$9)*100)</f>
        <v>23.331415420023017</v>
      </c>
      <c r="U306">
        <f>IF('исходные данные'!U306&gt;'минимумы и максимумы'!S$10,100,('исходные данные'!U306-'минимумы и максимумы'!S$9)/('минимумы и максимумы'!S$10-'минимумы и максимумы'!S$9)*100)</f>
        <v>33.333333333333329</v>
      </c>
    </row>
    <row r="307" spans="1:21" x14ac:dyDescent="0.45">
      <c r="A307" s="4">
        <v>410</v>
      </c>
      <c r="B307" s="4">
        <v>0</v>
      </c>
      <c r="C307" s="4">
        <v>0</v>
      </c>
      <c r="D307">
        <f>IF('исходные данные'!D307&gt;'минимумы и максимумы'!B$10,100,('исходные данные'!D307-'минимумы и максимумы'!B$9)/('минимумы и максимумы'!B$10-'минимумы и максимумы'!B$9)*100)</f>
        <v>0</v>
      </c>
      <c r="E307">
        <f>IF('исходные данные'!E307&gt;'минимумы и максимумы'!C$10,100,('исходные данные'!E307-'минимумы и максимумы'!C$9)/('минимумы и максимумы'!C$10-'минимумы и максимумы'!C$9)*100)</f>
        <v>0</v>
      </c>
      <c r="F307">
        <f>IF('исходные данные'!F307&gt;'минимумы и максимумы'!D$10,100,('исходные данные'!F307-'минимумы и максимумы'!D$9)/('минимумы и максимумы'!D$10-'минимумы и максимумы'!D$9)*100)</f>
        <v>0</v>
      </c>
      <c r="G307">
        <f>IF('исходные данные'!G307&gt;'минимумы и максимумы'!E$10,100,('исходные данные'!G307-'минимумы и максимумы'!E$9)/('минимумы и максимумы'!E$10-'минимумы и максимумы'!E$9)*100)</f>
        <v>0</v>
      </c>
      <c r="H307">
        <f>IF('исходные данные'!H307&gt;'минимумы и максимумы'!F$10,100,('исходные данные'!H307-'минимумы и максимумы'!F$9)/('минимумы и максимумы'!F$10-'минимумы и максимумы'!F$9)*100)</f>
        <v>0</v>
      </c>
      <c r="I307">
        <f>IF('исходные данные'!I307&gt;'минимумы и максимумы'!G$10,100,('исходные данные'!I307-'минимумы и максимумы'!G$9)/('минимумы и максимумы'!G$10-'минимумы и максимумы'!G$9)*100)</f>
        <v>11.320754716981133</v>
      </c>
      <c r="J307">
        <f>IF('исходные данные'!J307&gt;'минимумы и максимумы'!H$10,100,('исходные данные'!J307-'минимумы и максимумы'!H$9)/('минимумы и максимумы'!H$10-'минимумы и максимумы'!H$9)*100)</f>
        <v>0</v>
      </c>
      <c r="K307">
        <f>IF('исходные данные'!K307&gt;'минимумы и максимумы'!I$10,100,('исходные данные'!K307-'минимумы и максимумы'!I$9)/('минимумы и максимумы'!I$10-'минимумы и максимумы'!I$9)*100)</f>
        <v>5.5555555555555554</v>
      </c>
      <c r="L307">
        <f>IF('исходные данные'!L307&gt;'минимумы и максимумы'!J$10,100,('исходные данные'!L307-'минимумы и максимумы'!J$9)/('минимумы и максимумы'!J$10-'минимумы и максимумы'!J$9)*100)</f>
        <v>0</v>
      </c>
      <c r="M307">
        <f>IF('исходные данные'!M307&gt;'минимумы и максимумы'!K$10,100,('исходные данные'!M307-'минимумы и максимумы'!K$9)/('минимумы и максимумы'!K$10-'минимумы и максимумы'!K$9)*100)</f>
        <v>7.1428571428571423</v>
      </c>
      <c r="N307">
        <f>IF('исходные данные'!N307&gt;'минимумы и максимумы'!L$10,100,('исходные данные'!N307-'минимумы и максимумы'!L$9)/('минимумы и максимумы'!L$10-'минимумы и максимумы'!L$9)*100)</f>
        <v>28.038954823602523</v>
      </c>
      <c r="O307">
        <f>IF('исходные данные'!O307&gt;'минимумы и максимумы'!M$10,100,('исходные данные'!O307-'минимумы и максимумы'!M$9)/('минимумы и максимумы'!M$10-'минимумы и максимумы'!M$9)*100)</f>
        <v>0</v>
      </c>
      <c r="P307">
        <f>IF('исходные данные'!P307&gt;'минимумы и максимумы'!N$10,100,('исходные данные'!P307-'минимумы и максимумы'!N$9)/('минимумы и максимумы'!N$10-'минимумы и максимумы'!N$9)*100)</f>
        <v>0</v>
      </c>
      <c r="Q307">
        <f>IF('исходные данные'!Q307&gt;'минимумы и максимумы'!O$10,100,('исходные данные'!Q307-'минимумы и максимумы'!O$9)/('минимумы и максимумы'!O$10-'минимумы и максимумы'!O$9)*100)</f>
        <v>100</v>
      </c>
      <c r="R307">
        <f>IF('исходные данные'!R307&gt;'минимумы и максимумы'!P$10,100,('исходные данные'!R307-'минимумы и максимумы'!P$9)/('минимумы и максимумы'!P$10-'минимумы и максимумы'!P$9)*100)</f>
        <v>25</v>
      </c>
      <c r="S307">
        <f>IF('исходные данные'!S307&gt;'минимумы и максимумы'!Q$10,100,('исходные данные'!S307-'минимумы и максимумы'!Q$9)/('минимумы и максимумы'!Q$10-'минимумы и максимумы'!Q$9)*100)</f>
        <v>16.666666666666664</v>
      </c>
      <c r="T307">
        <f>IF('исходные данные'!T307&gt;'минимумы и максимумы'!R$10,100,('исходные данные'!T307-'минимумы и максимумы'!R$9)/('минимумы и максимумы'!R$10-'минимумы и максимумы'!R$9)*100)</f>
        <v>12.485615650172614</v>
      </c>
      <c r="U307">
        <f>IF('исходные данные'!U307&gt;'минимумы и максимумы'!S$10,100,('исходные данные'!U307-'минимумы и максимумы'!S$9)/('минимумы и максимумы'!S$10-'минимумы и максимумы'!S$9)*100)</f>
        <v>66.666666666666657</v>
      </c>
    </row>
    <row r="308" spans="1:21" x14ac:dyDescent="0.45">
      <c r="A308" s="4">
        <v>411</v>
      </c>
      <c r="B308" s="4">
        <v>0</v>
      </c>
      <c r="C308" s="4">
        <v>0</v>
      </c>
      <c r="D308">
        <f>IF('исходные данные'!D308&gt;'минимумы и максимумы'!B$10,100,('исходные данные'!D308-'минимумы и максимумы'!B$9)/('минимумы и максимумы'!B$10-'минимумы и максимумы'!B$9)*100)</f>
        <v>0</v>
      </c>
      <c r="E308">
        <f>IF('исходные данные'!E308&gt;'минимумы и максимумы'!C$10,100,('исходные данные'!E308-'минимумы и максимумы'!C$9)/('минимумы и максимумы'!C$10-'минимумы и максимумы'!C$9)*100)</f>
        <v>0</v>
      </c>
      <c r="F308">
        <f>IF('исходные данные'!F308&gt;'минимумы и максимумы'!D$10,100,('исходные данные'!F308-'минимумы и максимумы'!D$9)/('минимумы и максимумы'!D$10-'минимумы и максимумы'!D$9)*100)</f>
        <v>0</v>
      </c>
      <c r="G308">
        <f>IF('исходные данные'!G308&gt;'минимумы и максимумы'!E$10,100,('исходные данные'!G308-'минимумы и максимумы'!E$9)/('минимумы и максимумы'!E$10-'минимумы и максимумы'!E$9)*100)</f>
        <v>0</v>
      </c>
      <c r="H308">
        <f>IF('исходные данные'!H308&gt;'минимумы и максимумы'!F$10,100,('исходные данные'!H308-'минимумы и максимумы'!F$9)/('минимумы и максимумы'!F$10-'минимумы и максимумы'!F$9)*100)</f>
        <v>0</v>
      </c>
      <c r="I308">
        <f>IF('исходные данные'!I308&gt;'минимумы и максимумы'!G$10,100,('исходные данные'!I308-'минимумы и максимумы'!G$9)/('минимумы и максимумы'!G$10-'минимумы и максимумы'!G$9)*100)</f>
        <v>11.320754716981133</v>
      </c>
      <c r="J308">
        <f>IF('исходные данные'!J308&gt;'минимумы и максимумы'!H$10,100,('исходные данные'!J308-'минимумы и максимумы'!H$9)/('минимумы и максимумы'!H$10-'минимумы и максимумы'!H$9)*100)</f>
        <v>0</v>
      </c>
      <c r="K308">
        <f>IF('исходные данные'!K308&gt;'минимумы и максимумы'!I$10,100,('исходные данные'!K308-'минимумы и максимумы'!I$9)/('минимумы и максимумы'!I$10-'минимумы и максимумы'!I$9)*100)</f>
        <v>5.5555555555555554</v>
      </c>
      <c r="L308">
        <f>IF('исходные данные'!L308&gt;'минимумы и максимумы'!J$10,100,('исходные данные'!L308-'минимумы и максимумы'!J$9)/('минимумы и максимумы'!J$10-'минимумы и максимумы'!J$9)*100)</f>
        <v>0</v>
      </c>
      <c r="M308">
        <f>IF('исходные данные'!M308&gt;'минимумы и максимумы'!K$10,100,('исходные данные'!M308-'минимумы и максимумы'!K$9)/('минимумы и максимумы'!K$10-'минимумы и максимумы'!K$9)*100)</f>
        <v>7.1428571428571423</v>
      </c>
      <c r="N308">
        <f>IF('исходные данные'!N308&gt;'минимумы и максимумы'!L$10,100,('исходные данные'!N308-'минимумы и максимумы'!L$9)/('минимумы и максимумы'!L$10-'минимумы и максимумы'!L$9)*100)</f>
        <v>27.907428171033171</v>
      </c>
      <c r="O308">
        <f>IF('исходные данные'!O308&gt;'минимумы и максимумы'!M$10,100,('исходные данные'!O308-'минимумы и максимумы'!M$9)/('минимумы и максимумы'!M$10-'минимумы и максимумы'!M$9)*100)</f>
        <v>33.333333333333329</v>
      </c>
      <c r="P308">
        <f>IF('исходные данные'!P308&gt;'минимумы и максимумы'!N$10,100,('исходные данные'!P308-'минимумы и максимумы'!N$9)/('минимумы и максимумы'!N$10-'минимумы и максимумы'!N$9)*100)</f>
        <v>0</v>
      </c>
      <c r="Q308">
        <f>IF('исходные данные'!Q308&gt;'минимумы и максимумы'!O$10,100,('исходные данные'!Q308-'минимумы и максимумы'!O$9)/('минимумы и максимумы'!O$10-'минимумы и максимумы'!O$9)*100)</f>
        <v>100</v>
      </c>
      <c r="R308">
        <f>IF('исходные данные'!R308&gt;'минимумы и максимумы'!P$10,100,('исходные данные'!R308-'минимумы и максимумы'!P$9)/('минимумы и максимумы'!P$10-'минимумы и максимумы'!P$9)*100)</f>
        <v>25</v>
      </c>
      <c r="S308">
        <f>IF('исходные данные'!S308&gt;'минимумы и максимумы'!Q$10,100,('исходные данные'!S308-'минимумы и максимумы'!Q$9)/('минимумы и максимумы'!Q$10-'минимумы и максимумы'!Q$9)*100)</f>
        <v>16.666666666666664</v>
      </c>
      <c r="T308">
        <f>IF('исходные данные'!T308&gt;'минимумы и максимумы'!R$10,100,('исходные данные'!T308-'минимумы и максимумы'!R$9)/('минимумы и максимумы'!R$10-'минимумы и максимумы'!R$9)*100)</f>
        <v>7.7963176064441893</v>
      </c>
      <c r="U308">
        <f>IF('исходные данные'!U308&gt;'минимумы и максимумы'!S$10,100,('исходные данные'!U308-'минимумы и максимумы'!S$9)/('минимумы и максимумы'!S$10-'минимумы и максимумы'!S$9)*100)</f>
        <v>0</v>
      </c>
    </row>
    <row r="309" spans="1:21" x14ac:dyDescent="0.45">
      <c r="A309" s="4">
        <v>412</v>
      </c>
      <c r="B309" s="4">
        <v>0</v>
      </c>
      <c r="C309" s="4">
        <v>0</v>
      </c>
      <c r="D309">
        <f>IF('исходные данные'!D309&gt;'минимумы и максимумы'!B$10,100,('исходные данные'!D309-'минимумы и максимумы'!B$9)/('минимумы и максимумы'!B$10-'минимумы и максимумы'!B$9)*100)</f>
        <v>11.111111111111111</v>
      </c>
      <c r="E309">
        <f>IF('исходные данные'!E309&gt;'минимумы и максимумы'!C$10,100,('исходные данные'!E309-'минимумы и максимумы'!C$9)/('минимумы и максимумы'!C$10-'минимумы и максимумы'!C$9)*100)</f>
        <v>0</v>
      </c>
      <c r="F309">
        <f>IF('исходные данные'!F309&gt;'минимумы и максимумы'!D$10,100,('исходные данные'!F309-'минимумы и максимумы'!D$9)/('минимумы и максимумы'!D$10-'минимумы и максимумы'!D$9)*100)</f>
        <v>0</v>
      </c>
      <c r="G309">
        <f>IF('исходные данные'!G309&gt;'минимумы и максимумы'!E$10,100,('исходные данные'!G309-'минимумы и максимумы'!E$9)/('минимумы и максимумы'!E$10-'минимумы и максимумы'!E$9)*100)</f>
        <v>4.1666666666666661</v>
      </c>
      <c r="H309">
        <f>IF('исходные данные'!H309&gt;'минимумы и максимумы'!F$10,100,('исходные данные'!H309-'минимумы и максимумы'!F$9)/('минимумы и максимумы'!F$10-'минимумы и максимумы'!F$9)*100)</f>
        <v>6.8965517241379306</v>
      </c>
      <c r="I309">
        <f>IF('исходные данные'!I309&gt;'минимумы и максимумы'!G$10,100,('исходные данные'!I309-'минимумы и максимумы'!G$9)/('минимумы и максимумы'!G$10-'минимумы и максимумы'!G$9)*100)</f>
        <v>11.320754716981133</v>
      </c>
      <c r="J309">
        <f>IF('исходные данные'!J309&gt;'минимумы и максимумы'!H$10,100,('исходные данные'!J309-'минимумы и максимумы'!H$9)/('минимумы и максимумы'!H$10-'минимумы и максимумы'!H$9)*100)</f>
        <v>13.333333333333334</v>
      </c>
      <c r="K309">
        <f>IF('исходные данные'!K309&gt;'минимумы и максимумы'!I$10,100,('исходные данные'!K309-'минимумы и максимумы'!I$9)/('минимумы и максимумы'!I$10-'минимумы и максимумы'!I$9)*100)</f>
        <v>27.777777777777779</v>
      </c>
      <c r="L309">
        <f>IF('исходные данные'!L309&gt;'минимумы и максимумы'!J$10,100,('исходные данные'!L309-'минимумы и максимумы'!J$9)/('минимумы и максимумы'!J$10-'минимумы и максимумы'!J$9)*100)</f>
        <v>0</v>
      </c>
      <c r="M309">
        <f>IF('исходные данные'!M309&gt;'минимумы и максимумы'!K$10,100,('исходные данные'!M309-'минимумы и максимумы'!K$9)/('минимумы и максимумы'!K$10-'минимумы и максимумы'!K$9)*100)</f>
        <v>53.571428571428569</v>
      </c>
      <c r="N309">
        <f>IF('исходные данные'!N309&gt;'минимумы и максимумы'!L$10,100,('исходные данные'!N309-'минимумы и максимумы'!L$9)/('минимумы и максимумы'!L$10-'минимумы и максимумы'!L$9)*100)</f>
        <v>26.188073178535248</v>
      </c>
      <c r="O309">
        <f>IF('исходные данные'!O309&gt;'минимумы и максимумы'!M$10,100,('исходные данные'!O309-'минимумы и максимумы'!M$9)/('минимумы и максимумы'!M$10-'минимумы и максимумы'!M$9)*100)</f>
        <v>66.666666666666657</v>
      </c>
      <c r="P309">
        <f>IF('исходные данные'!P309&gt;'минимумы и максимумы'!N$10,100,('исходные данные'!P309-'минимумы и максимумы'!N$9)/('минимумы и максимумы'!N$10-'минимумы и максимумы'!N$9)*100)</f>
        <v>0</v>
      </c>
      <c r="Q309">
        <f>IF('исходные данные'!Q309&gt;'минимумы и максимумы'!O$10,100,('исходные данные'!Q309-'минимумы и максимумы'!O$9)/('минимумы и максимумы'!O$10-'минимумы и максимумы'!O$9)*100)</f>
        <v>100</v>
      </c>
      <c r="R309">
        <f>IF('исходные данные'!R309&gt;'минимумы и максимумы'!P$10,100,('исходные данные'!R309-'минимумы и максимумы'!P$9)/('минимумы и максимумы'!P$10-'минимумы и максимумы'!P$9)*100)</f>
        <v>25</v>
      </c>
      <c r="S309">
        <f>IF('исходные данные'!S309&gt;'минимумы и максимумы'!Q$10,100,('исходные данные'!S309-'минимумы и максимумы'!Q$9)/('минимумы и максимумы'!Q$10-'минимумы и максимумы'!Q$9)*100)</f>
        <v>66.666666666666657</v>
      </c>
      <c r="T309">
        <f>IF('исходные данные'!T309&gt;'минимумы и максимумы'!R$10,100,('исходные данные'!T309-'минимумы и максимумы'!R$9)/('минимумы и максимумы'!R$10-'минимумы и максимумы'!R$9)*100)</f>
        <v>39.06789413118527</v>
      </c>
      <c r="U309">
        <f>IF('исходные данные'!U309&gt;'минимумы и максимумы'!S$10,100,('исходные данные'!U309-'минимумы и максимумы'!S$9)/('минимумы и максимумы'!S$10-'минимумы и максимумы'!S$9)*100)</f>
        <v>66.666666666666657</v>
      </c>
    </row>
    <row r="310" spans="1:21" x14ac:dyDescent="0.45">
      <c r="A310" s="4">
        <v>413</v>
      </c>
      <c r="B310" s="4">
        <v>0</v>
      </c>
      <c r="C310" s="4">
        <v>0</v>
      </c>
      <c r="D310">
        <f>IF('исходные данные'!D310&gt;'минимумы и максимумы'!B$10,100,('исходные данные'!D310-'минимумы и максимумы'!B$9)/('минимумы и максимумы'!B$10-'минимумы и максимумы'!B$9)*100)</f>
        <v>0</v>
      </c>
      <c r="E310">
        <f>IF('исходные данные'!E310&gt;'минимумы и максимумы'!C$10,100,('исходные данные'!E310-'минимумы и максимумы'!C$9)/('минимумы и максимумы'!C$10-'минимумы и максимумы'!C$9)*100)</f>
        <v>0</v>
      </c>
      <c r="F310">
        <f>IF('исходные данные'!F310&gt;'минимумы и максимумы'!D$10,100,('исходные данные'!F310-'минимумы и максимумы'!D$9)/('минимумы и максимумы'!D$10-'минимумы и максимумы'!D$9)*100)</f>
        <v>0</v>
      </c>
      <c r="G310">
        <f>IF('исходные данные'!G310&gt;'минимумы и максимумы'!E$10,100,('исходные данные'!G310-'минимумы и максимумы'!E$9)/('минимумы и максимумы'!E$10-'минимумы и максимумы'!E$9)*100)</f>
        <v>0</v>
      </c>
      <c r="H310">
        <f>IF('исходные данные'!H310&gt;'минимумы и максимумы'!F$10,100,('исходные данные'!H310-'минимумы и максимумы'!F$9)/('минимумы и максимумы'!F$10-'минимумы и максимумы'!F$9)*100)</f>
        <v>0</v>
      </c>
      <c r="I310">
        <f>IF('исходные данные'!I310&gt;'минимумы и максимумы'!G$10,100,('исходные данные'!I310-'минимумы и максимумы'!G$9)/('минимумы и максимумы'!G$10-'минимумы и максимумы'!G$9)*100)</f>
        <v>1.8867924528301887</v>
      </c>
      <c r="J310">
        <f>IF('исходные данные'!J310&gt;'минимумы и максимумы'!H$10,100,('исходные данные'!J310-'минимумы и максимумы'!H$9)/('минимумы и максимумы'!H$10-'минимумы и максимумы'!H$9)*100)</f>
        <v>0</v>
      </c>
      <c r="K310">
        <f>IF('исходные данные'!K310&gt;'минимумы и максимумы'!I$10,100,('исходные данные'!K310-'минимумы и максимумы'!I$9)/('минимумы и максимумы'!I$10-'минимумы и максимумы'!I$9)*100)</f>
        <v>0</v>
      </c>
      <c r="L310">
        <f>IF('исходные данные'!L310&gt;'минимумы и максимумы'!J$10,100,('исходные данные'!L310-'минимумы и максимумы'!J$9)/('минимумы и максимумы'!J$10-'минимумы и максимумы'!J$9)*100)</f>
        <v>0</v>
      </c>
      <c r="M310">
        <f>IF('исходные данные'!M310&gt;'минимумы и максимумы'!K$10,100,('исходные данные'!M310-'минимумы и максимумы'!K$9)/('минимумы и максимумы'!K$10-'минимумы и максимумы'!K$9)*100)</f>
        <v>28.571428571428569</v>
      </c>
      <c r="N310">
        <f>IF('исходные данные'!N310&gt;'минимумы и максимумы'!L$10,100,('исходные данные'!N310-'минимумы и максимумы'!L$9)/('минимумы и максимумы'!L$10-'минимумы и максимумы'!L$9)*100)</f>
        <v>33.409872206553239</v>
      </c>
      <c r="O310">
        <f>IF('исходные данные'!O310&gt;'минимумы и максимумы'!M$10,100,('исходные данные'!O310-'минимумы и максимумы'!M$9)/('минимумы и максимумы'!M$10-'минимумы и максимумы'!M$9)*100)</f>
        <v>100</v>
      </c>
      <c r="P310">
        <f>IF('исходные данные'!P310&gt;'минимумы и максимумы'!N$10,100,('исходные данные'!P310-'минимумы и максимумы'!N$9)/('минимумы и максимумы'!N$10-'минимумы и максимумы'!N$9)*100)</f>
        <v>0</v>
      </c>
      <c r="Q310">
        <f>IF('исходные данные'!Q310&gt;'минимумы и максимумы'!O$10,100,('исходные данные'!Q310-'минимумы и максимумы'!O$9)/('минимумы и максимумы'!O$10-'минимумы и максимумы'!O$9)*100)</f>
        <v>100</v>
      </c>
      <c r="R310">
        <f>IF('исходные данные'!R310&gt;'минимумы и максимумы'!P$10,100,('исходные данные'!R310-'минимумы и максимумы'!P$9)/('минимумы и максимумы'!P$10-'минимумы и максимумы'!P$9)*100)</f>
        <v>75</v>
      </c>
      <c r="S310">
        <f>IF('исходные данные'!S310&gt;'минимумы и максимумы'!Q$10,100,('исходные данные'!S310-'минимумы и максимумы'!Q$9)/('минимумы и максимумы'!Q$10-'минимумы и максимумы'!Q$9)*100)</f>
        <v>50</v>
      </c>
      <c r="T310">
        <f>IF('исходные данные'!T310&gt;'минимумы и максимумы'!R$10,100,('исходные данные'!T310-'минимумы и максимумы'!R$9)/('минимумы и максимумы'!R$10-'минимумы и максимумы'!R$9)*100)</f>
        <v>96.087456846950516</v>
      </c>
      <c r="U310">
        <f>IF('исходные данные'!U310&gt;'минимумы и максимумы'!S$10,100,('исходные данные'!U310-'минимумы и максимумы'!S$9)/('минимумы и максимумы'!S$10-'минимумы и максимумы'!S$9)*100)</f>
        <v>33.333333333333329</v>
      </c>
    </row>
    <row r="311" spans="1:21" x14ac:dyDescent="0.45">
      <c r="A311" s="4">
        <v>414</v>
      </c>
      <c r="B311" s="4">
        <v>0</v>
      </c>
      <c r="C311" s="4">
        <v>0</v>
      </c>
      <c r="D311">
        <f>IF('исходные данные'!D311&gt;'минимумы и максимумы'!B$10,100,('исходные данные'!D311-'минимумы и максимумы'!B$9)/('минимумы и максимумы'!B$10-'минимумы и максимумы'!B$9)*100)</f>
        <v>0</v>
      </c>
      <c r="E311">
        <f>IF('исходные данные'!E311&gt;'минимумы и максимумы'!C$10,100,('исходные данные'!E311-'минимумы и максимумы'!C$9)/('минимумы и максимумы'!C$10-'минимумы и максимумы'!C$9)*100)</f>
        <v>20</v>
      </c>
      <c r="F311">
        <f>IF('исходные данные'!F311&gt;'минимумы и максимумы'!D$10,100,('исходные данные'!F311-'минимумы и максимумы'!D$9)/('минимумы и максимумы'!D$10-'минимумы и максимумы'!D$9)*100)</f>
        <v>0</v>
      </c>
      <c r="G311">
        <f>IF('исходные данные'!G311&gt;'минимумы и максимумы'!E$10,100,('исходные данные'!G311-'минимумы и максимумы'!E$9)/('минимумы и максимумы'!E$10-'минимумы и максимумы'!E$9)*100)</f>
        <v>8.3333333333333321</v>
      </c>
      <c r="H311">
        <f>IF('исходные данные'!H311&gt;'минимумы и максимумы'!F$10,100,('исходные данные'!H311-'минимумы и максимумы'!F$9)/('минимумы и максимумы'!F$10-'минимумы и максимумы'!F$9)*100)</f>
        <v>17.241379310344829</v>
      </c>
      <c r="I311">
        <f>IF('исходные данные'!I311&gt;'минимумы и максимумы'!G$10,100,('исходные данные'!I311-'минимумы и максимумы'!G$9)/('минимумы и максимумы'!G$10-'минимумы и максимумы'!G$9)*100)</f>
        <v>9.433962264150944</v>
      </c>
      <c r="J311">
        <f>IF('исходные данные'!J311&gt;'минимумы и максимумы'!H$10,100,('исходные данные'!J311-'минимумы и максимумы'!H$9)/('минимумы и максимумы'!H$10-'минимумы и максимумы'!H$9)*100)</f>
        <v>13.333333333333334</v>
      </c>
      <c r="K311">
        <f>IF('исходные данные'!K311&gt;'минимумы и максимумы'!I$10,100,('исходные данные'!K311-'минимумы и максимумы'!I$9)/('минимумы и максимумы'!I$10-'минимумы и максимумы'!I$9)*100)</f>
        <v>27.777777777777779</v>
      </c>
      <c r="L311">
        <f>IF('исходные данные'!L311&gt;'минимумы и максимумы'!J$10,100,('исходные данные'!L311-'минимумы и максимумы'!J$9)/('минимумы и максимумы'!J$10-'минимумы и максимумы'!J$9)*100)</f>
        <v>0</v>
      </c>
      <c r="M311">
        <f>IF('исходные данные'!M311&gt;'минимумы и максимумы'!K$10,100,('исходные данные'!M311-'минимумы и максимумы'!K$9)/('минимумы и максимумы'!K$10-'минимумы и максимумы'!K$9)*100)</f>
        <v>32.142857142857146</v>
      </c>
      <c r="N311">
        <f>IF('исходные данные'!N311&gt;'минимумы и максимумы'!L$10,100,('исходные данные'!N311-'минимумы и максимумы'!L$9)/('минимумы и максимумы'!L$10-'минимумы и максимумы'!L$9)*100)</f>
        <v>35.198328863092598</v>
      </c>
      <c r="O311">
        <f>IF('исходные данные'!O311&gt;'минимумы и максимумы'!M$10,100,('исходные данные'!O311-'минимумы и максимумы'!M$9)/('минимумы и максимумы'!M$10-'минимумы и максимумы'!M$9)*100)</f>
        <v>0</v>
      </c>
      <c r="P311">
        <f>IF('исходные данные'!P311&gt;'минимумы и максимумы'!N$10,100,('исходные данные'!P311-'минимумы и максимумы'!N$9)/('минимумы и максимумы'!N$10-'минимумы и максимумы'!N$9)*100)</f>
        <v>0</v>
      </c>
      <c r="Q311">
        <f>IF('исходные данные'!Q311&gt;'минимумы и максимумы'!O$10,100,('исходные данные'!Q311-'минимумы и максимумы'!O$9)/('минимумы и максимумы'!O$10-'минимумы и максимумы'!O$9)*100)</f>
        <v>100</v>
      </c>
      <c r="R311">
        <f>IF('исходные данные'!R311&gt;'минимумы и максимумы'!P$10,100,('исходные данные'!R311-'минимумы и максимумы'!P$9)/('минимумы и максимумы'!P$10-'минимумы и максимумы'!P$9)*100)</f>
        <v>75</v>
      </c>
      <c r="S311">
        <f>IF('исходные данные'!S311&gt;'минимумы и максимумы'!Q$10,100,('исходные данные'!S311-'минимумы и максимумы'!Q$9)/('минимумы и максимумы'!Q$10-'минимумы и максимумы'!Q$9)*100)</f>
        <v>83.333333333333343</v>
      </c>
      <c r="T311">
        <f>IF('исходные данные'!T311&gt;'минимумы и максимумы'!R$10,100,('исходные данные'!T311-'минимумы и максимумы'!R$9)/('минимумы и максимумы'!R$10-'минимумы и максимумы'!R$9)*100)</f>
        <v>36.133486766398157</v>
      </c>
      <c r="U311">
        <f>IF('исходные данные'!U311&gt;'минимумы и максимумы'!S$10,100,('исходные данные'!U311-'минимумы и максимумы'!S$9)/('минимумы и максимумы'!S$10-'минимумы и максимумы'!S$9)*100)</f>
        <v>100</v>
      </c>
    </row>
    <row r="312" spans="1:21" x14ac:dyDescent="0.45">
      <c r="A312" s="4">
        <v>415</v>
      </c>
      <c r="B312" s="4">
        <v>0</v>
      </c>
      <c r="C312" s="4">
        <v>1</v>
      </c>
      <c r="D312">
        <f>IF('исходные данные'!D312&gt;'минимумы и максимумы'!B$10,100,('исходные данные'!D312-'минимумы и максимумы'!B$9)/('минимумы и максимумы'!B$10-'минимумы и максимумы'!B$9)*100)</f>
        <v>0</v>
      </c>
      <c r="E312">
        <f>IF('исходные данные'!E312&gt;'минимумы и максимумы'!C$10,100,('исходные данные'!E312-'минимумы и максимумы'!C$9)/('минимумы и максимумы'!C$10-'минимумы и максимумы'!C$9)*100)</f>
        <v>20</v>
      </c>
      <c r="F312">
        <f>IF('исходные данные'!F312&gt;'минимумы и максимумы'!D$10,100,('исходные данные'!F312-'минимумы и максимумы'!D$9)/('минимумы и максимумы'!D$10-'минимумы и максимумы'!D$9)*100)</f>
        <v>0</v>
      </c>
      <c r="G312">
        <f>IF('исходные данные'!G312&gt;'минимумы и максимумы'!E$10,100,('исходные данные'!G312-'минимумы и максимумы'!E$9)/('минимумы и максимумы'!E$10-'минимумы и максимумы'!E$9)*100)</f>
        <v>8.3333333333333321</v>
      </c>
      <c r="H312">
        <f>IF('исходные данные'!H312&gt;'минимумы и максимумы'!F$10,100,('исходные данные'!H312-'минимумы и максимумы'!F$9)/('минимумы и максимумы'!F$10-'минимумы и максимумы'!F$9)*100)</f>
        <v>13.793103448275861</v>
      </c>
      <c r="I312">
        <f>IF('исходные данные'!I312&gt;'минимумы и максимумы'!G$10,100,('исходные данные'!I312-'минимумы и максимумы'!G$9)/('минимумы и максимумы'!G$10-'минимумы и максимумы'!G$9)*100)</f>
        <v>9.433962264150944</v>
      </c>
      <c r="J312">
        <f>IF('исходные данные'!J312&gt;'минимумы и максимумы'!H$10,100,('исходные данные'!J312-'минимумы и максимумы'!H$9)/('минимумы и максимумы'!H$10-'минимумы и максимумы'!H$9)*100)</f>
        <v>6.666666666666667</v>
      </c>
      <c r="K312">
        <f>IF('исходные данные'!K312&gt;'минимумы и максимумы'!I$10,100,('исходные данные'!K312-'минимумы и максимумы'!I$9)/('минимумы и максимумы'!I$10-'минимумы и максимумы'!I$9)*100)</f>
        <v>27.777777777777779</v>
      </c>
      <c r="L312">
        <f>IF('исходные данные'!L312&gt;'минимумы и максимумы'!J$10,100,('исходные данные'!L312-'минимумы и максимумы'!J$9)/('минимумы и максимумы'!J$10-'минимумы и максимумы'!J$9)*100)</f>
        <v>0</v>
      </c>
      <c r="M312">
        <f>IF('исходные данные'!M312&gt;'минимумы и максимумы'!K$10,100,('исходные данные'!M312-'минимумы и максимумы'!K$9)/('минимумы и максимумы'!K$10-'минимумы и максимумы'!K$9)*100)</f>
        <v>32.142857142857146</v>
      </c>
      <c r="N312">
        <f>IF('исходные данные'!N312&gt;'минимумы и максимумы'!L$10,100,('исходные данные'!N312-'минимумы и максимумы'!L$9)/('минимумы и максимумы'!L$10-'минимумы и максимумы'!L$9)*100)</f>
        <v>35.487990591215514</v>
      </c>
      <c r="O312">
        <f>IF('исходные данные'!O312&gt;'минимумы и максимумы'!M$10,100,('исходные данные'!O312-'минимумы и максимумы'!M$9)/('минимумы и максимумы'!M$10-'минимумы и максимумы'!M$9)*100)</f>
        <v>0</v>
      </c>
      <c r="P312">
        <f>IF('исходные данные'!P312&gt;'минимумы и максимумы'!N$10,100,('исходные данные'!P312-'минимумы и максимумы'!N$9)/('минимумы и максимумы'!N$10-'минимумы и максимумы'!N$9)*100)</f>
        <v>0</v>
      </c>
      <c r="Q312">
        <f>IF('исходные данные'!Q312&gt;'минимумы и максимумы'!O$10,100,('исходные данные'!Q312-'минимумы и максимумы'!O$9)/('минимумы и максимумы'!O$10-'минимумы и максимумы'!O$9)*100)</f>
        <v>100</v>
      </c>
      <c r="R312">
        <f>IF('исходные данные'!R312&gt;'минимумы и максимумы'!P$10,100,('исходные данные'!R312-'минимумы и максимумы'!P$9)/('минимумы и максимумы'!P$10-'минимумы и максимумы'!P$9)*100)</f>
        <v>25</v>
      </c>
      <c r="S312">
        <f>IF('исходные данные'!S312&gt;'минимумы и максимумы'!Q$10,100,('исходные данные'!S312-'минимумы и максимумы'!Q$9)/('минимумы и максимумы'!Q$10-'минимумы и максимумы'!Q$9)*100)</f>
        <v>66.666666666666657</v>
      </c>
      <c r="T312">
        <f>IF('исходные данные'!T312&gt;'минимумы и максимумы'!R$10,100,('исходные данные'!T312-'минимумы и максимумы'!R$9)/('минимумы и максимумы'!R$10-'минимумы и максимумы'!R$9)*100)</f>
        <v>42.951668584579977</v>
      </c>
      <c r="U312">
        <f>IF('исходные данные'!U312&gt;'минимумы и максимумы'!S$10,100,('исходные данные'!U312-'минимумы и максимумы'!S$9)/('минимумы и максимумы'!S$10-'минимумы и максимумы'!S$9)*100)</f>
        <v>66.666666666666657</v>
      </c>
    </row>
    <row r="313" spans="1:21" x14ac:dyDescent="0.45">
      <c r="A313" s="4">
        <v>416</v>
      </c>
      <c r="B313" s="4">
        <v>0</v>
      </c>
      <c r="C313" s="4">
        <v>0</v>
      </c>
      <c r="D313">
        <f>IF('исходные данные'!D313&gt;'минимумы и максимумы'!B$10,100,('исходные данные'!D313-'минимумы и максимумы'!B$9)/('минимумы и максимумы'!B$10-'минимумы и максимумы'!B$9)*100)</f>
        <v>11.111111111111111</v>
      </c>
      <c r="E313">
        <f>IF('исходные данные'!E313&gt;'минимумы и максимумы'!C$10,100,('исходные данные'!E313-'минимумы и максимумы'!C$9)/('минимумы и максимумы'!C$10-'минимумы и максимумы'!C$9)*100)</f>
        <v>30</v>
      </c>
      <c r="F313">
        <f>IF('исходные данные'!F313&gt;'минимумы и максимумы'!D$10,100,('исходные данные'!F313-'минимумы и максимумы'!D$9)/('минимумы и максимумы'!D$10-'минимумы и максимумы'!D$9)*100)</f>
        <v>0</v>
      </c>
      <c r="G313">
        <f>IF('исходные данные'!G313&gt;'минимумы и максимумы'!E$10,100,('исходные данные'!G313-'минимумы и максимумы'!E$9)/('минимумы и максимумы'!E$10-'минимумы и максимумы'!E$9)*100)</f>
        <v>20.833333333333336</v>
      </c>
      <c r="H313">
        <f>IF('исходные данные'!H313&gt;'минимумы и максимумы'!F$10,100,('исходные данные'!H313-'минимумы и максимумы'!F$9)/('минимумы и максимумы'!F$10-'минимумы и максимумы'!F$9)*100)</f>
        <v>27.586206896551722</v>
      </c>
      <c r="I313">
        <f>IF('исходные данные'!I313&gt;'минимумы и максимумы'!G$10,100,('исходные данные'!I313-'минимумы и максимумы'!G$9)/('минимумы и максимумы'!G$10-'минимумы и максимумы'!G$9)*100)</f>
        <v>16.981132075471699</v>
      </c>
      <c r="J313">
        <f>IF('исходные данные'!J313&gt;'минимумы и максимумы'!H$10,100,('исходные данные'!J313-'минимумы и максимумы'!H$9)/('минимумы и максимумы'!H$10-'минимумы и максимумы'!H$9)*100)</f>
        <v>20</v>
      </c>
      <c r="K313">
        <f>IF('исходные данные'!K313&gt;'минимумы и максимумы'!I$10,100,('исходные данные'!K313-'минимумы и максимумы'!I$9)/('минимумы и максимумы'!I$10-'минимумы и максимумы'!I$9)*100)</f>
        <v>38.888888888888893</v>
      </c>
      <c r="L313">
        <f>IF('исходные данные'!L313&gt;'минимумы и максимумы'!J$10,100,('исходные данные'!L313-'минимумы и максимумы'!J$9)/('минимумы и максимумы'!J$10-'минимумы и максимумы'!J$9)*100)</f>
        <v>0</v>
      </c>
      <c r="M313">
        <f>IF('исходные данные'!M313&gt;'минимумы и максимумы'!K$10,100,('исходные данные'!M313-'минимумы и максимумы'!K$9)/('минимумы и максимумы'!K$10-'минимумы и максимумы'!K$9)*100)</f>
        <v>39.285714285714285</v>
      </c>
      <c r="N313">
        <f>IF('исходные данные'!N313&gt;'минимумы и максимумы'!L$10,100,('исходные данные'!N313-'минимумы и максимумы'!L$9)/('минимумы и максимумы'!L$10-'минимумы и максимумы'!L$9)*100)</f>
        <v>36.498372032497969</v>
      </c>
      <c r="O313">
        <f>IF('исходные данные'!O313&gt;'минимумы и максимумы'!M$10,100,('исходные данные'!O313-'минимумы и максимумы'!M$9)/('минимумы и максимумы'!M$10-'минимумы и максимумы'!M$9)*100)</f>
        <v>100</v>
      </c>
      <c r="P313">
        <f>IF('исходные данные'!P313&gt;'минимумы и максимумы'!N$10,100,('исходные данные'!P313-'минимумы и максимумы'!N$9)/('минимумы и максимумы'!N$10-'минимумы и максимумы'!N$9)*100)</f>
        <v>0</v>
      </c>
      <c r="Q313">
        <f>IF('исходные данные'!Q313&gt;'минимумы и максимумы'!O$10,100,('исходные данные'!Q313-'минимумы и максимумы'!O$9)/('минимумы и максимумы'!O$10-'минимумы и максимумы'!O$9)*100)</f>
        <v>100</v>
      </c>
      <c r="R313">
        <f>IF('исходные данные'!R313&gt;'минимумы и максимумы'!P$10,100,('исходные данные'!R313-'минимумы и максимумы'!P$9)/('минимумы и максимумы'!P$10-'минимумы и максимумы'!P$9)*100)</f>
        <v>75</v>
      </c>
      <c r="S313">
        <f>IF('исходные данные'!S313&gt;'минимумы и максимумы'!Q$10,100,('исходные данные'!S313-'минимумы и максимумы'!Q$9)/('минимумы и максимумы'!Q$10-'минимумы и максимумы'!Q$9)*100)</f>
        <v>33.333333333333329</v>
      </c>
      <c r="T313">
        <f>IF('исходные данные'!T313&gt;'минимумы и максимумы'!R$10,100,('исходные данные'!T313-'минимумы и максимумы'!R$9)/('минимумы и максимумы'!R$10-'минимумы и максимумы'!R$9)*100)</f>
        <v>5.4372842347525898</v>
      </c>
      <c r="U313">
        <f>IF('исходные данные'!U313&gt;'минимумы и максимумы'!S$10,100,('исходные данные'!U313-'минимумы и максимумы'!S$9)/('минимумы и максимумы'!S$10-'минимумы и максимумы'!S$9)*100)</f>
        <v>0</v>
      </c>
    </row>
    <row r="314" spans="1:21" x14ac:dyDescent="0.45">
      <c r="A314" s="4">
        <v>417</v>
      </c>
      <c r="B314" s="4">
        <v>0</v>
      </c>
      <c r="C314" s="4">
        <v>0</v>
      </c>
      <c r="D314">
        <f>IF('исходные данные'!D314&gt;'минимумы и максимумы'!B$10,100,('исходные данные'!D314-'минимумы и максимумы'!B$9)/('минимумы и максимумы'!B$10-'минимумы и максимумы'!B$9)*100)</f>
        <v>11.111111111111111</v>
      </c>
      <c r="E314">
        <f>IF('исходные данные'!E314&gt;'минимумы и максимумы'!C$10,100,('исходные данные'!E314-'минимумы и максимумы'!C$9)/('минимумы и максимумы'!C$10-'минимумы и максимумы'!C$9)*100)</f>
        <v>30</v>
      </c>
      <c r="F314">
        <f>IF('исходные данные'!F314&gt;'минимумы и максимумы'!D$10,100,('исходные данные'!F314-'минимумы и максимумы'!D$9)/('минимумы и максимумы'!D$10-'минимумы и максимумы'!D$9)*100)</f>
        <v>0</v>
      </c>
      <c r="G314">
        <f>IF('исходные данные'!G314&gt;'минимумы и максимумы'!E$10,100,('исходные данные'!G314-'минимумы и максимумы'!E$9)/('минимумы и максимумы'!E$10-'минимумы и максимумы'!E$9)*100)</f>
        <v>20.833333333333336</v>
      </c>
      <c r="H314">
        <f>IF('исходные данные'!H314&gt;'минимумы и максимумы'!F$10,100,('исходные данные'!H314-'минимумы и максимумы'!F$9)/('минимумы и максимумы'!F$10-'минимумы и максимумы'!F$9)*100)</f>
        <v>27.586206896551722</v>
      </c>
      <c r="I314">
        <f>IF('исходные данные'!I314&gt;'минимумы и максимумы'!G$10,100,('исходные данные'!I314-'минимумы и максимумы'!G$9)/('минимумы и максимумы'!G$10-'минимумы и максимумы'!G$9)*100)</f>
        <v>16.981132075471699</v>
      </c>
      <c r="J314">
        <f>IF('исходные данные'!J314&gt;'минимумы и максимумы'!H$10,100,('исходные данные'!J314-'минимумы и максимумы'!H$9)/('минимумы и максимумы'!H$10-'минимумы и максимумы'!H$9)*100)</f>
        <v>20</v>
      </c>
      <c r="K314">
        <f>IF('исходные данные'!K314&gt;'минимумы и максимумы'!I$10,100,('исходные данные'!K314-'минимумы и максимумы'!I$9)/('минимумы и максимумы'!I$10-'минимумы и максимумы'!I$9)*100)</f>
        <v>38.888888888888893</v>
      </c>
      <c r="L314">
        <f>IF('исходные данные'!L314&gt;'минимумы и максимумы'!J$10,100,('исходные данные'!L314-'минимумы и максимумы'!J$9)/('минимумы и максимумы'!J$10-'минимумы и максимумы'!J$9)*100)</f>
        <v>0</v>
      </c>
      <c r="M314">
        <f>IF('исходные данные'!M314&gt;'минимумы и максимумы'!K$10,100,('исходные данные'!M314-'минимумы и максимумы'!K$9)/('минимумы и максимумы'!K$10-'минимумы и максимумы'!K$9)*100)</f>
        <v>39.285714285714285</v>
      </c>
      <c r="N314">
        <f>IF('исходные данные'!N314&gt;'минимумы и максимумы'!L$10,100,('исходные данные'!N314-'минимумы и максимумы'!L$9)/('минимумы и максимумы'!L$10-'минимумы и максимумы'!L$9)*100)</f>
        <v>36.498372032497969</v>
      </c>
      <c r="O314">
        <f>IF('исходные данные'!O314&gt;'минимумы и максимумы'!M$10,100,('исходные данные'!O314-'минимумы и максимумы'!M$9)/('минимумы и максимумы'!M$10-'минимумы и максимумы'!M$9)*100)</f>
        <v>100</v>
      </c>
      <c r="P314">
        <f>IF('исходные данные'!P314&gt;'минимумы и максимумы'!N$10,100,('исходные данные'!P314-'минимумы и максимумы'!N$9)/('минимумы и максимумы'!N$10-'минимумы и максимумы'!N$9)*100)</f>
        <v>0</v>
      </c>
      <c r="Q314">
        <f>IF('исходные данные'!Q314&gt;'минимумы и максимумы'!O$10,100,('исходные данные'!Q314-'минимумы и максимумы'!O$9)/('минимумы и максимумы'!O$10-'минимумы и максимумы'!O$9)*100)</f>
        <v>100</v>
      </c>
      <c r="R314">
        <f>IF('исходные данные'!R314&gt;'минимумы и максимумы'!P$10,100,('исходные данные'!R314-'минимумы и максимумы'!P$9)/('минимумы и максимумы'!P$10-'минимумы и максимумы'!P$9)*100)</f>
        <v>75</v>
      </c>
      <c r="S314">
        <f>IF('исходные данные'!S314&gt;'минимумы и максимумы'!Q$10,100,('исходные данные'!S314-'минимумы и максимумы'!Q$9)/('минимумы и максимумы'!Q$10-'минимумы и максимумы'!Q$9)*100)</f>
        <v>50</v>
      </c>
      <c r="T314">
        <f>IF('исходные данные'!T314&gt;'минимумы и максимумы'!R$10,100,('исходные данные'!T314-'минимумы и максимумы'!R$9)/('минимумы и максимумы'!R$10-'минимумы и максимумы'!R$9)*100)</f>
        <v>6.4729574223245114</v>
      </c>
      <c r="U314">
        <f>IF('исходные данные'!U314&gt;'минимумы и максимумы'!S$10,100,('исходные данные'!U314-'минимумы и максимумы'!S$9)/('минимумы и максимумы'!S$10-'минимумы и максимумы'!S$9)*100)</f>
        <v>0</v>
      </c>
    </row>
    <row r="315" spans="1:21" x14ac:dyDescent="0.45">
      <c r="A315" s="4">
        <v>418</v>
      </c>
      <c r="B315" s="4">
        <v>0</v>
      </c>
      <c r="C315" s="4">
        <v>0</v>
      </c>
      <c r="D315">
        <f>IF('исходные данные'!D315&gt;'минимумы и максимумы'!B$10,100,('исходные данные'!D315-'минимумы и максимумы'!B$9)/('минимумы и максимумы'!B$10-'минимумы и максимумы'!B$9)*100)</f>
        <v>0</v>
      </c>
      <c r="E315">
        <f>IF('исходные данные'!E315&gt;'минимумы и максимумы'!C$10,100,('исходные данные'!E315-'минимумы и максимумы'!C$9)/('минимумы и максимумы'!C$10-'минимумы и максимумы'!C$9)*100)</f>
        <v>0</v>
      </c>
      <c r="F315">
        <f>IF('исходные данные'!F315&gt;'минимумы и максимумы'!D$10,100,('исходные данные'!F315-'минимумы и максимумы'!D$9)/('минимумы и максимумы'!D$10-'минимумы и максимумы'!D$9)*100)</f>
        <v>0</v>
      </c>
      <c r="G315">
        <f>IF('исходные данные'!G315&gt;'минимумы и максимумы'!E$10,100,('исходные данные'!G315-'минимумы и максимумы'!E$9)/('минимумы и максимумы'!E$10-'минимумы и максимумы'!E$9)*100)</f>
        <v>8.3333333333333321</v>
      </c>
      <c r="H315">
        <f>IF('исходные данные'!H315&gt;'минимумы и максимумы'!F$10,100,('исходные данные'!H315-'минимумы и максимумы'!F$9)/('минимумы и максимумы'!F$10-'минимумы и максимумы'!F$9)*100)</f>
        <v>0</v>
      </c>
      <c r="I315">
        <f>IF('исходные данные'!I315&gt;'минимумы и максимумы'!G$10,100,('исходные данные'!I315-'минимумы и максимумы'!G$9)/('минимумы и максимумы'!G$10-'минимумы и максимумы'!G$9)*100)</f>
        <v>9.433962264150944</v>
      </c>
      <c r="J315">
        <f>IF('исходные данные'!J315&gt;'минимумы и максимумы'!H$10,100,('исходные данные'!J315-'минимумы и максимумы'!H$9)/('минимумы и максимумы'!H$10-'минимумы и максимумы'!H$9)*100)</f>
        <v>6.666666666666667</v>
      </c>
      <c r="K315">
        <f>IF('исходные данные'!K315&gt;'минимумы и максимумы'!I$10,100,('исходные данные'!K315-'минимумы и максимумы'!I$9)/('минимумы и максимумы'!I$10-'минимумы и максимумы'!I$9)*100)</f>
        <v>27.777777777777779</v>
      </c>
      <c r="L315">
        <f>IF('исходные данные'!L315&gt;'минимумы и максимумы'!J$10,100,('исходные данные'!L315-'минимумы и максимумы'!J$9)/('минимумы и максимумы'!J$10-'минимумы и максимумы'!J$9)*100)</f>
        <v>0</v>
      </c>
      <c r="M315">
        <f>IF('исходные данные'!M315&gt;'минимумы и максимумы'!K$10,100,('исходные данные'!M315-'минимумы и максимумы'!K$9)/('минимумы и максимумы'!K$10-'минимумы и максимумы'!K$9)*100)</f>
        <v>35.714285714285715</v>
      </c>
      <c r="N315">
        <f>IF('исходные данные'!N315&gt;'минимумы и максимумы'!L$10,100,('исходные данные'!N315-'минимумы и максимумы'!L$9)/('минимумы и максимумы'!L$10-'минимумы и максимумы'!L$9)*100)</f>
        <v>42.470090657376417</v>
      </c>
      <c r="O315">
        <f>IF('исходные данные'!O315&gt;'минимумы и максимумы'!M$10,100,('исходные данные'!O315-'минимумы и максимумы'!M$9)/('минимумы и максимумы'!M$10-'минимумы и максимумы'!M$9)*100)</f>
        <v>100</v>
      </c>
      <c r="P315">
        <f>IF('исходные данные'!P315&gt;'минимумы и максимумы'!N$10,100,('исходные данные'!P315-'минимумы и максимумы'!N$9)/('минимумы и максимумы'!N$10-'минимумы и максимумы'!N$9)*100)</f>
        <v>0</v>
      </c>
      <c r="Q315">
        <f>IF('исходные данные'!Q315&gt;'минимумы и максимумы'!O$10,100,('исходные данные'!Q315-'минимумы и максимумы'!O$9)/('минимумы и максимумы'!O$10-'минимумы и максимумы'!O$9)*100)</f>
        <v>0</v>
      </c>
      <c r="R315">
        <f>IF('исходные данные'!R315&gt;'минимумы и максимумы'!P$10,100,('исходные данные'!R315-'минимумы и максимумы'!P$9)/('минимумы и максимумы'!P$10-'минимумы и максимумы'!P$9)*100)</f>
        <v>50</v>
      </c>
      <c r="S315">
        <f>IF('исходные данные'!S315&gt;'минимумы и максимумы'!Q$10,100,('исходные данные'!S315-'минимумы и максимумы'!Q$9)/('минимумы и максимумы'!Q$10-'минимумы и максимумы'!Q$9)*100)</f>
        <v>16.666666666666664</v>
      </c>
      <c r="T315">
        <f>IF('исходные данные'!T315&gt;'минимумы и максимумы'!R$10,100,('исходные данные'!T315-'минимумы и максимумы'!R$9)/('минимумы и максимумы'!R$10-'минимумы и максимумы'!R$9)*100)</f>
        <v>1.4959723820483315</v>
      </c>
      <c r="U315">
        <f>IF('исходные данные'!U315&gt;'минимумы и максимумы'!S$10,100,('исходные данные'!U315-'минимумы и максимумы'!S$9)/('минимумы и максимумы'!S$10-'минимумы и максимумы'!S$9)*100)</f>
        <v>33.333333333333329</v>
      </c>
    </row>
    <row r="316" spans="1:21" x14ac:dyDescent="0.45">
      <c r="A316" s="4">
        <v>421</v>
      </c>
      <c r="B316" s="4">
        <v>0</v>
      </c>
      <c r="C316" s="4">
        <v>0</v>
      </c>
      <c r="D316">
        <f>IF('исходные данные'!D316&gt;'минимумы и максимумы'!B$10,100,('исходные данные'!D316-'минимумы и максимумы'!B$9)/('минимумы и максимумы'!B$10-'минимумы и максимумы'!B$9)*100)</f>
        <v>0</v>
      </c>
      <c r="E316">
        <f>IF('исходные данные'!E316&gt;'минимумы и максимумы'!C$10,100,('исходные данные'!E316-'минимумы и максимумы'!C$9)/('минимумы и максимумы'!C$10-'минимумы и максимумы'!C$9)*100)</f>
        <v>0</v>
      </c>
      <c r="F316">
        <f>IF('исходные данные'!F316&gt;'минимумы и максимумы'!D$10,100,('исходные данные'!F316-'минимумы и максимумы'!D$9)/('минимумы и максимумы'!D$10-'минимумы и максимумы'!D$9)*100)</f>
        <v>0</v>
      </c>
      <c r="G316">
        <f>IF('исходные данные'!G316&gt;'минимумы и максимумы'!E$10,100,('исходные данные'!G316-'минимумы и максимумы'!E$9)/('минимумы и максимумы'!E$10-'минимумы и максимумы'!E$9)*100)</f>
        <v>0</v>
      </c>
      <c r="H316">
        <f>IF('исходные данные'!H316&gt;'минимумы и максимумы'!F$10,100,('исходные данные'!H316-'минимумы и максимумы'!F$9)/('минимумы и максимумы'!F$10-'минимумы и максимумы'!F$9)*100)</f>
        <v>0</v>
      </c>
      <c r="I316">
        <f>IF('исходные данные'!I316&gt;'минимумы и максимумы'!G$10,100,('исходные данные'!I316-'минимумы и максимумы'!G$9)/('минимумы и максимумы'!G$10-'минимумы и максимумы'!G$9)*100)</f>
        <v>3.7735849056603774</v>
      </c>
      <c r="J316">
        <f>IF('исходные данные'!J316&gt;'минимумы и максимумы'!H$10,100,('исходные данные'!J316-'минимумы и максимумы'!H$9)/('минимумы и максимумы'!H$10-'минимумы и максимумы'!H$9)*100)</f>
        <v>6.666666666666667</v>
      </c>
      <c r="K316">
        <f>IF('исходные данные'!K316&gt;'минимумы и максимумы'!I$10,100,('исходные данные'!K316-'минимумы и максимумы'!I$9)/('минимумы и максимумы'!I$10-'минимумы и максимумы'!I$9)*100)</f>
        <v>22.222222222222221</v>
      </c>
      <c r="L316">
        <f>IF('исходные данные'!L316&gt;'минимумы и максимумы'!J$10,100,('исходные данные'!L316-'минимумы и максимумы'!J$9)/('минимумы и максимумы'!J$10-'минимумы и максимумы'!J$9)*100)</f>
        <v>0</v>
      </c>
      <c r="M316">
        <f>IF('исходные данные'!M316&gt;'минимумы и максимумы'!K$10,100,('исходные данные'!M316-'минимумы и максимумы'!K$9)/('минимумы и максимумы'!K$10-'минимумы и максимумы'!K$9)*100)</f>
        <v>0</v>
      </c>
      <c r="N316">
        <f>IF('исходные данные'!N316&gt;'минимумы и максимумы'!L$10,100,('исходные данные'!N316-'минимумы и максимумы'!L$9)/('минимумы и максимумы'!L$10-'минимумы и максимумы'!L$9)*100)</f>
        <v>35.622012574923403</v>
      </c>
      <c r="O316">
        <f>IF('исходные данные'!O316&gt;'минимумы и максимумы'!M$10,100,('исходные данные'!O316-'минимумы и максимумы'!M$9)/('минимумы и максимумы'!M$10-'минимумы и максимумы'!M$9)*100)</f>
        <v>66.666666666666657</v>
      </c>
      <c r="P316">
        <f>IF('исходные данные'!P316&gt;'минимумы и максимумы'!N$10,100,('исходные данные'!P316-'минимумы и максимумы'!N$9)/('минимумы и максимумы'!N$10-'минимумы и максимумы'!N$9)*100)</f>
        <v>0</v>
      </c>
      <c r="Q316">
        <f>IF('исходные данные'!Q316&gt;'минимумы и максимумы'!O$10,100,('исходные данные'!Q316-'минимумы и максимумы'!O$9)/('минимумы и максимумы'!O$10-'минимумы и максимумы'!O$9)*100)</f>
        <v>100</v>
      </c>
      <c r="R316">
        <f>IF('исходные данные'!R316&gt;'минимумы и максимумы'!P$10,100,('исходные данные'!R316-'минимумы и максимумы'!P$9)/('минимумы и максимумы'!P$10-'минимумы и максимумы'!P$9)*100)</f>
        <v>25</v>
      </c>
      <c r="S316">
        <f>IF('исходные данные'!S316&gt;'минимумы и максимумы'!Q$10,100,('исходные данные'!S316-'минимумы и максимумы'!Q$9)/('минимумы и максимумы'!Q$10-'минимумы и максимумы'!Q$9)*100)</f>
        <v>33.333333333333329</v>
      </c>
      <c r="T316">
        <f>IF('исходные данные'!T316&gt;'минимумы и максимумы'!R$10,100,('исходные данные'!T316-'минимумы и максимумы'!R$9)/('минимумы и максимумы'!R$10-'минимумы и максимумы'!R$9)*100)</f>
        <v>1.9275028768699656</v>
      </c>
      <c r="U316">
        <f>IF('исходные данные'!U316&gt;'минимумы и максимумы'!S$10,100,('исходные данные'!U316-'минимумы и максимумы'!S$9)/('минимумы и максимумы'!S$10-'минимумы и максимумы'!S$9)*100)</f>
        <v>0</v>
      </c>
    </row>
    <row r="317" spans="1:21" x14ac:dyDescent="0.45">
      <c r="A317" s="4">
        <v>422</v>
      </c>
      <c r="B317" s="4">
        <v>0</v>
      </c>
      <c r="C317" s="4">
        <v>0</v>
      </c>
      <c r="D317">
        <f>IF('исходные данные'!D317&gt;'минимумы и максимумы'!B$10,100,('исходные данные'!D317-'минимумы и максимумы'!B$9)/('минимумы и максимумы'!B$10-'минимумы и максимумы'!B$9)*100)</f>
        <v>0</v>
      </c>
      <c r="E317">
        <f>IF('исходные данные'!E317&gt;'минимумы и максимумы'!C$10,100,('исходные данные'!E317-'минимумы и максимумы'!C$9)/('минимумы и максимумы'!C$10-'минимумы и максимумы'!C$9)*100)</f>
        <v>30</v>
      </c>
      <c r="F317">
        <f>IF('исходные данные'!F317&gt;'минимумы и максимумы'!D$10,100,('исходные данные'!F317-'минимумы и максимумы'!D$9)/('минимумы и максимумы'!D$10-'минимумы и максимумы'!D$9)*100)</f>
        <v>33.333333333333329</v>
      </c>
      <c r="G317">
        <f>IF('исходные данные'!G317&gt;'минимумы и максимумы'!E$10,100,('исходные данные'!G317-'минимумы и максимумы'!E$9)/('минимумы и максимумы'!E$10-'минимумы и максимумы'!E$9)*100)</f>
        <v>29.166666666666668</v>
      </c>
      <c r="H317">
        <f>IF('исходные данные'!H317&gt;'минимумы и максимумы'!F$10,100,('исходные данные'!H317-'минимумы и максимумы'!F$9)/('минимумы и максимумы'!F$10-'минимумы и максимумы'!F$9)*100)</f>
        <v>20.689655172413794</v>
      </c>
      <c r="I317">
        <f>IF('исходные данные'!I317&gt;'минимумы и максимумы'!G$10,100,('исходные данные'!I317-'минимумы и максимумы'!G$9)/('минимумы и максимумы'!G$10-'минимумы и максимумы'!G$9)*100)</f>
        <v>1.8867924528301887</v>
      </c>
      <c r="J317">
        <f>IF('исходные данные'!J317&gt;'минимумы и максимумы'!H$10,100,('исходные данные'!J317-'минимумы и максимумы'!H$9)/('минимумы и максимумы'!H$10-'минимумы и максимумы'!H$9)*100)</f>
        <v>0</v>
      </c>
      <c r="K317">
        <f>IF('исходные данные'!K317&gt;'минимумы и максимумы'!I$10,100,('исходные данные'!K317-'минимумы и максимумы'!I$9)/('минимумы и максимумы'!I$10-'минимумы и максимумы'!I$9)*100)</f>
        <v>11.111111111111111</v>
      </c>
      <c r="L317">
        <f>IF('исходные данные'!L317&gt;'минимумы и максимумы'!J$10,100,('исходные данные'!L317-'минимумы и максимумы'!J$9)/('минимумы и максимумы'!J$10-'минимумы и максимумы'!J$9)*100)</f>
        <v>0</v>
      </c>
      <c r="M317">
        <f>IF('исходные данные'!M317&gt;'минимумы и максимумы'!K$10,100,('исходные данные'!M317-'минимумы и максимумы'!K$9)/('минимумы и максимумы'!K$10-'минимумы и максимумы'!K$9)*100)</f>
        <v>14.285714285714285</v>
      </c>
      <c r="N317">
        <f>IF('исходные данные'!N317&gt;'минимумы и максимумы'!L$10,100,('исходные данные'!N317-'минимумы и максимумы'!L$9)/('минимумы и максимумы'!L$10-'минимумы и максимумы'!L$9)*100)</f>
        <v>41.548549697155138</v>
      </c>
      <c r="O317">
        <f>IF('исходные данные'!O317&gt;'минимумы и максимумы'!M$10,100,('исходные данные'!O317-'минимумы и максимумы'!M$9)/('минимумы и максимумы'!M$10-'минимумы и максимумы'!M$9)*100)</f>
        <v>0</v>
      </c>
      <c r="P317">
        <f>IF('исходные данные'!P317&gt;'минимумы и максимумы'!N$10,100,('исходные данные'!P317-'минимумы и максимумы'!N$9)/('минимумы и максимумы'!N$10-'минимумы и максимумы'!N$9)*100)</f>
        <v>0</v>
      </c>
      <c r="Q317">
        <f>IF('исходные данные'!Q317&gt;'минимумы и максимумы'!O$10,100,('исходные данные'!Q317-'минимумы и максимумы'!O$9)/('минимумы и максимумы'!O$10-'минимумы и максимумы'!O$9)*100)</f>
        <v>0</v>
      </c>
      <c r="R317">
        <f>IF('исходные данные'!R317&gt;'минимумы и максимумы'!P$10,100,('исходные данные'!R317-'минимумы и максимумы'!P$9)/('минимумы и максимумы'!P$10-'минимумы и максимумы'!P$9)*100)</f>
        <v>25</v>
      </c>
      <c r="S317">
        <f>IF('исходные данные'!S317&gt;'минимумы и максимумы'!Q$10,100,('исходные данные'!S317-'минимумы и максимумы'!Q$9)/('минимумы и максимумы'!Q$10-'минимумы и максимумы'!Q$9)*100)</f>
        <v>16.666666666666664</v>
      </c>
      <c r="T317">
        <f>IF('исходные данные'!T317&gt;'минимумы и максимумы'!R$10,100,('исходные данные'!T317-'минимумы и максимумы'!R$9)/('минимумы и максимумы'!R$10-'минимумы и максимумы'!R$9)*100)</f>
        <v>21.518987341772153</v>
      </c>
      <c r="U317">
        <f>IF('исходные данные'!U317&gt;'минимумы и максимумы'!S$10,100,('исходные данные'!U317-'минимумы и максимумы'!S$9)/('минимумы и максимумы'!S$10-'минимумы и максимумы'!S$9)*100)</f>
        <v>0</v>
      </c>
    </row>
    <row r="318" spans="1:21" x14ac:dyDescent="0.45">
      <c r="A318" s="4">
        <v>423</v>
      </c>
      <c r="B318" s="4">
        <v>1</v>
      </c>
      <c r="C318" s="4">
        <v>0</v>
      </c>
      <c r="D318">
        <f>IF('исходные данные'!D318&gt;'минимумы и максимумы'!B$10,100,('исходные данные'!D318-'минимумы и максимумы'!B$9)/('минимумы и максимумы'!B$10-'минимумы и максимумы'!B$9)*100)</f>
        <v>22.222222222222221</v>
      </c>
      <c r="E318">
        <f>IF('исходные данные'!E318&gt;'минимумы и максимумы'!C$10,100,('исходные данные'!E318-'минимумы и максимумы'!C$9)/('минимумы и максимумы'!C$10-'минимумы и максимумы'!C$9)*100)</f>
        <v>20</v>
      </c>
      <c r="F318">
        <f>IF('исходные данные'!F318&gt;'минимумы и максимумы'!D$10,100,('исходные данные'!F318-'минимумы и максимумы'!D$9)/('минимумы и максимумы'!D$10-'минимумы и максимумы'!D$9)*100)</f>
        <v>0</v>
      </c>
      <c r="G318">
        <f>IF('исходные данные'!G318&gt;'минимумы и максимумы'!E$10,100,('исходные данные'!G318-'минимумы и максимумы'!E$9)/('минимумы и максимумы'!E$10-'минимумы и максимумы'!E$9)*100)</f>
        <v>54.166666666666664</v>
      </c>
      <c r="H318">
        <f>IF('исходные данные'!H318&gt;'минимумы и максимумы'!F$10,100,('исходные данные'!H318-'минимумы и максимумы'!F$9)/('минимумы и максимумы'!F$10-'минимумы и максимумы'!F$9)*100)</f>
        <v>55.172413793103445</v>
      </c>
      <c r="I318">
        <f>IF('исходные данные'!I318&gt;'минимумы и максимумы'!G$10,100,('исходные данные'!I318-'минимумы и максимумы'!G$9)/('минимумы и максимумы'!G$10-'минимумы и максимумы'!G$9)*100)</f>
        <v>47.169811320754718</v>
      </c>
      <c r="J318">
        <f>IF('исходные данные'!J318&gt;'минимумы и максимумы'!H$10,100,('исходные данные'!J318-'минимумы и максимумы'!H$9)/('минимумы и максимумы'!H$10-'минимумы и максимумы'!H$9)*100)</f>
        <v>40</v>
      </c>
      <c r="K318">
        <f>IF('исходные данные'!K318&gt;'минимумы и максимумы'!I$10,100,('исходные данные'!K318-'минимумы и максимумы'!I$9)/('минимумы и максимумы'!I$10-'минимумы и максимумы'!I$9)*100)</f>
        <v>38.888888888888893</v>
      </c>
      <c r="L318">
        <f>IF('исходные данные'!L318&gt;'минимумы и максимумы'!J$10,100,('исходные данные'!L318-'минимумы и максимумы'!J$9)/('минимумы и максимумы'!J$10-'минимумы и максимумы'!J$9)*100)</f>
        <v>14.285714285714285</v>
      </c>
      <c r="M318">
        <f>IF('исходные данные'!M318&gt;'минимумы и максимумы'!K$10,100,('исходные данные'!M318-'минимумы и максимумы'!K$9)/('минимумы и максимумы'!K$10-'минимумы и максимумы'!K$9)*100)</f>
        <v>35.714285714285715</v>
      </c>
      <c r="N318">
        <f>IF('исходные данные'!N318&gt;'минимумы и максимумы'!L$10,100,('исходные данные'!N318-'минимумы и максимумы'!L$9)/('минимумы и максимумы'!L$10-'минимумы и максимумы'!L$9)*100)</f>
        <v>37.063591318433048</v>
      </c>
      <c r="O318">
        <f>IF('исходные данные'!O318&gt;'минимумы и максимумы'!M$10,100,('исходные данные'!O318-'минимумы и максимумы'!M$9)/('минимумы и максимумы'!M$10-'минимумы и максимумы'!M$9)*100)</f>
        <v>100</v>
      </c>
      <c r="P318">
        <f>IF('исходные данные'!P318&gt;'минимумы и максимумы'!N$10,100,('исходные данные'!P318-'минимумы и максимумы'!N$9)/('минимумы и максимумы'!N$10-'минимумы и максимумы'!N$9)*100)</f>
        <v>0</v>
      </c>
      <c r="Q318">
        <f>IF('исходные данные'!Q318&gt;'минимумы и максимумы'!O$10,100,('исходные данные'!Q318-'минимумы и максимумы'!O$9)/('минимумы и максимумы'!O$10-'минимумы и максимумы'!O$9)*100)</f>
        <v>100</v>
      </c>
      <c r="R318">
        <f>IF('исходные данные'!R318&gt;'минимумы и максимумы'!P$10,100,('исходные данные'!R318-'минимумы и максимумы'!P$9)/('минимумы и максимумы'!P$10-'минимумы и максимумы'!P$9)*100)</f>
        <v>75</v>
      </c>
      <c r="S318">
        <f>IF('исходные данные'!S318&gt;'минимумы и максимумы'!Q$10,100,('исходные данные'!S318-'минимумы и максимумы'!Q$9)/('минимумы и максимумы'!Q$10-'минимумы и максимумы'!Q$9)*100)</f>
        <v>50</v>
      </c>
      <c r="T318">
        <f>IF('исходные данные'!T318&gt;'минимумы и максимумы'!R$10,100,('исходные данные'!T318-'минимумы и максимумы'!R$9)/('минимумы и максимумы'!R$10-'минимумы и максимумы'!R$9)*100)</f>
        <v>100</v>
      </c>
      <c r="U318">
        <f>IF('исходные данные'!U318&gt;'минимумы и максимумы'!S$10,100,('исходные данные'!U318-'минимумы и максимумы'!S$9)/('минимумы и максимумы'!S$10-'минимумы и максимумы'!S$9)*100)</f>
        <v>100</v>
      </c>
    </row>
    <row r="319" spans="1:21" x14ac:dyDescent="0.45">
      <c r="A319" s="4">
        <v>424</v>
      </c>
      <c r="B319" s="4">
        <v>0</v>
      </c>
      <c r="C319" s="4">
        <v>0</v>
      </c>
      <c r="D319">
        <f>IF('исходные данные'!D319&gt;'минимумы и максимумы'!B$10,100,('исходные данные'!D319-'минимумы и максимумы'!B$9)/('минимумы и максимумы'!B$10-'минимумы и максимумы'!B$9)*100)</f>
        <v>22.222222222222221</v>
      </c>
      <c r="E319">
        <f>IF('исходные данные'!E319&gt;'минимумы и максимумы'!C$10,100,('исходные данные'!E319-'минимумы и максимумы'!C$9)/('минимумы и максимумы'!C$10-'минимумы и максимумы'!C$9)*100)</f>
        <v>30</v>
      </c>
      <c r="F319">
        <f>IF('исходные данные'!F319&gt;'минимумы и максимумы'!D$10,100,('исходные данные'!F319-'минимумы и максимумы'!D$9)/('минимумы и максимумы'!D$10-'минимумы и максимумы'!D$9)*100)</f>
        <v>0</v>
      </c>
      <c r="G319">
        <f>IF('исходные данные'!G319&gt;'минимумы и максимумы'!E$10,100,('исходные данные'!G319-'минимумы и максимумы'!E$9)/('минимумы и максимумы'!E$10-'минимумы и максимумы'!E$9)*100)</f>
        <v>29.166666666666668</v>
      </c>
      <c r="H319">
        <f>IF('исходные данные'!H319&gt;'минимумы и максимумы'!F$10,100,('исходные данные'!H319-'минимумы и максимумы'!F$9)/('минимумы и максимумы'!F$10-'минимумы и максимумы'!F$9)*100)</f>
        <v>48.275862068965516</v>
      </c>
      <c r="I319">
        <f>IF('исходные данные'!I319&gt;'минимумы и максимумы'!G$10,100,('исходные данные'!I319-'минимумы и максимумы'!G$9)/('минимумы и максимумы'!G$10-'минимумы и максимумы'!G$9)*100)</f>
        <v>33.962264150943398</v>
      </c>
      <c r="J319">
        <f>IF('исходные данные'!J319&gt;'минимумы и максимумы'!H$10,100,('исходные данные'!J319-'минимумы и максимумы'!H$9)/('минимумы и максимумы'!H$10-'минимумы и максимумы'!H$9)*100)</f>
        <v>33.333333333333329</v>
      </c>
      <c r="K319">
        <f>IF('исходные данные'!K319&gt;'минимумы и максимумы'!I$10,100,('исходные данные'!K319-'минимумы и максимумы'!I$9)/('минимумы и максимумы'!I$10-'минимумы и максимумы'!I$9)*100)</f>
        <v>38.888888888888893</v>
      </c>
      <c r="L319">
        <f>IF('исходные данные'!L319&gt;'минимумы и максимумы'!J$10,100,('исходные данные'!L319-'минимумы и максимумы'!J$9)/('минимумы и максимумы'!J$10-'минимумы и максимумы'!J$9)*100)</f>
        <v>14.285714285714285</v>
      </c>
      <c r="M319">
        <f>IF('исходные данные'!M319&gt;'минимумы и максимумы'!K$10,100,('исходные данные'!M319-'минимумы и максимумы'!K$9)/('минимумы и максимумы'!K$10-'минимумы и максимумы'!K$9)*100)</f>
        <v>46.428571428571431</v>
      </c>
      <c r="N319">
        <f>IF('исходные данные'!N319&gt;'минимумы и максимумы'!L$10,100,('исходные данные'!N319-'минимумы и максимумы'!L$9)/('минимумы и максимумы'!L$10-'минимумы и максимумы'!L$9)*100)</f>
        <v>36.359203040175217</v>
      </c>
      <c r="O319">
        <f>IF('исходные данные'!O319&gt;'минимумы и максимумы'!M$10,100,('исходные данные'!O319-'минимумы и максимумы'!M$9)/('минимумы и максимумы'!M$10-'минимумы и максимумы'!M$9)*100)</f>
        <v>100</v>
      </c>
      <c r="P319">
        <f>IF('исходные данные'!P319&gt;'минимумы и максимумы'!N$10,100,('исходные данные'!P319-'минимумы и максимумы'!N$9)/('минимумы и максимумы'!N$10-'минимумы и максимумы'!N$9)*100)</f>
        <v>0</v>
      </c>
      <c r="Q319">
        <f>IF('исходные данные'!Q319&gt;'минимумы и максимумы'!O$10,100,('исходные данные'!Q319-'минимумы и максимумы'!O$9)/('минимумы и максимумы'!O$10-'минимумы и максимумы'!O$9)*100)</f>
        <v>100</v>
      </c>
      <c r="R319">
        <f>IF('исходные данные'!R319&gt;'минимумы и максимумы'!P$10,100,('исходные данные'!R319-'минимумы и максимумы'!P$9)/('минимумы и максимумы'!P$10-'минимумы и максимумы'!P$9)*100)</f>
        <v>100</v>
      </c>
      <c r="S319">
        <f>IF('исходные данные'!S319&gt;'минимумы и максимумы'!Q$10,100,('исходные данные'!S319-'минимумы и максимумы'!Q$9)/('минимумы и максимумы'!Q$10-'минимумы и максимумы'!Q$9)*100)</f>
        <v>33.333333333333329</v>
      </c>
      <c r="T319">
        <f>IF('исходные данные'!T319&gt;'минимумы и максимумы'!R$10,100,('исходные данные'!T319-'минимумы и максимумы'!R$9)/('минимумы и максимумы'!R$10-'минимумы и максимумы'!R$9)*100)</f>
        <v>51.121979286536245</v>
      </c>
      <c r="U319">
        <f>IF('исходные данные'!U319&gt;'минимумы и максимумы'!S$10,100,('исходные данные'!U319-'минимумы и максимумы'!S$9)/('минимумы и максимумы'!S$10-'минимумы и максимумы'!S$9)*100)</f>
        <v>0</v>
      </c>
    </row>
    <row r="320" spans="1:21" x14ac:dyDescent="0.45">
      <c r="A320" s="4">
        <v>425</v>
      </c>
      <c r="B320" s="4">
        <v>0</v>
      </c>
      <c r="C320" s="4">
        <v>0</v>
      </c>
      <c r="D320">
        <f>IF('исходные данные'!D320&gt;'минимумы и максимумы'!B$10,100,('исходные данные'!D320-'минимумы и максимумы'!B$9)/('минимумы и максимумы'!B$10-'минимумы и максимумы'!B$9)*100)</f>
        <v>22.222222222222221</v>
      </c>
      <c r="E320">
        <f>IF('исходные данные'!E320&gt;'минимумы и максимумы'!C$10,100,('исходные данные'!E320-'минимумы и максимумы'!C$9)/('минимумы и максимумы'!C$10-'минимумы и максимумы'!C$9)*100)</f>
        <v>30</v>
      </c>
      <c r="F320">
        <f>IF('исходные данные'!F320&gt;'минимумы и максимумы'!D$10,100,('исходные данные'!F320-'минимумы и максимумы'!D$9)/('минимумы и максимумы'!D$10-'минимумы и максимумы'!D$9)*100)</f>
        <v>0</v>
      </c>
      <c r="G320">
        <f>IF('исходные данные'!G320&gt;'минимумы и максимумы'!E$10,100,('исходные данные'!G320-'минимумы и максимумы'!E$9)/('минимумы и максимумы'!E$10-'минимумы и максимумы'!E$9)*100)</f>
        <v>41.666666666666671</v>
      </c>
      <c r="H320">
        <f>IF('исходные данные'!H320&gt;'минимумы и максимумы'!F$10,100,('исходные данные'!H320-'минимумы и максимумы'!F$9)/('минимумы и максимумы'!F$10-'минимумы и максимумы'!F$9)*100)</f>
        <v>62.068965517241381</v>
      </c>
      <c r="I320">
        <f>IF('исходные данные'!I320&gt;'минимумы и максимумы'!G$10,100,('исходные данные'!I320-'минимумы и максимумы'!G$9)/('минимумы и максимумы'!G$10-'минимумы и максимумы'!G$9)*100)</f>
        <v>47.169811320754718</v>
      </c>
      <c r="J320">
        <f>IF('исходные данные'!J320&gt;'минимумы и максимумы'!H$10,100,('исходные данные'!J320-'минимумы и максимумы'!H$9)/('минимумы и максимумы'!H$10-'минимумы и максимумы'!H$9)*100)</f>
        <v>26.666666666666668</v>
      </c>
      <c r="K320">
        <f>IF('исходные данные'!K320&gt;'минимумы и максимумы'!I$10,100,('исходные данные'!K320-'минимумы и максимумы'!I$9)/('минимумы и максимумы'!I$10-'минимумы и максимумы'!I$9)*100)</f>
        <v>50</v>
      </c>
      <c r="L320">
        <f>IF('исходные данные'!L320&gt;'минимумы и максимумы'!J$10,100,('исходные данные'!L320-'минимумы и максимумы'!J$9)/('минимумы и максимумы'!J$10-'минимумы и максимумы'!J$9)*100)</f>
        <v>14.285714285714285</v>
      </c>
      <c r="M320">
        <f>IF('исходные данные'!M320&gt;'минимумы и максимумы'!K$10,100,('исходные данные'!M320-'минимумы и максимумы'!K$9)/('минимумы и максимумы'!K$10-'минимумы и максимумы'!K$9)*100)</f>
        <v>35.714285714285715</v>
      </c>
      <c r="N320">
        <f>IF('исходные данные'!N320&gt;'минимумы и максимумы'!L$10,100,('исходные данные'!N320-'минимумы и максимумы'!L$9)/('минимумы и максимумы'!L$10-'минимумы и максимумы'!L$9)*100)</f>
        <v>37.395039312875994</v>
      </c>
      <c r="O320">
        <f>IF('исходные данные'!O320&gt;'минимумы и максимумы'!M$10,100,('исходные данные'!O320-'минимумы и максимумы'!M$9)/('минимумы и максимумы'!M$10-'минимумы и максимумы'!M$9)*100)</f>
        <v>66.666666666666657</v>
      </c>
      <c r="P320">
        <f>IF('исходные данные'!P320&gt;'минимумы и максимумы'!N$10,100,('исходные данные'!P320-'минимумы и максимумы'!N$9)/('минимумы и максимумы'!N$10-'минимумы и максимумы'!N$9)*100)</f>
        <v>0</v>
      </c>
      <c r="Q320">
        <f>IF('исходные данные'!Q320&gt;'минимумы и максимумы'!O$10,100,('исходные данные'!Q320-'минимумы и максимумы'!O$9)/('минимумы и максимумы'!O$10-'минимумы и максимумы'!O$9)*100)</f>
        <v>0</v>
      </c>
      <c r="R320">
        <f>IF('исходные данные'!R320&gt;'минимумы и максимумы'!P$10,100,('исходные данные'!R320-'минимумы и максимумы'!P$9)/('минимумы и максимумы'!P$10-'минимумы и максимумы'!P$9)*100)</f>
        <v>100</v>
      </c>
      <c r="S320">
        <f>IF('исходные данные'!S320&gt;'минимумы и максимумы'!Q$10,100,('исходные данные'!S320-'минимумы и максимумы'!Q$9)/('минимумы и максимумы'!Q$10-'минимумы и максимумы'!Q$9)*100)</f>
        <v>16.666666666666664</v>
      </c>
      <c r="T320">
        <f>IF('исходные данные'!T320&gt;'минимумы и максимумы'!R$10,100,('исходные данные'!T320-'минимумы и максимумы'!R$9)/('минимумы и максимумы'!R$10-'минимумы и максимумы'!R$9)*100)</f>
        <v>1.2658227848101267</v>
      </c>
      <c r="U320">
        <f>IF('исходные данные'!U320&gt;'минимумы и максимумы'!S$10,100,('исходные данные'!U320-'минимумы и максимумы'!S$9)/('минимумы и максимумы'!S$10-'минимумы и максимумы'!S$9)*100)</f>
        <v>0</v>
      </c>
    </row>
    <row r="321" spans="1:21" x14ac:dyDescent="0.45">
      <c r="A321" s="4">
        <v>426</v>
      </c>
      <c r="B321" s="4">
        <v>0</v>
      </c>
      <c r="C321" s="4">
        <v>0</v>
      </c>
      <c r="D321">
        <f>IF('исходные данные'!D321&gt;'минимумы и максимумы'!B$10,100,('исходные данные'!D321-'минимумы и максимумы'!B$9)/('минимумы и максимумы'!B$10-'минимумы и максимумы'!B$9)*100)</f>
        <v>33.333333333333329</v>
      </c>
      <c r="E321">
        <f>IF('исходные данные'!E321&gt;'минимумы и максимумы'!C$10,100,('исходные данные'!E321-'минимумы и максимумы'!C$9)/('минимумы и максимумы'!C$10-'минимумы и максимумы'!C$9)*100)</f>
        <v>60</v>
      </c>
      <c r="F321">
        <f>IF('исходные данные'!F321&gt;'минимумы и максимумы'!D$10,100,('исходные данные'!F321-'минимумы и максимумы'!D$9)/('минимумы и максимумы'!D$10-'минимумы и максимумы'!D$9)*100)</f>
        <v>33.333333333333329</v>
      </c>
      <c r="G321">
        <f>IF('исходные данные'!G321&gt;'минимумы и максимумы'!E$10,100,('исходные данные'!G321-'минимумы и максимумы'!E$9)/('минимумы и максимумы'!E$10-'минимумы и максимумы'!E$9)*100)</f>
        <v>50</v>
      </c>
      <c r="H321">
        <f>IF('исходные данные'!H321&gt;'минимумы и максимумы'!F$10,100,('исходные данные'!H321-'минимумы и максимумы'!F$9)/('минимумы и максимумы'!F$10-'минимумы и максимумы'!F$9)*100)</f>
        <v>51.724137931034484</v>
      </c>
      <c r="I321">
        <f>IF('исходные данные'!I321&gt;'минимумы и максимумы'!G$10,100,('исходные данные'!I321-'минимумы и максимумы'!G$9)/('минимумы и максимумы'!G$10-'минимумы и максимумы'!G$9)*100)</f>
        <v>30.188679245283019</v>
      </c>
      <c r="J321">
        <f>IF('исходные данные'!J321&gt;'минимумы и максимумы'!H$10,100,('исходные данные'!J321-'минимумы и максимумы'!H$9)/('минимумы и максимумы'!H$10-'минимумы и максимумы'!H$9)*100)</f>
        <v>13.333333333333334</v>
      </c>
      <c r="K321">
        <f>IF('исходные данные'!K321&gt;'минимумы и максимумы'!I$10,100,('исходные данные'!K321-'минимумы и максимумы'!I$9)/('минимумы и максимумы'!I$10-'минимумы и максимумы'!I$9)*100)</f>
        <v>11.111111111111111</v>
      </c>
      <c r="L321">
        <f>IF('исходные данные'!L321&gt;'минимумы и максимумы'!J$10,100,('исходные данные'!L321-'минимумы и максимумы'!J$9)/('минимумы и максимумы'!J$10-'минимумы и максимумы'!J$9)*100)</f>
        <v>14.285714285714285</v>
      </c>
      <c r="M321">
        <f>IF('исходные данные'!M321&gt;'минимумы и максимумы'!K$10,100,('исходные данные'!M321-'минимумы и максимумы'!K$9)/('минимумы и максимумы'!K$10-'минимумы и максимумы'!K$9)*100)</f>
        <v>21.428571428571427</v>
      </c>
      <c r="N321">
        <f>IF('исходные данные'!N321&gt;'минимумы и максимумы'!L$10,100,('исходные данные'!N321-'минимумы и максимумы'!L$9)/('минимумы и максимумы'!L$10-'минимумы и максимумы'!L$9)*100)</f>
        <v>39.6144536759193</v>
      </c>
      <c r="O321">
        <f>IF('исходные данные'!O321&gt;'минимумы и максимумы'!M$10,100,('исходные данные'!O321-'минимумы и максимумы'!M$9)/('минимумы и максимумы'!M$10-'минимумы и максимумы'!M$9)*100)</f>
        <v>66.666666666666657</v>
      </c>
      <c r="P321">
        <f>IF('исходные данные'!P321&gt;'минимумы и максимумы'!N$10,100,('исходные данные'!P321-'минимумы и максимумы'!N$9)/('минимумы и максимумы'!N$10-'минимумы и максимумы'!N$9)*100)</f>
        <v>0</v>
      </c>
      <c r="Q321">
        <f>IF('исходные данные'!Q321&gt;'минимумы и максимумы'!O$10,100,('исходные данные'!Q321-'минимумы и максимумы'!O$9)/('минимумы и максимумы'!O$10-'минимумы и максимумы'!O$9)*100)</f>
        <v>0</v>
      </c>
      <c r="R321">
        <f>IF('исходные данные'!R321&gt;'минимумы и максимумы'!P$10,100,('исходные данные'!R321-'минимумы и максимумы'!P$9)/('минимумы и максимумы'!P$10-'минимумы и максимумы'!P$9)*100)</f>
        <v>75</v>
      </c>
      <c r="S321">
        <f>IF('исходные данные'!S321&gt;'минимумы и максимумы'!Q$10,100,('исходные данные'!S321-'минимумы и максимумы'!Q$9)/('минимумы и максимумы'!Q$10-'минимумы и максимумы'!Q$9)*100)</f>
        <v>16.666666666666664</v>
      </c>
      <c r="T321">
        <f>IF('исходные данные'!T321&gt;'минимумы и максимумы'!R$10,100,('исходные данные'!T321-'минимумы и максимумы'!R$9)/('минимумы и максимумы'!R$10-'минимумы и максимумы'!R$9)*100)</f>
        <v>1.5247410817031071</v>
      </c>
      <c r="U321">
        <f>IF('исходные данные'!U321&gt;'минимумы и максимумы'!S$10,100,('исходные данные'!U321-'минимумы и максимумы'!S$9)/('минимумы и максимумы'!S$10-'минимумы и максимумы'!S$9)*100)</f>
        <v>0</v>
      </c>
    </row>
    <row r="322" spans="1:21" x14ac:dyDescent="0.45">
      <c r="A322" s="4">
        <v>430</v>
      </c>
      <c r="B322" s="4">
        <v>0</v>
      </c>
      <c r="C322" s="4">
        <v>0</v>
      </c>
      <c r="D322">
        <f>IF('исходные данные'!D322&gt;'минимумы и максимумы'!B$10,100,('исходные данные'!D322-'минимумы и максимумы'!B$9)/('минимумы и максимумы'!B$10-'минимумы и максимумы'!B$9)*100)</f>
        <v>0</v>
      </c>
      <c r="E322">
        <f>IF('исходные данные'!E322&gt;'минимумы и максимумы'!C$10,100,('исходные данные'!E322-'минимумы и максимумы'!C$9)/('минимумы и максимумы'!C$10-'минимумы и максимумы'!C$9)*100)</f>
        <v>0</v>
      </c>
      <c r="F322">
        <f>IF('исходные данные'!F322&gt;'минимумы и максимумы'!D$10,100,('исходные данные'!F322-'минимумы и максимумы'!D$9)/('минимумы и максимумы'!D$10-'минимумы и максимумы'!D$9)*100)</f>
        <v>0</v>
      </c>
      <c r="G322">
        <f>IF('исходные данные'!G322&gt;'минимумы и максимумы'!E$10,100,('исходные данные'!G322-'минимумы и максимумы'!E$9)/('минимумы и максимумы'!E$10-'минимумы и максимумы'!E$9)*100)</f>
        <v>0</v>
      </c>
      <c r="H322">
        <f>IF('исходные данные'!H322&gt;'минимумы и максимумы'!F$10,100,('исходные данные'!H322-'минимумы и максимумы'!F$9)/('минимумы и максимумы'!F$10-'минимумы и максимумы'!F$9)*100)</f>
        <v>0</v>
      </c>
      <c r="I322">
        <f>IF('исходные данные'!I322&gt;'минимумы и максимумы'!G$10,100,('исходные данные'!I322-'минимумы и максимумы'!G$9)/('минимумы и максимумы'!G$10-'минимумы и максимумы'!G$9)*100)</f>
        <v>5.6603773584905666</v>
      </c>
      <c r="J322">
        <f>IF('исходные данные'!J322&gt;'минимумы и максимумы'!H$10,100,('исходные данные'!J322-'минимумы и максимумы'!H$9)/('минимумы и максимумы'!H$10-'минимумы и максимумы'!H$9)*100)</f>
        <v>0</v>
      </c>
      <c r="K322">
        <f>IF('исходные данные'!K322&gt;'минимумы и максимумы'!I$10,100,('исходные данные'!K322-'минимумы и максимумы'!I$9)/('минимумы и максимумы'!I$10-'минимумы и максимумы'!I$9)*100)</f>
        <v>0</v>
      </c>
      <c r="L322">
        <f>IF('исходные данные'!L322&gt;'минимумы и максимумы'!J$10,100,('исходные данные'!L322-'минимумы и максимумы'!J$9)/('минимумы и максимумы'!J$10-'минимумы и максимумы'!J$9)*100)</f>
        <v>0</v>
      </c>
      <c r="M322">
        <f>IF('исходные данные'!M322&gt;'минимумы и максимумы'!K$10,100,('исходные данные'!M322-'минимумы и максимумы'!K$9)/('минимумы и максимумы'!K$10-'минимумы и максимумы'!K$9)*100)</f>
        <v>32.142857142857146</v>
      </c>
      <c r="N322">
        <f>IF('исходные данные'!N322&gt;'минимумы и максимумы'!L$10,100,('исходные данные'!N322-'минимумы и максимумы'!L$9)/('минимумы и максимумы'!L$10-'минимумы и максимумы'!L$9)*100)</f>
        <v>45.273437810872011</v>
      </c>
      <c r="O322">
        <f>IF('исходные данные'!O322&gt;'минимумы и максимумы'!M$10,100,('исходные данные'!O322-'минимумы и максимумы'!M$9)/('минимумы и максимумы'!M$10-'минимумы и максимумы'!M$9)*100)</f>
        <v>33.333333333333329</v>
      </c>
      <c r="P322">
        <f>IF('исходные данные'!P322&gt;'минимумы и максимумы'!N$10,100,('исходные данные'!P322-'минимумы и максимумы'!N$9)/('минимумы и максимумы'!N$10-'минимумы и максимумы'!N$9)*100)</f>
        <v>0</v>
      </c>
      <c r="Q322">
        <f>IF('исходные данные'!Q322&gt;'минимумы и максимумы'!O$10,100,('исходные данные'!Q322-'минимумы и максимумы'!O$9)/('минимумы и максимумы'!O$10-'минимумы и максимумы'!O$9)*100)</f>
        <v>0</v>
      </c>
      <c r="R322">
        <f>IF('исходные данные'!R322&gt;'минимумы и максимумы'!P$10,100,('исходные данные'!R322-'минимумы и максимумы'!P$9)/('минимумы и максимумы'!P$10-'минимумы и максимумы'!P$9)*100)</f>
        <v>25</v>
      </c>
      <c r="S322">
        <f>IF('исходные данные'!S322&gt;'минимумы и максимумы'!Q$10,100,('исходные данные'!S322-'минимумы и максимумы'!Q$9)/('минимумы и максимумы'!Q$10-'минимумы и максимумы'!Q$9)*100)</f>
        <v>33.333333333333329</v>
      </c>
      <c r="T322">
        <f>IF('исходные данные'!T322&gt;'минимумы и максимумы'!R$10,100,('исходные данные'!T322-'минимумы и максимумы'!R$9)/('минимумы и максимумы'!R$10-'минимумы и максимумы'!R$9)*100)</f>
        <v>27.819332566168008</v>
      </c>
      <c r="U322">
        <f>IF('исходные данные'!U322&gt;'минимумы и максимумы'!S$10,100,('исходные данные'!U322-'минимумы и максимумы'!S$9)/('минимумы и максимумы'!S$10-'минимумы и максимумы'!S$9)*100)</f>
        <v>0</v>
      </c>
    </row>
    <row r="323" spans="1:21" x14ac:dyDescent="0.45">
      <c r="A323" s="4">
        <v>431</v>
      </c>
      <c r="B323" s="4">
        <v>0</v>
      </c>
      <c r="C323" s="4">
        <v>0</v>
      </c>
      <c r="D323">
        <f>IF('исходные данные'!D323&gt;'минимумы и максимумы'!B$10,100,('исходные данные'!D323-'минимумы и максимумы'!B$9)/('минимумы и максимумы'!B$10-'минимумы и максимумы'!B$9)*100)</f>
        <v>0</v>
      </c>
      <c r="E323">
        <f>IF('исходные данные'!E323&gt;'минимумы и максимумы'!C$10,100,('исходные данные'!E323-'минимумы и максимумы'!C$9)/('минимумы и максимумы'!C$10-'минимумы и максимумы'!C$9)*100)</f>
        <v>0</v>
      </c>
      <c r="F323">
        <f>IF('исходные данные'!F323&gt;'минимумы и максимумы'!D$10,100,('исходные данные'!F323-'минимумы и максимумы'!D$9)/('минимумы и максимумы'!D$10-'минимумы и максимумы'!D$9)*100)</f>
        <v>0</v>
      </c>
      <c r="G323">
        <f>IF('исходные данные'!G323&gt;'минимумы и максимумы'!E$10,100,('исходные данные'!G323-'минимумы и максимумы'!E$9)/('минимумы и максимумы'!E$10-'минимумы и максимумы'!E$9)*100)</f>
        <v>0</v>
      </c>
      <c r="H323">
        <f>IF('исходные данные'!H323&gt;'минимумы и максимумы'!F$10,100,('исходные данные'!H323-'минимумы и максимумы'!F$9)/('минимумы и максимумы'!F$10-'минимумы и максимумы'!F$9)*100)</f>
        <v>0</v>
      </c>
      <c r="I323">
        <f>IF('исходные данные'!I323&gt;'минимумы и максимумы'!G$10,100,('исходные данные'!I323-'минимумы и максимумы'!G$9)/('минимумы и максимумы'!G$10-'минимумы и максимумы'!G$9)*100)</f>
        <v>1.8867924528301887</v>
      </c>
      <c r="J323">
        <f>IF('исходные данные'!J323&gt;'минимумы и максимумы'!H$10,100,('исходные данные'!J323-'минимумы и максимумы'!H$9)/('минимумы и максимумы'!H$10-'минимумы и максимумы'!H$9)*100)</f>
        <v>6.666666666666667</v>
      </c>
      <c r="K323">
        <f>IF('исходные данные'!K323&gt;'минимумы и максимумы'!I$10,100,('исходные данные'!K323-'минимумы и максимумы'!I$9)/('минимумы и максимумы'!I$10-'минимумы и максимумы'!I$9)*100)</f>
        <v>5.5555555555555554</v>
      </c>
      <c r="L323">
        <f>IF('исходные данные'!L323&gt;'минимумы и максимумы'!J$10,100,('исходные данные'!L323-'минимумы и максимумы'!J$9)/('минимумы и максимумы'!J$10-'минимумы и максимумы'!J$9)*100)</f>
        <v>0</v>
      </c>
      <c r="M323">
        <f>IF('исходные данные'!M323&gt;'минимумы и максимумы'!K$10,100,('исходные данные'!M323-'минимумы и максимумы'!K$9)/('минимумы и максимумы'!K$10-'минимумы и максимумы'!K$9)*100)</f>
        <v>25</v>
      </c>
      <c r="N323">
        <f>IF('исходные данные'!N323&gt;'минимумы и максимумы'!L$10,100,('исходные данные'!N323-'минимумы и максимумы'!L$9)/('минимумы и максимумы'!L$10-'минимумы и максимумы'!L$9)*100)</f>
        <v>44.942063689206869</v>
      </c>
      <c r="O323">
        <f>IF('исходные данные'!O323&gt;'минимумы и максимумы'!M$10,100,('исходные данные'!O323-'минимумы и максимумы'!M$9)/('минимумы и максимумы'!M$10-'минимумы и максимумы'!M$9)*100)</f>
        <v>66.666666666666657</v>
      </c>
      <c r="P323">
        <f>IF('исходные данные'!P323&gt;'минимумы и максимумы'!N$10,100,('исходные данные'!P323-'минимумы и максимумы'!N$9)/('минимумы и максимумы'!N$10-'минимумы и максимумы'!N$9)*100)</f>
        <v>0</v>
      </c>
      <c r="Q323">
        <f>IF('исходные данные'!Q323&gt;'минимумы и максимумы'!O$10,100,('исходные данные'!Q323-'минимумы и максимумы'!O$9)/('минимумы и максимумы'!O$10-'минимумы и максимумы'!O$9)*100)</f>
        <v>0</v>
      </c>
      <c r="R323">
        <f>IF('исходные данные'!R323&gt;'минимумы и максимумы'!P$10,100,('исходные данные'!R323-'минимумы и максимумы'!P$9)/('минимумы и максимумы'!P$10-'минимумы и максимумы'!P$9)*100)</f>
        <v>25</v>
      </c>
      <c r="S323">
        <f>IF('исходные данные'!S323&gt;'минимумы и максимумы'!Q$10,100,('исходные данные'!S323-'минимумы и максимумы'!Q$9)/('минимумы и максимумы'!Q$10-'минимумы и максимумы'!Q$9)*100)</f>
        <v>16.666666666666664</v>
      </c>
      <c r="T323">
        <f>IF('исходные данные'!T323&gt;'минимумы и максимумы'!R$10,100,('исходные данные'!T323-'минимумы и максимумы'!R$9)/('минимумы и максимумы'!R$10-'минимумы и максимумы'!R$9)*100)</f>
        <v>5.7825086306098967</v>
      </c>
      <c r="U323">
        <f>IF('исходные данные'!U323&gt;'минимумы и максимумы'!S$10,100,('исходные данные'!U323-'минимумы и максимумы'!S$9)/('минимумы и максимумы'!S$10-'минимумы и максимумы'!S$9)*100)</f>
        <v>0</v>
      </c>
    </row>
    <row r="324" spans="1:21" x14ac:dyDescent="0.45">
      <c r="A324" s="4">
        <v>432</v>
      </c>
      <c r="B324" s="4">
        <v>0</v>
      </c>
      <c r="C324" s="4">
        <v>0</v>
      </c>
      <c r="D324">
        <f>IF('исходные данные'!D324&gt;'минимумы и максимумы'!B$10,100,('исходные данные'!D324-'минимумы и максимумы'!B$9)/('минимумы и максимумы'!B$10-'минимумы и максимумы'!B$9)*100)</f>
        <v>0</v>
      </c>
      <c r="E324">
        <f>IF('исходные данные'!E324&gt;'минимумы и максимумы'!C$10,100,('исходные данные'!E324-'минимумы и максимумы'!C$9)/('минимумы и максимумы'!C$10-'минимумы и максимумы'!C$9)*100)</f>
        <v>0</v>
      </c>
      <c r="F324">
        <f>IF('исходные данные'!F324&gt;'минимумы и максимумы'!D$10,100,('исходные данные'!F324-'минимумы и максимумы'!D$9)/('минимумы и максимумы'!D$10-'минимумы и максимумы'!D$9)*100)</f>
        <v>0</v>
      </c>
      <c r="G324">
        <f>IF('исходные данные'!G324&gt;'минимумы и максимумы'!E$10,100,('исходные данные'!G324-'минимумы и максимумы'!E$9)/('минимумы и максимумы'!E$10-'минимумы и максимумы'!E$9)*100)</f>
        <v>0</v>
      </c>
      <c r="H324">
        <f>IF('исходные данные'!H324&gt;'минимумы и максимумы'!F$10,100,('исходные данные'!H324-'минимумы и максимумы'!F$9)/('минимумы и максимумы'!F$10-'минимумы и максимумы'!F$9)*100)</f>
        <v>3.4482758620689653</v>
      </c>
      <c r="I324">
        <f>IF('исходные данные'!I324&gt;'минимумы и максимумы'!G$10,100,('исходные данные'!I324-'минимумы и максимумы'!G$9)/('минимумы и максимумы'!G$10-'минимумы и максимумы'!G$9)*100)</f>
        <v>16.981132075471699</v>
      </c>
      <c r="J324">
        <f>IF('исходные данные'!J324&gt;'минимумы и максимумы'!H$10,100,('исходные данные'!J324-'минимумы и максимумы'!H$9)/('минимумы и максимумы'!H$10-'минимумы и максимумы'!H$9)*100)</f>
        <v>0</v>
      </c>
      <c r="K324">
        <f>IF('исходные данные'!K324&gt;'минимумы и максимумы'!I$10,100,('исходные данные'!K324-'минимумы и максимумы'!I$9)/('минимумы и максимумы'!I$10-'минимумы и максимумы'!I$9)*100)</f>
        <v>5.5555555555555554</v>
      </c>
      <c r="L324">
        <f>IF('исходные данные'!L324&gt;'минимумы и максимумы'!J$10,100,('исходные данные'!L324-'минимумы и максимумы'!J$9)/('минимумы и максимумы'!J$10-'минимумы и максимумы'!J$9)*100)</f>
        <v>0</v>
      </c>
      <c r="M324">
        <f>IF('исходные данные'!M324&gt;'минимумы и максимумы'!K$10,100,('исходные данные'!M324-'минимумы и максимумы'!K$9)/('минимумы и максимумы'!K$10-'минимумы и максимумы'!K$9)*100)</f>
        <v>25</v>
      </c>
      <c r="N324">
        <f>IF('исходные данные'!N324&gt;'минимумы и максимумы'!L$10,100,('исходные данные'!N324-'минимумы и максимумы'!L$9)/('минимумы и максимумы'!L$10-'минимумы и максимумы'!L$9)*100)</f>
        <v>46.990045469852099</v>
      </c>
      <c r="O324">
        <f>IF('исходные данные'!O324&gt;'минимумы и максимумы'!M$10,100,('исходные данные'!O324-'минимумы и максимумы'!M$9)/('минимумы и максимумы'!M$10-'минимумы и максимумы'!M$9)*100)</f>
        <v>0</v>
      </c>
      <c r="P324">
        <f>IF('исходные данные'!P324&gt;'минимумы и максимумы'!N$10,100,('исходные данные'!P324-'минимумы и максимумы'!N$9)/('минимумы и максимумы'!N$10-'минимумы и максимумы'!N$9)*100)</f>
        <v>0</v>
      </c>
      <c r="Q324">
        <f>IF('исходные данные'!Q324&gt;'минимумы и максимумы'!O$10,100,('исходные данные'!Q324-'минимумы и максимумы'!O$9)/('минимумы и максимумы'!O$10-'минимумы и максимумы'!O$9)*100)</f>
        <v>100</v>
      </c>
      <c r="R324">
        <f>IF('исходные данные'!R324&gt;'минимумы и максимумы'!P$10,100,('исходные данные'!R324-'минимумы и максимумы'!P$9)/('минимумы и максимумы'!P$10-'минимумы и максимумы'!P$9)*100)</f>
        <v>50</v>
      </c>
      <c r="S324">
        <f>IF('исходные данные'!S324&gt;'минимумы и максимумы'!Q$10,100,('исходные данные'!S324-'минимумы и максимумы'!Q$9)/('минимумы и максимумы'!Q$10-'минимумы и максимумы'!Q$9)*100)</f>
        <v>33.333333333333329</v>
      </c>
      <c r="T324">
        <f>IF('исходные данные'!T324&gt;'минимумы и максимумы'!R$10,100,('исходные данные'!T324-'минимумы и максимумы'!R$9)/('минимумы и максимумы'!R$10-'минимумы и максимумы'!R$9)*100)</f>
        <v>27.704257767548906</v>
      </c>
      <c r="U324">
        <f>IF('исходные данные'!U324&gt;'минимумы и максимумы'!S$10,100,('исходные данные'!U324-'минимумы и максимумы'!S$9)/('минимумы и максимумы'!S$10-'минимумы и максимумы'!S$9)*100)</f>
        <v>0</v>
      </c>
    </row>
    <row r="325" spans="1:21" x14ac:dyDescent="0.45">
      <c r="A325" s="4">
        <v>433</v>
      </c>
      <c r="B325" s="4">
        <v>0</v>
      </c>
      <c r="C325" s="4">
        <v>0</v>
      </c>
      <c r="D325">
        <f>IF('исходные данные'!D325&gt;'минимумы и максимумы'!B$10,100,('исходные данные'!D325-'минимумы и максимумы'!B$9)/('минимумы и максимумы'!B$10-'минимумы и максимумы'!B$9)*100)</f>
        <v>11.111111111111111</v>
      </c>
      <c r="E325">
        <f>IF('исходные данные'!E325&gt;'минимумы и максимумы'!C$10,100,('исходные данные'!E325-'минимумы и максимумы'!C$9)/('минимумы и максимумы'!C$10-'минимумы и максимумы'!C$9)*100)</f>
        <v>20</v>
      </c>
      <c r="F325">
        <f>IF('исходные данные'!F325&gt;'минимумы и максимумы'!D$10,100,('исходные данные'!F325-'минимумы и максимумы'!D$9)/('минимумы и максимумы'!D$10-'минимумы и максимумы'!D$9)*100)</f>
        <v>33.333333333333329</v>
      </c>
      <c r="G325">
        <f>IF('исходные данные'!G325&gt;'минимумы и максимумы'!E$10,100,('исходные данные'!G325-'минимумы и максимумы'!E$9)/('минимумы и максимумы'!E$10-'минимумы и максимумы'!E$9)*100)</f>
        <v>29.166666666666668</v>
      </c>
      <c r="H325">
        <f>IF('исходные данные'!H325&gt;'минимумы и максимумы'!F$10,100,('исходные данные'!H325-'минимумы и максимумы'!F$9)/('минимумы и максимумы'!F$10-'минимумы и максимумы'!F$9)*100)</f>
        <v>51.724137931034484</v>
      </c>
      <c r="I325">
        <f>IF('исходные данные'!I325&gt;'минимумы и максимумы'!G$10,100,('исходные данные'!I325-'минимумы и максимумы'!G$9)/('минимумы и максимумы'!G$10-'минимумы и максимумы'!G$9)*100)</f>
        <v>39.622641509433961</v>
      </c>
      <c r="J325">
        <f>IF('исходные данные'!J325&gt;'минимумы и максимумы'!H$10,100,('исходные данные'!J325-'минимумы и максимумы'!H$9)/('минимумы и максимумы'!H$10-'минимумы и максимумы'!H$9)*100)</f>
        <v>6.666666666666667</v>
      </c>
      <c r="K325">
        <f>IF('исходные данные'!K325&gt;'минимумы и максимумы'!I$10,100,('исходные данные'!K325-'минимумы и максимумы'!I$9)/('минимумы и максимумы'!I$10-'минимумы и максимумы'!I$9)*100)</f>
        <v>16.666666666666664</v>
      </c>
      <c r="L325">
        <f>IF('исходные данные'!L325&gt;'минимумы и максимумы'!J$10,100,('исходные данные'!L325-'минимумы и максимумы'!J$9)/('минимумы и максимумы'!J$10-'минимумы и максимумы'!J$9)*100)</f>
        <v>50</v>
      </c>
      <c r="M325">
        <f>IF('исходные данные'!M325&gt;'минимумы и максимумы'!K$10,100,('исходные данные'!M325-'минимумы и максимумы'!K$9)/('минимумы и максимумы'!K$10-'минимумы и максимумы'!K$9)*100)</f>
        <v>42.857142857142854</v>
      </c>
      <c r="N325">
        <f>IF('исходные данные'!N325&gt;'минимумы и максимумы'!L$10,100,('исходные данные'!N325-'минимумы и максимумы'!L$9)/('минимумы и максимумы'!L$10-'минимумы и максимумы'!L$9)*100)</f>
        <v>48.744732893433032</v>
      </c>
      <c r="O325">
        <f>IF('исходные данные'!O325&gt;'минимумы и максимумы'!M$10,100,('исходные данные'!O325-'минимумы и максимумы'!M$9)/('минимумы и максимумы'!M$10-'минимумы и максимумы'!M$9)*100)</f>
        <v>66.666666666666657</v>
      </c>
      <c r="P325">
        <f>IF('исходные данные'!P325&gt;'минимумы и максимумы'!N$10,100,('исходные данные'!P325-'минимумы и максимумы'!N$9)/('минимумы и максимумы'!N$10-'минимумы и максимумы'!N$9)*100)</f>
        <v>0</v>
      </c>
      <c r="Q325">
        <f>IF('исходные данные'!Q325&gt;'минимумы и максимумы'!O$10,100,('исходные данные'!Q325-'минимумы и максимумы'!O$9)/('минимумы и максимумы'!O$10-'минимумы и максимумы'!O$9)*100)</f>
        <v>0</v>
      </c>
      <c r="R325">
        <f>IF('исходные данные'!R325&gt;'минимумы и максимумы'!P$10,100,('исходные данные'!R325-'минимумы и максимумы'!P$9)/('минимумы и максимумы'!P$10-'минимумы и максимумы'!P$9)*100)</f>
        <v>75</v>
      </c>
      <c r="S325">
        <f>IF('исходные данные'!S325&gt;'минимумы и максимумы'!Q$10,100,('исходные данные'!S325-'минимумы и максимумы'!Q$9)/('минимумы и максимумы'!Q$10-'минимумы и максимумы'!Q$9)*100)</f>
        <v>16.666666666666664</v>
      </c>
      <c r="T325">
        <f>IF('исходные данные'!T325&gt;'минимумы и максимумы'!R$10,100,('исходные данные'!T325-'минимумы и максимумы'!R$9)/('минимумы и максимумы'!R$10-'минимумы и максимумы'!R$9)*100)</f>
        <v>1.8411967779056386</v>
      </c>
      <c r="U325">
        <f>IF('исходные данные'!U325&gt;'минимумы и максимумы'!S$10,100,('исходные данные'!U325-'минимумы и максимумы'!S$9)/('минимумы и максимумы'!S$10-'минимумы и максимумы'!S$9)*100)</f>
        <v>0</v>
      </c>
    </row>
    <row r="326" spans="1:21" x14ac:dyDescent="0.45">
      <c r="A326" s="4">
        <v>434</v>
      </c>
      <c r="B326" s="4">
        <v>0</v>
      </c>
      <c r="C326" s="4">
        <v>0</v>
      </c>
      <c r="D326">
        <f>IF('исходные данные'!D326&gt;'минимумы и максимумы'!B$10,100,('исходные данные'!D326-'минимумы и максимумы'!B$9)/('минимумы и максимумы'!B$10-'минимумы и максимумы'!B$9)*100)</f>
        <v>22.222222222222221</v>
      </c>
      <c r="E326">
        <f>IF('исходные данные'!E326&gt;'минимумы и максимумы'!C$10,100,('исходные данные'!E326-'минимумы и максимумы'!C$9)/('минимумы и максимумы'!C$10-'минимумы и максимумы'!C$9)*100)</f>
        <v>50</v>
      </c>
      <c r="F326">
        <f>IF('исходные данные'!F326&gt;'минимумы и максимумы'!D$10,100,('исходные данные'!F326-'минимумы и максимумы'!D$9)/('минимумы и максимумы'!D$10-'минимумы и максимумы'!D$9)*100)</f>
        <v>33.333333333333329</v>
      </c>
      <c r="G326">
        <f>IF('исходные данные'!G326&gt;'минимумы и максимумы'!E$10,100,('исходные данные'!G326-'минимумы и максимумы'!E$9)/('минимумы и максимумы'!E$10-'минимумы и максимумы'!E$9)*100)</f>
        <v>16.666666666666664</v>
      </c>
      <c r="H326">
        <f>IF('исходные данные'!H326&gt;'минимумы и максимумы'!F$10,100,('исходные данные'!H326-'минимумы и максимумы'!F$9)/('минимумы и максимумы'!F$10-'минимумы и максимумы'!F$9)*100)</f>
        <v>24.137931034482758</v>
      </c>
      <c r="I326">
        <f>IF('исходные данные'!I326&gt;'минимумы и максимумы'!G$10,100,('исходные данные'!I326-'минимумы и максимумы'!G$9)/('минимумы и максимумы'!G$10-'минимумы и максимумы'!G$9)*100)</f>
        <v>13.20754716981132</v>
      </c>
      <c r="J326">
        <f>IF('исходные данные'!J326&gt;'минимумы и максимумы'!H$10,100,('исходные данные'!J326-'минимумы и максимумы'!H$9)/('минимумы и максимумы'!H$10-'минимумы и максимумы'!H$9)*100)</f>
        <v>13.333333333333334</v>
      </c>
      <c r="K326">
        <f>IF('исходные данные'!K326&gt;'минимумы и максимумы'!I$10,100,('исходные данные'!K326-'минимумы и максимумы'!I$9)/('минимумы и максимумы'!I$10-'минимумы и максимумы'!I$9)*100)</f>
        <v>0</v>
      </c>
      <c r="L326">
        <f>IF('исходные данные'!L326&gt;'минимумы и максимумы'!J$10,100,('исходные данные'!L326-'минимумы и максимумы'!J$9)/('минимумы и максимумы'!J$10-'минимумы и максимумы'!J$9)*100)</f>
        <v>0</v>
      </c>
      <c r="M326">
        <f>IF('исходные данные'!M326&gt;'минимумы и максимумы'!K$10,100,('исходные данные'!M326-'минимумы и максимумы'!K$9)/('минимумы и максимумы'!K$10-'минимумы и максимумы'!K$9)*100)</f>
        <v>28.571428571428569</v>
      </c>
      <c r="N326">
        <f>IF('исходные данные'!N326&gt;'минимумы и максимумы'!L$10,100,('исходные данные'!N326-'минимумы и максимумы'!L$9)/('минимумы и максимумы'!L$10-'минимумы и максимумы'!L$9)*100)</f>
        <v>52.826129837625579</v>
      </c>
      <c r="O326">
        <f>IF('исходные данные'!O326&gt;'минимумы и максимумы'!M$10,100,('исходные данные'!O326-'минимумы и максимумы'!M$9)/('минимумы и максимумы'!M$10-'минимумы и максимумы'!M$9)*100)</f>
        <v>0</v>
      </c>
      <c r="P326">
        <f>IF('исходные данные'!P326&gt;'минимумы и максимумы'!N$10,100,('исходные данные'!P326-'минимумы и максимумы'!N$9)/('минимумы и максимумы'!N$10-'минимумы и максимумы'!N$9)*100)</f>
        <v>0</v>
      </c>
      <c r="Q326">
        <f>IF('исходные данные'!Q326&gt;'минимумы и максимумы'!O$10,100,('исходные данные'!Q326-'минимумы и максимумы'!O$9)/('минимумы и максимумы'!O$10-'минимумы и максимумы'!O$9)*100)</f>
        <v>100</v>
      </c>
      <c r="R326">
        <f>IF('исходные данные'!R326&gt;'минимумы и максимумы'!P$10,100,('исходные данные'!R326-'минимумы и максимумы'!P$9)/('минимумы и максимумы'!P$10-'минимумы и максимумы'!P$9)*100)</f>
        <v>100</v>
      </c>
      <c r="S326">
        <f>IF('исходные данные'!S326&gt;'минимумы и максимумы'!Q$10,100,('исходные данные'!S326-'минимумы и максимумы'!Q$9)/('минимумы и максимумы'!Q$10-'минимумы и максимумы'!Q$9)*100)</f>
        <v>50</v>
      </c>
      <c r="T326">
        <f>IF('исходные данные'!T326&gt;'минимумы и максимумы'!R$10,100,('исходные данные'!T326-'минимумы и максимумы'!R$9)/('минимумы и максимумы'!R$10-'минимумы и максимумы'!R$9)*100)</f>
        <v>22.583429228998849</v>
      </c>
      <c r="U326">
        <f>IF('исходные данные'!U326&gt;'минимумы и максимумы'!S$10,100,('исходные данные'!U326-'минимумы и максимумы'!S$9)/('минимумы и максимумы'!S$10-'минимумы и максимумы'!S$9)*100)</f>
        <v>0</v>
      </c>
    </row>
    <row r="327" spans="1:21" x14ac:dyDescent="0.45">
      <c r="A327" s="4">
        <v>435</v>
      </c>
      <c r="B327" s="4">
        <v>0</v>
      </c>
      <c r="C327" s="4">
        <v>0</v>
      </c>
      <c r="D327">
        <f>IF('исходные данные'!D327&gt;'минимумы и максимумы'!B$10,100,('исходные данные'!D327-'минимумы и максимумы'!B$9)/('минимумы и максимумы'!B$10-'минимумы и максимумы'!B$9)*100)</f>
        <v>0</v>
      </c>
      <c r="E327">
        <f>IF('исходные данные'!E327&gt;'минимумы и максимумы'!C$10,100,('исходные данные'!E327-'минимумы и максимумы'!C$9)/('минимумы и максимумы'!C$10-'минимумы и максимумы'!C$9)*100)</f>
        <v>0</v>
      </c>
      <c r="F327">
        <f>IF('исходные данные'!F327&gt;'минимумы и максимумы'!D$10,100,('исходные данные'!F327-'минимумы и максимумы'!D$9)/('минимумы и максимумы'!D$10-'минимумы и максимумы'!D$9)*100)</f>
        <v>0</v>
      </c>
      <c r="G327">
        <f>IF('исходные данные'!G327&gt;'минимумы и максимумы'!E$10,100,('исходные данные'!G327-'минимумы и максимумы'!E$9)/('минимумы и максимумы'!E$10-'минимумы и максимумы'!E$9)*100)</f>
        <v>0</v>
      </c>
      <c r="H327">
        <f>IF('исходные данные'!H327&gt;'минимумы и максимумы'!F$10,100,('исходные данные'!H327-'минимумы и максимумы'!F$9)/('минимумы и максимумы'!F$10-'минимумы и максимумы'!F$9)*100)</f>
        <v>3.4482758620689653</v>
      </c>
      <c r="I327">
        <f>IF('исходные данные'!I327&gt;'минимумы и максимумы'!G$10,100,('исходные данные'!I327-'минимумы и максимумы'!G$9)/('минимумы и максимумы'!G$10-'минимумы и максимумы'!G$9)*100)</f>
        <v>13.20754716981132</v>
      </c>
      <c r="J327">
        <f>IF('исходные данные'!J327&gt;'минимумы и максимумы'!H$10,100,('исходные данные'!J327-'минимумы и максимумы'!H$9)/('минимумы и максимумы'!H$10-'минимумы и максимумы'!H$9)*100)</f>
        <v>6.666666666666667</v>
      </c>
      <c r="K327">
        <f>IF('исходные данные'!K327&gt;'минимумы и максимумы'!I$10,100,('исходные данные'!K327-'минимумы и максимумы'!I$9)/('минимумы и максимумы'!I$10-'минимумы и максимумы'!I$9)*100)</f>
        <v>0</v>
      </c>
      <c r="L327">
        <f>IF('исходные данные'!L327&gt;'минимумы и максимумы'!J$10,100,('исходные данные'!L327-'минимумы и максимумы'!J$9)/('минимумы и максимумы'!J$10-'минимумы и максимумы'!J$9)*100)</f>
        <v>0</v>
      </c>
      <c r="M327">
        <f>IF('исходные данные'!M327&gt;'минимумы и максимумы'!K$10,100,('исходные данные'!M327-'минимумы и максимумы'!K$9)/('минимумы и максимумы'!K$10-'минимумы и максимумы'!K$9)*100)</f>
        <v>14.285714285714285</v>
      </c>
      <c r="N327">
        <f>IF('исходные данные'!N327&gt;'минимумы и максимумы'!L$10,100,('исходные данные'!N327-'минимумы и максимумы'!L$9)/('минимумы и максимумы'!L$10-'минимумы и максимумы'!L$9)*100)</f>
        <v>50.176252521062978</v>
      </c>
      <c r="O327">
        <f>IF('исходные данные'!O327&gt;'минимумы и максимумы'!M$10,100,('исходные данные'!O327-'минимумы и максимумы'!M$9)/('минимумы и максимумы'!M$10-'минимумы и максимумы'!M$9)*100)</f>
        <v>0</v>
      </c>
      <c r="P327">
        <f>IF('исходные данные'!P327&gt;'минимумы и максимумы'!N$10,100,('исходные данные'!P327-'минимумы и максимумы'!N$9)/('минимумы и максимумы'!N$10-'минимумы и максимумы'!N$9)*100)</f>
        <v>0</v>
      </c>
      <c r="Q327">
        <f>IF('исходные данные'!Q327&gt;'минимумы и максимумы'!O$10,100,('исходные данные'!Q327-'минимумы и максимумы'!O$9)/('минимумы и максимумы'!O$10-'минимумы и максимумы'!O$9)*100)</f>
        <v>100</v>
      </c>
      <c r="R327">
        <f>IF('исходные данные'!R327&gt;'минимумы и максимумы'!P$10,100,('исходные данные'!R327-'минимумы и максимумы'!P$9)/('минимумы и максимумы'!P$10-'минимумы и максимумы'!P$9)*100)</f>
        <v>25</v>
      </c>
      <c r="S327">
        <f>IF('исходные данные'!S327&gt;'минимумы и максимумы'!Q$10,100,('исходные данные'!S327-'минимумы и максимумы'!Q$9)/('минимумы и максимумы'!Q$10-'минимумы и максимумы'!Q$9)*100)</f>
        <v>66.666666666666657</v>
      </c>
      <c r="T327">
        <f>IF('исходные данные'!T327&gt;'минимумы и максимумы'!R$10,100,('исходные данные'!T327-'минимумы и максимумы'!R$9)/('минимумы и максимумы'!R$10-'минимумы и максимумы'!R$9)*100)</f>
        <v>39.441887226697354</v>
      </c>
      <c r="U327">
        <f>IF('исходные данные'!U327&gt;'минимумы и максимумы'!S$10,100,('исходные данные'!U327-'минимумы и максимумы'!S$9)/('минимумы и максимумы'!S$10-'минимумы и максимумы'!S$9)*100)</f>
        <v>66.666666666666657</v>
      </c>
    </row>
    <row r="328" spans="1:21" x14ac:dyDescent="0.45">
      <c r="A328" s="4">
        <v>436</v>
      </c>
      <c r="B328" s="4">
        <v>0</v>
      </c>
      <c r="C328" s="4">
        <v>0</v>
      </c>
      <c r="D328">
        <f>IF('исходные данные'!D328&gt;'минимумы и максимумы'!B$10,100,('исходные данные'!D328-'минимумы и максимумы'!B$9)/('минимумы и максимумы'!B$10-'минимумы и максимумы'!B$9)*100)</f>
        <v>33.333333333333329</v>
      </c>
      <c r="E328">
        <f>IF('исходные данные'!E328&gt;'минимумы и максимумы'!C$10,100,('исходные данные'!E328-'минимумы и максимумы'!C$9)/('минимумы и максимумы'!C$10-'минимумы и максимумы'!C$9)*100)</f>
        <v>10</v>
      </c>
      <c r="F328">
        <f>IF('исходные данные'!F328&gt;'минимумы и максимумы'!D$10,100,('исходные данные'!F328-'минимумы и максимумы'!D$9)/('минимумы и максимумы'!D$10-'минимумы и максимумы'!D$9)*100)</f>
        <v>66.666666666666657</v>
      </c>
      <c r="G328">
        <f>IF('исходные данные'!G328&gt;'минимумы и максимумы'!E$10,100,('исходные данные'!G328-'минимумы и максимумы'!E$9)/('минимумы и максимумы'!E$10-'минимумы и максимумы'!E$9)*100)</f>
        <v>12.5</v>
      </c>
      <c r="H328">
        <f>IF('исходные данные'!H328&gt;'минимумы и максимумы'!F$10,100,('исходные данные'!H328-'минимумы и максимумы'!F$9)/('минимумы и максимумы'!F$10-'минимумы и максимумы'!F$9)*100)</f>
        <v>24.137931034482758</v>
      </c>
      <c r="I328">
        <f>IF('исходные данные'!I328&gt;'минимумы и максимумы'!G$10,100,('исходные данные'!I328-'минимумы и максимумы'!G$9)/('минимумы и максимумы'!G$10-'минимумы и максимумы'!G$9)*100)</f>
        <v>26.415094339622641</v>
      </c>
      <c r="J328">
        <f>IF('исходные данные'!J328&gt;'минимумы и максимумы'!H$10,100,('исходные данные'!J328-'минимумы и максимумы'!H$9)/('минимумы и максимумы'!H$10-'минимумы и максимумы'!H$9)*100)</f>
        <v>33.333333333333329</v>
      </c>
      <c r="K328">
        <f>IF('исходные данные'!K328&gt;'минимумы и максимумы'!I$10,100,('исходные данные'!K328-'минимумы и максимумы'!I$9)/('минимумы и максимумы'!I$10-'минимумы и максимумы'!I$9)*100)</f>
        <v>50</v>
      </c>
      <c r="L328">
        <f>IF('исходные данные'!L328&gt;'минимумы и максимумы'!J$10,100,('исходные данные'!L328-'минимумы и максимумы'!J$9)/('минимумы и максимумы'!J$10-'минимумы и максимумы'!J$9)*100)</f>
        <v>0</v>
      </c>
      <c r="M328">
        <f>IF('исходные данные'!M328&gt;'минимумы и максимумы'!K$10,100,('исходные данные'!M328-'минимумы и максимумы'!K$9)/('минимумы и максимумы'!K$10-'минимумы и максимумы'!K$9)*100)</f>
        <v>28.571428571428569</v>
      </c>
      <c r="N328">
        <f>IF('исходные данные'!N328&gt;'минимумы и максимумы'!L$10,100,('исходные данные'!N328-'минимумы и максимумы'!L$9)/('минимумы и максимумы'!L$10-'минимумы и максимумы'!L$9)*100)</f>
        <v>14.991139971407721</v>
      </c>
      <c r="O328">
        <f>IF('исходные данные'!O328&gt;'минимумы и максимумы'!M$10,100,('исходные данные'!O328-'минимумы и максимумы'!M$9)/('минимумы и максимумы'!M$10-'минимумы и максимумы'!M$9)*100)</f>
        <v>0</v>
      </c>
      <c r="P328">
        <f>IF('исходные данные'!P328&gt;'минимумы и максимумы'!N$10,100,('исходные данные'!P328-'минимумы и максимумы'!N$9)/('минимумы и максимумы'!N$10-'минимумы и максимумы'!N$9)*100)</f>
        <v>0</v>
      </c>
      <c r="Q328">
        <f>IF('исходные данные'!Q328&gt;'минимумы и максимумы'!O$10,100,('исходные данные'!Q328-'минимумы и максимумы'!O$9)/('минимумы и максимумы'!O$10-'минимумы и максимумы'!O$9)*100)</f>
        <v>100</v>
      </c>
      <c r="R328">
        <f>IF('исходные данные'!R328&gt;'минимумы и максимумы'!P$10,100,('исходные данные'!R328-'минимумы и максимумы'!P$9)/('минимумы и максимумы'!P$10-'минимумы и максимумы'!P$9)*100)</f>
        <v>75</v>
      </c>
      <c r="S328">
        <f>IF('исходные данные'!S328&gt;'минимумы и максимумы'!Q$10,100,('исходные данные'!S328-'минимумы и максимумы'!Q$9)/('минимумы и максимумы'!Q$10-'минимумы и максимумы'!Q$9)*100)</f>
        <v>50</v>
      </c>
      <c r="T328">
        <f>IF('исходные данные'!T328&gt;'минимумы и максимумы'!R$10,100,('исходные данные'!T328-'минимумы и максимумы'!R$9)/('минимумы и максимумы'!R$10-'минимумы и максимумы'!R$9)*100)</f>
        <v>48.158803222094363</v>
      </c>
      <c r="U328">
        <f>IF('исходные данные'!U328&gt;'минимумы и максимумы'!S$10,100,('исходные данные'!U328-'минимумы и максимумы'!S$9)/('минимумы и максимумы'!S$10-'минимумы и максимумы'!S$9)*100)</f>
        <v>66.666666666666657</v>
      </c>
    </row>
    <row r="329" spans="1:21" x14ac:dyDescent="0.45">
      <c r="A329" s="4">
        <v>437</v>
      </c>
      <c r="B329" s="4">
        <v>1</v>
      </c>
      <c r="C329" s="4">
        <v>0</v>
      </c>
      <c r="D329">
        <f>IF('исходные данные'!D329&gt;'минимумы и максимумы'!B$10,100,('исходные данные'!D329-'минимумы и максимумы'!B$9)/('минимумы и максимумы'!B$10-'минимумы и максимумы'!B$9)*100)</f>
        <v>22.222222222222221</v>
      </c>
      <c r="E329">
        <f>IF('исходные данные'!E329&gt;'минимумы и максимумы'!C$10,100,('исходные данные'!E329-'минимумы и максимумы'!C$9)/('минимумы и максимумы'!C$10-'минимумы и максимумы'!C$9)*100)</f>
        <v>10</v>
      </c>
      <c r="F329">
        <f>IF('исходные данные'!F329&gt;'минимумы и максимумы'!D$10,100,('исходные данные'!F329-'минимумы и максимумы'!D$9)/('минимумы и максимумы'!D$10-'минимумы и максимумы'!D$9)*100)</f>
        <v>66.666666666666657</v>
      </c>
      <c r="G329">
        <f>IF('исходные данные'!G329&gt;'минимумы и максимумы'!E$10,100,('исходные данные'!G329-'минимумы и максимумы'!E$9)/('минимумы и максимумы'!E$10-'минимумы и максимумы'!E$9)*100)</f>
        <v>29.166666666666668</v>
      </c>
      <c r="H329">
        <f>IF('исходные данные'!H329&gt;'минимумы и максимумы'!F$10,100,('исходные данные'!H329-'минимумы и максимумы'!F$9)/('минимумы и максимумы'!F$10-'минимумы и максимумы'!F$9)*100)</f>
        <v>34.482758620689658</v>
      </c>
      <c r="I329">
        <f>IF('исходные данные'!I329&gt;'минимумы и максимумы'!G$10,100,('исходные данные'!I329-'минимумы и максимумы'!G$9)/('минимумы и максимумы'!G$10-'минимумы и максимумы'!G$9)*100)</f>
        <v>33.962264150943398</v>
      </c>
      <c r="J329">
        <f>IF('исходные данные'!J329&gt;'минимумы и максимумы'!H$10,100,('исходные данные'!J329-'минимумы и максимумы'!H$9)/('минимумы и максимумы'!H$10-'минимумы и максимумы'!H$9)*100)</f>
        <v>40</v>
      </c>
      <c r="K329">
        <f>IF('исходные данные'!K329&gt;'минимумы и максимумы'!I$10,100,('исходные данные'!K329-'минимумы и максимумы'!I$9)/('минимумы и максимумы'!I$10-'минимумы и максимумы'!I$9)*100)</f>
        <v>55.555555555555557</v>
      </c>
      <c r="L329">
        <f>IF('исходные данные'!L329&gt;'минимумы и максимумы'!J$10,100,('исходные данные'!L329-'минимумы и максимумы'!J$9)/('минимумы и максимумы'!J$10-'минимумы и максимумы'!J$9)*100)</f>
        <v>0</v>
      </c>
      <c r="M329">
        <f>IF('исходные данные'!M329&gt;'минимумы и максимумы'!K$10,100,('исходные данные'!M329-'минимумы и максимумы'!K$9)/('минимумы и максимумы'!K$10-'минимумы и максимумы'!K$9)*100)</f>
        <v>32.142857142857146</v>
      </c>
      <c r="N329">
        <f>IF('исходные данные'!N329&gt;'минимумы и максимумы'!L$10,100,('исходные данные'!N329-'минимумы и максимумы'!L$9)/('минимумы и максимумы'!L$10-'минимумы и максимумы'!L$9)*100)</f>
        <v>15.290195552372118</v>
      </c>
      <c r="O329">
        <f>IF('исходные данные'!O329&gt;'минимумы и максимумы'!M$10,100,('исходные данные'!O329-'минимумы и максимумы'!M$9)/('минимумы и максимумы'!M$10-'минимумы и максимумы'!M$9)*100)</f>
        <v>33.333333333333329</v>
      </c>
      <c r="P329">
        <f>IF('исходные данные'!P329&gt;'минимумы и максимумы'!N$10,100,('исходные данные'!P329-'минимумы и максимумы'!N$9)/('минимумы и максимумы'!N$10-'минимумы и максимумы'!N$9)*100)</f>
        <v>0</v>
      </c>
      <c r="Q329">
        <f>IF('исходные данные'!Q329&gt;'минимумы и максимумы'!O$10,100,('исходные данные'!Q329-'минимумы и максимумы'!O$9)/('минимумы и максимумы'!O$10-'минимумы и максимумы'!O$9)*100)</f>
        <v>0</v>
      </c>
      <c r="R329">
        <f>IF('исходные данные'!R329&gt;'минимумы и максимумы'!P$10,100,('исходные данные'!R329-'минимумы и максимумы'!P$9)/('минимумы и максимумы'!P$10-'минимумы и максимумы'!P$9)*100)</f>
        <v>75</v>
      </c>
      <c r="S329">
        <f>IF('исходные данные'!S329&gt;'минимумы и максимумы'!Q$10,100,('исходные данные'!S329-'минимумы и максимумы'!Q$9)/('минимумы и максимумы'!Q$10-'минимумы и максимумы'!Q$9)*100)</f>
        <v>16.666666666666664</v>
      </c>
      <c r="T329">
        <f>IF('исходные данные'!T329&gt;'минимумы и максимумы'!R$10,100,('исходные данные'!T329-'минимумы и максимумы'!R$9)/('минимумы и максимумы'!R$10-'минимумы и максимумы'!R$9)*100)</f>
        <v>15.161104718066742</v>
      </c>
      <c r="U329">
        <f>IF('исходные данные'!U329&gt;'минимумы и максимумы'!S$10,100,('исходные данные'!U329-'минимумы и максимумы'!S$9)/('минимумы и максимумы'!S$10-'минимумы и максимумы'!S$9)*100)</f>
        <v>0</v>
      </c>
    </row>
    <row r="330" spans="1:21" x14ac:dyDescent="0.45">
      <c r="A330" s="4">
        <v>438</v>
      </c>
      <c r="B330" s="4">
        <v>0</v>
      </c>
      <c r="C330" s="4">
        <v>0</v>
      </c>
      <c r="D330">
        <f>IF('исходные данные'!D330&gt;'минимумы и максимумы'!B$10,100,('исходные данные'!D330-'минимумы и максимумы'!B$9)/('минимумы и максимумы'!B$10-'минимумы и максимумы'!B$9)*100)</f>
        <v>11.111111111111111</v>
      </c>
      <c r="E330">
        <f>IF('исходные данные'!E330&gt;'минимумы и максимумы'!C$10,100,('исходные данные'!E330-'минимумы и максимумы'!C$9)/('минимумы и максимумы'!C$10-'минимумы и максимумы'!C$9)*100)</f>
        <v>20</v>
      </c>
      <c r="F330">
        <f>IF('исходные данные'!F330&gt;'минимумы и максимумы'!D$10,100,('исходные данные'!F330-'минимумы и максимумы'!D$9)/('минимумы и максимумы'!D$10-'минимумы и максимумы'!D$9)*100)</f>
        <v>66.666666666666657</v>
      </c>
      <c r="G330">
        <f>IF('исходные данные'!G330&gt;'минимумы и максимумы'!E$10,100,('исходные данные'!G330-'минимумы и максимумы'!E$9)/('минимумы и максимумы'!E$10-'минимумы и максимумы'!E$9)*100)</f>
        <v>62.5</v>
      </c>
      <c r="H330">
        <f>IF('исходные данные'!H330&gt;'минимумы и максимумы'!F$10,100,('исходные данные'!H330-'минимумы и максимумы'!F$9)/('минимумы и максимумы'!F$10-'минимумы и максимумы'!F$9)*100)</f>
        <v>58.620689655172406</v>
      </c>
      <c r="I330">
        <f>IF('исходные данные'!I330&gt;'минимумы и максимумы'!G$10,100,('исходные данные'!I330-'минимумы и максимумы'!G$9)/('минимумы и максимумы'!G$10-'минимумы и максимумы'!G$9)*100)</f>
        <v>92.452830188679243</v>
      </c>
      <c r="J330">
        <f>IF('исходные данные'!J330&gt;'минимумы и максимумы'!H$10,100,('исходные данные'!J330-'минимумы и максимумы'!H$9)/('минимумы и максимумы'!H$10-'минимумы и максимумы'!H$9)*100)</f>
        <v>73.333333333333329</v>
      </c>
      <c r="K330">
        <f>IF('исходные данные'!K330&gt;'минимумы и максимумы'!I$10,100,('исходные данные'!K330-'минимумы и максимумы'!I$9)/('минимумы и максимумы'!I$10-'минимумы и максимумы'!I$9)*100)</f>
        <v>77.777777777777786</v>
      </c>
      <c r="L330">
        <f>IF('исходные данные'!L330&gt;'минимумы и максимумы'!J$10,100,('исходные данные'!L330-'минимумы и максимумы'!J$9)/('минимумы и максимумы'!J$10-'минимумы и максимумы'!J$9)*100)</f>
        <v>35.714285714285715</v>
      </c>
      <c r="M330">
        <f>IF('исходные данные'!M330&gt;'минимумы и максимумы'!K$10,100,('исходные данные'!M330-'минимумы и максимумы'!K$9)/('минимумы и максимумы'!K$10-'минимумы и максимумы'!K$9)*100)</f>
        <v>82.142857142857139</v>
      </c>
      <c r="N330">
        <f>IF('исходные данные'!N330&gt;'минимумы и максимумы'!L$10,100,('исходные данные'!N330-'минимумы и максимумы'!L$9)/('минимумы и максимумы'!L$10-'минимумы и максимумы'!L$9)*100)</f>
        <v>17.673841184751502</v>
      </c>
      <c r="O330">
        <f>IF('исходные данные'!O330&gt;'минимумы и максимумы'!M$10,100,('исходные данные'!O330-'минимумы и максимумы'!M$9)/('минимумы и максимумы'!M$10-'минимумы и максимумы'!M$9)*100)</f>
        <v>100</v>
      </c>
      <c r="P330">
        <f>IF('исходные данные'!P330&gt;'минимумы и максимумы'!N$10,100,('исходные данные'!P330-'минимумы и максимумы'!N$9)/('минимумы и максимумы'!N$10-'минимумы и максимумы'!N$9)*100)</f>
        <v>0</v>
      </c>
      <c r="Q330">
        <f>IF('исходные данные'!Q330&gt;'минимумы и максимумы'!O$10,100,('исходные данные'!Q330-'минимумы и максимумы'!O$9)/('минимумы и максимумы'!O$10-'минимумы и максимумы'!O$9)*100)</f>
        <v>100</v>
      </c>
      <c r="R330">
        <f>IF('исходные данные'!R330&gt;'минимумы и максимумы'!P$10,100,('исходные данные'!R330-'минимумы и максимумы'!P$9)/('минимумы и максимумы'!P$10-'минимумы и максимумы'!P$9)*100)</f>
        <v>100</v>
      </c>
      <c r="S330">
        <f>IF('исходные данные'!S330&gt;'минимумы и максимумы'!Q$10,100,('исходные данные'!S330-'минимумы и максимумы'!Q$9)/('минимумы и максимумы'!Q$10-'минимумы и максимумы'!Q$9)*100)</f>
        <v>50</v>
      </c>
      <c r="T330">
        <f>IF('исходные данные'!T330&gt;'минимумы и максимумы'!R$10,100,('исходные данные'!T330-'минимумы и максимумы'!R$9)/('минимумы и максимумы'!R$10-'минимумы и максимумы'!R$9)*100)</f>
        <v>4.9769850402761797</v>
      </c>
      <c r="U330">
        <f>IF('исходные данные'!U330&gt;'минимумы и максимумы'!S$10,100,('исходные данные'!U330-'минимумы и максимумы'!S$9)/('минимумы и максимумы'!S$10-'минимумы и максимумы'!S$9)*100)</f>
        <v>0</v>
      </c>
    </row>
    <row r="331" spans="1:21" x14ac:dyDescent="0.45">
      <c r="A331" s="4">
        <v>439</v>
      </c>
      <c r="B331" s="4">
        <v>0</v>
      </c>
      <c r="C331" s="4">
        <v>0</v>
      </c>
      <c r="D331">
        <f>IF('исходные данные'!D331&gt;'минимумы и максимумы'!B$10,100,('исходные данные'!D331-'минимумы и максимумы'!B$9)/('минимумы и максимумы'!B$10-'минимумы и максимумы'!B$9)*100)</f>
        <v>11.111111111111111</v>
      </c>
      <c r="E331">
        <f>IF('исходные данные'!E331&gt;'минимумы и максимумы'!C$10,100,('исходные данные'!E331-'минимумы и максимумы'!C$9)/('минимумы и максимумы'!C$10-'минимумы и максимумы'!C$9)*100)</f>
        <v>10</v>
      </c>
      <c r="F331">
        <f>IF('исходные данные'!F331&gt;'минимумы и максимумы'!D$10,100,('исходные данные'!F331-'минимумы и максимумы'!D$9)/('минимумы и максимумы'!D$10-'минимумы и максимумы'!D$9)*100)</f>
        <v>100</v>
      </c>
      <c r="G331">
        <f>IF('исходные данные'!G331&gt;'минимумы и максимумы'!E$10,100,('исходные данные'!G331-'минимумы и максимумы'!E$9)/('минимумы и максимумы'!E$10-'минимумы и максимумы'!E$9)*100)</f>
        <v>58.333333333333336</v>
      </c>
      <c r="H331">
        <f>IF('исходные данные'!H331&gt;'минимумы и максимумы'!F$10,100,('исходные данные'!H331-'минимумы и максимумы'!F$9)/('минимумы и максимумы'!F$10-'минимумы и максимумы'!F$9)*100)</f>
        <v>51.724137931034484</v>
      </c>
      <c r="I331">
        <f>IF('исходные данные'!I331&gt;'минимумы и максимумы'!G$10,100,('исходные данные'!I331-'минимумы и максимумы'!G$9)/('минимумы и максимумы'!G$10-'минимумы и максимумы'!G$9)*100)</f>
        <v>86.79245283018868</v>
      </c>
      <c r="J331">
        <f>IF('исходные данные'!J331&gt;'минимумы и максимумы'!H$10,100,('исходные данные'!J331-'минимумы и максимумы'!H$9)/('минимумы и максимумы'!H$10-'минимумы и максимумы'!H$9)*100)</f>
        <v>100</v>
      </c>
      <c r="K331">
        <f>IF('исходные данные'!K331&gt;'минимумы и максимумы'!I$10,100,('исходные данные'!K331-'минимумы и максимумы'!I$9)/('минимумы и максимумы'!I$10-'минимумы и максимумы'!I$9)*100)</f>
        <v>88.888888888888886</v>
      </c>
      <c r="L331">
        <f>IF('исходные данные'!L331&gt;'минимумы и максимумы'!J$10,100,('исходные данные'!L331-'минимумы и максимумы'!J$9)/('минимумы и максимумы'!J$10-'минимумы и максимумы'!J$9)*100)</f>
        <v>35.714285714285715</v>
      </c>
      <c r="M331">
        <f>IF('исходные данные'!M331&gt;'минимумы и максимумы'!K$10,100,('исходные данные'!M331-'минимумы и максимумы'!K$9)/('минимумы и максимумы'!K$10-'минимумы и максимумы'!K$9)*100)</f>
        <v>67.857142857142861</v>
      </c>
      <c r="N331">
        <f>IF('исходные данные'!N331&gt;'минимумы и максимумы'!L$10,100,('исходные данные'!N331-'минимумы и максимумы'!L$9)/('минимумы и максимумы'!L$10-'минимумы и максимумы'!L$9)*100)</f>
        <v>17.276344997880365</v>
      </c>
      <c r="O331">
        <f>IF('исходные данные'!O331&gt;'минимумы и максимумы'!M$10,100,('исходные данные'!O331-'минимумы и максимумы'!M$9)/('минимумы и максимумы'!M$10-'минимумы и максимумы'!M$9)*100)</f>
        <v>0</v>
      </c>
      <c r="P331">
        <f>IF('исходные данные'!P331&gt;'минимумы и максимумы'!N$10,100,('исходные данные'!P331-'минимумы и максимумы'!N$9)/('минимумы и максимумы'!N$10-'минимумы и максимумы'!N$9)*100)</f>
        <v>0</v>
      </c>
      <c r="Q331">
        <f>IF('исходные данные'!Q331&gt;'минимумы и максимумы'!O$10,100,('исходные данные'!Q331-'минимумы и максимумы'!O$9)/('минимумы и максимумы'!O$10-'минимумы и максимумы'!O$9)*100)</f>
        <v>100</v>
      </c>
      <c r="R331">
        <f>IF('исходные данные'!R331&gt;'минимумы и максимумы'!P$10,100,('исходные данные'!R331-'минимумы и максимумы'!P$9)/('минимумы и максимумы'!P$10-'минимумы и максимумы'!P$9)*100)</f>
        <v>100</v>
      </c>
      <c r="S331">
        <f>IF('исходные данные'!S331&gt;'минимумы и максимумы'!Q$10,100,('исходные данные'!S331-'минимумы и максимумы'!Q$9)/('минимумы и максимумы'!Q$10-'минимумы и максимумы'!Q$9)*100)</f>
        <v>83.333333333333343</v>
      </c>
      <c r="T331">
        <f>IF('исходные данные'!T331&gt;'минимумы и максимумы'!R$10,100,('исходные данные'!T331-'минимумы и максимумы'!R$9)/('минимумы и максимумы'!R$10-'минимумы и максимумы'!R$9)*100)</f>
        <v>49.741081703107021</v>
      </c>
      <c r="U331">
        <f>IF('исходные данные'!U331&gt;'минимумы и максимумы'!S$10,100,('исходные данные'!U331-'минимумы и максимумы'!S$9)/('минимумы и максимумы'!S$10-'минимумы и максимумы'!S$9)*100)</f>
        <v>66.666666666666657</v>
      </c>
    </row>
    <row r="332" spans="1:21" x14ac:dyDescent="0.45">
      <c r="A332" s="4">
        <v>440</v>
      </c>
      <c r="B332" s="4">
        <v>0</v>
      </c>
      <c r="C332" s="4">
        <v>0</v>
      </c>
      <c r="D332">
        <f>IF('исходные данные'!D332&gt;'минимумы и максимумы'!B$10,100,('исходные данные'!D332-'минимумы и максимумы'!B$9)/('минимумы и максимумы'!B$10-'минимумы и максимумы'!B$9)*100)</f>
        <v>11.111111111111111</v>
      </c>
      <c r="E332">
        <f>IF('исходные данные'!E332&gt;'минимумы и максимумы'!C$10,100,('исходные данные'!E332-'минимумы и максимумы'!C$9)/('минимумы и максимумы'!C$10-'минимумы и максимумы'!C$9)*100)</f>
        <v>20</v>
      </c>
      <c r="F332">
        <f>IF('исходные данные'!F332&gt;'минимумы и максимумы'!D$10,100,('исходные данные'!F332-'минимумы и максимумы'!D$9)/('минимумы и максимумы'!D$10-'минимумы и максимумы'!D$9)*100)</f>
        <v>100</v>
      </c>
      <c r="G332">
        <f>IF('исходные данные'!G332&gt;'минимумы и максимумы'!E$10,100,('исходные данные'!G332-'минимумы и максимумы'!E$9)/('минимумы и максимумы'!E$10-'минимумы и максимумы'!E$9)*100)</f>
        <v>62.5</v>
      </c>
      <c r="H332">
        <f>IF('исходные данные'!H332&gt;'минимумы и максимумы'!F$10,100,('исходные данные'!H332-'минимумы и максимумы'!F$9)/('минимумы и максимумы'!F$10-'минимумы и максимумы'!F$9)*100)</f>
        <v>44.827586206896555</v>
      </c>
      <c r="I332">
        <f>IF('исходные данные'!I332&gt;'минимумы и максимумы'!G$10,100,('исходные данные'!I332-'минимумы и максимумы'!G$9)/('минимумы и максимумы'!G$10-'минимумы и максимумы'!G$9)*100)</f>
        <v>83.018867924528308</v>
      </c>
      <c r="J332">
        <f>IF('исходные данные'!J332&gt;'минимумы и максимумы'!H$10,100,('исходные данные'!J332-'минимумы и максимумы'!H$9)/('минимумы и максимумы'!H$10-'минимумы и максимумы'!H$9)*100)</f>
        <v>93.333333333333329</v>
      </c>
      <c r="K332">
        <f>IF('исходные данные'!K332&gt;'минимумы и максимумы'!I$10,100,('исходные данные'!K332-'минимумы и максимумы'!I$9)/('минимумы и максимумы'!I$10-'минимумы и максимумы'!I$9)*100)</f>
        <v>88.888888888888886</v>
      </c>
      <c r="L332">
        <f>IF('исходные данные'!L332&gt;'минимумы и максимумы'!J$10,100,('исходные данные'!L332-'минимумы и максимумы'!J$9)/('минимумы и максимумы'!J$10-'минимумы и максимумы'!J$9)*100)</f>
        <v>35.714285714285715</v>
      </c>
      <c r="M332">
        <f>IF('исходные данные'!M332&gt;'минимумы и максимумы'!K$10,100,('исходные данные'!M332-'минимумы и максимумы'!K$9)/('минимумы и максимумы'!K$10-'минимумы и максимумы'!K$9)*100)</f>
        <v>67.857142857142861</v>
      </c>
      <c r="N332">
        <f>IF('исходные данные'!N332&gt;'минимумы и максимумы'!L$10,100,('исходные данные'!N332-'минимумы и максимумы'!L$9)/('минимумы и максимумы'!L$10-'минимумы и максимумы'!L$9)*100)</f>
        <v>17.245629567693079</v>
      </c>
      <c r="O332">
        <f>IF('исходные данные'!O332&gt;'минимумы и максимумы'!M$10,100,('исходные данные'!O332-'минимумы и максимумы'!M$9)/('минимумы и максимумы'!M$10-'минимумы и максимумы'!M$9)*100)</f>
        <v>100</v>
      </c>
      <c r="P332">
        <f>IF('исходные данные'!P332&gt;'минимумы и максимумы'!N$10,100,('исходные данные'!P332-'минимумы и максимумы'!N$9)/('минимумы и максимумы'!N$10-'минимумы и максимумы'!N$9)*100)</f>
        <v>0</v>
      </c>
      <c r="Q332">
        <f>IF('исходные данные'!Q332&gt;'минимумы и максимумы'!O$10,100,('исходные данные'!Q332-'минимумы и максимумы'!O$9)/('минимумы и максимумы'!O$10-'минимумы и максимумы'!O$9)*100)</f>
        <v>100</v>
      </c>
      <c r="R332">
        <f>IF('исходные данные'!R332&gt;'минимумы и максимумы'!P$10,100,('исходные данные'!R332-'минимумы и максимумы'!P$9)/('минимумы и максимумы'!P$10-'минимумы и максимумы'!P$9)*100)</f>
        <v>100</v>
      </c>
      <c r="S332">
        <f>IF('исходные данные'!S332&gt;'минимумы и максимумы'!Q$10,100,('исходные данные'!S332-'минимумы и максимумы'!Q$9)/('минимумы и максимумы'!Q$10-'минимумы и максимумы'!Q$9)*100)</f>
        <v>83.333333333333343</v>
      </c>
      <c r="T332">
        <f>IF('исходные данные'!T332&gt;'минимумы и максимумы'!R$10,100,('исходные данные'!T332-'минимумы и максимумы'!R$9)/('минимумы и максимумы'!R$10-'минимумы и максимумы'!R$9)*100)</f>
        <v>20.339470655926352</v>
      </c>
      <c r="U332">
        <f>IF('исходные данные'!U332&gt;'минимумы и максимумы'!S$10,100,('исходные данные'!U332-'минимумы и максимумы'!S$9)/('минимумы и максимумы'!S$10-'минимумы и максимумы'!S$9)*100)</f>
        <v>33.333333333333329</v>
      </c>
    </row>
    <row r="333" spans="1:21" x14ac:dyDescent="0.45">
      <c r="A333" s="4">
        <v>441</v>
      </c>
      <c r="B333" s="4">
        <v>0</v>
      </c>
      <c r="C333" s="4">
        <v>0</v>
      </c>
      <c r="D333">
        <f>IF('исходные данные'!D333&gt;'минимумы и максимумы'!B$10,100,('исходные данные'!D333-'минимумы и максимумы'!B$9)/('минимумы и максимумы'!B$10-'минимумы и максимумы'!B$9)*100)</f>
        <v>33.333333333333329</v>
      </c>
      <c r="E333">
        <f>IF('исходные данные'!E333&gt;'минимумы и максимумы'!C$10,100,('исходные данные'!E333-'минимумы и максимумы'!C$9)/('минимумы и максимумы'!C$10-'минимумы и максимумы'!C$9)*100)</f>
        <v>40</v>
      </c>
      <c r="F333">
        <f>IF('исходные данные'!F333&gt;'минимумы и максимумы'!D$10,100,('исходные данные'!F333-'минимумы и максимумы'!D$9)/('минимумы и максимумы'!D$10-'минимумы и максимумы'!D$9)*100)</f>
        <v>33.333333333333329</v>
      </c>
      <c r="G333">
        <f>IF('исходные данные'!G333&gt;'минимумы и максимумы'!E$10,100,('исходные данные'!G333-'минимумы и максимумы'!E$9)/('минимумы и максимумы'!E$10-'минимумы и максимумы'!E$9)*100)</f>
        <v>75</v>
      </c>
      <c r="H333">
        <f>IF('исходные данные'!H333&gt;'минимумы и максимумы'!F$10,100,('исходные данные'!H333-'минимумы и максимумы'!F$9)/('минимумы и максимумы'!F$10-'минимумы и максимумы'!F$9)*100)</f>
        <v>41.379310344827587</v>
      </c>
      <c r="I333">
        <f>IF('исходные данные'!I333&gt;'минимумы и максимумы'!G$10,100,('исходные данные'!I333-'минимумы и максимумы'!G$9)/('минимумы и максимумы'!G$10-'минимумы и максимумы'!G$9)*100)</f>
        <v>43.39622641509434</v>
      </c>
      <c r="J333">
        <f>IF('исходные данные'!J333&gt;'минимумы и максимумы'!H$10,100,('исходные данные'!J333-'минимумы и максимумы'!H$9)/('минимумы и максимумы'!H$10-'минимумы и максимумы'!H$9)*100)</f>
        <v>86.666666666666671</v>
      </c>
      <c r="K333">
        <f>IF('исходные данные'!K333&gt;'минимумы и максимумы'!I$10,100,('исходные данные'!K333-'минимумы и максимумы'!I$9)/('минимумы и максимумы'!I$10-'минимумы и максимумы'!I$9)*100)</f>
        <v>27.777777777777779</v>
      </c>
      <c r="L333">
        <f>IF('исходные данные'!L333&gt;'минимумы и максимумы'!J$10,100,('исходные данные'!L333-'минимумы и максимумы'!J$9)/('минимумы и максимумы'!J$10-'минимумы и максимумы'!J$9)*100)</f>
        <v>7.1428571428571423</v>
      </c>
      <c r="M333">
        <f>IF('исходные данные'!M333&gt;'минимумы и максимумы'!K$10,100,('исходные данные'!M333-'минимумы и максимумы'!K$9)/('минимумы и максимумы'!K$10-'минимумы и максимумы'!K$9)*100)</f>
        <v>85.714285714285708</v>
      </c>
      <c r="N333">
        <f>IF('исходные данные'!N333&gt;'минимумы и максимумы'!L$10,100,('исходные данные'!N333-'минимумы и максимумы'!L$9)/('минимумы и максимумы'!L$10-'минимумы и максимумы'!L$9)*100)</f>
        <v>19.247746661367845</v>
      </c>
      <c r="O333">
        <f>IF('исходные данные'!O333&gt;'минимумы и максимумы'!M$10,100,('исходные данные'!O333-'минимумы и максимумы'!M$9)/('минимумы и максимумы'!M$10-'минимумы и максимумы'!M$9)*100)</f>
        <v>0</v>
      </c>
      <c r="P333">
        <f>IF('исходные данные'!P333&gt;'минимумы и максимумы'!N$10,100,('исходные данные'!P333-'минимумы и максимумы'!N$9)/('минимумы и максимумы'!N$10-'минимумы и максимумы'!N$9)*100)</f>
        <v>0</v>
      </c>
      <c r="Q333">
        <f>IF('исходные данные'!Q333&gt;'минимумы и максимумы'!O$10,100,('исходные данные'!Q333-'минимумы и максимумы'!O$9)/('минимумы и максимумы'!O$10-'минимумы и максимумы'!O$9)*100)</f>
        <v>0</v>
      </c>
      <c r="R333">
        <f>IF('исходные данные'!R333&gt;'минимумы и максимумы'!P$10,100,('исходные данные'!R333-'минимумы и максимумы'!P$9)/('минимумы и максимумы'!P$10-'минимумы и максимумы'!P$9)*100)</f>
        <v>100</v>
      </c>
      <c r="S333">
        <f>IF('исходные данные'!S333&gt;'минимумы и максимумы'!Q$10,100,('исходные данные'!S333-'минимумы и максимумы'!Q$9)/('минимумы и максимумы'!Q$10-'минимумы и максимумы'!Q$9)*100)</f>
        <v>16.666666666666664</v>
      </c>
      <c r="T333">
        <f>IF('исходные данные'!T333&gt;'минимумы и максимумы'!R$10,100,('исходные данные'!T333-'минимумы и максимумы'!R$9)/('минимумы и максимумы'!R$10-'минимумы и максимумы'!R$9)*100)</f>
        <v>47.986191024165706</v>
      </c>
      <c r="U333">
        <f>IF('исходные данные'!U333&gt;'минимумы и максимумы'!S$10,100,('исходные данные'!U333-'минимумы и максимумы'!S$9)/('минимумы и максимумы'!S$10-'минимумы и максимумы'!S$9)*100)</f>
        <v>100</v>
      </c>
    </row>
    <row r="334" spans="1:21" x14ac:dyDescent="0.45">
      <c r="A334" s="4">
        <v>442</v>
      </c>
      <c r="B334" s="4">
        <v>0</v>
      </c>
      <c r="C334" s="4">
        <v>0</v>
      </c>
      <c r="D334">
        <f>IF('исходные данные'!D334&gt;'минимумы и максимумы'!B$10,100,('исходные данные'!D334-'минимумы и максимумы'!B$9)/('минимумы и максимумы'!B$10-'минимумы и максимумы'!B$9)*100)</f>
        <v>33.333333333333329</v>
      </c>
      <c r="E334">
        <f>IF('исходные данные'!E334&gt;'минимумы и максимумы'!C$10,100,('исходные данные'!E334-'минимумы и максимумы'!C$9)/('минимумы и максимумы'!C$10-'минимумы и максимумы'!C$9)*100)</f>
        <v>50</v>
      </c>
      <c r="F334">
        <f>IF('исходные данные'!F334&gt;'минимумы и максимумы'!D$10,100,('исходные данные'!F334-'минимумы и максимумы'!D$9)/('минимумы и максимумы'!D$10-'минимумы и максимумы'!D$9)*100)</f>
        <v>66.666666666666657</v>
      </c>
      <c r="G334">
        <f>IF('исходные данные'!G334&gt;'минимумы и максимумы'!E$10,100,('исходные данные'!G334-'минимумы и максимумы'!E$9)/('минимумы и максимумы'!E$10-'минимумы и максимумы'!E$9)*100)</f>
        <v>75</v>
      </c>
      <c r="H334">
        <f>IF('исходные данные'!H334&gt;'минимумы и максимумы'!F$10,100,('исходные данные'!H334-'минимумы и максимумы'!F$9)/('минимумы и максимумы'!F$10-'минимумы и максимумы'!F$9)*100)</f>
        <v>55.172413793103445</v>
      </c>
      <c r="I334">
        <f>IF('исходные данные'!I334&gt;'минимумы и максимумы'!G$10,100,('исходные данные'!I334-'минимумы и максимумы'!G$9)/('минимумы и максимумы'!G$10-'минимумы и максимумы'!G$9)*100)</f>
        <v>49.056603773584904</v>
      </c>
      <c r="J334">
        <f>IF('исходные данные'!J334&gt;'минимумы и максимумы'!H$10,100,('исходные данные'!J334-'минимумы и максимумы'!H$9)/('минимумы и максимумы'!H$10-'минимумы и максимумы'!H$9)*100)</f>
        <v>100</v>
      </c>
      <c r="K334">
        <f>IF('исходные данные'!K334&gt;'минимумы и максимумы'!I$10,100,('исходные данные'!K334-'минимумы и максимумы'!I$9)/('минимумы и максимумы'!I$10-'минимумы и максимумы'!I$9)*100)</f>
        <v>27.777777777777779</v>
      </c>
      <c r="L334">
        <f>IF('исходные данные'!L334&gt;'минимумы и максимумы'!J$10,100,('исходные данные'!L334-'минимумы и максимумы'!J$9)/('минимумы и максимумы'!J$10-'минимумы и максимумы'!J$9)*100)</f>
        <v>7.1428571428571423</v>
      </c>
      <c r="M334">
        <f>IF('исходные данные'!M334&gt;'минимумы и максимумы'!K$10,100,('исходные данные'!M334-'минимумы и максимумы'!K$9)/('минимумы и максимумы'!K$10-'минимумы и максимумы'!K$9)*100)</f>
        <v>89.285714285714292</v>
      </c>
      <c r="N334">
        <f>IF('исходные данные'!N334&gt;'минимумы и максимумы'!L$10,100,('исходные данные'!N334-'минимумы и максимумы'!L$9)/('минимумы и максимумы'!L$10-'минимумы и максимумы'!L$9)*100)</f>
        <v>18.950616806280056</v>
      </c>
      <c r="O334">
        <f>IF('исходные данные'!O334&gt;'минимумы и максимумы'!M$10,100,('исходные данные'!O334-'минимумы и максимумы'!M$9)/('минимумы и максимумы'!M$10-'минимумы и максимумы'!M$9)*100)</f>
        <v>100</v>
      </c>
      <c r="P334">
        <f>IF('исходные данные'!P334&gt;'минимумы и максимумы'!N$10,100,('исходные данные'!P334-'минимумы и максимумы'!N$9)/('минимумы и максимумы'!N$10-'минимумы и максимумы'!N$9)*100)</f>
        <v>0</v>
      </c>
      <c r="Q334">
        <f>IF('исходные данные'!Q334&gt;'минимумы и максимумы'!O$10,100,('исходные данные'!Q334-'минимумы и максимумы'!O$9)/('минимумы и максимумы'!O$10-'минимумы и максимумы'!O$9)*100)</f>
        <v>100</v>
      </c>
      <c r="R334">
        <f>IF('исходные данные'!R334&gt;'минимумы и максимумы'!P$10,100,('исходные данные'!R334-'минимумы и максимумы'!P$9)/('минимумы и максимумы'!P$10-'минимумы и максимумы'!P$9)*100)</f>
        <v>100</v>
      </c>
      <c r="S334">
        <f>IF('исходные данные'!S334&gt;'минимумы и максимумы'!Q$10,100,('исходные данные'!S334-'минимумы и максимумы'!Q$9)/('минимумы и максимумы'!Q$10-'минимумы и максимумы'!Q$9)*100)</f>
        <v>50</v>
      </c>
      <c r="T334">
        <f>IF('исходные данные'!T334&gt;'минимумы и максимумы'!R$10,100,('исходные данные'!T334-'минимумы и максимумы'!R$9)/('минимумы и максимумы'!R$10-'минимумы и максимумы'!R$9)*100)</f>
        <v>6.2140391254315306</v>
      </c>
      <c r="U334">
        <f>IF('исходные данные'!U334&gt;'минимумы и максимумы'!S$10,100,('исходные данные'!U334-'минимумы и максимумы'!S$9)/('минимумы и максимумы'!S$10-'минимумы и максимумы'!S$9)*100)</f>
        <v>0</v>
      </c>
    </row>
    <row r="335" spans="1:21" x14ac:dyDescent="0.45">
      <c r="A335" s="4">
        <v>443</v>
      </c>
      <c r="B335" s="4">
        <v>0</v>
      </c>
      <c r="C335" s="4">
        <v>0</v>
      </c>
      <c r="D335">
        <f>IF('исходные данные'!D335&gt;'минимумы и максимумы'!B$10,100,('исходные данные'!D335-'минимумы и максимумы'!B$9)/('минимумы и максимумы'!B$10-'минимумы и максимумы'!B$9)*100)</f>
        <v>33.333333333333329</v>
      </c>
      <c r="E335">
        <f>IF('исходные данные'!E335&gt;'минимумы и максимумы'!C$10,100,('исходные данные'!E335-'минимумы и максимумы'!C$9)/('минимумы и максимумы'!C$10-'минимумы и максимумы'!C$9)*100)</f>
        <v>50</v>
      </c>
      <c r="F335">
        <f>IF('исходные данные'!F335&gt;'минимумы и максимумы'!D$10,100,('исходные данные'!F335-'минимумы и максимумы'!D$9)/('минимумы и максимумы'!D$10-'минимумы и максимумы'!D$9)*100)</f>
        <v>66.666666666666657</v>
      </c>
      <c r="G335">
        <f>IF('исходные данные'!G335&gt;'минимумы и максимумы'!E$10,100,('исходные данные'!G335-'минимумы и максимумы'!E$9)/('минимумы и максимумы'!E$10-'минимумы и максимумы'!E$9)*100)</f>
        <v>75</v>
      </c>
      <c r="H335">
        <f>IF('исходные данные'!H335&gt;'минимумы и максимумы'!F$10,100,('исходные данные'!H335-'минимумы и максимумы'!F$9)/('минимумы и максимумы'!F$10-'минимумы и максимумы'!F$9)*100)</f>
        <v>55.172413793103445</v>
      </c>
      <c r="I335">
        <f>IF('исходные данные'!I335&gt;'минимумы и максимумы'!G$10,100,('исходные данные'!I335-'минимумы и максимумы'!G$9)/('минимумы и максимумы'!G$10-'минимумы и максимумы'!G$9)*100)</f>
        <v>49.056603773584904</v>
      </c>
      <c r="J335">
        <f>IF('исходные данные'!J335&gt;'минимумы и максимумы'!H$10,100,('исходные данные'!J335-'минимумы и максимумы'!H$9)/('минимумы и максимумы'!H$10-'минимумы и максимумы'!H$9)*100)</f>
        <v>100</v>
      </c>
      <c r="K335">
        <f>IF('исходные данные'!K335&gt;'минимумы и максимумы'!I$10,100,('исходные данные'!K335-'минимумы и максимумы'!I$9)/('минимумы и максимумы'!I$10-'минимумы и максимумы'!I$9)*100)</f>
        <v>27.777777777777779</v>
      </c>
      <c r="L335">
        <f>IF('исходные данные'!L335&gt;'минимумы и максимумы'!J$10,100,('исходные данные'!L335-'минимумы и максимумы'!J$9)/('минимумы и максимумы'!J$10-'минимумы и максимумы'!J$9)*100)</f>
        <v>7.1428571428571423</v>
      </c>
      <c r="M335">
        <f>IF('исходные данные'!M335&gt;'минимумы и максимумы'!K$10,100,('исходные данные'!M335-'минимумы и максимумы'!K$9)/('минимумы и максимумы'!K$10-'минимумы и максимумы'!K$9)*100)</f>
        <v>89.285714285714292</v>
      </c>
      <c r="N335">
        <f>IF('исходные данные'!N335&gt;'минимумы и максимумы'!L$10,100,('исходные данные'!N335-'минимумы и максимумы'!L$9)/('минимумы и максимумы'!L$10-'минимумы и максимумы'!L$9)*100)</f>
        <v>18.710598160807219</v>
      </c>
      <c r="O335">
        <f>IF('исходные данные'!O335&gt;'минимумы и максимумы'!M$10,100,('исходные данные'!O335-'минимумы и максимумы'!M$9)/('минимумы и максимумы'!M$10-'минимумы и максимумы'!M$9)*100)</f>
        <v>100</v>
      </c>
      <c r="P335">
        <f>IF('исходные данные'!P335&gt;'минимумы и максимумы'!N$10,100,('исходные данные'!P335-'минимумы и максимумы'!N$9)/('минимумы и максимумы'!N$10-'минимумы и максимумы'!N$9)*100)</f>
        <v>0</v>
      </c>
      <c r="Q335">
        <f>IF('исходные данные'!Q335&gt;'минимумы и максимумы'!O$10,100,('исходные данные'!Q335-'минимумы и максимумы'!O$9)/('минимумы и максимумы'!O$10-'минимумы и максимумы'!O$9)*100)</f>
        <v>100</v>
      </c>
      <c r="R335">
        <f>IF('исходные данные'!R335&gt;'минимумы и максимумы'!P$10,100,('исходные данные'!R335-'минимумы и максимумы'!P$9)/('минимумы и максимумы'!P$10-'минимумы и максимумы'!P$9)*100)</f>
        <v>100</v>
      </c>
      <c r="S335">
        <f>IF('исходные данные'!S335&gt;'минимумы и максимумы'!Q$10,100,('исходные данные'!S335-'минимумы и максимумы'!Q$9)/('минимумы и максимумы'!Q$10-'минимумы и максимумы'!Q$9)*100)</f>
        <v>33.333333333333329</v>
      </c>
      <c r="T335">
        <f>IF('исходные данные'!T335&gt;'минимумы и максимумы'!R$10,100,('исходные данные'!T335-'минимумы и максимумы'!R$9)/('минимумы и максимумы'!R$10-'минимумы и максимумы'!R$9)*100)</f>
        <v>12.485615650172614</v>
      </c>
      <c r="U335">
        <f>IF('исходные данные'!U335&gt;'минимумы и максимумы'!S$10,100,('исходные данные'!U335-'минимумы и максимумы'!S$9)/('минимумы и максимумы'!S$10-'минимумы и максимумы'!S$9)*100)</f>
        <v>66.666666666666657</v>
      </c>
    </row>
    <row r="336" spans="1:21" x14ac:dyDescent="0.45">
      <c r="A336" s="4">
        <v>444</v>
      </c>
      <c r="B336" s="4">
        <v>0</v>
      </c>
      <c r="C336" s="4">
        <v>0</v>
      </c>
      <c r="D336">
        <f>IF('исходные данные'!D336&gt;'минимумы и максимумы'!B$10,100,('исходные данные'!D336-'минимумы и максимумы'!B$9)/('минимумы и максимумы'!B$10-'минимумы и максимумы'!B$9)*100)</f>
        <v>11.111111111111111</v>
      </c>
      <c r="E336">
        <f>IF('исходные данные'!E336&gt;'минимумы и максимумы'!C$10,100,('исходные данные'!E336-'минимумы и максимумы'!C$9)/('минимумы и максимумы'!C$10-'минимумы и максимумы'!C$9)*100)</f>
        <v>40</v>
      </c>
      <c r="F336">
        <f>IF('исходные данные'!F336&gt;'минимумы и максимумы'!D$10,100,('исходные данные'!F336-'минимумы и максимумы'!D$9)/('минимумы и максимумы'!D$10-'минимумы и максимумы'!D$9)*100)</f>
        <v>0</v>
      </c>
      <c r="G336">
        <f>IF('исходные данные'!G336&gt;'минимумы и максимумы'!E$10,100,('исходные данные'!G336-'минимумы и максимумы'!E$9)/('минимумы и максимумы'!E$10-'минимумы и максимумы'!E$9)*100)</f>
        <v>45.833333333333329</v>
      </c>
      <c r="H336">
        <f>IF('исходные данные'!H336&gt;'минимумы и максимумы'!F$10,100,('исходные данные'!H336-'минимумы и максимумы'!F$9)/('минимумы и максимумы'!F$10-'минимумы и максимумы'!F$9)*100)</f>
        <v>55.172413793103445</v>
      </c>
      <c r="I336">
        <f>IF('исходные данные'!I336&gt;'минимумы и максимумы'!G$10,100,('исходные данные'!I336-'минимумы и максимумы'!G$9)/('минимумы и максимумы'!G$10-'минимумы и максимумы'!G$9)*100)</f>
        <v>88.679245283018872</v>
      </c>
      <c r="J336">
        <f>IF('исходные данные'!J336&gt;'минимумы и максимумы'!H$10,100,('исходные данные'!J336-'минимумы и максимумы'!H$9)/('минимумы и максимумы'!H$10-'минимумы и максимумы'!H$9)*100)</f>
        <v>66.666666666666657</v>
      </c>
      <c r="K336">
        <f>IF('исходные данные'!K336&gt;'минимумы и максимумы'!I$10,100,('исходные данные'!K336-'минимумы и максимумы'!I$9)/('минимумы и максимумы'!I$10-'минимумы и максимумы'!I$9)*100)</f>
        <v>66.666666666666657</v>
      </c>
      <c r="L336">
        <f>IF('исходные данные'!L336&gt;'минимумы и максимумы'!J$10,100,('исходные данные'!L336-'минимумы и максимумы'!J$9)/('минимумы и максимумы'!J$10-'минимумы и максимумы'!J$9)*100)</f>
        <v>35.714285714285715</v>
      </c>
      <c r="M336">
        <f>IF('исходные данные'!M336&gt;'минимумы и максимумы'!K$10,100,('исходные данные'!M336-'минимумы и максимумы'!K$9)/('минимумы и максимумы'!K$10-'минимумы и максимумы'!K$9)*100)</f>
        <v>100</v>
      </c>
      <c r="N336">
        <f>IF('исходные данные'!N336&gt;'минимумы и максимумы'!L$10,100,('исходные данные'!N336-'минимумы и максимумы'!L$9)/('минимумы и максимумы'!L$10-'минимумы и максимумы'!L$9)*100)</f>
        <v>17.714091547214032</v>
      </c>
      <c r="O336">
        <f>IF('исходные данные'!O336&gt;'минимумы и максимумы'!M$10,100,('исходные данные'!O336-'минимумы и максимумы'!M$9)/('минимумы и максимумы'!M$10-'минимумы и максимумы'!M$9)*100)</f>
        <v>0</v>
      </c>
      <c r="P336">
        <f>IF('исходные данные'!P336&gt;'минимумы и максимумы'!N$10,100,('исходные данные'!P336-'минимумы и максимумы'!N$9)/('минимумы и максимумы'!N$10-'минимумы и максимумы'!N$9)*100)</f>
        <v>0</v>
      </c>
      <c r="Q336">
        <f>IF('исходные данные'!Q336&gt;'минимумы и максимумы'!O$10,100,('исходные данные'!Q336-'минимумы и максимумы'!O$9)/('минимумы и максимумы'!O$10-'минимумы и максимумы'!O$9)*100)</f>
        <v>100</v>
      </c>
      <c r="R336">
        <f>IF('исходные данные'!R336&gt;'минимумы и максимумы'!P$10,100,('исходные данные'!R336-'минимумы и максимумы'!P$9)/('минимумы и максимумы'!P$10-'минимумы и максимумы'!P$9)*100)</f>
        <v>100</v>
      </c>
      <c r="S336">
        <f>IF('исходные данные'!S336&gt;'минимумы и максимумы'!Q$10,100,('исходные данные'!S336-'минимумы и максимумы'!Q$9)/('минимумы и максимумы'!Q$10-'минимумы и максимумы'!Q$9)*100)</f>
        <v>33.333333333333329</v>
      </c>
      <c r="T336">
        <f>IF('исходные данные'!T336&gt;'минимумы и максимумы'!R$10,100,('исходные данные'!T336-'минимумы и максимумы'!R$9)/('минимумы и максимумы'!R$10-'минимумы и максимумы'!R$9)*100)</f>
        <v>50.287686996547755</v>
      </c>
      <c r="U336">
        <f>IF('исходные данные'!U336&gt;'минимумы и максимумы'!S$10,100,('исходные данные'!U336-'минимумы и максимумы'!S$9)/('минимумы и максимумы'!S$10-'минимумы и максимумы'!S$9)*100)</f>
        <v>33.333333333333329</v>
      </c>
    </row>
    <row r="337" spans="1:21" x14ac:dyDescent="0.45">
      <c r="A337" s="4">
        <v>445</v>
      </c>
      <c r="B337" s="4">
        <v>0</v>
      </c>
      <c r="C337" s="4">
        <v>0</v>
      </c>
      <c r="D337">
        <f>IF('исходные данные'!D337&gt;'минимумы и максимумы'!B$10,100,('исходные данные'!D337-'минимумы и максимумы'!B$9)/('минимумы и максимумы'!B$10-'минимумы и максимумы'!B$9)*100)</f>
        <v>11.111111111111111</v>
      </c>
      <c r="E337">
        <f>IF('исходные данные'!E337&gt;'минимумы и максимумы'!C$10,100,('исходные данные'!E337-'минимумы и максимумы'!C$9)/('минимумы и максимумы'!C$10-'минимумы и максимумы'!C$9)*100)</f>
        <v>20</v>
      </c>
      <c r="F337">
        <f>IF('исходные данные'!F337&gt;'минимумы и максимумы'!D$10,100,('исходные данные'!F337-'минимумы и максимумы'!D$9)/('минимумы и максимумы'!D$10-'минимумы и максимумы'!D$9)*100)</f>
        <v>0</v>
      </c>
      <c r="G337">
        <f>IF('исходные данные'!G337&gt;'минимумы и максимумы'!E$10,100,('исходные данные'!G337-'минимумы и максимумы'!E$9)/('минимумы и максимумы'!E$10-'минимумы и максимумы'!E$9)*100)</f>
        <v>33.333333333333329</v>
      </c>
      <c r="H337">
        <f>IF('исходные данные'!H337&gt;'минимумы и максимумы'!F$10,100,('исходные данные'!H337-'минимумы и максимумы'!F$9)/('минимумы и максимумы'!F$10-'минимумы и максимумы'!F$9)*100)</f>
        <v>27.586206896551722</v>
      </c>
      <c r="I337">
        <f>IF('исходные данные'!I337&gt;'минимумы и максимумы'!G$10,100,('исходные данные'!I337-'минимумы и максимумы'!G$9)/('минимумы и максимумы'!G$10-'минимумы и максимумы'!G$9)*100)</f>
        <v>49.056603773584904</v>
      </c>
      <c r="J337">
        <f>IF('исходные данные'!J337&gt;'минимумы и максимумы'!H$10,100,('исходные данные'!J337-'минимумы и максимумы'!H$9)/('минимумы и максимумы'!H$10-'минимумы и максимумы'!H$9)*100)</f>
        <v>60</v>
      </c>
      <c r="K337">
        <f>IF('исходные данные'!K337&gt;'минимумы и максимумы'!I$10,100,('исходные данные'!K337-'минимумы и максимумы'!I$9)/('минимумы и максимумы'!I$10-'минимумы и максимумы'!I$9)*100)</f>
        <v>38.888888888888893</v>
      </c>
      <c r="L337">
        <f>IF('исходные данные'!L337&gt;'минимумы и максимумы'!J$10,100,('исходные данные'!L337-'минимумы и максимумы'!J$9)/('минимумы и максимумы'!J$10-'минимумы и максимумы'!J$9)*100)</f>
        <v>21.428571428571427</v>
      </c>
      <c r="M337">
        <f>IF('исходные данные'!M337&gt;'минимумы и максимумы'!K$10,100,('исходные данные'!M337-'минимумы и максимумы'!K$9)/('минимумы и максимумы'!K$10-'минимумы и максимумы'!K$9)*100)</f>
        <v>71.428571428571431</v>
      </c>
      <c r="N337">
        <f>IF('исходные данные'!N337&gt;'минимумы и максимумы'!L$10,100,('исходные данные'!N337-'минимумы и максимумы'!L$9)/('минимумы и максимумы'!L$10-'минимумы и максимумы'!L$9)*100)</f>
        <v>19.279411893525179</v>
      </c>
      <c r="O337">
        <f>IF('исходные данные'!O337&gt;'минимумы и максимумы'!M$10,100,('исходные данные'!O337-'минимумы и максимумы'!M$9)/('минимумы и максимумы'!M$10-'минимумы и максимумы'!M$9)*100)</f>
        <v>0</v>
      </c>
      <c r="P337">
        <f>IF('исходные данные'!P337&gt;'минимумы и максимумы'!N$10,100,('исходные данные'!P337-'минимумы и максимумы'!N$9)/('минимумы и максимумы'!N$10-'минимумы и максимумы'!N$9)*100)</f>
        <v>0</v>
      </c>
      <c r="Q337">
        <f>IF('исходные данные'!Q337&gt;'минимумы и максимумы'!O$10,100,('исходные данные'!Q337-'минимумы и максимумы'!O$9)/('минимумы и максимумы'!O$10-'минимумы и максимумы'!O$9)*100)</f>
        <v>0</v>
      </c>
      <c r="R337">
        <f>IF('исходные данные'!R337&gt;'минимумы и максимумы'!P$10,100,('исходные данные'!R337-'минимумы и максимумы'!P$9)/('минимумы и максимумы'!P$10-'минимумы и максимумы'!P$9)*100)</f>
        <v>75</v>
      </c>
      <c r="S337">
        <f>IF('исходные данные'!S337&gt;'минимумы и максимумы'!Q$10,100,('исходные данные'!S337-'минимумы и максимумы'!Q$9)/('минимумы и максимумы'!Q$10-'минимумы и максимумы'!Q$9)*100)</f>
        <v>16.666666666666664</v>
      </c>
      <c r="T337">
        <f>IF('исходные данные'!T337&gt;'минимумы и максимумы'!R$10,100,('исходные данные'!T337-'минимумы и максимумы'!R$9)/('минимумы и максимумы'!R$10-'минимумы и максимумы'!R$9)*100)</f>
        <v>1.4096662830840045</v>
      </c>
      <c r="U337">
        <f>IF('исходные данные'!U337&gt;'минимумы и максимумы'!S$10,100,('исходные данные'!U337-'минимумы и максимумы'!S$9)/('минимумы и максимумы'!S$10-'минимумы и максимумы'!S$9)*100)</f>
        <v>0</v>
      </c>
    </row>
    <row r="338" spans="1:21" x14ac:dyDescent="0.45">
      <c r="A338" s="4">
        <v>446</v>
      </c>
      <c r="B338" s="4">
        <v>0</v>
      </c>
      <c r="C338" s="4">
        <v>0</v>
      </c>
      <c r="D338">
        <f>IF('исходные данные'!D338&gt;'минимумы и максимумы'!B$10,100,('исходные данные'!D338-'минимумы и максимумы'!B$9)/('минимумы и максимумы'!B$10-'минимумы и максимумы'!B$9)*100)</f>
        <v>0</v>
      </c>
      <c r="E338">
        <f>IF('исходные данные'!E338&gt;'минимумы и максимумы'!C$10,100,('исходные данные'!E338-'минимумы и максимумы'!C$9)/('минимумы и максимумы'!C$10-'минимумы и максимумы'!C$9)*100)</f>
        <v>10</v>
      </c>
      <c r="F338">
        <f>IF('исходные данные'!F338&gt;'минимумы и максимумы'!D$10,100,('исходные данные'!F338-'минимумы и максимумы'!D$9)/('минимумы и максимумы'!D$10-'минимумы и максимумы'!D$9)*100)</f>
        <v>0</v>
      </c>
      <c r="G338">
        <f>IF('исходные данные'!G338&gt;'минимумы и максимумы'!E$10,100,('исходные данные'!G338-'минимумы и максимумы'!E$9)/('минимумы и максимумы'!E$10-'минимумы и максимумы'!E$9)*100)</f>
        <v>16.666666666666664</v>
      </c>
      <c r="H338">
        <f>IF('исходные данные'!H338&gt;'минимумы и максимумы'!F$10,100,('исходные данные'!H338-'минимумы и максимумы'!F$9)/('минимумы и максимумы'!F$10-'минимумы и максимумы'!F$9)*100)</f>
        <v>6.8965517241379306</v>
      </c>
      <c r="I338">
        <f>IF('исходные данные'!I338&gt;'минимумы и максимумы'!G$10,100,('исходные данные'!I338-'минимумы и максимумы'!G$9)/('минимумы и максимумы'!G$10-'минимумы и максимумы'!G$9)*100)</f>
        <v>5.6603773584905666</v>
      </c>
      <c r="J338">
        <f>IF('исходные данные'!J338&gt;'минимумы и максимумы'!H$10,100,('исходные данные'!J338-'минимумы и максимумы'!H$9)/('минимумы и максимумы'!H$10-'минимумы и максимумы'!H$9)*100)</f>
        <v>20</v>
      </c>
      <c r="K338">
        <f>IF('исходные данные'!K338&gt;'минимумы и максимумы'!I$10,100,('исходные данные'!K338-'минимумы и максимумы'!I$9)/('минимумы и максимумы'!I$10-'минимумы и максимумы'!I$9)*100)</f>
        <v>5.5555555555555554</v>
      </c>
      <c r="L338">
        <f>IF('исходные данные'!L338&gt;'минимумы и максимумы'!J$10,100,('исходные данные'!L338-'минимумы и максимумы'!J$9)/('минимумы и максимумы'!J$10-'минимумы и максимумы'!J$9)*100)</f>
        <v>0</v>
      </c>
      <c r="M338">
        <f>IF('исходные данные'!M338&gt;'минимумы и максимумы'!K$10,100,('исходные данные'!M338-'минимумы и максимумы'!K$9)/('минимумы и максимумы'!K$10-'минимумы и максимумы'!K$9)*100)</f>
        <v>64.285714285714292</v>
      </c>
      <c r="N338">
        <f>IF('исходные данные'!N338&gt;'минимумы и максимумы'!L$10,100,('исходные данные'!N338-'минимумы и максимумы'!L$9)/('минимумы и максимумы'!L$10-'минимумы и максимумы'!L$9)*100)</f>
        <v>25.888686196232889</v>
      </c>
      <c r="O338">
        <f>IF('исходные данные'!O338&gt;'минимумы и максимумы'!M$10,100,('исходные данные'!O338-'минимумы и максимумы'!M$9)/('минимумы и максимумы'!M$10-'минимумы и максимумы'!M$9)*100)</f>
        <v>33.333333333333329</v>
      </c>
      <c r="P338">
        <f>IF('исходные данные'!P338&gt;'минимумы и максимумы'!N$10,100,('исходные данные'!P338-'минимумы и максимумы'!N$9)/('минимумы и максимумы'!N$10-'минимумы и максимумы'!N$9)*100)</f>
        <v>0</v>
      </c>
      <c r="Q338">
        <f>IF('исходные данные'!Q338&gt;'минимумы и максимумы'!O$10,100,('исходные данные'!Q338-'минимумы и максимумы'!O$9)/('минимумы и максимумы'!O$10-'минимумы и максимумы'!O$9)*100)</f>
        <v>100</v>
      </c>
      <c r="R338">
        <f>IF('исходные данные'!R338&gt;'минимумы и максимумы'!P$10,100,('исходные данные'!R338-'минимумы и максимумы'!P$9)/('минимумы и максимумы'!P$10-'минимумы и максимумы'!P$9)*100)</f>
        <v>75</v>
      </c>
      <c r="S338">
        <f>IF('исходные данные'!S338&gt;'минимумы и максимумы'!Q$10,100,('исходные данные'!S338-'минимумы и максимумы'!Q$9)/('минимумы и максимумы'!Q$10-'минимумы и максимумы'!Q$9)*100)</f>
        <v>33.333333333333329</v>
      </c>
      <c r="T338">
        <f>IF('исходные данные'!T338&gt;'минимумы и максимумы'!R$10,100,('исходные данные'!T338-'минимумы и максимумы'!R$9)/('минимумы и максимумы'!R$10-'минимумы и максимумы'!R$9)*100)</f>
        <v>6.1852704257767552</v>
      </c>
      <c r="U338">
        <f>IF('исходные данные'!U338&gt;'минимумы и максимумы'!S$10,100,('исходные данные'!U338-'минимумы и максимумы'!S$9)/('минимумы и максимумы'!S$10-'минимумы и максимумы'!S$9)*100)</f>
        <v>0</v>
      </c>
    </row>
    <row r="339" spans="1:21" x14ac:dyDescent="0.45">
      <c r="A339" s="4">
        <v>447</v>
      </c>
      <c r="B339" s="4">
        <v>0</v>
      </c>
      <c r="C339" s="4">
        <v>0</v>
      </c>
      <c r="D339">
        <f>IF('исходные данные'!D339&gt;'минимумы и максимумы'!B$10,100,('исходные данные'!D339-'минимумы и максимумы'!B$9)/('минимумы и максимумы'!B$10-'минимумы и максимумы'!B$9)*100)</f>
        <v>0</v>
      </c>
      <c r="E339">
        <f>IF('исходные данные'!E339&gt;'минимумы и максимумы'!C$10,100,('исходные данные'!E339-'минимумы и максимумы'!C$9)/('минимумы и максимумы'!C$10-'минимумы и максимумы'!C$9)*100)</f>
        <v>10</v>
      </c>
      <c r="F339">
        <f>IF('исходные данные'!F339&gt;'минимумы и максимумы'!D$10,100,('исходные данные'!F339-'минимумы и максимумы'!D$9)/('минимумы и максимумы'!D$10-'минимумы и максимумы'!D$9)*100)</f>
        <v>0</v>
      </c>
      <c r="G339">
        <f>IF('исходные данные'!G339&gt;'минимумы и максимумы'!E$10,100,('исходные данные'!G339-'минимумы и максимумы'!E$9)/('минимумы и максимумы'!E$10-'минимумы и максимумы'!E$9)*100)</f>
        <v>16.666666666666664</v>
      </c>
      <c r="H339">
        <f>IF('исходные данные'!H339&gt;'минимумы и максимумы'!F$10,100,('исходные данные'!H339-'минимумы и максимумы'!F$9)/('минимумы и максимумы'!F$10-'минимумы и максимумы'!F$9)*100)</f>
        <v>6.8965517241379306</v>
      </c>
      <c r="I339">
        <f>IF('исходные данные'!I339&gt;'минимумы и максимумы'!G$10,100,('исходные данные'!I339-'минимумы и максимумы'!G$9)/('минимумы и максимумы'!G$10-'минимумы и максимумы'!G$9)*100)</f>
        <v>5.6603773584905666</v>
      </c>
      <c r="J339">
        <f>IF('исходные данные'!J339&gt;'минимумы и максимумы'!H$10,100,('исходные данные'!J339-'минимумы и максимумы'!H$9)/('минимумы и максимумы'!H$10-'минимумы и максимумы'!H$9)*100)</f>
        <v>20</v>
      </c>
      <c r="K339">
        <f>IF('исходные данные'!K339&gt;'минимумы и максимумы'!I$10,100,('исходные данные'!K339-'минимумы и максимумы'!I$9)/('минимумы и максимумы'!I$10-'минимумы и максимумы'!I$9)*100)</f>
        <v>5.5555555555555554</v>
      </c>
      <c r="L339">
        <f>IF('исходные данные'!L339&gt;'минимумы и максимумы'!J$10,100,('исходные данные'!L339-'минимумы и максимумы'!J$9)/('минимумы и максимумы'!J$10-'минимумы и максимумы'!J$9)*100)</f>
        <v>0</v>
      </c>
      <c r="M339">
        <f>IF('исходные данные'!M339&gt;'минимумы и максимумы'!K$10,100,('исходные данные'!M339-'минимумы и максимумы'!K$9)/('минимумы и максимумы'!K$10-'минимумы и максимумы'!K$9)*100)</f>
        <v>46.428571428571431</v>
      </c>
      <c r="N339">
        <f>IF('исходные данные'!N339&gt;'минимумы и максимумы'!L$10,100,('исходные данные'!N339-'минимумы и максимумы'!L$9)/('минимумы и максимумы'!L$10-'минимумы и максимумы'!L$9)*100)</f>
        <v>26.426426427230453</v>
      </c>
      <c r="O339">
        <f>IF('исходные данные'!O339&gt;'минимумы и максимумы'!M$10,100,('исходные данные'!O339-'минимумы и максимумы'!M$9)/('минимумы и максимумы'!M$10-'минимумы и максимумы'!M$9)*100)</f>
        <v>66.666666666666657</v>
      </c>
      <c r="P339">
        <f>IF('исходные данные'!P339&gt;'минимумы и максимумы'!N$10,100,('исходные данные'!P339-'минимумы и максимумы'!N$9)/('минимумы и максимумы'!N$10-'минимумы и максимумы'!N$9)*100)</f>
        <v>0</v>
      </c>
      <c r="Q339">
        <f>IF('исходные данные'!Q339&gt;'минимумы и максимумы'!O$10,100,('исходные данные'!Q339-'минимумы и максимумы'!O$9)/('минимумы и максимумы'!O$10-'минимумы и максимумы'!O$9)*100)</f>
        <v>100</v>
      </c>
      <c r="R339">
        <f>IF('исходные данные'!R339&gt;'минимумы и максимумы'!P$10,100,('исходные данные'!R339-'минимумы и максимумы'!P$9)/('минимумы и максимумы'!P$10-'минимумы и максимумы'!P$9)*100)</f>
        <v>75</v>
      </c>
      <c r="S339">
        <f>IF('исходные данные'!S339&gt;'минимумы и максимумы'!Q$10,100,('исходные данные'!S339-'минимумы и максимумы'!Q$9)/('минимумы и максимумы'!Q$10-'минимумы и максимумы'!Q$9)*100)</f>
        <v>33.333333333333329</v>
      </c>
      <c r="T339">
        <f>IF('исходные данные'!T339&gt;'минимумы и максимумы'!R$10,100,('исходные данные'!T339-'минимумы и максимумы'!R$9)/('минимумы и максимумы'!R$10-'минимумы и максимумы'!R$9)*100)</f>
        <v>15.304948216340621</v>
      </c>
      <c r="U339">
        <f>IF('исходные данные'!U339&gt;'минимумы и максимумы'!S$10,100,('исходные данные'!U339-'минимумы и максимумы'!S$9)/('минимумы и максимумы'!S$10-'минимумы и максимумы'!S$9)*100)</f>
        <v>0</v>
      </c>
    </row>
    <row r="340" spans="1:21" x14ac:dyDescent="0.45">
      <c r="A340" s="4">
        <v>449</v>
      </c>
      <c r="B340" s="4">
        <v>1</v>
      </c>
      <c r="C340" s="4">
        <v>0</v>
      </c>
      <c r="D340">
        <f>IF('исходные данные'!D340&gt;'минимумы и максимумы'!B$10,100,('исходные данные'!D340-'минимумы и максимумы'!B$9)/('минимумы и максимумы'!B$10-'минимумы и максимумы'!B$9)*100)</f>
        <v>0</v>
      </c>
      <c r="E340">
        <f>IF('исходные данные'!E340&gt;'минимумы и максимумы'!C$10,100,('исходные данные'!E340-'минимумы и максимумы'!C$9)/('минимумы и максимумы'!C$10-'минимумы и максимумы'!C$9)*100)</f>
        <v>10</v>
      </c>
      <c r="F340">
        <f>IF('исходные данные'!F340&gt;'минимумы и максимумы'!D$10,100,('исходные данные'!F340-'минимумы и максимумы'!D$9)/('минимумы и максимумы'!D$10-'минимумы и максимумы'!D$9)*100)</f>
        <v>0</v>
      </c>
      <c r="G340">
        <f>IF('исходные данные'!G340&gt;'минимумы и максимумы'!E$10,100,('исходные данные'!G340-'минимумы и максимумы'!E$9)/('минимумы и максимумы'!E$10-'минимумы и максимумы'!E$9)*100)</f>
        <v>20.833333333333336</v>
      </c>
      <c r="H340">
        <f>IF('исходные данные'!H340&gt;'минимумы и максимумы'!F$10,100,('исходные данные'!H340-'минимумы и максимумы'!F$9)/('минимумы и максимумы'!F$10-'минимумы и максимумы'!F$9)*100)</f>
        <v>6.8965517241379306</v>
      </c>
      <c r="I340">
        <f>IF('исходные данные'!I340&gt;'минимумы и максимумы'!G$10,100,('исходные данные'!I340-'минимумы и максимумы'!G$9)/('минимумы и максимумы'!G$10-'минимумы и максимумы'!G$9)*100)</f>
        <v>3.7735849056603774</v>
      </c>
      <c r="J340">
        <f>IF('исходные данные'!J340&gt;'минимумы и максимумы'!H$10,100,('исходные данные'!J340-'минимумы и максимумы'!H$9)/('минимумы и максимумы'!H$10-'минимумы и максимумы'!H$9)*100)</f>
        <v>26.666666666666668</v>
      </c>
      <c r="K340">
        <f>IF('исходные данные'!K340&gt;'минимумы и максимумы'!I$10,100,('исходные данные'!K340-'минимумы и максимумы'!I$9)/('минимумы и максимумы'!I$10-'минимумы и максимумы'!I$9)*100)</f>
        <v>0</v>
      </c>
      <c r="L340">
        <f>IF('исходные данные'!L340&gt;'минимумы и максимумы'!J$10,100,('исходные данные'!L340-'минимумы и максимумы'!J$9)/('минимумы и максимумы'!J$10-'минимумы и максимумы'!J$9)*100)</f>
        <v>0</v>
      </c>
      <c r="M340">
        <f>IF('исходные данные'!M340&gt;'минимумы и максимумы'!K$10,100,('исходные данные'!M340-'минимумы и максимумы'!K$9)/('минимумы и максимумы'!K$10-'минимумы и максимумы'!K$9)*100)</f>
        <v>67.857142857142861</v>
      </c>
      <c r="N340">
        <f>IF('исходные данные'!N340&gt;'минимумы и максимумы'!L$10,100,('исходные данные'!N340-'минимумы и максимумы'!L$9)/('минимумы и максимумы'!L$10-'минимумы и максимумы'!L$9)*100)</f>
        <v>26.259079129008335</v>
      </c>
      <c r="O340">
        <f>IF('исходные данные'!O340&gt;'минимумы и максимумы'!M$10,100,('исходные данные'!O340-'минимумы и максимумы'!M$9)/('минимумы и максимумы'!M$10-'минимумы и максимумы'!M$9)*100)</f>
        <v>66.666666666666657</v>
      </c>
      <c r="P340">
        <f>IF('исходные данные'!P340&gt;'минимумы и максимумы'!N$10,100,('исходные данные'!P340-'минимумы и максимумы'!N$9)/('минимумы и максимумы'!N$10-'минимумы и максимумы'!N$9)*100)</f>
        <v>0</v>
      </c>
      <c r="Q340">
        <f>IF('исходные данные'!Q340&gt;'минимумы и максимумы'!O$10,100,('исходные данные'!Q340-'минимумы и максимумы'!O$9)/('минимумы и максимумы'!O$10-'минимумы и максимумы'!O$9)*100)</f>
        <v>100</v>
      </c>
      <c r="R340">
        <f>IF('исходные данные'!R340&gt;'минимумы и максимумы'!P$10,100,('исходные данные'!R340-'минимумы и максимумы'!P$9)/('минимумы и максимумы'!P$10-'минимумы и максимумы'!P$9)*100)</f>
        <v>75</v>
      </c>
      <c r="S340">
        <f>IF('исходные данные'!S340&gt;'минимумы и максимумы'!Q$10,100,('исходные данные'!S340-'минимумы и максимумы'!Q$9)/('минимумы и максимумы'!Q$10-'минимумы и максимумы'!Q$9)*100)</f>
        <v>50</v>
      </c>
      <c r="T340">
        <f>IF('исходные данные'!T340&gt;'минимумы и максимумы'!R$10,100,('исходные данные'!T340-'минимумы и максимумы'!R$9)/('минимумы и максимумы'!R$10-'минимумы и максимумы'!R$9)*100)</f>
        <v>7.7387802071346377</v>
      </c>
      <c r="U340">
        <f>IF('исходные данные'!U340&gt;'минимумы и максимумы'!S$10,100,('исходные данные'!U340-'минимумы и максимумы'!S$9)/('минимумы и максимумы'!S$10-'минимумы и максимумы'!S$9)*100)</f>
        <v>0</v>
      </c>
    </row>
    <row r="341" spans="1:21" x14ac:dyDescent="0.45">
      <c r="A341" s="4">
        <v>450</v>
      </c>
      <c r="B341" s="4">
        <v>0</v>
      </c>
      <c r="C341" s="4">
        <v>1</v>
      </c>
      <c r="D341">
        <f>IF('исходные данные'!D341&gt;'минимумы и максимумы'!B$10,100,('исходные данные'!D341-'минимумы и максимумы'!B$9)/('минимумы и максимумы'!B$10-'минимумы и максимумы'!B$9)*100)</f>
        <v>11.111111111111111</v>
      </c>
      <c r="E341">
        <f>IF('исходные данные'!E341&gt;'минимумы и максимумы'!C$10,100,('исходные данные'!E341-'минимумы и максимумы'!C$9)/('минимумы и максимумы'!C$10-'минимумы и максимумы'!C$9)*100)</f>
        <v>20</v>
      </c>
      <c r="F341">
        <f>IF('исходные данные'!F341&gt;'минимумы и максимумы'!D$10,100,('исходные данные'!F341-'минимумы и максимумы'!D$9)/('минимумы и максимумы'!D$10-'минимумы и максимумы'!D$9)*100)</f>
        <v>0</v>
      </c>
      <c r="G341">
        <f>IF('исходные данные'!G341&gt;'минимумы и максимумы'!E$10,100,('исходные данные'!G341-'минимумы и максимумы'!E$9)/('минимумы и максимумы'!E$10-'минимумы и максимумы'!E$9)*100)</f>
        <v>20.833333333333336</v>
      </c>
      <c r="H341">
        <f>IF('исходные данные'!H341&gt;'минимумы и максимумы'!F$10,100,('исходные данные'!H341-'минимумы и максимумы'!F$9)/('минимумы и максимумы'!F$10-'минимумы и максимумы'!F$9)*100)</f>
        <v>27.586206896551722</v>
      </c>
      <c r="I341">
        <f>IF('исходные данные'!I341&gt;'минимумы и максимумы'!G$10,100,('исходные данные'!I341-'минимумы и максимумы'!G$9)/('минимумы и максимумы'!G$10-'минимумы и максимумы'!G$9)*100)</f>
        <v>13.20754716981132</v>
      </c>
      <c r="J341">
        <f>IF('исходные данные'!J341&gt;'минимумы и максимумы'!H$10,100,('исходные данные'!J341-'минимумы и максимумы'!H$9)/('минимумы и максимумы'!H$10-'минимумы и максимумы'!H$9)*100)</f>
        <v>6.666666666666667</v>
      </c>
      <c r="K341">
        <f>IF('исходные данные'!K341&gt;'минимумы и максимумы'!I$10,100,('исходные данные'!K341-'минимумы и максимумы'!I$9)/('минимумы и максимумы'!I$10-'минимумы и максимумы'!I$9)*100)</f>
        <v>27.777777777777779</v>
      </c>
      <c r="L341">
        <f>IF('исходные данные'!L341&gt;'минимумы и максимумы'!J$10,100,('исходные данные'!L341-'минимумы и максимумы'!J$9)/('минимумы и максимумы'!J$10-'минимумы и максимумы'!J$9)*100)</f>
        <v>14.285714285714285</v>
      </c>
      <c r="M341">
        <f>IF('исходные данные'!M341&gt;'минимумы и максимумы'!K$10,100,('исходные данные'!M341-'минимумы и максимумы'!K$9)/('минимумы и максимумы'!K$10-'минимумы и максимумы'!K$9)*100)</f>
        <v>14.285714285714285</v>
      </c>
      <c r="N341">
        <f>IF('исходные данные'!N341&gt;'минимумы и максимумы'!L$10,100,('исходные данные'!N341-'минимумы и максимумы'!L$9)/('минимумы и максимумы'!L$10-'минимумы и максимумы'!L$9)*100)</f>
        <v>41.080655852422382</v>
      </c>
      <c r="O341">
        <f>IF('исходные данные'!O341&gt;'минимумы и максимумы'!M$10,100,('исходные данные'!O341-'минимумы и максимумы'!M$9)/('минимумы и максимумы'!M$10-'минимумы и максимумы'!M$9)*100)</f>
        <v>33.333333333333329</v>
      </c>
      <c r="P341">
        <f>IF('исходные данные'!P341&gt;'минимумы и максимумы'!N$10,100,('исходные данные'!P341-'минимумы и максимумы'!N$9)/('минимумы и максимумы'!N$10-'минимумы и максимумы'!N$9)*100)</f>
        <v>0</v>
      </c>
      <c r="Q341">
        <f>IF('исходные данные'!Q341&gt;'минимумы и максимумы'!O$10,100,('исходные данные'!Q341-'минимумы и максимумы'!O$9)/('минимумы и максимумы'!O$10-'минимумы и максимумы'!O$9)*100)</f>
        <v>100</v>
      </c>
      <c r="R341">
        <f>IF('исходные данные'!R341&gt;'минимумы и максимумы'!P$10,100,('исходные данные'!R341-'минимумы и максимумы'!P$9)/('минимумы и максимумы'!P$10-'минимумы и максимумы'!P$9)*100)</f>
        <v>25</v>
      </c>
      <c r="S341">
        <f>IF('исходные данные'!S341&gt;'минимумы и максимумы'!Q$10,100,('исходные данные'!S341-'минимумы и максимумы'!Q$9)/('минимумы и максимумы'!Q$10-'минимумы и максимумы'!Q$9)*100)</f>
        <v>50</v>
      </c>
      <c r="T341">
        <f>IF('исходные данные'!T341&gt;'минимумы и максимумы'!R$10,100,('исходные данные'!T341-'минимумы и максимумы'!R$9)/('минимумы и максимумы'!R$10-'минимумы и максимумы'!R$9)*100)</f>
        <v>24.453394706559266</v>
      </c>
      <c r="U341">
        <f>IF('исходные данные'!U341&gt;'минимумы и максимумы'!S$10,100,('исходные данные'!U341-'минимумы и максимумы'!S$9)/('минимумы и максимумы'!S$10-'минимумы и максимумы'!S$9)*100)</f>
        <v>66.666666666666657</v>
      </c>
    </row>
    <row r="342" spans="1:21" x14ac:dyDescent="0.45">
      <c r="A342" s="4">
        <v>451</v>
      </c>
      <c r="B342" s="4">
        <v>0</v>
      </c>
      <c r="C342" s="4">
        <v>1</v>
      </c>
      <c r="D342">
        <f>IF('исходные данные'!D342&gt;'минимумы и максимумы'!B$10,100,('исходные данные'!D342-'минимумы и максимумы'!B$9)/('минимумы и максимумы'!B$10-'минимумы и максимумы'!B$9)*100)</f>
        <v>0</v>
      </c>
      <c r="E342">
        <f>IF('исходные данные'!E342&gt;'минимумы и максимумы'!C$10,100,('исходные данные'!E342-'минимумы и максимумы'!C$9)/('минимумы и максимумы'!C$10-'минимумы и максимумы'!C$9)*100)</f>
        <v>20</v>
      </c>
      <c r="F342">
        <f>IF('исходные данные'!F342&gt;'минимумы и максимумы'!D$10,100,('исходные данные'!F342-'минимумы и максимумы'!D$9)/('минимумы и максимумы'!D$10-'минимумы и максимумы'!D$9)*100)</f>
        <v>0</v>
      </c>
      <c r="G342">
        <f>IF('исходные данные'!G342&gt;'минимумы и максимумы'!E$10,100,('исходные данные'!G342-'минимумы и максимумы'!E$9)/('минимумы и максимумы'!E$10-'минимумы и максимумы'!E$9)*100)</f>
        <v>4.1666666666666661</v>
      </c>
      <c r="H342">
        <f>IF('исходные данные'!H342&gt;'минимумы и максимумы'!F$10,100,('исходные данные'!H342-'минимумы и максимумы'!F$9)/('минимумы и максимумы'!F$10-'минимумы и максимумы'!F$9)*100)</f>
        <v>6.8965517241379306</v>
      </c>
      <c r="I342">
        <f>IF('исходные данные'!I342&gt;'минимумы и максимумы'!G$10,100,('исходные данные'!I342-'минимумы и максимумы'!G$9)/('минимумы и максимумы'!G$10-'минимумы и максимумы'!G$9)*100)</f>
        <v>5.6603773584905666</v>
      </c>
      <c r="J342">
        <f>IF('исходные данные'!J342&gt;'минимумы и максимумы'!H$10,100,('исходные данные'!J342-'минимумы и максимумы'!H$9)/('минимумы и максимумы'!H$10-'минимумы и максимумы'!H$9)*100)</f>
        <v>6.666666666666667</v>
      </c>
      <c r="K342">
        <f>IF('исходные данные'!K342&gt;'минимумы и максимумы'!I$10,100,('исходные данные'!K342-'минимумы и максимумы'!I$9)/('минимумы и максимумы'!I$10-'минимумы и максимумы'!I$9)*100)</f>
        <v>22.222222222222221</v>
      </c>
      <c r="L342">
        <f>IF('исходные данные'!L342&gt;'минимумы и максимумы'!J$10,100,('исходные данные'!L342-'минимумы и максимумы'!J$9)/('минимумы и максимумы'!J$10-'минимумы и максимумы'!J$9)*100)</f>
        <v>0</v>
      </c>
      <c r="M342">
        <f>IF('исходные данные'!M342&gt;'минимумы и максимумы'!K$10,100,('исходные данные'!M342-'минимумы и максимумы'!K$9)/('минимумы и максимумы'!K$10-'минимумы и максимумы'!K$9)*100)</f>
        <v>3.5714285714285712</v>
      </c>
      <c r="N342">
        <f>IF('исходные данные'!N342&gt;'минимумы и максимумы'!L$10,100,('исходные данные'!N342-'минимумы и максимумы'!L$9)/('минимумы и максимумы'!L$10-'минимумы и максимумы'!L$9)*100)</f>
        <v>41.434290435829602</v>
      </c>
      <c r="O342">
        <f>IF('исходные данные'!O342&gt;'минимумы и максимумы'!M$10,100,('исходные данные'!O342-'минимумы и максимумы'!M$9)/('минимумы и максимумы'!M$10-'минимумы и максимумы'!M$9)*100)</f>
        <v>33.333333333333329</v>
      </c>
      <c r="P342">
        <f>IF('исходные данные'!P342&gt;'минимумы и максимумы'!N$10,100,('исходные данные'!P342-'минимумы и максимумы'!N$9)/('минимумы и максимумы'!N$10-'минимумы и максимумы'!N$9)*100)</f>
        <v>0</v>
      </c>
      <c r="Q342">
        <f>IF('исходные данные'!Q342&gt;'минимумы и максимумы'!O$10,100,('исходные данные'!Q342-'минимумы и максимумы'!O$9)/('минимумы и максимумы'!O$10-'минимумы и максимумы'!O$9)*100)</f>
        <v>0</v>
      </c>
      <c r="R342">
        <f>IF('исходные данные'!R342&gt;'минимумы и максимумы'!P$10,100,('исходные данные'!R342-'минимумы и максимумы'!P$9)/('минимумы и максимумы'!P$10-'минимумы и максимумы'!P$9)*100)</f>
        <v>100</v>
      </c>
      <c r="S342">
        <f>IF('исходные данные'!S342&gt;'минимумы и максимумы'!Q$10,100,('исходные данные'!S342-'минимумы и максимумы'!Q$9)/('минимумы и максимумы'!Q$10-'минимумы и максимумы'!Q$9)*100)</f>
        <v>16.666666666666664</v>
      </c>
      <c r="T342">
        <f>IF('исходные данные'!T342&gt;'минимумы и максимумы'!R$10,100,('исходные данные'!T342-'минимумы и максимумы'!R$9)/('минимумы и максимумы'!R$10-'минимумы и максимумы'!R$9)*100)</f>
        <v>9.2059838895281931</v>
      </c>
      <c r="U342">
        <f>IF('исходные данные'!U342&gt;'минимумы и максимумы'!S$10,100,('исходные данные'!U342-'минимумы и максимумы'!S$9)/('минимумы и максимумы'!S$10-'минимумы и максимумы'!S$9)*100)</f>
        <v>0</v>
      </c>
    </row>
    <row r="343" spans="1:21" x14ac:dyDescent="0.45">
      <c r="A343" s="4">
        <v>452</v>
      </c>
      <c r="B343" s="4">
        <v>0</v>
      </c>
      <c r="C343" s="4">
        <v>1</v>
      </c>
      <c r="D343">
        <f>IF('исходные данные'!D343&gt;'минимумы и максимумы'!B$10,100,('исходные данные'!D343-'минимумы и максимумы'!B$9)/('минимумы и максимумы'!B$10-'минимумы и максимумы'!B$9)*100)</f>
        <v>22.222222222222221</v>
      </c>
      <c r="E343">
        <f>IF('исходные данные'!E343&gt;'минимумы и максимумы'!C$10,100,('исходные данные'!E343-'минимумы и максимумы'!C$9)/('минимумы и максимумы'!C$10-'минимумы и максимумы'!C$9)*100)</f>
        <v>30</v>
      </c>
      <c r="F343">
        <f>IF('исходные данные'!F343&gt;'минимумы и максимумы'!D$10,100,('исходные данные'!F343-'минимумы и максимумы'!D$9)/('минимумы и максимумы'!D$10-'минимумы и максимумы'!D$9)*100)</f>
        <v>33.333333333333329</v>
      </c>
      <c r="G343">
        <f>IF('исходные данные'!G343&gt;'минимумы и максимумы'!E$10,100,('исходные данные'!G343-'минимумы и максимумы'!E$9)/('минимумы и максимумы'!E$10-'минимумы и максимумы'!E$9)*100)</f>
        <v>25</v>
      </c>
      <c r="H343">
        <f>IF('исходные данные'!H343&gt;'минимумы и максимумы'!F$10,100,('исходные данные'!H343-'минимумы и максимумы'!F$9)/('минимумы и максимумы'!F$10-'минимумы и максимумы'!F$9)*100)</f>
        <v>44.827586206896555</v>
      </c>
      <c r="I343">
        <f>IF('исходные данные'!I343&gt;'минимумы и максимумы'!G$10,100,('исходные данные'!I343-'минимумы и максимумы'!G$9)/('минимумы и максимумы'!G$10-'минимумы и максимумы'!G$9)*100)</f>
        <v>5.6603773584905666</v>
      </c>
      <c r="J343">
        <f>IF('исходные данные'!J343&gt;'минимумы и максимумы'!H$10,100,('исходные данные'!J343-'минимумы и максимумы'!H$9)/('минимумы и максимумы'!H$10-'минимумы и максимумы'!H$9)*100)</f>
        <v>6.666666666666667</v>
      </c>
      <c r="K343">
        <f>IF('исходные данные'!K343&gt;'минимумы и максимумы'!I$10,100,('исходные данные'!K343-'минимумы и максимумы'!I$9)/('минимумы и максимумы'!I$10-'минимумы и максимумы'!I$9)*100)</f>
        <v>5.5555555555555554</v>
      </c>
      <c r="L343">
        <f>IF('исходные данные'!L343&gt;'минимумы и максимумы'!J$10,100,('исходные данные'!L343-'минимумы и максимумы'!J$9)/('минимумы и максимумы'!J$10-'минимумы и максимумы'!J$9)*100)</f>
        <v>0</v>
      </c>
      <c r="M343">
        <f>IF('исходные данные'!M343&gt;'минимумы и максимумы'!K$10,100,('исходные данные'!M343-'минимумы и максимумы'!K$9)/('минимумы и максимумы'!K$10-'минимумы и максимумы'!K$9)*100)</f>
        <v>42.857142857142854</v>
      </c>
      <c r="N343">
        <f>IF('исходные данные'!N343&gt;'минимумы и максимумы'!L$10,100,('исходные данные'!N343-'минимумы и максимумы'!L$9)/('минимумы и максимумы'!L$10-'минимумы и максимумы'!L$9)*100)</f>
        <v>60.656899096387754</v>
      </c>
      <c r="O343">
        <f>IF('исходные данные'!O343&gt;'минимумы и максимумы'!M$10,100,('исходные данные'!O343-'минимумы и максимумы'!M$9)/('минимумы и максимумы'!M$10-'минимумы и максимумы'!M$9)*100)</f>
        <v>66.666666666666657</v>
      </c>
      <c r="P343">
        <f>IF('исходные данные'!P343&gt;'минимумы и максимумы'!N$10,100,('исходные данные'!P343-'минимумы и максимумы'!N$9)/('минимумы и максимумы'!N$10-'минимумы и максимумы'!N$9)*100)</f>
        <v>0</v>
      </c>
      <c r="Q343">
        <f>IF('исходные данные'!Q343&gt;'минимумы и максимумы'!O$10,100,('исходные данные'!Q343-'минимумы и максимумы'!O$9)/('минимумы и максимумы'!O$10-'минимумы и максимумы'!O$9)*100)</f>
        <v>0</v>
      </c>
      <c r="R343">
        <f>IF('исходные данные'!R343&gt;'минимумы и максимумы'!P$10,100,('исходные данные'!R343-'минимумы и максимумы'!P$9)/('минимумы и максимумы'!P$10-'минимумы и максимумы'!P$9)*100)</f>
        <v>100</v>
      </c>
      <c r="S343">
        <f>IF('исходные данные'!S343&gt;'минимумы и максимумы'!Q$10,100,('исходные данные'!S343-'минимумы и максимумы'!Q$9)/('минимумы и максимумы'!Q$10-'минимумы и максимумы'!Q$9)*100)</f>
        <v>83.333333333333343</v>
      </c>
      <c r="T343">
        <f>IF('исходные данные'!T343&gt;'минимумы и максимумы'!R$10,100,('исходные данные'!T343-'минимумы и максимумы'!R$9)/('минимумы и максимумы'!R$10-'минимумы и максимумы'!R$9)*100)</f>
        <v>17.951668584579977</v>
      </c>
      <c r="U343">
        <f>IF('исходные данные'!U343&gt;'минимумы и максимумы'!S$10,100,('исходные данные'!U343-'минимумы и максимумы'!S$9)/('минимумы и максимумы'!S$10-'минимумы и максимумы'!S$9)*100)</f>
        <v>66.666666666666657</v>
      </c>
    </row>
    <row r="344" spans="1:21" x14ac:dyDescent="0.45">
      <c r="A344" s="4">
        <v>453</v>
      </c>
      <c r="B344" s="4">
        <v>0</v>
      </c>
      <c r="C344" s="4">
        <v>0</v>
      </c>
      <c r="D344">
        <f>IF('исходные данные'!D344&gt;'минимумы и максимумы'!B$10,100,('исходные данные'!D344-'минимумы и максимумы'!B$9)/('минимумы и максимумы'!B$10-'минимумы и максимумы'!B$9)*100)</f>
        <v>11.111111111111111</v>
      </c>
      <c r="E344">
        <f>IF('исходные данные'!E344&gt;'минимумы и максимумы'!C$10,100,('исходные данные'!E344-'минимумы и максимумы'!C$9)/('минимумы и максимумы'!C$10-'минимумы и максимумы'!C$9)*100)</f>
        <v>30</v>
      </c>
      <c r="F344">
        <f>IF('исходные данные'!F344&gt;'минимумы и максимумы'!D$10,100,('исходные данные'!F344-'минимумы и максимумы'!D$9)/('минимумы и максимумы'!D$10-'минимумы и максимумы'!D$9)*100)</f>
        <v>33.333333333333329</v>
      </c>
      <c r="G344">
        <f>IF('исходные данные'!G344&gt;'минимумы и максимумы'!E$10,100,('исходные данные'!G344-'минимумы и максимумы'!E$9)/('минимумы и максимумы'!E$10-'минимумы и максимумы'!E$9)*100)</f>
        <v>25</v>
      </c>
      <c r="H344">
        <f>IF('исходные данные'!H344&gt;'минимумы и максимумы'!F$10,100,('исходные данные'!H344-'минимумы и максимумы'!F$9)/('минимумы и максимумы'!F$10-'минимумы и максимумы'!F$9)*100)</f>
        <v>34.482758620689658</v>
      </c>
      <c r="I344">
        <f>IF('исходные данные'!I344&gt;'минимумы и максимумы'!G$10,100,('исходные данные'!I344-'минимумы и максимумы'!G$9)/('минимумы и максимумы'!G$10-'минимумы и максимумы'!G$9)*100)</f>
        <v>16.981132075471699</v>
      </c>
      <c r="J344">
        <f>IF('исходные данные'!J344&gt;'минимумы и максимумы'!H$10,100,('исходные данные'!J344-'минимумы и максимумы'!H$9)/('минимумы и максимумы'!H$10-'минимумы и максимумы'!H$9)*100)</f>
        <v>0</v>
      </c>
      <c r="K344">
        <f>IF('исходные данные'!K344&gt;'минимумы и максимумы'!I$10,100,('исходные данные'!K344-'минимумы и максимумы'!I$9)/('минимумы и максимумы'!I$10-'минимумы и максимумы'!I$9)*100)</f>
        <v>5.5555555555555554</v>
      </c>
      <c r="L344">
        <f>IF('исходные данные'!L344&gt;'минимумы и максимумы'!J$10,100,('исходные данные'!L344-'минимумы и максимумы'!J$9)/('минимумы и максимумы'!J$10-'минимумы и максимумы'!J$9)*100)</f>
        <v>7.1428571428571423</v>
      </c>
      <c r="M344">
        <f>IF('исходные данные'!M344&gt;'минимумы и максимумы'!K$10,100,('исходные данные'!M344-'минимумы и максимумы'!K$9)/('минимумы и максимумы'!K$10-'минимумы и максимумы'!K$9)*100)</f>
        <v>28.571428571428569</v>
      </c>
      <c r="N344">
        <f>IF('исходные данные'!N344&gt;'минимумы и максимумы'!L$10,100,('исходные данные'!N344-'минимумы и максимумы'!L$9)/('минимумы и максимумы'!L$10-'минимумы и максимумы'!L$9)*100)</f>
        <v>62.403900449836868</v>
      </c>
      <c r="O344">
        <f>IF('исходные данные'!O344&gt;'минимумы и максимумы'!M$10,100,('исходные данные'!O344-'минимумы и максимумы'!M$9)/('минимумы и максимумы'!M$10-'минимумы и максимумы'!M$9)*100)</f>
        <v>0</v>
      </c>
      <c r="P344">
        <f>IF('исходные данные'!P344&gt;'минимумы и максимумы'!N$10,100,('исходные данные'!P344-'минимумы и максимумы'!N$9)/('минимумы и максимумы'!N$10-'минимумы и максимумы'!N$9)*100)</f>
        <v>0</v>
      </c>
      <c r="Q344">
        <f>IF('исходные данные'!Q344&gt;'минимумы и максимумы'!O$10,100,('исходные данные'!Q344-'минимумы и максимумы'!O$9)/('минимумы и максимумы'!O$10-'минимумы и максимумы'!O$9)*100)</f>
        <v>100</v>
      </c>
      <c r="R344">
        <f>IF('исходные данные'!R344&gt;'минимумы и максимумы'!P$10,100,('исходные данные'!R344-'минимумы и максимумы'!P$9)/('минимумы и максимумы'!P$10-'минимумы и максимумы'!P$9)*100)</f>
        <v>75</v>
      </c>
      <c r="S344">
        <f>IF('исходные данные'!S344&gt;'минимумы и максимумы'!Q$10,100,('исходные данные'!S344-'минимумы и максимумы'!Q$9)/('минимумы и максимумы'!Q$10-'минимумы и максимумы'!Q$9)*100)</f>
        <v>16.666666666666664</v>
      </c>
      <c r="T344">
        <f>IF('исходные данные'!T344&gt;'минимумы и максимумы'!R$10,100,('исходные данные'!T344-'минимумы и максимумы'!R$9)/('минимумы и максимумы'!R$10-'минимумы и максимумы'!R$9)*100)</f>
        <v>28.711162255466053</v>
      </c>
      <c r="U344">
        <f>IF('исходные данные'!U344&gt;'минимумы и максимумы'!S$10,100,('исходные данные'!U344-'минимумы и максимумы'!S$9)/('минимумы и максимумы'!S$10-'минимумы и максимумы'!S$9)*100)</f>
        <v>33.333333333333329</v>
      </c>
    </row>
    <row r="345" spans="1:21" x14ac:dyDescent="0.45">
      <c r="A345" s="4">
        <v>454</v>
      </c>
      <c r="B345" s="4">
        <v>0</v>
      </c>
      <c r="C345" s="4">
        <v>0</v>
      </c>
      <c r="D345">
        <f>IF('исходные данные'!D345&gt;'минимумы и максимумы'!B$10,100,('исходные данные'!D345-'минимумы и максимумы'!B$9)/('минимумы и максимумы'!B$10-'минимумы и максимумы'!B$9)*100)</f>
        <v>0</v>
      </c>
      <c r="E345">
        <f>IF('исходные данные'!E345&gt;'минимумы и максимумы'!C$10,100,('исходные данные'!E345-'минимумы и максимумы'!C$9)/('минимумы и максимумы'!C$10-'минимумы и максимумы'!C$9)*100)</f>
        <v>10</v>
      </c>
      <c r="F345">
        <f>IF('исходные данные'!F345&gt;'минимумы и максимумы'!D$10,100,('исходные данные'!F345-'минимумы и максимумы'!D$9)/('минимумы и максимумы'!D$10-'минимумы и максимумы'!D$9)*100)</f>
        <v>0</v>
      </c>
      <c r="G345">
        <f>IF('исходные данные'!G345&gt;'минимумы и максимумы'!E$10,100,('исходные данные'!G345-'минимумы и максимумы'!E$9)/('минимумы и максимумы'!E$10-'минимумы и максимумы'!E$9)*100)</f>
        <v>37.5</v>
      </c>
      <c r="H345">
        <f>IF('исходные данные'!H345&gt;'минимумы и максимумы'!F$10,100,('исходные данные'!H345-'минимумы и максимумы'!F$9)/('минимумы и максимумы'!F$10-'минимумы и максимумы'!F$9)*100)</f>
        <v>44.827586206896555</v>
      </c>
      <c r="I345">
        <f>IF('исходные данные'!I345&gt;'минимумы и максимумы'!G$10,100,('исходные данные'!I345-'минимумы и максимумы'!G$9)/('минимумы и максимумы'!G$10-'минимумы и максимумы'!G$9)*100)</f>
        <v>18.867924528301888</v>
      </c>
      <c r="J345">
        <f>IF('исходные данные'!J345&gt;'минимумы и максимумы'!H$10,100,('исходные данные'!J345-'минимумы и максимумы'!H$9)/('минимумы и максимумы'!H$10-'минимумы и максимумы'!H$9)*100)</f>
        <v>0</v>
      </c>
      <c r="K345">
        <f>IF('исходные данные'!K345&gt;'минимумы и максимумы'!I$10,100,('исходные данные'!K345-'минимумы и максимумы'!I$9)/('минимумы и максимумы'!I$10-'минимумы и максимумы'!I$9)*100)</f>
        <v>0</v>
      </c>
      <c r="L345">
        <f>IF('исходные данные'!L345&gt;'минимумы и максимумы'!J$10,100,('исходные данные'!L345-'минимумы и максимумы'!J$9)/('минимумы и максимумы'!J$10-'минимумы и максимумы'!J$9)*100)</f>
        <v>7.1428571428571423</v>
      </c>
      <c r="M345">
        <f>IF('исходные данные'!M345&gt;'минимумы и максимумы'!K$10,100,('исходные данные'!M345-'минимумы и максимумы'!K$9)/('минимумы и максимумы'!K$10-'минимумы и максимумы'!K$9)*100)</f>
        <v>42.857142857142854</v>
      </c>
      <c r="N345">
        <f>IF('исходные данные'!N345&gt;'минимумы и максимумы'!L$10,100,('исходные данные'!N345-'минимумы и максимумы'!L$9)/('минимумы и максимумы'!L$10-'минимумы и максимумы'!L$9)*100)</f>
        <v>63.077338893656666</v>
      </c>
      <c r="O345">
        <f>IF('исходные данные'!O345&gt;'минимумы и максимумы'!M$10,100,('исходные данные'!O345-'минимумы и максимумы'!M$9)/('минимумы и максимумы'!M$10-'минимумы и максимумы'!M$9)*100)</f>
        <v>0</v>
      </c>
      <c r="P345">
        <f>IF('исходные данные'!P345&gt;'минимумы и максимумы'!N$10,100,('исходные данные'!P345-'минимумы и максимумы'!N$9)/('минимумы и максимумы'!N$10-'минимумы и максимумы'!N$9)*100)</f>
        <v>0</v>
      </c>
      <c r="Q345">
        <f>IF('исходные данные'!Q345&gt;'минимумы и максимумы'!O$10,100,('исходные данные'!Q345-'минимумы и максимумы'!O$9)/('минимумы и максимумы'!O$10-'минимумы и максимумы'!O$9)*100)</f>
        <v>100</v>
      </c>
      <c r="R345">
        <f>IF('исходные данные'!R345&gt;'минимумы и максимумы'!P$10,100,('исходные данные'!R345-'минимумы и максимумы'!P$9)/('минимумы и максимумы'!P$10-'минимумы и максимумы'!P$9)*100)</f>
        <v>75</v>
      </c>
      <c r="S345">
        <f>IF('исходные данные'!S345&gt;'минимумы и максимумы'!Q$10,100,('исходные данные'!S345-'минимумы и максимумы'!Q$9)/('минимумы и максимумы'!Q$10-'минимумы и максимумы'!Q$9)*100)</f>
        <v>16.666666666666664</v>
      </c>
      <c r="T345">
        <f>IF('исходные данные'!T345&gt;'минимумы и максимумы'!R$10,100,('исходные данные'!T345-'минимумы и максимумы'!R$9)/('минимумы и максимумы'!R$10-'минимумы и максимумы'!R$9)*100)</f>
        <v>100</v>
      </c>
      <c r="U345">
        <f>IF('исходные данные'!U345&gt;'минимумы и максимумы'!S$10,100,('исходные данные'!U345-'минимумы и максимумы'!S$9)/('минимумы и максимумы'!S$10-'минимумы и максимумы'!S$9)*100)</f>
        <v>100</v>
      </c>
    </row>
    <row r="346" spans="1:21" x14ac:dyDescent="0.45">
      <c r="A346" s="4">
        <v>455</v>
      </c>
      <c r="B346" s="4">
        <v>0</v>
      </c>
      <c r="C346" s="4">
        <v>0</v>
      </c>
      <c r="D346">
        <f>IF('исходные данные'!D346&gt;'минимумы и максимумы'!B$10,100,('исходные данные'!D346-'минимумы и максимумы'!B$9)/('минимумы и максимумы'!B$10-'минимумы и максимумы'!B$9)*100)</f>
        <v>22.222222222222221</v>
      </c>
      <c r="E346">
        <f>IF('исходные данные'!E346&gt;'минимумы и максимумы'!C$10,100,('исходные данные'!E346-'минимумы и максимумы'!C$9)/('минимумы и максимумы'!C$10-'минимумы и максимумы'!C$9)*100)</f>
        <v>30</v>
      </c>
      <c r="F346">
        <f>IF('исходные данные'!F346&gt;'минимумы и максимумы'!D$10,100,('исходные данные'!F346-'минимумы и максимумы'!D$9)/('минимумы и максимумы'!D$10-'минимумы и максимумы'!D$9)*100)</f>
        <v>0</v>
      </c>
      <c r="G346">
        <f>IF('исходные данные'!G346&gt;'минимумы и максимумы'!E$10,100,('исходные данные'!G346-'минимумы и максимумы'!E$9)/('минимумы и максимумы'!E$10-'минимумы и максимумы'!E$9)*100)</f>
        <v>45.833333333333329</v>
      </c>
      <c r="H346">
        <f>IF('исходные данные'!H346&gt;'минимумы и максимумы'!F$10,100,('исходные данные'!H346-'минимумы и максимумы'!F$9)/('минимумы и максимумы'!F$10-'минимумы и максимумы'!F$9)*100)</f>
        <v>37.931034482758619</v>
      </c>
      <c r="I346">
        <f>IF('исходные данные'!I346&gt;'минимумы и максимумы'!G$10,100,('исходные данные'!I346-'минимумы и максимумы'!G$9)/('минимумы и максимумы'!G$10-'минимумы и максимумы'!G$9)*100)</f>
        <v>11.320754716981133</v>
      </c>
      <c r="J346">
        <f>IF('исходные данные'!J346&gt;'минимумы и максимумы'!H$10,100,('исходные данные'!J346-'минимумы и максимумы'!H$9)/('минимумы и максимумы'!H$10-'минимумы и максимумы'!H$9)*100)</f>
        <v>6.666666666666667</v>
      </c>
      <c r="K346">
        <f>IF('исходные данные'!K346&gt;'минимумы и максимумы'!I$10,100,('исходные данные'!K346-'минимумы и максимумы'!I$9)/('минимумы и максимумы'!I$10-'минимумы и максимумы'!I$9)*100)</f>
        <v>5.5555555555555554</v>
      </c>
      <c r="L346">
        <f>IF('исходные данные'!L346&gt;'минимумы и максимумы'!J$10,100,('исходные данные'!L346-'минимумы и максимумы'!J$9)/('минимумы и максимумы'!J$10-'минимумы и максимумы'!J$9)*100)</f>
        <v>7.1428571428571423</v>
      </c>
      <c r="M346">
        <f>IF('исходные данные'!M346&gt;'минимумы и максимумы'!K$10,100,('исходные данные'!M346-'минимумы и максимумы'!K$9)/('минимумы и максимумы'!K$10-'минимумы и максимумы'!K$9)*100)</f>
        <v>42.857142857142854</v>
      </c>
      <c r="N346">
        <f>IF('исходные данные'!N346&gt;'минимумы и максимумы'!L$10,100,('исходные данные'!N346-'минимумы и максимумы'!L$9)/('минимумы и максимумы'!L$10-'минимумы и максимумы'!L$9)*100)</f>
        <v>63.304525429231425</v>
      </c>
      <c r="O346">
        <f>IF('исходные данные'!O346&gt;'минимумы и максимумы'!M$10,100,('исходные данные'!O346-'минимумы и максимумы'!M$9)/('минимумы и максимумы'!M$10-'минимумы и максимумы'!M$9)*100)</f>
        <v>0</v>
      </c>
      <c r="P346">
        <f>IF('исходные данные'!P346&gt;'минимумы и максимумы'!N$10,100,('исходные данные'!P346-'минимумы и максимумы'!N$9)/('минимумы и максимумы'!N$10-'минимумы и максимумы'!N$9)*100)</f>
        <v>0</v>
      </c>
      <c r="Q346">
        <f>IF('исходные данные'!Q346&gt;'минимумы и максимумы'!O$10,100,('исходные данные'!Q346-'минимумы и максимумы'!O$9)/('минимумы и максимумы'!O$10-'минимумы и максимумы'!O$9)*100)</f>
        <v>100</v>
      </c>
      <c r="R346">
        <f>IF('исходные данные'!R346&gt;'минимумы и максимумы'!P$10,100,('исходные данные'!R346-'минимумы и максимумы'!P$9)/('минимумы и максимумы'!P$10-'минимумы и максимумы'!P$9)*100)</f>
        <v>75</v>
      </c>
      <c r="S346">
        <f>IF('исходные данные'!S346&gt;'минимумы и максимумы'!Q$10,100,('исходные данные'!S346-'минимумы и максимумы'!Q$9)/('минимумы и максимумы'!Q$10-'минимумы и максимумы'!Q$9)*100)</f>
        <v>16.666666666666664</v>
      </c>
      <c r="T346">
        <f>IF('исходные данные'!T346&gt;'минимумы и максимумы'!R$10,100,('исходные данные'!T346-'минимумы и максимумы'!R$9)/('минимумы и максимумы'!R$10-'минимумы и максимумы'!R$9)*100)</f>
        <v>82.738780207134639</v>
      </c>
      <c r="U346">
        <f>IF('исходные данные'!U346&gt;'минимумы и максимумы'!S$10,100,('исходные данные'!U346-'минимумы и максимумы'!S$9)/('минимумы и максимумы'!S$10-'минимумы и максимумы'!S$9)*100)</f>
        <v>100</v>
      </c>
    </row>
    <row r="347" spans="1:21" x14ac:dyDescent="0.45">
      <c r="A347" s="4">
        <v>456</v>
      </c>
      <c r="B347" s="4">
        <v>0</v>
      </c>
      <c r="C347" s="4">
        <v>0</v>
      </c>
      <c r="D347">
        <f>IF('исходные данные'!D347&gt;'минимумы и максимумы'!B$10,100,('исходные данные'!D347-'минимумы и максимумы'!B$9)/('минимумы и максимумы'!B$10-'минимумы и максимумы'!B$9)*100)</f>
        <v>22.222222222222221</v>
      </c>
      <c r="E347">
        <f>IF('исходные данные'!E347&gt;'минимумы и максимумы'!C$10,100,('исходные данные'!E347-'минимумы и максимумы'!C$9)/('минимумы и максимумы'!C$10-'минимумы и максимумы'!C$9)*100)</f>
        <v>30</v>
      </c>
      <c r="F347">
        <f>IF('исходные данные'!F347&gt;'минимумы и максимумы'!D$10,100,('исходные данные'!F347-'минимумы и максимумы'!D$9)/('минимумы и максимумы'!D$10-'минимумы и максимумы'!D$9)*100)</f>
        <v>0</v>
      </c>
      <c r="G347">
        <f>IF('исходные данные'!G347&gt;'минимумы и максимумы'!E$10,100,('исходные данные'!G347-'минимумы и максимумы'!E$9)/('минимумы и максимумы'!E$10-'минимумы и максимумы'!E$9)*100)</f>
        <v>45.833333333333329</v>
      </c>
      <c r="H347">
        <f>IF('исходные данные'!H347&gt;'минимумы и максимумы'!F$10,100,('исходные данные'!H347-'минимумы и максимумы'!F$9)/('минимумы и максимумы'!F$10-'минимумы и максимумы'!F$9)*100)</f>
        <v>37.931034482758619</v>
      </c>
      <c r="I347">
        <f>IF('исходные данные'!I347&gt;'минимумы и максимумы'!G$10,100,('исходные данные'!I347-'минимумы и максимумы'!G$9)/('минимумы и максимумы'!G$10-'минимумы и максимумы'!G$9)*100)</f>
        <v>11.320754716981133</v>
      </c>
      <c r="J347">
        <f>IF('исходные данные'!J347&gt;'минимумы и максимумы'!H$10,100,('исходные данные'!J347-'минимумы и максимумы'!H$9)/('минимумы и максимумы'!H$10-'минимумы и максимумы'!H$9)*100)</f>
        <v>6.666666666666667</v>
      </c>
      <c r="K347">
        <f>IF('исходные данные'!K347&gt;'минимумы и максимумы'!I$10,100,('исходные данные'!K347-'минимумы и максимумы'!I$9)/('минимумы и максимумы'!I$10-'минимумы и максимумы'!I$9)*100)</f>
        <v>5.5555555555555554</v>
      </c>
      <c r="L347">
        <f>IF('исходные данные'!L347&gt;'минимумы и максимумы'!J$10,100,('исходные данные'!L347-'минимумы и максимумы'!J$9)/('минимумы и максимумы'!J$10-'минимумы и максимумы'!J$9)*100)</f>
        <v>7.1428571428571423</v>
      </c>
      <c r="M347">
        <f>IF('исходные данные'!M347&gt;'минимумы и максимумы'!K$10,100,('исходные данные'!M347-'минимумы и максимумы'!K$9)/('минимумы и максимумы'!K$10-'минимумы и максимумы'!K$9)*100)</f>
        <v>42.857142857142854</v>
      </c>
      <c r="N347">
        <f>IF('исходные данные'!N347&gt;'минимумы и максимумы'!L$10,100,('исходные данные'!N347-'минимумы и максимумы'!L$9)/('минимумы и максимумы'!L$10-'минимумы и максимумы'!L$9)*100)</f>
        <v>63.304525429231425</v>
      </c>
      <c r="O347">
        <f>IF('исходные данные'!O347&gt;'минимумы и максимумы'!M$10,100,('исходные данные'!O347-'минимумы и максимумы'!M$9)/('минимумы и максимумы'!M$10-'минимумы и максимумы'!M$9)*100)</f>
        <v>0</v>
      </c>
      <c r="P347">
        <f>IF('исходные данные'!P347&gt;'минимумы и максимумы'!N$10,100,('исходные данные'!P347-'минимумы и максимумы'!N$9)/('минимумы и максимумы'!N$10-'минимумы и максимумы'!N$9)*100)</f>
        <v>0</v>
      </c>
      <c r="Q347">
        <f>IF('исходные данные'!Q347&gt;'минимумы и максимумы'!O$10,100,('исходные данные'!Q347-'минимумы и максимумы'!O$9)/('минимумы и максимумы'!O$10-'минимумы и максимумы'!O$9)*100)</f>
        <v>100</v>
      </c>
      <c r="R347">
        <f>IF('исходные данные'!R347&gt;'минимумы и максимумы'!P$10,100,('исходные данные'!R347-'минимумы и максимумы'!P$9)/('минимумы и максимумы'!P$10-'минимумы и максимумы'!P$9)*100)</f>
        <v>75</v>
      </c>
      <c r="S347">
        <f>IF('исходные данные'!S347&gt;'минимумы и максимумы'!Q$10,100,('исходные данные'!S347-'минимумы и максимумы'!Q$9)/('минимумы и максимумы'!Q$10-'минимумы и максимумы'!Q$9)*100)</f>
        <v>16.666666666666664</v>
      </c>
      <c r="T347">
        <f>IF('исходные данные'!T347&gt;'минимумы и максимумы'!R$10,100,('исходные данные'!T347-'минимумы и максимумы'!R$9)/('минимумы и максимумы'!R$10-'минимумы и максимумы'!R$9)*100)</f>
        <v>84.292289988492513</v>
      </c>
      <c r="U347">
        <f>IF('исходные данные'!U347&gt;'минимумы и максимумы'!S$10,100,('исходные данные'!U347-'минимумы и максимумы'!S$9)/('минимумы и максимумы'!S$10-'минимумы и максимумы'!S$9)*100)</f>
        <v>33.333333333333329</v>
      </c>
    </row>
    <row r="348" spans="1:21" x14ac:dyDescent="0.45">
      <c r="A348" s="4">
        <v>457</v>
      </c>
      <c r="B348" s="4">
        <v>0</v>
      </c>
      <c r="C348" s="4">
        <v>0</v>
      </c>
      <c r="D348">
        <f>IF('исходные данные'!D348&gt;'минимумы и максимумы'!B$10,100,('исходные данные'!D348-'минимумы и максимумы'!B$9)/('минимумы и максимумы'!B$10-'минимумы и максимумы'!B$9)*100)</f>
        <v>11.111111111111111</v>
      </c>
      <c r="E348">
        <f>IF('исходные данные'!E348&gt;'минимумы и максимумы'!C$10,100,('исходные данные'!E348-'минимумы и максимумы'!C$9)/('минимумы и максимумы'!C$10-'минимумы и максимумы'!C$9)*100)</f>
        <v>20</v>
      </c>
      <c r="F348">
        <f>IF('исходные данные'!F348&gt;'минимумы и максимумы'!D$10,100,('исходные данные'!F348-'минимумы и максимумы'!D$9)/('минимумы и максимумы'!D$10-'минимумы и максимумы'!D$9)*100)</f>
        <v>0</v>
      </c>
      <c r="G348">
        <f>IF('исходные данные'!G348&gt;'минимумы и максимумы'!E$10,100,('исходные данные'!G348-'минимумы и максимумы'!E$9)/('минимумы и максимумы'!E$10-'минимумы и максимумы'!E$9)*100)</f>
        <v>25</v>
      </c>
      <c r="H348">
        <f>IF('исходные данные'!H348&gt;'минимумы и максимумы'!F$10,100,('исходные данные'!H348-'минимумы и максимумы'!F$9)/('минимумы и максимумы'!F$10-'минимумы и максимумы'!F$9)*100)</f>
        <v>17.241379310344829</v>
      </c>
      <c r="I348">
        <f>IF('исходные данные'!I348&gt;'минимумы и максимумы'!G$10,100,('исходные данные'!I348-'минимумы и максимумы'!G$9)/('минимумы и максимумы'!G$10-'минимумы и максимумы'!G$9)*100)</f>
        <v>1.8867924528301887</v>
      </c>
      <c r="J348">
        <f>IF('исходные данные'!J348&gt;'минимумы и максимумы'!H$10,100,('исходные данные'!J348-'минимумы и максимумы'!H$9)/('минимумы и максимумы'!H$10-'минимумы и максимумы'!H$9)*100)</f>
        <v>6.666666666666667</v>
      </c>
      <c r="K348">
        <f>IF('исходные данные'!K348&gt;'минимумы и максимумы'!I$10,100,('исходные данные'!K348-'минимумы и максимумы'!I$9)/('минимумы и максимумы'!I$10-'минимумы и максимумы'!I$9)*100)</f>
        <v>5.5555555555555554</v>
      </c>
      <c r="L348">
        <f>IF('исходные данные'!L348&gt;'минимумы и максимумы'!J$10,100,('исходные данные'!L348-'минимумы и максимумы'!J$9)/('минимумы и максимумы'!J$10-'минимумы и максимумы'!J$9)*100)</f>
        <v>0</v>
      </c>
      <c r="M348">
        <f>IF('исходные данные'!M348&gt;'минимумы и максимумы'!K$10,100,('исходные данные'!M348-'минимумы и максимумы'!K$9)/('минимумы и максимумы'!K$10-'минимумы и максимумы'!K$9)*100)</f>
        <v>32.142857142857146</v>
      </c>
      <c r="N348">
        <f>IF('исходные данные'!N348&gt;'минимумы и максимумы'!L$10,100,('исходные данные'!N348-'минимумы и максимумы'!L$9)/('минимумы и максимумы'!L$10-'минимумы и максимумы'!L$9)*100)</f>
        <v>63.920077775080422</v>
      </c>
      <c r="O348">
        <f>IF('исходные данные'!O348&gt;'минимумы и максимумы'!M$10,100,('исходные данные'!O348-'минимумы и максимумы'!M$9)/('минимумы и максимумы'!M$10-'минимумы и максимумы'!M$9)*100)</f>
        <v>0</v>
      </c>
      <c r="P348">
        <f>IF('исходные данные'!P348&gt;'минимумы и максимумы'!N$10,100,('исходные данные'!P348-'минимумы и максимумы'!N$9)/('минимумы и максимумы'!N$10-'минимумы и максимумы'!N$9)*100)</f>
        <v>0</v>
      </c>
      <c r="Q348">
        <f>IF('исходные данные'!Q348&gt;'минимумы и максимумы'!O$10,100,('исходные данные'!Q348-'минимумы и максимумы'!O$9)/('минимумы и максимумы'!O$10-'минимумы и максимумы'!O$9)*100)</f>
        <v>100</v>
      </c>
      <c r="R348">
        <f>IF('исходные данные'!R348&gt;'минимумы и максимумы'!P$10,100,('исходные данные'!R348-'минимумы и максимумы'!P$9)/('минимумы и максимумы'!P$10-'минимумы и максимумы'!P$9)*100)</f>
        <v>75</v>
      </c>
      <c r="S348">
        <f>IF('исходные данные'!S348&gt;'минимумы и максимумы'!Q$10,100,('исходные данные'!S348-'минимумы и максимумы'!Q$9)/('минимумы и максимумы'!Q$10-'минимумы и максимумы'!Q$9)*100)</f>
        <v>16.666666666666664</v>
      </c>
      <c r="T348">
        <f>IF('исходные данные'!T348&gt;'минимумы и максимумы'!R$10,100,('исходные данные'!T348-'минимумы и максимумы'!R$9)/('минимумы и максимумы'!R$10-'минимумы и максимумы'!R$9)*100)</f>
        <v>83.975834292289989</v>
      </c>
      <c r="U348">
        <f>IF('исходные данные'!U348&gt;'минимумы и максимумы'!S$10,100,('исходные данные'!U348-'минимумы и максимумы'!S$9)/('минимумы и максимумы'!S$10-'минимумы и максимумы'!S$9)*100)</f>
        <v>33.333333333333329</v>
      </c>
    </row>
    <row r="349" spans="1:21" x14ac:dyDescent="0.45">
      <c r="A349" s="4">
        <v>458</v>
      </c>
      <c r="B349" s="4">
        <v>0</v>
      </c>
      <c r="C349" s="4">
        <v>0</v>
      </c>
      <c r="D349">
        <f>IF('исходные данные'!D349&gt;'минимумы и максимумы'!B$10,100,('исходные данные'!D349-'минимумы и максимумы'!B$9)/('минимумы и максимумы'!B$10-'минимумы и максимумы'!B$9)*100)</f>
        <v>11.111111111111111</v>
      </c>
      <c r="E349">
        <f>IF('исходные данные'!E349&gt;'минимумы и максимумы'!C$10,100,('исходные данные'!E349-'минимумы и максимумы'!C$9)/('минимумы и максимумы'!C$10-'минимумы и максимумы'!C$9)*100)</f>
        <v>30</v>
      </c>
      <c r="F349">
        <f>IF('исходные данные'!F349&gt;'минимумы и максимумы'!D$10,100,('исходные данные'!F349-'минимумы и максимумы'!D$9)/('минимумы и максимумы'!D$10-'минимумы и максимумы'!D$9)*100)</f>
        <v>33.333333333333329</v>
      </c>
      <c r="G349">
        <f>IF('исходные данные'!G349&gt;'минимумы и максимумы'!E$10,100,('исходные данные'!G349-'минимумы и максимумы'!E$9)/('минимумы и максимумы'!E$10-'минимумы и максимумы'!E$9)*100)</f>
        <v>29.166666666666668</v>
      </c>
      <c r="H349">
        <f>IF('исходные данные'!H349&gt;'минимумы и максимумы'!F$10,100,('исходные данные'!H349-'минимумы и максимумы'!F$9)/('минимумы и максимумы'!F$10-'минимумы и максимумы'!F$9)*100)</f>
        <v>34.482758620689658</v>
      </c>
      <c r="I349">
        <f>IF('исходные данные'!I349&gt;'минимумы и максимумы'!G$10,100,('исходные данные'!I349-'минимумы и максимумы'!G$9)/('минимумы и максимумы'!G$10-'минимумы и максимумы'!G$9)*100)</f>
        <v>15.09433962264151</v>
      </c>
      <c r="J349">
        <f>IF('исходные данные'!J349&gt;'минимумы и максимумы'!H$10,100,('исходные данные'!J349-'минимумы и максимумы'!H$9)/('минимумы и максимумы'!H$10-'минимумы и максимумы'!H$9)*100)</f>
        <v>6.666666666666667</v>
      </c>
      <c r="K349">
        <f>IF('исходные данные'!K349&gt;'минимумы и максимумы'!I$10,100,('исходные данные'!K349-'минимумы и максимумы'!I$9)/('минимумы и максимумы'!I$10-'минимумы и максимумы'!I$9)*100)</f>
        <v>11.111111111111111</v>
      </c>
      <c r="L349">
        <f>IF('исходные данные'!L349&gt;'минимумы и максимумы'!J$10,100,('исходные данные'!L349-'минимумы и максимумы'!J$9)/('минимумы и максимумы'!J$10-'минимумы и максимумы'!J$9)*100)</f>
        <v>7.1428571428571423</v>
      </c>
      <c r="M349">
        <f>IF('исходные данные'!M349&gt;'минимумы и максимумы'!K$10,100,('исходные данные'!M349-'минимумы и максимумы'!K$9)/('минимумы и максимумы'!K$10-'минимумы и максимумы'!K$9)*100)</f>
        <v>28.571428571428569</v>
      </c>
      <c r="N349">
        <f>IF('исходные данные'!N349&gt;'минимумы и максимумы'!L$10,100,('исходные данные'!N349-'минимумы и максимумы'!L$9)/('минимумы и максимумы'!L$10-'минимумы и максимумы'!L$9)*100)</f>
        <v>63.077338893656666</v>
      </c>
      <c r="O349">
        <f>IF('исходные данные'!O349&gt;'минимумы и максимумы'!M$10,100,('исходные данные'!O349-'минимумы и максимумы'!M$9)/('минимумы и максимумы'!M$10-'минимумы и максимумы'!M$9)*100)</f>
        <v>0</v>
      </c>
      <c r="P349">
        <f>IF('исходные данные'!P349&gt;'минимумы и максимумы'!N$10,100,('исходные данные'!P349-'минимумы и максимумы'!N$9)/('минимумы и максимумы'!N$10-'минимумы и максимумы'!N$9)*100)</f>
        <v>0</v>
      </c>
      <c r="Q349">
        <f>IF('исходные данные'!Q349&gt;'минимумы и максимумы'!O$10,100,('исходные данные'!Q349-'минимумы и максимумы'!O$9)/('минимумы и максимумы'!O$10-'минимумы и максимумы'!O$9)*100)</f>
        <v>100</v>
      </c>
      <c r="R349">
        <f>IF('исходные данные'!R349&gt;'минимумы и максимумы'!P$10,100,('исходные данные'!R349-'минимумы и максимумы'!P$9)/('минимумы и максимумы'!P$10-'минимумы и максимумы'!P$9)*100)</f>
        <v>75</v>
      </c>
      <c r="S349">
        <f>IF('исходные данные'!S349&gt;'минимумы и максимумы'!Q$10,100,('исходные данные'!S349-'минимумы и максимумы'!Q$9)/('минимумы и максимумы'!Q$10-'минимумы и максимумы'!Q$9)*100)</f>
        <v>16.666666666666664</v>
      </c>
      <c r="T349">
        <f>IF('исходные данные'!T349&gt;'минимумы и максимумы'!R$10,100,('исходные данные'!T349-'минимумы и максимумы'!R$9)/('минимумы и максимумы'!R$10-'минимумы и максимумы'!R$9)*100)</f>
        <v>39.06789413118527</v>
      </c>
      <c r="U349">
        <f>IF('исходные данные'!U349&gt;'минимумы и максимумы'!S$10,100,('исходные данные'!U349-'минимумы и максимумы'!S$9)/('минимумы и максимумы'!S$10-'минимумы и максимумы'!S$9)*100)</f>
        <v>66.666666666666657</v>
      </c>
    </row>
    <row r="350" spans="1:21" x14ac:dyDescent="0.45">
      <c r="A350" s="4">
        <v>459</v>
      </c>
      <c r="B350" s="4">
        <v>0</v>
      </c>
      <c r="C350" s="4">
        <v>0</v>
      </c>
      <c r="D350">
        <f>IF('исходные данные'!D350&gt;'минимумы и максимумы'!B$10,100,('исходные данные'!D350-'минимумы и максимумы'!B$9)/('минимумы и максимумы'!B$10-'минимумы и максимумы'!B$9)*100)</f>
        <v>11.111111111111111</v>
      </c>
      <c r="E350">
        <f>IF('исходные данные'!E350&gt;'минимумы и максимумы'!C$10,100,('исходные данные'!E350-'минимумы и максимумы'!C$9)/('минимумы и максимумы'!C$10-'минимумы и максимумы'!C$9)*100)</f>
        <v>30</v>
      </c>
      <c r="F350">
        <f>IF('исходные данные'!F350&gt;'минимумы и максимумы'!D$10,100,('исходные данные'!F350-'минимумы и максимумы'!D$9)/('минимумы и максимумы'!D$10-'минимумы и максимумы'!D$9)*100)</f>
        <v>33.333333333333329</v>
      </c>
      <c r="G350">
        <f>IF('исходные данные'!G350&gt;'минимумы и максимумы'!E$10,100,('исходные данные'!G350-'минимумы и максимумы'!E$9)/('минимумы и максимумы'!E$10-'минимумы и максимумы'!E$9)*100)</f>
        <v>25</v>
      </c>
      <c r="H350">
        <f>IF('исходные данные'!H350&gt;'минимумы и максимумы'!F$10,100,('исходные данные'!H350-'минимумы и максимумы'!F$9)/('минимумы и максимумы'!F$10-'минимумы и максимумы'!F$9)*100)</f>
        <v>17.241379310344829</v>
      </c>
      <c r="I350">
        <f>IF('исходные данные'!I350&gt;'минимумы и максимумы'!G$10,100,('исходные данные'!I350-'минимумы и максимумы'!G$9)/('минимумы и максимумы'!G$10-'минимумы и максимумы'!G$9)*100)</f>
        <v>5.6603773584905666</v>
      </c>
      <c r="J350">
        <f>IF('исходные данные'!J350&gt;'минимумы и максимумы'!H$10,100,('исходные данные'!J350-'минимумы и максимумы'!H$9)/('минимумы и максимумы'!H$10-'минимумы и максимумы'!H$9)*100)</f>
        <v>13.333333333333334</v>
      </c>
      <c r="K350">
        <f>IF('исходные данные'!K350&gt;'минимумы и максимумы'!I$10,100,('исходные данные'!K350-'минимумы и максимумы'!I$9)/('минимумы и максимумы'!I$10-'минимумы и максимумы'!I$9)*100)</f>
        <v>11.111111111111111</v>
      </c>
      <c r="L350">
        <f>IF('исходные данные'!L350&gt;'минимумы и максимумы'!J$10,100,('исходные данные'!L350-'минимумы и максимумы'!J$9)/('минимумы и максимумы'!J$10-'минимумы и максимумы'!J$9)*100)</f>
        <v>0</v>
      </c>
      <c r="M350">
        <f>IF('исходные данные'!M350&gt;'минимумы и максимумы'!K$10,100,('исходные данные'!M350-'минимумы и максимумы'!K$9)/('минимумы и максимумы'!K$10-'минимумы и максимумы'!K$9)*100)</f>
        <v>39.285714285714285</v>
      </c>
      <c r="N350">
        <f>IF('исходные данные'!N350&gt;'минимумы и максимумы'!L$10,100,('исходные данные'!N350-'минимумы и максимумы'!L$9)/('минимумы и максимумы'!L$10-'минимумы и максимумы'!L$9)*100)</f>
        <v>63.308917226889719</v>
      </c>
      <c r="O350">
        <f>IF('исходные данные'!O350&gt;'минимумы и максимумы'!M$10,100,('исходные данные'!O350-'минимумы и максимумы'!M$9)/('минимумы и максимумы'!M$10-'минимумы и максимумы'!M$9)*100)</f>
        <v>0</v>
      </c>
      <c r="P350">
        <f>IF('исходные данные'!P350&gt;'минимумы и максимумы'!N$10,100,('исходные данные'!P350-'минимумы и максимумы'!N$9)/('минимумы и максимумы'!N$10-'минимумы и максимумы'!N$9)*100)</f>
        <v>0</v>
      </c>
      <c r="Q350">
        <f>IF('исходные данные'!Q350&gt;'минимумы и максимумы'!O$10,100,('исходные данные'!Q350-'минимумы и максимумы'!O$9)/('минимумы и максимумы'!O$10-'минимумы и максимумы'!O$9)*100)</f>
        <v>100</v>
      </c>
      <c r="R350">
        <f>IF('исходные данные'!R350&gt;'минимумы и максимумы'!P$10,100,('исходные данные'!R350-'минимумы и максимумы'!P$9)/('минимумы и максимумы'!P$10-'минимумы и максимумы'!P$9)*100)</f>
        <v>75</v>
      </c>
      <c r="S350">
        <f>IF('исходные данные'!S350&gt;'минимумы и максимумы'!Q$10,100,('исходные данные'!S350-'минимумы и максимумы'!Q$9)/('минимумы и максимумы'!Q$10-'минимумы и максимумы'!Q$9)*100)</f>
        <v>16.666666666666664</v>
      </c>
      <c r="T350">
        <f>IF('исходные данные'!T350&gt;'минимумы и максимумы'!R$10,100,('исходные данные'!T350-'минимумы и максимумы'!R$9)/('минимумы и максимумы'!R$10-'минимумы и максимумы'!R$9)*100)</f>
        <v>30.868814729574222</v>
      </c>
      <c r="U350">
        <f>IF('исходные данные'!U350&gt;'минимумы и максимумы'!S$10,100,('исходные данные'!U350-'минимумы и максимумы'!S$9)/('минимумы и максимумы'!S$10-'минимумы и максимумы'!S$9)*100)</f>
        <v>66.666666666666657</v>
      </c>
    </row>
    <row r="351" spans="1:21" x14ac:dyDescent="0.45">
      <c r="A351" s="4">
        <v>460</v>
      </c>
      <c r="B351" s="4">
        <v>0</v>
      </c>
      <c r="C351" s="4">
        <v>0</v>
      </c>
      <c r="D351">
        <f>IF('исходные данные'!D351&gt;'минимумы и максимумы'!B$10,100,('исходные данные'!D351-'минимумы и максимумы'!B$9)/('минимумы и максимумы'!B$10-'минимумы и максимумы'!B$9)*100)</f>
        <v>11.111111111111111</v>
      </c>
      <c r="E351">
        <f>IF('исходные данные'!E351&gt;'минимумы и максимумы'!C$10,100,('исходные данные'!E351-'минимумы и максимумы'!C$9)/('минимумы и максимумы'!C$10-'минимумы и максимумы'!C$9)*100)</f>
        <v>30</v>
      </c>
      <c r="F351">
        <f>IF('исходные данные'!F351&gt;'минимумы и максимумы'!D$10,100,('исходные данные'!F351-'минимумы и максимумы'!D$9)/('минимумы и максимумы'!D$10-'минимумы и максимумы'!D$9)*100)</f>
        <v>0</v>
      </c>
      <c r="G351">
        <f>IF('исходные данные'!G351&gt;'минимумы и максимумы'!E$10,100,('исходные данные'!G351-'минимумы и максимумы'!E$9)/('минимумы и максимумы'!E$10-'минимумы и максимумы'!E$9)*100)</f>
        <v>37.5</v>
      </c>
      <c r="H351">
        <f>IF('исходные данные'!H351&gt;'минимумы и максимумы'!F$10,100,('исходные данные'!H351-'минимумы и максимумы'!F$9)/('минимумы и максимумы'!F$10-'минимумы и максимумы'!F$9)*100)</f>
        <v>24.137931034482758</v>
      </c>
      <c r="I351">
        <f>IF('исходные данные'!I351&gt;'минимумы и максимумы'!G$10,100,('исходные данные'!I351-'минимумы и максимумы'!G$9)/('минимумы и максимумы'!G$10-'минимумы и максимумы'!G$9)*100)</f>
        <v>11.320754716981133</v>
      </c>
      <c r="J351">
        <f>IF('исходные данные'!J351&gt;'минимумы и максимумы'!H$10,100,('исходные данные'!J351-'минимумы и максимумы'!H$9)/('минимумы и максимумы'!H$10-'минимумы и максимумы'!H$9)*100)</f>
        <v>6.666666666666667</v>
      </c>
      <c r="K351">
        <f>IF('исходные данные'!K351&gt;'минимумы и максимумы'!I$10,100,('исходные данные'!K351-'минимумы и максимумы'!I$9)/('минимумы и максимумы'!I$10-'минимумы и максимумы'!I$9)*100)</f>
        <v>5.5555555555555554</v>
      </c>
      <c r="L351">
        <f>IF('исходные данные'!L351&gt;'минимумы и максимумы'!J$10,100,('исходные данные'!L351-'минимумы и максимумы'!J$9)/('минимумы и максимумы'!J$10-'минимумы и максимумы'!J$9)*100)</f>
        <v>0</v>
      </c>
      <c r="M351">
        <f>IF('исходные данные'!M351&gt;'минимумы и максимумы'!K$10,100,('исходные данные'!M351-'минимумы и максимумы'!K$9)/('минимумы и максимумы'!K$10-'минимумы и максимумы'!K$9)*100)</f>
        <v>50</v>
      </c>
      <c r="N351">
        <f>IF('исходные данные'!N351&gt;'минимумы и максимумы'!L$10,100,('исходные данные'!N351-'минимумы и максимумы'!L$9)/('минимумы и максимумы'!L$10-'минимумы и максимумы'!L$9)*100)</f>
        <v>64.61285881093697</v>
      </c>
      <c r="O351">
        <f>IF('исходные данные'!O351&gt;'минимумы и максимумы'!M$10,100,('исходные данные'!O351-'минимумы и максимумы'!M$9)/('минимумы и максимумы'!M$10-'минимумы и максимумы'!M$9)*100)</f>
        <v>100</v>
      </c>
      <c r="P351">
        <f>IF('исходные данные'!P351&gt;'минимумы и максимумы'!N$10,100,('исходные данные'!P351-'минимумы и максимумы'!N$9)/('минимумы и максимумы'!N$10-'минимумы и максимумы'!N$9)*100)</f>
        <v>0</v>
      </c>
      <c r="Q351">
        <f>IF('исходные данные'!Q351&gt;'минимумы и максимумы'!O$10,100,('исходные данные'!Q351-'минимумы и максимумы'!O$9)/('минимумы и максимумы'!O$10-'минимумы и максимумы'!O$9)*100)</f>
        <v>100</v>
      </c>
      <c r="R351">
        <f>IF('исходные данные'!R351&gt;'минимумы и максимумы'!P$10,100,('исходные данные'!R351-'минимумы и максимумы'!P$9)/('минимумы и максимумы'!P$10-'минимумы и максимумы'!P$9)*100)</f>
        <v>75</v>
      </c>
      <c r="S351">
        <f>IF('исходные данные'!S351&gt;'минимумы и максимумы'!Q$10,100,('исходные данные'!S351-'минимумы и максимумы'!Q$9)/('минимумы и максимумы'!Q$10-'минимумы и максимумы'!Q$9)*100)</f>
        <v>33.333333333333329</v>
      </c>
      <c r="T351">
        <f>IF('исходные данные'!T351&gt;'минимумы и максимумы'!R$10,100,('исходные данные'!T351-'минимумы и максимумы'!R$9)/('минимумы и максимумы'!R$10-'минимумы и максимумы'!R$9)*100)</f>
        <v>38.319907940161102</v>
      </c>
      <c r="U351">
        <f>IF('исходные данные'!U351&gt;'минимумы и максимумы'!S$10,100,('исходные данные'!U351-'минимумы и максимумы'!S$9)/('минимумы и максимумы'!S$10-'минимумы и максимумы'!S$9)*100)</f>
        <v>33.333333333333329</v>
      </c>
    </row>
    <row r="352" spans="1:21" x14ac:dyDescent="0.45">
      <c r="A352" s="4">
        <v>461</v>
      </c>
      <c r="B352" s="4">
        <v>0</v>
      </c>
      <c r="C352" s="4">
        <v>1</v>
      </c>
      <c r="D352">
        <f>IF('исходные данные'!D352&gt;'минимумы и максимумы'!B$10,100,('исходные данные'!D352-'минимумы и максимумы'!B$9)/('минимумы и максимумы'!B$10-'минимумы и максимумы'!B$9)*100)</f>
        <v>0</v>
      </c>
      <c r="E352">
        <f>IF('исходные данные'!E352&gt;'минимумы и максимумы'!C$10,100,('исходные данные'!E352-'минимумы и максимумы'!C$9)/('минимумы и максимумы'!C$10-'минимумы и максимумы'!C$9)*100)</f>
        <v>0</v>
      </c>
      <c r="F352">
        <f>IF('исходные данные'!F352&gt;'минимумы и максимумы'!D$10,100,('исходные данные'!F352-'минимумы и максимумы'!D$9)/('минимумы и максимумы'!D$10-'минимумы и максимумы'!D$9)*100)</f>
        <v>0</v>
      </c>
      <c r="G352">
        <f>IF('исходные данные'!G352&gt;'минимумы и максимумы'!E$10,100,('исходные данные'!G352-'минимумы и максимумы'!E$9)/('минимумы и максимумы'!E$10-'минимумы и максимумы'!E$9)*100)</f>
        <v>12.5</v>
      </c>
      <c r="H352">
        <f>IF('исходные данные'!H352&gt;'минимумы и максимумы'!F$10,100,('исходные данные'!H352-'минимумы и максимумы'!F$9)/('минимумы и максимумы'!F$10-'минимумы и максимумы'!F$9)*100)</f>
        <v>6.8965517241379306</v>
      </c>
      <c r="I352">
        <f>IF('исходные данные'!I352&gt;'минимумы и максимумы'!G$10,100,('исходные данные'!I352-'минимумы и максимумы'!G$9)/('минимумы и максимумы'!G$10-'минимумы и максимумы'!G$9)*100)</f>
        <v>7.5471698113207548</v>
      </c>
      <c r="J352">
        <f>IF('исходные данные'!J352&gt;'минимумы и максимумы'!H$10,100,('исходные данные'!J352-'минимумы и максимумы'!H$9)/('минимумы и максимумы'!H$10-'минимумы и максимумы'!H$9)*100)</f>
        <v>26.666666666666668</v>
      </c>
      <c r="K352">
        <f>IF('исходные данные'!K352&gt;'минимумы и максимумы'!I$10,100,('исходные данные'!K352-'минимумы и максимумы'!I$9)/('минимумы и максимумы'!I$10-'минимумы и максимумы'!I$9)*100)</f>
        <v>11.111111111111111</v>
      </c>
      <c r="L352">
        <f>IF('исходные данные'!L352&gt;'минимумы и максимумы'!J$10,100,('исходные данные'!L352-'минимумы и максимумы'!J$9)/('минимумы и максимумы'!J$10-'минимумы и максимумы'!J$9)*100)</f>
        <v>0</v>
      </c>
      <c r="M352">
        <f>IF('исходные данные'!M352&gt;'минимумы и максимумы'!K$10,100,('исходные данные'!M352-'минимумы и максимумы'!K$9)/('минимумы и максимумы'!K$10-'минимумы и максимумы'!K$9)*100)</f>
        <v>3.5714285714285712</v>
      </c>
      <c r="N352">
        <f>IF('исходные данные'!N352&gt;'минимумы и максимумы'!L$10,100,('исходные данные'!N352-'минимумы и максимумы'!L$9)/('минимумы и максимумы'!L$10-'минимумы и максимумы'!L$9)*100)</f>
        <v>20.520291449959593</v>
      </c>
      <c r="O352">
        <f>IF('исходные данные'!O352&gt;'минимумы и максимумы'!M$10,100,('исходные данные'!O352-'минимумы и максимумы'!M$9)/('минимумы и максимумы'!M$10-'минимумы и максимумы'!M$9)*100)</f>
        <v>66.666666666666657</v>
      </c>
      <c r="P352">
        <f>IF('исходные данные'!P352&gt;'минимумы и максимумы'!N$10,100,('исходные данные'!P352-'минимумы и максимумы'!N$9)/('минимумы и максимумы'!N$10-'минимумы и максимумы'!N$9)*100)</f>
        <v>0</v>
      </c>
      <c r="Q352">
        <f>IF('исходные данные'!Q352&gt;'минимумы и максимумы'!O$10,100,('исходные данные'!Q352-'минимумы и максимумы'!O$9)/('минимумы и максимумы'!O$10-'минимумы и максимумы'!O$9)*100)</f>
        <v>100</v>
      </c>
      <c r="R352">
        <f>IF('исходные данные'!R352&gt;'минимумы и максимумы'!P$10,100,('исходные данные'!R352-'минимумы и максимумы'!P$9)/('минимумы и максимумы'!P$10-'минимумы и максимумы'!P$9)*100)</f>
        <v>75</v>
      </c>
      <c r="S352">
        <f>IF('исходные данные'!S352&gt;'минимумы и максимумы'!Q$10,100,('исходные данные'!S352-'минимумы и максимумы'!Q$9)/('минимумы и максимумы'!Q$10-'минимумы и максимумы'!Q$9)*100)</f>
        <v>83.333333333333343</v>
      </c>
      <c r="T352">
        <f>IF('исходные данные'!T352&gt;'минимумы и максимумы'!R$10,100,('исходные данные'!T352-'минимумы и максимумы'!R$9)/('минимумы и максимумы'!R$10-'минимумы и максимумы'!R$9)*100)</f>
        <v>13.434982738780207</v>
      </c>
      <c r="U352">
        <f>IF('исходные данные'!U352&gt;'минимумы и максимумы'!S$10,100,('исходные данные'!U352-'минимумы и максимумы'!S$9)/('минимумы и максимумы'!S$10-'минимумы и максимумы'!S$9)*100)</f>
        <v>0</v>
      </c>
    </row>
    <row r="353" spans="1:21" x14ac:dyDescent="0.45">
      <c r="A353" s="4">
        <v>462</v>
      </c>
      <c r="B353" s="4">
        <v>0</v>
      </c>
      <c r="C353" s="4">
        <v>0</v>
      </c>
      <c r="D353">
        <f>IF('исходные данные'!D353&gt;'минимумы и максимумы'!B$10,100,('исходные данные'!D353-'минимумы и максимумы'!B$9)/('минимумы и максимумы'!B$10-'минимумы и максимумы'!B$9)*100)</f>
        <v>22.222222222222221</v>
      </c>
      <c r="E353">
        <f>IF('исходные данные'!E353&gt;'минимумы и максимумы'!C$10,100,('исходные данные'!E353-'минимумы и максимумы'!C$9)/('минимумы и максимумы'!C$10-'минимумы и максимумы'!C$9)*100)</f>
        <v>0</v>
      </c>
      <c r="F353">
        <f>IF('исходные данные'!F353&gt;'минимумы и максимумы'!D$10,100,('исходные данные'!F353-'минимумы и максимумы'!D$9)/('минимумы и максимумы'!D$10-'минимумы и максимумы'!D$9)*100)</f>
        <v>66.666666666666657</v>
      </c>
      <c r="G353">
        <f>IF('исходные данные'!G353&gt;'минимумы и максимумы'!E$10,100,('исходные данные'!G353-'минимумы и максимумы'!E$9)/('минимумы и максимумы'!E$10-'минимумы и максимумы'!E$9)*100)</f>
        <v>16.666666666666664</v>
      </c>
      <c r="H353">
        <f>IF('исходные данные'!H353&gt;'минимумы и максимумы'!F$10,100,('исходные данные'!H353-'минимумы и максимумы'!F$9)/('минимумы и максимумы'!F$10-'минимумы и максимумы'!F$9)*100)</f>
        <v>10.344827586206897</v>
      </c>
      <c r="I353">
        <f>IF('исходные данные'!I353&gt;'минимумы и максимумы'!G$10,100,('исходные данные'!I353-'минимумы и максимумы'!G$9)/('минимумы и максимумы'!G$10-'минимумы и максимумы'!G$9)*100)</f>
        <v>39.622641509433961</v>
      </c>
      <c r="J353">
        <f>IF('исходные данные'!J353&gt;'минимумы и максимумы'!H$10,100,('исходные данные'!J353-'минимумы и максимумы'!H$9)/('минимумы и максимумы'!H$10-'минимумы и максимумы'!H$9)*100)</f>
        <v>20</v>
      </c>
      <c r="K353">
        <f>IF('исходные данные'!K353&gt;'минимумы и максимумы'!I$10,100,('исходные данные'!K353-'минимумы и максимумы'!I$9)/('минимумы и максимумы'!I$10-'минимумы и максимумы'!I$9)*100)</f>
        <v>100</v>
      </c>
      <c r="L353">
        <f>IF('исходные данные'!L353&gt;'минимумы и максимумы'!J$10,100,('исходные данные'!L353-'минимумы и максимумы'!J$9)/('минимумы и максимумы'!J$10-'минимумы и максимумы'!J$9)*100)</f>
        <v>14.285714285714285</v>
      </c>
      <c r="M353">
        <f>IF('исходные данные'!M353&gt;'минимумы и максимумы'!K$10,100,('исходные данные'!M353-'минимумы и максимумы'!K$9)/('минимумы и максимумы'!K$10-'минимумы и максимумы'!K$9)*100)</f>
        <v>46.428571428571431</v>
      </c>
      <c r="N353">
        <f>IF('исходные данные'!N353&gt;'минимумы и максимумы'!L$10,100,('исходные данные'!N353-'минимумы и максимумы'!L$9)/('минимумы и максимумы'!L$10-'минимумы и максимумы'!L$9)*100)</f>
        <v>24.478260810066498</v>
      </c>
      <c r="O353">
        <f>IF('исходные данные'!O353&gt;'минимумы и максимумы'!M$10,100,('исходные данные'!O353-'минимумы и максимумы'!M$9)/('минимумы и максимумы'!M$10-'минимумы и максимумы'!M$9)*100)</f>
        <v>66.666666666666657</v>
      </c>
      <c r="P353">
        <f>IF('исходные данные'!P353&gt;'минимумы и максимумы'!N$10,100,('исходные данные'!P353-'минимумы и максимумы'!N$9)/('минимумы и максимумы'!N$10-'минимумы и максимумы'!N$9)*100)</f>
        <v>0</v>
      </c>
      <c r="Q353">
        <f>IF('исходные данные'!Q353&gt;'минимумы и максимумы'!O$10,100,('исходные данные'!Q353-'минимумы и максимумы'!O$9)/('минимумы и максимумы'!O$10-'минимумы и максимумы'!O$9)*100)</f>
        <v>100</v>
      </c>
      <c r="R353">
        <f>IF('исходные данные'!R353&gt;'минимумы и максимумы'!P$10,100,('исходные данные'!R353-'минимумы и максимумы'!P$9)/('минимумы и максимумы'!P$10-'минимумы и максимумы'!P$9)*100)</f>
        <v>75</v>
      </c>
      <c r="S353">
        <f>IF('исходные данные'!S353&gt;'минимумы и максимумы'!Q$10,100,('исходные данные'!S353-'минимумы и максимумы'!Q$9)/('минимумы и максимумы'!Q$10-'минимумы и максимумы'!Q$9)*100)</f>
        <v>16.666666666666664</v>
      </c>
      <c r="T353">
        <f>IF('исходные данные'!T353&gt;'минимумы и максимумы'!R$10,100,('исходные данные'!T353-'минимумы и максимумы'!R$9)/('минимумы и максимумы'!R$10-'минимумы и максимумы'!R$9)*100)</f>
        <v>14.211737629459147</v>
      </c>
      <c r="U353">
        <f>IF('исходные данные'!U353&gt;'минимумы и максимумы'!S$10,100,('исходные данные'!U353-'минимумы и максимумы'!S$9)/('минимумы и максимумы'!S$10-'минимумы и максимумы'!S$9)*100)</f>
        <v>33.333333333333329</v>
      </c>
    </row>
    <row r="354" spans="1:21" x14ac:dyDescent="0.45">
      <c r="A354" s="4">
        <v>465</v>
      </c>
      <c r="B354" s="4">
        <v>0</v>
      </c>
      <c r="C354" s="4">
        <v>0</v>
      </c>
      <c r="D354">
        <f>IF('исходные данные'!D354&gt;'минимумы и максимумы'!B$10,100,('исходные данные'!D354-'минимумы и максимумы'!B$9)/('минимумы и максимумы'!B$10-'минимумы и максимумы'!B$9)*100)</f>
        <v>11.111111111111111</v>
      </c>
      <c r="E354">
        <f>IF('исходные данные'!E354&gt;'минимумы и максимумы'!C$10,100,('исходные данные'!E354-'минимумы и максимумы'!C$9)/('минимумы и максимумы'!C$10-'минимумы и максимумы'!C$9)*100)</f>
        <v>0</v>
      </c>
      <c r="F354">
        <f>IF('исходные данные'!F354&gt;'минимумы и максимумы'!D$10,100,('исходные данные'!F354-'минимумы и максимумы'!D$9)/('минимумы и максимумы'!D$10-'минимумы и максимумы'!D$9)*100)</f>
        <v>66.666666666666657</v>
      </c>
      <c r="G354">
        <f>IF('исходные данные'!G354&gt;'минимумы и максимумы'!E$10,100,('исходные данные'!G354-'минимумы и максимумы'!E$9)/('минимумы и максимумы'!E$10-'минимумы и максимумы'!E$9)*100)</f>
        <v>12.5</v>
      </c>
      <c r="H354">
        <f>IF('исходные данные'!H354&gt;'минимумы и максимумы'!F$10,100,('исходные данные'!H354-'минимумы и максимумы'!F$9)/('минимумы и максимумы'!F$10-'минимумы и максимумы'!F$9)*100)</f>
        <v>17.241379310344829</v>
      </c>
      <c r="I354">
        <f>IF('исходные данные'!I354&gt;'минимумы и максимумы'!G$10,100,('исходные данные'!I354-'минимумы и максимумы'!G$9)/('минимумы и максимумы'!G$10-'минимумы и максимумы'!G$9)*100)</f>
        <v>24.528301886792452</v>
      </c>
      <c r="J354">
        <f>IF('исходные данные'!J354&gt;'минимумы и максимумы'!H$10,100,('исходные данные'!J354-'минимумы и максимумы'!H$9)/('минимумы и максимумы'!H$10-'минимумы и максимумы'!H$9)*100)</f>
        <v>6.666666666666667</v>
      </c>
      <c r="K354">
        <f>IF('исходные данные'!K354&gt;'минимумы и максимумы'!I$10,100,('исходные данные'!K354-'минимумы и максимумы'!I$9)/('минимумы и максимумы'!I$10-'минимумы и максимумы'!I$9)*100)</f>
        <v>100</v>
      </c>
      <c r="L354">
        <f>IF('исходные данные'!L354&gt;'минимумы и максимумы'!J$10,100,('исходные данные'!L354-'минимумы и максимумы'!J$9)/('минимумы и максимумы'!J$10-'минимумы и максимумы'!J$9)*100)</f>
        <v>0</v>
      </c>
      <c r="M354">
        <f>IF('исходные данные'!M354&gt;'минимумы и максимумы'!K$10,100,('исходные данные'!M354-'минимумы и максимумы'!K$9)/('минимумы и максимумы'!K$10-'минимумы и максимумы'!K$9)*100)</f>
        <v>10.714285714285714</v>
      </c>
      <c r="N354">
        <f>IF('исходные данные'!N354&gt;'минимумы и максимумы'!L$10,100,('исходные данные'!N354-'минимумы и максимумы'!L$9)/('минимумы и максимумы'!L$10-'минимумы и максимумы'!L$9)*100)</f>
        <v>26.719029900334306</v>
      </c>
      <c r="O354">
        <f>IF('исходные данные'!O354&gt;'минимумы и максимумы'!M$10,100,('исходные данные'!O354-'минимумы и максимумы'!M$9)/('минимумы и максимумы'!M$10-'минимумы и максимумы'!M$9)*100)</f>
        <v>66.666666666666657</v>
      </c>
      <c r="P354">
        <f>IF('исходные данные'!P354&gt;'минимумы и максимумы'!N$10,100,('исходные данные'!P354-'минимумы и максимумы'!N$9)/('минимумы и максимумы'!N$10-'минимумы и максимумы'!N$9)*100)</f>
        <v>0</v>
      </c>
      <c r="Q354">
        <f>IF('исходные данные'!Q354&gt;'минимумы и максимумы'!O$10,100,('исходные данные'!Q354-'минимумы и максимумы'!O$9)/('минимумы и максимумы'!O$10-'минимумы и максимумы'!O$9)*100)</f>
        <v>0</v>
      </c>
      <c r="R354">
        <f>IF('исходные данные'!R354&gt;'минимумы и максимумы'!P$10,100,('исходные данные'!R354-'минимумы и максимумы'!P$9)/('минимумы и максимумы'!P$10-'минимумы и максимумы'!P$9)*100)</f>
        <v>25</v>
      </c>
      <c r="S354">
        <f>IF('исходные данные'!S354&gt;'минимумы и максимумы'!Q$10,100,('исходные данные'!S354-'минимумы и максимумы'!Q$9)/('минимумы и максимумы'!Q$10-'минимумы и максимумы'!Q$9)*100)</f>
        <v>66.666666666666657</v>
      </c>
      <c r="T354">
        <f>IF('исходные данные'!T354&gt;'минимумы и максимумы'!R$10,100,('исходные данные'!T354-'минимумы и максимумы'!R$9)/('минимумы и максимумы'!R$10-'минимумы и максимумы'!R$9)*100)</f>
        <v>51.985040276179518</v>
      </c>
      <c r="U354">
        <f>IF('исходные данные'!U354&gt;'минимумы и максимумы'!S$10,100,('исходные данные'!U354-'минимумы и максимумы'!S$9)/('минимумы и максимумы'!S$10-'минимумы и максимумы'!S$9)*100)</f>
        <v>0</v>
      </c>
    </row>
    <row r="355" spans="1:21" x14ac:dyDescent="0.45">
      <c r="A355" s="4">
        <v>467</v>
      </c>
      <c r="B355" s="4">
        <v>0</v>
      </c>
      <c r="C355" s="4">
        <v>0</v>
      </c>
      <c r="D355">
        <f>IF('исходные данные'!D355&gt;'минимумы и максимумы'!B$10,100,('исходные данные'!D355-'минимумы и максимумы'!B$9)/('минимумы и максимумы'!B$10-'минимумы и максимумы'!B$9)*100)</f>
        <v>22.222222222222221</v>
      </c>
      <c r="E355">
        <f>IF('исходные данные'!E355&gt;'минимумы и максимумы'!C$10,100,('исходные данные'!E355-'минимумы и максимумы'!C$9)/('минимумы и максимумы'!C$10-'минимумы и максимумы'!C$9)*100)</f>
        <v>20</v>
      </c>
      <c r="F355">
        <f>IF('исходные данные'!F355&gt;'минимумы и максимумы'!D$10,100,('исходные данные'!F355-'минимумы и максимумы'!D$9)/('минимумы и максимумы'!D$10-'минимумы и максимумы'!D$9)*100)</f>
        <v>0</v>
      </c>
      <c r="G355">
        <f>IF('исходные данные'!G355&gt;'минимумы и максимумы'!E$10,100,('исходные данные'!G355-'минимумы и максимумы'!E$9)/('минимумы и максимумы'!E$10-'минимумы и максимумы'!E$9)*100)</f>
        <v>58.333333333333336</v>
      </c>
      <c r="H355">
        <f>IF('исходные данные'!H355&gt;'минимумы и максимумы'!F$10,100,('исходные данные'!H355-'минимумы и максимумы'!F$9)/('минимумы и максимумы'!F$10-'минимумы и максимумы'!F$9)*100)</f>
        <v>37.931034482758619</v>
      </c>
      <c r="I355">
        <f>IF('исходные данные'!I355&gt;'минимумы и максимумы'!G$10,100,('исходные данные'!I355-'минимумы и максимумы'!G$9)/('минимумы и максимумы'!G$10-'минимумы и максимумы'!G$9)*100)</f>
        <v>64.15094339622641</v>
      </c>
      <c r="J355">
        <f>IF('исходные данные'!J355&gt;'минимумы и максимумы'!H$10,100,('исходные данные'!J355-'минимумы и максимумы'!H$9)/('минимумы и максимумы'!H$10-'минимумы и максимумы'!H$9)*100)</f>
        <v>6.666666666666667</v>
      </c>
      <c r="K355">
        <f>IF('исходные данные'!K355&gt;'минимумы и максимумы'!I$10,100,('исходные данные'!K355-'минимумы и максимумы'!I$9)/('минимумы и максимумы'!I$10-'минимумы и максимумы'!I$9)*100)</f>
        <v>100</v>
      </c>
      <c r="L355">
        <f>IF('исходные данные'!L355&gt;'минимумы и максимумы'!J$10,100,('исходные данные'!L355-'минимумы и максимумы'!J$9)/('минимумы и максимумы'!J$10-'минимумы и максимумы'!J$9)*100)</f>
        <v>21.428571428571427</v>
      </c>
      <c r="M355">
        <f>IF('исходные данные'!M355&gt;'минимумы и максимумы'!K$10,100,('исходные данные'!M355-'минимумы и максимумы'!K$9)/('минимумы и максимумы'!K$10-'минимумы и максимумы'!K$9)*100)</f>
        <v>42.857142857142854</v>
      </c>
      <c r="N355">
        <f>IF('исходные данные'!N355&gt;'минимумы и максимумы'!L$10,100,('исходные данные'!N355-'минимумы и максимумы'!L$9)/('минимумы и максимумы'!L$10-'минимумы и максимумы'!L$9)*100)</f>
        <v>27.073032296468387</v>
      </c>
      <c r="O355">
        <f>IF('исходные данные'!O355&gt;'минимумы и максимумы'!M$10,100,('исходные данные'!O355-'минимумы и максимумы'!M$9)/('минимумы и максимумы'!M$10-'минимумы и максимумы'!M$9)*100)</f>
        <v>66.666666666666657</v>
      </c>
      <c r="P355">
        <f>IF('исходные данные'!P355&gt;'минимумы и максимумы'!N$10,100,('исходные данные'!P355-'минимумы и максимумы'!N$9)/('минимумы и максимумы'!N$10-'минимумы и максимумы'!N$9)*100)</f>
        <v>0</v>
      </c>
      <c r="Q355">
        <f>IF('исходные данные'!Q355&gt;'минимумы и максимумы'!O$10,100,('исходные данные'!Q355-'минимумы и максимумы'!O$9)/('минимумы и максимумы'!O$10-'минимумы и максимумы'!O$9)*100)</f>
        <v>0</v>
      </c>
      <c r="R355">
        <f>IF('исходные данные'!R355&gt;'минимумы и максимумы'!P$10,100,('исходные данные'!R355-'минимумы и максимумы'!P$9)/('минимумы и максимумы'!P$10-'минимумы и максимумы'!P$9)*100)</f>
        <v>75</v>
      </c>
      <c r="S355">
        <f>IF('исходные данные'!S355&gt;'минимумы и максимумы'!Q$10,100,('исходные данные'!S355-'минимумы и максимумы'!Q$9)/('минимумы и максимумы'!Q$10-'минимумы и максимумы'!Q$9)*100)</f>
        <v>33.333333333333329</v>
      </c>
      <c r="T355">
        <f>IF('исходные данные'!T355&gt;'минимумы и максимумы'!R$10,100,('исходные данные'!T355-'минимумы и максимумы'!R$9)/('минимумы и максимумы'!R$10-'минимумы и максимумы'!R$9)*100)</f>
        <v>5.178365937859609</v>
      </c>
      <c r="U355">
        <f>IF('исходные данные'!U355&gt;'минимумы и максимумы'!S$10,100,('исходные данные'!U355-'минимумы и максимумы'!S$9)/('минимумы и максимумы'!S$10-'минимумы и максимумы'!S$9)*100)</f>
        <v>0</v>
      </c>
    </row>
    <row r="356" spans="1:21" x14ac:dyDescent="0.45">
      <c r="A356" s="4">
        <v>468</v>
      </c>
      <c r="B356" s="4">
        <v>0</v>
      </c>
      <c r="C356" s="4">
        <v>1</v>
      </c>
      <c r="D356">
        <f>IF('исходные данные'!D356&gt;'минимумы и максимумы'!B$10,100,('исходные данные'!D356-'минимумы и максимумы'!B$9)/('минимумы и максимумы'!B$10-'минимумы и максимумы'!B$9)*100)</f>
        <v>0</v>
      </c>
      <c r="E356">
        <f>IF('исходные данные'!E356&gt;'минимумы и максимумы'!C$10,100,('исходные данные'!E356-'минимумы и максимумы'!C$9)/('минимумы и максимумы'!C$10-'минимумы и максимумы'!C$9)*100)</f>
        <v>0</v>
      </c>
      <c r="F356">
        <f>IF('исходные данные'!F356&gt;'минимумы и максимумы'!D$10,100,('исходные данные'!F356-'минимумы и максимумы'!D$9)/('минимумы и максимумы'!D$10-'минимумы и максимумы'!D$9)*100)</f>
        <v>0</v>
      </c>
      <c r="G356">
        <f>IF('исходные данные'!G356&gt;'минимумы и максимумы'!E$10,100,('исходные данные'!G356-'минимумы и максимумы'!E$9)/('минимумы и максимумы'!E$10-'минимумы и максимумы'!E$9)*100)</f>
        <v>0</v>
      </c>
      <c r="H356">
        <f>IF('исходные данные'!H356&gt;'минимумы и максимумы'!F$10,100,('исходные данные'!H356-'минимумы и максимумы'!F$9)/('минимумы и максимумы'!F$10-'минимумы и максимумы'!F$9)*100)</f>
        <v>0</v>
      </c>
      <c r="I356">
        <f>IF('исходные данные'!I356&gt;'минимумы и максимумы'!G$10,100,('исходные данные'!I356-'минимумы и максимумы'!G$9)/('минимумы и максимумы'!G$10-'минимумы и максимумы'!G$9)*100)</f>
        <v>3.7735849056603774</v>
      </c>
      <c r="J356">
        <f>IF('исходные данные'!J356&gt;'минимумы и максимумы'!H$10,100,('исходные данные'!J356-'минимумы и максимумы'!H$9)/('минимумы и максимумы'!H$10-'минимумы и максимумы'!H$9)*100)</f>
        <v>0</v>
      </c>
      <c r="K356">
        <f>IF('исходные данные'!K356&gt;'минимумы и максимумы'!I$10,100,('исходные данные'!K356-'минимумы и максимумы'!I$9)/('минимумы и максимумы'!I$10-'минимумы и максимумы'!I$9)*100)</f>
        <v>0</v>
      </c>
      <c r="L356">
        <f>IF('исходные данные'!L356&gt;'минимумы и максимумы'!J$10,100,('исходные данные'!L356-'минимумы и максимумы'!J$9)/('минимумы и максимумы'!J$10-'минимумы и максимумы'!J$9)*100)</f>
        <v>0</v>
      </c>
      <c r="M356">
        <f>IF('исходные данные'!M356&gt;'минимумы и максимумы'!K$10,100,('исходные данные'!M356-'минимумы и максимумы'!K$9)/('минимумы и максимумы'!K$10-'минимумы и максимумы'!K$9)*100)</f>
        <v>3.5714285714285712</v>
      </c>
      <c r="N356">
        <f>IF('исходные данные'!N356&gt;'минимумы и максимумы'!L$10,100,('исходные данные'!N356-'минимумы и максимумы'!L$9)/('минимумы и максимумы'!L$10-'минимумы и максимумы'!L$9)*100)</f>
        <v>26.242456899848836</v>
      </c>
      <c r="O356">
        <f>IF('исходные данные'!O356&gt;'минимумы и максимумы'!M$10,100,('исходные данные'!O356-'минимумы и максимумы'!M$9)/('минимумы и максимумы'!M$10-'минимумы и максимумы'!M$9)*100)</f>
        <v>0</v>
      </c>
      <c r="P356">
        <f>IF('исходные данные'!P356&gt;'минимумы и максимумы'!N$10,100,('исходные данные'!P356-'минимумы и максимумы'!N$9)/('минимумы и максимумы'!N$10-'минимумы и максимумы'!N$9)*100)</f>
        <v>0</v>
      </c>
      <c r="Q356">
        <f>IF('исходные данные'!Q356&gt;'минимумы и максимумы'!O$10,100,('исходные данные'!Q356-'минимумы и максимумы'!O$9)/('минимумы и максимумы'!O$10-'минимумы и максимумы'!O$9)*100)</f>
        <v>0</v>
      </c>
      <c r="R356">
        <f>IF('исходные данные'!R356&gt;'минимумы и максимумы'!P$10,100,('исходные данные'!R356-'минимумы и максимумы'!P$9)/('минимумы и максимумы'!P$10-'минимумы и максимумы'!P$9)*100)</f>
        <v>25</v>
      </c>
      <c r="S356">
        <f>IF('исходные данные'!S356&gt;'минимумы и максимумы'!Q$10,100,('исходные данные'!S356-'минимумы и максимумы'!Q$9)/('минимумы и максимумы'!Q$10-'минимумы и максимумы'!Q$9)*100)</f>
        <v>16.666666666666664</v>
      </c>
      <c r="T356">
        <f>IF('исходные данные'!T356&gt;'минимумы и максимумы'!R$10,100,('исходные данные'!T356-'минимумы и максимумы'!R$9)/('минимумы и максимумы'!R$10-'минимумы и максимумы'!R$9)*100)</f>
        <v>12.802071346375143</v>
      </c>
      <c r="U356">
        <f>IF('исходные данные'!U356&gt;'минимумы и максимумы'!S$10,100,('исходные данные'!U356-'минимумы и максимумы'!S$9)/('минимумы и максимумы'!S$10-'минимумы и максимумы'!S$9)*100)</f>
        <v>0</v>
      </c>
    </row>
    <row r="357" spans="1:21" x14ac:dyDescent="0.45">
      <c r="A357" s="4">
        <v>469</v>
      </c>
      <c r="B357" s="4">
        <v>0</v>
      </c>
      <c r="C357" s="4">
        <v>1</v>
      </c>
      <c r="D357">
        <f>IF('исходные данные'!D357&gt;'минимумы и максимумы'!B$10,100,('исходные данные'!D357-'минимумы и максимумы'!B$9)/('минимумы и максимумы'!B$10-'минимумы и максимумы'!B$9)*100)</f>
        <v>0</v>
      </c>
      <c r="E357">
        <f>IF('исходные данные'!E357&gt;'минимумы и максимумы'!C$10,100,('исходные данные'!E357-'минимумы и максимумы'!C$9)/('минимумы и максимумы'!C$10-'минимумы и максимумы'!C$9)*100)</f>
        <v>0</v>
      </c>
      <c r="F357">
        <f>IF('исходные данные'!F357&gt;'минимумы и максимумы'!D$10,100,('исходные данные'!F357-'минимумы и максимумы'!D$9)/('минимумы и максимумы'!D$10-'минимумы и максимумы'!D$9)*100)</f>
        <v>0</v>
      </c>
      <c r="G357">
        <f>IF('исходные данные'!G357&gt;'минимумы и максимумы'!E$10,100,('исходные данные'!G357-'минимумы и максимумы'!E$9)/('минимумы и максимумы'!E$10-'минимумы и максимумы'!E$9)*100)</f>
        <v>0</v>
      </c>
      <c r="H357">
        <f>IF('исходные данные'!H357&gt;'минимумы и максимумы'!F$10,100,('исходные данные'!H357-'минимумы и максимумы'!F$9)/('минимумы и максимумы'!F$10-'минимумы и максимумы'!F$9)*100)</f>
        <v>0</v>
      </c>
      <c r="I357">
        <f>IF('исходные данные'!I357&gt;'минимумы и максимумы'!G$10,100,('исходные данные'!I357-'минимумы и максимумы'!G$9)/('минимумы и максимумы'!G$10-'минимумы и максимумы'!G$9)*100)</f>
        <v>3.7735849056603774</v>
      </c>
      <c r="J357">
        <f>IF('исходные данные'!J357&gt;'минимумы и максимумы'!H$10,100,('исходные данные'!J357-'минимумы и максимумы'!H$9)/('минимумы и максимумы'!H$10-'минимумы и максимумы'!H$9)*100)</f>
        <v>0</v>
      </c>
      <c r="K357">
        <f>IF('исходные данные'!K357&gt;'минимумы и максимумы'!I$10,100,('исходные данные'!K357-'минимумы и максимумы'!I$9)/('минимумы и максимумы'!I$10-'минимумы и максимумы'!I$9)*100)</f>
        <v>0</v>
      </c>
      <c r="L357">
        <f>IF('исходные данные'!L357&gt;'минимумы и максимумы'!J$10,100,('исходные данные'!L357-'минимумы и максимумы'!J$9)/('минимумы и максимумы'!J$10-'минимумы и максимумы'!J$9)*100)</f>
        <v>0</v>
      </c>
      <c r="M357">
        <f>IF('исходные данные'!M357&gt;'минимумы и максимумы'!K$10,100,('исходные данные'!M357-'минимумы и максимумы'!K$9)/('минимумы и максимумы'!K$10-'минимумы и максимумы'!K$9)*100)</f>
        <v>3.5714285714285712</v>
      </c>
      <c r="N357">
        <f>IF('исходные данные'!N357&gt;'минимумы и максимумы'!L$10,100,('исходные данные'!N357-'минимумы и максимумы'!L$9)/('минимумы и максимумы'!L$10-'минимумы и максимумы'!L$9)*100)</f>
        <v>25.924965986583793</v>
      </c>
      <c r="O357">
        <f>IF('исходные данные'!O357&gt;'минимумы и максимумы'!M$10,100,('исходные данные'!O357-'минимумы и максимумы'!M$9)/('минимумы и максимумы'!M$10-'минимумы и максимумы'!M$9)*100)</f>
        <v>0</v>
      </c>
      <c r="P357">
        <f>IF('исходные данные'!P357&gt;'минимумы и максимумы'!N$10,100,('исходные данные'!P357-'минимумы и максимумы'!N$9)/('минимумы и максимумы'!N$10-'минимумы и максимумы'!N$9)*100)</f>
        <v>0</v>
      </c>
      <c r="Q357">
        <f>IF('исходные данные'!Q357&gt;'минимумы и максимумы'!O$10,100,('исходные данные'!Q357-'минимумы и максимумы'!O$9)/('минимумы и максимумы'!O$10-'минимумы и максимумы'!O$9)*100)</f>
        <v>0</v>
      </c>
      <c r="R357">
        <f>IF('исходные данные'!R357&gt;'минимумы и максимумы'!P$10,100,('исходные данные'!R357-'минимумы и максимумы'!P$9)/('минимумы и максимумы'!P$10-'минимумы и максимумы'!P$9)*100)</f>
        <v>25</v>
      </c>
      <c r="S357">
        <f>IF('исходные данные'!S357&gt;'минимумы и максимумы'!Q$10,100,('исходные данные'!S357-'минимумы и максимумы'!Q$9)/('минимумы и максимумы'!Q$10-'минимумы и максимумы'!Q$9)*100)</f>
        <v>16.666666666666664</v>
      </c>
      <c r="T357">
        <f>IF('исходные данные'!T357&gt;'минимумы и максимумы'!R$10,100,('исходные данные'!T357-'минимумы и максимумы'!R$9)/('минимумы и максимумы'!R$10-'минимумы и максимумы'!R$9)*100)</f>
        <v>10.989643268124281</v>
      </c>
      <c r="U357">
        <f>IF('исходные данные'!U357&gt;'минимумы и максимумы'!S$10,100,('исходные данные'!U357-'минимумы и максимумы'!S$9)/('минимумы и максимумы'!S$10-'минимумы и максимумы'!S$9)*100)</f>
        <v>0</v>
      </c>
    </row>
    <row r="358" spans="1:21" x14ac:dyDescent="0.45">
      <c r="A358" s="4">
        <v>470</v>
      </c>
      <c r="B358" s="4">
        <v>0</v>
      </c>
      <c r="C358" s="4">
        <v>1</v>
      </c>
      <c r="D358">
        <f>IF('исходные данные'!D358&gt;'минимумы и максимумы'!B$10,100,('исходные данные'!D358-'минимумы и максимумы'!B$9)/('минимумы и максимумы'!B$10-'минимумы и максимумы'!B$9)*100)</f>
        <v>0</v>
      </c>
      <c r="E358">
        <f>IF('исходные данные'!E358&gt;'минимумы и максимумы'!C$10,100,('исходные данные'!E358-'минимумы и максимумы'!C$9)/('минимумы и максимумы'!C$10-'минимумы и максимумы'!C$9)*100)</f>
        <v>0</v>
      </c>
      <c r="F358">
        <f>IF('исходные данные'!F358&gt;'минимумы и максимумы'!D$10,100,('исходные данные'!F358-'минимумы и максимумы'!D$9)/('минимумы и максимумы'!D$10-'минимумы и максимумы'!D$9)*100)</f>
        <v>0</v>
      </c>
      <c r="G358">
        <f>IF('исходные данные'!G358&gt;'минимумы и максимумы'!E$10,100,('исходные данные'!G358-'минимумы и максимумы'!E$9)/('минимумы и максимумы'!E$10-'минимумы и максимумы'!E$9)*100)</f>
        <v>0</v>
      </c>
      <c r="H358">
        <f>IF('исходные данные'!H358&gt;'минимумы и максимумы'!F$10,100,('исходные данные'!H358-'минимумы и максимумы'!F$9)/('минимумы и максимумы'!F$10-'минимумы и максимумы'!F$9)*100)</f>
        <v>0</v>
      </c>
      <c r="I358">
        <f>IF('исходные данные'!I358&gt;'минимумы и максимумы'!G$10,100,('исходные данные'!I358-'минимумы и максимумы'!G$9)/('минимумы и максимумы'!G$10-'минимумы и максимумы'!G$9)*100)</f>
        <v>1.8867924528301887</v>
      </c>
      <c r="J358">
        <f>IF('исходные данные'!J358&gt;'минимумы и максимумы'!H$10,100,('исходные данные'!J358-'минимумы и максимумы'!H$9)/('минимумы и максимумы'!H$10-'минимумы и максимумы'!H$9)*100)</f>
        <v>0</v>
      </c>
      <c r="K358">
        <f>IF('исходные данные'!K358&gt;'минимумы и максимумы'!I$10,100,('исходные данные'!K358-'минимумы и максимумы'!I$9)/('минимумы и максимумы'!I$10-'минимумы и максимумы'!I$9)*100)</f>
        <v>0</v>
      </c>
      <c r="L358">
        <f>IF('исходные данные'!L358&gt;'минимумы и максимумы'!J$10,100,('исходные данные'!L358-'минимумы и максимумы'!J$9)/('минимумы и максимумы'!J$10-'минимумы и максимумы'!J$9)*100)</f>
        <v>0</v>
      </c>
      <c r="M358">
        <f>IF('исходные данные'!M358&gt;'минимумы и максимумы'!K$10,100,('исходные данные'!M358-'минимумы и максимумы'!K$9)/('минимумы и максимумы'!K$10-'минимумы и максимумы'!K$9)*100)</f>
        <v>7.1428571428571423</v>
      </c>
      <c r="N358">
        <f>IF('исходные данные'!N358&gt;'минимумы и максимумы'!L$10,100,('исходные данные'!N358-'минимумы и максимумы'!L$9)/('минимумы и максимумы'!L$10-'минимумы и максимумы'!L$9)*100)</f>
        <v>25.825719233093565</v>
      </c>
      <c r="O358">
        <f>IF('исходные данные'!O358&gt;'минимумы и максимумы'!M$10,100,('исходные данные'!O358-'минимумы и максимумы'!M$9)/('минимумы и максимумы'!M$10-'минимумы и максимумы'!M$9)*100)</f>
        <v>0</v>
      </c>
      <c r="P358">
        <f>IF('исходные данные'!P358&gt;'минимумы и максимумы'!N$10,100,('исходные данные'!P358-'минимумы и максимумы'!N$9)/('минимумы и максимумы'!N$10-'минимумы и максимумы'!N$9)*100)</f>
        <v>0</v>
      </c>
      <c r="Q358">
        <f>IF('исходные данные'!Q358&gt;'минимумы и максимумы'!O$10,100,('исходные данные'!Q358-'минимумы и максимумы'!O$9)/('минимумы и максимумы'!O$10-'минимумы и максимумы'!O$9)*100)</f>
        <v>0</v>
      </c>
      <c r="R358">
        <f>IF('исходные данные'!R358&gt;'минимумы и максимумы'!P$10,100,('исходные данные'!R358-'минимумы и максимумы'!P$9)/('минимумы и максимумы'!P$10-'минимумы и максимумы'!P$9)*100)</f>
        <v>25</v>
      </c>
      <c r="S358">
        <f>IF('исходные данные'!S358&gt;'минимумы и максимумы'!Q$10,100,('исходные данные'!S358-'минимумы и максимумы'!Q$9)/('минимумы и максимумы'!Q$10-'минимумы и максимумы'!Q$9)*100)</f>
        <v>16.666666666666664</v>
      </c>
      <c r="T358">
        <f>IF('исходные данные'!T358&gt;'минимумы и максимумы'!R$10,100,('исходные данные'!T358-'минимумы и максимумы'!R$9)/('минимумы и максимумы'!R$10-'минимумы и максимумы'!R$9)*100)</f>
        <v>3.9413118527042581</v>
      </c>
      <c r="U358">
        <f>IF('исходные данные'!U358&gt;'минимумы и максимумы'!S$10,100,('исходные данные'!U358-'минимумы и максимумы'!S$9)/('минимумы и максимумы'!S$10-'минимумы и максимумы'!S$9)*100)</f>
        <v>0</v>
      </c>
    </row>
    <row r="359" spans="1:21" x14ac:dyDescent="0.45">
      <c r="A359" s="4">
        <v>471</v>
      </c>
      <c r="B359" s="4">
        <v>0</v>
      </c>
      <c r="C359" s="4">
        <v>1</v>
      </c>
      <c r="D359">
        <f>IF('исходные данные'!D359&gt;'минимумы и максимумы'!B$10,100,('исходные данные'!D359-'минимумы и максимумы'!B$9)/('минимумы и максимумы'!B$10-'минимумы и максимумы'!B$9)*100)</f>
        <v>0</v>
      </c>
      <c r="E359">
        <f>IF('исходные данные'!E359&gt;'минимумы и максимумы'!C$10,100,('исходные данные'!E359-'минимумы и максимумы'!C$9)/('минимумы и максимумы'!C$10-'минимумы и максимумы'!C$9)*100)</f>
        <v>0</v>
      </c>
      <c r="F359">
        <f>IF('исходные данные'!F359&gt;'минимумы и максимумы'!D$10,100,('исходные данные'!F359-'минимумы и максимумы'!D$9)/('минимумы и максимумы'!D$10-'минимумы и максимумы'!D$9)*100)</f>
        <v>0</v>
      </c>
      <c r="G359">
        <f>IF('исходные данные'!G359&gt;'минимумы и максимумы'!E$10,100,('исходные данные'!G359-'минимумы и максимумы'!E$9)/('минимумы и максимумы'!E$10-'минимумы и максимумы'!E$9)*100)</f>
        <v>0</v>
      </c>
      <c r="H359">
        <f>IF('исходные данные'!H359&gt;'минимумы и максимумы'!F$10,100,('исходные данные'!H359-'минимумы и максимумы'!F$9)/('минимумы и максимумы'!F$10-'минимумы и максимумы'!F$9)*100)</f>
        <v>0</v>
      </c>
      <c r="I359">
        <f>IF('исходные данные'!I359&gt;'минимумы и максимумы'!G$10,100,('исходные данные'!I359-'минимумы и максимумы'!G$9)/('минимумы и максимумы'!G$10-'минимумы и максимумы'!G$9)*100)</f>
        <v>5.6603773584905666</v>
      </c>
      <c r="J359">
        <f>IF('исходные данные'!J359&gt;'минимумы и максимумы'!H$10,100,('исходные данные'!J359-'минимумы и максимумы'!H$9)/('минимумы и максимумы'!H$10-'минимумы и максимумы'!H$9)*100)</f>
        <v>0</v>
      </c>
      <c r="K359">
        <f>IF('исходные данные'!K359&gt;'минимумы и максимумы'!I$10,100,('исходные данные'!K359-'минимумы и максимумы'!I$9)/('минимумы и максимумы'!I$10-'минимумы и максимумы'!I$9)*100)</f>
        <v>5.5555555555555554</v>
      </c>
      <c r="L359">
        <f>IF('исходные данные'!L359&gt;'минимумы и максимумы'!J$10,100,('исходные данные'!L359-'минимумы и максимумы'!J$9)/('минимумы и максимумы'!J$10-'минимумы и максимумы'!J$9)*100)</f>
        <v>0</v>
      </c>
      <c r="M359">
        <f>IF('исходные данные'!M359&gt;'минимумы и максимумы'!K$10,100,('исходные данные'!M359-'минимумы и максимумы'!K$9)/('минимумы и максимумы'!K$10-'минимумы и максимумы'!K$9)*100)</f>
        <v>7.1428571428571423</v>
      </c>
      <c r="N359">
        <f>IF('исходные данные'!N359&gt;'минимумы и максимумы'!L$10,100,('исходные данные'!N359-'минимумы и максимумы'!L$9)/('минимумы и максимумы'!L$10-'минимумы и максимумы'!L$9)*100)</f>
        <v>26.456144715811426</v>
      </c>
      <c r="O359">
        <f>IF('исходные данные'!O359&gt;'минимумы и максимумы'!M$10,100,('исходные данные'!O359-'минимумы и максимумы'!M$9)/('минимумы и максимумы'!M$10-'минимумы и максимумы'!M$9)*100)</f>
        <v>0</v>
      </c>
      <c r="P359">
        <f>IF('исходные данные'!P359&gt;'минимумы и максимумы'!N$10,100,('исходные данные'!P359-'минимумы и максимумы'!N$9)/('минимумы и максимумы'!N$10-'минимумы и максимумы'!N$9)*100)</f>
        <v>0</v>
      </c>
      <c r="Q359">
        <f>IF('исходные данные'!Q359&gt;'минимумы и максимумы'!O$10,100,('исходные данные'!Q359-'минимумы и максимумы'!O$9)/('минимумы и максимумы'!O$10-'минимумы и максимумы'!O$9)*100)</f>
        <v>0</v>
      </c>
      <c r="R359">
        <f>IF('исходные данные'!R359&gt;'минимумы и максимумы'!P$10,100,('исходные данные'!R359-'минимумы и максимумы'!P$9)/('минимумы и максимумы'!P$10-'минимумы и максимумы'!P$9)*100)</f>
        <v>25</v>
      </c>
      <c r="S359">
        <f>IF('исходные данные'!S359&gt;'минимумы и максимумы'!Q$10,100,('исходные данные'!S359-'минимумы и максимумы'!Q$9)/('минимумы и максимумы'!Q$10-'минимумы и максимумы'!Q$9)*100)</f>
        <v>16.666666666666664</v>
      </c>
      <c r="T359">
        <f>IF('исходные данные'!T359&gt;'минимумы и максимумы'!R$10,100,('исходные данные'!T359-'минимумы и максимумы'!R$9)/('минимумы и максимумы'!R$10-'минимумы и максимумы'!R$9)*100)</f>
        <v>19.907940161104719</v>
      </c>
      <c r="U359">
        <f>IF('исходные данные'!U359&gt;'минимумы и максимумы'!S$10,100,('исходные данные'!U359-'минимумы и максимумы'!S$9)/('минимумы и максимумы'!S$10-'минимумы и максимумы'!S$9)*100)</f>
        <v>0</v>
      </c>
    </row>
    <row r="360" spans="1:21" x14ac:dyDescent="0.45">
      <c r="A360" s="4">
        <v>472</v>
      </c>
      <c r="B360" s="4">
        <v>0</v>
      </c>
      <c r="C360" s="4">
        <v>1</v>
      </c>
      <c r="D360">
        <f>IF('исходные данные'!D360&gt;'минимумы и максимумы'!B$10,100,('исходные данные'!D360-'минимумы и максимумы'!B$9)/('минимумы и максимумы'!B$10-'минимумы и максимумы'!B$9)*100)</f>
        <v>0</v>
      </c>
      <c r="E360">
        <f>IF('исходные данные'!E360&gt;'минимумы и максимумы'!C$10,100,('исходные данные'!E360-'минимумы и максимумы'!C$9)/('минимумы и максимумы'!C$10-'минимумы и максимумы'!C$9)*100)</f>
        <v>0</v>
      </c>
      <c r="F360">
        <f>IF('исходные данные'!F360&gt;'минимумы и максимумы'!D$10,100,('исходные данные'!F360-'минимумы и максимумы'!D$9)/('минимумы и максимумы'!D$10-'минимумы и максимумы'!D$9)*100)</f>
        <v>0</v>
      </c>
      <c r="G360">
        <f>IF('исходные данные'!G360&gt;'минимумы и максимумы'!E$10,100,('исходные данные'!G360-'минимумы и максимумы'!E$9)/('минимумы и максимумы'!E$10-'минимумы и максимумы'!E$9)*100)</f>
        <v>0</v>
      </c>
      <c r="H360">
        <f>IF('исходные данные'!H360&gt;'минимумы и максимумы'!F$10,100,('исходные данные'!H360-'минимумы и максимумы'!F$9)/('минимумы и максимумы'!F$10-'минимумы и максимумы'!F$9)*100)</f>
        <v>0</v>
      </c>
      <c r="I360">
        <f>IF('исходные данные'!I360&gt;'минимумы и максимумы'!G$10,100,('исходные данные'!I360-'минимумы и максимумы'!G$9)/('минимумы и максимумы'!G$10-'минимумы и максимумы'!G$9)*100)</f>
        <v>3.7735849056603774</v>
      </c>
      <c r="J360">
        <f>IF('исходные данные'!J360&gt;'минимумы и максимумы'!H$10,100,('исходные данные'!J360-'минимумы и максимумы'!H$9)/('минимумы и максимумы'!H$10-'минимумы и максимумы'!H$9)*100)</f>
        <v>0</v>
      </c>
      <c r="K360">
        <f>IF('исходные данные'!K360&gt;'минимумы и максимумы'!I$10,100,('исходные данные'!K360-'минимумы и максимумы'!I$9)/('минимумы и максимумы'!I$10-'минимумы и максимумы'!I$9)*100)</f>
        <v>5.5555555555555554</v>
      </c>
      <c r="L360">
        <f>IF('исходные данные'!L360&gt;'минимумы и максимумы'!J$10,100,('исходные данные'!L360-'минимумы и максимумы'!J$9)/('минимумы и максимумы'!J$10-'минимумы и максимумы'!J$9)*100)</f>
        <v>0</v>
      </c>
      <c r="M360">
        <f>IF('исходные данные'!M360&gt;'минимумы и максимумы'!K$10,100,('исходные данные'!M360-'минимумы и максимумы'!K$9)/('минимумы и максимумы'!K$10-'минимумы и максимумы'!K$9)*100)</f>
        <v>7.1428571428571423</v>
      </c>
      <c r="N360">
        <f>IF('исходные данные'!N360&gt;'минимумы и максимумы'!L$10,100,('исходные данные'!N360-'минимумы и максимумы'!L$9)/('минимумы и максимумы'!L$10-'минимумы и максимумы'!L$9)*100)</f>
        <v>26.081688376522621</v>
      </c>
      <c r="O360">
        <f>IF('исходные данные'!O360&gt;'минимумы и максимумы'!M$10,100,('исходные данные'!O360-'минимумы и максимумы'!M$9)/('минимумы и максимумы'!M$10-'минимумы и максимумы'!M$9)*100)</f>
        <v>0</v>
      </c>
      <c r="P360">
        <f>IF('исходные данные'!P360&gt;'минимумы и максимумы'!N$10,100,('исходные данные'!P360-'минимумы и максимумы'!N$9)/('минимумы и максимумы'!N$10-'минимумы и максимумы'!N$9)*100)</f>
        <v>0</v>
      </c>
      <c r="Q360">
        <f>IF('исходные данные'!Q360&gt;'минимумы и максимумы'!O$10,100,('исходные данные'!Q360-'минимумы и максимумы'!O$9)/('минимумы и максимумы'!O$10-'минимумы и максимумы'!O$9)*100)</f>
        <v>0</v>
      </c>
      <c r="R360">
        <f>IF('исходные данные'!R360&gt;'минимумы и максимумы'!P$10,100,('исходные данные'!R360-'минимумы и максимумы'!P$9)/('минимумы и максимумы'!P$10-'минимумы и максимумы'!P$9)*100)</f>
        <v>25</v>
      </c>
      <c r="S360">
        <f>IF('исходные данные'!S360&gt;'минимумы и максимумы'!Q$10,100,('исходные данные'!S360-'минимумы и максимумы'!Q$9)/('минимумы и максимумы'!Q$10-'минимумы и максимумы'!Q$9)*100)</f>
        <v>16.666666666666664</v>
      </c>
      <c r="T360">
        <f>IF('исходные данные'!T360&gt;'минимумы и максимумы'!R$10,100,('исходные данные'!T360-'минимумы и максимумы'!R$9)/('минимумы и максимумы'!R$10-'минимумы и максимумы'!R$9)*100)</f>
        <v>31.271576524741079</v>
      </c>
      <c r="U360">
        <f>IF('исходные данные'!U360&gt;'минимумы и максимумы'!S$10,100,('исходные данные'!U360-'минимумы и максимумы'!S$9)/('минимумы и максимумы'!S$10-'минимумы и максимумы'!S$9)*100)</f>
        <v>0</v>
      </c>
    </row>
    <row r="361" spans="1:21" x14ac:dyDescent="0.45">
      <c r="A361" s="4">
        <v>473</v>
      </c>
      <c r="B361" s="4">
        <v>0</v>
      </c>
      <c r="C361" s="4">
        <v>1</v>
      </c>
      <c r="D361">
        <f>IF('исходные данные'!D361&gt;'минимумы и максимумы'!B$10,100,('исходные данные'!D361-'минимумы и максимумы'!B$9)/('минимумы и максимумы'!B$10-'минимумы и максимумы'!B$9)*100)</f>
        <v>0</v>
      </c>
      <c r="E361">
        <f>IF('исходные данные'!E361&gt;'минимумы и максимумы'!C$10,100,('исходные данные'!E361-'минимумы и максимумы'!C$9)/('минимумы и максимумы'!C$10-'минимумы и максимумы'!C$9)*100)</f>
        <v>0</v>
      </c>
      <c r="F361">
        <f>IF('исходные данные'!F361&gt;'минимумы и максимумы'!D$10,100,('исходные данные'!F361-'минимумы и максимумы'!D$9)/('минимумы и максимумы'!D$10-'минимумы и максимумы'!D$9)*100)</f>
        <v>0</v>
      </c>
      <c r="G361">
        <f>IF('исходные данные'!G361&gt;'минимумы и максимумы'!E$10,100,('исходные данные'!G361-'минимумы и максимумы'!E$9)/('минимумы и максимумы'!E$10-'минимумы и максимумы'!E$9)*100)</f>
        <v>0</v>
      </c>
      <c r="H361">
        <f>IF('исходные данные'!H361&gt;'минимумы и максимумы'!F$10,100,('исходные данные'!H361-'минимумы и максимумы'!F$9)/('минимумы и максимумы'!F$10-'минимумы и максимумы'!F$9)*100)</f>
        <v>0</v>
      </c>
      <c r="I361">
        <f>IF('исходные данные'!I361&gt;'минимумы и максимумы'!G$10,100,('исходные данные'!I361-'минимумы и максимумы'!G$9)/('минимумы и максимумы'!G$10-'минимумы и максимумы'!G$9)*100)</f>
        <v>3.7735849056603774</v>
      </c>
      <c r="J361">
        <f>IF('исходные данные'!J361&gt;'минимумы и максимумы'!H$10,100,('исходные данные'!J361-'минимумы и максимумы'!H$9)/('минимумы и максимумы'!H$10-'минимумы и максимумы'!H$9)*100)</f>
        <v>0</v>
      </c>
      <c r="K361">
        <f>IF('исходные данные'!K361&gt;'минимумы и максимумы'!I$10,100,('исходные данные'!K361-'минимумы и максимумы'!I$9)/('минимумы и максимумы'!I$10-'минимумы и максимумы'!I$9)*100)</f>
        <v>5.5555555555555554</v>
      </c>
      <c r="L361">
        <f>IF('исходные данные'!L361&gt;'минимумы и максимумы'!J$10,100,('исходные данные'!L361-'минимумы и максимумы'!J$9)/('минимумы и максимумы'!J$10-'минимумы и максимумы'!J$9)*100)</f>
        <v>0</v>
      </c>
      <c r="M361">
        <f>IF('исходные данные'!M361&gt;'минимумы и максимумы'!K$10,100,('исходные данные'!M361-'минимумы и максимумы'!K$9)/('минимумы и максимумы'!K$10-'минимумы и максимумы'!K$9)*100)</f>
        <v>7.1428571428571423</v>
      </c>
      <c r="N361">
        <f>IF('исходные данные'!N361&gt;'минимумы и максимумы'!L$10,100,('исходные данные'!N361-'минимумы и максимумы'!L$9)/('минимумы и максимумы'!L$10-'минимумы и максимумы'!L$9)*100)</f>
        <v>26.081688376522621</v>
      </c>
      <c r="O361">
        <f>IF('исходные данные'!O361&gt;'минимумы и максимумы'!M$10,100,('исходные данные'!O361-'минимумы и максимумы'!M$9)/('минимумы и максимумы'!M$10-'минимумы и максимумы'!M$9)*100)</f>
        <v>0</v>
      </c>
      <c r="P361">
        <f>IF('исходные данные'!P361&gt;'минимумы и максимумы'!N$10,100,('исходные данные'!P361-'минимумы и максимумы'!N$9)/('минимумы и максимумы'!N$10-'минимумы и максимумы'!N$9)*100)</f>
        <v>0</v>
      </c>
      <c r="Q361">
        <f>IF('исходные данные'!Q361&gt;'минимумы и максимумы'!O$10,100,('исходные данные'!Q361-'минимумы и максимумы'!O$9)/('минимумы и максимумы'!O$10-'минимумы и максимумы'!O$9)*100)</f>
        <v>0</v>
      </c>
      <c r="R361">
        <f>IF('исходные данные'!R361&gt;'минимумы и максимумы'!P$10,100,('исходные данные'!R361-'минимумы и максимумы'!P$9)/('минимумы и максимумы'!P$10-'минимумы и максимумы'!P$9)*100)</f>
        <v>25</v>
      </c>
      <c r="S361">
        <f>IF('исходные данные'!S361&gt;'минимумы и максимумы'!Q$10,100,('исходные данные'!S361-'минимумы и максимумы'!Q$9)/('минимумы и максимумы'!Q$10-'минимумы и максимумы'!Q$9)*100)</f>
        <v>16.666666666666664</v>
      </c>
      <c r="T361">
        <f>IF('исходные данные'!T361&gt;'минимумы и максимумы'!R$10,100,('исходные данные'!T361-'минимумы и максимумы'!R$9)/('минимумы и максимумы'!R$10-'минимумы и максимумы'!R$9)*100)</f>
        <v>17.635212888377445</v>
      </c>
      <c r="U361">
        <f>IF('исходные данные'!U361&gt;'минимумы и максимумы'!S$10,100,('исходные данные'!U361-'минимумы и максимумы'!S$9)/('минимумы и максимумы'!S$10-'минимумы и максимумы'!S$9)*100)</f>
        <v>0</v>
      </c>
    </row>
    <row r="362" spans="1:21" x14ac:dyDescent="0.45">
      <c r="A362" s="4">
        <v>474</v>
      </c>
      <c r="B362" s="4">
        <v>0</v>
      </c>
      <c r="C362" s="4">
        <v>0</v>
      </c>
      <c r="D362">
        <f>IF('исходные данные'!D362&gt;'минимумы и максимумы'!B$10,100,('исходные данные'!D362-'минимумы и максимумы'!B$9)/('минимумы и максимумы'!B$10-'минимумы и максимумы'!B$9)*100)</f>
        <v>33.333333333333329</v>
      </c>
      <c r="E362">
        <f>IF('исходные данные'!E362&gt;'минимумы и максимумы'!C$10,100,('исходные данные'!E362-'минимумы и максимумы'!C$9)/('минимумы и максимумы'!C$10-'минимумы и максимумы'!C$9)*100)</f>
        <v>80</v>
      </c>
      <c r="F362">
        <f>IF('исходные данные'!F362&gt;'минимумы и максимумы'!D$10,100,('исходные данные'!F362-'минимумы и максимумы'!D$9)/('минимумы и максимумы'!D$10-'минимумы и максимумы'!D$9)*100)</f>
        <v>66.666666666666657</v>
      </c>
      <c r="G362">
        <f>IF('исходные данные'!G362&gt;'минимумы и максимумы'!E$10,100,('исходные данные'!G362-'минимумы и максимумы'!E$9)/('минимумы и максимумы'!E$10-'минимумы и максимумы'!E$9)*100)</f>
        <v>33.333333333333329</v>
      </c>
      <c r="H362">
        <f>IF('исходные данные'!H362&gt;'минимумы и максимумы'!F$10,100,('исходные данные'!H362-'минимумы и максимумы'!F$9)/('минимумы и максимумы'!F$10-'минимумы и максимумы'!F$9)*100)</f>
        <v>51.724137931034484</v>
      </c>
      <c r="I362">
        <f>IF('исходные данные'!I362&gt;'минимумы и максимумы'!G$10,100,('исходные данные'!I362-'минимумы и максимумы'!G$9)/('минимумы и максимумы'!G$10-'минимумы и максимумы'!G$9)*100)</f>
        <v>94.339622641509436</v>
      </c>
      <c r="J362">
        <f>IF('исходные данные'!J362&gt;'минимумы и максимумы'!H$10,100,('исходные данные'!J362-'минимумы и максимумы'!H$9)/('минимумы и максимумы'!H$10-'минимумы и максимумы'!H$9)*100)</f>
        <v>13.333333333333334</v>
      </c>
      <c r="K362">
        <f>IF('исходные данные'!K362&gt;'минимумы и максимумы'!I$10,100,('исходные данные'!K362-'минимумы и максимумы'!I$9)/('минимумы и максимумы'!I$10-'минимумы и максимумы'!I$9)*100)</f>
        <v>33.333333333333329</v>
      </c>
      <c r="L362">
        <f>IF('исходные данные'!L362&gt;'минимумы и максимумы'!J$10,100,('исходные данные'!L362-'минимумы и максимумы'!J$9)/('минимумы и максимумы'!J$10-'минимумы и максимумы'!J$9)*100)</f>
        <v>64.285714285714292</v>
      </c>
      <c r="M362">
        <f>IF('исходные данные'!M362&gt;'минимумы и максимумы'!K$10,100,('исходные данные'!M362-'минимумы и максимумы'!K$9)/('минимумы и максимумы'!K$10-'минимумы и максимумы'!K$9)*100)</f>
        <v>89.285714285714292</v>
      </c>
      <c r="N362">
        <f>IF('исходные данные'!N362&gt;'минимумы и максимумы'!L$10,100,('исходные данные'!N362-'минимумы и максимумы'!L$9)/('минимумы и максимумы'!L$10-'минимумы и максимумы'!L$9)*100)</f>
        <v>32.134259785390725</v>
      </c>
      <c r="O362">
        <f>IF('исходные данные'!O362&gt;'минимумы и максимумы'!M$10,100,('исходные данные'!O362-'минимумы и максимумы'!M$9)/('минимумы и максимумы'!M$10-'минимумы и максимумы'!M$9)*100)</f>
        <v>66.666666666666657</v>
      </c>
      <c r="P362">
        <f>IF('исходные данные'!P362&gt;'минимумы и максимумы'!N$10,100,('исходные данные'!P362-'минимумы и максимумы'!N$9)/('минимумы и максимумы'!N$10-'минимумы и максимумы'!N$9)*100)</f>
        <v>0</v>
      </c>
      <c r="Q362">
        <f>IF('исходные данные'!Q362&gt;'минимумы и максимумы'!O$10,100,('исходные данные'!Q362-'минимумы и максимумы'!O$9)/('минимумы и максимумы'!O$10-'минимумы и максимумы'!O$9)*100)</f>
        <v>100</v>
      </c>
      <c r="R362">
        <f>IF('исходные данные'!R362&gt;'минимумы и максимумы'!P$10,100,('исходные данные'!R362-'минимумы и максимумы'!P$9)/('минимумы и максимумы'!P$10-'минимумы и максимумы'!P$9)*100)</f>
        <v>100</v>
      </c>
      <c r="S362">
        <f>IF('исходные данные'!S362&gt;'минимумы и максимумы'!Q$10,100,('исходные данные'!S362-'минимумы и максимумы'!Q$9)/('минимумы и максимумы'!Q$10-'минимумы и максимумы'!Q$9)*100)</f>
        <v>83.333333333333343</v>
      </c>
      <c r="T362">
        <f>IF('исходные данные'!T362&gt;'минимумы и максимумы'!R$10,100,('исходные данные'!T362-'минимумы и максимумы'!R$9)/('минимумы и максимумы'!R$10-'минимумы и максимумы'!R$9)*100)</f>
        <v>11.104718066743382</v>
      </c>
      <c r="U362">
        <f>IF('исходные данные'!U362&gt;'минимумы и максимумы'!S$10,100,('исходные данные'!U362-'минимумы и максимумы'!S$9)/('минимумы и максимумы'!S$10-'минимумы и максимумы'!S$9)*100)</f>
        <v>0</v>
      </c>
    </row>
    <row r="363" spans="1:21" x14ac:dyDescent="0.45">
      <c r="A363" s="4">
        <v>475</v>
      </c>
      <c r="B363" s="4">
        <v>0</v>
      </c>
      <c r="C363" s="4">
        <v>0</v>
      </c>
      <c r="D363">
        <f>IF('исходные данные'!D363&gt;'минимумы и максимумы'!B$10,100,('исходные данные'!D363-'минимумы и максимумы'!B$9)/('минимумы и максимумы'!B$10-'минимумы и максимумы'!B$9)*100)</f>
        <v>22.222222222222221</v>
      </c>
      <c r="E363">
        <f>IF('исходные данные'!E363&gt;'минимумы и максимумы'!C$10,100,('исходные данные'!E363-'минимумы и максимумы'!C$9)/('минимумы и максимумы'!C$10-'минимумы и максимумы'!C$9)*100)</f>
        <v>100</v>
      </c>
      <c r="F363">
        <f>IF('исходные данные'!F363&gt;'минимумы и максимумы'!D$10,100,('исходные данные'!F363-'минимумы и максимумы'!D$9)/('минимумы и максимумы'!D$10-'минимумы и максимумы'!D$9)*100)</f>
        <v>0</v>
      </c>
      <c r="G363">
        <f>IF('исходные данные'!G363&gt;'минимумы и максимумы'!E$10,100,('исходные данные'!G363-'минимумы и максимумы'!E$9)/('минимумы и максимумы'!E$10-'минимумы и максимумы'!E$9)*100)</f>
        <v>100</v>
      </c>
      <c r="H363">
        <f>IF('исходные данные'!H363&gt;'минимумы и максимумы'!F$10,100,('исходные данные'!H363-'минимумы и максимумы'!F$9)/('минимумы и максимумы'!F$10-'минимумы и максимумы'!F$9)*100)</f>
        <v>86.206896551724128</v>
      </c>
      <c r="I363">
        <f>IF('исходные данные'!I363&gt;'минимумы и максимумы'!G$10,100,('исходные данные'!I363-'минимумы и максимумы'!G$9)/('минимумы и максимумы'!G$10-'минимумы и максимумы'!G$9)*100)</f>
        <v>52.830188679245282</v>
      </c>
      <c r="J363">
        <f>IF('исходные данные'!J363&gt;'минимумы и максимумы'!H$10,100,('исходные данные'!J363-'минимумы и максимумы'!H$9)/('минимумы и максимумы'!H$10-'минимумы и максимумы'!H$9)*100)</f>
        <v>20</v>
      </c>
      <c r="K363">
        <f>IF('исходные данные'!K363&gt;'минимумы и максимумы'!I$10,100,('исходные данные'!K363-'минимумы и максимумы'!I$9)/('минимумы и максимумы'!I$10-'минимумы и максимумы'!I$9)*100)</f>
        <v>16.666666666666664</v>
      </c>
      <c r="L363">
        <f>IF('исходные данные'!L363&gt;'минимумы и максимумы'!J$10,100,('исходные данные'!L363-'минимумы и максимумы'!J$9)/('минимумы и максимумы'!J$10-'минимумы и максимумы'!J$9)*100)</f>
        <v>28.571428571428569</v>
      </c>
      <c r="M363">
        <f>IF('исходные данные'!M363&gt;'минимумы и максимумы'!K$10,100,('исходные данные'!M363-'минимумы и максимумы'!K$9)/('минимумы и максимумы'!K$10-'минимумы и максимумы'!K$9)*100)</f>
        <v>25</v>
      </c>
      <c r="N363">
        <f>IF('исходные данные'!N363&gt;'минимумы и максимумы'!L$10,100,('исходные данные'!N363-'минимумы и максимумы'!L$9)/('минимумы и максимумы'!L$10-'минимумы и максимумы'!L$9)*100)</f>
        <v>19.703002409616584</v>
      </c>
      <c r="O363">
        <f>IF('исходные данные'!O363&gt;'минимумы и максимумы'!M$10,100,('исходные данные'!O363-'минимумы и максимумы'!M$9)/('минимумы и максимумы'!M$10-'минимумы и максимумы'!M$9)*100)</f>
        <v>33.333333333333329</v>
      </c>
      <c r="P363">
        <f>IF('исходные данные'!P363&gt;'минимумы и максимумы'!N$10,100,('исходные данные'!P363-'минимумы и максимумы'!N$9)/('минимумы и максимумы'!N$10-'минимумы и максимумы'!N$9)*100)</f>
        <v>0</v>
      </c>
      <c r="Q363">
        <f>IF('исходные данные'!Q363&gt;'минимумы и максимумы'!O$10,100,('исходные данные'!Q363-'минимумы и максимумы'!O$9)/('минимумы и максимумы'!O$10-'минимумы и максимумы'!O$9)*100)</f>
        <v>100</v>
      </c>
      <c r="R363">
        <f>IF('исходные данные'!R363&gt;'минимумы и максимумы'!P$10,100,('исходные данные'!R363-'минимумы и максимумы'!P$9)/('минимумы и максимумы'!P$10-'минимумы и максимумы'!P$9)*100)</f>
        <v>100</v>
      </c>
      <c r="S363">
        <f>IF('исходные данные'!S363&gt;'минимумы и максимумы'!Q$10,100,('исходные данные'!S363-'минимумы и максимумы'!Q$9)/('минимумы и максимумы'!Q$10-'минимумы и максимумы'!Q$9)*100)</f>
        <v>16.666666666666664</v>
      </c>
      <c r="T363">
        <f>IF('исходные данные'!T363&gt;'минимумы и максимумы'!R$10,100,('исходные данные'!T363-'минимумы и максимумы'!R$9)/('минимумы и максимумы'!R$10-'минимумы и максимумы'!R$9)*100)</f>
        <v>15.046029919447641</v>
      </c>
      <c r="U363">
        <f>IF('исходные данные'!U363&gt;'минимумы и максимумы'!S$10,100,('исходные данные'!U363-'минимумы и максимумы'!S$9)/('минимумы и максимумы'!S$10-'минимумы и максимумы'!S$9)*100)</f>
        <v>0</v>
      </c>
    </row>
    <row r="364" spans="1:21" x14ac:dyDescent="0.45">
      <c r="A364" s="4">
        <v>476</v>
      </c>
      <c r="B364" s="4">
        <v>0</v>
      </c>
      <c r="C364" s="4">
        <v>1</v>
      </c>
      <c r="D364">
        <f>IF('исходные данные'!D364&gt;'минимумы и максимумы'!B$10,100,('исходные данные'!D364-'минимумы и максимумы'!B$9)/('минимумы и максимумы'!B$10-'минимумы и максимумы'!B$9)*100)</f>
        <v>22.222222222222221</v>
      </c>
      <c r="E364">
        <f>IF('исходные данные'!E364&gt;'минимумы и максимумы'!C$10,100,('исходные данные'!E364-'минимумы и максимумы'!C$9)/('минимумы и максимумы'!C$10-'минимумы и максимумы'!C$9)*100)</f>
        <v>100</v>
      </c>
      <c r="F364">
        <f>IF('исходные данные'!F364&gt;'минимумы и максимумы'!D$10,100,('исходные данные'!F364-'минимумы и максимумы'!D$9)/('минимумы и максимумы'!D$10-'минимумы и максимумы'!D$9)*100)</f>
        <v>0</v>
      </c>
      <c r="G364">
        <f>IF('исходные данные'!G364&gt;'минимумы и максимумы'!E$10,100,('исходные данные'!G364-'минимумы и максимумы'!E$9)/('минимумы и максимумы'!E$10-'минимумы и максимумы'!E$9)*100)</f>
        <v>100</v>
      </c>
      <c r="H364">
        <f>IF('исходные данные'!H364&gt;'минимумы и максимумы'!F$10,100,('исходные данные'!H364-'минимумы и максимумы'!F$9)/('минимумы и максимумы'!F$10-'минимумы и максимумы'!F$9)*100)</f>
        <v>86.206896551724128</v>
      </c>
      <c r="I364">
        <f>IF('исходные данные'!I364&gt;'минимумы и максимумы'!G$10,100,('исходные данные'!I364-'минимумы и максимумы'!G$9)/('минимумы и максимумы'!G$10-'минимумы и максимумы'!G$9)*100)</f>
        <v>52.830188679245282</v>
      </c>
      <c r="J364">
        <f>IF('исходные данные'!J364&gt;'минимумы и максимумы'!H$10,100,('исходные данные'!J364-'минимумы и максимумы'!H$9)/('минимумы и максимумы'!H$10-'минимумы и максимумы'!H$9)*100)</f>
        <v>20</v>
      </c>
      <c r="K364">
        <f>IF('исходные данные'!K364&gt;'минимумы и максимумы'!I$10,100,('исходные данные'!K364-'минимумы и максимумы'!I$9)/('минимумы и максимумы'!I$10-'минимумы и максимумы'!I$9)*100)</f>
        <v>16.666666666666664</v>
      </c>
      <c r="L364">
        <f>IF('исходные данные'!L364&gt;'минимумы и максимумы'!J$10,100,('исходные данные'!L364-'минимумы и максимумы'!J$9)/('минимумы и максимумы'!J$10-'минимумы и максимумы'!J$9)*100)</f>
        <v>28.571428571428569</v>
      </c>
      <c r="M364">
        <f>IF('исходные данные'!M364&gt;'минимумы и максимумы'!K$10,100,('исходные данные'!M364-'минимумы и максимумы'!K$9)/('минимумы и максимумы'!K$10-'минимумы и максимумы'!K$9)*100)</f>
        <v>25</v>
      </c>
      <c r="N364">
        <f>IF('исходные данные'!N364&gt;'минимумы и максимумы'!L$10,100,('исходные данные'!N364-'минимумы и максимумы'!L$9)/('минимумы и максимумы'!L$10-'минимумы и максимумы'!L$9)*100)</f>
        <v>19.899872652029789</v>
      </c>
      <c r="O364">
        <f>IF('исходные данные'!O364&gt;'минимумы и максимумы'!M$10,100,('исходные данные'!O364-'минимумы и максимумы'!M$9)/('минимумы и максимумы'!M$10-'минимумы и максимумы'!M$9)*100)</f>
        <v>33.333333333333329</v>
      </c>
      <c r="P364">
        <f>IF('исходные данные'!P364&gt;'минимумы и максимумы'!N$10,100,('исходные данные'!P364-'минимумы и максимумы'!N$9)/('минимумы и максимумы'!N$10-'минимумы и максимумы'!N$9)*100)</f>
        <v>0</v>
      </c>
      <c r="Q364">
        <f>IF('исходные данные'!Q364&gt;'минимумы и максимумы'!O$10,100,('исходные данные'!Q364-'минимумы и максимумы'!O$9)/('минимумы и максимумы'!O$10-'минимумы и максимумы'!O$9)*100)</f>
        <v>0</v>
      </c>
      <c r="R364">
        <f>IF('исходные данные'!R364&gt;'минимумы и максимумы'!P$10,100,('исходные данные'!R364-'минимумы и максимумы'!P$9)/('минимумы и максимумы'!P$10-'минимумы и максимумы'!P$9)*100)</f>
        <v>100</v>
      </c>
      <c r="S364">
        <f>IF('исходные данные'!S364&gt;'минимумы и максимумы'!Q$10,100,('исходные данные'!S364-'минимумы и максимумы'!Q$9)/('минимумы и максимумы'!Q$10-'минимумы и максимумы'!Q$9)*100)</f>
        <v>16.666666666666664</v>
      </c>
      <c r="T364">
        <f>IF('исходные данные'!T364&gt;'минимумы и максимумы'!R$10,100,('исходные данные'!T364-'минимумы и максимумы'!R$9)/('минимумы и максимумы'!R$10-'минимумы и максимумы'!R$9)*100)</f>
        <v>3.1357882623705411</v>
      </c>
      <c r="U364">
        <f>IF('исходные данные'!U364&gt;'минимумы и максимумы'!S$10,100,('исходные данные'!U364-'минимумы и максимумы'!S$9)/('минимумы и максимумы'!S$10-'минимумы и максимумы'!S$9)*100)</f>
        <v>33.333333333333329</v>
      </c>
    </row>
    <row r="365" spans="1:21" x14ac:dyDescent="0.45">
      <c r="A365" s="4">
        <v>477</v>
      </c>
      <c r="B365" s="4">
        <v>0</v>
      </c>
      <c r="C365" s="4">
        <v>0</v>
      </c>
      <c r="D365">
        <f>IF('исходные данные'!D365&gt;'минимумы и максимумы'!B$10,100,('исходные данные'!D365-'минимумы и максимумы'!B$9)/('минимумы и максимумы'!B$10-'минимумы и максимумы'!B$9)*100)</f>
        <v>22.222222222222221</v>
      </c>
      <c r="E365">
        <f>IF('исходные данные'!E365&gt;'минимумы и максимумы'!C$10,100,('исходные данные'!E365-'минимумы и максимумы'!C$9)/('минимумы и максимумы'!C$10-'минимумы и максимумы'!C$9)*100)</f>
        <v>100</v>
      </c>
      <c r="F365">
        <f>IF('исходные данные'!F365&gt;'минимумы и максимумы'!D$10,100,('исходные данные'!F365-'минимумы и максимумы'!D$9)/('минимумы и максимумы'!D$10-'минимумы и максимумы'!D$9)*100)</f>
        <v>0</v>
      </c>
      <c r="G365">
        <f>IF('исходные данные'!G365&gt;'минимумы и максимумы'!E$10,100,('исходные данные'!G365-'минимумы и максимумы'!E$9)/('минимумы и максимумы'!E$10-'минимумы и максимумы'!E$9)*100)</f>
        <v>100</v>
      </c>
      <c r="H365">
        <f>IF('исходные данные'!H365&gt;'минимумы и максимумы'!F$10,100,('исходные данные'!H365-'минимумы и максимумы'!F$9)/('минимумы и максимумы'!F$10-'минимумы и максимумы'!F$9)*100)</f>
        <v>86.206896551724128</v>
      </c>
      <c r="I365">
        <f>IF('исходные данные'!I365&gt;'минимумы и максимумы'!G$10,100,('исходные данные'!I365-'минимумы и максимумы'!G$9)/('минимумы и максимумы'!G$10-'минимумы и максимумы'!G$9)*100)</f>
        <v>52.830188679245282</v>
      </c>
      <c r="J365">
        <f>IF('исходные данные'!J365&gt;'минимумы и максимумы'!H$10,100,('исходные данные'!J365-'минимумы и максимумы'!H$9)/('минимумы и максимумы'!H$10-'минимумы и максимумы'!H$9)*100)</f>
        <v>20</v>
      </c>
      <c r="K365">
        <f>IF('исходные данные'!K365&gt;'минимумы и максимумы'!I$10,100,('исходные данные'!K365-'минимумы и максимумы'!I$9)/('минимумы и максимумы'!I$10-'минимумы и максимумы'!I$9)*100)</f>
        <v>16.666666666666664</v>
      </c>
      <c r="L365">
        <f>IF('исходные данные'!L365&gt;'минимумы и максимумы'!J$10,100,('исходные данные'!L365-'минимумы и максимумы'!J$9)/('минимумы и максимумы'!J$10-'минимумы и максимумы'!J$9)*100)</f>
        <v>28.571428571428569</v>
      </c>
      <c r="M365">
        <f>IF('исходные данные'!M365&gt;'минимумы и максимумы'!K$10,100,('исходные данные'!M365-'минимумы и максимумы'!K$9)/('минимумы и максимумы'!K$10-'минимумы и максимумы'!K$9)*100)</f>
        <v>25</v>
      </c>
      <c r="N365">
        <f>IF('исходные данные'!N365&gt;'минимумы и максимумы'!L$10,100,('исходные данные'!N365-'минимумы и максимумы'!L$9)/('минимумы и максимумы'!L$10-'минимумы и максимумы'!L$9)*100)</f>
        <v>19.899872652029789</v>
      </c>
      <c r="O365">
        <f>IF('исходные данные'!O365&gt;'минимумы и максимумы'!M$10,100,('исходные данные'!O365-'минимумы и максимумы'!M$9)/('минимумы и максимумы'!M$10-'минимумы и максимумы'!M$9)*100)</f>
        <v>33.333333333333329</v>
      </c>
      <c r="P365">
        <f>IF('исходные данные'!P365&gt;'минимумы и максимумы'!N$10,100,('исходные данные'!P365-'минимумы и максимумы'!N$9)/('минимумы и максимумы'!N$10-'минимумы и максимумы'!N$9)*100)</f>
        <v>0</v>
      </c>
      <c r="Q365">
        <f>IF('исходные данные'!Q365&gt;'минимумы и максимумы'!O$10,100,('исходные данные'!Q365-'минимумы и максимумы'!O$9)/('минимумы и максимумы'!O$10-'минимумы и максимумы'!O$9)*100)</f>
        <v>0</v>
      </c>
      <c r="R365">
        <f>IF('исходные данные'!R365&gt;'минимумы и максимумы'!P$10,100,('исходные данные'!R365-'минимумы и максимумы'!P$9)/('минимумы и максимумы'!P$10-'минимумы и максимумы'!P$9)*100)</f>
        <v>100</v>
      </c>
      <c r="S365">
        <f>IF('исходные данные'!S365&gt;'минимумы и максимумы'!Q$10,100,('исходные данные'!S365-'минимумы и максимумы'!Q$9)/('минимумы и максимумы'!Q$10-'минимумы и максимумы'!Q$9)*100)</f>
        <v>33.333333333333329</v>
      </c>
      <c r="T365">
        <f>IF('исходные данные'!T365&gt;'минимумы и максимумы'!R$10,100,('исходные данные'!T365-'минимумы и максимумы'!R$9)/('минимумы и максимумы'!R$10-'минимумы и максимумы'!R$9)*100)</f>
        <v>4.4303797468354427</v>
      </c>
      <c r="U365">
        <f>IF('исходные данные'!U365&gt;'минимумы и максимумы'!S$10,100,('исходные данные'!U365-'минимумы и максимумы'!S$9)/('минимумы и максимумы'!S$10-'минимумы и максимумы'!S$9)*100)</f>
        <v>0</v>
      </c>
    </row>
    <row r="366" spans="1:21" x14ac:dyDescent="0.45">
      <c r="A366" s="4">
        <v>478</v>
      </c>
      <c r="B366" s="4">
        <v>0</v>
      </c>
      <c r="C366" s="4">
        <v>0</v>
      </c>
      <c r="D366">
        <f>IF('исходные данные'!D366&gt;'минимумы и максимумы'!B$10,100,('исходные данные'!D366-'минимумы и максимумы'!B$9)/('минимумы и максимумы'!B$10-'минимумы и максимумы'!B$9)*100)</f>
        <v>0</v>
      </c>
      <c r="E366">
        <f>IF('исходные данные'!E366&gt;'минимумы и максимумы'!C$10,100,('исходные данные'!E366-'минимумы и максимумы'!C$9)/('минимумы и максимумы'!C$10-'минимумы и максимумы'!C$9)*100)</f>
        <v>0</v>
      </c>
      <c r="F366">
        <f>IF('исходные данные'!F366&gt;'минимумы и максимумы'!D$10,100,('исходные данные'!F366-'минимумы и максимумы'!D$9)/('минимумы и максимумы'!D$10-'минимумы и максимумы'!D$9)*100)</f>
        <v>0</v>
      </c>
      <c r="G366">
        <f>IF('исходные данные'!G366&gt;'минимумы и максимумы'!E$10,100,('исходные данные'!G366-'минимумы и максимумы'!E$9)/('минимумы и максимумы'!E$10-'минимумы и максимумы'!E$9)*100)</f>
        <v>0</v>
      </c>
      <c r="H366">
        <f>IF('исходные данные'!H366&gt;'минимумы и максимумы'!F$10,100,('исходные данные'!H366-'минимумы и максимумы'!F$9)/('минимумы и максимумы'!F$10-'минимумы и максимумы'!F$9)*100)</f>
        <v>0</v>
      </c>
      <c r="I366">
        <f>IF('исходные данные'!I366&gt;'минимумы и максимумы'!G$10,100,('исходные данные'!I366-'минимумы и максимумы'!G$9)/('минимумы и максимумы'!G$10-'минимумы и максимумы'!G$9)*100)</f>
        <v>1.8867924528301887</v>
      </c>
      <c r="J366">
        <f>IF('исходные данные'!J366&gt;'минимумы и максимумы'!H$10,100,('исходные данные'!J366-'минимумы и максимумы'!H$9)/('минимумы и максимумы'!H$10-'минимумы и максимумы'!H$9)*100)</f>
        <v>0</v>
      </c>
      <c r="K366">
        <f>IF('исходные данные'!K366&gt;'минимумы и максимумы'!I$10,100,('исходные данные'!K366-'минимумы и максимумы'!I$9)/('минимумы и максимумы'!I$10-'минимумы и максимумы'!I$9)*100)</f>
        <v>0</v>
      </c>
      <c r="L366">
        <f>IF('исходные данные'!L366&gt;'минимумы и максимумы'!J$10,100,('исходные данные'!L366-'минимумы и максимумы'!J$9)/('минимумы и максимумы'!J$10-'минимумы и максимумы'!J$9)*100)</f>
        <v>0</v>
      </c>
      <c r="M366">
        <f>IF('исходные данные'!M366&gt;'минимумы и максимумы'!K$10,100,('исходные данные'!M366-'минимумы и максимумы'!K$9)/('минимумы и максимумы'!K$10-'минимумы и максимумы'!K$9)*100)</f>
        <v>7.1428571428571423</v>
      </c>
      <c r="N366">
        <f>IF('исходные данные'!N366&gt;'минимумы и максимумы'!L$10,100,('исходные данные'!N366-'минимумы и максимумы'!L$9)/('минимумы и максимумы'!L$10-'минимумы и максимумы'!L$9)*100)</f>
        <v>29.544556735718508</v>
      </c>
      <c r="O366">
        <f>IF('исходные данные'!O366&gt;'минимумы и максимумы'!M$10,100,('исходные данные'!O366-'минимумы и максимумы'!M$9)/('минимумы и максимумы'!M$10-'минимумы и максимумы'!M$9)*100)</f>
        <v>33.333333333333329</v>
      </c>
      <c r="P366">
        <f>IF('исходные данные'!P366&gt;'минимумы и максимумы'!N$10,100,('исходные данные'!P366-'минимумы и максимумы'!N$9)/('минимумы и максимумы'!N$10-'минимумы и максимумы'!N$9)*100)</f>
        <v>0</v>
      </c>
      <c r="Q366">
        <f>IF('исходные данные'!Q366&gt;'минимумы и максимумы'!O$10,100,('исходные данные'!Q366-'минимумы и максимумы'!O$9)/('минимумы и максимумы'!O$10-'минимумы и максимумы'!O$9)*100)</f>
        <v>0</v>
      </c>
      <c r="R366">
        <f>IF('исходные данные'!R366&gt;'минимумы и максимумы'!P$10,100,('исходные данные'!R366-'минимумы и максимумы'!P$9)/('минимумы и максимумы'!P$10-'минимумы и максимумы'!P$9)*100)</f>
        <v>100</v>
      </c>
      <c r="S366">
        <f>IF('исходные данные'!S366&gt;'минимумы и максимумы'!Q$10,100,('исходные данные'!S366-'минимумы и максимумы'!Q$9)/('минимумы и максимумы'!Q$10-'минимумы и максимумы'!Q$9)*100)</f>
        <v>16.666666666666664</v>
      </c>
      <c r="T366">
        <f>IF('исходные данные'!T366&gt;'минимумы и максимумы'!R$10,100,('исходные данные'!T366-'минимумы и максимумы'!R$9)/('минимумы и максимумы'!R$10-'минимумы и максимумы'!R$9)*100)</f>
        <v>20.943613348676639</v>
      </c>
      <c r="U366">
        <f>IF('исходные данные'!U366&gt;'минимумы и максимумы'!S$10,100,('исходные данные'!U366-'минимумы и максимумы'!S$9)/('минимумы и максимумы'!S$10-'минимумы и максимумы'!S$9)*100)</f>
        <v>0</v>
      </c>
    </row>
    <row r="367" spans="1:21" x14ac:dyDescent="0.45">
      <c r="A367" s="4">
        <v>479</v>
      </c>
      <c r="B367" s="4">
        <v>0</v>
      </c>
      <c r="C367" s="4">
        <v>0</v>
      </c>
      <c r="D367">
        <f>IF('исходные данные'!D367&gt;'минимумы и максимумы'!B$10,100,('исходные данные'!D367-'минимумы и максимумы'!B$9)/('минимумы и максимумы'!B$10-'минимумы и максимумы'!B$9)*100)</f>
        <v>0</v>
      </c>
      <c r="E367">
        <f>IF('исходные данные'!E367&gt;'минимумы и максимумы'!C$10,100,('исходные данные'!E367-'минимумы и максимумы'!C$9)/('минимумы и максимумы'!C$10-'минимумы и максимумы'!C$9)*100)</f>
        <v>0</v>
      </c>
      <c r="F367">
        <f>IF('исходные данные'!F367&gt;'минимумы и максимумы'!D$10,100,('исходные данные'!F367-'минимумы и максимумы'!D$9)/('минимумы и максимумы'!D$10-'минимумы и максимумы'!D$9)*100)</f>
        <v>0</v>
      </c>
      <c r="G367">
        <f>IF('исходные данные'!G367&gt;'минимумы и максимумы'!E$10,100,('исходные данные'!G367-'минимумы и максимумы'!E$9)/('минимумы и максимумы'!E$10-'минимумы и максимумы'!E$9)*100)</f>
        <v>0</v>
      </c>
      <c r="H367">
        <f>IF('исходные данные'!H367&gt;'минимумы и максимумы'!F$10,100,('исходные данные'!H367-'минимумы и максимумы'!F$9)/('минимумы и максимумы'!F$10-'минимумы и максимумы'!F$9)*100)</f>
        <v>0</v>
      </c>
      <c r="I367">
        <f>IF('исходные данные'!I367&gt;'минимумы и максимумы'!G$10,100,('исходные данные'!I367-'минимумы и максимумы'!G$9)/('минимумы и максимумы'!G$10-'минимумы и максимумы'!G$9)*100)</f>
        <v>5.6603773584905666</v>
      </c>
      <c r="J367">
        <f>IF('исходные данные'!J367&gt;'минимумы и максимумы'!H$10,100,('исходные данные'!J367-'минимумы и максимумы'!H$9)/('минимумы и максимумы'!H$10-'минимумы и максимумы'!H$9)*100)</f>
        <v>0</v>
      </c>
      <c r="K367">
        <f>IF('исходные данные'!K367&gt;'минимумы и максимумы'!I$10,100,('исходные данные'!K367-'минимумы и максимумы'!I$9)/('минимумы и максимумы'!I$10-'минимумы и максимумы'!I$9)*100)</f>
        <v>5.5555555555555554</v>
      </c>
      <c r="L367">
        <f>IF('исходные данные'!L367&gt;'минимумы и максимумы'!J$10,100,('исходные данные'!L367-'минимумы и максимумы'!J$9)/('минимумы и максимумы'!J$10-'минимумы и максимумы'!J$9)*100)</f>
        <v>0</v>
      </c>
      <c r="M367">
        <f>IF('исходные данные'!M367&gt;'минимумы и максимумы'!K$10,100,('исходные данные'!M367-'минимумы и максимумы'!K$9)/('минимумы и максимумы'!K$10-'минимумы и максимумы'!K$9)*100)</f>
        <v>7.1428571428571423</v>
      </c>
      <c r="N367">
        <f>IF('исходные данные'!N367&gt;'минимумы и максимумы'!L$10,100,('исходные данные'!N367-'минимумы и максимумы'!L$9)/('минимумы и максимумы'!L$10-'минимумы и максимумы'!L$9)*100)</f>
        <v>27.018948754734705</v>
      </c>
      <c r="O367">
        <f>IF('исходные данные'!O367&gt;'минимумы и максимумы'!M$10,100,('исходные данные'!O367-'минимумы и максимумы'!M$9)/('минимумы и максимумы'!M$10-'минимумы и максимумы'!M$9)*100)</f>
        <v>66.666666666666657</v>
      </c>
      <c r="P367">
        <f>IF('исходные данные'!P367&gt;'минимумы и максимумы'!N$10,100,('исходные данные'!P367-'минимумы и максимумы'!N$9)/('минимумы и максимумы'!N$10-'минимумы и максимумы'!N$9)*100)</f>
        <v>0</v>
      </c>
      <c r="Q367">
        <f>IF('исходные данные'!Q367&gt;'минимумы и максимумы'!O$10,100,('исходные данные'!Q367-'минимумы и максимумы'!O$9)/('минимумы и максимумы'!O$10-'минимумы и максимумы'!O$9)*100)</f>
        <v>0</v>
      </c>
      <c r="R367">
        <f>IF('исходные данные'!R367&gt;'минимумы и максимумы'!P$10,100,('исходные данные'!R367-'минимумы и максимумы'!P$9)/('минимумы и максимумы'!P$10-'минимумы и максимумы'!P$9)*100)</f>
        <v>75</v>
      </c>
      <c r="S367">
        <f>IF('исходные данные'!S367&gt;'минимумы и максимумы'!Q$10,100,('исходные данные'!S367-'минимумы и максимумы'!Q$9)/('минимумы и максимумы'!Q$10-'минимумы и максимумы'!Q$9)*100)</f>
        <v>16.666666666666664</v>
      </c>
      <c r="T367">
        <f>IF('исходные данные'!T367&gt;'минимумы и максимумы'!R$10,100,('исходные данные'!T367-'минимумы и максимумы'!R$9)/('минимумы и максимумы'!R$10-'минимумы и максимумы'!R$9)*100)</f>
        <v>7.0483314154200229</v>
      </c>
      <c r="U367">
        <f>IF('исходные данные'!U367&gt;'минимумы и максимумы'!S$10,100,('исходные данные'!U367-'минимумы и максимумы'!S$9)/('минимумы и максимумы'!S$10-'минимумы и максимумы'!S$9)*100)</f>
        <v>0</v>
      </c>
    </row>
    <row r="368" spans="1:21" x14ac:dyDescent="0.45">
      <c r="A368" s="4">
        <v>480</v>
      </c>
      <c r="B368" s="4">
        <v>0</v>
      </c>
      <c r="C368" s="4">
        <v>0</v>
      </c>
      <c r="D368">
        <f>IF('исходные данные'!D368&gt;'минимумы и максимумы'!B$10,100,('исходные данные'!D368-'минимумы и максимумы'!B$9)/('минимумы и максимумы'!B$10-'минимумы и максимумы'!B$9)*100)</f>
        <v>0</v>
      </c>
      <c r="E368">
        <f>IF('исходные данные'!E368&gt;'минимумы и максимумы'!C$10,100,('исходные данные'!E368-'минимумы и максимумы'!C$9)/('минимумы и максимумы'!C$10-'минимумы и максимумы'!C$9)*100)</f>
        <v>0</v>
      </c>
      <c r="F368">
        <f>IF('исходные данные'!F368&gt;'минимумы и максимумы'!D$10,100,('исходные данные'!F368-'минимумы и максимумы'!D$9)/('минимумы и максимумы'!D$10-'минимумы и максимумы'!D$9)*100)</f>
        <v>0</v>
      </c>
      <c r="G368">
        <f>IF('исходные данные'!G368&gt;'минимумы и максимумы'!E$10,100,('исходные данные'!G368-'минимумы и максимумы'!E$9)/('минимумы и максимумы'!E$10-'минимумы и максимумы'!E$9)*100)</f>
        <v>0</v>
      </c>
      <c r="H368">
        <f>IF('исходные данные'!H368&gt;'минимумы и максимумы'!F$10,100,('исходные данные'!H368-'минимумы и максимумы'!F$9)/('минимумы и максимумы'!F$10-'минимумы и максимумы'!F$9)*100)</f>
        <v>0</v>
      </c>
      <c r="I368">
        <f>IF('исходные данные'!I368&gt;'минимумы и максимумы'!G$10,100,('исходные данные'!I368-'минимумы и максимумы'!G$9)/('минимумы и максимумы'!G$10-'минимумы и максимумы'!G$9)*100)</f>
        <v>3.7735849056603774</v>
      </c>
      <c r="J368">
        <f>IF('исходные данные'!J368&gt;'минимумы и максимумы'!H$10,100,('исходные данные'!J368-'минимумы и максимумы'!H$9)/('минимумы и максимумы'!H$10-'минимумы и максимумы'!H$9)*100)</f>
        <v>0</v>
      </c>
      <c r="K368">
        <f>IF('исходные данные'!K368&gt;'минимумы и максимумы'!I$10,100,('исходные данные'!K368-'минимумы и максимумы'!I$9)/('минимумы и максимумы'!I$10-'минимумы и максимумы'!I$9)*100)</f>
        <v>5.5555555555555554</v>
      </c>
      <c r="L368">
        <f>IF('исходные данные'!L368&gt;'минимумы и максимумы'!J$10,100,('исходные данные'!L368-'минимумы и максимумы'!J$9)/('минимумы и максимумы'!J$10-'минимумы и максимумы'!J$9)*100)</f>
        <v>0</v>
      </c>
      <c r="M368">
        <f>IF('исходные данные'!M368&gt;'минимумы и максимумы'!K$10,100,('исходные данные'!M368-'минимумы и максимумы'!K$9)/('минимумы и максимумы'!K$10-'минимумы и максимумы'!K$9)*100)</f>
        <v>7.1428571428571423</v>
      </c>
      <c r="N368">
        <f>IF('исходные данные'!N368&gt;'минимумы и максимумы'!L$10,100,('исходные данные'!N368-'минимумы и максимумы'!L$9)/('минимумы и максимумы'!L$10-'минимумы и максимумы'!L$9)*100)</f>
        <v>27.40678054892447</v>
      </c>
      <c r="O368">
        <f>IF('исходные данные'!O368&gt;'минимумы и максимумы'!M$10,100,('исходные данные'!O368-'минимумы и максимумы'!M$9)/('минимумы и максимумы'!M$10-'минимумы и максимумы'!M$9)*100)</f>
        <v>66.666666666666657</v>
      </c>
      <c r="P368">
        <f>IF('исходные данные'!P368&gt;'минимумы и максимумы'!N$10,100,('исходные данные'!P368-'минимумы и максимумы'!N$9)/('минимумы и максимумы'!N$10-'минимумы и максимумы'!N$9)*100)</f>
        <v>0</v>
      </c>
      <c r="Q368">
        <f>IF('исходные данные'!Q368&gt;'минимумы и максимумы'!O$10,100,('исходные данные'!Q368-'минимумы и максимумы'!O$9)/('минимумы и максимумы'!O$10-'минимумы и максимумы'!O$9)*100)</f>
        <v>100</v>
      </c>
      <c r="R368">
        <f>IF('исходные данные'!R368&gt;'минимумы и максимумы'!P$10,100,('исходные данные'!R368-'минимумы и максимумы'!P$9)/('минимумы и максимумы'!P$10-'минимумы и максимумы'!P$9)*100)</f>
        <v>75</v>
      </c>
      <c r="S368">
        <f>IF('исходные данные'!S368&gt;'минимумы и максимумы'!Q$10,100,('исходные данные'!S368-'минимумы и максимумы'!Q$9)/('минимумы и максимумы'!Q$10-'минимумы и максимумы'!Q$9)*100)</f>
        <v>33.333333333333329</v>
      </c>
      <c r="T368">
        <f>IF('исходные данные'!T368&gt;'минимумы и максимумы'!R$10,100,('исходные данные'!T368-'минимумы и максимумы'!R$9)/('минимумы и максимумы'!R$10-'минимумы и максимумы'!R$9)*100)</f>
        <v>2.9344073647871118</v>
      </c>
      <c r="U368">
        <f>IF('исходные данные'!U368&gt;'минимумы и максимумы'!S$10,100,('исходные данные'!U368-'минимумы и максимумы'!S$9)/('минимумы и максимумы'!S$10-'минимумы и максимумы'!S$9)*100)</f>
        <v>0</v>
      </c>
    </row>
    <row r="369" spans="1:21" x14ac:dyDescent="0.45">
      <c r="A369" s="4">
        <v>481</v>
      </c>
      <c r="B369" s="4">
        <v>0</v>
      </c>
      <c r="C369" s="4">
        <v>0</v>
      </c>
      <c r="D369">
        <f>IF('исходные данные'!D369&gt;'минимумы и максимумы'!B$10,100,('исходные данные'!D369-'минимумы и максимумы'!B$9)/('минимумы и максимумы'!B$10-'минимумы и максимумы'!B$9)*100)</f>
        <v>0</v>
      </c>
      <c r="E369">
        <f>IF('исходные данные'!E369&gt;'минимумы и максимумы'!C$10,100,('исходные данные'!E369-'минимумы и максимумы'!C$9)/('минимумы и максимумы'!C$10-'минимумы и максимумы'!C$9)*100)</f>
        <v>0</v>
      </c>
      <c r="F369">
        <f>IF('исходные данные'!F369&gt;'минимумы и максимумы'!D$10,100,('исходные данные'!F369-'минимумы и максимумы'!D$9)/('минимумы и максимумы'!D$10-'минимумы и максимумы'!D$9)*100)</f>
        <v>0</v>
      </c>
      <c r="G369">
        <f>IF('исходные данные'!G369&gt;'минимумы и максимумы'!E$10,100,('исходные данные'!G369-'минимумы и максимумы'!E$9)/('минимумы и максимумы'!E$10-'минимумы и максимумы'!E$9)*100)</f>
        <v>0</v>
      </c>
      <c r="H369">
        <f>IF('исходные данные'!H369&gt;'минимумы и максимумы'!F$10,100,('исходные данные'!H369-'минимумы и максимумы'!F$9)/('минимумы и максимумы'!F$10-'минимумы и максимумы'!F$9)*100)</f>
        <v>0</v>
      </c>
      <c r="I369">
        <f>IF('исходные данные'!I369&gt;'минимумы и максимумы'!G$10,100,('исходные данные'!I369-'минимумы и максимумы'!G$9)/('минимумы и максимумы'!G$10-'минимумы и максимумы'!G$9)*100)</f>
        <v>0</v>
      </c>
      <c r="J369">
        <f>IF('исходные данные'!J369&gt;'минимумы и максимумы'!H$10,100,('исходные данные'!J369-'минимумы и максимумы'!H$9)/('минимумы и максимумы'!H$10-'минимумы и максимумы'!H$9)*100)</f>
        <v>0</v>
      </c>
      <c r="K369">
        <f>IF('исходные данные'!K369&gt;'минимумы и максимумы'!I$10,100,('исходные данные'!K369-'минимумы и максимумы'!I$9)/('минимумы и максимумы'!I$10-'минимумы и максимумы'!I$9)*100)</f>
        <v>0</v>
      </c>
      <c r="L369">
        <f>IF('исходные данные'!L369&gt;'минимумы и максимумы'!J$10,100,('исходные данные'!L369-'минимумы и максимумы'!J$9)/('минимумы и максимумы'!J$10-'минимумы и максимумы'!J$9)*100)</f>
        <v>0</v>
      </c>
      <c r="M369">
        <f>IF('исходные данные'!M369&gt;'минимумы и максимумы'!K$10,100,('исходные данные'!M369-'минимумы и максимумы'!K$9)/('минимумы и максимумы'!K$10-'минимумы и максимумы'!K$9)*100)</f>
        <v>0</v>
      </c>
      <c r="N369">
        <f>IF('исходные данные'!N369&gt;'минимумы и максимумы'!L$10,100,('исходные данные'!N369-'минимумы и максимумы'!L$9)/('минимумы и максимумы'!L$10-'минимумы и максимумы'!L$9)*100)</f>
        <v>29.823987023138365</v>
      </c>
      <c r="O369">
        <f>IF('исходные данные'!O369&gt;'минимумы и максимумы'!M$10,100,('исходные данные'!O369-'минимумы и максимумы'!M$9)/('минимумы и максимумы'!M$10-'минимумы и максимумы'!M$9)*100)</f>
        <v>0</v>
      </c>
      <c r="P369">
        <f>IF('исходные данные'!P369&gt;'минимумы и максимумы'!N$10,100,('исходные данные'!P369-'минимумы и максимумы'!N$9)/('минимумы и максимумы'!N$10-'минимумы и максимумы'!N$9)*100)</f>
        <v>0</v>
      </c>
      <c r="Q369">
        <f>IF('исходные данные'!Q369&gt;'минимумы и максимумы'!O$10,100,('исходные данные'!Q369-'минимумы и максимумы'!O$9)/('минимумы и максимумы'!O$10-'минимумы и максимумы'!O$9)*100)</f>
        <v>100</v>
      </c>
      <c r="R369">
        <f>IF('исходные данные'!R369&gt;'минимумы и максимумы'!P$10,100,('исходные данные'!R369-'минимумы и максимумы'!P$9)/('минимумы и максимумы'!P$10-'минимумы и максимумы'!P$9)*100)</f>
        <v>100</v>
      </c>
      <c r="S369">
        <f>IF('исходные данные'!S369&gt;'минимумы и максимумы'!Q$10,100,('исходные данные'!S369-'минимумы и максимумы'!Q$9)/('минимумы и максимумы'!Q$10-'минимумы и максимумы'!Q$9)*100)</f>
        <v>50</v>
      </c>
      <c r="T369">
        <f>IF('исходные данные'!T369&gt;'минимумы и максимумы'!R$10,100,('исходные данные'!T369-'минимумы и максимумы'!R$9)/('минимумы и максимумы'!R$10-'минимумы и максимумы'!R$9)*100)</f>
        <v>20.655926352128883</v>
      </c>
      <c r="U369">
        <f>IF('исходные данные'!U369&gt;'минимумы и максимумы'!S$10,100,('исходные данные'!U369-'минимумы и максимумы'!S$9)/('минимумы и максимумы'!S$10-'минимумы и максимумы'!S$9)*100)</f>
        <v>0</v>
      </c>
    </row>
    <row r="370" spans="1:21" x14ac:dyDescent="0.45">
      <c r="A370" s="4">
        <v>482</v>
      </c>
      <c r="B370" s="4">
        <v>0</v>
      </c>
      <c r="C370" s="4">
        <v>0</v>
      </c>
      <c r="D370">
        <f>IF('исходные данные'!D370&gt;'минимумы и максимумы'!B$10,100,('исходные данные'!D370-'минимумы и максимумы'!B$9)/('минимумы и максимумы'!B$10-'минимумы и максимумы'!B$9)*100)</f>
        <v>0</v>
      </c>
      <c r="E370">
        <f>IF('исходные данные'!E370&gt;'минимумы и максимумы'!C$10,100,('исходные данные'!E370-'минимумы и максимумы'!C$9)/('минимумы и максимумы'!C$10-'минимумы и максимумы'!C$9)*100)</f>
        <v>0</v>
      </c>
      <c r="F370">
        <f>IF('исходные данные'!F370&gt;'минимумы и максимумы'!D$10,100,('исходные данные'!F370-'минимумы и максимумы'!D$9)/('минимумы и максимумы'!D$10-'минимумы и максимумы'!D$9)*100)</f>
        <v>0</v>
      </c>
      <c r="G370">
        <f>IF('исходные данные'!G370&gt;'минимумы и максимумы'!E$10,100,('исходные данные'!G370-'минимумы и максимумы'!E$9)/('минимумы и максимумы'!E$10-'минимумы и максимумы'!E$9)*100)</f>
        <v>0</v>
      </c>
      <c r="H370">
        <f>IF('исходные данные'!H370&gt;'минимумы и максимумы'!F$10,100,('исходные данные'!H370-'минимумы и максимумы'!F$9)/('минимумы и максимумы'!F$10-'минимумы и максимумы'!F$9)*100)</f>
        <v>0</v>
      </c>
      <c r="I370">
        <f>IF('исходные данные'!I370&gt;'минимумы и максимумы'!G$10,100,('исходные данные'!I370-'минимумы и максимумы'!G$9)/('минимумы и максимумы'!G$10-'минимумы и максимумы'!G$9)*100)</f>
        <v>0</v>
      </c>
      <c r="J370">
        <f>IF('исходные данные'!J370&gt;'минимумы и максимумы'!H$10,100,('исходные данные'!J370-'минимумы и максимумы'!H$9)/('минимумы и максимумы'!H$10-'минимумы и максимумы'!H$9)*100)</f>
        <v>0</v>
      </c>
      <c r="K370">
        <f>IF('исходные данные'!K370&gt;'минимумы и максимумы'!I$10,100,('исходные данные'!K370-'минимумы и максимумы'!I$9)/('минимумы и максимумы'!I$10-'минимумы и максимумы'!I$9)*100)</f>
        <v>0</v>
      </c>
      <c r="L370">
        <f>IF('исходные данные'!L370&gt;'минимумы и максимумы'!J$10,100,('исходные данные'!L370-'минимумы и максимумы'!J$9)/('минимумы и максимумы'!J$10-'минимумы и максимумы'!J$9)*100)</f>
        <v>0</v>
      </c>
      <c r="M370">
        <f>IF('исходные данные'!M370&gt;'минимумы и максимумы'!K$10,100,('исходные данные'!M370-'минимумы и максимумы'!K$9)/('минимумы и максимумы'!K$10-'минимумы и максимумы'!K$9)*100)</f>
        <v>7.1428571428571423</v>
      </c>
      <c r="N370">
        <f>IF('исходные данные'!N370&gt;'минимумы и максимумы'!L$10,100,('исходные данные'!N370-'минимумы и максимумы'!L$9)/('минимумы и максимумы'!L$10-'минимумы и максимумы'!L$9)*100)</f>
        <v>29.564173886989781</v>
      </c>
      <c r="O370">
        <f>IF('исходные данные'!O370&gt;'минимумы и максимумы'!M$10,100,('исходные данные'!O370-'минимумы и максимумы'!M$9)/('минимумы и максимумы'!M$10-'минимумы и максимумы'!M$9)*100)</f>
        <v>0</v>
      </c>
      <c r="P370">
        <f>IF('исходные данные'!P370&gt;'минимумы и максимумы'!N$10,100,('исходные данные'!P370-'минимумы и максимумы'!N$9)/('минимумы и максимумы'!N$10-'минимумы и максимумы'!N$9)*100)</f>
        <v>0</v>
      </c>
      <c r="Q370">
        <f>IF('исходные данные'!Q370&gt;'минимумы и максимумы'!O$10,100,('исходные данные'!Q370-'минимумы и максимумы'!O$9)/('минимумы и максимумы'!O$10-'минимумы и максимумы'!O$9)*100)</f>
        <v>0</v>
      </c>
      <c r="R370">
        <f>IF('исходные данные'!R370&gt;'минимумы и максимумы'!P$10,100,('исходные данные'!R370-'минимумы и максимумы'!P$9)/('минимумы и максимумы'!P$10-'минимумы и максимумы'!P$9)*100)</f>
        <v>100</v>
      </c>
      <c r="S370">
        <f>IF('исходные данные'!S370&gt;'минимумы и максимумы'!Q$10,100,('исходные данные'!S370-'минимумы и максимумы'!Q$9)/('минимумы и максимумы'!Q$10-'минимумы и максимумы'!Q$9)*100)</f>
        <v>16.666666666666664</v>
      </c>
      <c r="T370">
        <f>IF('исходные данные'!T370&gt;'минимумы и максимумы'!R$10,100,('исходные данные'!T370-'минимумы и максимумы'!R$9)/('минимумы и максимумы'!R$10-'минимумы и максимумы'!R$9)*100)</f>
        <v>14.930955120828537</v>
      </c>
      <c r="U370">
        <f>IF('исходные данные'!U370&gt;'минимумы и максимумы'!S$10,100,('исходные данные'!U370-'минимумы и максимумы'!S$9)/('минимумы и максимумы'!S$10-'минимумы и максимумы'!S$9)*100)</f>
        <v>0</v>
      </c>
    </row>
    <row r="371" spans="1:21" x14ac:dyDescent="0.45">
      <c r="A371" s="4">
        <v>483</v>
      </c>
      <c r="B371" s="4">
        <v>0</v>
      </c>
      <c r="C371" s="4">
        <v>0</v>
      </c>
      <c r="D371">
        <f>IF('исходные данные'!D371&gt;'минимумы и максимумы'!B$10,100,('исходные данные'!D371-'минимумы и максимумы'!B$9)/('минимумы и максимумы'!B$10-'минимумы и максимумы'!B$9)*100)</f>
        <v>0</v>
      </c>
      <c r="E371">
        <f>IF('исходные данные'!E371&gt;'минимумы и максимумы'!C$10,100,('исходные данные'!E371-'минимумы и максимумы'!C$9)/('минимумы и максимумы'!C$10-'минимумы и максимумы'!C$9)*100)</f>
        <v>0</v>
      </c>
      <c r="F371">
        <f>IF('исходные данные'!F371&gt;'минимумы и максимумы'!D$10,100,('исходные данные'!F371-'минимумы и максимумы'!D$9)/('минимумы и максимумы'!D$10-'минимумы и максимумы'!D$9)*100)</f>
        <v>0</v>
      </c>
      <c r="G371">
        <f>IF('исходные данные'!G371&gt;'минимумы и максимумы'!E$10,100,('исходные данные'!G371-'минимумы и максимумы'!E$9)/('минимумы и максимумы'!E$10-'минимумы и максимумы'!E$9)*100)</f>
        <v>0</v>
      </c>
      <c r="H371">
        <f>IF('исходные данные'!H371&gt;'минимумы и максимумы'!F$10,100,('исходные данные'!H371-'минимумы и максимумы'!F$9)/('минимумы и максимумы'!F$10-'минимумы и максимумы'!F$9)*100)</f>
        <v>0</v>
      </c>
      <c r="I371">
        <f>IF('исходные данные'!I371&gt;'минимумы и максимумы'!G$10,100,('исходные данные'!I371-'минимумы и максимумы'!G$9)/('минимумы и максимумы'!G$10-'минимумы и максимумы'!G$9)*100)</f>
        <v>0</v>
      </c>
      <c r="J371">
        <f>IF('исходные данные'!J371&gt;'минимумы и максимумы'!H$10,100,('исходные данные'!J371-'минимумы и максимумы'!H$9)/('минимумы и максимумы'!H$10-'минимумы и максимумы'!H$9)*100)</f>
        <v>0</v>
      </c>
      <c r="K371">
        <f>IF('исходные данные'!K371&gt;'минимумы и максимумы'!I$10,100,('исходные данные'!K371-'минимумы и максимумы'!I$9)/('минимумы и максимумы'!I$10-'минимумы и максимумы'!I$9)*100)</f>
        <v>0</v>
      </c>
      <c r="L371">
        <f>IF('исходные данные'!L371&gt;'минимумы и максимумы'!J$10,100,('исходные данные'!L371-'минимумы и максимумы'!J$9)/('минимумы и максимумы'!J$10-'минимумы и максимумы'!J$9)*100)</f>
        <v>0</v>
      </c>
      <c r="M371">
        <f>IF('исходные данные'!M371&gt;'минимумы и максимумы'!K$10,100,('исходные данные'!M371-'минимумы и максимумы'!K$9)/('минимумы и максимумы'!K$10-'минимумы и максимумы'!K$9)*100)</f>
        <v>0</v>
      </c>
      <c r="N371">
        <f>IF('исходные данные'!N371&gt;'минимумы и максимумы'!L$10,100,('исходные данные'!N371-'минимумы и максимумы'!L$9)/('минимумы и максимумы'!L$10-'минимумы и максимумы'!L$9)*100)</f>
        <v>32.053678780970351</v>
      </c>
      <c r="O371">
        <f>IF('исходные данные'!O371&gt;'минимумы и максимумы'!M$10,100,('исходные данные'!O371-'минимумы и максимумы'!M$9)/('минимумы и максимумы'!M$10-'минимумы и максимумы'!M$9)*100)</f>
        <v>0</v>
      </c>
      <c r="P371">
        <f>IF('исходные данные'!P371&gt;'минимумы и максимумы'!N$10,100,('исходные данные'!P371-'минимумы и максимумы'!N$9)/('минимумы и максимумы'!N$10-'минимумы и максимумы'!N$9)*100)</f>
        <v>0</v>
      </c>
      <c r="Q371">
        <f>IF('исходные данные'!Q371&gt;'минимумы и максимумы'!O$10,100,('исходные данные'!Q371-'минимумы и максимумы'!O$9)/('минимумы и максимумы'!O$10-'минимумы и максимумы'!O$9)*100)</f>
        <v>100</v>
      </c>
      <c r="R371">
        <f>IF('исходные данные'!R371&gt;'минимумы и максимумы'!P$10,100,('исходные данные'!R371-'минимумы и максимумы'!P$9)/('минимумы и максимумы'!P$10-'минимумы и максимумы'!P$9)*100)</f>
        <v>100</v>
      </c>
      <c r="S371">
        <f>IF('исходные данные'!S371&gt;'минимумы и максимумы'!Q$10,100,('исходные данные'!S371-'минимумы и максимумы'!Q$9)/('минимумы и максимумы'!Q$10-'минимумы и максимумы'!Q$9)*100)</f>
        <v>16.666666666666664</v>
      </c>
      <c r="T371">
        <f>IF('исходные данные'!T371&gt;'минимумы и максимумы'!R$10,100,('исходные данные'!T371-'минимумы и максимумы'!R$9)/('минимумы и максимумы'!R$10-'минимумы и максимумы'!R$9)*100)</f>
        <v>18.066743383199078</v>
      </c>
      <c r="U371">
        <f>IF('исходные данные'!U371&gt;'минимумы и максимумы'!S$10,100,('исходные данные'!U371-'минимумы и максимумы'!S$9)/('минимумы и максимумы'!S$10-'минимумы и максимумы'!S$9)*100)</f>
        <v>33.333333333333329</v>
      </c>
    </row>
    <row r="372" spans="1:21" x14ac:dyDescent="0.45">
      <c r="A372" s="4">
        <v>484</v>
      </c>
      <c r="B372" s="4">
        <v>0</v>
      </c>
      <c r="C372" s="4">
        <v>0</v>
      </c>
      <c r="D372">
        <f>IF('исходные данные'!D372&gt;'минимумы и максимумы'!B$10,100,('исходные данные'!D372-'минимумы и максимумы'!B$9)/('минимумы и максимумы'!B$10-'минимумы и максимумы'!B$9)*100)</f>
        <v>0</v>
      </c>
      <c r="E372">
        <f>IF('исходные данные'!E372&gt;'минимумы и максимумы'!C$10,100,('исходные данные'!E372-'минимумы и максимумы'!C$9)/('минимумы и максимумы'!C$10-'минимумы и максимумы'!C$9)*100)</f>
        <v>0</v>
      </c>
      <c r="F372">
        <f>IF('исходные данные'!F372&gt;'минимумы и максимумы'!D$10,100,('исходные данные'!F372-'минимумы и максимумы'!D$9)/('минимумы и максимумы'!D$10-'минимумы и максимумы'!D$9)*100)</f>
        <v>0</v>
      </c>
      <c r="G372">
        <f>IF('исходные данные'!G372&gt;'минимумы и максимумы'!E$10,100,('исходные данные'!G372-'минимумы и максимумы'!E$9)/('минимумы и максимумы'!E$10-'минимумы и максимумы'!E$9)*100)</f>
        <v>0</v>
      </c>
      <c r="H372">
        <f>IF('исходные данные'!H372&gt;'минимумы и максимумы'!F$10,100,('исходные данные'!H372-'минимумы и максимумы'!F$9)/('минимумы и максимумы'!F$10-'минимумы и максимумы'!F$9)*100)</f>
        <v>0</v>
      </c>
      <c r="I372">
        <f>IF('исходные данные'!I372&gt;'минимумы и максимумы'!G$10,100,('исходные данные'!I372-'минимумы и максимумы'!G$9)/('минимумы и максимумы'!G$10-'минимумы и максимумы'!G$9)*100)</f>
        <v>0</v>
      </c>
      <c r="J372">
        <f>IF('исходные данные'!J372&gt;'минимумы и максимумы'!H$10,100,('исходные данные'!J372-'минимумы и максимумы'!H$9)/('минимумы и максимумы'!H$10-'минимумы и максимумы'!H$9)*100)</f>
        <v>0</v>
      </c>
      <c r="K372">
        <f>IF('исходные данные'!K372&gt;'минимумы и максимумы'!I$10,100,('исходные данные'!K372-'минимумы и максимумы'!I$9)/('минимумы и максимумы'!I$10-'минимумы и максимумы'!I$9)*100)</f>
        <v>0</v>
      </c>
      <c r="L372">
        <f>IF('исходные данные'!L372&gt;'минимумы и максимумы'!J$10,100,('исходные данные'!L372-'минимумы и максимумы'!J$9)/('минимумы и максимумы'!J$10-'минимумы и максимумы'!J$9)*100)</f>
        <v>0</v>
      </c>
      <c r="M372">
        <f>IF('исходные данные'!M372&gt;'минимумы и максимумы'!K$10,100,('исходные данные'!M372-'минимумы и максимумы'!K$9)/('минимумы и максимумы'!K$10-'минимумы и максимумы'!K$9)*100)</f>
        <v>0</v>
      </c>
      <c r="N372">
        <f>IF('исходные данные'!N372&gt;'минимумы и максимумы'!L$10,100,('исходные данные'!N372-'минимумы и максимумы'!L$9)/('минимумы и максимумы'!L$10-'минимумы и максимумы'!L$9)*100)</f>
        <v>32.405579429348492</v>
      </c>
      <c r="O372">
        <f>IF('исходные данные'!O372&gt;'минимумы и максимумы'!M$10,100,('исходные данные'!O372-'минимумы и максимумы'!M$9)/('минимумы и максимумы'!M$10-'минимумы и максимумы'!M$9)*100)</f>
        <v>33.333333333333329</v>
      </c>
      <c r="P372">
        <f>IF('исходные данные'!P372&gt;'минимумы и максимумы'!N$10,100,('исходные данные'!P372-'минимумы и максимумы'!N$9)/('минимумы и максимумы'!N$10-'минимумы и максимумы'!N$9)*100)</f>
        <v>0</v>
      </c>
      <c r="Q372">
        <f>IF('исходные данные'!Q372&gt;'минимумы и максимумы'!O$10,100,('исходные данные'!Q372-'минимумы и максимумы'!O$9)/('минимумы и максимумы'!O$10-'минимумы и максимумы'!O$9)*100)</f>
        <v>0</v>
      </c>
      <c r="R372">
        <f>IF('исходные данные'!R372&gt;'минимумы и максимумы'!P$10,100,('исходные данные'!R372-'минимумы и максимумы'!P$9)/('минимумы и максимумы'!P$10-'минимумы и максимумы'!P$9)*100)</f>
        <v>25</v>
      </c>
      <c r="S372">
        <f>IF('исходные данные'!S372&gt;'минимумы и максимумы'!Q$10,100,('исходные данные'!S372-'минимумы и максимумы'!Q$9)/('минимумы и максимумы'!Q$10-'минимумы и максимумы'!Q$9)*100)</f>
        <v>16.666666666666664</v>
      </c>
      <c r="T372">
        <f>IF('исходные данные'!T372&gt;'минимумы и максимумы'!R$10,100,('исходные данные'!T372-'минимумы и максимумы'!R$9)/('минимумы и максимумы'!R$10-'минимумы и максимумы'!R$9)*100)</f>
        <v>14.556962025316455</v>
      </c>
      <c r="U372">
        <f>IF('исходные данные'!U372&gt;'минимумы и максимумы'!S$10,100,('исходные данные'!U372-'минимумы и максимумы'!S$9)/('минимумы и максимумы'!S$10-'минимумы и максимумы'!S$9)*100)</f>
        <v>33.333333333333329</v>
      </c>
    </row>
    <row r="373" spans="1:21" x14ac:dyDescent="0.45">
      <c r="A373" s="4">
        <v>489</v>
      </c>
      <c r="B373" s="4">
        <v>0</v>
      </c>
      <c r="C373" s="4">
        <v>0</v>
      </c>
      <c r="D373">
        <f>IF('исходные данные'!D373&gt;'минимумы и максимумы'!B$10,100,('исходные данные'!D373-'минимумы и максимумы'!B$9)/('минимумы и максимумы'!B$10-'минимумы и максимумы'!B$9)*100)</f>
        <v>0</v>
      </c>
      <c r="E373">
        <f>IF('исходные данные'!E373&gt;'минимумы и максимумы'!C$10,100,('исходные данные'!E373-'минимумы и максимумы'!C$9)/('минимумы и максимумы'!C$10-'минимумы и максимумы'!C$9)*100)</f>
        <v>30</v>
      </c>
      <c r="F373">
        <f>IF('исходные данные'!F373&gt;'минимумы и максимумы'!D$10,100,('исходные данные'!F373-'минимумы и максимумы'!D$9)/('минимумы и максимумы'!D$10-'минимумы и максимумы'!D$9)*100)</f>
        <v>0</v>
      </c>
      <c r="G373">
        <f>IF('исходные данные'!G373&gt;'минимумы и максимумы'!E$10,100,('исходные данные'!G373-'минимумы и максимумы'!E$9)/('минимумы и максимумы'!E$10-'минимумы и максимумы'!E$9)*100)</f>
        <v>25</v>
      </c>
      <c r="H373">
        <f>IF('исходные данные'!H373&gt;'минимумы и максимумы'!F$10,100,('исходные данные'!H373-'минимумы и максимумы'!F$9)/('минимумы и максимумы'!F$10-'минимумы и максимумы'!F$9)*100)</f>
        <v>20.689655172413794</v>
      </c>
      <c r="I373">
        <f>IF('исходные данные'!I373&gt;'минимумы и максимумы'!G$10,100,('исходные данные'!I373-'минимумы и максимумы'!G$9)/('минимумы и максимумы'!G$10-'минимумы и максимумы'!G$9)*100)</f>
        <v>5.6603773584905666</v>
      </c>
      <c r="J373">
        <f>IF('исходные данные'!J373&gt;'минимумы и максимумы'!H$10,100,('исходные данные'!J373-'минимумы и максимумы'!H$9)/('минимумы и максимумы'!H$10-'минимумы и максимумы'!H$9)*100)</f>
        <v>26.666666666666668</v>
      </c>
      <c r="K373">
        <f>IF('исходные данные'!K373&gt;'минимумы и максимумы'!I$10,100,('исходные данные'!K373-'минимумы и максимумы'!I$9)/('минимумы и максимумы'!I$10-'минимумы и максимумы'!I$9)*100)</f>
        <v>0</v>
      </c>
      <c r="L373">
        <f>IF('исходные данные'!L373&gt;'минимумы и максимумы'!J$10,100,('исходные данные'!L373-'минимумы и максимумы'!J$9)/('минимумы и максимумы'!J$10-'минимумы и максимумы'!J$9)*100)</f>
        <v>0</v>
      </c>
      <c r="M373">
        <f>IF('исходные данные'!M373&gt;'минимумы и максимумы'!K$10,100,('исходные данные'!M373-'минимумы и максимумы'!K$9)/('минимумы и максимумы'!K$10-'минимумы и максимумы'!K$9)*100)</f>
        <v>14.285714285714285</v>
      </c>
      <c r="N373">
        <f>IF('исходные данные'!N373&gt;'минимумы и максимумы'!L$10,100,('исходные данные'!N373-'минимумы и максимумы'!L$9)/('минимумы и максимумы'!L$10-'минимумы и максимумы'!L$9)*100)</f>
        <v>54.753780392997385</v>
      </c>
      <c r="O373">
        <f>IF('исходные данные'!O373&gt;'минимумы и максимумы'!M$10,100,('исходные данные'!O373-'минимумы и максимумы'!M$9)/('минимумы и максимумы'!M$10-'минимумы и максимумы'!M$9)*100)</f>
        <v>100</v>
      </c>
      <c r="P373">
        <f>IF('исходные данные'!P373&gt;'минимумы и максимумы'!N$10,100,('исходные данные'!P373-'минимумы и максимумы'!N$9)/('минимумы и максимумы'!N$10-'минимумы и максимумы'!N$9)*100)</f>
        <v>0</v>
      </c>
      <c r="Q373">
        <f>IF('исходные данные'!Q373&gt;'минимумы и максимумы'!O$10,100,('исходные данные'!Q373-'минимумы и максимумы'!O$9)/('минимумы и максимумы'!O$10-'минимумы и максимумы'!O$9)*100)</f>
        <v>0</v>
      </c>
      <c r="R373">
        <f>IF('исходные данные'!R373&gt;'минимумы и максимумы'!P$10,100,('исходные данные'!R373-'минимумы и максимумы'!P$9)/('минимумы и максимумы'!P$10-'минимумы и максимумы'!P$9)*100)</f>
        <v>50</v>
      </c>
      <c r="S373">
        <f>IF('исходные данные'!S373&gt;'минимумы и максимумы'!Q$10,100,('исходные данные'!S373-'минимумы и максимумы'!Q$9)/('минимумы и максимумы'!Q$10-'минимумы и максимумы'!Q$9)*100)</f>
        <v>16.666666666666664</v>
      </c>
      <c r="T373">
        <f>IF('исходные данные'!T373&gt;'минимумы и максимумы'!R$10,100,('исходные данные'!T373-'минимумы и максимумы'!R$9)/('минимумы и максимумы'!R$10-'минимумы и максимумы'!R$9)*100)</f>
        <v>2.5604142692750287</v>
      </c>
      <c r="U373">
        <f>IF('исходные данные'!U373&gt;'минимумы и максимумы'!S$10,100,('исходные данные'!U373-'минимумы и максимумы'!S$9)/('минимумы и максимумы'!S$10-'минимумы и максимумы'!S$9)*100)</f>
        <v>0</v>
      </c>
    </row>
    <row r="374" spans="1:21" x14ac:dyDescent="0.45">
      <c r="A374" s="4">
        <v>490</v>
      </c>
      <c r="B374" s="4">
        <v>0</v>
      </c>
      <c r="C374" s="4">
        <v>0</v>
      </c>
      <c r="D374">
        <f>IF('исходные данные'!D374&gt;'минимумы и максимумы'!B$10,100,('исходные данные'!D374-'минимумы и максимумы'!B$9)/('минимумы и максимумы'!B$10-'минимумы и максимумы'!B$9)*100)</f>
        <v>0</v>
      </c>
      <c r="E374">
        <f>IF('исходные данные'!E374&gt;'минимумы и максимумы'!C$10,100,('исходные данные'!E374-'минимумы и максимумы'!C$9)/('минимумы и максимумы'!C$10-'минимумы и максимумы'!C$9)*100)</f>
        <v>0</v>
      </c>
      <c r="F374">
        <f>IF('исходные данные'!F374&gt;'минимумы и максимумы'!D$10,100,('исходные данные'!F374-'минимумы и максимумы'!D$9)/('минимумы и максимумы'!D$10-'минимумы и максимумы'!D$9)*100)</f>
        <v>0</v>
      </c>
      <c r="G374">
        <f>IF('исходные данные'!G374&gt;'минимумы и максимумы'!E$10,100,('исходные данные'!G374-'минимумы и максимумы'!E$9)/('минимумы и максимумы'!E$10-'минимумы и максимумы'!E$9)*100)</f>
        <v>0</v>
      </c>
      <c r="H374">
        <f>IF('исходные данные'!H374&gt;'минимумы и максимумы'!F$10,100,('исходные данные'!H374-'минимумы и максимумы'!F$9)/('минимумы и максимумы'!F$10-'минимумы и максимумы'!F$9)*100)</f>
        <v>0</v>
      </c>
      <c r="I374">
        <f>IF('исходные данные'!I374&gt;'минимумы и максимумы'!G$10,100,('исходные данные'!I374-'минимумы и максимумы'!G$9)/('минимумы и максимумы'!G$10-'минимумы и максимумы'!G$9)*100)</f>
        <v>0</v>
      </c>
      <c r="J374">
        <f>IF('исходные данные'!J374&gt;'минимумы и максимумы'!H$10,100,('исходные данные'!J374-'минимумы и максимумы'!H$9)/('минимумы и максимумы'!H$10-'минимумы и максимумы'!H$9)*100)</f>
        <v>0</v>
      </c>
      <c r="K374">
        <f>IF('исходные данные'!K374&gt;'минимумы и максимумы'!I$10,100,('исходные данные'!K374-'минимумы и максимумы'!I$9)/('минимумы и максимумы'!I$10-'минимумы и максимумы'!I$9)*100)</f>
        <v>5.5555555555555554</v>
      </c>
      <c r="L374">
        <f>IF('исходные данные'!L374&gt;'минимумы и максимумы'!J$10,100,('исходные данные'!L374-'минимумы и максимумы'!J$9)/('минимумы и максимумы'!J$10-'минимумы и максимумы'!J$9)*100)</f>
        <v>0</v>
      </c>
      <c r="M374">
        <f>IF('исходные данные'!M374&gt;'минимумы и максимумы'!K$10,100,('исходные данные'!M374-'минимумы и максимумы'!K$9)/('минимумы и максимумы'!K$10-'минимумы и максимумы'!K$9)*100)</f>
        <v>10.714285714285714</v>
      </c>
      <c r="N374">
        <f>IF('исходные данные'!N374&gt;'минимумы и максимумы'!L$10,100,('исходные данные'!N374-'минимумы и максимумы'!L$9)/('минимумы и максимумы'!L$10-'минимумы и максимумы'!L$9)*100)</f>
        <v>57.861130613955083</v>
      </c>
      <c r="O374">
        <f>IF('исходные данные'!O374&gt;'минимумы и максимумы'!M$10,100,('исходные данные'!O374-'минимумы и максимумы'!M$9)/('минимумы и максимумы'!M$10-'минимумы и максимумы'!M$9)*100)</f>
        <v>66.666666666666657</v>
      </c>
      <c r="P374">
        <f>IF('исходные данные'!P374&gt;'минимумы и максимумы'!N$10,100,('исходные данные'!P374-'минимумы и максимумы'!N$9)/('минимумы и максимумы'!N$10-'минимумы и максимумы'!N$9)*100)</f>
        <v>0</v>
      </c>
      <c r="Q374">
        <f>IF('исходные данные'!Q374&gt;'минимумы и максимумы'!O$10,100,('исходные данные'!Q374-'минимумы и максимумы'!O$9)/('минимумы и максимумы'!O$10-'минимумы и максимумы'!O$9)*100)</f>
        <v>0</v>
      </c>
      <c r="R374">
        <f>IF('исходные данные'!R374&gt;'минимумы и максимумы'!P$10,100,('исходные данные'!R374-'минимумы и максимумы'!P$9)/('минимумы и максимумы'!P$10-'минимумы и максимумы'!P$9)*100)</f>
        <v>25</v>
      </c>
      <c r="S374">
        <f>IF('исходные данные'!S374&gt;'минимумы и максимумы'!Q$10,100,('исходные данные'!S374-'минимумы и максимумы'!Q$9)/('минимумы и максимумы'!Q$10-'минимумы и максимумы'!Q$9)*100)</f>
        <v>83.333333333333343</v>
      </c>
      <c r="T374">
        <f>IF('исходные данные'!T374&gt;'минимумы и максимумы'!R$10,100,('исходные данные'!T374-'минимумы и максимумы'!R$9)/('минимумы и максимумы'!R$10-'минимумы и максимумы'!R$9)*100)</f>
        <v>40.794016110471809</v>
      </c>
      <c r="U374">
        <f>IF('исходные данные'!U374&gt;'минимумы и максимумы'!S$10,100,('исходные данные'!U374-'минимумы и максимумы'!S$9)/('минимумы и максимумы'!S$10-'минимумы и максимумы'!S$9)*100)</f>
        <v>100</v>
      </c>
    </row>
    <row r="375" spans="1:21" x14ac:dyDescent="0.45">
      <c r="A375" s="4">
        <v>491</v>
      </c>
      <c r="B375" s="4">
        <v>0</v>
      </c>
      <c r="C375" s="4">
        <v>0</v>
      </c>
      <c r="D375">
        <f>IF('исходные данные'!D375&gt;'минимумы и максимумы'!B$10,100,('исходные данные'!D375-'минимумы и максимумы'!B$9)/('минимумы и максимумы'!B$10-'минимумы и максимумы'!B$9)*100)</f>
        <v>11.111111111111111</v>
      </c>
      <c r="E375">
        <f>IF('исходные данные'!E375&gt;'минимумы и максимумы'!C$10,100,('исходные данные'!E375-'минимумы и максимумы'!C$9)/('минимумы и максимумы'!C$10-'минимумы и максимумы'!C$9)*100)</f>
        <v>20</v>
      </c>
      <c r="F375">
        <f>IF('исходные данные'!F375&gt;'минимумы и максимумы'!D$10,100,('исходные данные'!F375-'минимумы и максимумы'!D$9)/('минимумы и максимумы'!D$10-'минимумы и максимумы'!D$9)*100)</f>
        <v>0</v>
      </c>
      <c r="G375">
        <f>IF('исходные данные'!G375&gt;'минимумы и максимумы'!E$10,100,('исходные данные'!G375-'минимумы и максимумы'!E$9)/('минимумы и максимумы'!E$10-'минимумы и максимумы'!E$9)*100)</f>
        <v>41.666666666666671</v>
      </c>
      <c r="H375">
        <f>IF('исходные данные'!H375&gt;'минимумы и максимумы'!F$10,100,('исходные данные'!H375-'минимумы и максимумы'!F$9)/('минимумы и максимумы'!F$10-'минимумы и максимумы'!F$9)*100)</f>
        <v>62.068965517241381</v>
      </c>
      <c r="I375">
        <f>IF('исходные данные'!I375&gt;'минимумы и максимумы'!G$10,100,('исходные данные'!I375-'минимумы и максимумы'!G$9)/('минимумы и максимумы'!G$10-'минимумы и максимумы'!G$9)*100)</f>
        <v>24.528301886792452</v>
      </c>
      <c r="J375">
        <f>IF('исходные данные'!J375&gt;'минимумы и максимумы'!H$10,100,('исходные данные'!J375-'минимумы и максимумы'!H$9)/('минимумы и максимумы'!H$10-'минимумы и максимумы'!H$9)*100)</f>
        <v>20</v>
      </c>
      <c r="K375">
        <f>IF('исходные данные'!K375&gt;'минимумы и максимумы'!I$10,100,('исходные данные'!K375-'минимумы и максимумы'!I$9)/('минимумы и максимумы'!I$10-'минимумы и максимумы'!I$9)*100)</f>
        <v>0</v>
      </c>
      <c r="L375">
        <f>IF('исходные данные'!L375&gt;'минимумы и максимумы'!J$10,100,('исходные данные'!L375-'минимумы и максимумы'!J$9)/('минимумы и максимумы'!J$10-'минимумы и максимумы'!J$9)*100)</f>
        <v>7.1428571428571423</v>
      </c>
      <c r="M375">
        <f>IF('исходные данные'!M375&gt;'минимумы и максимумы'!K$10,100,('исходные данные'!M375-'минимумы и максимумы'!K$9)/('минимумы и максимумы'!K$10-'минимумы и максимумы'!K$9)*100)</f>
        <v>28.571428571428569</v>
      </c>
      <c r="N375">
        <f>IF('исходные данные'!N375&gt;'минимумы и максимумы'!L$10,100,('исходные данные'!N375-'минимумы и максимумы'!L$9)/('минимумы и максимумы'!L$10-'минимумы и максимумы'!L$9)*100)</f>
        <v>58.218610230483577</v>
      </c>
      <c r="O375">
        <f>IF('исходные данные'!O375&gt;'минимумы и максимумы'!M$10,100,('исходные данные'!O375-'минимумы и максимумы'!M$9)/('минимумы и максимумы'!M$10-'минимумы и максимумы'!M$9)*100)</f>
        <v>33.333333333333329</v>
      </c>
      <c r="P375">
        <f>IF('исходные данные'!P375&gt;'минимумы и максимумы'!N$10,100,('исходные данные'!P375-'минимумы и максимумы'!N$9)/('минимумы и максимумы'!N$10-'минимумы и максимумы'!N$9)*100)</f>
        <v>0</v>
      </c>
      <c r="Q375">
        <f>IF('исходные данные'!Q375&gt;'минимумы и максимумы'!O$10,100,('исходные данные'!Q375-'минимумы и максимумы'!O$9)/('минимумы и максимумы'!O$10-'минимумы и максимумы'!O$9)*100)</f>
        <v>100</v>
      </c>
      <c r="R375">
        <f>IF('исходные данные'!R375&gt;'минимумы и максимумы'!P$10,100,('исходные данные'!R375-'минимумы и максимумы'!P$9)/('минимумы и максимумы'!P$10-'минимумы и максимумы'!P$9)*100)</f>
        <v>100</v>
      </c>
      <c r="S375">
        <f>IF('исходные данные'!S375&gt;'минимумы и максимумы'!Q$10,100,('исходные данные'!S375-'минимумы и максимумы'!Q$9)/('минимумы и максимумы'!Q$10-'минимумы и максимумы'!Q$9)*100)</f>
        <v>16.666666666666664</v>
      </c>
      <c r="T375">
        <f>IF('исходные данные'!T375&gt;'минимумы и максимумы'!R$10,100,('исходные данные'!T375-'минимумы и максимумы'!R$9)/('минимумы и максимумы'!R$10-'минимумы и максимумы'!R$9)*100)</f>
        <v>11.536248561565017</v>
      </c>
      <c r="U375">
        <f>IF('исходные данные'!U375&gt;'минимумы и максимумы'!S$10,100,('исходные данные'!U375-'минимумы и максимумы'!S$9)/('минимумы и максимумы'!S$10-'минимумы и максимумы'!S$9)*100)</f>
        <v>33.333333333333329</v>
      </c>
    </row>
    <row r="376" spans="1:21" x14ac:dyDescent="0.45">
      <c r="A376" s="4">
        <v>492</v>
      </c>
      <c r="B376" s="4">
        <v>0</v>
      </c>
      <c r="C376" s="4">
        <v>0</v>
      </c>
      <c r="D376">
        <f>IF('исходные данные'!D376&gt;'минимумы и максимумы'!B$10,100,('исходные данные'!D376-'минимумы и максимумы'!B$9)/('минимумы и максимумы'!B$10-'минимумы и максимумы'!B$9)*100)</f>
        <v>0</v>
      </c>
      <c r="E376">
        <f>IF('исходные данные'!E376&gt;'минимумы и максимумы'!C$10,100,('исходные данные'!E376-'минимумы и максимумы'!C$9)/('минимумы и максимумы'!C$10-'минимумы и максимумы'!C$9)*100)</f>
        <v>10</v>
      </c>
      <c r="F376">
        <f>IF('исходные данные'!F376&gt;'минимумы и максимумы'!D$10,100,('исходные данные'!F376-'минимумы и максимумы'!D$9)/('минимумы и максимумы'!D$10-'минимумы и максимумы'!D$9)*100)</f>
        <v>0</v>
      </c>
      <c r="G376">
        <f>IF('исходные данные'!G376&gt;'минимумы и максимумы'!E$10,100,('исходные данные'!G376-'минимумы и максимумы'!E$9)/('минимумы и максимумы'!E$10-'минимумы и максимумы'!E$9)*100)</f>
        <v>20.833333333333336</v>
      </c>
      <c r="H376">
        <f>IF('исходные данные'!H376&gt;'минимумы и максимумы'!F$10,100,('исходные данные'!H376-'минимумы и максимумы'!F$9)/('минимумы и максимумы'!F$10-'минимумы и максимумы'!F$9)*100)</f>
        <v>13.793103448275861</v>
      </c>
      <c r="I376">
        <f>IF('исходные данные'!I376&gt;'минимумы и максимумы'!G$10,100,('исходные данные'!I376-'минимумы и максимумы'!G$9)/('минимумы и максимумы'!G$10-'минимумы и максимумы'!G$9)*100)</f>
        <v>5.6603773584905666</v>
      </c>
      <c r="J376">
        <f>IF('исходные данные'!J376&gt;'минимумы и максимумы'!H$10,100,('исходные данные'!J376-'минимумы и максимумы'!H$9)/('минимумы и максимумы'!H$10-'минимумы и максимумы'!H$9)*100)</f>
        <v>13.333333333333334</v>
      </c>
      <c r="K376">
        <f>IF('исходные данные'!K376&gt;'минимумы и максимумы'!I$10,100,('исходные данные'!K376-'минимумы и максимумы'!I$9)/('минимумы и максимумы'!I$10-'минимумы и максимумы'!I$9)*100)</f>
        <v>5.5555555555555554</v>
      </c>
      <c r="L376">
        <f>IF('исходные данные'!L376&gt;'минимумы и максимумы'!J$10,100,('исходные данные'!L376-'минимумы и максимумы'!J$9)/('минимумы и максимумы'!J$10-'минимумы и максимумы'!J$9)*100)</f>
        <v>0</v>
      </c>
      <c r="M376">
        <f>IF('исходные данные'!M376&gt;'минимумы и максимумы'!K$10,100,('исходные данные'!M376-'минимумы и максимумы'!K$9)/('минимумы и максимумы'!K$10-'минимумы и максимумы'!K$9)*100)</f>
        <v>10.714285714285714</v>
      </c>
      <c r="N376">
        <f>IF('исходные данные'!N376&gt;'минимумы и максимумы'!L$10,100,('исходные данные'!N376-'минимумы и максимумы'!L$9)/('минимумы и максимумы'!L$10-'минимумы и максимумы'!L$9)*100)</f>
        <v>26.117539625967495</v>
      </c>
      <c r="O376">
        <f>IF('исходные данные'!O376&gt;'минимумы и максимумы'!M$10,100,('исходные данные'!O376-'минимумы и максимумы'!M$9)/('минимумы и максимумы'!M$10-'минимумы и максимумы'!M$9)*100)</f>
        <v>100</v>
      </c>
      <c r="P376">
        <f>IF('исходные данные'!P376&gt;'минимумы и максимумы'!N$10,100,('исходные данные'!P376-'минимумы и максимумы'!N$9)/('минимумы и максимумы'!N$10-'минимумы и максимумы'!N$9)*100)</f>
        <v>0</v>
      </c>
      <c r="Q376">
        <f>IF('исходные данные'!Q376&gt;'минимумы и максимумы'!O$10,100,('исходные данные'!Q376-'минимумы и максимумы'!O$9)/('минимумы и максимумы'!O$10-'минимумы и максимумы'!O$9)*100)</f>
        <v>100</v>
      </c>
      <c r="R376">
        <f>IF('исходные данные'!R376&gt;'минимумы и максимумы'!P$10,100,('исходные данные'!R376-'минимумы и максимумы'!P$9)/('минимумы и максимумы'!P$10-'минимумы и максимумы'!P$9)*100)</f>
        <v>75</v>
      </c>
      <c r="S376">
        <f>IF('исходные данные'!S376&gt;'минимумы и максимумы'!Q$10,100,('исходные данные'!S376-'минимумы и максимумы'!Q$9)/('минимумы и максимумы'!Q$10-'минимумы и максимумы'!Q$9)*100)</f>
        <v>50</v>
      </c>
      <c r="T376">
        <f>IF('исходные данные'!T376&gt;'минимумы и максимумы'!R$10,100,('исходные данные'!T376-'минимумы и максимумы'!R$9)/('минимумы и максимумы'!R$10-'минимумы и максимумы'!R$9)*100)</f>
        <v>16.657077100115075</v>
      </c>
      <c r="U376">
        <f>IF('исходные данные'!U376&gt;'минимумы и максимумы'!S$10,100,('исходные данные'!U376-'минимумы и максимумы'!S$9)/('минимумы и максимумы'!S$10-'минимумы и максимумы'!S$9)*100)</f>
        <v>33.333333333333329</v>
      </c>
    </row>
    <row r="377" spans="1:21" x14ac:dyDescent="0.45">
      <c r="A377" s="4">
        <v>493</v>
      </c>
      <c r="B377" s="4">
        <v>0</v>
      </c>
      <c r="C377" s="4">
        <v>0</v>
      </c>
      <c r="D377">
        <f>IF('исходные данные'!D377&gt;'минимумы и максимумы'!B$10,100,('исходные данные'!D377-'минимумы и максимумы'!B$9)/('минимумы и максимумы'!B$10-'минимумы и максимумы'!B$9)*100)</f>
        <v>0</v>
      </c>
      <c r="E377">
        <f>IF('исходные данные'!E377&gt;'минимумы и максимумы'!C$10,100,('исходные данные'!E377-'минимумы и максимумы'!C$9)/('минимумы и максимумы'!C$10-'минимумы и максимумы'!C$9)*100)</f>
        <v>0</v>
      </c>
      <c r="F377">
        <f>IF('исходные данные'!F377&gt;'минимумы и максимумы'!D$10,100,('исходные данные'!F377-'минимумы и максимумы'!D$9)/('минимумы и максимумы'!D$10-'минимумы и максимумы'!D$9)*100)</f>
        <v>0</v>
      </c>
      <c r="G377">
        <f>IF('исходные данные'!G377&gt;'минимумы и максимумы'!E$10,100,('исходные данные'!G377-'минимумы и максимумы'!E$9)/('минимумы и максимумы'!E$10-'минимумы и максимумы'!E$9)*100)</f>
        <v>0</v>
      </c>
      <c r="H377">
        <f>IF('исходные данные'!H377&gt;'минимумы и максимумы'!F$10,100,('исходные данные'!H377-'минимумы и максимумы'!F$9)/('минимумы и максимумы'!F$10-'минимумы и максимумы'!F$9)*100)</f>
        <v>0</v>
      </c>
      <c r="I377">
        <f>IF('исходные данные'!I377&gt;'минимумы и максимумы'!G$10,100,('исходные данные'!I377-'минимумы и максимумы'!G$9)/('минимумы и максимумы'!G$10-'минимумы и максимумы'!G$9)*100)</f>
        <v>1.8867924528301887</v>
      </c>
      <c r="J377">
        <f>IF('исходные данные'!J377&gt;'минимумы и максимумы'!H$10,100,('исходные данные'!J377-'минимумы и максимумы'!H$9)/('минимумы и максимумы'!H$10-'минимумы и максимумы'!H$9)*100)</f>
        <v>0</v>
      </c>
      <c r="K377">
        <f>IF('исходные данные'!K377&gt;'минимумы и максимумы'!I$10,100,('исходные данные'!K377-'минимумы и максимумы'!I$9)/('минимумы и максимумы'!I$10-'минимумы и максимумы'!I$9)*100)</f>
        <v>0</v>
      </c>
      <c r="L377">
        <f>IF('исходные данные'!L377&gt;'минимумы и максимумы'!J$10,100,('исходные данные'!L377-'минимумы и максимумы'!J$9)/('минимумы и максимумы'!J$10-'минимумы и максимумы'!J$9)*100)</f>
        <v>0</v>
      </c>
      <c r="M377">
        <f>IF('исходные данные'!M377&gt;'минимумы и максимумы'!K$10,100,('исходные данные'!M377-'минимумы и максимумы'!K$9)/('минимумы и максимумы'!K$10-'минимумы и максимумы'!K$9)*100)</f>
        <v>7.1428571428571423</v>
      </c>
      <c r="N377">
        <f>IF('исходные данные'!N377&gt;'минимумы и максимумы'!L$10,100,('исходные данные'!N377-'минимумы и максимумы'!L$9)/('минимумы и максимумы'!L$10-'минимумы и максимумы'!L$9)*100)</f>
        <v>27.148469915525574</v>
      </c>
      <c r="O377">
        <f>IF('исходные данные'!O377&gt;'минимумы и максимумы'!M$10,100,('исходные данные'!O377-'минимумы и максимумы'!M$9)/('минимумы и максимумы'!M$10-'минимумы и максимумы'!M$9)*100)</f>
        <v>66.666666666666657</v>
      </c>
      <c r="P377">
        <f>IF('исходные данные'!P377&gt;'минимумы и максимумы'!N$10,100,('исходные данные'!P377-'минимумы и максимумы'!N$9)/('минимумы и максимумы'!N$10-'минимумы и максимумы'!N$9)*100)</f>
        <v>0</v>
      </c>
      <c r="Q377">
        <f>IF('исходные данные'!Q377&gt;'минимумы и максимумы'!O$10,100,('исходные данные'!Q377-'минимумы и максимумы'!O$9)/('минимумы и максимумы'!O$10-'минимумы и максимумы'!O$9)*100)</f>
        <v>0</v>
      </c>
      <c r="R377">
        <f>IF('исходные данные'!R377&gt;'минимумы и максимумы'!P$10,100,('исходные данные'!R377-'минимумы и максимумы'!P$9)/('минимумы и максимумы'!P$10-'минимумы и максимумы'!P$9)*100)</f>
        <v>75</v>
      </c>
      <c r="S377">
        <f>IF('исходные данные'!S377&gt;'минимумы и максимумы'!Q$10,100,('исходные данные'!S377-'минимумы и максимумы'!Q$9)/('минимумы и максимумы'!Q$10-'минимумы и максимумы'!Q$9)*100)</f>
        <v>33.333333333333329</v>
      </c>
      <c r="T377">
        <f>IF('исходные данные'!T377&gt;'минимумы и максимумы'!R$10,100,('исходные данные'!T377-'минимумы и максимумы'!R$9)/('минимумы и максимумы'!R$10-'минимумы и максимумы'!R$9)*100)</f>
        <v>30.264672036823935</v>
      </c>
      <c r="U377">
        <f>IF('исходные данные'!U377&gt;'минимумы и максимумы'!S$10,100,('исходные данные'!U377-'минимумы и максимумы'!S$9)/('минимумы и максимумы'!S$10-'минимумы и максимумы'!S$9)*100)</f>
        <v>0</v>
      </c>
    </row>
    <row r="378" spans="1:21" x14ac:dyDescent="0.45">
      <c r="A378" s="4">
        <v>494</v>
      </c>
      <c r="B378" s="4">
        <v>0</v>
      </c>
      <c r="C378" s="4">
        <v>0</v>
      </c>
      <c r="D378">
        <f>IF('исходные данные'!D378&gt;'минимумы и максимумы'!B$10,100,('исходные данные'!D378-'минимумы и максимумы'!B$9)/('минимумы и максимумы'!B$10-'минимумы и максимумы'!B$9)*100)</f>
        <v>0</v>
      </c>
      <c r="E378">
        <f>IF('исходные данные'!E378&gt;'минимумы и максимумы'!C$10,100,('исходные данные'!E378-'минимумы и максимумы'!C$9)/('минимумы и максимумы'!C$10-'минимумы и максимумы'!C$9)*100)</f>
        <v>0</v>
      </c>
      <c r="F378">
        <f>IF('исходные данные'!F378&gt;'минимумы и максимумы'!D$10,100,('исходные данные'!F378-'минимумы и максимумы'!D$9)/('минимумы и максимумы'!D$10-'минимумы и максимумы'!D$9)*100)</f>
        <v>0</v>
      </c>
      <c r="G378">
        <f>IF('исходные данные'!G378&gt;'минимумы и максимумы'!E$10,100,('исходные данные'!G378-'минимумы и максимумы'!E$9)/('минимумы и максимумы'!E$10-'минимумы и максимумы'!E$9)*100)</f>
        <v>0</v>
      </c>
      <c r="H378">
        <f>IF('исходные данные'!H378&gt;'минимумы и максимумы'!F$10,100,('исходные данные'!H378-'минимумы и максимумы'!F$9)/('минимумы и максимумы'!F$10-'минимумы и максимумы'!F$9)*100)</f>
        <v>0</v>
      </c>
      <c r="I378">
        <f>IF('исходные данные'!I378&gt;'минимумы и максимумы'!G$10,100,('исходные данные'!I378-'минимумы и максимумы'!G$9)/('минимумы и максимумы'!G$10-'минимумы и максимумы'!G$9)*100)</f>
        <v>1.8867924528301887</v>
      </c>
      <c r="J378">
        <f>IF('исходные данные'!J378&gt;'минимумы и максимумы'!H$10,100,('исходные данные'!J378-'минимумы и максимумы'!H$9)/('минимумы и максимумы'!H$10-'минимумы и максимумы'!H$9)*100)</f>
        <v>0</v>
      </c>
      <c r="K378">
        <f>IF('исходные данные'!K378&gt;'минимумы и максимумы'!I$10,100,('исходные данные'!K378-'минимумы и максимумы'!I$9)/('минимумы и максимумы'!I$10-'минимумы и максимумы'!I$9)*100)</f>
        <v>0</v>
      </c>
      <c r="L378">
        <f>IF('исходные данные'!L378&gt;'минимумы и максимумы'!J$10,100,('исходные данные'!L378-'минимумы и максимумы'!J$9)/('минимумы и максимумы'!J$10-'минимумы и максимумы'!J$9)*100)</f>
        <v>0</v>
      </c>
      <c r="M378">
        <f>IF('исходные данные'!M378&gt;'минимумы и максимумы'!K$10,100,('исходные данные'!M378-'минимумы и максимумы'!K$9)/('минимумы и максимумы'!K$10-'минимумы и максимумы'!K$9)*100)</f>
        <v>7.1428571428571423</v>
      </c>
      <c r="N378">
        <f>IF('исходные данные'!N378&gt;'минимумы и максимумы'!L$10,100,('исходные данные'!N378-'минимумы и максимумы'!L$9)/('минимумы и максимумы'!L$10-'минимумы и максимумы'!L$9)*100)</f>
        <v>27.148469915525574</v>
      </c>
      <c r="O378">
        <f>IF('исходные данные'!O378&gt;'минимумы и максимумы'!M$10,100,('исходные данные'!O378-'минимумы и максимумы'!M$9)/('минимумы и максимумы'!M$10-'минимумы и максимумы'!M$9)*100)</f>
        <v>66.666666666666657</v>
      </c>
      <c r="P378">
        <f>IF('исходные данные'!P378&gt;'минимумы и максимумы'!N$10,100,('исходные данные'!P378-'минимумы и максимумы'!N$9)/('минимумы и максимумы'!N$10-'минимумы и максимумы'!N$9)*100)</f>
        <v>0</v>
      </c>
      <c r="Q378">
        <f>IF('исходные данные'!Q378&gt;'минимумы и максимумы'!O$10,100,('исходные данные'!Q378-'минимумы и максимумы'!O$9)/('минимумы и максимумы'!O$10-'минимумы и максимумы'!O$9)*100)</f>
        <v>100</v>
      </c>
      <c r="R378">
        <f>IF('исходные данные'!R378&gt;'минимумы и максимумы'!P$10,100,('исходные данные'!R378-'минимумы и максимумы'!P$9)/('минимумы и максимумы'!P$10-'минимумы и максимумы'!P$9)*100)</f>
        <v>75</v>
      </c>
      <c r="S378">
        <f>IF('исходные данные'!S378&gt;'минимумы и максимумы'!Q$10,100,('исходные данные'!S378-'минимумы и максимумы'!Q$9)/('минимумы и максимумы'!Q$10-'минимумы и максимумы'!Q$9)*100)</f>
        <v>33.333333333333329</v>
      </c>
      <c r="T378">
        <f>IF('исходные данные'!T378&gt;'минимумы и максимумы'!R$10,100,('исходные данные'!T378-'минимумы и максимумы'!R$9)/('минимумы и максимумы'!R$10-'минимумы и максимумы'!R$9)*100)</f>
        <v>51.294591484464902</v>
      </c>
      <c r="U378">
        <f>IF('исходные данные'!U378&gt;'минимумы и максимумы'!S$10,100,('исходные данные'!U378-'минимумы и максимумы'!S$9)/('минимумы и максимумы'!S$10-'минимумы и максимумы'!S$9)*100)</f>
        <v>0</v>
      </c>
    </row>
    <row r="379" spans="1:21" x14ac:dyDescent="0.45">
      <c r="A379" s="4">
        <v>495</v>
      </c>
      <c r="B379" s="4">
        <v>1</v>
      </c>
      <c r="C379" s="4">
        <v>0</v>
      </c>
      <c r="D379">
        <f>IF('исходные данные'!D379&gt;'минимумы и максимумы'!B$10,100,('исходные данные'!D379-'минимумы и максимумы'!B$9)/('минимумы и максимумы'!B$10-'минимумы и максимумы'!B$9)*100)</f>
        <v>11.111111111111111</v>
      </c>
      <c r="E379">
        <f>IF('исходные данные'!E379&gt;'минимумы и максимумы'!C$10,100,('исходные данные'!E379-'минимумы и максимумы'!C$9)/('минимумы и максимумы'!C$10-'минимумы и максимумы'!C$9)*100)</f>
        <v>20</v>
      </c>
      <c r="F379">
        <f>IF('исходные данные'!F379&gt;'минимумы и максимумы'!D$10,100,('исходные данные'!F379-'минимумы и максимумы'!D$9)/('минимумы и максимумы'!D$10-'минимумы и максимумы'!D$9)*100)</f>
        <v>33.333333333333329</v>
      </c>
      <c r="G379">
        <f>IF('исходные данные'!G379&gt;'минимумы и максимумы'!E$10,100,('исходные данные'!G379-'минимумы и максимумы'!E$9)/('минимумы и максимумы'!E$10-'минимумы и максимумы'!E$9)*100)</f>
        <v>4.1666666666666661</v>
      </c>
      <c r="H379">
        <f>IF('исходные данные'!H379&gt;'минимумы и максимумы'!F$10,100,('исходные данные'!H379-'минимумы и максимумы'!F$9)/('минимумы и максимумы'!F$10-'минимумы и максимумы'!F$9)*100)</f>
        <v>3.4482758620689653</v>
      </c>
      <c r="I379">
        <f>IF('исходные данные'!I379&gt;'минимумы и максимумы'!G$10,100,('исходные данные'!I379-'минимумы и максимумы'!G$9)/('минимумы и максимумы'!G$10-'минимумы и максимумы'!G$9)*100)</f>
        <v>0</v>
      </c>
      <c r="J379">
        <f>IF('исходные данные'!J379&gt;'минимумы и максимумы'!H$10,100,('исходные данные'!J379-'минимумы и максимумы'!H$9)/('минимумы и максимумы'!H$10-'минимумы и максимумы'!H$9)*100)</f>
        <v>0</v>
      </c>
      <c r="K379">
        <f>IF('исходные данные'!K379&gt;'минимумы и максимумы'!I$10,100,('исходные данные'!K379-'минимумы и максимумы'!I$9)/('минимумы и максимумы'!I$10-'минимумы и максимумы'!I$9)*100)</f>
        <v>0</v>
      </c>
      <c r="L379">
        <f>IF('исходные данные'!L379&gt;'минимумы и максимумы'!J$10,100,('исходные данные'!L379-'минимумы и максимумы'!J$9)/('минимумы и максимумы'!J$10-'минимумы и максимумы'!J$9)*100)</f>
        <v>0</v>
      </c>
      <c r="M379">
        <f>IF('исходные данные'!M379&gt;'минимумы и максимумы'!K$10,100,('исходные данные'!M379-'минимумы и максимумы'!K$9)/('минимумы и максимумы'!K$10-'минимумы и максимумы'!K$9)*100)</f>
        <v>17.857142857142858</v>
      </c>
      <c r="N379">
        <f>IF('исходные данные'!N379&gt;'минимумы и максимумы'!L$10,100,('исходные данные'!N379-'минимумы и максимумы'!L$9)/('минимумы и максимумы'!L$10-'минимумы и максимумы'!L$9)*100)</f>
        <v>35.036658849765637</v>
      </c>
      <c r="O379">
        <f>IF('исходные данные'!O379&gt;'минимумы и максимумы'!M$10,100,('исходные данные'!O379-'минимумы и максимумы'!M$9)/('минимумы и максимумы'!M$10-'минимумы и максимумы'!M$9)*100)</f>
        <v>100</v>
      </c>
      <c r="P379">
        <f>IF('исходные данные'!P379&gt;'минимумы и максимумы'!N$10,100,('исходные данные'!P379-'минимумы и максимумы'!N$9)/('минимумы и максимумы'!N$10-'минимумы и максимумы'!N$9)*100)</f>
        <v>0</v>
      </c>
      <c r="Q379">
        <f>IF('исходные данные'!Q379&gt;'минимумы и максимумы'!O$10,100,('исходные данные'!Q379-'минимумы и максимумы'!O$9)/('минимумы и максимумы'!O$10-'минимумы и максимумы'!O$9)*100)</f>
        <v>100</v>
      </c>
      <c r="R379">
        <f>IF('исходные данные'!R379&gt;'минимумы и максимумы'!P$10,100,('исходные данные'!R379-'минимумы и максимумы'!P$9)/('минимумы и максимумы'!P$10-'минимумы и максимумы'!P$9)*100)</f>
        <v>75</v>
      </c>
      <c r="S379">
        <f>IF('исходные данные'!S379&gt;'минимумы и максимумы'!Q$10,100,('исходные данные'!S379-'минимумы и максимумы'!Q$9)/('минимумы и максимумы'!Q$10-'минимумы и максимумы'!Q$9)*100)</f>
        <v>50</v>
      </c>
      <c r="T379">
        <f>IF('исходные данные'!T379&gt;'минимумы и максимумы'!R$10,100,('исходные данные'!T379-'минимумы и максимумы'!R$9)/('минимумы и максимумы'!R$10-'минимумы и максимумы'!R$9)*100)</f>
        <v>16.081703107019564</v>
      </c>
      <c r="U379">
        <f>IF('исходные данные'!U379&gt;'минимумы и максимумы'!S$10,100,('исходные данные'!U379-'минимумы и максимумы'!S$9)/('минимумы и максимумы'!S$10-'минимумы и максимумы'!S$9)*100)</f>
        <v>66.666666666666657</v>
      </c>
    </row>
    <row r="380" spans="1:21" x14ac:dyDescent="0.45">
      <c r="A380" s="4">
        <v>496</v>
      </c>
      <c r="B380" s="4">
        <v>1</v>
      </c>
      <c r="C380" s="4">
        <v>0</v>
      </c>
      <c r="D380">
        <f>IF('исходные данные'!D380&gt;'минимумы и максимумы'!B$10,100,('исходные данные'!D380-'минимумы и максимумы'!B$9)/('минимумы и максимумы'!B$10-'минимумы и максимумы'!B$9)*100)</f>
        <v>11.111111111111111</v>
      </c>
      <c r="E380">
        <f>IF('исходные данные'!E380&gt;'минимумы и максимумы'!C$10,100,('исходные данные'!E380-'минимумы и максимумы'!C$9)/('минимумы и максимумы'!C$10-'минимумы и максимумы'!C$9)*100)</f>
        <v>20</v>
      </c>
      <c r="F380">
        <f>IF('исходные данные'!F380&gt;'минимумы и максимумы'!D$10,100,('исходные данные'!F380-'минимумы и максимумы'!D$9)/('минимумы и максимумы'!D$10-'минимумы и максимумы'!D$9)*100)</f>
        <v>33.333333333333329</v>
      </c>
      <c r="G380">
        <f>IF('исходные данные'!G380&gt;'минимумы и максимумы'!E$10,100,('исходные данные'!G380-'минимумы и максимумы'!E$9)/('минимумы и максимумы'!E$10-'минимумы и максимумы'!E$9)*100)</f>
        <v>8.3333333333333321</v>
      </c>
      <c r="H380">
        <f>IF('исходные данные'!H380&gt;'минимумы и максимумы'!F$10,100,('исходные данные'!H380-'минимумы и максимумы'!F$9)/('минимумы и максимумы'!F$10-'минимумы и максимумы'!F$9)*100)</f>
        <v>6.8965517241379306</v>
      </c>
      <c r="I380">
        <f>IF('исходные данные'!I380&gt;'минимумы и максимумы'!G$10,100,('исходные данные'!I380-'минимумы и максимумы'!G$9)/('минимумы и максимумы'!G$10-'минимумы и максимумы'!G$9)*100)</f>
        <v>0</v>
      </c>
      <c r="J380">
        <f>IF('исходные данные'!J380&gt;'минимумы и максимумы'!H$10,100,('исходные данные'!J380-'минимумы и максимумы'!H$9)/('минимумы и максимумы'!H$10-'минимумы и максимумы'!H$9)*100)</f>
        <v>0</v>
      </c>
      <c r="K380">
        <f>IF('исходные данные'!K380&gt;'минимумы и максимумы'!I$10,100,('исходные данные'!K380-'минимумы и максимумы'!I$9)/('минимумы и максимумы'!I$10-'минимумы и максимумы'!I$9)*100)</f>
        <v>0</v>
      </c>
      <c r="L380">
        <f>IF('исходные данные'!L380&gt;'минимумы и максимумы'!J$10,100,('исходные данные'!L380-'минимумы и максимумы'!J$9)/('минимумы и максимумы'!J$10-'минимумы и максимумы'!J$9)*100)</f>
        <v>0</v>
      </c>
      <c r="M380">
        <f>IF('исходные данные'!M380&gt;'минимумы и максимумы'!K$10,100,('исходные данные'!M380-'минимумы и максимумы'!K$9)/('минимумы и максимумы'!K$10-'минимумы и максимумы'!K$9)*100)</f>
        <v>10.714285714285714</v>
      </c>
      <c r="N380">
        <f>IF('исходные данные'!N380&gt;'минимумы и максимумы'!L$10,100,('исходные данные'!N380-'минимумы и максимумы'!L$9)/('минимумы и максимумы'!L$10-'минимумы и максимумы'!L$9)*100)</f>
        <v>35.426121024947065</v>
      </c>
      <c r="O380">
        <f>IF('исходные данные'!O380&gt;'минимумы и максимумы'!M$10,100,('исходные данные'!O380-'минимумы и максимумы'!M$9)/('минимумы и максимумы'!M$10-'минимумы и максимумы'!M$9)*100)</f>
        <v>100</v>
      </c>
      <c r="P380">
        <f>IF('исходные данные'!P380&gt;'минимумы и максимумы'!N$10,100,('исходные данные'!P380-'минимумы и максимумы'!N$9)/('минимумы и максимумы'!N$10-'минимумы и максимумы'!N$9)*100)</f>
        <v>0</v>
      </c>
      <c r="Q380">
        <f>IF('исходные данные'!Q380&gt;'минимумы и максимумы'!O$10,100,('исходные данные'!Q380-'минимумы и максимумы'!O$9)/('минимумы и максимумы'!O$10-'минимумы и максимумы'!O$9)*100)</f>
        <v>100</v>
      </c>
      <c r="R380">
        <f>IF('исходные данные'!R380&gt;'минимумы и максимумы'!P$10,100,('исходные данные'!R380-'минимумы и максимумы'!P$9)/('минимумы и максимумы'!P$10-'минимумы и максимумы'!P$9)*100)</f>
        <v>25</v>
      </c>
      <c r="S380">
        <f>IF('исходные данные'!S380&gt;'минимумы и максимумы'!Q$10,100,('исходные данные'!S380-'минимумы и максимумы'!Q$9)/('минимумы и максимумы'!Q$10-'минимумы и максимумы'!Q$9)*100)</f>
        <v>83.333333333333343</v>
      </c>
      <c r="T380">
        <f>IF('исходные данные'!T380&gt;'минимумы и максимумы'!R$10,100,('исходные данные'!T380-'минимумы и максимумы'!R$9)/('минимумы и максимумы'!R$10-'минимумы и максимумы'!R$9)*100)</f>
        <v>23.130034522439587</v>
      </c>
      <c r="U380">
        <f>IF('исходные данные'!U380&gt;'минимумы и максимумы'!S$10,100,('исходные данные'!U380-'минимумы и максимумы'!S$9)/('минимумы и максимумы'!S$10-'минимумы и максимумы'!S$9)*100)</f>
        <v>0</v>
      </c>
    </row>
    <row r="381" spans="1:21" x14ac:dyDescent="0.45">
      <c r="A381" s="4">
        <v>497</v>
      </c>
      <c r="B381" s="4">
        <v>0</v>
      </c>
      <c r="C381" s="4">
        <v>0</v>
      </c>
      <c r="D381">
        <f>IF('исходные данные'!D381&gt;'минимумы и максимумы'!B$10,100,('исходные данные'!D381-'минимумы и максимумы'!B$9)/('минимумы и максимумы'!B$10-'минимумы и максимумы'!B$9)*100)</f>
        <v>0</v>
      </c>
      <c r="E381">
        <f>IF('исходные данные'!E381&gt;'минимумы и максимумы'!C$10,100,('исходные данные'!E381-'минимумы и максимумы'!C$9)/('минимумы и максимумы'!C$10-'минимумы и максимумы'!C$9)*100)</f>
        <v>0</v>
      </c>
      <c r="F381">
        <f>IF('исходные данные'!F381&gt;'минимумы и максимумы'!D$10,100,('исходные данные'!F381-'минимумы и максимумы'!D$9)/('минимумы и максимумы'!D$10-'минимумы и максимумы'!D$9)*100)</f>
        <v>0</v>
      </c>
      <c r="G381">
        <f>IF('исходные данные'!G381&gt;'минимумы и максимумы'!E$10,100,('исходные данные'!G381-'минимумы и максимумы'!E$9)/('минимумы и максимумы'!E$10-'минимумы и максимумы'!E$9)*100)</f>
        <v>12.5</v>
      </c>
      <c r="H381">
        <f>IF('исходные данные'!H381&gt;'минимумы и максимумы'!F$10,100,('исходные данные'!H381-'минимумы и максимумы'!F$9)/('минимумы и максимумы'!F$10-'минимумы и максимумы'!F$9)*100)</f>
        <v>0</v>
      </c>
      <c r="I381">
        <f>IF('исходные данные'!I381&gt;'минимумы и максимумы'!G$10,100,('исходные данные'!I381-'минимумы и максимумы'!G$9)/('минимумы и максимумы'!G$10-'минимумы и максимумы'!G$9)*100)</f>
        <v>7.5471698113207548</v>
      </c>
      <c r="J381">
        <f>IF('исходные данные'!J381&gt;'минимумы и максимумы'!H$10,100,('исходные данные'!J381-'минимумы и максимумы'!H$9)/('минимумы и максимумы'!H$10-'минимумы и максимумы'!H$9)*100)</f>
        <v>0</v>
      </c>
      <c r="K381">
        <f>IF('исходные данные'!K381&gt;'минимумы и максимумы'!I$10,100,('исходные данные'!K381-'минимумы и максимумы'!I$9)/('минимумы и максимумы'!I$10-'минимумы и максимумы'!I$9)*100)</f>
        <v>22.222222222222221</v>
      </c>
      <c r="L381">
        <f>IF('исходные данные'!L381&gt;'минимумы и максимумы'!J$10,100,('исходные данные'!L381-'минимумы и максимумы'!J$9)/('минимумы и максимумы'!J$10-'минимумы и максимумы'!J$9)*100)</f>
        <v>0</v>
      </c>
      <c r="M381">
        <f>IF('исходные данные'!M381&gt;'минимумы и максимумы'!K$10,100,('исходные данные'!M381-'минимумы и максимумы'!K$9)/('минимумы и максимумы'!K$10-'минимумы и максимумы'!K$9)*100)</f>
        <v>39.285714285714285</v>
      </c>
      <c r="N381">
        <f>IF('исходные данные'!N381&gt;'минимумы и максимумы'!L$10,100,('исходные данные'!N381-'минимумы и максимумы'!L$9)/('минимумы и максимумы'!L$10-'минимумы и максимумы'!L$9)*100)</f>
        <v>28.197330326275562</v>
      </c>
      <c r="O381">
        <f>IF('исходные данные'!O381&gt;'минимумы и максимумы'!M$10,100,('исходные данные'!O381-'минимумы и максимумы'!M$9)/('минимумы и максимумы'!M$10-'минимумы и максимумы'!M$9)*100)</f>
        <v>100</v>
      </c>
      <c r="P381">
        <f>IF('исходные данные'!P381&gt;'минимумы и максимумы'!N$10,100,('исходные данные'!P381-'минимумы и максимумы'!N$9)/('минимумы и максимумы'!N$10-'минимумы и максимумы'!N$9)*100)</f>
        <v>100</v>
      </c>
      <c r="Q381">
        <f>IF('исходные данные'!Q381&gt;'минимумы и максимумы'!O$10,100,('исходные данные'!Q381-'минимумы и максимумы'!O$9)/('минимумы и максимумы'!O$10-'минимумы и максимумы'!O$9)*100)</f>
        <v>100</v>
      </c>
      <c r="R381">
        <f>IF('исходные данные'!R381&gt;'минимумы и максимумы'!P$10,100,('исходные данные'!R381-'минимумы и максимумы'!P$9)/('минимумы и максимумы'!P$10-'минимумы и максимумы'!P$9)*100)</f>
        <v>75</v>
      </c>
      <c r="S381">
        <f>IF('исходные данные'!S381&gt;'минимумы и максимумы'!Q$10,100,('исходные данные'!S381-'минимумы и максимумы'!Q$9)/('минимумы и максимумы'!Q$10-'минимумы и максимумы'!Q$9)*100)</f>
        <v>33.333333333333329</v>
      </c>
      <c r="T381">
        <f>IF('исходные данные'!T381&gt;'минимумы и максимумы'!R$10,100,('исходные данные'!T381-'минимумы и максимумы'!R$9)/('минимумы и максимумы'!R$10-'минимумы и максимумы'!R$9)*100)</f>
        <v>13.60759493670886</v>
      </c>
      <c r="U381">
        <f>IF('исходные данные'!U381&gt;'минимумы и максимумы'!S$10,100,('исходные данные'!U381-'минимумы и максимумы'!S$9)/('минимумы и максимумы'!S$10-'минимумы и максимумы'!S$9)*100)</f>
        <v>33.333333333333329</v>
      </c>
    </row>
    <row r="382" spans="1:21" x14ac:dyDescent="0.45">
      <c r="A382" s="4">
        <v>498</v>
      </c>
      <c r="B382" s="4">
        <v>0</v>
      </c>
      <c r="C382" s="4">
        <v>0</v>
      </c>
      <c r="D382">
        <f>IF('исходные данные'!D382&gt;'минимумы и максимумы'!B$10,100,('исходные данные'!D382-'минимумы и максимумы'!B$9)/('минимумы и максимумы'!B$10-'минимумы и максимумы'!B$9)*100)</f>
        <v>0</v>
      </c>
      <c r="E382">
        <f>IF('исходные данные'!E382&gt;'минимумы и максимумы'!C$10,100,('исходные данные'!E382-'минимумы и максимумы'!C$9)/('минимумы и максимумы'!C$10-'минимумы и максимумы'!C$9)*100)</f>
        <v>10</v>
      </c>
      <c r="F382">
        <f>IF('исходные данные'!F382&gt;'минимумы и максимумы'!D$10,100,('исходные данные'!F382-'минимумы и максимумы'!D$9)/('минимумы и максимумы'!D$10-'минимумы и максимумы'!D$9)*100)</f>
        <v>0</v>
      </c>
      <c r="G382">
        <f>IF('исходные данные'!G382&gt;'минимумы и максимумы'!E$10,100,('исходные данные'!G382-'минимумы и максимумы'!E$9)/('минимумы и максимумы'!E$10-'минимумы и максимумы'!E$9)*100)</f>
        <v>8.3333333333333321</v>
      </c>
      <c r="H382">
        <f>IF('исходные данные'!H382&gt;'минимумы и максимумы'!F$10,100,('исходные данные'!H382-'минимумы и максимумы'!F$9)/('минимумы и максимумы'!F$10-'минимумы и максимумы'!F$9)*100)</f>
        <v>0</v>
      </c>
      <c r="I382">
        <f>IF('исходные данные'!I382&gt;'минимумы и максимумы'!G$10,100,('исходные данные'!I382-'минимумы и максимумы'!G$9)/('минимумы и максимумы'!G$10-'минимумы и максимумы'!G$9)*100)</f>
        <v>9.433962264150944</v>
      </c>
      <c r="J382">
        <f>IF('исходные данные'!J382&gt;'минимумы и максимумы'!H$10,100,('исходные данные'!J382-'минимумы и максимумы'!H$9)/('минимумы и максимумы'!H$10-'минимумы и максимумы'!H$9)*100)</f>
        <v>6.666666666666667</v>
      </c>
      <c r="K382">
        <f>IF('исходные данные'!K382&gt;'минимумы и максимумы'!I$10,100,('исходные данные'!K382-'минимумы и максимумы'!I$9)/('минимумы и максимумы'!I$10-'минимумы и максимумы'!I$9)*100)</f>
        <v>22.222222222222221</v>
      </c>
      <c r="L382">
        <f>IF('исходные данные'!L382&gt;'минимумы и максимумы'!J$10,100,('исходные данные'!L382-'минимумы и максимумы'!J$9)/('минимумы и максимумы'!J$10-'минимумы и максимумы'!J$9)*100)</f>
        <v>0</v>
      </c>
      <c r="M382">
        <f>IF('исходные данные'!M382&gt;'минимумы и максимумы'!K$10,100,('исходные данные'!M382-'минимумы и максимумы'!K$9)/('минимумы и максимумы'!K$10-'минимумы и максимумы'!K$9)*100)</f>
        <v>35.714285714285715</v>
      </c>
      <c r="N382">
        <f>IF('исходные данные'!N382&gt;'минимумы и максимумы'!L$10,100,('исходные данные'!N382-'минимумы и максимумы'!L$9)/('минимумы и максимумы'!L$10-'минимумы и максимумы'!L$9)*100)</f>
        <v>27.095804422828294</v>
      </c>
      <c r="O382">
        <f>IF('исходные данные'!O382&gt;'минимумы и максимумы'!M$10,100,('исходные данные'!O382-'минимумы и максимумы'!M$9)/('минимумы и максимумы'!M$10-'минимумы и максимумы'!M$9)*100)</f>
        <v>100</v>
      </c>
      <c r="P382">
        <f>IF('исходные данные'!P382&gt;'минимумы и максимумы'!N$10,100,('исходные данные'!P382-'минимумы и максимумы'!N$9)/('минимумы и максимумы'!N$10-'минимумы и максимумы'!N$9)*100)</f>
        <v>100</v>
      </c>
      <c r="Q382">
        <f>IF('исходные данные'!Q382&gt;'минимумы и максимумы'!O$10,100,('исходные данные'!Q382-'минимумы и максимумы'!O$9)/('минимумы и максимумы'!O$10-'минимумы и максимумы'!O$9)*100)</f>
        <v>100</v>
      </c>
      <c r="R382">
        <f>IF('исходные данные'!R382&gt;'минимумы и максимумы'!P$10,100,('исходные данные'!R382-'минимумы и максимумы'!P$9)/('минимумы и максимумы'!P$10-'минимумы и максимумы'!P$9)*100)</f>
        <v>75</v>
      </c>
      <c r="S382">
        <f>IF('исходные данные'!S382&gt;'минимумы и максимумы'!Q$10,100,('исходные данные'!S382-'минимумы и максимумы'!Q$9)/('минимумы и максимумы'!Q$10-'минимумы и максимумы'!Q$9)*100)</f>
        <v>33.333333333333329</v>
      </c>
      <c r="T382">
        <f>IF('исходные данные'!T382&gt;'минимумы и максимумы'!R$10,100,('исходные данные'!T382-'минимумы и максимумы'!R$9)/('минимумы и максимумы'!R$10-'минимумы и максимумы'!R$9)*100)</f>
        <v>21.777905638665132</v>
      </c>
      <c r="U382">
        <f>IF('исходные данные'!U382&gt;'минимумы и максимумы'!S$10,100,('исходные данные'!U382-'минимумы и максимумы'!S$9)/('минимумы и максимумы'!S$10-'минимумы и максимумы'!S$9)*100)</f>
        <v>0</v>
      </c>
    </row>
    <row r="383" spans="1:21" x14ac:dyDescent="0.45">
      <c r="A383" s="4">
        <v>499</v>
      </c>
      <c r="B383" s="4">
        <v>0</v>
      </c>
      <c r="C383" s="4">
        <v>0</v>
      </c>
      <c r="D383">
        <f>IF('исходные данные'!D383&gt;'минимумы и максимумы'!B$10,100,('исходные данные'!D383-'минимумы и максимумы'!B$9)/('минимумы и максимумы'!B$10-'минимумы и максимумы'!B$9)*100)</f>
        <v>0</v>
      </c>
      <c r="E383">
        <f>IF('исходные данные'!E383&gt;'минимумы и максимумы'!C$10,100,('исходные данные'!E383-'минимумы и максимумы'!C$9)/('минимумы и максимумы'!C$10-'минимумы и максимумы'!C$9)*100)</f>
        <v>20</v>
      </c>
      <c r="F383">
        <f>IF('исходные данные'!F383&gt;'минимумы и максимумы'!D$10,100,('исходные данные'!F383-'минимумы и максимумы'!D$9)/('минимумы и максимумы'!D$10-'минимумы и максимумы'!D$9)*100)</f>
        <v>0</v>
      </c>
      <c r="G383">
        <f>IF('исходные данные'!G383&gt;'минимумы и максимумы'!E$10,100,('исходные данные'!G383-'минимумы и максимумы'!E$9)/('минимумы и максимумы'!E$10-'минимумы и максимумы'!E$9)*100)</f>
        <v>8.3333333333333321</v>
      </c>
      <c r="H383">
        <f>IF('исходные данные'!H383&gt;'минимумы и максимумы'!F$10,100,('исходные данные'!H383-'минимумы и максимумы'!F$9)/('минимумы и максимумы'!F$10-'минимумы и максимумы'!F$9)*100)</f>
        <v>0</v>
      </c>
      <c r="I383">
        <f>IF('исходные данные'!I383&gt;'минимумы и максимумы'!G$10,100,('исходные данные'!I383-'минимумы и максимумы'!G$9)/('минимумы и максимумы'!G$10-'минимумы и максимумы'!G$9)*100)</f>
        <v>9.433962264150944</v>
      </c>
      <c r="J383">
        <f>IF('исходные данные'!J383&gt;'минимумы и максимумы'!H$10,100,('исходные данные'!J383-'минимумы и максимумы'!H$9)/('минимумы и максимумы'!H$10-'минимумы и максимумы'!H$9)*100)</f>
        <v>6.666666666666667</v>
      </c>
      <c r="K383">
        <f>IF('исходные данные'!K383&gt;'минимумы и максимумы'!I$10,100,('исходные данные'!K383-'минимумы и максимумы'!I$9)/('минимумы и максимумы'!I$10-'минимумы и максимумы'!I$9)*100)</f>
        <v>16.666666666666664</v>
      </c>
      <c r="L383">
        <f>IF('исходные данные'!L383&gt;'минимумы и максимумы'!J$10,100,('исходные данные'!L383-'минимумы и максимумы'!J$9)/('минимумы и максимумы'!J$10-'минимумы и максимумы'!J$9)*100)</f>
        <v>0</v>
      </c>
      <c r="M383">
        <f>IF('исходные данные'!M383&gt;'минимумы и максимумы'!K$10,100,('исходные данные'!M383-'минимумы и максимумы'!K$9)/('минимумы и максимумы'!K$10-'минимумы и максимумы'!K$9)*100)</f>
        <v>28.571428571428569</v>
      </c>
      <c r="N383">
        <f>IF('исходные данные'!N383&gt;'минимумы и максимумы'!L$10,100,('исходные данные'!N383-'минимумы и максимумы'!L$9)/('минимумы и максимумы'!L$10-'минимумы и максимумы'!L$9)*100)</f>
        <v>27.583517964456441</v>
      </c>
      <c r="O383">
        <f>IF('исходные данные'!O383&gt;'минимумы и максимумы'!M$10,100,('исходные данные'!O383-'минимумы и максимумы'!M$9)/('минимумы и максимумы'!M$10-'минимумы и максимумы'!M$9)*100)</f>
        <v>0</v>
      </c>
      <c r="P383">
        <f>IF('исходные данные'!P383&gt;'минимумы и максимумы'!N$10,100,('исходные данные'!P383-'минимумы и максимумы'!N$9)/('минимумы и максимумы'!N$10-'минимумы и максимумы'!N$9)*100)</f>
        <v>0</v>
      </c>
      <c r="Q383">
        <f>IF('исходные данные'!Q383&gt;'минимумы и максимумы'!O$10,100,('исходные данные'!Q383-'минимумы и максимумы'!O$9)/('минимумы и максимумы'!O$10-'минимумы и максимумы'!O$9)*100)</f>
        <v>100</v>
      </c>
      <c r="R383">
        <f>IF('исходные данные'!R383&gt;'минимумы и максимумы'!P$10,100,('исходные данные'!R383-'минимумы и максимумы'!P$9)/('минимумы и максимумы'!P$10-'минимумы и максимумы'!P$9)*100)</f>
        <v>50</v>
      </c>
      <c r="S383">
        <f>IF('исходные данные'!S383&gt;'минимумы и максимумы'!Q$10,100,('исходные данные'!S383-'минимумы и максимумы'!Q$9)/('минимумы и максимумы'!Q$10-'минимумы и максимумы'!Q$9)*100)</f>
        <v>33.333333333333329</v>
      </c>
      <c r="T383">
        <f>IF('исходные данные'!T383&gt;'минимумы и максимумы'!R$10,100,('исходные данные'!T383-'минимумы и максимумы'!R$9)/('минимумы и максимумы'!R$10-'минимумы и максимумы'!R$9)*100)</f>
        <v>56.041426927502883</v>
      </c>
      <c r="U383">
        <f>IF('исходные данные'!U383&gt;'минимумы и максимумы'!S$10,100,('исходные данные'!U383-'минимумы и максимумы'!S$9)/('минимумы и максимумы'!S$10-'минимумы и максимумы'!S$9)*100)</f>
        <v>33.333333333333329</v>
      </c>
    </row>
    <row r="384" spans="1:21" x14ac:dyDescent="0.45">
      <c r="A384" s="4">
        <v>500</v>
      </c>
      <c r="B384" s="4">
        <v>0</v>
      </c>
      <c r="C384" s="4">
        <v>0</v>
      </c>
      <c r="D384">
        <f>IF('исходные данные'!D384&gt;'минимумы и максимумы'!B$10,100,('исходные данные'!D384-'минимумы и максимумы'!B$9)/('минимумы и максимумы'!B$10-'минимумы и максимумы'!B$9)*100)</f>
        <v>0</v>
      </c>
      <c r="E384">
        <f>IF('исходные данные'!E384&gt;'минимумы и максимумы'!C$10,100,('исходные данные'!E384-'минимумы и максимумы'!C$9)/('минимумы и максимумы'!C$10-'минимумы и максимумы'!C$9)*100)</f>
        <v>0</v>
      </c>
      <c r="F384">
        <f>IF('исходные данные'!F384&gt;'минимумы и максимумы'!D$10,100,('исходные данные'!F384-'минимумы и максимумы'!D$9)/('минимумы и максимумы'!D$10-'минимумы и максимумы'!D$9)*100)</f>
        <v>0</v>
      </c>
      <c r="G384">
        <f>IF('исходные данные'!G384&gt;'минимумы и максимумы'!E$10,100,('исходные данные'!G384-'минимумы и максимумы'!E$9)/('минимумы и максимумы'!E$10-'минимумы и максимумы'!E$9)*100)</f>
        <v>4.1666666666666661</v>
      </c>
      <c r="H384">
        <f>IF('исходные данные'!H384&gt;'минимумы и максимумы'!F$10,100,('исходные данные'!H384-'минимумы и максимумы'!F$9)/('минимумы и максимумы'!F$10-'минимумы и максимумы'!F$9)*100)</f>
        <v>0</v>
      </c>
      <c r="I384">
        <f>IF('исходные данные'!I384&gt;'минимумы и максимумы'!G$10,100,('исходные данные'!I384-'минимумы и максимумы'!G$9)/('минимумы и максимумы'!G$10-'минимумы и максимумы'!G$9)*100)</f>
        <v>0</v>
      </c>
      <c r="J384">
        <f>IF('исходные данные'!J384&gt;'минимумы и максимумы'!H$10,100,('исходные данные'!J384-'минимумы и максимумы'!H$9)/('минимумы и максимумы'!H$10-'минимумы и максимумы'!H$9)*100)</f>
        <v>0</v>
      </c>
      <c r="K384">
        <f>IF('исходные данные'!K384&gt;'минимумы и максимумы'!I$10,100,('исходные данные'!K384-'минимумы и максимумы'!I$9)/('минимумы и максимумы'!I$10-'минимумы и максимумы'!I$9)*100)</f>
        <v>11.111111111111111</v>
      </c>
      <c r="L384">
        <f>IF('исходные данные'!L384&gt;'минимумы и максимумы'!J$10,100,('исходные данные'!L384-'минимумы и максимумы'!J$9)/('минимумы и максимумы'!J$10-'минимумы и максимумы'!J$9)*100)</f>
        <v>0</v>
      </c>
      <c r="M384">
        <f>IF('исходные данные'!M384&gt;'минимумы и максимумы'!K$10,100,('исходные данные'!M384-'минимумы и максимумы'!K$9)/('минимумы и максимумы'!K$10-'минимумы и максимумы'!K$9)*100)</f>
        <v>50</v>
      </c>
      <c r="N384">
        <f>IF('исходные данные'!N384&gt;'минимумы и максимумы'!L$10,100,('исходные данные'!N384-'минимумы и максимумы'!L$9)/('минимумы и максимумы'!L$10-'минимумы и максимумы'!L$9)*100)</f>
        <v>31.306922599568267</v>
      </c>
      <c r="O384">
        <f>IF('исходные данные'!O384&gt;'минимумы и максимумы'!M$10,100,('исходные данные'!O384-'минимумы и максимумы'!M$9)/('минимумы и максимумы'!M$10-'минимумы и максимумы'!M$9)*100)</f>
        <v>66.666666666666657</v>
      </c>
      <c r="P384">
        <f>IF('исходные данные'!P384&gt;'минимумы и максимумы'!N$10,100,('исходные данные'!P384-'минимумы и максимумы'!N$9)/('минимумы и максимумы'!N$10-'минимумы и максимумы'!N$9)*100)</f>
        <v>0</v>
      </c>
      <c r="Q384">
        <f>IF('исходные данные'!Q384&gt;'минимумы и максимумы'!O$10,100,('исходные данные'!Q384-'минимумы и максимумы'!O$9)/('минимумы и максимумы'!O$10-'минимумы и максимумы'!O$9)*100)</f>
        <v>0</v>
      </c>
      <c r="R384">
        <f>IF('исходные данные'!R384&gt;'минимумы и максимумы'!P$10,100,('исходные данные'!R384-'минимумы и максимумы'!P$9)/('минимумы и максимумы'!P$10-'минимумы и максимумы'!P$9)*100)</f>
        <v>75</v>
      </c>
      <c r="S384">
        <f>IF('исходные данные'!S384&gt;'минимумы и максимумы'!Q$10,100,('исходные данные'!S384-'минимумы и максимумы'!Q$9)/('минимумы и максимумы'!Q$10-'минимумы и максимумы'!Q$9)*100)</f>
        <v>66.666666666666657</v>
      </c>
      <c r="T384">
        <f>IF('исходные данные'!T384&gt;'минимумы и максимумы'!R$10,100,('исходные данные'!T384-'минимумы и максимумы'!R$9)/('минимумы и максимумы'!R$10-'минимумы и максимумы'!R$9)*100)</f>
        <v>86.248561565017255</v>
      </c>
      <c r="U384">
        <f>IF('исходные данные'!U384&gt;'минимумы и максимумы'!S$10,100,('исходные данные'!U384-'минимумы и максимумы'!S$9)/('минимумы и максимумы'!S$10-'минимумы и максимумы'!S$9)*100)</f>
        <v>0</v>
      </c>
    </row>
    <row r="385" spans="1:21" x14ac:dyDescent="0.45">
      <c r="A385" s="4">
        <v>501</v>
      </c>
      <c r="B385" s="4">
        <v>0</v>
      </c>
      <c r="C385" s="4">
        <v>0</v>
      </c>
      <c r="D385">
        <f>IF('исходные данные'!D385&gt;'минимумы и максимумы'!B$10,100,('исходные данные'!D385-'минимумы и максимумы'!B$9)/('минимумы и максимумы'!B$10-'минимумы и максимумы'!B$9)*100)</f>
        <v>0</v>
      </c>
      <c r="E385">
        <f>IF('исходные данные'!E385&gt;'минимумы и максимумы'!C$10,100,('исходные данные'!E385-'минимумы и максимумы'!C$9)/('минимумы и максимумы'!C$10-'минимумы и максимумы'!C$9)*100)</f>
        <v>10</v>
      </c>
      <c r="F385">
        <f>IF('исходные данные'!F385&gt;'минимумы и максимумы'!D$10,100,('исходные данные'!F385-'минимумы и максимумы'!D$9)/('минимумы и максимумы'!D$10-'минимумы и максимумы'!D$9)*100)</f>
        <v>0</v>
      </c>
      <c r="G385">
        <f>IF('исходные данные'!G385&gt;'минимумы и максимумы'!E$10,100,('исходные данные'!G385-'минимумы и максимумы'!E$9)/('минимумы и максимумы'!E$10-'минимумы и максимумы'!E$9)*100)</f>
        <v>16.666666666666664</v>
      </c>
      <c r="H385">
        <f>IF('исходные данные'!H385&gt;'минимумы и максимумы'!F$10,100,('исходные данные'!H385-'минимумы и максимумы'!F$9)/('минимумы и максимумы'!F$10-'минимумы и максимумы'!F$9)*100)</f>
        <v>13.793103448275861</v>
      </c>
      <c r="I385">
        <f>IF('исходные данные'!I385&gt;'минимумы и максимумы'!G$10,100,('исходные данные'!I385-'минимумы и максимумы'!G$9)/('минимумы и максимумы'!G$10-'минимумы и максимумы'!G$9)*100)</f>
        <v>7.5471698113207548</v>
      </c>
      <c r="J385">
        <f>IF('исходные данные'!J385&gt;'минимумы и максимумы'!H$10,100,('исходные данные'!J385-'минимумы и максимумы'!H$9)/('минимумы и максимумы'!H$10-'минимумы и максимумы'!H$9)*100)</f>
        <v>0</v>
      </c>
      <c r="K385">
        <f>IF('исходные данные'!K385&gt;'минимумы и максимумы'!I$10,100,('исходные данные'!K385-'минимумы и максимумы'!I$9)/('минимумы и максимумы'!I$10-'минимумы и максимумы'!I$9)*100)</f>
        <v>33.333333333333329</v>
      </c>
      <c r="L385">
        <f>IF('исходные данные'!L385&gt;'минимумы и максимумы'!J$10,100,('исходные данные'!L385-'минимумы и максимумы'!J$9)/('минимумы и максимумы'!J$10-'минимумы и максимумы'!J$9)*100)</f>
        <v>0</v>
      </c>
      <c r="M385">
        <f>IF('исходные данные'!M385&gt;'минимумы и максимумы'!K$10,100,('исходные данные'!M385-'минимумы и максимумы'!K$9)/('минимумы и максимумы'!K$10-'минимумы и максимумы'!K$9)*100)</f>
        <v>71.428571428571431</v>
      </c>
      <c r="N385">
        <f>IF('исходные данные'!N385&gt;'минимумы и максимумы'!L$10,100,('исходные данные'!N385-'минимумы и максимумы'!L$9)/('минимумы и максимумы'!L$10-'минимумы и максимумы'!L$9)*100)</f>
        <v>30.341855431272407</v>
      </c>
      <c r="O385">
        <f>IF('исходные данные'!O385&gt;'минимумы и максимумы'!M$10,100,('исходные данные'!O385-'минимумы и максимумы'!M$9)/('минимумы и максимумы'!M$10-'минимумы и максимумы'!M$9)*100)</f>
        <v>66.666666666666657</v>
      </c>
      <c r="P385">
        <f>IF('исходные данные'!P385&gt;'минимумы и максимумы'!N$10,100,('исходные данные'!P385-'минимумы и максимумы'!N$9)/('минимумы и максимумы'!N$10-'минимумы и максимумы'!N$9)*100)</f>
        <v>0</v>
      </c>
      <c r="Q385">
        <f>IF('исходные данные'!Q385&gt;'минимумы и максимумы'!O$10,100,('исходные данные'!Q385-'минимумы и максимумы'!O$9)/('минимумы и максимумы'!O$10-'минимумы и максимумы'!O$9)*100)</f>
        <v>0</v>
      </c>
      <c r="R385">
        <f>IF('исходные данные'!R385&gt;'минимумы и максимумы'!P$10,100,('исходные данные'!R385-'минимумы и максимумы'!P$9)/('минимумы и максимумы'!P$10-'минимумы и максимумы'!P$9)*100)</f>
        <v>75</v>
      </c>
      <c r="S385">
        <f>IF('исходные данные'!S385&gt;'минимумы и максимумы'!Q$10,100,('исходные данные'!S385-'минимумы и максимумы'!Q$9)/('минимумы и максимумы'!Q$10-'минимумы и максимумы'!Q$9)*100)</f>
        <v>16.666666666666664</v>
      </c>
      <c r="T385">
        <f>IF('исходные данные'!T385&gt;'минимумы и максимумы'!R$10,100,('исходные данные'!T385-'минимумы и максимумы'!R$9)/('минимумы и максимумы'!R$10-'минимумы и максимумы'!R$9)*100)</f>
        <v>1.2082853855005753</v>
      </c>
      <c r="U385">
        <f>IF('исходные данные'!U385&gt;'минимумы и максимумы'!S$10,100,('исходные данные'!U385-'минимумы и максимумы'!S$9)/('минимумы и максимумы'!S$10-'минимумы и максимумы'!S$9)*100)</f>
        <v>0</v>
      </c>
    </row>
    <row r="386" spans="1:21" x14ac:dyDescent="0.45">
      <c r="A386" s="4">
        <v>502</v>
      </c>
      <c r="B386" s="4">
        <v>0</v>
      </c>
      <c r="C386" s="4">
        <v>0</v>
      </c>
      <c r="D386">
        <f>IF('исходные данные'!D386&gt;'минимумы и максимумы'!B$10,100,('исходные данные'!D386-'минимумы и максимумы'!B$9)/('минимумы и максимумы'!B$10-'минимумы и максимумы'!B$9)*100)</f>
        <v>11.111111111111111</v>
      </c>
      <c r="E386">
        <f>IF('исходные данные'!E386&gt;'минимумы и максимумы'!C$10,100,('исходные данные'!E386-'минимумы и максимумы'!C$9)/('минимумы и максимумы'!C$10-'минимумы и максимумы'!C$9)*100)</f>
        <v>40</v>
      </c>
      <c r="F386">
        <f>IF('исходные данные'!F386&gt;'минимумы и максимумы'!D$10,100,('исходные данные'!F386-'минимумы и максимумы'!D$9)/('минимумы и максимумы'!D$10-'минимумы и максимумы'!D$9)*100)</f>
        <v>0</v>
      </c>
      <c r="G386">
        <f>IF('исходные данные'!G386&gt;'минимумы и максимумы'!E$10,100,('исходные данные'!G386-'минимумы и максимумы'!E$9)/('минимумы и максимумы'!E$10-'минимумы и максимумы'!E$9)*100)</f>
        <v>37.5</v>
      </c>
      <c r="H386">
        <f>IF('исходные данные'!H386&gt;'минимумы и максимумы'!F$10,100,('исходные данные'!H386-'минимумы и максимумы'!F$9)/('минимумы и максимумы'!F$10-'минимумы и максимумы'!F$9)*100)</f>
        <v>48.275862068965516</v>
      </c>
      <c r="I386">
        <f>IF('исходные данные'!I386&gt;'минимумы и максимумы'!G$10,100,('исходные данные'!I386-'минимумы и максимумы'!G$9)/('минимумы и максимумы'!G$10-'минимумы и максимумы'!G$9)*100)</f>
        <v>15.09433962264151</v>
      </c>
      <c r="J386">
        <f>IF('исходные данные'!J386&gt;'минимумы и максимумы'!H$10,100,('исходные данные'!J386-'минимумы и максимумы'!H$9)/('минимумы и максимумы'!H$10-'минимумы и максимумы'!H$9)*100)</f>
        <v>26.666666666666668</v>
      </c>
      <c r="K386">
        <f>IF('исходные данные'!K386&gt;'минимумы и максимумы'!I$10,100,('исходные данные'!K386-'минимумы и максимумы'!I$9)/('минимумы и максимумы'!I$10-'минимумы и максимумы'!I$9)*100)</f>
        <v>16.666666666666664</v>
      </c>
      <c r="L386">
        <f>IF('исходные данные'!L386&gt;'минимумы и максимумы'!J$10,100,('исходные данные'!L386-'минимумы и максимумы'!J$9)/('минимумы и максимумы'!J$10-'минимумы и максимумы'!J$9)*100)</f>
        <v>7.1428571428571423</v>
      </c>
      <c r="M386">
        <f>IF('исходные данные'!M386&gt;'минимумы и максимумы'!K$10,100,('исходные данные'!M386-'минимумы и максимумы'!K$9)/('минимумы и максимумы'!K$10-'минимумы и максимумы'!K$9)*100)</f>
        <v>46.428571428571431</v>
      </c>
      <c r="N386">
        <f>IF('исходные данные'!N386&gt;'минимумы и максимумы'!L$10,100,('исходные данные'!N386-'минимумы и максимумы'!L$9)/('минимумы и максимумы'!L$10-'минимумы и максимумы'!L$9)*100)</f>
        <v>29.673924824760334</v>
      </c>
      <c r="O386">
        <f>IF('исходные данные'!O386&gt;'минимумы и максимумы'!M$10,100,('исходные данные'!O386-'минимумы и максимумы'!M$9)/('минимумы и максимумы'!M$10-'минимумы и максимумы'!M$9)*100)</f>
        <v>66.666666666666657</v>
      </c>
      <c r="P386">
        <f>IF('исходные данные'!P386&gt;'минимумы и максимумы'!N$10,100,('исходные данные'!P386-'минимумы и максимумы'!N$9)/('минимумы и максимумы'!N$10-'минимумы и максимумы'!N$9)*100)</f>
        <v>0</v>
      </c>
      <c r="Q386">
        <f>IF('исходные данные'!Q386&gt;'минимумы и максимумы'!O$10,100,('исходные данные'!Q386-'минимумы и максимумы'!O$9)/('минимумы и максимумы'!O$10-'минимумы и максимумы'!O$9)*100)</f>
        <v>100</v>
      </c>
      <c r="R386">
        <f>IF('исходные данные'!R386&gt;'минимумы и максимумы'!P$10,100,('исходные данные'!R386-'минимумы и максимумы'!P$9)/('минимумы и максимумы'!P$10-'минимумы и максимумы'!P$9)*100)</f>
        <v>100</v>
      </c>
      <c r="S386">
        <f>IF('исходные данные'!S386&gt;'минимумы и максимумы'!Q$10,100,('исходные данные'!S386-'минимумы и максимумы'!Q$9)/('минимумы и максимумы'!Q$10-'минимумы и максимумы'!Q$9)*100)</f>
        <v>33.333333333333329</v>
      </c>
      <c r="T386">
        <f>IF('исходные данные'!T386&gt;'минимумы и максимумы'!R$10,100,('исходные данные'!T386-'минимумы и максимумы'!R$9)/('минимумы и максимумы'!R$10-'минимумы и максимумы'!R$9)*100)</f>
        <v>16.714614499424627</v>
      </c>
      <c r="U386">
        <f>IF('исходные данные'!U386&gt;'минимумы и максимумы'!S$10,100,('исходные данные'!U386-'минимумы и максимумы'!S$9)/('минимумы и максимумы'!S$10-'минимумы и максимумы'!S$9)*100)</f>
        <v>66.666666666666657</v>
      </c>
    </row>
    <row r="387" spans="1:21" x14ac:dyDescent="0.45">
      <c r="A387" s="4">
        <v>503</v>
      </c>
      <c r="B387" s="4">
        <v>0</v>
      </c>
      <c r="C387" s="4">
        <v>0</v>
      </c>
      <c r="D387">
        <f>IF('исходные данные'!D387&gt;'минимумы и максимумы'!B$10,100,('исходные данные'!D387-'минимумы и максимумы'!B$9)/('минимумы и максимумы'!B$10-'минимумы и максимумы'!B$9)*100)</f>
        <v>11.111111111111111</v>
      </c>
      <c r="E387">
        <f>IF('исходные данные'!E387&gt;'минимумы и максимумы'!C$10,100,('исходные данные'!E387-'минимумы и максимумы'!C$9)/('минимумы и максимумы'!C$10-'минимумы и максимумы'!C$9)*100)</f>
        <v>40</v>
      </c>
      <c r="F387">
        <f>IF('исходные данные'!F387&gt;'минимумы и максимумы'!D$10,100,('исходные данные'!F387-'минимумы и максимумы'!D$9)/('минимумы и максимумы'!D$10-'минимумы и максимумы'!D$9)*100)</f>
        <v>33.333333333333329</v>
      </c>
      <c r="G387">
        <f>IF('исходные данные'!G387&gt;'минимумы и максимумы'!E$10,100,('исходные данные'!G387-'минимумы и максимумы'!E$9)/('минимумы и максимумы'!E$10-'минимумы и максимумы'!E$9)*100)</f>
        <v>41.666666666666671</v>
      </c>
      <c r="H387">
        <f>IF('исходные данные'!H387&gt;'минимумы и максимумы'!F$10,100,('исходные данные'!H387-'минимумы и максимумы'!F$9)/('минимумы и максимумы'!F$10-'минимумы и максимумы'!F$9)*100)</f>
        <v>44.827586206896555</v>
      </c>
      <c r="I387">
        <f>IF('исходные данные'!I387&gt;'минимумы и максимумы'!G$10,100,('исходные данные'!I387-'минимумы и максимумы'!G$9)/('минимумы и максимумы'!G$10-'минимумы и максимумы'!G$9)*100)</f>
        <v>15.09433962264151</v>
      </c>
      <c r="J387">
        <f>IF('исходные данные'!J387&gt;'минимумы и максимумы'!H$10,100,('исходные данные'!J387-'минимумы и максимумы'!H$9)/('минимумы и максимумы'!H$10-'минимумы и максимумы'!H$9)*100)</f>
        <v>26.666666666666668</v>
      </c>
      <c r="K387">
        <f>IF('исходные данные'!K387&gt;'минимумы и максимумы'!I$10,100,('исходные данные'!K387-'минимумы и максимумы'!I$9)/('минимумы и максимумы'!I$10-'минимумы и максимумы'!I$9)*100)</f>
        <v>5.5555555555555554</v>
      </c>
      <c r="L387">
        <f>IF('исходные данные'!L387&gt;'минимумы и максимумы'!J$10,100,('исходные данные'!L387-'минимумы и максимумы'!J$9)/('минимумы и максимумы'!J$10-'минимумы и максимумы'!J$9)*100)</f>
        <v>7.1428571428571423</v>
      </c>
      <c r="M387">
        <f>IF('исходные данные'!M387&gt;'минимумы и максимумы'!K$10,100,('исходные данные'!M387-'минимумы и максимумы'!K$9)/('минимумы и максимумы'!K$10-'минимумы и максимумы'!K$9)*100)</f>
        <v>50</v>
      </c>
      <c r="N387">
        <f>IF('исходные данные'!N387&gt;'минимумы и максимумы'!L$10,100,('исходные данные'!N387-'минимумы и максимумы'!L$9)/('минимумы и максимумы'!L$10-'минимумы и максимумы'!L$9)*100)</f>
        <v>28.386843043395913</v>
      </c>
      <c r="O387">
        <f>IF('исходные данные'!O387&gt;'минимумы и максимумы'!M$10,100,('исходные данные'!O387-'минимумы и максимумы'!M$9)/('минимумы и максимумы'!M$10-'минимумы и максимумы'!M$9)*100)</f>
        <v>100</v>
      </c>
      <c r="P387">
        <f>IF('исходные данные'!P387&gt;'минимумы и максимумы'!N$10,100,('исходные данные'!P387-'минимумы и максимумы'!N$9)/('минимумы и максимумы'!N$10-'минимумы и максимумы'!N$9)*100)</f>
        <v>0</v>
      </c>
      <c r="Q387">
        <f>IF('исходные данные'!Q387&gt;'минимумы и максимумы'!O$10,100,('исходные данные'!Q387-'минимумы и максимумы'!O$9)/('минимумы и максимумы'!O$10-'минимумы и максимумы'!O$9)*100)</f>
        <v>100</v>
      </c>
      <c r="R387">
        <f>IF('исходные данные'!R387&gt;'минимумы и максимумы'!P$10,100,('исходные данные'!R387-'минимумы и максимумы'!P$9)/('минимумы и максимумы'!P$10-'минимумы и максимумы'!P$9)*100)</f>
        <v>100</v>
      </c>
      <c r="S387">
        <f>IF('исходные данные'!S387&gt;'минимумы и максимумы'!Q$10,100,('исходные данные'!S387-'минимумы и максимумы'!Q$9)/('минимумы и максимумы'!Q$10-'минимумы и максимумы'!Q$9)*100)</f>
        <v>83.333333333333343</v>
      </c>
      <c r="T387">
        <f>IF('исходные данные'!T387&gt;'минимумы и максимумы'!R$10,100,('исходные данные'!T387-'минимумы и максимумы'!R$9)/('минимумы и максимумы'!R$10-'минимумы и максимумы'!R$9)*100)</f>
        <v>38.808975834292291</v>
      </c>
      <c r="U387">
        <f>IF('исходные данные'!U387&gt;'минимумы и максимумы'!S$10,100,('исходные данные'!U387-'минимумы и максимумы'!S$9)/('минимумы и максимумы'!S$10-'минимумы и максимумы'!S$9)*100)</f>
        <v>33.333333333333329</v>
      </c>
    </row>
    <row r="388" spans="1:21" x14ac:dyDescent="0.45">
      <c r="A388" s="4">
        <v>504</v>
      </c>
      <c r="B388" s="4">
        <v>0</v>
      </c>
      <c r="C388" s="4">
        <v>0</v>
      </c>
      <c r="D388">
        <f>IF('исходные данные'!D388&gt;'минимумы и максимумы'!B$10,100,('исходные данные'!D388-'минимумы и максимумы'!B$9)/('минимумы и максимумы'!B$10-'минимумы и максимумы'!B$9)*100)</f>
        <v>22.222222222222221</v>
      </c>
      <c r="E388">
        <f>IF('исходные данные'!E388&gt;'минимумы и максимумы'!C$10,100,('исходные данные'!E388-'минимумы и максимумы'!C$9)/('минимумы и максимумы'!C$10-'минимумы и максимумы'!C$9)*100)</f>
        <v>40</v>
      </c>
      <c r="F388">
        <f>IF('исходные данные'!F388&gt;'минимумы и максимумы'!D$10,100,('исходные данные'!F388-'минимумы и максимумы'!D$9)/('минимумы и максимумы'!D$10-'минимумы и максимумы'!D$9)*100)</f>
        <v>66.666666666666657</v>
      </c>
      <c r="G388">
        <f>IF('исходные данные'!G388&gt;'минимумы и максимумы'!E$10,100,('исходные данные'!G388-'минимумы и максимумы'!E$9)/('минимумы и максимумы'!E$10-'минимумы и максимумы'!E$9)*100)</f>
        <v>37.5</v>
      </c>
      <c r="H388">
        <f>IF('исходные данные'!H388&gt;'минимумы и максимумы'!F$10,100,('исходные данные'!H388-'минимумы и максимумы'!F$9)/('минимумы и максимумы'!F$10-'минимумы и максимумы'!F$9)*100)</f>
        <v>41.379310344827587</v>
      </c>
      <c r="I388">
        <f>IF('исходные данные'!I388&gt;'минимумы и максимумы'!G$10,100,('исходные данные'!I388-'минимумы и максимумы'!G$9)/('минимумы и максимумы'!G$10-'минимумы и максимумы'!G$9)*100)</f>
        <v>9.433962264150944</v>
      </c>
      <c r="J388">
        <f>IF('исходные данные'!J388&gt;'минимумы и максимумы'!H$10,100,('исходные данные'!J388-'минимумы и максимумы'!H$9)/('минимумы и максимумы'!H$10-'минимумы и максимумы'!H$9)*100)</f>
        <v>20</v>
      </c>
      <c r="K388">
        <f>IF('исходные данные'!K388&gt;'минимумы и максимумы'!I$10,100,('исходные данные'!K388-'минимумы и максимумы'!I$9)/('минимумы и максимумы'!I$10-'минимумы и максимумы'!I$9)*100)</f>
        <v>11.111111111111111</v>
      </c>
      <c r="L388">
        <f>IF('исходные данные'!L388&gt;'минимумы и максимумы'!J$10,100,('исходные данные'!L388-'минимумы и максимумы'!J$9)/('минимумы и максимумы'!J$10-'минимумы и максимумы'!J$9)*100)</f>
        <v>0</v>
      </c>
      <c r="M388">
        <f>IF('исходные данные'!M388&gt;'минимумы и максимумы'!K$10,100,('исходные данные'!M388-'минимумы и максимумы'!K$9)/('минимумы и максимумы'!K$10-'минимумы и максимумы'!K$9)*100)</f>
        <v>28.571428571428569</v>
      </c>
      <c r="N388">
        <f>IF('исходные данные'!N388&gt;'минимумы и максимумы'!L$10,100,('исходные данные'!N388-'минимумы и максимумы'!L$9)/('минимумы и максимумы'!L$10-'минимумы и максимумы'!L$9)*100)</f>
        <v>28.566482806104698</v>
      </c>
      <c r="O388">
        <f>IF('исходные данные'!O388&gt;'минимумы и максимумы'!M$10,100,('исходные данные'!O388-'минимумы и максимумы'!M$9)/('минимумы и максимумы'!M$10-'минимумы и максимумы'!M$9)*100)</f>
        <v>33.333333333333329</v>
      </c>
      <c r="P388">
        <f>IF('исходные данные'!P388&gt;'минимумы и максимумы'!N$10,100,('исходные данные'!P388-'минимумы и максимумы'!N$9)/('минимумы и максимумы'!N$10-'минимумы и максимумы'!N$9)*100)</f>
        <v>100</v>
      </c>
      <c r="Q388">
        <f>IF('исходные данные'!Q388&gt;'минимумы и максимумы'!O$10,100,('исходные данные'!Q388-'минимумы и максимумы'!O$9)/('минимумы и максимумы'!O$10-'минимумы и максимумы'!O$9)*100)</f>
        <v>100</v>
      </c>
      <c r="R388">
        <f>IF('исходные данные'!R388&gt;'минимумы и максимумы'!P$10,100,('исходные данные'!R388-'минимумы и максимумы'!P$9)/('минимумы и максимумы'!P$10-'минимумы и максимумы'!P$9)*100)</f>
        <v>100</v>
      </c>
      <c r="S388">
        <f>IF('исходные данные'!S388&gt;'минимумы и максимумы'!Q$10,100,('исходные данные'!S388-'минимумы и максимумы'!Q$9)/('минимумы и максимумы'!Q$10-'минимумы и максимумы'!Q$9)*100)</f>
        <v>50</v>
      </c>
      <c r="T388">
        <f>IF('исходные данные'!T388&gt;'минимумы и максимумы'!R$10,100,('исходные данные'!T388-'минимумы и максимумы'!R$9)/('минимумы и максимумы'!R$10-'минимумы и максимумы'!R$9)*100)</f>
        <v>100</v>
      </c>
      <c r="U388">
        <f>IF('исходные данные'!U388&gt;'минимумы и максимумы'!S$10,100,('исходные данные'!U388-'минимумы и максимумы'!S$9)/('минимумы и максимумы'!S$10-'минимумы и максимумы'!S$9)*100)</f>
        <v>100</v>
      </c>
    </row>
    <row r="389" spans="1:21" x14ac:dyDescent="0.45">
      <c r="A389" s="4">
        <v>505</v>
      </c>
      <c r="B389" s="4">
        <v>0</v>
      </c>
      <c r="C389" s="4">
        <v>0</v>
      </c>
      <c r="D389">
        <f>IF('исходные данные'!D389&gt;'минимумы и максимумы'!B$10,100,('исходные данные'!D389-'минимумы и максимумы'!B$9)/('минимумы и максимумы'!B$10-'минимумы и максимумы'!B$9)*100)</f>
        <v>22.222222222222221</v>
      </c>
      <c r="E389">
        <f>IF('исходные данные'!E389&gt;'минимумы и максимумы'!C$10,100,('исходные данные'!E389-'минимумы и максимумы'!C$9)/('минимумы и максимумы'!C$10-'минимумы и максимумы'!C$9)*100)</f>
        <v>40</v>
      </c>
      <c r="F389">
        <f>IF('исходные данные'!F389&gt;'минимумы и максимумы'!D$10,100,('исходные данные'!F389-'минимумы и максимумы'!D$9)/('минимумы и максимумы'!D$10-'минимумы и максимумы'!D$9)*100)</f>
        <v>66.666666666666657</v>
      </c>
      <c r="G389">
        <f>IF('исходные данные'!G389&gt;'минимумы и максимумы'!E$10,100,('исходные данные'!G389-'минимумы и максимумы'!E$9)/('минимумы и максимумы'!E$10-'минимумы и максимумы'!E$9)*100)</f>
        <v>25</v>
      </c>
      <c r="H389">
        <f>IF('исходные данные'!H389&gt;'минимумы и максимумы'!F$10,100,('исходные данные'!H389-'минимумы и максимумы'!F$9)/('минимумы и максимумы'!F$10-'минимумы и максимумы'!F$9)*100)</f>
        <v>17.241379310344829</v>
      </c>
      <c r="I389">
        <f>IF('исходные данные'!I389&gt;'минимумы и максимумы'!G$10,100,('исходные данные'!I389-'минимумы и максимумы'!G$9)/('минимумы и максимумы'!G$10-'минимумы и максимумы'!G$9)*100)</f>
        <v>7.5471698113207548</v>
      </c>
      <c r="J389">
        <f>IF('исходные данные'!J389&gt;'минимумы и максимумы'!H$10,100,('исходные данные'!J389-'минимумы и максимумы'!H$9)/('минимумы и максимумы'!H$10-'минимумы и максимумы'!H$9)*100)</f>
        <v>20</v>
      </c>
      <c r="K389">
        <f>IF('исходные данные'!K389&gt;'минимумы и максимумы'!I$10,100,('исходные данные'!K389-'минимумы и максимумы'!I$9)/('минимумы и максимумы'!I$10-'минимумы и максимумы'!I$9)*100)</f>
        <v>11.111111111111111</v>
      </c>
      <c r="L389">
        <f>IF('исходные данные'!L389&gt;'минимумы и максимумы'!J$10,100,('исходные данные'!L389-'минимумы и максимумы'!J$9)/('минимумы и максимумы'!J$10-'минимумы и максимумы'!J$9)*100)</f>
        <v>0</v>
      </c>
      <c r="M389">
        <f>IF('исходные данные'!M389&gt;'минимумы и максимумы'!K$10,100,('исходные данные'!M389-'минимумы и максимумы'!K$9)/('минимумы и максимумы'!K$10-'минимумы и максимумы'!K$9)*100)</f>
        <v>17.857142857142858</v>
      </c>
      <c r="N389">
        <f>IF('исходные данные'!N389&gt;'минимумы и максимумы'!L$10,100,('исходные данные'!N389-'минимумы и максимумы'!L$9)/('минимумы и максимумы'!L$10-'минимумы и максимумы'!L$9)*100)</f>
        <v>27.920088567852925</v>
      </c>
      <c r="O389">
        <f>IF('исходные данные'!O389&gt;'минимумы и максимумы'!M$10,100,('исходные данные'!O389-'минимумы и максимумы'!M$9)/('минимумы и максимумы'!M$10-'минимумы и максимумы'!M$9)*100)</f>
        <v>33.333333333333329</v>
      </c>
      <c r="P389">
        <f>IF('исходные данные'!P389&gt;'минимумы и максимумы'!N$10,100,('исходные данные'!P389-'минимумы и максимумы'!N$9)/('минимумы и максимумы'!N$10-'минимумы и максимумы'!N$9)*100)</f>
        <v>0</v>
      </c>
      <c r="Q389">
        <f>IF('исходные данные'!Q389&gt;'минимумы и максимумы'!O$10,100,('исходные данные'!Q389-'минимумы и максимумы'!O$9)/('минимумы и максимумы'!O$10-'минимумы и максимумы'!O$9)*100)</f>
        <v>100</v>
      </c>
      <c r="R389">
        <f>IF('исходные данные'!R389&gt;'минимумы и максимумы'!P$10,100,('исходные данные'!R389-'минимумы и максимумы'!P$9)/('минимумы и максимумы'!P$10-'минимумы и максимумы'!P$9)*100)</f>
        <v>100</v>
      </c>
      <c r="S389">
        <f>IF('исходные данные'!S389&gt;'минимумы и максимумы'!Q$10,100,('исходные данные'!S389-'минимумы и максимумы'!Q$9)/('минимумы и максимумы'!Q$10-'минимумы и максимумы'!Q$9)*100)</f>
        <v>83.333333333333343</v>
      </c>
      <c r="T389">
        <f>IF('исходные данные'!T389&gt;'минимумы и максимумы'!R$10,100,('исходные данные'!T389-'минимумы и максимумы'!R$9)/('минимумы и максимумы'!R$10-'минимумы и максимумы'!R$9)*100)</f>
        <v>57.738780207134631</v>
      </c>
      <c r="U389">
        <f>IF('исходные данные'!U389&gt;'минимумы и максимумы'!S$10,100,('исходные данные'!U389-'минимумы и максимумы'!S$9)/('минимумы и максимумы'!S$10-'минимумы и максимумы'!S$9)*100)</f>
        <v>66.666666666666657</v>
      </c>
    </row>
    <row r="390" spans="1:21" x14ac:dyDescent="0.45">
      <c r="A390" s="4">
        <v>506</v>
      </c>
      <c r="B390" s="4">
        <v>0</v>
      </c>
      <c r="C390" s="4">
        <v>0</v>
      </c>
      <c r="D390">
        <f>IF('исходные данные'!D390&gt;'минимумы и максимумы'!B$10,100,('исходные данные'!D390-'минимумы и максимумы'!B$9)/('минимумы и максимумы'!B$10-'минимумы и максимумы'!B$9)*100)</f>
        <v>22.222222222222221</v>
      </c>
      <c r="E390">
        <f>IF('исходные данные'!E390&gt;'минимумы и максимумы'!C$10,100,('исходные данные'!E390-'минимумы и максимумы'!C$9)/('минимумы и максимумы'!C$10-'минимумы и максимумы'!C$9)*100)</f>
        <v>60</v>
      </c>
      <c r="F390">
        <f>IF('исходные данные'!F390&gt;'минимумы и максимумы'!D$10,100,('исходные данные'!F390-'минимумы и максимумы'!D$9)/('минимумы и максимумы'!D$10-'минимумы и максимумы'!D$9)*100)</f>
        <v>33.333333333333329</v>
      </c>
      <c r="G390">
        <f>IF('исходные данные'!G390&gt;'минимумы и максимумы'!E$10,100,('исходные данные'!G390-'минимумы и максимумы'!E$9)/('минимумы и максимумы'!E$10-'минимумы и максимумы'!E$9)*100)</f>
        <v>37.5</v>
      </c>
      <c r="H390">
        <f>IF('исходные данные'!H390&gt;'минимумы и максимумы'!F$10,100,('исходные данные'!H390-'минимумы и максимумы'!F$9)/('минимумы и максимумы'!F$10-'минимумы и максимумы'!F$9)*100)</f>
        <v>20.689655172413794</v>
      </c>
      <c r="I390">
        <f>IF('исходные данные'!I390&gt;'минимумы и максимумы'!G$10,100,('исходные данные'!I390-'минимумы и максимумы'!G$9)/('минимумы и максимумы'!G$10-'минимумы и максимумы'!G$9)*100)</f>
        <v>9.433962264150944</v>
      </c>
      <c r="J390">
        <f>IF('исходные данные'!J390&gt;'минимумы и максимумы'!H$10,100,('исходные данные'!J390-'минимумы и максимумы'!H$9)/('минимумы и максимумы'!H$10-'минимумы и максимумы'!H$9)*100)</f>
        <v>20</v>
      </c>
      <c r="K390">
        <f>IF('исходные данные'!K390&gt;'минимумы и максимумы'!I$10,100,('исходные данные'!K390-'минимумы и максимумы'!I$9)/('минимумы и максимумы'!I$10-'минимумы и максимумы'!I$9)*100)</f>
        <v>11.111111111111111</v>
      </c>
      <c r="L390">
        <f>IF('исходные данные'!L390&gt;'минимумы и максимумы'!J$10,100,('исходные данные'!L390-'минимумы и максимумы'!J$9)/('минимумы и максимумы'!J$10-'минимумы и максимумы'!J$9)*100)</f>
        <v>0</v>
      </c>
      <c r="M390">
        <f>IF('исходные данные'!M390&gt;'минимумы и максимумы'!K$10,100,('исходные данные'!M390-'минимумы и максимумы'!K$9)/('минимумы и максимумы'!K$10-'минимумы и максимумы'!K$9)*100)</f>
        <v>25</v>
      </c>
      <c r="N390">
        <f>IF('исходные данные'!N390&gt;'минимумы и максимумы'!L$10,100,('исходные данные'!N390-'минимумы и максимумы'!L$9)/('минимумы и максимумы'!L$10-'минимумы и максимумы'!L$9)*100)</f>
        <v>28.531551072278265</v>
      </c>
      <c r="O390">
        <f>IF('исходные данные'!O390&gt;'минимумы и максимумы'!M$10,100,('исходные данные'!O390-'минимумы и максимумы'!M$9)/('минимумы и максимумы'!M$10-'минимумы и максимумы'!M$9)*100)</f>
        <v>33.333333333333329</v>
      </c>
      <c r="P390">
        <f>IF('исходные данные'!P390&gt;'минимумы и максимумы'!N$10,100,('исходные данные'!P390-'минимумы и максимумы'!N$9)/('минимумы и максимумы'!N$10-'минимумы и максимумы'!N$9)*100)</f>
        <v>0</v>
      </c>
      <c r="Q390">
        <f>IF('исходные данные'!Q390&gt;'минимумы и максимумы'!O$10,100,('исходные данные'!Q390-'минимумы и максимумы'!O$9)/('минимумы и максимумы'!O$10-'минимумы и максимумы'!O$9)*100)</f>
        <v>100</v>
      </c>
      <c r="R390">
        <f>IF('исходные данные'!R390&gt;'минимумы и максимумы'!P$10,100,('исходные данные'!R390-'минимумы и максимумы'!P$9)/('минимумы и максимумы'!P$10-'минимумы и максимумы'!P$9)*100)</f>
        <v>100</v>
      </c>
      <c r="S390">
        <f>IF('исходные данные'!S390&gt;'минимумы и максимумы'!Q$10,100,('исходные данные'!S390-'минимумы и максимумы'!Q$9)/('минимумы и максимумы'!Q$10-'минимумы и максимумы'!Q$9)*100)</f>
        <v>83.333333333333343</v>
      </c>
      <c r="T390">
        <f>IF('исходные данные'!T390&gt;'минимумы и максимумы'!R$10,100,('исходные данные'!T390-'минимумы и максимумы'!R$9)/('минимумы и максимумы'!R$10-'минимумы и максимумы'!R$9)*100)</f>
        <v>46.720368239355579</v>
      </c>
      <c r="U390">
        <f>IF('исходные данные'!U390&gt;'минимумы и максимумы'!S$10,100,('исходные данные'!U390-'минимумы и максимумы'!S$9)/('минимумы и максимумы'!S$10-'минимумы и максимумы'!S$9)*100)</f>
        <v>66.666666666666657</v>
      </c>
    </row>
    <row r="391" spans="1:21" x14ac:dyDescent="0.45">
      <c r="A391" s="4">
        <v>507</v>
      </c>
      <c r="B391" s="4">
        <v>0</v>
      </c>
      <c r="C391" s="4">
        <v>0</v>
      </c>
      <c r="D391">
        <f>IF('исходные данные'!D391&gt;'минимумы и максимумы'!B$10,100,('исходные данные'!D391-'минимумы и максимумы'!B$9)/('минимумы и максимумы'!B$10-'минимумы и максимумы'!B$9)*100)</f>
        <v>33.333333333333329</v>
      </c>
      <c r="E391">
        <f>IF('исходные данные'!E391&gt;'минимумы и максимумы'!C$10,100,('исходные данные'!E391-'минимумы и максимумы'!C$9)/('минимумы и максимумы'!C$10-'минимумы и максимумы'!C$9)*100)</f>
        <v>30</v>
      </c>
      <c r="F391">
        <f>IF('исходные данные'!F391&gt;'минимумы и максимумы'!D$10,100,('исходные данные'!F391-'минимумы и максимумы'!D$9)/('минимумы и максимумы'!D$10-'минимумы и максимумы'!D$9)*100)</f>
        <v>66.666666666666657</v>
      </c>
      <c r="G391">
        <f>IF('исходные данные'!G391&gt;'минимумы и максимумы'!E$10,100,('исходные данные'!G391-'минимумы и максимумы'!E$9)/('минимумы и максимумы'!E$10-'минимумы и максимумы'!E$9)*100)</f>
        <v>58.333333333333336</v>
      </c>
      <c r="H391">
        <f>IF('исходные данные'!H391&gt;'минимумы и максимумы'!F$10,100,('исходные данные'!H391-'минимумы и максимумы'!F$9)/('минимумы и максимумы'!F$10-'минимумы и максимумы'!F$9)*100)</f>
        <v>48.275862068965516</v>
      </c>
      <c r="I391">
        <f>IF('исходные данные'!I391&gt;'минимумы и максимумы'!G$10,100,('исходные данные'!I391-'минимумы и максимумы'!G$9)/('минимумы и максимумы'!G$10-'минимумы и максимумы'!G$9)*100)</f>
        <v>60.377358490566039</v>
      </c>
      <c r="J391">
        <f>IF('исходные данные'!J391&gt;'минимумы и максимумы'!H$10,100,('исходные данные'!J391-'минимумы и максимумы'!H$9)/('минимумы и максимумы'!H$10-'минимумы и максимумы'!H$9)*100)</f>
        <v>20</v>
      </c>
      <c r="K391">
        <f>IF('исходные данные'!K391&gt;'минимумы и максимумы'!I$10,100,('исходные данные'!K391-'минимумы и максимумы'!I$9)/('минимумы и максимумы'!I$10-'минимумы и максимумы'!I$9)*100)</f>
        <v>11.111111111111111</v>
      </c>
      <c r="L391">
        <f>IF('исходные данные'!L391&gt;'минимумы и максимумы'!J$10,100,('исходные данные'!L391-'минимумы и максимумы'!J$9)/('минимумы и максимумы'!J$10-'минимумы и максимумы'!J$9)*100)</f>
        <v>28.571428571428569</v>
      </c>
      <c r="M391">
        <f>IF('исходные данные'!M391&gt;'минимумы и максимумы'!K$10,100,('исходные данные'!M391-'минимумы и максимумы'!K$9)/('минимумы и максимумы'!K$10-'минимумы и максимумы'!K$9)*100)</f>
        <v>35.714285714285715</v>
      </c>
      <c r="N391">
        <f>IF('исходные данные'!N391&gt;'минимумы и максимумы'!L$10,100,('исходные данные'!N391-'минимумы и максимумы'!L$9)/('минимумы и максимумы'!L$10-'минимумы и максимумы'!L$9)*100)</f>
        <v>25.517516362110605</v>
      </c>
      <c r="O391">
        <f>IF('исходные данные'!O391&gt;'минимумы и максимумы'!M$10,100,('исходные данные'!O391-'минимумы и максимумы'!M$9)/('минимумы и максимумы'!M$10-'минимумы и максимумы'!M$9)*100)</f>
        <v>66.666666666666657</v>
      </c>
      <c r="P391">
        <f>IF('исходные данные'!P391&gt;'минимумы и максимумы'!N$10,100,('исходные данные'!P391-'минимумы и максимумы'!N$9)/('минимумы и максимумы'!N$10-'минимумы и максимумы'!N$9)*100)</f>
        <v>0</v>
      </c>
      <c r="Q391">
        <f>IF('исходные данные'!Q391&gt;'минимумы и максимумы'!O$10,100,('исходные данные'!Q391-'минимумы и максимумы'!O$9)/('минимумы и максимумы'!O$10-'минимумы и максимумы'!O$9)*100)</f>
        <v>100</v>
      </c>
      <c r="R391">
        <f>IF('исходные данные'!R391&gt;'минимумы и максимумы'!P$10,100,('исходные данные'!R391-'минимумы и максимумы'!P$9)/('минимумы и максимумы'!P$10-'минимумы и максимумы'!P$9)*100)</f>
        <v>100</v>
      </c>
      <c r="S391">
        <f>IF('исходные данные'!S391&gt;'минимумы и максимумы'!Q$10,100,('исходные данные'!S391-'минимумы и максимумы'!Q$9)/('минимумы и максимумы'!Q$10-'минимумы и максимумы'!Q$9)*100)</f>
        <v>33.333333333333329</v>
      </c>
      <c r="T391">
        <f>IF('исходные данные'!T391&gt;'минимумы и максимумы'!R$10,100,('исходные данные'!T391-'минимумы и максимумы'!R$9)/('минимумы и максимумы'!R$10-'минимумы и максимумы'!R$9)*100)</f>
        <v>11.65132336018412</v>
      </c>
      <c r="U391">
        <f>IF('исходные данные'!U391&gt;'минимумы и максимумы'!S$10,100,('исходные данные'!U391-'минимумы и максимумы'!S$9)/('минимумы и максимумы'!S$10-'минимумы и максимумы'!S$9)*100)</f>
        <v>0</v>
      </c>
    </row>
    <row r="392" spans="1:21" x14ac:dyDescent="0.45">
      <c r="A392" s="4">
        <v>508</v>
      </c>
      <c r="B392" s="4">
        <v>0</v>
      </c>
      <c r="C392" s="4">
        <v>0</v>
      </c>
      <c r="D392">
        <f>IF('исходные данные'!D392&gt;'минимумы и максимумы'!B$10,100,('исходные данные'!D392-'минимумы и максимумы'!B$9)/('минимумы и максимумы'!B$10-'минимумы и максимумы'!B$9)*100)</f>
        <v>11.111111111111111</v>
      </c>
      <c r="E392">
        <f>IF('исходные данные'!E392&gt;'минимумы и максимумы'!C$10,100,('исходные данные'!E392-'минимумы и максимумы'!C$9)/('минимумы и максимумы'!C$10-'минимумы и максимумы'!C$9)*100)</f>
        <v>20</v>
      </c>
      <c r="F392">
        <f>IF('исходные данные'!F392&gt;'минимумы и максимумы'!D$10,100,('исходные данные'!F392-'минимумы и максимумы'!D$9)/('минимумы и максимумы'!D$10-'минимумы и максимумы'!D$9)*100)</f>
        <v>0</v>
      </c>
      <c r="G392">
        <f>IF('исходные данные'!G392&gt;'минимумы и максимумы'!E$10,100,('исходные данные'!G392-'минимумы и максимумы'!E$9)/('минимумы и максимумы'!E$10-'минимумы и максимумы'!E$9)*100)</f>
        <v>4.1666666666666661</v>
      </c>
      <c r="H392">
        <f>IF('исходные данные'!H392&gt;'минимумы и максимумы'!F$10,100,('исходные данные'!H392-'минимумы и максимумы'!F$9)/('минимумы и максимумы'!F$10-'минимумы и максимумы'!F$9)*100)</f>
        <v>0</v>
      </c>
      <c r="I392">
        <f>IF('исходные данные'!I392&gt;'минимумы и максимумы'!G$10,100,('исходные данные'!I392-'минимумы и максимумы'!G$9)/('минимумы и максимумы'!G$10-'минимумы и максимумы'!G$9)*100)</f>
        <v>11.320754716981133</v>
      </c>
      <c r="J392">
        <f>IF('исходные данные'!J392&gt;'минимумы и максимумы'!H$10,100,('исходные данные'!J392-'минимумы и максимумы'!H$9)/('минимумы и максимумы'!H$10-'минимумы и максимумы'!H$9)*100)</f>
        <v>6.666666666666667</v>
      </c>
      <c r="K392">
        <f>IF('исходные данные'!K392&gt;'минимумы и максимумы'!I$10,100,('исходные данные'!K392-'минимумы и максимумы'!I$9)/('минимумы и максимумы'!I$10-'минимумы и максимумы'!I$9)*100)</f>
        <v>5.5555555555555554</v>
      </c>
      <c r="L392">
        <f>IF('исходные данные'!L392&gt;'минимумы и максимумы'!J$10,100,('исходные данные'!L392-'минимумы и максимумы'!J$9)/('минимумы и максимумы'!J$10-'минимумы и максимумы'!J$9)*100)</f>
        <v>0</v>
      </c>
      <c r="M392">
        <f>IF('исходные данные'!M392&gt;'минимумы и максимумы'!K$10,100,('исходные данные'!M392-'минимумы и максимумы'!K$9)/('минимумы и максимумы'!K$10-'минимумы и максимумы'!K$9)*100)</f>
        <v>3.5714285714285712</v>
      </c>
      <c r="N392">
        <f>IF('исходные данные'!N392&gt;'минимумы и максимумы'!L$10,100,('исходные данные'!N392-'минимумы и максимумы'!L$9)/('минимумы и максимумы'!L$10-'минимумы и максимумы'!L$9)*100)</f>
        <v>26.35174737488321</v>
      </c>
      <c r="O392">
        <f>IF('исходные данные'!O392&gt;'минимумы и максимумы'!M$10,100,('исходные данные'!O392-'минимумы и максимумы'!M$9)/('минимумы и максимумы'!M$10-'минимумы и максимумы'!M$9)*100)</f>
        <v>33.333333333333329</v>
      </c>
      <c r="P392">
        <f>IF('исходные данные'!P392&gt;'минимумы и максимумы'!N$10,100,('исходные данные'!P392-'минимумы и максимумы'!N$9)/('минимумы и максимумы'!N$10-'минимумы и максимумы'!N$9)*100)</f>
        <v>0</v>
      </c>
      <c r="Q392">
        <f>IF('исходные данные'!Q392&gt;'минимумы и максимумы'!O$10,100,('исходные данные'!Q392-'минимумы и максимумы'!O$9)/('минимумы и максимумы'!O$10-'минимумы и максимумы'!O$9)*100)</f>
        <v>100</v>
      </c>
      <c r="R392">
        <f>IF('исходные данные'!R392&gt;'минимумы и максимумы'!P$10,100,('исходные данные'!R392-'минимумы и максимумы'!P$9)/('минимумы и максимумы'!P$10-'минимумы и максимумы'!P$9)*100)</f>
        <v>50</v>
      </c>
      <c r="S392">
        <f>IF('исходные данные'!S392&gt;'минимумы и максимумы'!Q$10,100,('исходные данные'!S392-'минимумы и максимумы'!Q$9)/('минимумы и максимумы'!Q$10-'минимумы и максимумы'!Q$9)*100)</f>
        <v>33.333333333333329</v>
      </c>
      <c r="T392">
        <f>IF('исходные данные'!T392&gt;'минимумы и максимумы'!R$10,100,('исходные данные'!T392-'минимумы и максимумы'!R$9)/('минимумы и максимумы'!R$10-'минимумы и максимумы'!R$9)*100)</f>
        <v>68.843498273878026</v>
      </c>
      <c r="U392">
        <f>IF('исходные данные'!U392&gt;'минимумы и максимумы'!S$10,100,('исходные данные'!U392-'минимумы и максимумы'!S$9)/('минимумы и максимумы'!S$10-'минимумы и максимумы'!S$9)*100)</f>
        <v>66.666666666666657</v>
      </c>
    </row>
    <row r="393" spans="1:21" x14ac:dyDescent="0.45">
      <c r="A393" s="4">
        <v>509</v>
      </c>
      <c r="B393" s="4">
        <v>0</v>
      </c>
      <c r="C393" s="4">
        <v>0</v>
      </c>
      <c r="D393">
        <f>IF('исходные данные'!D393&gt;'минимумы и максимумы'!B$10,100,('исходные данные'!D393-'минимумы и максимумы'!B$9)/('минимумы и максимумы'!B$10-'минимумы и максимумы'!B$9)*100)</f>
        <v>11.111111111111111</v>
      </c>
      <c r="E393">
        <f>IF('исходные данные'!E393&gt;'минимумы и максимумы'!C$10,100,('исходные данные'!E393-'минимумы и максимумы'!C$9)/('минимумы и максимумы'!C$10-'минимумы и максимумы'!C$9)*100)</f>
        <v>20</v>
      </c>
      <c r="F393">
        <f>IF('исходные данные'!F393&gt;'минимумы и максимумы'!D$10,100,('исходные данные'!F393-'минимумы и максимумы'!D$9)/('минимумы и максимумы'!D$10-'минимумы и максимумы'!D$9)*100)</f>
        <v>0</v>
      </c>
      <c r="G393">
        <f>IF('исходные данные'!G393&gt;'минимумы и максимумы'!E$10,100,('исходные данные'!G393-'минимумы и максимумы'!E$9)/('минимумы и максимумы'!E$10-'минимумы и максимумы'!E$9)*100)</f>
        <v>16.666666666666664</v>
      </c>
      <c r="H393">
        <f>IF('исходные данные'!H393&gt;'минимумы и максимумы'!F$10,100,('исходные данные'!H393-'минимумы и максимумы'!F$9)/('минимумы и максимумы'!F$10-'минимумы и максимумы'!F$9)*100)</f>
        <v>13.793103448275861</v>
      </c>
      <c r="I393">
        <f>IF('исходные данные'!I393&gt;'минимумы и максимумы'!G$10,100,('исходные данные'!I393-'минимумы и максимумы'!G$9)/('минимумы и максимумы'!G$10-'минимумы и максимумы'!G$9)*100)</f>
        <v>11.320754716981133</v>
      </c>
      <c r="J393">
        <f>IF('исходные данные'!J393&gt;'минимумы и максимумы'!H$10,100,('исходные данные'!J393-'минимумы и максимумы'!H$9)/('минимумы и максимумы'!H$10-'минимумы и максимумы'!H$9)*100)</f>
        <v>0</v>
      </c>
      <c r="K393">
        <f>IF('исходные данные'!K393&gt;'минимумы и максимумы'!I$10,100,('исходные данные'!K393-'минимумы и максимумы'!I$9)/('минимумы и максимумы'!I$10-'минимумы и максимумы'!I$9)*100)</f>
        <v>5.5555555555555554</v>
      </c>
      <c r="L393">
        <f>IF('исходные данные'!L393&gt;'минимумы и максимумы'!J$10,100,('исходные данные'!L393-'минимумы и максимумы'!J$9)/('минимумы и максимумы'!J$10-'минимумы и максимумы'!J$9)*100)</f>
        <v>0</v>
      </c>
      <c r="M393">
        <f>IF('исходные данные'!M393&gt;'минимумы и максимумы'!K$10,100,('исходные данные'!M393-'минимумы и максимумы'!K$9)/('минимумы и максимумы'!K$10-'минимумы и максимумы'!K$9)*100)</f>
        <v>7.1428571428571423</v>
      </c>
      <c r="N393">
        <f>IF('исходные данные'!N393&gt;'минимумы и максимумы'!L$10,100,('исходные данные'!N393-'минимумы и максимумы'!L$9)/('минимумы и максимумы'!L$10-'минимумы и максимумы'!L$9)*100)</f>
        <v>32.213429684001589</v>
      </c>
      <c r="O393">
        <f>IF('исходные данные'!O393&gt;'минимумы и максимумы'!M$10,100,('исходные данные'!O393-'минимумы и максимумы'!M$9)/('минимумы и максимумы'!M$10-'минимумы и максимумы'!M$9)*100)</f>
        <v>66.666666666666657</v>
      </c>
      <c r="P393">
        <f>IF('исходные данные'!P393&gt;'минимумы и максимумы'!N$10,100,('исходные данные'!P393-'минимумы и максимумы'!N$9)/('минимумы и максимумы'!N$10-'минимумы и максимумы'!N$9)*100)</f>
        <v>0</v>
      </c>
      <c r="Q393">
        <f>IF('исходные данные'!Q393&gt;'минимумы и максимумы'!O$10,100,('исходные данные'!Q393-'минимумы и максимумы'!O$9)/('минимумы и максимумы'!O$10-'минимумы и максимумы'!O$9)*100)</f>
        <v>0</v>
      </c>
      <c r="R393">
        <f>IF('исходные данные'!R393&gt;'минимумы и максимумы'!P$10,100,('исходные данные'!R393-'минимумы и максимумы'!P$9)/('минимумы и максимумы'!P$10-'минимумы и максимумы'!P$9)*100)</f>
        <v>75</v>
      </c>
      <c r="S393">
        <f>IF('исходные данные'!S393&gt;'минимумы и максимумы'!Q$10,100,('исходные данные'!S393-'минимумы и максимумы'!Q$9)/('минимумы и максимумы'!Q$10-'минимумы и максимумы'!Q$9)*100)</f>
        <v>100</v>
      </c>
      <c r="T393">
        <f>IF('исходные данные'!T393&gt;'минимумы и максимумы'!R$10,100,('исходные данные'!T393-'минимумы и максимумы'!R$9)/('минимумы и максимумы'!R$10-'минимумы и максимумы'!R$9)*100)</f>
        <v>100</v>
      </c>
      <c r="U393">
        <f>IF('исходные данные'!U393&gt;'минимумы и максимумы'!S$10,100,('исходные данные'!U393-'минимумы и максимумы'!S$9)/('минимумы и максимумы'!S$10-'минимумы и максимумы'!S$9)*100)</f>
        <v>33.333333333333329</v>
      </c>
    </row>
    <row r="394" spans="1:21" x14ac:dyDescent="0.45">
      <c r="A394" s="4">
        <v>510</v>
      </c>
      <c r="B394" s="4">
        <v>0</v>
      </c>
      <c r="C394" s="4">
        <v>0</v>
      </c>
      <c r="D394">
        <f>IF('исходные данные'!D394&gt;'минимумы и максимумы'!B$10,100,('исходные данные'!D394-'минимумы и максимумы'!B$9)/('минимумы и максимумы'!B$10-'минимумы и максимумы'!B$9)*100)</f>
        <v>11.111111111111111</v>
      </c>
      <c r="E394">
        <f>IF('исходные данные'!E394&gt;'минимумы и максимумы'!C$10,100,('исходные данные'!E394-'минимумы и максимумы'!C$9)/('минимумы и максимумы'!C$10-'минимумы и максимумы'!C$9)*100)</f>
        <v>30</v>
      </c>
      <c r="F394">
        <f>IF('исходные данные'!F394&gt;'минимумы и максимумы'!D$10,100,('исходные данные'!F394-'минимумы и максимумы'!D$9)/('минимумы и максимумы'!D$10-'минимумы и максимумы'!D$9)*100)</f>
        <v>0</v>
      </c>
      <c r="G394">
        <f>IF('исходные данные'!G394&gt;'минимумы и максимумы'!E$10,100,('исходные данные'!G394-'минимумы и максимумы'!E$9)/('минимумы и максимумы'!E$10-'минимумы и максимумы'!E$9)*100)</f>
        <v>25</v>
      </c>
      <c r="H394">
        <f>IF('исходные данные'!H394&gt;'минимумы и максимумы'!F$10,100,('исходные данные'!H394-'минимумы и максимумы'!F$9)/('минимумы и максимумы'!F$10-'минимумы и максимумы'!F$9)*100)</f>
        <v>24.137931034482758</v>
      </c>
      <c r="I394">
        <f>IF('исходные данные'!I394&gt;'минимумы и максимумы'!G$10,100,('исходные данные'!I394-'минимумы и максимумы'!G$9)/('минимумы и максимумы'!G$10-'минимумы и максимумы'!G$9)*100)</f>
        <v>15.09433962264151</v>
      </c>
      <c r="J394">
        <f>IF('исходные данные'!J394&gt;'минимумы и максимумы'!H$10,100,('исходные данные'!J394-'минимумы и максимумы'!H$9)/('минимумы и максимумы'!H$10-'минимумы и максимумы'!H$9)*100)</f>
        <v>0</v>
      </c>
      <c r="K394">
        <f>IF('исходные данные'!K394&gt;'минимумы и максимумы'!I$10,100,('исходные данные'!K394-'минимумы и максимумы'!I$9)/('минимумы и максимумы'!I$10-'минимумы и максимумы'!I$9)*100)</f>
        <v>5.5555555555555554</v>
      </c>
      <c r="L394">
        <f>IF('исходные данные'!L394&gt;'минимумы и максимумы'!J$10,100,('исходные данные'!L394-'минимумы и максимумы'!J$9)/('минимумы и максимумы'!J$10-'минимумы и максимумы'!J$9)*100)</f>
        <v>0</v>
      </c>
      <c r="M394">
        <f>IF('исходные данные'!M394&gt;'минимумы и максимумы'!K$10,100,('исходные данные'!M394-'минимумы и максимумы'!K$9)/('минимумы и максимумы'!K$10-'минимумы и максимумы'!K$9)*100)</f>
        <v>32.142857142857146</v>
      </c>
      <c r="N394">
        <f>IF('исходные данные'!N394&gt;'минимумы и максимумы'!L$10,100,('исходные данные'!N394-'минимумы и максимумы'!L$9)/('минимумы и максимумы'!L$10-'минимумы и максимумы'!L$9)*100)</f>
        <v>31.699251426364139</v>
      </c>
      <c r="O394">
        <f>IF('исходные данные'!O394&gt;'минимумы и максимумы'!M$10,100,('исходные данные'!O394-'минимумы и максимумы'!M$9)/('минимумы и максимумы'!M$10-'минимумы и максимумы'!M$9)*100)</f>
        <v>66.666666666666657</v>
      </c>
      <c r="P394">
        <f>IF('исходные данные'!P394&gt;'минимумы и максимумы'!N$10,100,('исходные данные'!P394-'минимумы и максимумы'!N$9)/('минимумы и максимумы'!N$10-'минимумы и максимумы'!N$9)*100)</f>
        <v>0</v>
      </c>
      <c r="Q394">
        <f>IF('исходные данные'!Q394&gt;'минимумы и максимумы'!O$10,100,('исходные данные'!Q394-'минимумы и максимумы'!O$9)/('минимумы и максимумы'!O$10-'минимумы и максимумы'!O$9)*100)</f>
        <v>100</v>
      </c>
      <c r="R394">
        <f>IF('исходные данные'!R394&gt;'минимумы и максимумы'!P$10,100,('исходные данные'!R394-'минимумы и максимумы'!P$9)/('минимумы и максимумы'!P$10-'минимумы и максимумы'!P$9)*100)</f>
        <v>100</v>
      </c>
      <c r="S394">
        <f>IF('исходные данные'!S394&gt;'минимумы и максимумы'!Q$10,100,('исходные данные'!S394-'минимумы и максимумы'!Q$9)/('минимумы и максимумы'!Q$10-'минимумы и максимумы'!Q$9)*100)</f>
        <v>50</v>
      </c>
      <c r="T394">
        <f>IF('исходные данные'!T394&gt;'минимумы и максимумы'!R$10,100,('исходные данные'!T394-'минимумы и максимумы'!R$9)/('минимумы и максимумы'!R$10-'минимумы и максимумы'!R$9)*100)</f>
        <v>6.61680092059839</v>
      </c>
      <c r="U394">
        <f>IF('исходные данные'!U394&gt;'минимумы и максимумы'!S$10,100,('исходные данные'!U394-'минимумы и максимумы'!S$9)/('минимумы и максимумы'!S$10-'минимумы и максимумы'!S$9)*100)</f>
        <v>0</v>
      </c>
    </row>
    <row r="395" spans="1:21" x14ac:dyDescent="0.45">
      <c r="A395" s="4">
        <v>511</v>
      </c>
      <c r="B395" s="4">
        <v>0</v>
      </c>
      <c r="C395" s="4">
        <v>0</v>
      </c>
      <c r="D395">
        <f>IF('исходные данные'!D395&gt;'минимумы и максимумы'!B$10,100,('исходные данные'!D395-'минимумы и максимумы'!B$9)/('минимумы и максимумы'!B$10-'минимумы и максимумы'!B$9)*100)</f>
        <v>11.111111111111111</v>
      </c>
      <c r="E395">
        <f>IF('исходные данные'!E395&gt;'минимумы и максимумы'!C$10,100,('исходные данные'!E395-'минимумы и максимумы'!C$9)/('минимумы и максимумы'!C$10-'минимумы и максимумы'!C$9)*100)</f>
        <v>40</v>
      </c>
      <c r="F395">
        <f>IF('исходные данные'!F395&gt;'минимумы и максимумы'!D$10,100,('исходные данные'!F395-'минимумы и максимумы'!D$9)/('минимумы и максимумы'!D$10-'минимумы и максимумы'!D$9)*100)</f>
        <v>0</v>
      </c>
      <c r="G395">
        <f>IF('исходные данные'!G395&gt;'минимумы и максимумы'!E$10,100,('исходные данные'!G395-'минимумы и максимумы'!E$9)/('минимумы и максимумы'!E$10-'минимумы и максимумы'!E$9)*100)</f>
        <v>20.833333333333336</v>
      </c>
      <c r="H395">
        <f>IF('исходные данные'!H395&gt;'минимумы и максимумы'!F$10,100,('исходные данные'!H395-'минимумы и максимумы'!F$9)/('минимумы и максимумы'!F$10-'минимумы и максимумы'!F$9)*100)</f>
        <v>13.793103448275861</v>
      </c>
      <c r="I395">
        <f>IF('исходные данные'!I395&gt;'минимумы и максимумы'!G$10,100,('исходные данные'!I395-'минимумы и максимумы'!G$9)/('минимумы и максимумы'!G$10-'минимумы и максимумы'!G$9)*100)</f>
        <v>16.981132075471699</v>
      </c>
      <c r="J395">
        <f>IF('исходные данные'!J395&gt;'минимумы и максимумы'!H$10,100,('исходные данные'!J395-'минимумы и максимумы'!H$9)/('минимумы и максимумы'!H$10-'минимумы и максимумы'!H$9)*100)</f>
        <v>20</v>
      </c>
      <c r="K395">
        <f>IF('исходные данные'!K395&gt;'минимумы и максимумы'!I$10,100,('исходные данные'!K395-'минимумы и максимумы'!I$9)/('минимумы и максимумы'!I$10-'минимумы и максимумы'!I$9)*100)</f>
        <v>44.444444444444443</v>
      </c>
      <c r="L395">
        <f>IF('исходные данные'!L395&gt;'минимумы и максимумы'!J$10,100,('исходные данные'!L395-'минимумы и максимумы'!J$9)/('минимумы и максимумы'!J$10-'минимумы и максимумы'!J$9)*100)</f>
        <v>0</v>
      </c>
      <c r="M395">
        <f>IF('исходные данные'!M395&gt;'минимумы и максимумы'!K$10,100,('исходные данные'!M395-'минимумы и максимумы'!K$9)/('минимумы и максимумы'!K$10-'минимумы и максимумы'!K$9)*100)</f>
        <v>10.714285714285714</v>
      </c>
      <c r="N395">
        <f>IF('исходные данные'!N395&gt;'минимумы и максимумы'!L$10,100,('исходные данные'!N395-'минимумы и максимумы'!L$9)/('минимумы и максимумы'!L$10-'минимумы и максимумы'!L$9)*100)</f>
        <v>24.280234715229966</v>
      </c>
      <c r="O395">
        <f>IF('исходные данные'!O395&gt;'минимумы и максимумы'!M$10,100,('исходные данные'!O395-'минимумы и максимумы'!M$9)/('минимумы и максимумы'!M$10-'минимумы и максимумы'!M$9)*100)</f>
        <v>66.666666666666657</v>
      </c>
      <c r="P395">
        <f>IF('исходные данные'!P395&gt;'минимумы и максимумы'!N$10,100,('исходные данные'!P395-'минимумы и максимумы'!N$9)/('минимумы и максимумы'!N$10-'минимумы и максимумы'!N$9)*100)</f>
        <v>0</v>
      </c>
      <c r="Q395">
        <f>IF('исходные данные'!Q395&gt;'минимумы и максимумы'!O$10,100,('исходные данные'!Q395-'минимумы и максимумы'!O$9)/('минимумы и максимумы'!O$10-'минимумы и максимумы'!O$9)*100)</f>
        <v>100</v>
      </c>
      <c r="R395">
        <f>IF('исходные данные'!R395&gt;'минимумы и максимумы'!P$10,100,('исходные данные'!R395-'минимумы и максимумы'!P$9)/('минимумы и максимумы'!P$10-'минимумы и максимумы'!P$9)*100)</f>
        <v>100</v>
      </c>
      <c r="S395">
        <f>IF('исходные данные'!S395&gt;'минимумы и максимумы'!Q$10,100,('исходные данные'!S395-'минимумы и максимумы'!Q$9)/('минимумы и максимумы'!Q$10-'минимумы и максимумы'!Q$9)*100)</f>
        <v>50</v>
      </c>
      <c r="T395">
        <f>IF('исходные данные'!T395&gt;'минимумы и максимумы'!R$10,100,('исходные данные'!T395-'минимумы и максимумы'!R$9)/('минимумы и максимумы'!R$10-'минимумы и максимумы'!R$9)*100)</f>
        <v>7.3935558112773307</v>
      </c>
      <c r="U395">
        <f>IF('исходные данные'!U395&gt;'минимумы и максимумы'!S$10,100,('исходные данные'!U395-'минимумы и максимумы'!S$9)/('минимумы и максимумы'!S$10-'минимумы и максимумы'!S$9)*100)</f>
        <v>0</v>
      </c>
    </row>
    <row r="396" spans="1:21" x14ac:dyDescent="0.45">
      <c r="A396" s="4">
        <v>512</v>
      </c>
      <c r="B396" s="4">
        <v>0</v>
      </c>
      <c r="C396" s="4">
        <v>0</v>
      </c>
      <c r="D396">
        <f>IF('исходные данные'!D396&gt;'минимумы и максимумы'!B$10,100,('исходные данные'!D396-'минимумы и максимумы'!B$9)/('минимумы и максимумы'!B$10-'минимумы и максимумы'!B$9)*100)</f>
        <v>0</v>
      </c>
      <c r="E396">
        <f>IF('исходные данные'!E396&gt;'минимумы и максимумы'!C$10,100,('исходные данные'!E396-'минимумы и максимумы'!C$9)/('минимумы и максимумы'!C$10-'минимумы и максимумы'!C$9)*100)</f>
        <v>10</v>
      </c>
      <c r="F396">
        <f>IF('исходные данные'!F396&gt;'минимумы и максимумы'!D$10,100,('исходные данные'!F396-'минимумы и максимумы'!D$9)/('минимумы и максимумы'!D$10-'минимумы и максимумы'!D$9)*100)</f>
        <v>0</v>
      </c>
      <c r="G396">
        <f>IF('исходные данные'!G396&gt;'минимумы и максимумы'!E$10,100,('исходные данные'!G396-'минимумы и максимумы'!E$9)/('минимумы и максимумы'!E$10-'минимумы и максимумы'!E$9)*100)</f>
        <v>16.666666666666664</v>
      </c>
      <c r="H396">
        <f>IF('исходные данные'!H396&gt;'минимумы и максимумы'!F$10,100,('исходные данные'!H396-'минимумы и максимумы'!F$9)/('минимумы и максимумы'!F$10-'минимумы и максимумы'!F$9)*100)</f>
        <v>13.793103448275861</v>
      </c>
      <c r="I396">
        <f>IF('исходные данные'!I396&gt;'минимумы и максимумы'!G$10,100,('исходные данные'!I396-'минимумы и максимумы'!G$9)/('минимумы и максимумы'!G$10-'минимумы и максимумы'!G$9)*100)</f>
        <v>15.09433962264151</v>
      </c>
      <c r="J396">
        <f>IF('исходные данные'!J396&gt;'минимумы и максимумы'!H$10,100,('исходные данные'!J396-'минимумы и максимумы'!H$9)/('минимумы и максимумы'!H$10-'минимумы и максимумы'!H$9)*100)</f>
        <v>0</v>
      </c>
      <c r="K396">
        <f>IF('исходные данные'!K396&gt;'минимумы и максимумы'!I$10,100,('исходные данные'!K396-'минимумы и максимумы'!I$9)/('минимумы и максимумы'!I$10-'минимумы и максимумы'!I$9)*100)</f>
        <v>50</v>
      </c>
      <c r="L396">
        <f>IF('исходные данные'!L396&gt;'минимумы и максимумы'!J$10,100,('исходные данные'!L396-'минимумы и максимумы'!J$9)/('минимумы и максимумы'!J$10-'минимумы и максимумы'!J$9)*100)</f>
        <v>0</v>
      </c>
      <c r="M396">
        <f>IF('исходные данные'!M396&gt;'минимумы и максимумы'!K$10,100,('исходные данные'!M396-'минимумы и максимумы'!K$9)/('минимумы и максимумы'!K$10-'минимумы и максимумы'!K$9)*100)</f>
        <v>10.714285714285714</v>
      </c>
      <c r="N396">
        <f>IF('исходные данные'!N396&gt;'минимумы и максимумы'!L$10,100,('исходные данные'!N396-'минимумы и максимумы'!L$9)/('минимумы и максимумы'!L$10-'минимумы и максимумы'!L$9)*100)</f>
        <v>23.832057126031369</v>
      </c>
      <c r="O396">
        <f>IF('исходные данные'!O396&gt;'минимумы и максимумы'!M$10,100,('исходные данные'!O396-'минимумы и максимумы'!M$9)/('минимумы и максимумы'!M$10-'минимумы и максимумы'!M$9)*100)</f>
        <v>66.666666666666657</v>
      </c>
      <c r="P396">
        <f>IF('исходные данные'!P396&gt;'минимумы и максимумы'!N$10,100,('исходные данные'!P396-'минимумы и максимумы'!N$9)/('минимумы и максимумы'!N$10-'минимумы и максимумы'!N$9)*100)</f>
        <v>0</v>
      </c>
      <c r="Q396">
        <f>IF('исходные данные'!Q396&gt;'минимумы и максимумы'!O$10,100,('исходные данные'!Q396-'минимумы и максимумы'!O$9)/('минимумы и максимумы'!O$10-'минимумы и максимумы'!O$9)*100)</f>
        <v>100</v>
      </c>
      <c r="R396">
        <f>IF('исходные данные'!R396&gt;'минимумы и максимумы'!P$10,100,('исходные данные'!R396-'минимумы и максимумы'!P$9)/('минимумы и максимумы'!P$10-'минимумы и максимумы'!P$9)*100)</f>
        <v>75</v>
      </c>
      <c r="S396">
        <f>IF('исходные данные'!S396&gt;'минимумы и максимумы'!Q$10,100,('исходные данные'!S396-'минимумы и максимумы'!Q$9)/('минимумы и максимумы'!Q$10-'минимумы и максимумы'!Q$9)*100)</f>
        <v>66.666666666666657</v>
      </c>
      <c r="T396">
        <f>IF('исходные данные'!T396&gt;'минимумы и максимумы'!R$10,100,('исходные данные'!T396-'минимумы и максимумы'!R$9)/('минимумы и максимумы'!R$10-'минимумы и максимумы'!R$9)*100)</f>
        <v>25.086306098964329</v>
      </c>
      <c r="U396">
        <f>IF('исходные данные'!U396&gt;'минимумы и максимумы'!S$10,100,('исходные данные'!U396-'минимумы и максимумы'!S$9)/('минимумы и максимумы'!S$10-'минимумы и максимумы'!S$9)*100)</f>
        <v>33.333333333333329</v>
      </c>
    </row>
    <row r="397" spans="1:21" x14ac:dyDescent="0.45">
      <c r="A397" s="4">
        <v>513</v>
      </c>
      <c r="B397" s="4">
        <v>0</v>
      </c>
      <c r="C397" s="4">
        <v>0</v>
      </c>
      <c r="D397">
        <f>IF('исходные данные'!D397&gt;'минимумы и максимумы'!B$10,100,('исходные данные'!D397-'минимумы и максимумы'!B$9)/('минимумы и максимумы'!B$10-'минимумы и максимумы'!B$9)*100)</f>
        <v>11.111111111111111</v>
      </c>
      <c r="E397">
        <f>IF('исходные данные'!E397&gt;'минимумы и максимумы'!C$10,100,('исходные данные'!E397-'минимумы и максимумы'!C$9)/('минимумы и максимумы'!C$10-'минимумы и максимумы'!C$9)*100)</f>
        <v>40</v>
      </c>
      <c r="F397">
        <f>IF('исходные данные'!F397&gt;'минимумы и максимумы'!D$10,100,('исходные данные'!F397-'минимумы и максимумы'!D$9)/('минимумы и максимумы'!D$10-'минимумы и максимумы'!D$9)*100)</f>
        <v>0</v>
      </c>
      <c r="G397">
        <f>IF('исходные данные'!G397&gt;'минимумы и максимумы'!E$10,100,('исходные данные'!G397-'минимумы и максимумы'!E$9)/('минимумы и максимумы'!E$10-'минимумы и максимумы'!E$9)*100)</f>
        <v>20.833333333333336</v>
      </c>
      <c r="H397">
        <f>IF('исходные данные'!H397&gt;'минимумы и максимумы'!F$10,100,('исходные данные'!H397-'минимумы и максимумы'!F$9)/('минимумы и максимумы'!F$10-'минимумы и максимумы'!F$9)*100)</f>
        <v>20.689655172413794</v>
      </c>
      <c r="I397">
        <f>IF('исходные данные'!I397&gt;'минимумы и максимумы'!G$10,100,('исходные данные'!I397-'минимумы и максимумы'!G$9)/('минимумы и максимумы'!G$10-'минимумы и максимумы'!G$9)*100)</f>
        <v>15.09433962264151</v>
      </c>
      <c r="J397">
        <f>IF('исходные данные'!J397&gt;'минимумы и максимумы'!H$10,100,('исходные данные'!J397-'минимумы и максимумы'!H$9)/('минимумы и максимумы'!H$10-'минимумы и максимумы'!H$9)*100)</f>
        <v>20</v>
      </c>
      <c r="K397">
        <f>IF('исходные данные'!K397&gt;'минимумы и максимумы'!I$10,100,('исходные данные'!K397-'минимумы и максимумы'!I$9)/('минимумы и максимумы'!I$10-'минимумы и максимумы'!I$9)*100)</f>
        <v>50</v>
      </c>
      <c r="L397">
        <f>IF('исходные данные'!L397&gt;'минимумы и максимумы'!J$10,100,('исходные данные'!L397-'минимумы и максимумы'!J$9)/('минимумы и максимумы'!J$10-'минимумы и максимумы'!J$9)*100)</f>
        <v>0</v>
      </c>
      <c r="M397">
        <f>IF('исходные данные'!M397&gt;'минимумы и максимумы'!K$10,100,('исходные данные'!M397-'минимумы и максимумы'!K$9)/('минимумы и максимумы'!K$10-'минимумы и максимумы'!K$9)*100)</f>
        <v>14.285714285714285</v>
      </c>
      <c r="N397">
        <f>IF('исходные данные'!N397&gt;'минимумы и максимумы'!L$10,100,('исходные данные'!N397-'минимумы и максимумы'!L$9)/('минимумы и максимумы'!L$10-'минимумы и максимумы'!L$9)*100)</f>
        <v>23.510771894274711</v>
      </c>
      <c r="O397">
        <f>IF('исходные данные'!O397&gt;'минимумы и максимумы'!M$10,100,('исходные данные'!O397-'минимумы и максимумы'!M$9)/('минимумы и максимумы'!M$10-'минимумы и максимумы'!M$9)*100)</f>
        <v>100</v>
      </c>
      <c r="P397">
        <f>IF('исходные данные'!P397&gt;'минимумы и максимумы'!N$10,100,('исходные данные'!P397-'минимумы и максимумы'!N$9)/('минимумы и максимумы'!N$10-'минимумы и максимумы'!N$9)*100)</f>
        <v>0</v>
      </c>
      <c r="Q397">
        <f>IF('исходные данные'!Q397&gt;'минимумы и максимумы'!O$10,100,('исходные данные'!Q397-'минимумы и максимумы'!O$9)/('минимумы и максимумы'!O$10-'минимумы и максимумы'!O$9)*100)</f>
        <v>100</v>
      </c>
      <c r="R397">
        <f>IF('исходные данные'!R397&gt;'минимумы и максимумы'!P$10,100,('исходные данные'!R397-'минимумы и максимумы'!P$9)/('минимумы и максимумы'!P$10-'минимумы и максимумы'!P$9)*100)</f>
        <v>100</v>
      </c>
      <c r="S397">
        <f>IF('исходные данные'!S397&gt;'минимумы и максимумы'!Q$10,100,('исходные данные'!S397-'минимумы и максимумы'!Q$9)/('минимумы и максимумы'!Q$10-'минимумы и максимумы'!Q$9)*100)</f>
        <v>66.666666666666657</v>
      </c>
      <c r="T397">
        <f>IF('исходные данные'!T397&gt;'минимумы и максимумы'!R$10,100,('исходные данные'!T397-'минимумы и максимумы'!R$9)/('минимумы и максимумы'!R$10-'минимумы и максимумы'!R$9)*100)</f>
        <v>7.9401611047180669</v>
      </c>
      <c r="U397">
        <f>IF('исходные данные'!U397&gt;'минимумы и максимумы'!S$10,100,('исходные данные'!U397-'минимумы и максимумы'!S$9)/('минимумы и максимумы'!S$10-'минимумы и максимумы'!S$9)*100)</f>
        <v>0</v>
      </c>
    </row>
    <row r="398" spans="1:21" x14ac:dyDescent="0.45">
      <c r="A398" s="4">
        <v>514</v>
      </c>
      <c r="B398" s="4">
        <v>0</v>
      </c>
      <c r="C398" s="4">
        <v>0</v>
      </c>
      <c r="D398">
        <f>IF('исходные данные'!D398&gt;'минимумы и максимумы'!B$10,100,('исходные данные'!D398-'минимумы и максимумы'!B$9)/('минимумы и максимумы'!B$10-'минимумы и максимумы'!B$9)*100)</f>
        <v>0</v>
      </c>
      <c r="E398">
        <f>IF('исходные данные'!E398&gt;'минимумы и максимумы'!C$10,100,('исходные данные'!E398-'минимумы и максимумы'!C$9)/('минимумы и максимумы'!C$10-'минимумы и максимумы'!C$9)*100)</f>
        <v>0</v>
      </c>
      <c r="F398">
        <f>IF('исходные данные'!F398&gt;'минимумы и максимумы'!D$10,100,('исходные данные'!F398-'минимумы и максимумы'!D$9)/('минимумы и максимумы'!D$10-'минимумы и максимумы'!D$9)*100)</f>
        <v>0</v>
      </c>
      <c r="G398">
        <f>IF('исходные данные'!G398&gt;'минимумы и максимумы'!E$10,100,('исходные данные'!G398-'минимумы и максимумы'!E$9)/('минимумы и максимумы'!E$10-'минимумы и максимумы'!E$9)*100)</f>
        <v>16.666666666666664</v>
      </c>
      <c r="H398">
        <f>IF('исходные данные'!H398&gt;'минимумы и максимумы'!F$10,100,('исходные данные'!H398-'минимумы и максимумы'!F$9)/('минимумы и максимумы'!F$10-'минимумы и максимумы'!F$9)*100)</f>
        <v>13.793103448275861</v>
      </c>
      <c r="I398">
        <f>IF('исходные данные'!I398&gt;'минимумы и максимумы'!G$10,100,('исходные данные'!I398-'минимумы и максимумы'!G$9)/('минимумы и максимумы'!G$10-'минимумы и максимумы'!G$9)*100)</f>
        <v>20.754716981132077</v>
      </c>
      <c r="J398">
        <f>IF('исходные данные'!J398&gt;'минимумы и максимумы'!H$10,100,('исходные данные'!J398-'минимумы и максимумы'!H$9)/('минимумы и максимумы'!H$10-'минимумы и максимумы'!H$9)*100)</f>
        <v>20</v>
      </c>
      <c r="K398">
        <f>IF('исходные данные'!K398&gt;'минимумы и максимумы'!I$10,100,('исходные данные'!K398-'минимумы и максимумы'!I$9)/('минимумы и максимумы'!I$10-'минимумы и максимумы'!I$9)*100)</f>
        <v>50</v>
      </c>
      <c r="L398">
        <f>IF('исходные данные'!L398&gt;'минимумы и максимумы'!J$10,100,('исходные данные'!L398-'минимумы и максимумы'!J$9)/('минимумы и максимумы'!J$10-'минимумы и максимумы'!J$9)*100)</f>
        <v>0</v>
      </c>
      <c r="M398">
        <f>IF('исходные данные'!M398&gt;'минимумы и максимумы'!K$10,100,('исходные данные'!M398-'минимумы и максимумы'!K$9)/('минимумы и максимумы'!K$10-'минимумы и максимумы'!K$9)*100)</f>
        <v>10.714285714285714</v>
      </c>
      <c r="N398">
        <f>IF('исходные данные'!N398&gt;'минимумы и максимумы'!L$10,100,('исходные данные'!N398-'минимумы и максимумы'!L$9)/('минимумы и максимумы'!L$10-'минимумы и максимумы'!L$9)*100)</f>
        <v>21.586329001371148</v>
      </c>
      <c r="O398">
        <f>IF('исходные данные'!O398&gt;'минимумы и максимумы'!M$10,100,('исходные данные'!O398-'минимумы и максимумы'!M$9)/('минимумы и максимумы'!M$10-'минимумы и максимумы'!M$9)*100)</f>
        <v>33.333333333333329</v>
      </c>
      <c r="P398">
        <f>IF('исходные данные'!P398&gt;'минимумы и максимумы'!N$10,100,('исходные данные'!P398-'минимумы и максимумы'!N$9)/('минимумы и максимумы'!N$10-'минимумы и максимумы'!N$9)*100)</f>
        <v>0</v>
      </c>
      <c r="Q398">
        <f>IF('исходные данные'!Q398&gt;'минимумы и максимумы'!O$10,100,('исходные данные'!Q398-'минимумы и максимумы'!O$9)/('минимумы и максимумы'!O$10-'минимумы и максимумы'!O$9)*100)</f>
        <v>100</v>
      </c>
      <c r="R398">
        <f>IF('исходные данные'!R398&gt;'минимумы и максимумы'!P$10,100,('исходные данные'!R398-'минимумы и максимумы'!P$9)/('минимумы и максимумы'!P$10-'минимумы и максимумы'!P$9)*100)</f>
        <v>75</v>
      </c>
      <c r="S398">
        <f>IF('исходные данные'!S398&gt;'минимумы и максимумы'!Q$10,100,('исходные данные'!S398-'минимумы и максимумы'!Q$9)/('минимумы и максимумы'!Q$10-'минимумы и максимумы'!Q$9)*100)</f>
        <v>33.333333333333329</v>
      </c>
      <c r="T398">
        <f>IF('исходные данные'!T398&gt;'минимумы и максимумы'!R$10,100,('исходные данные'!T398-'минимумы и максимумы'!R$9)/('минимумы и максимумы'!R$10-'минимумы и максимумы'!R$9)*100)</f>
        <v>10.960874568469507</v>
      </c>
      <c r="U398">
        <f>IF('исходные данные'!U398&gt;'минимумы и максимумы'!S$10,100,('исходные данные'!U398-'минимумы и максимумы'!S$9)/('минимумы и максимумы'!S$10-'минимумы и максимумы'!S$9)*100)</f>
        <v>0</v>
      </c>
    </row>
    <row r="399" spans="1:21" x14ac:dyDescent="0.45">
      <c r="A399" s="4">
        <v>516</v>
      </c>
      <c r="B399" s="4">
        <v>0</v>
      </c>
      <c r="C399" s="4">
        <v>0</v>
      </c>
      <c r="D399">
        <f>IF('исходные данные'!D399&gt;'минимумы и максимумы'!B$10,100,('исходные данные'!D399-'минимумы и максимумы'!B$9)/('минимумы и максимумы'!B$10-'минимумы и максимумы'!B$9)*100)</f>
        <v>0</v>
      </c>
      <c r="E399">
        <f>IF('исходные данные'!E399&gt;'минимумы и максимумы'!C$10,100,('исходные данные'!E399-'минимумы и максимумы'!C$9)/('минимумы и максимумы'!C$10-'минимумы и максимумы'!C$9)*100)</f>
        <v>0</v>
      </c>
      <c r="F399">
        <f>IF('исходные данные'!F399&gt;'минимумы и максимумы'!D$10,100,('исходные данные'!F399-'минимумы и максимумы'!D$9)/('минимумы и максимумы'!D$10-'минимумы и максимумы'!D$9)*100)</f>
        <v>0</v>
      </c>
      <c r="G399">
        <f>IF('исходные данные'!G399&gt;'минимумы и максимумы'!E$10,100,('исходные данные'!G399-'минимумы и максимумы'!E$9)/('минимумы и максимумы'!E$10-'минимумы и максимумы'!E$9)*100)</f>
        <v>8.3333333333333321</v>
      </c>
      <c r="H399">
        <f>IF('исходные данные'!H399&gt;'минимумы и максимумы'!F$10,100,('исходные данные'!H399-'минимумы и максимумы'!F$9)/('минимумы и максимумы'!F$10-'минимумы и максимумы'!F$9)*100)</f>
        <v>3.4482758620689653</v>
      </c>
      <c r="I399">
        <f>IF('исходные данные'!I399&gt;'минимумы и максимумы'!G$10,100,('исходные данные'!I399-'минимумы и максимумы'!G$9)/('минимумы и максимумы'!G$10-'минимумы и максимумы'!G$9)*100)</f>
        <v>15.09433962264151</v>
      </c>
      <c r="J399">
        <f>IF('исходные данные'!J399&gt;'минимумы и максимумы'!H$10,100,('исходные данные'!J399-'минимумы и максимумы'!H$9)/('минимумы и максимумы'!H$10-'минимумы и максимумы'!H$9)*100)</f>
        <v>0</v>
      </c>
      <c r="K399">
        <f>IF('исходные данные'!K399&gt;'минимумы и максимумы'!I$10,100,('исходные данные'!K399-'минимумы и максимумы'!I$9)/('минимумы и максимумы'!I$10-'минимумы и максимумы'!I$9)*100)</f>
        <v>38.888888888888893</v>
      </c>
      <c r="L399">
        <f>IF('исходные данные'!L399&gt;'минимумы и максимумы'!J$10,100,('исходные данные'!L399-'минимумы и максимумы'!J$9)/('минимумы и максимумы'!J$10-'минимумы и максимумы'!J$9)*100)</f>
        <v>0</v>
      </c>
      <c r="M399">
        <f>IF('исходные данные'!M399&gt;'минимумы и максимумы'!K$10,100,('исходные данные'!M399-'минимумы и максимумы'!K$9)/('минимумы и максимумы'!K$10-'минимумы и максимумы'!K$9)*100)</f>
        <v>7.1428571428571423</v>
      </c>
      <c r="N399">
        <f>IF('исходные данные'!N399&gt;'минимумы и максимумы'!L$10,100,('исходные данные'!N399-'минимумы и максимумы'!L$9)/('минимумы и максимумы'!L$10-'минимумы и максимумы'!L$9)*100)</f>
        <v>23.003906318304761</v>
      </c>
      <c r="O399">
        <f>IF('исходные данные'!O399&gt;'минимумы и максимумы'!M$10,100,('исходные данные'!O399-'минимумы и максимумы'!M$9)/('минимумы и максимумы'!M$10-'минимумы и максимумы'!M$9)*100)</f>
        <v>0</v>
      </c>
      <c r="P399">
        <f>IF('исходные данные'!P399&gt;'минимумы и максимумы'!N$10,100,('исходные данные'!P399-'минимумы и максимумы'!N$9)/('минимумы и максимумы'!N$10-'минимумы и максимумы'!N$9)*100)</f>
        <v>0</v>
      </c>
      <c r="Q399">
        <f>IF('исходные данные'!Q399&gt;'минимумы и максимумы'!O$10,100,('исходные данные'!Q399-'минимумы и максимумы'!O$9)/('минимумы и максимумы'!O$10-'минимумы и максимумы'!O$9)*100)</f>
        <v>0</v>
      </c>
      <c r="R399">
        <f>IF('исходные данные'!R399&gt;'минимумы и максимумы'!P$10,100,('исходные данные'!R399-'минимумы и максимумы'!P$9)/('минимумы и максимумы'!P$10-'минимумы и максимумы'!P$9)*100)</f>
        <v>25</v>
      </c>
      <c r="S399">
        <f>IF('исходные данные'!S399&gt;'минимумы и максимумы'!Q$10,100,('исходные данные'!S399-'минимумы и максимумы'!Q$9)/('минимумы и максимумы'!Q$10-'минимумы и максимумы'!Q$9)*100)</f>
        <v>66.666666666666657</v>
      </c>
      <c r="T399">
        <f>IF('исходные данные'!T399&gt;'минимумы и максимумы'!R$10,100,('исходные данные'!T399-'минимумы и максимумы'!R$9)/('минимумы и максимумы'!R$10-'минимумы и максимумы'!R$9)*100)</f>
        <v>15.333716915995396</v>
      </c>
      <c r="U399">
        <f>IF('исходные данные'!U399&gt;'минимумы и максимумы'!S$10,100,('исходные данные'!U399-'минимумы и максимумы'!S$9)/('минимумы и максимумы'!S$10-'минимумы и максимумы'!S$9)*100)</f>
        <v>0</v>
      </c>
    </row>
    <row r="400" spans="1:21" x14ac:dyDescent="0.45">
      <c r="A400" s="4">
        <v>517</v>
      </c>
      <c r="B400" s="4">
        <v>0</v>
      </c>
      <c r="C400" s="4">
        <v>0</v>
      </c>
      <c r="D400">
        <f>IF('исходные данные'!D400&gt;'минимумы и максимумы'!B$10,100,('исходные данные'!D400-'минимумы и максимумы'!B$9)/('минимумы и максимумы'!B$10-'минимумы и максимумы'!B$9)*100)</f>
        <v>0</v>
      </c>
      <c r="E400">
        <f>IF('исходные данные'!E400&gt;'минимумы и максимумы'!C$10,100,('исходные данные'!E400-'минимумы и максимумы'!C$9)/('минимумы и максимумы'!C$10-'минимумы и максимумы'!C$9)*100)</f>
        <v>0</v>
      </c>
      <c r="F400">
        <f>IF('исходные данные'!F400&gt;'минимумы и максимумы'!D$10,100,('исходные данные'!F400-'минимумы и максимумы'!D$9)/('минимумы и максимумы'!D$10-'минимумы и максимумы'!D$9)*100)</f>
        <v>0</v>
      </c>
      <c r="G400">
        <f>IF('исходные данные'!G400&gt;'минимумы и максимумы'!E$10,100,('исходные данные'!G400-'минимумы и максимумы'!E$9)/('минимумы и максимумы'!E$10-'минимумы и максимумы'!E$9)*100)</f>
        <v>8.3333333333333321</v>
      </c>
      <c r="H400">
        <f>IF('исходные данные'!H400&gt;'минимумы и максимумы'!F$10,100,('исходные данные'!H400-'минимумы и максимумы'!F$9)/('минимумы и максимумы'!F$10-'минимумы и максимумы'!F$9)*100)</f>
        <v>6.8965517241379306</v>
      </c>
      <c r="I400">
        <f>IF('исходные данные'!I400&gt;'минимумы и максимумы'!G$10,100,('исходные данные'!I400-'минимумы и максимумы'!G$9)/('минимумы и максимумы'!G$10-'минимумы и максимумы'!G$9)*100)</f>
        <v>13.20754716981132</v>
      </c>
      <c r="J400">
        <f>IF('исходные данные'!J400&gt;'минимумы и максимумы'!H$10,100,('исходные данные'!J400-'минимумы и максимумы'!H$9)/('минимумы и максимумы'!H$10-'минимумы и максимумы'!H$9)*100)</f>
        <v>0</v>
      </c>
      <c r="K400">
        <f>IF('исходные данные'!K400&gt;'минимумы и максимумы'!I$10,100,('исходные данные'!K400-'минимумы и максимумы'!I$9)/('минимумы и максимумы'!I$10-'минимумы и максимумы'!I$9)*100)</f>
        <v>27.777777777777779</v>
      </c>
      <c r="L400">
        <f>IF('исходные данные'!L400&gt;'минимумы и максимумы'!J$10,100,('исходные данные'!L400-'минимумы и максимумы'!J$9)/('минимумы и максимумы'!J$10-'минимумы и максимумы'!J$9)*100)</f>
        <v>0</v>
      </c>
      <c r="M400">
        <f>IF('исходные данные'!M400&gt;'минимумы и максимумы'!K$10,100,('исходные данные'!M400-'минимумы и максимумы'!K$9)/('минимумы и максимумы'!K$10-'минимумы и максимумы'!K$9)*100)</f>
        <v>3.5714285714285712</v>
      </c>
      <c r="N400">
        <f>IF('исходные данные'!N400&gt;'минимумы и максимумы'!L$10,100,('исходные данные'!N400-'минимумы и максимумы'!L$9)/('минимумы и максимумы'!L$10-'минимумы и максимумы'!L$9)*100)</f>
        <v>24.135322418146885</v>
      </c>
      <c r="O400">
        <f>IF('исходные данные'!O400&gt;'минимумы и максимумы'!M$10,100,('исходные данные'!O400-'минимумы и максимумы'!M$9)/('минимумы и максимумы'!M$10-'минимумы и максимумы'!M$9)*100)</f>
        <v>66.666666666666657</v>
      </c>
      <c r="P400">
        <f>IF('исходные данные'!P400&gt;'минимумы и максимумы'!N$10,100,('исходные данные'!P400-'минимумы и максимумы'!N$9)/('минимумы и максимумы'!N$10-'минимумы и максимумы'!N$9)*100)</f>
        <v>0</v>
      </c>
      <c r="Q400">
        <f>IF('исходные данные'!Q400&gt;'минимумы и максимумы'!O$10,100,('исходные данные'!Q400-'минимумы и максимумы'!O$9)/('минимумы и максимумы'!O$10-'минимумы и максимумы'!O$9)*100)</f>
        <v>100</v>
      </c>
      <c r="R400">
        <f>IF('исходные данные'!R400&gt;'минимумы и максимумы'!P$10,100,('исходные данные'!R400-'минимумы и максимумы'!P$9)/('минимумы и максимумы'!P$10-'минимумы и максимумы'!P$9)*100)</f>
        <v>25</v>
      </c>
      <c r="S400">
        <f>IF('исходные данные'!S400&gt;'минимумы и максимумы'!Q$10,100,('исходные данные'!S400-'минимумы и максимумы'!Q$9)/('минимумы и максимумы'!Q$10-'минимумы и максимумы'!Q$9)*100)</f>
        <v>50</v>
      </c>
      <c r="T400">
        <f>IF('исходные данные'!T400&gt;'минимумы и максимумы'!R$10,100,('исходные данные'!T400-'минимумы и максимумы'!R$9)/('минимумы и максимумы'!R$10-'минимумы и максимумы'!R$9)*100)</f>
        <v>12.37054085155351</v>
      </c>
      <c r="U400">
        <f>IF('исходные данные'!U400&gt;'минимумы и максимумы'!S$10,100,('исходные данные'!U400-'минимумы и максимумы'!S$9)/('минимумы и максимумы'!S$10-'минимумы и максимумы'!S$9)*100)</f>
        <v>33.333333333333329</v>
      </c>
    </row>
    <row r="401" spans="1:21" x14ac:dyDescent="0.45">
      <c r="A401" s="4">
        <v>518</v>
      </c>
      <c r="B401" s="4">
        <v>0</v>
      </c>
      <c r="C401" s="4">
        <v>0</v>
      </c>
      <c r="D401">
        <f>IF('исходные данные'!D401&gt;'минимумы и максимумы'!B$10,100,('исходные данные'!D401-'минимумы и максимумы'!B$9)/('минимумы и максимумы'!B$10-'минимумы и максимумы'!B$9)*100)</f>
        <v>11.111111111111111</v>
      </c>
      <c r="E401">
        <f>IF('исходные данные'!E401&gt;'минимумы и максимумы'!C$10,100,('исходные данные'!E401-'минимумы и максимумы'!C$9)/('минимумы и максимумы'!C$10-'минимумы и максимумы'!C$9)*100)</f>
        <v>50</v>
      </c>
      <c r="F401">
        <f>IF('исходные данные'!F401&gt;'минимумы и максимумы'!D$10,100,('исходные данные'!F401-'минимумы и максимумы'!D$9)/('минимумы и максимумы'!D$10-'минимумы и максимумы'!D$9)*100)</f>
        <v>0</v>
      </c>
      <c r="G401">
        <f>IF('исходные данные'!G401&gt;'минимумы и максимумы'!E$10,100,('исходные данные'!G401-'минимумы и максимумы'!E$9)/('минимумы и максимумы'!E$10-'минимумы и максимумы'!E$9)*100)</f>
        <v>29.166666666666668</v>
      </c>
      <c r="H401">
        <f>IF('исходные данные'!H401&gt;'минимумы и максимумы'!F$10,100,('исходные данные'!H401-'минимумы и максимумы'!F$9)/('минимумы и максимумы'!F$10-'минимумы и максимумы'!F$9)*100)</f>
        <v>17.241379310344829</v>
      </c>
      <c r="I401">
        <f>IF('исходные данные'!I401&gt;'минимумы и максимумы'!G$10,100,('исходные данные'!I401-'минимумы и максимумы'!G$9)/('минимумы и максимумы'!G$10-'минимумы и максимумы'!G$9)*100)</f>
        <v>5.6603773584905666</v>
      </c>
      <c r="J401">
        <f>IF('исходные данные'!J401&gt;'минимумы и максимумы'!H$10,100,('исходные данные'!J401-'минимумы и максимумы'!H$9)/('минимумы и максимумы'!H$10-'минимумы и максимумы'!H$9)*100)</f>
        <v>0</v>
      </c>
      <c r="K401">
        <f>IF('исходные данные'!K401&gt;'минимумы и максимумы'!I$10,100,('исходные данные'!K401-'минимумы и максимумы'!I$9)/('минимумы и максимумы'!I$10-'минимумы и максимумы'!I$9)*100)</f>
        <v>22.222222222222221</v>
      </c>
      <c r="L401">
        <f>IF('исходные данные'!L401&gt;'минимумы и максимумы'!J$10,100,('исходные данные'!L401-'минимумы и максимумы'!J$9)/('минимумы и максимумы'!J$10-'минимумы и максимумы'!J$9)*100)</f>
        <v>0</v>
      </c>
      <c r="M401">
        <f>IF('исходные данные'!M401&gt;'минимумы и максимумы'!K$10,100,('исходные данные'!M401-'минимумы и максимумы'!K$9)/('минимумы и максимумы'!K$10-'минимумы и максимумы'!K$9)*100)</f>
        <v>21.428571428571427</v>
      </c>
      <c r="N401">
        <f>IF('исходные данные'!N401&gt;'минимумы и максимумы'!L$10,100,('исходные данные'!N401-'минимумы и максимумы'!L$9)/('минимумы и максимумы'!L$10-'минимумы и максимумы'!L$9)*100)</f>
        <v>35.983011143752655</v>
      </c>
      <c r="O401">
        <f>IF('исходные данные'!O401&gt;'минимумы и максимумы'!M$10,100,('исходные данные'!O401-'минимумы и максимумы'!M$9)/('минимумы и максимумы'!M$10-'минимумы и максимумы'!M$9)*100)</f>
        <v>100</v>
      </c>
      <c r="P401">
        <f>IF('исходные данные'!P401&gt;'минимумы и максимумы'!N$10,100,('исходные данные'!P401-'минимумы и максимумы'!N$9)/('минимумы и максимумы'!N$10-'минимумы и максимумы'!N$9)*100)</f>
        <v>0</v>
      </c>
      <c r="Q401">
        <f>IF('исходные данные'!Q401&gt;'минимумы и максимумы'!O$10,100,('исходные данные'!Q401-'минимумы и максимумы'!O$9)/('минимумы и максимумы'!O$10-'минимумы и максимумы'!O$9)*100)</f>
        <v>100</v>
      </c>
      <c r="R401">
        <f>IF('исходные данные'!R401&gt;'минимумы и максимумы'!P$10,100,('исходные данные'!R401-'минимумы и максимумы'!P$9)/('минимумы и максимумы'!P$10-'минимумы и максимумы'!P$9)*100)</f>
        <v>100</v>
      </c>
      <c r="S401">
        <f>IF('исходные данные'!S401&gt;'минимумы и максимумы'!Q$10,100,('исходные данные'!S401-'минимумы и максимумы'!Q$9)/('минимумы и максимумы'!Q$10-'минимумы и максимумы'!Q$9)*100)</f>
        <v>33.333333333333329</v>
      </c>
      <c r="T401">
        <f>IF('исходные данные'!T401&gt;'минимумы и максимумы'!R$10,100,('исходные данные'!T401-'минимумы и максимумы'!R$9)/('минимумы и максимумы'!R$10-'минимумы и максимумы'!R$9)*100)</f>
        <v>11.737629459148447</v>
      </c>
      <c r="U401">
        <f>IF('исходные данные'!U401&gt;'минимумы и максимумы'!S$10,100,('исходные данные'!U401-'минимумы и максимумы'!S$9)/('минимумы и максимумы'!S$10-'минимумы и максимумы'!S$9)*100)</f>
        <v>0</v>
      </c>
    </row>
    <row r="402" spans="1:21" x14ac:dyDescent="0.45">
      <c r="A402" s="4">
        <v>519</v>
      </c>
      <c r="B402" s="4">
        <v>0</v>
      </c>
      <c r="C402" s="4">
        <v>0</v>
      </c>
      <c r="D402">
        <f>IF('исходные данные'!D402&gt;'минимумы и максимумы'!B$10,100,('исходные данные'!D402-'минимумы и максимумы'!B$9)/('минимумы и максимумы'!B$10-'минимумы и максимумы'!B$9)*100)</f>
        <v>0</v>
      </c>
      <c r="E402">
        <f>IF('исходные данные'!E402&gt;'минимумы и максимумы'!C$10,100,('исходные данные'!E402-'минимумы и максимумы'!C$9)/('минимумы и максимумы'!C$10-'минимумы и максимумы'!C$9)*100)</f>
        <v>0</v>
      </c>
      <c r="F402">
        <f>IF('исходные данные'!F402&gt;'минимумы и максимумы'!D$10,100,('исходные данные'!F402-'минимумы и максимумы'!D$9)/('минимумы и максимумы'!D$10-'минимумы и максимумы'!D$9)*100)</f>
        <v>0</v>
      </c>
      <c r="G402">
        <f>IF('исходные данные'!G402&gt;'минимумы и максимумы'!E$10,100,('исходные данные'!G402-'минимумы и максимумы'!E$9)/('минимумы и максимумы'!E$10-'минимумы и максимумы'!E$9)*100)</f>
        <v>20.833333333333336</v>
      </c>
      <c r="H402">
        <f>IF('исходные данные'!H402&gt;'минимумы и максимумы'!F$10,100,('исходные данные'!H402-'минимумы и максимумы'!F$9)/('минимумы и максимумы'!F$10-'минимумы и максимумы'!F$9)*100)</f>
        <v>13.793103448275861</v>
      </c>
      <c r="I402">
        <f>IF('исходные данные'!I402&gt;'минимумы и максимумы'!G$10,100,('исходные данные'!I402-'минимумы и максимумы'!G$9)/('минимумы и максимумы'!G$10-'минимумы и максимумы'!G$9)*100)</f>
        <v>5.6603773584905666</v>
      </c>
      <c r="J402">
        <f>IF('исходные данные'!J402&gt;'минимумы и максимумы'!H$10,100,('исходные данные'!J402-'минимумы и максимумы'!H$9)/('минимумы и максимумы'!H$10-'минимумы и максимумы'!H$9)*100)</f>
        <v>0</v>
      </c>
      <c r="K402">
        <f>IF('исходные данные'!K402&gt;'минимумы и максимумы'!I$10,100,('исходные данные'!K402-'минимумы и максимумы'!I$9)/('минимумы и максимумы'!I$10-'минимумы и максимумы'!I$9)*100)</f>
        <v>0</v>
      </c>
      <c r="L402">
        <f>IF('исходные данные'!L402&gt;'минимумы и максимумы'!J$10,100,('исходные данные'!L402-'минимумы и максимумы'!J$9)/('минимумы и максимумы'!J$10-'минимумы и максимумы'!J$9)*100)</f>
        <v>0</v>
      </c>
      <c r="M402">
        <f>IF('исходные данные'!M402&gt;'минимумы и максимумы'!K$10,100,('исходные данные'!M402-'минимумы и максимумы'!K$9)/('минимумы и максимумы'!K$10-'минимумы и максимумы'!K$9)*100)</f>
        <v>17.857142857142858</v>
      </c>
      <c r="N402">
        <f>IF('исходные данные'!N402&gt;'минимумы и максимумы'!L$10,100,('исходные данные'!N402-'минимумы и максимумы'!L$9)/('минимумы и максимумы'!L$10-'минимумы и максимумы'!L$9)*100)</f>
        <v>57.201348634263418</v>
      </c>
      <c r="O402">
        <f>IF('исходные данные'!O402&gt;'минимумы и максимумы'!M$10,100,('исходные данные'!O402-'минимумы и максимумы'!M$9)/('минимумы и максимумы'!M$10-'минимумы и максимумы'!M$9)*100)</f>
        <v>66.666666666666657</v>
      </c>
      <c r="P402">
        <f>IF('исходные данные'!P402&gt;'минимумы и максимумы'!N$10,100,('исходные данные'!P402-'минимумы и максимумы'!N$9)/('минимумы и максимумы'!N$10-'минимумы и максимумы'!N$9)*100)</f>
        <v>0</v>
      </c>
      <c r="Q402">
        <f>IF('исходные данные'!Q402&gt;'минимумы и максимумы'!O$10,100,('исходные данные'!Q402-'минимумы и максимумы'!O$9)/('минимумы и максимумы'!O$10-'минимумы и максимумы'!O$9)*100)</f>
        <v>0</v>
      </c>
      <c r="R402">
        <f>IF('исходные данные'!R402&gt;'минимумы и максимумы'!P$10,100,('исходные данные'!R402-'минимумы и максимумы'!P$9)/('минимумы и максимумы'!P$10-'минимумы и максимумы'!P$9)*100)</f>
        <v>25</v>
      </c>
      <c r="S402">
        <f>IF('исходные данные'!S402&gt;'минимумы и максимумы'!Q$10,100,('исходные данные'!S402-'минимумы и максимумы'!Q$9)/('минимумы и максимумы'!Q$10-'минимумы и максимумы'!Q$9)*100)</f>
        <v>16.666666666666664</v>
      </c>
      <c r="T402">
        <f>IF('исходные данные'!T402&gt;'минимумы и максимумы'!R$10,100,('исходные данные'!T402-'минимумы и максимумы'!R$9)/('минимумы и максимумы'!R$10-'минимумы и максимумы'!R$9)*100)</f>
        <v>3.5673187571921749</v>
      </c>
      <c r="U402">
        <f>IF('исходные данные'!U402&gt;'минимумы и максимумы'!S$10,100,('исходные данные'!U402-'минимумы и максимумы'!S$9)/('минимумы и максимумы'!S$10-'минимумы и максимумы'!S$9)*100)</f>
        <v>0</v>
      </c>
    </row>
    <row r="403" spans="1:21" x14ac:dyDescent="0.45">
      <c r="A403" s="4">
        <v>520</v>
      </c>
      <c r="B403" s="4">
        <v>0</v>
      </c>
      <c r="C403" s="4">
        <v>0</v>
      </c>
      <c r="D403">
        <f>IF('исходные данные'!D403&gt;'минимумы и максимумы'!B$10,100,('исходные данные'!D403-'минимумы и максимумы'!B$9)/('минимумы и максимумы'!B$10-'минимумы и максимумы'!B$9)*100)</f>
        <v>11.111111111111111</v>
      </c>
      <c r="E403">
        <f>IF('исходные данные'!E403&gt;'минимумы и максимумы'!C$10,100,('исходные данные'!E403-'минимумы и максимумы'!C$9)/('минимумы и максимумы'!C$10-'минимумы и максимумы'!C$9)*100)</f>
        <v>40</v>
      </c>
      <c r="F403">
        <f>IF('исходные данные'!F403&gt;'минимумы и максимумы'!D$10,100,('исходные данные'!F403-'минимумы и максимумы'!D$9)/('минимумы и максимумы'!D$10-'минимумы и максимумы'!D$9)*100)</f>
        <v>33.333333333333329</v>
      </c>
      <c r="G403">
        <f>IF('исходные данные'!G403&gt;'минимумы и максимумы'!E$10,100,('исходные данные'!G403-'минимумы и максимумы'!E$9)/('минимумы и максимумы'!E$10-'минимумы и максимумы'!E$9)*100)</f>
        <v>50</v>
      </c>
      <c r="H403">
        <f>IF('исходные данные'!H403&gt;'минимумы и максимумы'!F$10,100,('исходные данные'!H403-'минимумы и максимумы'!F$9)/('минимумы и максимумы'!F$10-'минимумы и максимумы'!F$9)*100)</f>
        <v>62.068965517241381</v>
      </c>
      <c r="I403">
        <f>IF('исходные данные'!I403&gt;'минимумы и максимумы'!G$10,100,('исходные данные'!I403-'минимумы и максимумы'!G$9)/('минимумы и максимумы'!G$10-'минимумы и максимумы'!G$9)*100)</f>
        <v>9.433962264150944</v>
      </c>
      <c r="J403">
        <f>IF('исходные данные'!J403&gt;'минимумы и максимумы'!H$10,100,('исходные данные'!J403-'минимумы и максимумы'!H$9)/('минимумы и максимумы'!H$10-'минимумы и максимумы'!H$9)*100)</f>
        <v>0</v>
      </c>
      <c r="K403">
        <f>IF('исходные данные'!K403&gt;'минимумы и максимумы'!I$10,100,('исходные данные'!K403-'минимумы и максимумы'!I$9)/('минимумы и максимумы'!I$10-'минимумы и максимумы'!I$9)*100)</f>
        <v>0</v>
      </c>
      <c r="L403">
        <f>IF('исходные данные'!L403&gt;'минимумы и максимумы'!J$10,100,('исходные данные'!L403-'минимумы и максимумы'!J$9)/('минимумы и максимумы'!J$10-'минимумы и максимумы'!J$9)*100)</f>
        <v>0</v>
      </c>
      <c r="M403">
        <f>IF('исходные данные'!M403&gt;'минимумы и максимумы'!K$10,100,('исходные данные'!M403-'минимумы и максимумы'!K$9)/('минимумы и максимумы'!K$10-'минимумы и максимумы'!K$9)*100)</f>
        <v>32.142857142857146</v>
      </c>
      <c r="N403">
        <f>IF('исходные данные'!N403&gt;'минимумы и максимумы'!L$10,100,('исходные данные'!N403-'минимумы и максимумы'!L$9)/('минимумы и максимумы'!L$10-'минимумы и максимумы'!L$9)*100)</f>
        <v>50.319277869851156</v>
      </c>
      <c r="O403">
        <f>IF('исходные данные'!O403&gt;'минимумы и максимумы'!M$10,100,('исходные данные'!O403-'минимумы и максимумы'!M$9)/('минимумы и максимумы'!M$10-'минимумы и максимумы'!M$9)*100)</f>
        <v>100</v>
      </c>
      <c r="P403">
        <f>IF('исходные данные'!P403&gt;'минимумы и максимумы'!N$10,100,('исходные данные'!P403-'минимумы и максимумы'!N$9)/('минимумы и максимумы'!N$10-'минимумы и максимумы'!N$9)*100)</f>
        <v>100</v>
      </c>
      <c r="Q403">
        <f>IF('исходные данные'!Q403&gt;'минимумы и максимумы'!O$10,100,('исходные данные'!Q403-'минимумы и максимумы'!O$9)/('минимумы и максимумы'!O$10-'минимумы и максимумы'!O$9)*100)</f>
        <v>100</v>
      </c>
      <c r="R403">
        <f>IF('исходные данные'!R403&gt;'минимумы и максимумы'!P$10,100,('исходные данные'!R403-'минимумы и максимумы'!P$9)/('минимумы и максимумы'!P$10-'минимумы и максимумы'!P$9)*100)</f>
        <v>100</v>
      </c>
      <c r="S403">
        <f>IF('исходные данные'!S403&gt;'минимумы и максимумы'!Q$10,100,('исходные данные'!S403-'минимумы и максимумы'!Q$9)/('минимумы и максимумы'!Q$10-'минимумы и максимумы'!Q$9)*100)</f>
        <v>66.666666666666657</v>
      </c>
      <c r="T403">
        <f>IF('исходные данные'!T403&gt;'минимумы и максимумы'!R$10,100,('исходные данные'!T403-'минимумы и максимумы'!R$9)/('минимумы и максимумы'!R$10-'минимумы и максимумы'!R$9)*100)</f>
        <v>49.913693901035671</v>
      </c>
      <c r="U403">
        <f>IF('исходные данные'!U403&gt;'минимумы и максимумы'!S$10,100,('исходные данные'!U403-'минимумы и максимумы'!S$9)/('минимумы и максимумы'!S$10-'минимумы и максимумы'!S$9)*100)</f>
        <v>33.333333333333329</v>
      </c>
    </row>
    <row r="404" spans="1:21" x14ac:dyDescent="0.45">
      <c r="A404" s="4">
        <v>521</v>
      </c>
      <c r="B404" s="4">
        <v>0</v>
      </c>
      <c r="C404" s="4">
        <v>0</v>
      </c>
      <c r="D404">
        <f>IF('исходные данные'!D404&gt;'минимумы и максимумы'!B$10,100,('исходные данные'!D404-'минимумы и максимумы'!B$9)/('минимумы и максимумы'!B$10-'минимумы и максимумы'!B$9)*100)</f>
        <v>55.555555555555557</v>
      </c>
      <c r="E404">
        <f>IF('исходные данные'!E404&gt;'минимумы и максимумы'!C$10,100,('исходные данные'!E404-'минимумы и максимумы'!C$9)/('минимумы и максимумы'!C$10-'минимумы и максимумы'!C$9)*100)</f>
        <v>50</v>
      </c>
      <c r="F404">
        <f>IF('исходные данные'!F404&gt;'минимумы и максимумы'!D$10,100,('исходные данные'!F404-'минимумы и максимумы'!D$9)/('минимумы и максимумы'!D$10-'минимумы и максимумы'!D$9)*100)</f>
        <v>33.333333333333329</v>
      </c>
      <c r="G404">
        <f>IF('исходные данные'!G404&gt;'минимумы и максимумы'!E$10,100,('исходные данные'!G404-'минимумы и максимумы'!E$9)/('минимумы и максимумы'!E$10-'минимумы и максимумы'!E$9)*100)</f>
        <v>20.833333333333336</v>
      </c>
      <c r="H404">
        <f>IF('исходные данные'!H404&gt;'минимумы и максимумы'!F$10,100,('исходные данные'!H404-'минимумы и максимумы'!F$9)/('минимумы и максимумы'!F$10-'минимумы и максимумы'!F$9)*100)</f>
        <v>31.03448275862069</v>
      </c>
      <c r="I404">
        <f>IF('исходные данные'!I404&gt;'минимумы и максимумы'!G$10,100,('исходные данные'!I404-'минимумы и максимумы'!G$9)/('минимумы и максимумы'!G$10-'минимумы и максимумы'!G$9)*100)</f>
        <v>9.433962264150944</v>
      </c>
      <c r="J404">
        <f>IF('исходные данные'!J404&gt;'минимумы и максимумы'!H$10,100,('исходные данные'!J404-'минимумы и максимумы'!H$9)/('минимумы и максимумы'!H$10-'минимумы и максимумы'!H$9)*100)</f>
        <v>6.666666666666667</v>
      </c>
      <c r="K404">
        <f>IF('исходные данные'!K404&gt;'минимумы и максимумы'!I$10,100,('исходные данные'!K404-'минимумы и максимумы'!I$9)/('минимумы и максимумы'!I$10-'минимумы и максимумы'!I$9)*100)</f>
        <v>0</v>
      </c>
      <c r="L404">
        <f>IF('исходные данные'!L404&gt;'минимумы и максимумы'!J$10,100,('исходные данные'!L404-'минимумы и максимумы'!J$9)/('минимумы и максимумы'!J$10-'минимумы и максимумы'!J$9)*100)</f>
        <v>0</v>
      </c>
      <c r="M404">
        <f>IF('исходные данные'!M404&gt;'минимумы и максимумы'!K$10,100,('исходные данные'!M404-'минимумы и максимумы'!K$9)/('минимумы и максимумы'!K$10-'минимумы и максимумы'!K$9)*100)</f>
        <v>14.285714285714285</v>
      </c>
      <c r="N404">
        <f>IF('исходные данные'!N404&gt;'минимумы и максимумы'!L$10,100,('исходные данные'!N404-'минимумы и максимумы'!L$9)/('минимумы и максимумы'!L$10-'минимумы и максимумы'!L$9)*100)</f>
        <v>57.002341259169839</v>
      </c>
      <c r="O404">
        <f>IF('исходные данные'!O404&gt;'минимумы и максимумы'!M$10,100,('исходные данные'!O404-'минимумы и максимумы'!M$9)/('минимумы и максимумы'!M$10-'минимумы и максимумы'!M$9)*100)</f>
        <v>100</v>
      </c>
      <c r="P404">
        <f>IF('исходные данные'!P404&gt;'минимумы и максимумы'!N$10,100,('исходные данные'!P404-'минимумы и максимумы'!N$9)/('минимумы и максимумы'!N$10-'минимумы и максимумы'!N$9)*100)</f>
        <v>0</v>
      </c>
      <c r="Q404">
        <f>IF('исходные данные'!Q404&gt;'минимумы и максимумы'!O$10,100,('исходные данные'!Q404-'минимумы и максимумы'!O$9)/('минимумы и максимумы'!O$10-'минимумы и максимумы'!O$9)*100)</f>
        <v>100</v>
      </c>
      <c r="R404">
        <f>IF('исходные данные'!R404&gt;'минимумы и максимумы'!P$10,100,('исходные данные'!R404-'минимумы и максимумы'!P$9)/('минимумы и максимумы'!P$10-'минимумы и максимумы'!P$9)*100)</f>
        <v>100</v>
      </c>
      <c r="S404">
        <f>IF('исходные данные'!S404&gt;'минимумы и максимумы'!Q$10,100,('исходные данные'!S404-'минимумы и максимумы'!Q$9)/('минимумы и максимумы'!Q$10-'минимумы и максимумы'!Q$9)*100)</f>
        <v>50</v>
      </c>
      <c r="T404">
        <f>IF('исходные данные'!T404&gt;'минимумы и максимумы'!R$10,100,('исходные данные'!T404-'минимумы и максимумы'!R$9)/('минимумы и максимумы'!R$10-'минимумы и максимумы'!R$9)*100)</f>
        <v>52.186421173762945</v>
      </c>
      <c r="U404">
        <f>IF('исходные данные'!U404&gt;'минимумы и максимумы'!S$10,100,('исходные данные'!U404-'минимумы и максимумы'!S$9)/('минимумы и максимумы'!S$10-'минимумы и максимумы'!S$9)*100)</f>
        <v>33.333333333333329</v>
      </c>
    </row>
    <row r="405" spans="1:21" x14ac:dyDescent="0.45">
      <c r="A405" s="4">
        <v>523</v>
      </c>
      <c r="B405" s="4">
        <v>0</v>
      </c>
      <c r="C405" s="4">
        <v>0</v>
      </c>
      <c r="D405">
        <f>IF('исходные данные'!D405&gt;'минимумы и максимумы'!B$10,100,('исходные данные'!D405-'минимумы и максимумы'!B$9)/('минимумы и максимумы'!B$10-'минимумы и максимумы'!B$9)*100)</f>
        <v>33.333333333333329</v>
      </c>
      <c r="E405">
        <f>IF('исходные данные'!E405&gt;'минимумы и максимумы'!C$10,100,('исходные данные'!E405-'минимумы и максимумы'!C$9)/('минимумы и максимумы'!C$10-'минимумы и максимумы'!C$9)*100)</f>
        <v>30</v>
      </c>
      <c r="F405">
        <f>IF('исходные данные'!F405&gt;'минимумы и максимумы'!D$10,100,('исходные данные'!F405-'минимумы и максимумы'!D$9)/('минимумы и максимумы'!D$10-'минимумы и максимумы'!D$9)*100)</f>
        <v>0</v>
      </c>
      <c r="G405">
        <f>IF('исходные данные'!G405&gt;'минимумы и максимумы'!E$10,100,('исходные данные'!G405-'минимумы и максимумы'!E$9)/('минимумы и максимумы'!E$10-'минимумы и максимумы'!E$9)*100)</f>
        <v>45.833333333333329</v>
      </c>
      <c r="H405">
        <f>IF('исходные данные'!H405&gt;'минимумы и максимумы'!F$10,100,('исходные данные'!H405-'минимумы и максимумы'!F$9)/('минимумы и максимумы'!F$10-'минимумы и максимумы'!F$9)*100)</f>
        <v>34.482758620689658</v>
      </c>
      <c r="I405">
        <f>IF('исходные данные'!I405&gt;'минимумы и максимумы'!G$10,100,('исходные данные'!I405-'минимумы и максимумы'!G$9)/('минимумы и максимумы'!G$10-'минимумы и максимумы'!G$9)*100)</f>
        <v>15.09433962264151</v>
      </c>
      <c r="J405">
        <f>IF('исходные данные'!J405&gt;'минимумы и максимумы'!H$10,100,('исходные данные'!J405-'минимумы и максимумы'!H$9)/('минимумы и максимумы'!H$10-'минимумы и максимумы'!H$9)*100)</f>
        <v>0</v>
      </c>
      <c r="K405">
        <f>IF('исходные данные'!K405&gt;'минимумы и максимумы'!I$10,100,('исходные данные'!K405-'минимумы и максимумы'!I$9)/('минимумы и максимумы'!I$10-'минимумы и максимумы'!I$9)*100)</f>
        <v>0</v>
      </c>
      <c r="L405">
        <f>IF('исходные данные'!L405&gt;'минимумы и максимумы'!J$10,100,('исходные данные'!L405-'минимумы и максимумы'!J$9)/('минимумы и максимумы'!J$10-'минимумы и максимумы'!J$9)*100)</f>
        <v>14.285714285714285</v>
      </c>
      <c r="M405">
        <f>IF('исходные данные'!M405&gt;'минимумы и максимумы'!K$10,100,('исходные данные'!M405-'минимумы и максимумы'!K$9)/('минимумы и максимумы'!K$10-'минимумы и максимумы'!K$9)*100)</f>
        <v>25</v>
      </c>
      <c r="N405">
        <f>IF('исходные данные'!N405&gt;'минимумы и максимумы'!L$10,100,('исходные данные'!N405-'минимумы и максимумы'!L$9)/('минимумы и максимумы'!L$10-'минимумы и максимумы'!L$9)*100)</f>
        <v>56.955539003854042</v>
      </c>
      <c r="O405">
        <f>IF('исходные данные'!O405&gt;'минимумы и максимумы'!M$10,100,('исходные данные'!O405-'минимумы и максимумы'!M$9)/('минимумы и максимумы'!M$10-'минимумы и максимумы'!M$9)*100)</f>
        <v>100</v>
      </c>
      <c r="P405">
        <f>IF('исходные данные'!P405&gt;'минимумы и максимумы'!N$10,100,('исходные данные'!P405-'минимумы и максимумы'!N$9)/('минимумы и максимумы'!N$10-'минимумы и максимумы'!N$9)*100)</f>
        <v>0</v>
      </c>
      <c r="Q405">
        <f>IF('исходные данные'!Q405&gt;'минимумы и максимумы'!O$10,100,('исходные данные'!Q405-'минимумы и максимумы'!O$9)/('минимумы и максимумы'!O$10-'минимумы и максимумы'!O$9)*100)</f>
        <v>100</v>
      </c>
      <c r="R405">
        <f>IF('исходные данные'!R405&gt;'минимумы и максимумы'!P$10,100,('исходные данные'!R405-'минимумы и максимумы'!P$9)/('минимумы и максимумы'!P$10-'минимумы и максимумы'!P$9)*100)</f>
        <v>100</v>
      </c>
      <c r="S405">
        <f>IF('исходные данные'!S405&gt;'минимумы и максимумы'!Q$10,100,('исходные данные'!S405-'минимумы и максимумы'!Q$9)/('минимумы и максимумы'!Q$10-'минимумы и максимумы'!Q$9)*100)</f>
        <v>33.333333333333329</v>
      </c>
      <c r="T405">
        <f>IF('исходные данные'!T405&gt;'минимумы и максимумы'!R$10,100,('исходные данные'!T405-'минимумы и максимумы'!R$9)/('минимумы и максимумы'!R$10-'минимумы и максимумы'!R$9)*100)</f>
        <v>16.484464902186421</v>
      </c>
      <c r="U405">
        <f>IF('исходные данные'!U405&gt;'минимумы и максимумы'!S$10,100,('исходные данные'!U405-'минимумы и максимумы'!S$9)/('минимумы и максимумы'!S$10-'минимумы и максимумы'!S$9)*100)</f>
        <v>0</v>
      </c>
    </row>
    <row r="406" spans="1:21" x14ac:dyDescent="0.45">
      <c r="A406" s="4">
        <v>524</v>
      </c>
      <c r="B406" s="4">
        <v>1</v>
      </c>
      <c r="C406" s="4">
        <v>0</v>
      </c>
      <c r="D406">
        <f>IF('исходные данные'!D406&gt;'минимумы и максимумы'!B$10,100,('исходные данные'!D406-'минимумы и максимумы'!B$9)/('минимумы и максимумы'!B$10-'минимумы и максимумы'!B$9)*100)</f>
        <v>0</v>
      </c>
      <c r="E406">
        <f>IF('исходные данные'!E406&gt;'минимумы и максимумы'!C$10,100,('исходные данные'!E406-'минимумы и максимумы'!C$9)/('минимумы и максимумы'!C$10-'минимумы и максимумы'!C$9)*100)</f>
        <v>30</v>
      </c>
      <c r="F406">
        <f>IF('исходные данные'!F406&gt;'минимумы и максимумы'!D$10,100,('исходные данные'!F406-'минимумы и максимумы'!D$9)/('минимумы и максимумы'!D$10-'минимумы и максимумы'!D$9)*100)</f>
        <v>33.333333333333329</v>
      </c>
      <c r="G406">
        <f>IF('исходные данные'!G406&gt;'минимумы и максимумы'!E$10,100,('исходные данные'!G406-'минимумы и максимумы'!E$9)/('минимумы и максимумы'!E$10-'минимумы и максимумы'!E$9)*100)</f>
        <v>50</v>
      </c>
      <c r="H406">
        <f>IF('исходные данные'!H406&gt;'минимумы и максимумы'!F$10,100,('исходные данные'!H406-'минимумы и максимумы'!F$9)/('минимумы и максимумы'!F$10-'минимумы и максимумы'!F$9)*100)</f>
        <v>62.068965517241381</v>
      </c>
      <c r="I406">
        <f>IF('исходные данные'!I406&gt;'минимумы и максимумы'!G$10,100,('исходные данные'!I406-'минимумы и максимумы'!G$9)/('минимумы и максимумы'!G$10-'минимумы и максимумы'!G$9)*100)</f>
        <v>56.60377358490566</v>
      </c>
      <c r="J406">
        <f>IF('исходные данные'!J406&gt;'минимумы и максимумы'!H$10,100,('исходные данные'!J406-'минимумы и максимумы'!H$9)/('минимумы и максимумы'!H$10-'минимумы и максимумы'!H$9)*100)</f>
        <v>0</v>
      </c>
      <c r="K406">
        <f>IF('исходные данные'!K406&gt;'минимумы и максимумы'!I$10,100,('исходные данные'!K406-'минимумы и максимумы'!I$9)/('минимумы и максимумы'!I$10-'минимумы и максимумы'!I$9)*100)</f>
        <v>5.5555555555555554</v>
      </c>
      <c r="L406">
        <f>IF('исходные данные'!L406&gt;'минимумы и максимумы'!J$10,100,('исходные данные'!L406-'минимумы и максимумы'!J$9)/('минимумы и максимумы'!J$10-'минимумы и максимумы'!J$9)*100)</f>
        <v>85.714285714285708</v>
      </c>
      <c r="M406">
        <f>IF('исходные данные'!M406&gt;'минимумы и максимумы'!K$10,100,('исходные данные'!M406-'минимумы и максимумы'!K$9)/('минимумы и максимумы'!K$10-'минимумы и максимумы'!K$9)*100)</f>
        <v>28.571428571428569</v>
      </c>
      <c r="N406">
        <f>IF('исходные данные'!N406&gt;'минимумы и максимумы'!L$10,100,('исходные данные'!N406-'минимумы и максимумы'!L$9)/('минимумы и максимумы'!L$10-'минимумы и максимумы'!L$9)*100)</f>
        <v>51.032111554159073</v>
      </c>
      <c r="O406">
        <f>IF('исходные данные'!O406&gt;'минимумы и максимумы'!M$10,100,('исходные данные'!O406-'минимумы и максимумы'!M$9)/('минимумы и максимумы'!M$10-'минимумы и максимумы'!M$9)*100)</f>
        <v>100</v>
      </c>
      <c r="P406">
        <f>IF('исходные данные'!P406&gt;'минимумы и максимумы'!N$10,100,('исходные данные'!P406-'минимумы и максимумы'!N$9)/('минимумы и максимумы'!N$10-'минимумы и максимумы'!N$9)*100)</f>
        <v>0</v>
      </c>
      <c r="Q406">
        <f>IF('исходные данные'!Q406&gt;'минимумы и максимумы'!O$10,100,('исходные данные'!Q406-'минимумы и максимумы'!O$9)/('минимумы и максимумы'!O$10-'минимумы и максимумы'!O$9)*100)</f>
        <v>100</v>
      </c>
      <c r="R406">
        <f>IF('исходные данные'!R406&gt;'минимумы и максимумы'!P$10,100,('исходные данные'!R406-'минимумы и максимумы'!P$9)/('минимумы и максимумы'!P$10-'минимумы и максимумы'!P$9)*100)</f>
        <v>100</v>
      </c>
      <c r="S406">
        <f>IF('исходные данные'!S406&gt;'минимумы и максимумы'!Q$10,100,('исходные данные'!S406-'минимумы и максимумы'!Q$9)/('минимумы и максимумы'!Q$10-'минимумы и максимумы'!Q$9)*100)</f>
        <v>33.333333333333329</v>
      </c>
      <c r="T406">
        <f>IF('исходные данные'!T406&gt;'минимумы и максимумы'!R$10,100,('исходные данные'!T406-'минимумы и максимумы'!R$9)/('минимумы и максимумы'!R$10-'минимумы и максимумы'!R$9)*100)</f>
        <v>33.88952819332566</v>
      </c>
      <c r="U406">
        <f>IF('исходные данные'!U406&gt;'минимумы и максимумы'!S$10,100,('исходные данные'!U406-'минимумы и максимумы'!S$9)/('минимумы и максимумы'!S$10-'минимумы и максимумы'!S$9)*100)</f>
        <v>66.666666666666657</v>
      </c>
    </row>
    <row r="407" spans="1:21" x14ac:dyDescent="0.45">
      <c r="A407" s="4">
        <v>525</v>
      </c>
      <c r="B407" s="4">
        <v>0</v>
      </c>
      <c r="C407" s="4">
        <v>0</v>
      </c>
      <c r="D407">
        <f>IF('исходные данные'!D407&gt;'минимумы и максимумы'!B$10,100,('исходные данные'!D407-'минимумы и максимумы'!B$9)/('минимумы и максимумы'!B$10-'минимумы и максимумы'!B$9)*100)</f>
        <v>33.333333333333329</v>
      </c>
      <c r="E407">
        <f>IF('исходные данные'!E407&gt;'минимумы и максимумы'!C$10,100,('исходные данные'!E407-'минимумы и максимумы'!C$9)/('минимумы и максимумы'!C$10-'минимумы и максимумы'!C$9)*100)</f>
        <v>40</v>
      </c>
      <c r="F407">
        <f>IF('исходные данные'!F407&gt;'минимумы и максимумы'!D$10,100,('исходные данные'!F407-'минимумы и максимумы'!D$9)/('минимумы и максимумы'!D$10-'минимумы и максимумы'!D$9)*100)</f>
        <v>33.333333333333329</v>
      </c>
      <c r="G407">
        <f>IF('исходные данные'!G407&gt;'минимумы и максимумы'!E$10,100,('исходные данные'!G407-'минимумы и максимумы'!E$9)/('минимумы и максимумы'!E$10-'минимумы и максимумы'!E$9)*100)</f>
        <v>25</v>
      </c>
      <c r="H407">
        <f>IF('исходные данные'!H407&gt;'минимумы и максимумы'!F$10,100,('исходные данные'!H407-'минимумы и максимумы'!F$9)/('минимумы и максимумы'!F$10-'минимумы и максимумы'!F$9)*100)</f>
        <v>41.379310344827587</v>
      </c>
      <c r="I407">
        <f>IF('исходные данные'!I407&gt;'минимумы и максимумы'!G$10,100,('исходные данные'!I407-'минимумы и максимумы'!G$9)/('минимумы и максимумы'!G$10-'минимумы и максимумы'!G$9)*100)</f>
        <v>13.20754716981132</v>
      </c>
      <c r="J407">
        <f>IF('исходные данные'!J407&gt;'минимумы и максимумы'!H$10,100,('исходные данные'!J407-'минимумы и максимумы'!H$9)/('минимумы и максимумы'!H$10-'минимумы и максимумы'!H$9)*100)</f>
        <v>0</v>
      </c>
      <c r="K407">
        <f>IF('исходные данные'!K407&gt;'минимумы и максимумы'!I$10,100,('исходные данные'!K407-'минимумы и максимумы'!I$9)/('минимумы и максимумы'!I$10-'минимумы и максимумы'!I$9)*100)</f>
        <v>0</v>
      </c>
      <c r="L407">
        <f>IF('исходные данные'!L407&gt;'минимумы и максимумы'!J$10,100,('исходные данные'!L407-'минимумы и максимумы'!J$9)/('минимумы и максимумы'!J$10-'минимумы и максимумы'!J$9)*100)</f>
        <v>0</v>
      </c>
      <c r="M407">
        <f>IF('исходные данные'!M407&gt;'минимумы и максимумы'!K$10,100,('исходные данные'!M407-'минимумы и максимумы'!K$9)/('минимумы и максимумы'!K$10-'минимумы и максимумы'!K$9)*100)</f>
        <v>82.142857142857139</v>
      </c>
      <c r="N407">
        <f>IF('исходные данные'!N407&gt;'минимумы и максимумы'!L$10,100,('исходные данные'!N407-'минимумы и максимумы'!L$9)/('минимумы и максимумы'!L$10-'минимумы и максимумы'!L$9)*100)</f>
        <v>49.360787417665684</v>
      </c>
      <c r="O407">
        <f>IF('исходные данные'!O407&gt;'минимумы и максимумы'!M$10,100,('исходные данные'!O407-'минимумы и максимумы'!M$9)/('минимумы и максимумы'!M$10-'минимумы и максимумы'!M$9)*100)</f>
        <v>66.666666666666657</v>
      </c>
      <c r="P407">
        <f>IF('исходные данные'!P407&gt;'минимумы и максимумы'!N$10,100,('исходные данные'!P407-'минимумы и максимумы'!N$9)/('минимумы и максимумы'!N$10-'минимумы и максимумы'!N$9)*100)</f>
        <v>0</v>
      </c>
      <c r="Q407">
        <f>IF('исходные данные'!Q407&gt;'минимумы и максимумы'!O$10,100,('исходные данные'!Q407-'минимумы и максимумы'!O$9)/('минимумы и максимумы'!O$10-'минимумы и максимумы'!O$9)*100)</f>
        <v>0</v>
      </c>
      <c r="R407">
        <f>IF('исходные данные'!R407&gt;'минимумы и максимумы'!P$10,100,('исходные данные'!R407-'минимумы и максимумы'!P$9)/('минимумы и максимумы'!P$10-'минимумы и максимумы'!P$9)*100)</f>
        <v>25</v>
      </c>
      <c r="S407">
        <f>IF('исходные данные'!S407&gt;'минимумы и максимумы'!Q$10,100,('исходные данные'!S407-'минимумы и максимумы'!Q$9)/('минимумы и максимумы'!Q$10-'минимумы и максимумы'!Q$9)*100)</f>
        <v>50</v>
      </c>
      <c r="T407">
        <f>IF('исходные данные'!T407&gt;'минимумы и максимумы'!R$10,100,('исходные данные'!T407-'минимумы и максимумы'!R$9)/('минимумы и максимумы'!R$10-'минимумы и максимумы'!R$9)*100)</f>
        <v>23.849252013808975</v>
      </c>
      <c r="U407">
        <f>IF('исходные данные'!U407&gt;'минимумы и максимумы'!S$10,100,('исходные данные'!U407-'минимумы и максимумы'!S$9)/('минимумы и максимумы'!S$10-'минимумы и максимумы'!S$9)*100)</f>
        <v>33.333333333333329</v>
      </c>
    </row>
    <row r="408" spans="1:21" x14ac:dyDescent="0.45">
      <c r="A408" s="4">
        <v>528</v>
      </c>
      <c r="B408" s="4">
        <v>0</v>
      </c>
      <c r="C408" s="4">
        <v>1</v>
      </c>
      <c r="D408">
        <f>IF('исходные данные'!D408&gt;'минимумы и максимумы'!B$10,100,('исходные данные'!D408-'минимумы и максимумы'!B$9)/('минимумы и максимумы'!B$10-'минимумы и максимумы'!B$9)*100)</f>
        <v>0</v>
      </c>
      <c r="E408">
        <f>IF('исходные данные'!E408&gt;'минимумы и максимумы'!C$10,100,('исходные данные'!E408-'минимумы и максимумы'!C$9)/('минимумы и максимумы'!C$10-'минимумы и максимумы'!C$9)*100)</f>
        <v>0</v>
      </c>
      <c r="F408">
        <f>IF('исходные данные'!F408&gt;'минимумы и максимумы'!D$10,100,('исходные данные'!F408-'минимумы и максимумы'!D$9)/('минимумы и максимумы'!D$10-'минимумы и максимумы'!D$9)*100)</f>
        <v>0</v>
      </c>
      <c r="G408">
        <f>IF('исходные данные'!G408&gt;'минимумы и максимумы'!E$10,100,('исходные данные'!G408-'минимумы и максимумы'!E$9)/('минимумы и максимумы'!E$10-'минимумы и максимумы'!E$9)*100)</f>
        <v>8.3333333333333321</v>
      </c>
      <c r="H408">
        <f>IF('исходные данные'!H408&gt;'минимумы и максимумы'!F$10,100,('исходные данные'!H408-'минимумы и максимумы'!F$9)/('минимумы и максимумы'!F$10-'минимумы и максимумы'!F$9)*100)</f>
        <v>10.344827586206897</v>
      </c>
      <c r="I408">
        <f>IF('исходные данные'!I408&gt;'минимумы и максимумы'!G$10,100,('исходные данные'!I408-'минимумы и максимумы'!G$9)/('минимумы и максимумы'!G$10-'минимумы и максимумы'!G$9)*100)</f>
        <v>0</v>
      </c>
      <c r="J408">
        <f>IF('исходные данные'!J408&gt;'минимумы и максимумы'!H$10,100,('исходные данные'!J408-'минимумы и максимумы'!H$9)/('минимумы и максимумы'!H$10-'минимумы и максимумы'!H$9)*100)</f>
        <v>0</v>
      </c>
      <c r="K408">
        <f>IF('исходные данные'!K408&gt;'минимумы и максимумы'!I$10,100,('исходные данные'!K408-'минимумы и максимумы'!I$9)/('минимумы и максимумы'!I$10-'минимумы и максимумы'!I$9)*100)</f>
        <v>0</v>
      </c>
      <c r="L408">
        <f>IF('исходные данные'!L408&gt;'минимумы и максимумы'!J$10,100,('исходные данные'!L408-'минимумы и максимумы'!J$9)/('минимумы и максимумы'!J$10-'минимумы и максимумы'!J$9)*100)</f>
        <v>0</v>
      </c>
      <c r="M408">
        <f>IF('исходные данные'!M408&gt;'минимумы и максимумы'!K$10,100,('исходные данные'!M408-'минимумы и максимумы'!K$9)/('минимумы и максимумы'!K$10-'минимумы и максимумы'!K$9)*100)</f>
        <v>25</v>
      </c>
      <c r="N408">
        <f>IF('исходные данные'!N408&gt;'минимумы и максимумы'!L$10,100,('исходные данные'!N408-'минимумы и максимумы'!L$9)/('минимумы и максимумы'!L$10-'минимумы и максимумы'!L$9)*100)</f>
        <v>84.006459481282619</v>
      </c>
      <c r="O408">
        <f>IF('исходные данные'!O408&gt;'минимумы и максимумы'!M$10,100,('исходные данные'!O408-'минимумы и максимумы'!M$9)/('минимумы и максимумы'!M$10-'минимумы и максимумы'!M$9)*100)</f>
        <v>66.666666666666657</v>
      </c>
      <c r="P408">
        <f>IF('исходные данные'!P408&gt;'минимумы и максимумы'!N$10,100,('исходные данные'!P408-'минимумы и максимумы'!N$9)/('минимумы и максимумы'!N$10-'минимумы и максимумы'!N$9)*100)</f>
        <v>0</v>
      </c>
      <c r="Q408">
        <f>IF('исходные данные'!Q408&gt;'минимумы и максимумы'!O$10,100,('исходные данные'!Q408-'минимумы и максимумы'!O$9)/('минимумы и максимумы'!O$10-'минимумы и максимумы'!O$9)*100)</f>
        <v>0</v>
      </c>
      <c r="R408">
        <f>IF('исходные данные'!R408&gt;'минимумы и максимумы'!P$10,100,('исходные данные'!R408-'минимумы и максимумы'!P$9)/('минимумы и максимумы'!P$10-'минимумы и максимумы'!P$9)*100)</f>
        <v>100</v>
      </c>
      <c r="S408">
        <f>IF('исходные данные'!S408&gt;'минимумы и максимумы'!Q$10,100,('исходные данные'!S408-'минимумы и максимумы'!Q$9)/('минимумы и максимумы'!Q$10-'минимумы и максимумы'!Q$9)*100)</f>
        <v>16.666666666666664</v>
      </c>
      <c r="T408">
        <f>IF('исходные данные'!T408&gt;'минимумы и максимумы'!R$10,100,('исходные данные'!T408-'минимумы и максимумы'!R$9)/('минимумы и максимумы'!R$10-'минимумы и максимумы'!R$9)*100)</f>
        <v>0.83429228998849247</v>
      </c>
      <c r="U408">
        <f>IF('исходные данные'!U408&gt;'минимумы и максимумы'!S$10,100,('исходные данные'!U408-'минимумы и максимумы'!S$9)/('минимумы и максимумы'!S$10-'минимумы и максимумы'!S$9)*100)</f>
        <v>0</v>
      </c>
    </row>
    <row r="409" spans="1:21" x14ac:dyDescent="0.45">
      <c r="A409" s="4">
        <v>529</v>
      </c>
      <c r="B409" s="4">
        <v>0</v>
      </c>
      <c r="C409" s="4">
        <v>1</v>
      </c>
      <c r="D409">
        <f>IF('исходные данные'!D409&gt;'минимумы и максимумы'!B$10,100,('исходные данные'!D409-'минимумы и максимумы'!B$9)/('минимумы и максимумы'!B$10-'минимумы и максимумы'!B$9)*100)</f>
        <v>0</v>
      </c>
      <c r="E409">
        <f>IF('исходные данные'!E409&gt;'минимумы и максимумы'!C$10,100,('исходные данные'!E409-'минимумы и максимумы'!C$9)/('минимумы и максимумы'!C$10-'минимумы и максимумы'!C$9)*100)</f>
        <v>10</v>
      </c>
      <c r="F409">
        <f>IF('исходные данные'!F409&gt;'минимумы и максимумы'!D$10,100,('исходные данные'!F409-'минимумы и максимумы'!D$9)/('минимумы и максимумы'!D$10-'минимумы и максимумы'!D$9)*100)</f>
        <v>0</v>
      </c>
      <c r="G409">
        <f>IF('исходные данные'!G409&gt;'минимумы и максимумы'!E$10,100,('исходные данные'!G409-'минимумы и максимумы'!E$9)/('минимумы и максимумы'!E$10-'минимумы и максимумы'!E$9)*100)</f>
        <v>8.3333333333333321</v>
      </c>
      <c r="H409">
        <f>IF('исходные данные'!H409&gt;'минимумы и максимумы'!F$10,100,('исходные данные'!H409-'минимумы и максимумы'!F$9)/('минимумы и максимумы'!F$10-'минимумы и максимумы'!F$9)*100)</f>
        <v>10.344827586206897</v>
      </c>
      <c r="I409">
        <f>IF('исходные данные'!I409&gt;'минимумы и максимумы'!G$10,100,('исходные данные'!I409-'минимумы и максимумы'!G$9)/('минимумы и максимумы'!G$10-'минимумы и максимумы'!G$9)*100)</f>
        <v>0</v>
      </c>
      <c r="J409">
        <f>IF('исходные данные'!J409&gt;'минимумы и максимумы'!H$10,100,('исходные данные'!J409-'минимумы и максимумы'!H$9)/('минимумы и максимумы'!H$10-'минимумы и максимумы'!H$9)*100)</f>
        <v>0</v>
      </c>
      <c r="K409">
        <f>IF('исходные данные'!K409&gt;'минимумы и максимумы'!I$10,100,('исходные данные'!K409-'минимумы и максимумы'!I$9)/('минимумы и максимумы'!I$10-'минимумы и максимумы'!I$9)*100)</f>
        <v>0</v>
      </c>
      <c r="L409">
        <f>IF('исходные данные'!L409&gt;'минимумы и максимумы'!J$10,100,('исходные данные'!L409-'минимумы и максимумы'!J$9)/('минимумы и максимумы'!J$10-'минимумы и максимумы'!J$9)*100)</f>
        <v>0</v>
      </c>
      <c r="M409">
        <f>IF('исходные данные'!M409&gt;'минимумы и максимумы'!K$10,100,('исходные данные'!M409-'минимумы и максимумы'!K$9)/('минимумы и максимумы'!K$10-'минимумы и максимумы'!K$9)*100)</f>
        <v>10.714285714285714</v>
      </c>
      <c r="N409">
        <f>IF('исходные данные'!N409&gt;'минимумы и максимумы'!L$10,100,('исходные данные'!N409-'минимумы и максимумы'!L$9)/('минимумы и максимумы'!L$10-'минимумы и максимумы'!L$9)*100)</f>
        <v>83.759786927930122</v>
      </c>
      <c r="O409">
        <f>IF('исходные данные'!O409&gt;'минимумы и максимумы'!M$10,100,('исходные данные'!O409-'минимумы и максимумы'!M$9)/('минимумы и максимумы'!M$10-'минимумы и максимумы'!M$9)*100)</f>
        <v>66.666666666666657</v>
      </c>
      <c r="P409">
        <f>IF('исходные данные'!P409&gt;'минимумы и максимумы'!N$10,100,('исходные данные'!P409-'минимумы и максимумы'!N$9)/('минимумы и максимумы'!N$10-'минимумы и максимумы'!N$9)*100)</f>
        <v>0</v>
      </c>
      <c r="Q409">
        <f>IF('исходные данные'!Q409&gt;'минимумы и максимумы'!O$10,100,('исходные данные'!Q409-'минимумы и максимумы'!O$9)/('минимумы и максимумы'!O$10-'минимумы и максимумы'!O$9)*100)</f>
        <v>0</v>
      </c>
      <c r="R409">
        <f>IF('исходные данные'!R409&gt;'минимумы и максимумы'!P$10,100,('исходные данные'!R409-'минимумы и максимумы'!P$9)/('минимумы и максимумы'!P$10-'минимумы и максимумы'!P$9)*100)</f>
        <v>100</v>
      </c>
      <c r="S409">
        <f>IF('исходные данные'!S409&gt;'минимумы и максимумы'!Q$10,100,('исходные данные'!S409-'минимумы и максимумы'!Q$9)/('минимумы и максимумы'!Q$10-'минимумы и максимумы'!Q$9)*100)</f>
        <v>16.666666666666664</v>
      </c>
      <c r="T409">
        <f>IF('исходные данные'!T409&gt;'минимумы и максимумы'!R$10,100,('исходные данные'!T409-'минимумы и максимумы'!R$9)/('минимумы и максимумы'!R$10-'минимумы и максимумы'!R$9)*100)</f>
        <v>1.6973532796317605</v>
      </c>
      <c r="U409">
        <f>IF('исходные данные'!U409&gt;'минимумы и максимумы'!S$10,100,('исходные данные'!U409-'минимумы и максимумы'!S$9)/('минимумы и максимумы'!S$10-'минимумы и максимумы'!S$9)*100)</f>
        <v>0</v>
      </c>
    </row>
    <row r="410" spans="1:21" x14ac:dyDescent="0.45">
      <c r="A410" s="4">
        <v>530</v>
      </c>
      <c r="B410" s="4">
        <v>0</v>
      </c>
      <c r="C410" s="4">
        <v>1</v>
      </c>
      <c r="D410">
        <f>IF('исходные данные'!D410&gt;'минимумы и максимумы'!B$10,100,('исходные данные'!D410-'минимумы и максимумы'!B$9)/('минимумы и максимумы'!B$10-'минимумы и максимумы'!B$9)*100)</f>
        <v>0</v>
      </c>
      <c r="E410">
        <f>IF('исходные данные'!E410&gt;'минимумы и максимумы'!C$10,100,('исходные данные'!E410-'минимумы и максимумы'!C$9)/('минимумы и максимумы'!C$10-'минимумы и максимумы'!C$9)*100)</f>
        <v>10</v>
      </c>
      <c r="F410">
        <f>IF('исходные данные'!F410&gt;'минимумы и максимумы'!D$10,100,('исходные данные'!F410-'минимумы и максимумы'!D$9)/('минимумы и максимумы'!D$10-'минимумы и максимумы'!D$9)*100)</f>
        <v>0</v>
      </c>
      <c r="G410">
        <f>IF('исходные данные'!G410&gt;'минимумы и максимумы'!E$10,100,('исходные данные'!G410-'минимумы и максимумы'!E$9)/('минимумы и максимумы'!E$10-'минимумы и максимумы'!E$9)*100)</f>
        <v>0</v>
      </c>
      <c r="H410">
        <f>IF('исходные данные'!H410&gt;'минимумы и максимумы'!F$10,100,('исходные данные'!H410-'минимумы и максимумы'!F$9)/('минимумы и максимумы'!F$10-'минимумы и максимумы'!F$9)*100)</f>
        <v>6.8965517241379306</v>
      </c>
      <c r="I410">
        <f>IF('исходные данные'!I410&gt;'минимумы и максимумы'!G$10,100,('исходные данные'!I410-'минимумы и максимумы'!G$9)/('минимумы и максимумы'!G$10-'минимумы и максимумы'!G$9)*100)</f>
        <v>1.8867924528301887</v>
      </c>
      <c r="J410">
        <f>IF('исходные данные'!J410&gt;'минимумы и максимумы'!H$10,100,('исходные данные'!J410-'минимумы и максимумы'!H$9)/('минимумы и максимумы'!H$10-'минимумы и максимумы'!H$9)*100)</f>
        <v>0</v>
      </c>
      <c r="K410">
        <f>IF('исходные данные'!K410&gt;'минимумы и максимумы'!I$10,100,('исходные данные'!K410-'минимумы и максимумы'!I$9)/('минимумы и максимумы'!I$10-'минимумы и максимумы'!I$9)*100)</f>
        <v>0</v>
      </c>
      <c r="L410">
        <f>IF('исходные данные'!L410&gt;'минимумы и максимумы'!J$10,100,('исходные данные'!L410-'минимумы и максимумы'!J$9)/('минимумы и максимумы'!J$10-'минимумы и максимумы'!J$9)*100)</f>
        <v>0</v>
      </c>
      <c r="M410">
        <f>IF('исходные данные'!M410&gt;'минимумы и максимумы'!K$10,100,('исходные данные'!M410-'минимумы и максимумы'!K$9)/('минимумы и максимумы'!K$10-'минимумы и максимумы'!K$9)*100)</f>
        <v>17.857142857142858</v>
      </c>
      <c r="N410">
        <f>IF('исходные данные'!N410&gt;'минимумы и максимумы'!L$10,100,('исходные данные'!N410-'минимумы и максимумы'!L$9)/('минимумы и максимумы'!L$10-'минимумы и максимумы'!L$9)*100)</f>
        <v>79.186430496444842</v>
      </c>
      <c r="O410">
        <f>IF('исходные данные'!O410&gt;'минимумы и максимумы'!M$10,100,('исходные данные'!O410-'минимумы и максимумы'!M$9)/('минимумы и максимумы'!M$10-'минимумы и максимумы'!M$9)*100)</f>
        <v>66.666666666666657</v>
      </c>
      <c r="P410">
        <f>IF('исходные данные'!P410&gt;'минимумы и максимумы'!N$10,100,('исходные данные'!P410-'минимумы и максимумы'!N$9)/('минимумы и максимумы'!N$10-'минимумы и максимумы'!N$9)*100)</f>
        <v>0</v>
      </c>
      <c r="Q410">
        <f>IF('исходные данные'!Q410&gt;'минимумы и максимумы'!O$10,100,('исходные данные'!Q410-'минимумы и максимумы'!O$9)/('минимумы и максимумы'!O$10-'минимумы и максимумы'!O$9)*100)</f>
        <v>0</v>
      </c>
      <c r="R410">
        <f>IF('исходные данные'!R410&gt;'минимумы и максимумы'!P$10,100,('исходные данные'!R410-'минимумы и максимумы'!P$9)/('минимумы и максимумы'!P$10-'минимумы и максимумы'!P$9)*100)</f>
        <v>50</v>
      </c>
      <c r="S410">
        <f>IF('исходные данные'!S410&gt;'минимумы и максимумы'!Q$10,100,('исходные данные'!S410-'минимумы и максимумы'!Q$9)/('минимумы и максимумы'!Q$10-'минимумы и максимумы'!Q$9)*100)</f>
        <v>50</v>
      </c>
      <c r="T410">
        <f>IF('исходные данные'!T410&gt;'минимумы и максимумы'!R$10,100,('исходные данные'!T410-'минимумы и максимумы'!R$9)/('минимумы и максимумы'!R$10-'минимумы и максимумы'!R$9)*100)</f>
        <v>4.3153049482163404</v>
      </c>
      <c r="U410">
        <f>IF('исходные данные'!U410&gt;'минимумы и максимумы'!S$10,100,('исходные данные'!U410-'минимумы и максимумы'!S$9)/('минимумы и максимумы'!S$10-'минимумы и максимумы'!S$9)*100)</f>
        <v>0</v>
      </c>
    </row>
    <row r="411" spans="1:21" x14ac:dyDescent="0.45">
      <c r="A411" s="4">
        <v>531</v>
      </c>
      <c r="B411" s="4">
        <v>0</v>
      </c>
      <c r="C411" s="4">
        <v>0</v>
      </c>
      <c r="D411">
        <f>IF('исходные данные'!D411&gt;'минимумы и максимумы'!B$10,100,('исходные данные'!D411-'минимумы и максимумы'!B$9)/('минимумы и максимумы'!B$10-'минимумы и максимумы'!B$9)*100)</f>
        <v>11.111111111111111</v>
      </c>
      <c r="E411">
        <f>IF('исходные данные'!E411&gt;'минимумы и максимумы'!C$10,100,('исходные данные'!E411-'минимумы и максимумы'!C$9)/('минимумы и максимумы'!C$10-'минимумы и максимумы'!C$9)*100)</f>
        <v>10</v>
      </c>
      <c r="F411">
        <f>IF('исходные данные'!F411&gt;'минимумы и максимумы'!D$10,100,('исходные данные'!F411-'минимумы и максимумы'!D$9)/('минимумы и максимумы'!D$10-'минимумы и максимумы'!D$9)*100)</f>
        <v>0</v>
      </c>
      <c r="G411">
        <f>IF('исходные данные'!G411&gt;'минимумы и максимумы'!E$10,100,('исходные данные'!G411-'минимумы и максимумы'!E$9)/('минимумы и максимумы'!E$10-'минимумы и максимумы'!E$9)*100)</f>
        <v>0</v>
      </c>
      <c r="H411">
        <f>IF('исходные данные'!H411&gt;'минимумы и максимумы'!F$10,100,('исходные данные'!H411-'минимумы и максимумы'!F$9)/('минимумы и максимумы'!F$10-'минимумы и максимумы'!F$9)*100)</f>
        <v>0</v>
      </c>
      <c r="I411">
        <f>IF('исходные данные'!I411&gt;'минимумы и максимумы'!G$10,100,('исходные данные'!I411-'минимумы и максимумы'!G$9)/('минимумы и максимумы'!G$10-'минимумы и максимумы'!G$9)*100)</f>
        <v>0</v>
      </c>
      <c r="J411">
        <f>IF('исходные данные'!J411&gt;'минимумы и максимумы'!H$10,100,('исходные данные'!J411-'минимумы и максимумы'!H$9)/('минимумы и максимумы'!H$10-'минимумы и максимумы'!H$9)*100)</f>
        <v>0</v>
      </c>
      <c r="K411">
        <f>IF('исходные данные'!K411&gt;'минимумы и максимумы'!I$10,100,('исходные данные'!K411-'минимумы и максимумы'!I$9)/('минимумы и максимумы'!I$10-'минимумы и максимумы'!I$9)*100)</f>
        <v>0</v>
      </c>
      <c r="L411">
        <f>IF('исходные данные'!L411&gt;'минимумы и максимумы'!J$10,100,('исходные данные'!L411-'минимумы и максимумы'!J$9)/('минимумы и максимумы'!J$10-'минимумы и максимумы'!J$9)*100)</f>
        <v>0</v>
      </c>
      <c r="M411">
        <f>IF('исходные данные'!M411&gt;'минимумы и максимумы'!K$10,100,('исходные данные'!M411-'минимумы и максимумы'!K$9)/('минимумы и максимумы'!K$10-'минимумы и максимумы'!K$9)*100)</f>
        <v>17.857142857142858</v>
      </c>
      <c r="N411">
        <f>IF('исходные данные'!N411&gt;'минимумы и максимумы'!L$10,100,('исходные данные'!N411-'минимумы и максимумы'!L$9)/('минимумы и максимумы'!L$10-'минимумы и максимумы'!L$9)*100)</f>
        <v>78.441501804195298</v>
      </c>
      <c r="O411">
        <f>IF('исходные данные'!O411&gt;'минимумы и максимумы'!M$10,100,('исходные данные'!O411-'минимумы и максимумы'!M$9)/('минимумы и максимумы'!M$10-'минимумы и максимумы'!M$9)*100)</f>
        <v>100</v>
      </c>
      <c r="P411">
        <f>IF('исходные данные'!P411&gt;'минимумы и максимумы'!N$10,100,('исходные данные'!P411-'минимумы и максимумы'!N$9)/('минимумы и максимумы'!N$10-'минимумы и максимумы'!N$9)*100)</f>
        <v>100</v>
      </c>
      <c r="Q411">
        <f>IF('исходные данные'!Q411&gt;'минимумы и максимумы'!O$10,100,('исходные данные'!Q411-'минимумы и максимумы'!O$9)/('минимумы и максимумы'!O$10-'минимумы и максимумы'!O$9)*100)</f>
        <v>100</v>
      </c>
      <c r="R411">
        <f>IF('исходные данные'!R411&gt;'минимумы и максимумы'!P$10,100,('исходные данные'!R411-'минимумы и максимумы'!P$9)/('минимумы и максимумы'!P$10-'минимумы и максимумы'!P$9)*100)</f>
        <v>25</v>
      </c>
      <c r="S411">
        <f>IF('исходные данные'!S411&gt;'минимумы и максимумы'!Q$10,100,('исходные данные'!S411-'минимумы и максимумы'!Q$9)/('минимумы и максимумы'!Q$10-'минимумы и максимумы'!Q$9)*100)</f>
        <v>33.333333333333329</v>
      </c>
      <c r="T411">
        <f>IF('исходные данные'!T411&gt;'минимумы и максимумы'!R$10,100,('исходные данные'!T411-'минимумы и максимумы'!R$9)/('минимумы и максимумы'!R$10-'минимумы и максимумы'!R$9)*100)</f>
        <v>14.787111622554661</v>
      </c>
      <c r="U411">
        <f>IF('исходные данные'!U411&gt;'минимумы и максимумы'!S$10,100,('исходные данные'!U411-'минимумы и максимумы'!S$9)/('минимумы и максимумы'!S$10-'минимумы и максимумы'!S$9)*100)</f>
        <v>33.333333333333329</v>
      </c>
    </row>
    <row r="412" spans="1:21" x14ac:dyDescent="0.45">
      <c r="A412" s="4">
        <v>532</v>
      </c>
      <c r="B412" s="4">
        <v>0</v>
      </c>
      <c r="C412" s="4">
        <v>0</v>
      </c>
      <c r="D412">
        <f>IF('исходные данные'!D412&gt;'минимумы и максимумы'!B$10,100,('исходные данные'!D412-'минимумы и максимумы'!B$9)/('минимумы и максимумы'!B$10-'минимумы и максимумы'!B$9)*100)</f>
        <v>0</v>
      </c>
      <c r="E412">
        <f>IF('исходные данные'!E412&gt;'минимумы и максимумы'!C$10,100,('исходные данные'!E412-'минимумы и максимумы'!C$9)/('минимумы и максимумы'!C$10-'минимумы и максимумы'!C$9)*100)</f>
        <v>0</v>
      </c>
      <c r="F412">
        <f>IF('исходные данные'!F412&gt;'минимумы и максимумы'!D$10,100,('исходные данные'!F412-'минимумы и максимумы'!D$9)/('минимумы и максимумы'!D$10-'минимумы и максимумы'!D$9)*100)</f>
        <v>0</v>
      </c>
      <c r="G412">
        <f>IF('исходные данные'!G412&gt;'минимумы и максимумы'!E$10,100,('исходные данные'!G412-'минимумы и максимумы'!E$9)/('минимумы и максимумы'!E$10-'минимумы и максимумы'!E$9)*100)</f>
        <v>12.5</v>
      </c>
      <c r="H412">
        <f>IF('исходные данные'!H412&gt;'минимумы и максимумы'!F$10,100,('исходные данные'!H412-'минимумы и максимумы'!F$9)/('минимумы и максимумы'!F$10-'минимумы и максимумы'!F$9)*100)</f>
        <v>10.344827586206897</v>
      </c>
      <c r="I412">
        <f>IF('исходные данные'!I412&gt;'минимумы и максимумы'!G$10,100,('исходные данные'!I412-'минимумы и максимумы'!G$9)/('минимумы и максимумы'!G$10-'минимумы и максимумы'!G$9)*100)</f>
        <v>9.433962264150944</v>
      </c>
      <c r="J412">
        <f>IF('исходные данные'!J412&gt;'минимумы и максимумы'!H$10,100,('исходные данные'!J412-'минимумы и максимумы'!H$9)/('минимумы и максимумы'!H$10-'минимумы и максимумы'!H$9)*100)</f>
        <v>13.333333333333334</v>
      </c>
      <c r="K412">
        <f>IF('исходные данные'!K412&gt;'минимумы и максимумы'!I$10,100,('исходные данные'!K412-'минимумы и максимумы'!I$9)/('минимумы и максимумы'!I$10-'минимумы и максимумы'!I$9)*100)</f>
        <v>0</v>
      </c>
      <c r="L412">
        <f>IF('исходные данные'!L412&gt;'минимумы и максимумы'!J$10,100,('исходные данные'!L412-'минимумы и максимумы'!J$9)/('минимумы и максимумы'!J$10-'минимумы и максимумы'!J$9)*100)</f>
        <v>0</v>
      </c>
      <c r="M412">
        <f>IF('исходные данные'!M412&gt;'минимумы и максимумы'!K$10,100,('исходные данные'!M412-'минимумы и максимумы'!K$9)/('минимумы и максимумы'!K$10-'минимумы и максимумы'!K$9)*100)</f>
        <v>53.571428571428569</v>
      </c>
      <c r="N412">
        <f>IF('исходные данные'!N412&gt;'минимумы и максимумы'!L$10,100,('исходные данные'!N412-'минимумы и максимумы'!L$9)/('минимумы и максимумы'!L$10-'минимумы и максимумы'!L$9)*100)</f>
        <v>73.766944104300762</v>
      </c>
      <c r="O412">
        <f>IF('исходные данные'!O412&gt;'минимумы и максимумы'!M$10,100,('исходные данные'!O412-'минимумы и максимумы'!M$9)/('минимумы и максимумы'!M$10-'минимумы и максимумы'!M$9)*100)</f>
        <v>0</v>
      </c>
      <c r="P412">
        <f>IF('исходные данные'!P412&gt;'минимумы и максимумы'!N$10,100,('исходные данные'!P412-'минимумы и максимумы'!N$9)/('минимумы и максимумы'!N$10-'минимумы и максимумы'!N$9)*100)</f>
        <v>0</v>
      </c>
      <c r="Q412">
        <f>IF('исходные данные'!Q412&gt;'минимумы и максимумы'!O$10,100,('исходные данные'!Q412-'минимумы и максимумы'!O$9)/('минимумы и максимумы'!O$10-'минимумы и максимумы'!O$9)*100)</f>
        <v>100</v>
      </c>
      <c r="R412">
        <f>IF('исходные данные'!R412&gt;'минимумы и максимумы'!P$10,100,('исходные данные'!R412-'минимумы и максимумы'!P$9)/('минимумы и максимумы'!P$10-'минимумы и максимумы'!P$9)*100)</f>
        <v>50</v>
      </c>
      <c r="S412">
        <f>IF('исходные данные'!S412&gt;'минимумы и максимумы'!Q$10,100,('исходные данные'!S412-'минимумы и максимумы'!Q$9)/('минимумы и максимумы'!Q$10-'минимумы и максимумы'!Q$9)*100)</f>
        <v>33.333333333333329</v>
      </c>
      <c r="T412">
        <f>IF('исходные данные'!T412&gt;'минимумы и максимумы'!R$10,100,('исходные данные'!T412-'минимумы и максимумы'!R$9)/('минимумы и максимумы'!R$10-'минимумы и максимумы'!R$9)*100)</f>
        <v>5.6674338319907935</v>
      </c>
      <c r="U412">
        <f>IF('исходные данные'!U412&gt;'минимумы и максимумы'!S$10,100,('исходные данные'!U412-'минимумы и максимумы'!S$9)/('минимумы и максимумы'!S$10-'минимумы и максимумы'!S$9)*100)</f>
        <v>0</v>
      </c>
    </row>
    <row r="413" spans="1:21" x14ac:dyDescent="0.45">
      <c r="A413" s="4">
        <v>533</v>
      </c>
      <c r="B413" s="4">
        <v>0</v>
      </c>
      <c r="C413" s="4">
        <v>0</v>
      </c>
      <c r="D413">
        <f>IF('исходные данные'!D413&gt;'минимумы и максимумы'!B$10,100,('исходные данные'!D413-'минимумы и максимумы'!B$9)/('минимумы и максимумы'!B$10-'минимумы и максимумы'!B$9)*100)</f>
        <v>0</v>
      </c>
      <c r="E413">
        <f>IF('исходные данные'!E413&gt;'минимумы и максимумы'!C$10,100,('исходные данные'!E413-'минимумы и максимумы'!C$9)/('минимумы и максимумы'!C$10-'минимумы и максимумы'!C$9)*100)</f>
        <v>0</v>
      </c>
      <c r="F413">
        <f>IF('исходные данные'!F413&gt;'минимумы и максимумы'!D$10,100,('исходные данные'!F413-'минимумы и максимумы'!D$9)/('минимумы и максимумы'!D$10-'минимумы и максимумы'!D$9)*100)</f>
        <v>0</v>
      </c>
      <c r="G413">
        <f>IF('исходные данные'!G413&gt;'минимумы и максимумы'!E$10,100,('исходные данные'!G413-'минимумы и максимумы'!E$9)/('минимумы и максимумы'!E$10-'минимумы и максимумы'!E$9)*100)</f>
        <v>12.5</v>
      </c>
      <c r="H413">
        <f>IF('исходные данные'!H413&gt;'минимумы и максимумы'!F$10,100,('исходные данные'!H413-'минимумы и максимумы'!F$9)/('минимумы и максимумы'!F$10-'минимумы и максимумы'!F$9)*100)</f>
        <v>6.8965517241379306</v>
      </c>
      <c r="I413">
        <f>IF('исходные данные'!I413&gt;'минимумы и максимумы'!G$10,100,('исходные данные'!I413-'минимумы и максимумы'!G$9)/('минимумы и максимумы'!G$10-'минимумы и максимумы'!G$9)*100)</f>
        <v>11.320754716981133</v>
      </c>
      <c r="J413">
        <f>IF('исходные данные'!J413&gt;'минимумы и максимумы'!H$10,100,('исходные данные'!J413-'минимумы и максимумы'!H$9)/('минимумы и максимумы'!H$10-'минимумы и максимумы'!H$9)*100)</f>
        <v>13.333333333333334</v>
      </c>
      <c r="K413">
        <f>IF('исходные данные'!K413&gt;'минимумы и максимумы'!I$10,100,('исходные данные'!K413-'минимумы и максимумы'!I$9)/('минимумы и максимумы'!I$10-'минимумы и максимумы'!I$9)*100)</f>
        <v>5.5555555555555554</v>
      </c>
      <c r="L413">
        <f>IF('исходные данные'!L413&gt;'минимумы и максимумы'!J$10,100,('исходные данные'!L413-'минимумы и максимумы'!J$9)/('минимумы и максимумы'!J$10-'минимумы и максимумы'!J$9)*100)</f>
        <v>0</v>
      </c>
      <c r="M413">
        <f>IF('исходные данные'!M413&gt;'минимумы и максимумы'!K$10,100,('исходные данные'!M413-'минимумы и максимумы'!K$9)/('минимумы и максимумы'!K$10-'минимумы и максимумы'!K$9)*100)</f>
        <v>50</v>
      </c>
      <c r="N413">
        <f>IF('исходные данные'!N413&gt;'минимумы и максимумы'!L$10,100,('исходные данные'!N413-'минимумы и максимумы'!L$9)/('минимумы и максимумы'!L$10-'минимумы и максимумы'!L$9)*100)</f>
        <v>73.462601206989774</v>
      </c>
      <c r="O413">
        <f>IF('исходные данные'!O413&gt;'минимумы и максимумы'!M$10,100,('исходные данные'!O413-'минимумы и максимумы'!M$9)/('минимумы и максимумы'!M$10-'минимумы и максимумы'!M$9)*100)</f>
        <v>66.666666666666657</v>
      </c>
      <c r="P413">
        <f>IF('исходные данные'!P413&gt;'минимумы и максимумы'!N$10,100,('исходные данные'!P413-'минимумы и максимумы'!N$9)/('минимумы и максимумы'!N$10-'минимумы и максимумы'!N$9)*100)</f>
        <v>100</v>
      </c>
      <c r="Q413">
        <f>IF('исходные данные'!Q413&gt;'минимумы и максимумы'!O$10,100,('исходные данные'!Q413-'минимумы и максимумы'!O$9)/('минимумы и максимумы'!O$10-'минимумы и максимумы'!O$9)*100)</f>
        <v>100</v>
      </c>
      <c r="R413">
        <f>IF('исходные данные'!R413&gt;'минимумы и максимумы'!P$10,100,('исходные данные'!R413-'минимумы и максимумы'!P$9)/('минимумы и максимумы'!P$10-'минимумы и максимумы'!P$9)*100)</f>
        <v>50</v>
      </c>
      <c r="S413">
        <f>IF('исходные данные'!S413&gt;'минимумы и максимумы'!Q$10,100,('исходные данные'!S413-'минимумы и максимумы'!Q$9)/('минимумы и максимумы'!Q$10-'минимумы и максимумы'!Q$9)*100)</f>
        <v>50</v>
      </c>
      <c r="T413">
        <f>IF('исходные данные'!T413&gt;'минимумы и максимумы'!R$10,100,('исходные данные'!T413-'минимумы и максимумы'!R$9)/('минимумы и максимумы'!R$10-'минимумы и максимумы'!R$9)*100)</f>
        <v>15.765247410817032</v>
      </c>
      <c r="U413">
        <f>IF('исходные данные'!U413&gt;'минимумы и максимумы'!S$10,100,('исходные данные'!U413-'минимумы и максимумы'!S$9)/('минимумы и максимумы'!S$10-'минимумы и максимумы'!S$9)*100)</f>
        <v>0</v>
      </c>
    </row>
    <row r="414" spans="1:21" x14ac:dyDescent="0.45">
      <c r="A414" s="4">
        <v>534</v>
      </c>
      <c r="B414" s="4">
        <v>0</v>
      </c>
      <c r="C414" s="4">
        <v>0</v>
      </c>
      <c r="D414">
        <f>IF('исходные данные'!D414&gt;'минимумы и максимумы'!B$10,100,('исходные данные'!D414-'минимумы и максимумы'!B$9)/('минимумы и максимумы'!B$10-'минимумы и максимумы'!B$9)*100)</f>
        <v>0</v>
      </c>
      <c r="E414">
        <f>IF('исходные данные'!E414&gt;'минимумы и максимумы'!C$10,100,('исходные данные'!E414-'минимумы и максимумы'!C$9)/('минимумы и максимумы'!C$10-'минимумы и максимумы'!C$9)*100)</f>
        <v>0</v>
      </c>
      <c r="F414">
        <f>IF('исходные данные'!F414&gt;'минимумы и максимумы'!D$10,100,('исходные данные'!F414-'минимумы и максимумы'!D$9)/('минимумы и максимумы'!D$10-'минимумы и максимумы'!D$9)*100)</f>
        <v>0</v>
      </c>
      <c r="G414">
        <f>IF('исходные данные'!G414&gt;'минимумы и максимумы'!E$10,100,('исходные данные'!G414-'минимумы и максимумы'!E$9)/('минимумы и максимумы'!E$10-'минимумы и максимумы'!E$9)*100)</f>
        <v>12.5</v>
      </c>
      <c r="H414">
        <f>IF('исходные данные'!H414&gt;'минимумы и максимумы'!F$10,100,('исходные данные'!H414-'минимумы и максимумы'!F$9)/('минимумы и максимумы'!F$10-'минимумы и максимумы'!F$9)*100)</f>
        <v>6.8965517241379306</v>
      </c>
      <c r="I414">
        <f>IF('исходные данные'!I414&gt;'минимумы и максимумы'!G$10,100,('исходные данные'!I414-'минимумы и максимумы'!G$9)/('минимумы и максимумы'!G$10-'минимумы и максимумы'!G$9)*100)</f>
        <v>11.320754716981133</v>
      </c>
      <c r="J414">
        <f>IF('исходные данные'!J414&gt;'минимумы и максимумы'!H$10,100,('исходные данные'!J414-'минимумы и максимумы'!H$9)/('минимумы и максимумы'!H$10-'минимумы и максимумы'!H$9)*100)</f>
        <v>13.333333333333334</v>
      </c>
      <c r="K414">
        <f>IF('исходные данные'!K414&gt;'минимумы и максимумы'!I$10,100,('исходные данные'!K414-'минимумы и максимумы'!I$9)/('минимумы и максимумы'!I$10-'минимумы и максимумы'!I$9)*100)</f>
        <v>5.5555555555555554</v>
      </c>
      <c r="L414">
        <f>IF('исходные данные'!L414&gt;'минимумы и максимумы'!J$10,100,('исходные данные'!L414-'минимумы и максимумы'!J$9)/('минимумы и максимумы'!J$10-'минимумы и максимумы'!J$9)*100)</f>
        <v>0</v>
      </c>
      <c r="M414">
        <f>IF('исходные данные'!M414&gt;'минимумы и максимумы'!K$10,100,('исходные данные'!M414-'минимумы и максимумы'!K$9)/('минимумы и максимумы'!K$10-'минимумы и максимумы'!K$9)*100)</f>
        <v>50</v>
      </c>
      <c r="N414">
        <f>IF('исходные данные'!N414&gt;'минимумы и максимумы'!L$10,100,('исходные данные'!N414-'минимумы и максимумы'!L$9)/('минимумы и максимумы'!L$10-'минимумы и максимумы'!L$9)*100)</f>
        <v>73.495615720781856</v>
      </c>
      <c r="O414">
        <f>IF('исходные данные'!O414&gt;'минимумы и максимумы'!M$10,100,('исходные данные'!O414-'минимумы и максимумы'!M$9)/('минимумы и максимумы'!M$10-'минимумы и максимумы'!M$9)*100)</f>
        <v>66.666666666666657</v>
      </c>
      <c r="P414">
        <f>IF('исходные данные'!P414&gt;'минимумы и максимумы'!N$10,100,('исходные данные'!P414-'минимумы и максимумы'!N$9)/('минимумы и максимумы'!N$10-'минимумы и максимумы'!N$9)*100)</f>
        <v>0</v>
      </c>
      <c r="Q414">
        <f>IF('исходные данные'!Q414&gt;'минимумы и максимумы'!O$10,100,('исходные данные'!Q414-'минимумы и максимумы'!O$9)/('минимумы и максимумы'!O$10-'минимумы и максимумы'!O$9)*100)</f>
        <v>0</v>
      </c>
      <c r="R414">
        <f>IF('исходные данные'!R414&gt;'минимумы и максимумы'!P$10,100,('исходные данные'!R414-'минимумы и максимумы'!P$9)/('минимумы и максимумы'!P$10-'минимумы и максимумы'!P$9)*100)</f>
        <v>50</v>
      </c>
      <c r="S414">
        <f>IF('исходные данные'!S414&gt;'минимумы и максимумы'!Q$10,100,('исходные данные'!S414-'минимумы и максимумы'!Q$9)/('минимумы и максимумы'!Q$10-'минимумы и максимумы'!Q$9)*100)</f>
        <v>16.666666666666664</v>
      </c>
      <c r="T414">
        <f>IF('исходные данные'!T414&gt;'минимумы и максимумы'!R$10,100,('исходные данные'!T414-'минимумы и максимумы'!R$9)/('минимумы и максимумы'!R$10-'минимумы и максимумы'!R$9)*100)</f>
        <v>1.0644418872266974</v>
      </c>
      <c r="U414">
        <f>IF('исходные данные'!U414&gt;'минимумы и максимумы'!S$10,100,('исходные данные'!U414-'минимумы и максимумы'!S$9)/('минимумы и максимумы'!S$10-'минимумы и максимумы'!S$9)*100)</f>
        <v>0</v>
      </c>
    </row>
    <row r="415" spans="1:21" x14ac:dyDescent="0.45">
      <c r="A415" s="4">
        <v>535</v>
      </c>
      <c r="B415" s="4">
        <v>0</v>
      </c>
      <c r="C415" s="4">
        <v>0</v>
      </c>
      <c r="D415">
        <f>IF('исходные данные'!D415&gt;'минимумы и максимумы'!B$10,100,('исходные данные'!D415-'минимумы и максимумы'!B$9)/('минимумы и максимумы'!B$10-'минимумы и максимумы'!B$9)*100)</f>
        <v>0</v>
      </c>
      <c r="E415">
        <f>IF('исходные данные'!E415&gt;'минимумы и максимумы'!C$10,100,('исходные данные'!E415-'минимумы и максимумы'!C$9)/('минимумы и максимумы'!C$10-'минимумы и максимумы'!C$9)*100)</f>
        <v>0</v>
      </c>
      <c r="F415">
        <f>IF('исходные данные'!F415&gt;'минимумы и максимумы'!D$10,100,('исходные данные'!F415-'минимумы и максимумы'!D$9)/('минимумы и максимумы'!D$10-'минимумы и максимумы'!D$9)*100)</f>
        <v>0</v>
      </c>
      <c r="G415">
        <f>IF('исходные данные'!G415&gt;'минимумы и максимумы'!E$10,100,('исходные данные'!G415-'минимумы и максимумы'!E$9)/('минимумы и максимумы'!E$10-'минимумы и максимумы'!E$9)*100)</f>
        <v>12.5</v>
      </c>
      <c r="H415">
        <f>IF('исходные данные'!H415&gt;'минимумы и максимумы'!F$10,100,('исходные данные'!H415-'минимумы и максимумы'!F$9)/('минимумы и максимумы'!F$10-'минимумы и максимумы'!F$9)*100)</f>
        <v>6.8965517241379306</v>
      </c>
      <c r="I415">
        <f>IF('исходные данные'!I415&gt;'минимумы и максимумы'!G$10,100,('исходные данные'!I415-'минимумы и максимумы'!G$9)/('минимумы и максимумы'!G$10-'минимумы и максимумы'!G$9)*100)</f>
        <v>11.320754716981133</v>
      </c>
      <c r="J415">
        <f>IF('исходные данные'!J415&gt;'минимумы и максимумы'!H$10,100,('исходные данные'!J415-'минимумы и максимумы'!H$9)/('минимумы и максимумы'!H$10-'минимумы и максимумы'!H$9)*100)</f>
        <v>13.333333333333334</v>
      </c>
      <c r="K415">
        <f>IF('исходные данные'!K415&gt;'минимумы и максимумы'!I$10,100,('исходные данные'!K415-'минимумы и максимумы'!I$9)/('минимумы и максимумы'!I$10-'минимумы и максимумы'!I$9)*100)</f>
        <v>5.5555555555555554</v>
      </c>
      <c r="L415">
        <f>IF('исходные данные'!L415&gt;'минимумы и максимумы'!J$10,100,('исходные данные'!L415-'минимумы и максимумы'!J$9)/('минимумы и максимумы'!J$10-'минимумы и максимумы'!J$9)*100)</f>
        <v>0</v>
      </c>
      <c r="M415">
        <f>IF('исходные данные'!M415&gt;'минимумы и максимумы'!K$10,100,('исходные данные'!M415-'минимумы и максимумы'!K$9)/('минимумы и максимумы'!K$10-'минимумы и максимумы'!K$9)*100)</f>
        <v>50</v>
      </c>
      <c r="N415">
        <f>IF('исходные данные'!N415&gt;'минимумы и максимумы'!L$10,100,('исходные данные'!N415-'минимумы и максимумы'!L$9)/('минимумы и максимумы'!L$10-'минимумы и максимумы'!L$9)*100)</f>
        <v>73.199334526239312</v>
      </c>
      <c r="O415">
        <f>IF('исходные данные'!O415&gt;'минимумы и максимумы'!M$10,100,('исходные данные'!O415-'минимумы и максимумы'!M$9)/('минимумы и максимумы'!M$10-'минимумы и максимумы'!M$9)*100)</f>
        <v>66.666666666666657</v>
      </c>
      <c r="P415">
        <f>IF('исходные данные'!P415&gt;'минимумы и максимумы'!N$10,100,('исходные данные'!P415-'минимумы и максимумы'!N$9)/('минимумы и максимумы'!N$10-'минимумы и максимумы'!N$9)*100)</f>
        <v>0</v>
      </c>
      <c r="Q415">
        <f>IF('исходные данные'!Q415&gt;'минимумы и максимумы'!O$10,100,('исходные данные'!Q415-'минимумы и максимумы'!O$9)/('минимумы и максимумы'!O$10-'минимумы и максимумы'!O$9)*100)</f>
        <v>0</v>
      </c>
      <c r="R415">
        <f>IF('исходные данные'!R415&gt;'минимумы и максимумы'!P$10,100,('исходные данные'!R415-'минимумы и максимумы'!P$9)/('минимумы и максимумы'!P$10-'минимумы и максимумы'!P$9)*100)</f>
        <v>50</v>
      </c>
      <c r="S415">
        <f>IF('исходные данные'!S415&gt;'минимумы и максимумы'!Q$10,100,('исходные данные'!S415-'минимумы и максимумы'!Q$9)/('минимумы и максимумы'!Q$10-'минимумы и максимумы'!Q$9)*100)</f>
        <v>16.666666666666664</v>
      </c>
      <c r="T415">
        <f>IF('исходные данные'!T415&gt;'минимумы и максимумы'!R$10,100,('исходные данные'!T415-'минимумы и максимумы'!R$9)/('минимумы и максимумы'!R$10-'минимумы и максимумы'!R$9)*100)</f>
        <v>1.093210586881473</v>
      </c>
      <c r="U415">
        <f>IF('исходные данные'!U415&gt;'минимумы и максимумы'!S$10,100,('исходные данные'!U415-'минимумы и максимумы'!S$9)/('минимумы и максимумы'!S$10-'минимумы и максимумы'!S$9)*100)</f>
        <v>0</v>
      </c>
    </row>
    <row r="416" spans="1:21" x14ac:dyDescent="0.45">
      <c r="A416" s="4">
        <v>536</v>
      </c>
      <c r="B416" s="4">
        <v>0</v>
      </c>
      <c r="C416" s="4">
        <v>0</v>
      </c>
      <c r="D416">
        <f>IF('исходные данные'!D416&gt;'минимумы и максимумы'!B$10,100,('исходные данные'!D416-'минимумы и максимумы'!B$9)/('минимумы и максимумы'!B$10-'минимумы и максимумы'!B$9)*100)</f>
        <v>33.333333333333329</v>
      </c>
      <c r="E416">
        <f>IF('исходные данные'!E416&gt;'минимумы и максимумы'!C$10,100,('исходные данные'!E416-'минимумы и максимумы'!C$9)/('минимумы и максимумы'!C$10-'минимумы и максимумы'!C$9)*100)</f>
        <v>40</v>
      </c>
      <c r="F416">
        <f>IF('исходные данные'!F416&gt;'минимумы и максимумы'!D$10,100,('исходные данные'!F416-'минимумы и максимумы'!D$9)/('минимумы и максимумы'!D$10-'минимумы и максимумы'!D$9)*100)</f>
        <v>66.666666666666657</v>
      </c>
      <c r="G416">
        <f>IF('исходные данные'!G416&gt;'минимумы и максимумы'!E$10,100,('исходные данные'!G416-'минимумы и максимумы'!E$9)/('минимумы и максимумы'!E$10-'минимумы и максимумы'!E$9)*100)</f>
        <v>58.333333333333336</v>
      </c>
      <c r="H416">
        <f>IF('исходные данные'!H416&gt;'минимумы и максимумы'!F$10,100,('исходные данные'!H416-'минимумы и максимумы'!F$9)/('минимумы и максимумы'!F$10-'минимумы и максимумы'!F$9)*100)</f>
        <v>55.172413793103445</v>
      </c>
      <c r="I416">
        <f>IF('исходные данные'!I416&gt;'минимумы и максимумы'!G$10,100,('исходные данные'!I416-'минимумы и максимумы'!G$9)/('минимумы и максимумы'!G$10-'минимумы и максимумы'!G$9)*100)</f>
        <v>13.20754716981132</v>
      </c>
      <c r="J416">
        <f>IF('исходные данные'!J416&gt;'минимумы и максимумы'!H$10,100,('исходные данные'!J416-'минимумы и максимумы'!H$9)/('минимумы и максимумы'!H$10-'минимумы и максимумы'!H$9)*100)</f>
        <v>0</v>
      </c>
      <c r="K416">
        <f>IF('исходные данные'!K416&gt;'минимумы и максимумы'!I$10,100,('исходные данные'!K416-'минимумы и максимумы'!I$9)/('минимумы и максимумы'!I$10-'минимумы и максимумы'!I$9)*100)</f>
        <v>0</v>
      </c>
      <c r="L416">
        <f>IF('исходные данные'!L416&gt;'минимумы и максимумы'!J$10,100,('исходные данные'!L416-'минимумы и максимумы'!J$9)/('минимумы и максимумы'!J$10-'минимумы и максимумы'!J$9)*100)</f>
        <v>7.1428571428571423</v>
      </c>
      <c r="M416">
        <f>IF('исходные данные'!M416&gt;'минимумы и максимумы'!K$10,100,('исходные данные'!M416-'минимумы и максимумы'!K$9)/('минимумы и максимумы'!K$10-'минимумы и максимумы'!K$9)*100)</f>
        <v>60.714285714285708</v>
      </c>
      <c r="N416">
        <f>IF('исходные данные'!N416&gt;'минимумы и максимумы'!L$10,100,('исходные данные'!N416-'минимумы и максимумы'!L$9)/('минимумы и максимумы'!L$10-'минимумы и максимумы'!L$9)*100)</f>
        <v>75.490812796055636</v>
      </c>
      <c r="O416">
        <f>IF('исходные данные'!O416&gt;'минимумы и максимумы'!M$10,100,('исходные данные'!O416-'минимумы и максимумы'!M$9)/('минимумы и максимумы'!M$10-'минимумы и максимумы'!M$9)*100)</f>
        <v>0</v>
      </c>
      <c r="P416">
        <f>IF('исходные данные'!P416&gt;'минимумы и максимумы'!N$10,100,('исходные данные'!P416-'минимумы и максимумы'!N$9)/('минимумы и максимумы'!N$10-'минимумы и максимумы'!N$9)*100)</f>
        <v>0</v>
      </c>
      <c r="Q416">
        <f>IF('исходные данные'!Q416&gt;'минимумы и максимумы'!O$10,100,('исходные данные'!Q416-'минимумы и максимумы'!O$9)/('минимумы и максимумы'!O$10-'минимумы и максимумы'!O$9)*100)</f>
        <v>100</v>
      </c>
      <c r="R416">
        <f>IF('исходные данные'!R416&gt;'минимумы и максимумы'!P$10,100,('исходные данные'!R416-'минимумы и максимумы'!P$9)/('минимумы и максимумы'!P$10-'минимумы и максимумы'!P$9)*100)</f>
        <v>100</v>
      </c>
      <c r="S416">
        <f>IF('исходные данные'!S416&gt;'минимумы и максимумы'!Q$10,100,('исходные данные'!S416-'минимумы и максимумы'!Q$9)/('минимумы и максимумы'!Q$10-'минимумы и максимумы'!Q$9)*100)</f>
        <v>33.333333333333329</v>
      </c>
      <c r="T416">
        <f>IF('исходные данные'!T416&gt;'минимумы и максимумы'!R$10,100,('исходные данные'!T416-'минимумы и максимумы'!R$9)/('минимумы и максимумы'!R$10-'минимумы и максимумы'!R$9)*100)</f>
        <v>18.58457997698504</v>
      </c>
      <c r="U416">
        <f>IF('исходные данные'!U416&gt;'минимумы и максимумы'!S$10,100,('исходные данные'!U416-'минимумы и максимумы'!S$9)/('минимумы и максимумы'!S$10-'минимумы и максимумы'!S$9)*100)</f>
        <v>66.666666666666657</v>
      </c>
    </row>
    <row r="417" spans="1:21" x14ac:dyDescent="0.45">
      <c r="A417" s="4">
        <v>537</v>
      </c>
      <c r="B417" s="4">
        <v>0</v>
      </c>
      <c r="C417" s="4">
        <v>0</v>
      </c>
      <c r="D417">
        <f>IF('исходные данные'!D417&gt;'минимумы и максимумы'!B$10,100,('исходные данные'!D417-'минимумы и максимумы'!B$9)/('минимумы и максимумы'!B$10-'минимумы и максимумы'!B$9)*100)</f>
        <v>11.111111111111111</v>
      </c>
      <c r="E417">
        <f>IF('исходные данные'!E417&gt;'минимумы и максимумы'!C$10,100,('исходные данные'!E417-'минимумы и максимумы'!C$9)/('минимумы и максимумы'!C$10-'минимумы и максимумы'!C$9)*100)</f>
        <v>40</v>
      </c>
      <c r="F417">
        <f>IF('исходные данные'!F417&gt;'минимумы и максимумы'!D$10,100,('исходные данные'!F417-'минимумы и максимумы'!D$9)/('минимумы и максимумы'!D$10-'минимумы и максимумы'!D$9)*100)</f>
        <v>66.666666666666657</v>
      </c>
      <c r="G417">
        <f>IF('исходные данные'!G417&gt;'минимумы и максимумы'!E$10,100,('исходные данные'!G417-'минимумы и максимумы'!E$9)/('минимумы и максимумы'!E$10-'минимумы и максимумы'!E$9)*100)</f>
        <v>54.166666666666664</v>
      </c>
      <c r="H417">
        <f>IF('исходные данные'!H417&gt;'минимумы и максимумы'!F$10,100,('исходные данные'!H417-'минимумы и максимумы'!F$9)/('минимумы и максимумы'!F$10-'минимумы и максимумы'!F$9)*100)</f>
        <v>41.379310344827587</v>
      </c>
      <c r="I417">
        <f>IF('исходные данные'!I417&gt;'минимумы и максимумы'!G$10,100,('исходные данные'!I417-'минимумы и максимумы'!G$9)/('минимумы и максимумы'!G$10-'минимумы и максимумы'!G$9)*100)</f>
        <v>11.320754716981133</v>
      </c>
      <c r="J417">
        <f>IF('исходные данные'!J417&gt;'минимумы и максимумы'!H$10,100,('исходные данные'!J417-'минимумы и максимумы'!H$9)/('минимумы и максимумы'!H$10-'минимумы и максимумы'!H$9)*100)</f>
        <v>6.666666666666667</v>
      </c>
      <c r="K417">
        <f>IF('исходные данные'!K417&gt;'минимумы и максимумы'!I$10,100,('исходные данные'!K417-'минимумы и максимумы'!I$9)/('минимумы и максимумы'!I$10-'минимумы и максимумы'!I$9)*100)</f>
        <v>0</v>
      </c>
      <c r="L417">
        <f>IF('исходные данные'!L417&gt;'минимумы и максимумы'!J$10,100,('исходные данные'!L417-'минимумы и максимумы'!J$9)/('минимумы и максимумы'!J$10-'минимумы и максимумы'!J$9)*100)</f>
        <v>7.1428571428571423</v>
      </c>
      <c r="M417">
        <f>IF('исходные данные'!M417&gt;'минимумы и максимумы'!K$10,100,('исходные данные'!M417-'минимумы и максимумы'!K$9)/('минимумы и максимумы'!K$10-'минимумы и максимумы'!K$9)*100)</f>
        <v>50</v>
      </c>
      <c r="N417">
        <f>IF('исходные данные'!N417&gt;'минимумы и максимумы'!L$10,100,('исходные данные'!N417-'минимумы и максимумы'!L$9)/('минимумы и максимумы'!L$10-'минимумы и максимумы'!L$9)*100)</f>
        <v>77.702211163528531</v>
      </c>
      <c r="O417">
        <f>IF('исходные данные'!O417&gt;'минимумы и максимумы'!M$10,100,('исходные данные'!O417-'минимумы и максимумы'!M$9)/('минимумы и максимумы'!M$10-'минимумы и максимумы'!M$9)*100)</f>
        <v>100</v>
      </c>
      <c r="P417">
        <f>IF('исходные данные'!P417&gt;'минимумы и максимумы'!N$10,100,('исходные данные'!P417-'минимумы и максимумы'!N$9)/('минимумы и максимумы'!N$10-'минимумы и максимумы'!N$9)*100)</f>
        <v>0</v>
      </c>
      <c r="Q417">
        <f>IF('исходные данные'!Q417&gt;'минимумы и максимумы'!O$10,100,('исходные данные'!Q417-'минимумы и максимумы'!O$9)/('минимумы и максимумы'!O$10-'минимумы и максимумы'!O$9)*100)</f>
        <v>100</v>
      </c>
      <c r="R417">
        <f>IF('исходные данные'!R417&gt;'минимумы и максимумы'!P$10,100,('исходные данные'!R417-'минимумы и максимумы'!P$9)/('минимумы и максимумы'!P$10-'минимумы и максимумы'!P$9)*100)</f>
        <v>100</v>
      </c>
      <c r="S417">
        <f>IF('исходные данные'!S417&gt;'минимумы и максимумы'!Q$10,100,('исходные данные'!S417-'минимумы и максимумы'!Q$9)/('минимумы и максимумы'!Q$10-'минимумы и максимумы'!Q$9)*100)</f>
        <v>83.333333333333343</v>
      </c>
      <c r="T417">
        <f>IF('исходные данные'!T417&gt;'минимумы и максимумы'!R$10,100,('исходные данные'!T417-'минимумы и максимумы'!R$9)/('минимумы и максимумы'!R$10-'минимумы и максимумы'!R$9)*100)</f>
        <v>18.58457997698504</v>
      </c>
      <c r="U417">
        <f>IF('исходные данные'!U417&gt;'минимумы и максимумы'!S$10,100,('исходные данные'!U417-'минимумы и максимумы'!S$9)/('минимумы и максимумы'!S$10-'минимумы и максимумы'!S$9)*100)</f>
        <v>0</v>
      </c>
    </row>
    <row r="418" spans="1:21" x14ac:dyDescent="0.45">
      <c r="A418" s="4">
        <v>539</v>
      </c>
      <c r="B418" s="4">
        <v>0</v>
      </c>
      <c r="C418" s="4">
        <v>0</v>
      </c>
      <c r="D418">
        <f>IF('исходные данные'!D418&gt;'минимумы и максимумы'!B$10,100,('исходные данные'!D418-'минимумы и максимумы'!B$9)/('минимумы и максимумы'!B$10-'минимумы и максимумы'!B$9)*100)</f>
        <v>33.333333333333329</v>
      </c>
      <c r="E418">
        <f>IF('исходные данные'!E418&gt;'минимумы и максимумы'!C$10,100,('исходные данные'!E418-'минимумы и максимумы'!C$9)/('минимумы и максимумы'!C$10-'минимумы и максимумы'!C$9)*100)</f>
        <v>50</v>
      </c>
      <c r="F418">
        <f>IF('исходные данные'!F418&gt;'минимумы и максимумы'!D$10,100,('исходные данные'!F418-'минимумы и максимумы'!D$9)/('минимумы и максимумы'!D$10-'минимумы и максимумы'!D$9)*100)</f>
        <v>66.666666666666657</v>
      </c>
      <c r="G418">
        <f>IF('исходные данные'!G418&gt;'минимумы и максимумы'!E$10,100,('исходные данные'!G418-'минимумы и максимумы'!E$9)/('минимумы и максимумы'!E$10-'минимумы и максимумы'!E$9)*100)</f>
        <v>33.333333333333329</v>
      </c>
      <c r="H418">
        <f>IF('исходные данные'!H418&gt;'минимумы и максимумы'!F$10,100,('исходные данные'!H418-'минимумы и максимумы'!F$9)/('минимумы и максимумы'!F$10-'минимумы и максимумы'!F$9)*100)</f>
        <v>37.931034482758619</v>
      </c>
      <c r="I418">
        <f>IF('исходные данные'!I418&gt;'минимумы и максимумы'!G$10,100,('исходные данные'!I418-'минимумы и максимумы'!G$9)/('минимумы и максимумы'!G$10-'минимумы и максимумы'!G$9)*100)</f>
        <v>13.20754716981132</v>
      </c>
      <c r="J418">
        <f>IF('исходные данные'!J418&gt;'минимумы и максимумы'!H$10,100,('исходные данные'!J418-'минимумы и максимумы'!H$9)/('минимумы и максимумы'!H$10-'минимумы и максимумы'!H$9)*100)</f>
        <v>0</v>
      </c>
      <c r="K418">
        <f>IF('исходные данные'!K418&gt;'минимумы и максимумы'!I$10,100,('исходные данные'!K418-'минимумы и максимумы'!I$9)/('минимумы и максимумы'!I$10-'минимумы и максимумы'!I$9)*100)</f>
        <v>0</v>
      </c>
      <c r="L418">
        <f>IF('исходные данные'!L418&gt;'минимумы и максимумы'!J$10,100,('исходные данные'!L418-'минимумы и максимумы'!J$9)/('минимумы и максимумы'!J$10-'минимумы и максимумы'!J$9)*100)</f>
        <v>0</v>
      </c>
      <c r="M418">
        <f>IF('исходные данные'!M418&gt;'минимумы и максимумы'!K$10,100,('исходные данные'!M418-'минимумы и максимумы'!K$9)/('минимумы и максимумы'!K$10-'минимумы и максимумы'!K$9)*100)</f>
        <v>21.428571428571427</v>
      </c>
      <c r="N418">
        <f>IF('исходные данные'!N418&gt;'минимумы и максимумы'!L$10,100,('исходные данные'!N418-'минимумы и максимумы'!L$9)/('минимумы и максимумы'!L$10-'минимумы и максимумы'!L$9)*100)</f>
        <v>76.219776982973002</v>
      </c>
      <c r="O418">
        <f>IF('исходные данные'!O418&gt;'минимумы и максимумы'!M$10,100,('исходные данные'!O418-'минимумы и максимумы'!M$9)/('минимумы и максимумы'!M$10-'минимумы и максимумы'!M$9)*100)</f>
        <v>100</v>
      </c>
      <c r="P418">
        <f>IF('исходные данные'!P418&gt;'минимумы и максимумы'!N$10,100,('исходные данные'!P418-'минимумы и максимумы'!N$9)/('минимумы и максимумы'!N$10-'минимумы и максимумы'!N$9)*100)</f>
        <v>0</v>
      </c>
      <c r="Q418">
        <f>IF('исходные данные'!Q418&gt;'минимумы и максимумы'!O$10,100,('исходные данные'!Q418-'минимумы и максимумы'!O$9)/('минимумы и максимумы'!O$10-'минимумы и максимумы'!O$9)*100)</f>
        <v>100</v>
      </c>
      <c r="R418">
        <f>IF('исходные данные'!R418&gt;'минимумы и максимумы'!P$10,100,('исходные данные'!R418-'минимумы и максимумы'!P$9)/('минимумы и максимумы'!P$10-'минимумы и максимумы'!P$9)*100)</f>
        <v>100</v>
      </c>
      <c r="S418">
        <f>IF('исходные данные'!S418&gt;'минимумы и максимумы'!Q$10,100,('исходные данные'!S418-'минимумы и максимумы'!Q$9)/('минимумы и максимумы'!Q$10-'минимумы и максимумы'!Q$9)*100)</f>
        <v>33.333333333333329</v>
      </c>
      <c r="T418">
        <f>IF('исходные данные'!T418&gt;'минимумы и максимумы'!R$10,100,('исходные данные'!T418-'минимумы и максимумы'!R$9)/('минимумы и максимумы'!R$10-'минимумы и максимумы'!R$9)*100)</f>
        <v>7.3360184119677792</v>
      </c>
      <c r="U418">
        <f>IF('исходные данные'!U418&gt;'минимумы и максимумы'!S$10,100,('исходные данные'!U418-'минимумы и максимумы'!S$9)/('минимумы и максимумы'!S$10-'минимумы и максимумы'!S$9)*100)</f>
        <v>0</v>
      </c>
    </row>
    <row r="419" spans="1:21" x14ac:dyDescent="0.45">
      <c r="A419" s="4">
        <v>540</v>
      </c>
      <c r="B419" s="4">
        <v>0</v>
      </c>
      <c r="C419" s="4">
        <v>0</v>
      </c>
      <c r="D419">
        <f>IF('исходные данные'!D419&gt;'минимумы и максимумы'!B$10,100,('исходные данные'!D419-'минимумы и максимумы'!B$9)/('минимумы и максимумы'!B$10-'минимумы и максимумы'!B$9)*100)</f>
        <v>33.333333333333329</v>
      </c>
      <c r="E419">
        <f>IF('исходные данные'!E419&gt;'минимумы и максимумы'!C$10,100,('исходные данные'!E419-'минимумы и максимумы'!C$9)/('минимумы и максимумы'!C$10-'минимумы и максимумы'!C$9)*100)</f>
        <v>50</v>
      </c>
      <c r="F419">
        <f>IF('исходные данные'!F419&gt;'минимумы и максимумы'!D$10,100,('исходные данные'!F419-'минимумы и максимумы'!D$9)/('минимумы и максимумы'!D$10-'минимумы и максимумы'!D$9)*100)</f>
        <v>66.666666666666657</v>
      </c>
      <c r="G419">
        <f>IF('исходные данные'!G419&gt;'минимумы и максимумы'!E$10,100,('исходные данные'!G419-'минимумы и максимумы'!E$9)/('минимумы и максимумы'!E$10-'минимумы и максимумы'!E$9)*100)</f>
        <v>33.333333333333329</v>
      </c>
      <c r="H419">
        <f>IF('исходные данные'!H419&gt;'минимумы и максимумы'!F$10,100,('исходные данные'!H419-'минимумы и максимумы'!F$9)/('минимумы и максимумы'!F$10-'минимумы и максимумы'!F$9)*100)</f>
        <v>37.931034482758619</v>
      </c>
      <c r="I419">
        <f>IF('исходные данные'!I419&gt;'минимумы и максимумы'!G$10,100,('исходные данные'!I419-'минимумы и максимумы'!G$9)/('минимумы и максимумы'!G$10-'минимумы и максимумы'!G$9)*100)</f>
        <v>13.20754716981132</v>
      </c>
      <c r="J419">
        <f>IF('исходные данные'!J419&gt;'минимумы и максимумы'!H$10,100,('исходные данные'!J419-'минимумы и максимумы'!H$9)/('минимумы и максимумы'!H$10-'минимумы и максимумы'!H$9)*100)</f>
        <v>0</v>
      </c>
      <c r="K419">
        <f>IF('исходные данные'!K419&gt;'минимумы и максимумы'!I$10,100,('исходные данные'!K419-'минимумы и максимумы'!I$9)/('минимумы и максимумы'!I$10-'минимумы и максимумы'!I$9)*100)</f>
        <v>0</v>
      </c>
      <c r="L419">
        <f>IF('исходные данные'!L419&gt;'минимумы и максимумы'!J$10,100,('исходные данные'!L419-'минимумы и максимумы'!J$9)/('минимумы и максимумы'!J$10-'минимумы и максимумы'!J$9)*100)</f>
        <v>0</v>
      </c>
      <c r="M419">
        <f>IF('исходные данные'!M419&gt;'минимумы и максимумы'!K$10,100,('исходные данные'!M419-'минимумы и максимумы'!K$9)/('минимумы и максимумы'!K$10-'минимумы и максимумы'!K$9)*100)</f>
        <v>21.428571428571427</v>
      </c>
      <c r="N419">
        <f>IF('исходные данные'!N419&gt;'минимумы и максимумы'!L$10,100,('исходные данные'!N419-'минимумы и максимумы'!L$9)/('минимумы и максимумы'!L$10-'минимумы и максимумы'!L$9)*100)</f>
        <v>76.494736989315442</v>
      </c>
      <c r="O419">
        <f>IF('исходные данные'!O419&gt;'минимумы и максимумы'!M$10,100,('исходные данные'!O419-'минимумы и максимумы'!M$9)/('минимумы и максимумы'!M$10-'минимумы и максимумы'!M$9)*100)</f>
        <v>100</v>
      </c>
      <c r="P419">
        <f>IF('исходные данные'!P419&gt;'минимумы и максимумы'!N$10,100,('исходные данные'!P419-'минимумы и максимумы'!N$9)/('минимумы и максимумы'!N$10-'минимумы и максимумы'!N$9)*100)</f>
        <v>0</v>
      </c>
      <c r="Q419">
        <f>IF('исходные данные'!Q419&gt;'минимумы и максимумы'!O$10,100,('исходные данные'!Q419-'минимумы и максимумы'!O$9)/('минимумы и максимумы'!O$10-'минимумы и максимумы'!O$9)*100)</f>
        <v>100</v>
      </c>
      <c r="R419">
        <f>IF('исходные данные'!R419&gt;'минимумы и максимумы'!P$10,100,('исходные данные'!R419-'минимумы и максимумы'!P$9)/('минимумы и максимумы'!P$10-'минимумы и максимумы'!P$9)*100)</f>
        <v>100</v>
      </c>
      <c r="S419">
        <f>IF('исходные данные'!S419&gt;'минимумы и максимумы'!Q$10,100,('исходные данные'!S419-'минимумы и максимумы'!Q$9)/('минимумы и максимумы'!Q$10-'минимумы и максимумы'!Q$9)*100)</f>
        <v>33.333333333333329</v>
      </c>
      <c r="T419">
        <f>IF('исходные данные'!T419&gt;'минимумы и максимумы'!R$10,100,('исходные данные'!T419-'минимумы и максимумы'!R$9)/('минимумы и максимумы'!R$10-'минимумы и максимумы'!R$9)*100)</f>
        <v>13.147295742232451</v>
      </c>
      <c r="U419">
        <f>IF('исходные данные'!U419&gt;'минимумы и максимумы'!S$10,100,('исходные данные'!U419-'минимумы и максимумы'!S$9)/('минимумы и максимумы'!S$10-'минимумы и максимумы'!S$9)*100)</f>
        <v>0</v>
      </c>
    </row>
    <row r="420" spans="1:21" x14ac:dyDescent="0.45">
      <c r="A420" s="4">
        <v>541</v>
      </c>
      <c r="B420" s="4">
        <v>0</v>
      </c>
      <c r="C420" s="4">
        <v>1</v>
      </c>
      <c r="D420">
        <f>IF('исходные данные'!D420&gt;'минимумы и максимумы'!B$10,100,('исходные данные'!D420-'минимумы и максимумы'!B$9)/('минимумы и максимумы'!B$10-'минимумы и максимумы'!B$9)*100)</f>
        <v>0</v>
      </c>
      <c r="E420">
        <f>IF('исходные данные'!E420&gt;'минимумы и максимумы'!C$10,100,('исходные данные'!E420-'минимумы и максимумы'!C$9)/('минимумы и максимумы'!C$10-'минимумы и максимумы'!C$9)*100)</f>
        <v>0</v>
      </c>
      <c r="F420">
        <f>IF('исходные данные'!F420&gt;'минимумы и максимумы'!D$10,100,('исходные данные'!F420-'минимумы и максимумы'!D$9)/('минимумы и максимумы'!D$10-'минимумы и максимумы'!D$9)*100)</f>
        <v>33.333333333333329</v>
      </c>
      <c r="G420">
        <f>IF('исходные данные'!G420&gt;'минимумы и максимумы'!E$10,100,('исходные данные'!G420-'минимумы и максимумы'!E$9)/('минимумы и максимумы'!E$10-'минимумы и максимумы'!E$9)*100)</f>
        <v>4.1666666666666661</v>
      </c>
      <c r="H420">
        <f>IF('исходные данные'!H420&gt;'минимумы и максимумы'!F$10,100,('исходные данные'!H420-'минимумы и максимумы'!F$9)/('минимумы и максимумы'!F$10-'минимумы и максимумы'!F$9)*100)</f>
        <v>6.8965517241379306</v>
      </c>
      <c r="I420">
        <f>IF('исходные данные'!I420&gt;'минимумы и максимумы'!G$10,100,('исходные данные'!I420-'минимумы и максимумы'!G$9)/('минимумы и максимумы'!G$10-'минимумы и максимумы'!G$9)*100)</f>
        <v>1.8867924528301887</v>
      </c>
      <c r="J420">
        <f>IF('исходные данные'!J420&gt;'минимумы и максимумы'!H$10,100,('исходные данные'!J420-'минимумы и максимумы'!H$9)/('минимумы и максимумы'!H$10-'минимумы и максимумы'!H$9)*100)</f>
        <v>6.666666666666667</v>
      </c>
      <c r="K420">
        <f>IF('исходные данные'!K420&gt;'минимумы и максимумы'!I$10,100,('исходные данные'!K420-'минимумы и максимумы'!I$9)/('минимумы и максимумы'!I$10-'минимумы и максимумы'!I$9)*100)</f>
        <v>0</v>
      </c>
      <c r="L420">
        <f>IF('исходные данные'!L420&gt;'минимумы и максимумы'!J$10,100,('исходные данные'!L420-'минимумы и максимумы'!J$9)/('минимумы и максимумы'!J$10-'минимумы и максимумы'!J$9)*100)</f>
        <v>0</v>
      </c>
      <c r="M420">
        <f>IF('исходные данные'!M420&gt;'минимумы и максимумы'!K$10,100,('исходные данные'!M420-'минимумы и максимумы'!K$9)/('минимумы и максимумы'!K$10-'минимумы и максимумы'!K$9)*100)</f>
        <v>7.1428571428571423</v>
      </c>
      <c r="N420">
        <f>IF('исходные данные'!N420&gt;'минимумы и максимумы'!L$10,100,('исходные данные'!N420-'минимумы и максимумы'!L$9)/('минимумы и максимумы'!L$10-'минимумы и максимумы'!L$9)*100)</f>
        <v>90.809549148251619</v>
      </c>
      <c r="O420">
        <f>IF('исходные данные'!O420&gt;'минимумы и максимумы'!M$10,100,('исходные данные'!O420-'минимумы и максимумы'!M$9)/('минимумы и максимумы'!M$10-'минимумы и максимумы'!M$9)*100)</f>
        <v>66.666666666666657</v>
      </c>
      <c r="P420">
        <f>IF('исходные данные'!P420&gt;'минимумы и максимумы'!N$10,100,('исходные данные'!P420-'минимумы и максимумы'!N$9)/('минимумы и максимумы'!N$10-'минимумы и максимумы'!N$9)*100)</f>
        <v>0</v>
      </c>
      <c r="Q420">
        <f>IF('исходные данные'!Q420&gt;'минимумы и максимумы'!O$10,100,('исходные данные'!Q420-'минимумы и максимумы'!O$9)/('минимумы и максимумы'!O$10-'минимумы и максимумы'!O$9)*100)</f>
        <v>100</v>
      </c>
      <c r="R420">
        <f>IF('исходные данные'!R420&gt;'минимумы и максимумы'!P$10,100,('исходные данные'!R420-'минимумы и максимумы'!P$9)/('минимумы и максимумы'!P$10-'минимумы и максимумы'!P$9)*100)</f>
        <v>100</v>
      </c>
      <c r="S420">
        <f>IF('исходные данные'!S420&gt;'минимумы и максимумы'!Q$10,100,('исходные данные'!S420-'минимумы и максимумы'!Q$9)/('минимумы и максимумы'!Q$10-'минимумы и максимумы'!Q$9)*100)</f>
        <v>50</v>
      </c>
      <c r="T420">
        <f>IF('исходные данные'!T420&gt;'минимумы и максимумы'!R$10,100,('исходные данные'!T420-'минимумы и максимумы'!R$9)/('минимумы и максимумы'!R$10-'минимумы и максимумы'!R$9)*100)</f>
        <v>16.196777905638665</v>
      </c>
      <c r="U420">
        <f>IF('исходные данные'!U420&gt;'минимумы и максимумы'!S$10,100,('исходные данные'!U420-'минимумы и максимумы'!S$9)/('минимумы и максимумы'!S$10-'минимумы и максимумы'!S$9)*100)</f>
        <v>0</v>
      </c>
    </row>
    <row r="421" spans="1:21" x14ac:dyDescent="0.45">
      <c r="A421" s="4">
        <v>542</v>
      </c>
      <c r="B421" s="4">
        <v>0</v>
      </c>
      <c r="C421" s="4">
        <v>0</v>
      </c>
      <c r="D421">
        <f>IF('исходные данные'!D421&gt;'минимумы и максимумы'!B$10,100,('исходные данные'!D421-'минимумы и максимумы'!B$9)/('минимумы и максимумы'!B$10-'минимумы и максимумы'!B$9)*100)</f>
        <v>0</v>
      </c>
      <c r="E421">
        <f>IF('исходные данные'!E421&gt;'минимумы и максимумы'!C$10,100,('исходные данные'!E421-'минимумы и максимумы'!C$9)/('минимумы и максимумы'!C$10-'минимумы и максимумы'!C$9)*100)</f>
        <v>0</v>
      </c>
      <c r="F421">
        <f>IF('исходные данные'!F421&gt;'минимумы и максимумы'!D$10,100,('исходные данные'!F421-'минимумы и максимумы'!D$9)/('минимумы и максимумы'!D$10-'минимумы и максимумы'!D$9)*100)</f>
        <v>0</v>
      </c>
      <c r="G421">
        <f>IF('исходные данные'!G421&gt;'минимумы и максимумы'!E$10,100,('исходные данные'!G421-'минимумы и максимумы'!E$9)/('минимумы и максимумы'!E$10-'минимумы и максимумы'!E$9)*100)</f>
        <v>4.1666666666666661</v>
      </c>
      <c r="H421">
        <f>IF('исходные данные'!H421&gt;'минимумы и максимумы'!F$10,100,('исходные данные'!H421-'минимумы и максимумы'!F$9)/('минимумы и максимумы'!F$10-'минимумы и максимумы'!F$9)*100)</f>
        <v>6.8965517241379306</v>
      </c>
      <c r="I421">
        <f>IF('исходные данные'!I421&gt;'минимумы и максимумы'!G$10,100,('исходные данные'!I421-'минимумы и максимумы'!G$9)/('минимумы и максимумы'!G$10-'минимумы и максимумы'!G$9)*100)</f>
        <v>0</v>
      </c>
      <c r="J421">
        <f>IF('исходные данные'!J421&gt;'минимумы и максимумы'!H$10,100,('исходные данные'!J421-'минимумы и максимумы'!H$9)/('минимумы и максимумы'!H$10-'минимумы и максимумы'!H$9)*100)</f>
        <v>0</v>
      </c>
      <c r="K421">
        <f>IF('исходные данные'!K421&gt;'минимумы и максимумы'!I$10,100,('исходные данные'!K421-'минимумы и максимумы'!I$9)/('минимумы и максимумы'!I$10-'минимумы и максимумы'!I$9)*100)</f>
        <v>0</v>
      </c>
      <c r="L421">
        <f>IF('исходные данные'!L421&gt;'минимумы и максимумы'!J$10,100,('исходные данные'!L421-'минимумы и максимумы'!J$9)/('минимумы и максимумы'!J$10-'минимумы и максимумы'!J$9)*100)</f>
        <v>0</v>
      </c>
      <c r="M421">
        <f>IF('исходные данные'!M421&gt;'минимумы и максимумы'!K$10,100,('исходные данные'!M421-'минимумы и максимумы'!K$9)/('минимумы и максимумы'!K$10-'минимумы и максимумы'!K$9)*100)</f>
        <v>10.714285714285714</v>
      </c>
      <c r="N421">
        <f>IF('исходные данные'!N421&gt;'минимумы и максимумы'!L$10,100,('исходные данные'!N421-'минимумы и максимумы'!L$9)/('минимумы и максимумы'!L$10-'минимумы и максимумы'!L$9)*100)</f>
        <v>94.77842424640653</v>
      </c>
      <c r="O421">
        <f>IF('исходные данные'!O421&gt;'минимумы и максимумы'!M$10,100,('исходные данные'!O421-'минимумы и максимумы'!M$9)/('минимумы и максимумы'!M$10-'минимумы и максимумы'!M$9)*100)</f>
        <v>0</v>
      </c>
      <c r="P421">
        <f>IF('исходные данные'!P421&gt;'минимумы и максимумы'!N$10,100,('исходные данные'!P421-'минимумы и максимумы'!N$9)/('минимумы и максимумы'!N$10-'минимумы и максимумы'!N$9)*100)</f>
        <v>0</v>
      </c>
      <c r="Q421">
        <f>IF('исходные данные'!Q421&gt;'минимумы и максимумы'!O$10,100,('исходные данные'!Q421-'минимумы и максимумы'!O$9)/('минимумы и максимумы'!O$10-'минимумы и максимумы'!O$9)*100)</f>
        <v>100</v>
      </c>
      <c r="R421">
        <f>IF('исходные данные'!R421&gt;'минимумы и максимумы'!P$10,100,('исходные данные'!R421-'минимумы и максимумы'!P$9)/('минимумы и максимумы'!P$10-'минимумы и максимумы'!P$9)*100)</f>
        <v>100</v>
      </c>
      <c r="S421">
        <f>IF('исходные данные'!S421&gt;'минимумы и максимумы'!Q$10,100,('исходные данные'!S421-'минимумы и максимумы'!Q$9)/('минимумы и максимумы'!Q$10-'минимумы и максимумы'!Q$9)*100)</f>
        <v>33.333333333333329</v>
      </c>
      <c r="T421">
        <f>IF('исходные данные'!T421&gt;'минимумы и максимумы'!R$10,100,('исходные данные'!T421-'минимумы и максимумы'!R$9)/('минимумы и максимумы'!R$10-'минимумы и максимумы'!R$9)*100)</f>
        <v>6.0989643268124283</v>
      </c>
      <c r="U421">
        <f>IF('исходные данные'!U421&gt;'минимумы и максимумы'!S$10,100,('исходные данные'!U421-'минимумы и максимумы'!S$9)/('минимумы и максимумы'!S$10-'минимумы и максимумы'!S$9)*100)</f>
        <v>0</v>
      </c>
    </row>
    <row r="422" spans="1:21" x14ac:dyDescent="0.45">
      <c r="A422" s="4">
        <v>543</v>
      </c>
      <c r="B422" s="4">
        <v>0</v>
      </c>
      <c r="C422" s="4">
        <v>0</v>
      </c>
      <c r="D422">
        <f>IF('исходные данные'!D422&gt;'минимумы и максимумы'!B$10,100,('исходные данные'!D422-'минимумы и максимумы'!B$9)/('минимумы и максимумы'!B$10-'минимумы и максимумы'!B$9)*100)</f>
        <v>0</v>
      </c>
      <c r="E422">
        <f>IF('исходные данные'!E422&gt;'минимумы и максимумы'!C$10,100,('исходные данные'!E422-'минимумы и максимумы'!C$9)/('минимумы и максимумы'!C$10-'минимумы и максимумы'!C$9)*100)</f>
        <v>10</v>
      </c>
      <c r="F422">
        <f>IF('исходные данные'!F422&gt;'минимумы и максимумы'!D$10,100,('исходные данные'!F422-'минимумы и максимумы'!D$9)/('минимумы и максимумы'!D$10-'минимумы и максимумы'!D$9)*100)</f>
        <v>33.333333333333329</v>
      </c>
      <c r="G422">
        <f>IF('исходные данные'!G422&gt;'минимумы и максимумы'!E$10,100,('исходные данные'!G422-'минимумы и максимумы'!E$9)/('минимумы и максимумы'!E$10-'минимумы и максимумы'!E$9)*100)</f>
        <v>0</v>
      </c>
      <c r="H422">
        <f>IF('исходные данные'!H422&gt;'минимумы и максимумы'!F$10,100,('исходные данные'!H422-'минимумы и максимумы'!F$9)/('минимумы и максимумы'!F$10-'минимумы и максимумы'!F$9)*100)</f>
        <v>0</v>
      </c>
      <c r="I422">
        <f>IF('исходные данные'!I422&gt;'минимумы и максимумы'!G$10,100,('исходные данные'!I422-'минимумы и максимумы'!G$9)/('минимумы и максимумы'!G$10-'минимумы и максимумы'!G$9)*100)</f>
        <v>0</v>
      </c>
      <c r="J422">
        <f>IF('исходные данные'!J422&gt;'минимумы и максимумы'!H$10,100,('исходные данные'!J422-'минимумы и максимумы'!H$9)/('минимумы и максимумы'!H$10-'минимумы и максимумы'!H$9)*100)</f>
        <v>0</v>
      </c>
      <c r="K422">
        <f>IF('исходные данные'!K422&gt;'минимумы и максимумы'!I$10,100,('исходные данные'!K422-'минимумы и максимумы'!I$9)/('минимумы и максимумы'!I$10-'минимумы и максимумы'!I$9)*100)</f>
        <v>0</v>
      </c>
      <c r="L422">
        <f>IF('исходные данные'!L422&gt;'минимумы и максимумы'!J$10,100,('исходные данные'!L422-'минимумы и максимумы'!J$9)/('минимумы и максимумы'!J$10-'минимумы и максимумы'!J$9)*100)</f>
        <v>0</v>
      </c>
      <c r="M422">
        <f>IF('исходные данные'!M422&gt;'минимумы и максимумы'!K$10,100,('исходные данные'!M422-'минимумы и максимумы'!K$9)/('минимумы и максимумы'!K$10-'минимумы и максимумы'!K$9)*100)</f>
        <v>7.1428571428571423</v>
      </c>
      <c r="N422">
        <f>IF('исходные данные'!N422&gt;'минимумы и максимумы'!L$10,100,('исходные данные'!N422-'минимумы и максимумы'!L$9)/('минимумы и максимумы'!L$10-'минимумы и максимумы'!L$9)*100)</f>
        <v>100</v>
      </c>
      <c r="O422">
        <f>IF('исходные данные'!O422&gt;'минимумы и максимумы'!M$10,100,('исходные данные'!O422-'минимумы и максимумы'!M$9)/('минимумы и максимумы'!M$10-'минимумы и максимумы'!M$9)*100)</f>
        <v>66.666666666666657</v>
      </c>
      <c r="P422">
        <f>IF('исходные данные'!P422&gt;'минимумы и максимумы'!N$10,100,('исходные данные'!P422-'минимумы и максимумы'!N$9)/('минимумы и максимумы'!N$10-'минимумы и максимумы'!N$9)*100)</f>
        <v>0</v>
      </c>
      <c r="Q422">
        <f>IF('исходные данные'!Q422&gt;'минимумы и максимумы'!O$10,100,('исходные данные'!Q422-'минимумы и максимумы'!O$9)/('минимумы и максимумы'!O$10-'минимумы и максимумы'!O$9)*100)</f>
        <v>100</v>
      </c>
      <c r="R422">
        <f>IF('исходные данные'!R422&gt;'минимумы и максимумы'!P$10,100,('исходные данные'!R422-'минимумы и максимумы'!P$9)/('минимумы и максимумы'!P$10-'минимумы и максимумы'!P$9)*100)</f>
        <v>100</v>
      </c>
      <c r="S422">
        <f>IF('исходные данные'!S422&gt;'минимумы и максимумы'!Q$10,100,('исходные данные'!S422-'минимумы и максимумы'!Q$9)/('минимумы и максимумы'!Q$10-'минимумы и максимумы'!Q$9)*100)</f>
        <v>33.333333333333329</v>
      </c>
      <c r="T422">
        <f>IF('исходные данные'!T422&gt;'минимумы и максимумы'!R$10,100,('исходные данные'!T422-'минимумы и максимумы'!R$9)/('минимумы и максимумы'!R$10-'минимумы и максимумы'!R$9)*100)</f>
        <v>27.560414269275029</v>
      </c>
      <c r="U422">
        <f>IF('исходные данные'!U422&gt;'минимумы и максимумы'!S$10,100,('исходные данные'!U422-'минимумы и максимумы'!S$9)/('минимумы и максимумы'!S$10-'минимумы и максимумы'!S$9)*100)</f>
        <v>33.333333333333329</v>
      </c>
    </row>
    <row r="423" spans="1:21" x14ac:dyDescent="0.45">
      <c r="A423" s="4">
        <v>544</v>
      </c>
      <c r="B423" s="4">
        <v>0</v>
      </c>
      <c r="C423" s="4">
        <v>1</v>
      </c>
      <c r="D423">
        <f>IF('исходные данные'!D423&gt;'минимумы и максимумы'!B$10,100,('исходные данные'!D423-'минимумы и максимумы'!B$9)/('минимумы и максимумы'!B$10-'минимумы и максимумы'!B$9)*100)</f>
        <v>0</v>
      </c>
      <c r="E423">
        <f>IF('исходные данные'!E423&gt;'минимумы и максимумы'!C$10,100,('исходные данные'!E423-'минимумы и максимумы'!C$9)/('минимумы и максимумы'!C$10-'минимумы и максимумы'!C$9)*100)</f>
        <v>10</v>
      </c>
      <c r="F423">
        <f>IF('исходные данные'!F423&gt;'минимумы и максимумы'!D$10,100,('исходные данные'!F423-'минимумы и максимумы'!D$9)/('минимумы и максимумы'!D$10-'минимумы и максимумы'!D$9)*100)</f>
        <v>33.333333333333329</v>
      </c>
      <c r="G423">
        <f>IF('исходные данные'!G423&gt;'минимумы и максимумы'!E$10,100,('исходные данные'!G423-'минимумы и максимумы'!E$9)/('минимумы и максимумы'!E$10-'минимумы и максимумы'!E$9)*100)</f>
        <v>4.1666666666666661</v>
      </c>
      <c r="H423">
        <f>IF('исходные данные'!H423&gt;'минимумы и максимумы'!F$10,100,('исходные данные'!H423-'минимумы и максимумы'!F$9)/('минимумы и максимумы'!F$10-'минимумы и максимумы'!F$9)*100)</f>
        <v>0</v>
      </c>
      <c r="I423">
        <f>IF('исходные данные'!I423&gt;'минимумы и максимумы'!G$10,100,('исходные данные'!I423-'минимумы и максимумы'!G$9)/('минимумы и максимумы'!G$10-'минимумы и максимумы'!G$9)*100)</f>
        <v>0</v>
      </c>
      <c r="J423">
        <f>IF('исходные данные'!J423&gt;'минимумы и максимумы'!H$10,100,('исходные данные'!J423-'минимумы и максимумы'!H$9)/('минимумы и максимумы'!H$10-'минимумы и максимумы'!H$9)*100)</f>
        <v>0</v>
      </c>
      <c r="K423">
        <f>IF('исходные данные'!K423&gt;'минимумы и максимумы'!I$10,100,('исходные данные'!K423-'минимумы и максимумы'!I$9)/('минимумы и максимумы'!I$10-'минимумы и максимумы'!I$9)*100)</f>
        <v>0</v>
      </c>
      <c r="L423">
        <f>IF('исходные данные'!L423&gt;'минимумы и максимумы'!J$10,100,('исходные данные'!L423-'минимумы и максимумы'!J$9)/('минимумы и максимумы'!J$10-'минимумы и максимумы'!J$9)*100)</f>
        <v>0</v>
      </c>
      <c r="M423">
        <f>IF('исходные данные'!M423&gt;'минимумы и максимумы'!K$10,100,('исходные данные'!M423-'минимумы и максимумы'!K$9)/('минимумы и максимумы'!K$10-'минимумы и максимумы'!K$9)*100)</f>
        <v>7.1428571428571423</v>
      </c>
      <c r="N423">
        <f>IF('исходные данные'!N423&gt;'минимумы и максимумы'!L$10,100,('исходные данные'!N423-'минимумы и максимумы'!L$9)/('минимумы и максимумы'!L$10-'минимумы и максимумы'!L$9)*100)</f>
        <v>100</v>
      </c>
      <c r="O423">
        <f>IF('исходные данные'!O423&gt;'минимумы и максимумы'!M$10,100,('исходные данные'!O423-'минимумы и максимумы'!M$9)/('минимумы и максимумы'!M$10-'минимумы и максимумы'!M$9)*100)</f>
        <v>0</v>
      </c>
      <c r="P423">
        <f>IF('исходные данные'!P423&gt;'минимумы и максимумы'!N$10,100,('исходные данные'!P423-'минимумы и максимумы'!N$9)/('минимумы и максимумы'!N$10-'минимумы и максимумы'!N$9)*100)</f>
        <v>0</v>
      </c>
      <c r="Q423">
        <f>IF('исходные данные'!Q423&gt;'минимумы и максимумы'!O$10,100,('исходные данные'!Q423-'минимумы и максимумы'!O$9)/('минимумы и максимумы'!O$10-'минимумы и максимумы'!O$9)*100)</f>
        <v>100</v>
      </c>
      <c r="R423">
        <f>IF('исходные данные'!R423&gt;'минимумы и максимумы'!P$10,100,('исходные данные'!R423-'минимумы и максимумы'!P$9)/('минимумы и максимумы'!P$10-'минимумы и максимумы'!P$9)*100)</f>
        <v>100</v>
      </c>
      <c r="S423">
        <f>IF('исходные данные'!S423&gt;'минимумы и максимумы'!Q$10,100,('исходные данные'!S423-'минимумы и максимумы'!Q$9)/('минимумы и максимумы'!Q$10-'минимумы и максимумы'!Q$9)*100)</f>
        <v>16.666666666666664</v>
      </c>
      <c r="T423">
        <f>IF('исходные данные'!T423&gt;'минимумы и максимумы'!R$10,100,('исходные данные'!T423-'минимумы и максимумы'!R$9)/('минимумы и максимумы'!R$10-'минимумы и максимумы'!R$9)*100)</f>
        <v>32.681242807825086</v>
      </c>
      <c r="U423">
        <f>IF('исходные данные'!U423&gt;'минимумы и максимумы'!S$10,100,('исходные данные'!U423-'минимумы и максимумы'!S$9)/('минимумы и максимумы'!S$10-'минимумы и максимумы'!S$9)*100)</f>
        <v>66.666666666666657</v>
      </c>
    </row>
    <row r="424" spans="1:21" x14ac:dyDescent="0.45">
      <c r="A424" s="4">
        <v>545</v>
      </c>
      <c r="B424" s="4">
        <v>0</v>
      </c>
      <c r="C424" s="4">
        <v>0</v>
      </c>
      <c r="D424">
        <f>IF('исходные данные'!D424&gt;'минимумы и максимумы'!B$10,100,('исходные данные'!D424-'минимумы и максимумы'!B$9)/('минимумы и максимумы'!B$10-'минимумы и максимумы'!B$9)*100)</f>
        <v>0</v>
      </c>
      <c r="E424">
        <f>IF('исходные данные'!E424&gt;'минимумы и максимумы'!C$10,100,('исходные данные'!E424-'минимумы и максимумы'!C$9)/('минимумы и максимумы'!C$10-'минимумы и максимумы'!C$9)*100)</f>
        <v>0</v>
      </c>
      <c r="F424">
        <f>IF('исходные данные'!F424&gt;'минимумы и максимумы'!D$10,100,('исходные данные'!F424-'минимумы и максимумы'!D$9)/('минимумы и максимумы'!D$10-'минимумы и максимумы'!D$9)*100)</f>
        <v>0</v>
      </c>
      <c r="G424">
        <f>IF('исходные данные'!G424&gt;'минимумы и максимумы'!E$10,100,('исходные данные'!G424-'минимумы и максимумы'!E$9)/('минимумы и максимумы'!E$10-'минимумы и максимумы'!E$9)*100)</f>
        <v>0</v>
      </c>
      <c r="H424">
        <f>IF('исходные данные'!H424&gt;'минимумы и максимумы'!F$10,100,('исходные данные'!H424-'минимумы и максимумы'!F$9)/('минимумы и максимумы'!F$10-'минимумы и максимумы'!F$9)*100)</f>
        <v>0</v>
      </c>
      <c r="I424">
        <f>IF('исходные данные'!I424&gt;'минимумы и максимумы'!G$10,100,('исходные данные'!I424-'минимумы и максимумы'!G$9)/('минимумы и максимумы'!G$10-'минимумы и максимумы'!G$9)*100)</f>
        <v>0</v>
      </c>
      <c r="J424">
        <f>IF('исходные данные'!J424&gt;'минимумы и максимумы'!H$10,100,('исходные данные'!J424-'минимумы и максимумы'!H$9)/('минимумы и максимумы'!H$10-'минимумы и максимумы'!H$9)*100)</f>
        <v>0</v>
      </c>
      <c r="K424">
        <f>IF('исходные данные'!K424&gt;'минимумы и максимумы'!I$10,100,('исходные данные'!K424-'минимумы и максимумы'!I$9)/('минимумы и максимумы'!I$10-'минимумы и максимумы'!I$9)*100)</f>
        <v>0</v>
      </c>
      <c r="L424">
        <f>IF('исходные данные'!L424&gt;'минимумы и максимумы'!J$10,100,('исходные данные'!L424-'минимумы и максимумы'!J$9)/('минимумы и максимумы'!J$10-'минимумы и максимумы'!J$9)*100)</f>
        <v>0</v>
      </c>
      <c r="M424">
        <f>IF('исходные данные'!M424&gt;'минимумы и максимумы'!K$10,100,('исходные данные'!M424-'минимумы и максимумы'!K$9)/('минимумы и максимумы'!K$10-'минимумы и максимумы'!K$9)*100)</f>
        <v>7.1428571428571423</v>
      </c>
      <c r="N424">
        <f>IF('исходные данные'!N424&gt;'минимумы и максимумы'!L$10,100,('исходные данные'!N424-'минимумы и максимумы'!L$9)/('минимумы и максимумы'!L$10-'минимумы и максимумы'!L$9)*100)</f>
        <v>99.259392261501333</v>
      </c>
      <c r="O424">
        <f>IF('исходные данные'!O424&gt;'минимумы и максимумы'!M$10,100,('исходные данные'!O424-'минимумы и максимумы'!M$9)/('минимумы и максимумы'!M$10-'минимумы и максимумы'!M$9)*100)</f>
        <v>66.666666666666657</v>
      </c>
      <c r="P424">
        <f>IF('исходные данные'!P424&gt;'минимумы и максимумы'!N$10,100,('исходные данные'!P424-'минимумы и максимумы'!N$9)/('минимумы и максимумы'!N$10-'минимумы и максимумы'!N$9)*100)</f>
        <v>0</v>
      </c>
      <c r="Q424">
        <f>IF('исходные данные'!Q424&gt;'минимумы и максимумы'!O$10,100,('исходные данные'!Q424-'минимумы и максимумы'!O$9)/('минимумы и максимумы'!O$10-'минимумы и максимумы'!O$9)*100)</f>
        <v>100</v>
      </c>
      <c r="R424">
        <f>IF('исходные данные'!R424&gt;'минимумы и максимумы'!P$10,100,('исходные данные'!R424-'минимумы и максимумы'!P$9)/('минимумы и максимумы'!P$10-'минимумы и максимумы'!P$9)*100)</f>
        <v>100</v>
      </c>
      <c r="S424">
        <f>IF('исходные данные'!S424&gt;'минимумы и максимумы'!Q$10,100,('исходные данные'!S424-'минимумы и максимумы'!Q$9)/('минимумы и максимумы'!Q$10-'минимумы и максимумы'!Q$9)*100)</f>
        <v>100</v>
      </c>
      <c r="T424">
        <f>IF('исходные данные'!T424&gt;'минимумы и максимумы'!R$10,100,('исходные данные'!T424-'минимумы и максимумы'!R$9)/('минимумы и максимумы'!R$10-'минимумы и максимумы'!R$9)*100)</f>
        <v>32.825086306098967</v>
      </c>
      <c r="U424">
        <f>IF('исходные данные'!U424&gt;'минимумы и максимумы'!S$10,100,('исходные данные'!U424-'минимумы и максимумы'!S$9)/('минимумы и максимумы'!S$10-'минимумы и максимумы'!S$9)*100)</f>
        <v>0</v>
      </c>
    </row>
    <row r="425" spans="1:21" x14ac:dyDescent="0.45">
      <c r="A425" s="4">
        <v>546</v>
      </c>
      <c r="B425" s="4">
        <v>0</v>
      </c>
      <c r="C425" s="4">
        <v>0</v>
      </c>
      <c r="D425">
        <f>IF('исходные данные'!D425&gt;'минимумы и максимумы'!B$10,100,('исходные данные'!D425-'минимумы и максимумы'!B$9)/('минимумы и максимумы'!B$10-'минимумы и максимумы'!B$9)*100)</f>
        <v>0</v>
      </c>
      <c r="E425">
        <f>IF('исходные данные'!E425&gt;'минимумы и максимумы'!C$10,100,('исходные данные'!E425-'минимумы и максимумы'!C$9)/('минимумы и максимумы'!C$10-'минимумы и максимумы'!C$9)*100)</f>
        <v>0</v>
      </c>
      <c r="F425">
        <f>IF('исходные данные'!F425&gt;'минимумы и максимумы'!D$10,100,('исходные данные'!F425-'минимумы и максимумы'!D$9)/('минимумы и максимумы'!D$10-'минимумы и максимумы'!D$9)*100)</f>
        <v>0</v>
      </c>
      <c r="G425">
        <f>IF('исходные данные'!G425&gt;'минимумы и максимумы'!E$10,100,('исходные данные'!G425-'минимумы и максимумы'!E$9)/('минимумы и максимумы'!E$10-'минимумы и максимумы'!E$9)*100)</f>
        <v>0</v>
      </c>
      <c r="H425">
        <f>IF('исходные данные'!H425&gt;'минимумы и максимумы'!F$10,100,('исходные данные'!H425-'минимумы и максимумы'!F$9)/('минимумы и максимумы'!F$10-'минимумы и максимумы'!F$9)*100)</f>
        <v>0</v>
      </c>
      <c r="I425">
        <f>IF('исходные данные'!I425&gt;'минимумы и максимумы'!G$10,100,('исходные данные'!I425-'минимумы и максимумы'!G$9)/('минимумы и максимумы'!G$10-'минимумы и максимумы'!G$9)*100)</f>
        <v>0</v>
      </c>
      <c r="J425">
        <f>IF('исходные данные'!J425&gt;'минимумы и максимумы'!H$10,100,('исходные данные'!J425-'минимумы и максимумы'!H$9)/('минимумы и максимумы'!H$10-'минимумы и максимумы'!H$9)*100)</f>
        <v>0</v>
      </c>
      <c r="K425">
        <f>IF('исходные данные'!K425&gt;'минимумы и максимумы'!I$10,100,('исходные данные'!K425-'минимумы и максимумы'!I$9)/('минимумы и максимумы'!I$10-'минимумы и максимумы'!I$9)*100)</f>
        <v>0</v>
      </c>
      <c r="L425">
        <f>IF('исходные данные'!L425&gt;'минимумы и максимумы'!J$10,100,('исходные данные'!L425-'минимумы и максимумы'!J$9)/('минимумы и максимумы'!J$10-'минимумы и максимумы'!J$9)*100)</f>
        <v>0</v>
      </c>
      <c r="M425">
        <f>IF('исходные данные'!M425&gt;'минимумы и максимумы'!K$10,100,('исходные данные'!M425-'минимумы и максимумы'!K$9)/('минимумы и максимумы'!K$10-'минимумы и максимумы'!K$9)*100)</f>
        <v>7.1428571428571423</v>
      </c>
      <c r="N425">
        <f>IF('исходные данные'!N425&gt;'минимумы и максимумы'!L$10,100,('исходные данные'!N425-'минимумы и максимумы'!L$9)/('минимумы и максимумы'!L$10-'минимумы и максимумы'!L$9)*100)</f>
        <v>99.492655993761076</v>
      </c>
      <c r="O425">
        <f>IF('исходные данные'!O425&gt;'минимумы и максимумы'!M$10,100,('исходные данные'!O425-'минимумы и максимумы'!M$9)/('минимумы и максимумы'!M$10-'минимумы и максимумы'!M$9)*100)</f>
        <v>66.666666666666657</v>
      </c>
      <c r="P425">
        <f>IF('исходные данные'!P425&gt;'минимумы и максимумы'!N$10,100,('исходные данные'!P425-'минимумы и максимумы'!N$9)/('минимумы и максимумы'!N$10-'минимумы и максимумы'!N$9)*100)</f>
        <v>0</v>
      </c>
      <c r="Q425">
        <f>IF('исходные данные'!Q425&gt;'минимумы и максимумы'!O$10,100,('исходные данные'!Q425-'минимумы и максимумы'!O$9)/('минимумы и максимумы'!O$10-'минимумы и максимумы'!O$9)*100)</f>
        <v>100</v>
      </c>
      <c r="R425">
        <f>IF('исходные данные'!R425&gt;'минимумы и максимумы'!P$10,100,('исходные данные'!R425-'минимумы и максимумы'!P$9)/('минимумы и максимумы'!P$10-'минимумы и максимумы'!P$9)*100)</f>
        <v>100</v>
      </c>
      <c r="S425">
        <f>IF('исходные данные'!S425&gt;'минимумы и максимумы'!Q$10,100,('исходные данные'!S425-'минимумы и максимумы'!Q$9)/('минимумы и максимумы'!Q$10-'минимумы и максимумы'!Q$9)*100)</f>
        <v>100</v>
      </c>
      <c r="T425">
        <f>IF('исходные данные'!T425&gt;'минимумы и максимумы'!R$10,100,('исходные данные'!T425-'минимумы и максимумы'!R$9)/('минимумы и максимумы'!R$10-'минимумы и максимумы'!R$9)*100)</f>
        <v>33.112773302646723</v>
      </c>
      <c r="U425">
        <f>IF('исходные данные'!U425&gt;'минимумы и максимумы'!S$10,100,('исходные данные'!U425-'минимумы и максимумы'!S$9)/('минимумы и максимумы'!S$10-'минимумы и максимумы'!S$9)*100)</f>
        <v>0</v>
      </c>
    </row>
    <row r="426" spans="1:21" x14ac:dyDescent="0.45">
      <c r="A426" s="4">
        <v>547</v>
      </c>
      <c r="B426" s="4">
        <v>1</v>
      </c>
      <c r="C426" s="4">
        <v>0</v>
      </c>
      <c r="D426">
        <f>IF('исходные данные'!D426&gt;'минимумы и максимумы'!B$10,100,('исходные данные'!D426-'минимумы и максимумы'!B$9)/('минимумы и максимумы'!B$10-'минимумы и максимумы'!B$9)*100)</f>
        <v>11.111111111111111</v>
      </c>
      <c r="E426">
        <f>IF('исходные данные'!E426&gt;'минимумы и максимумы'!C$10,100,('исходные данные'!E426-'минимумы и максимумы'!C$9)/('минимумы и максимумы'!C$10-'минимумы и максимумы'!C$9)*100)</f>
        <v>10</v>
      </c>
      <c r="F426">
        <f>IF('исходные данные'!F426&gt;'минимумы и максимумы'!D$10,100,('исходные данные'!F426-'минимумы и максимумы'!D$9)/('минимумы и максимумы'!D$10-'минимумы и максимумы'!D$9)*100)</f>
        <v>33.333333333333329</v>
      </c>
      <c r="G426">
        <f>IF('исходные данные'!G426&gt;'минимумы и максимумы'!E$10,100,('исходные данные'!G426-'минимумы и максимумы'!E$9)/('минимумы и максимумы'!E$10-'минимумы и максимумы'!E$9)*100)</f>
        <v>8.3333333333333321</v>
      </c>
      <c r="H426">
        <f>IF('исходные данные'!H426&gt;'минимумы и максимумы'!F$10,100,('исходные данные'!H426-'минимумы и максимумы'!F$9)/('минимумы и максимумы'!F$10-'минимумы и максимумы'!F$9)*100)</f>
        <v>6.8965517241379306</v>
      </c>
      <c r="I426">
        <f>IF('исходные данные'!I426&gt;'минимумы и максимумы'!G$10,100,('исходные данные'!I426-'минимумы и максимумы'!G$9)/('минимумы и максимумы'!G$10-'минимумы и максимумы'!G$9)*100)</f>
        <v>5.6603773584905666</v>
      </c>
      <c r="J426">
        <f>IF('исходные данные'!J426&gt;'минимумы и максимумы'!H$10,100,('исходные данные'!J426-'минимумы и максимумы'!H$9)/('минимумы и максимумы'!H$10-'минимумы и максимумы'!H$9)*100)</f>
        <v>0</v>
      </c>
      <c r="K426">
        <f>IF('исходные данные'!K426&gt;'минимумы и максимумы'!I$10,100,('исходные данные'!K426-'минимумы и максимумы'!I$9)/('минимумы и максимумы'!I$10-'минимумы и максимумы'!I$9)*100)</f>
        <v>0</v>
      </c>
      <c r="L426">
        <f>IF('исходные данные'!L426&gt;'минимумы и максимумы'!J$10,100,('исходные данные'!L426-'минимумы и максимумы'!J$9)/('минимумы и максимумы'!J$10-'минимумы и максимумы'!J$9)*100)</f>
        <v>0</v>
      </c>
      <c r="M426">
        <f>IF('исходные данные'!M426&gt;'минимумы и максимумы'!K$10,100,('исходные данные'!M426-'минимумы и максимумы'!K$9)/('минимумы и максимумы'!K$10-'минимумы и максимумы'!K$9)*100)</f>
        <v>21.428571428571427</v>
      </c>
      <c r="N426">
        <f>IF('исходные данные'!N426&gt;'минимумы и максимумы'!L$10,100,('исходные данные'!N426-'минимумы и максимумы'!L$9)/('минимумы и максимумы'!L$10-'минимумы и максимумы'!L$9)*100)</f>
        <v>100</v>
      </c>
      <c r="O426">
        <f>IF('исходные данные'!O426&gt;'минимумы и максимумы'!M$10,100,('исходные данные'!O426-'минимумы и максимумы'!M$9)/('минимумы и максимумы'!M$10-'минимумы и максимумы'!M$9)*100)</f>
        <v>100</v>
      </c>
      <c r="P426">
        <f>IF('исходные данные'!P426&gt;'минимумы и максимумы'!N$10,100,('исходные данные'!P426-'минимумы и максимумы'!N$9)/('минимумы и максимумы'!N$10-'минимумы и максимумы'!N$9)*100)</f>
        <v>0</v>
      </c>
      <c r="Q426">
        <f>IF('исходные данные'!Q426&gt;'минимумы и максимумы'!O$10,100,('исходные данные'!Q426-'минимумы и максимумы'!O$9)/('минимумы и максимумы'!O$10-'минимумы и максимумы'!O$9)*100)</f>
        <v>100</v>
      </c>
      <c r="R426">
        <f>IF('исходные данные'!R426&gt;'минимумы и максимумы'!P$10,100,('исходные данные'!R426-'минимумы и максимумы'!P$9)/('минимумы и максимумы'!P$10-'минимумы и максимумы'!P$9)*100)</f>
        <v>100</v>
      </c>
      <c r="S426">
        <f>IF('исходные данные'!S426&gt;'минимумы и максимумы'!Q$10,100,('исходные данные'!S426-'минимумы и максимумы'!Q$9)/('минимумы и максимумы'!Q$10-'минимумы и максимумы'!Q$9)*100)</f>
        <v>33.333333333333329</v>
      </c>
      <c r="T426">
        <f>IF('исходные данные'!T426&gt;'минимумы и максимумы'!R$10,100,('исходные данные'!T426-'минимумы и максимумы'!R$9)/('минимумы и максимумы'!R$10-'минимумы и максимумы'!R$9)*100)</f>
        <v>12.456846950517837</v>
      </c>
      <c r="U426">
        <f>IF('исходные данные'!U426&gt;'минимумы и максимумы'!S$10,100,('исходные данные'!U426-'минимумы и максимумы'!S$9)/('минимумы и максимумы'!S$10-'минимумы и максимумы'!S$9)*100)</f>
        <v>0</v>
      </c>
    </row>
    <row r="427" spans="1:21" x14ac:dyDescent="0.45">
      <c r="A427" s="4">
        <v>548</v>
      </c>
      <c r="B427" s="4">
        <v>1</v>
      </c>
      <c r="C427" s="4">
        <v>0</v>
      </c>
      <c r="D427">
        <f>IF('исходные данные'!D427&gt;'минимумы и максимумы'!B$10,100,('исходные данные'!D427-'минимумы и максимумы'!B$9)/('минимумы и максимумы'!B$10-'минимумы и максимумы'!B$9)*100)</f>
        <v>0</v>
      </c>
      <c r="E427">
        <f>IF('исходные данные'!E427&gt;'минимумы и максимумы'!C$10,100,('исходные данные'!E427-'минимумы и максимумы'!C$9)/('минимумы и максимумы'!C$10-'минимумы и максимумы'!C$9)*100)</f>
        <v>0</v>
      </c>
      <c r="F427">
        <f>IF('исходные данные'!F427&gt;'минимумы и максимумы'!D$10,100,('исходные данные'!F427-'минимумы и максимумы'!D$9)/('минимумы и максимумы'!D$10-'минимумы и максимумы'!D$9)*100)</f>
        <v>0</v>
      </c>
      <c r="G427">
        <f>IF('исходные данные'!G427&gt;'минимумы и максимумы'!E$10,100,('исходные данные'!G427-'минимумы и максимумы'!E$9)/('минимумы и максимумы'!E$10-'минимумы и максимумы'!E$9)*100)</f>
        <v>0</v>
      </c>
      <c r="H427">
        <f>IF('исходные данные'!H427&gt;'минимумы и максимумы'!F$10,100,('исходные данные'!H427-'минимумы и максимумы'!F$9)/('минимумы и максимумы'!F$10-'минимумы и максимумы'!F$9)*100)</f>
        <v>0</v>
      </c>
      <c r="I427">
        <f>IF('исходные данные'!I427&gt;'минимумы и максимумы'!G$10,100,('исходные данные'!I427-'минимумы и максимумы'!G$9)/('минимумы и максимумы'!G$10-'минимумы и максимумы'!G$9)*100)</f>
        <v>0</v>
      </c>
      <c r="J427">
        <f>IF('исходные данные'!J427&gt;'минимумы и максимумы'!H$10,100,('исходные данные'!J427-'минимумы и максимумы'!H$9)/('минимумы и максимумы'!H$10-'минимумы и максимумы'!H$9)*100)</f>
        <v>0</v>
      </c>
      <c r="K427">
        <f>IF('исходные данные'!K427&gt;'минимумы и максимумы'!I$10,100,('исходные данные'!K427-'минимумы и максимумы'!I$9)/('минимумы и максимумы'!I$10-'минимумы и максимумы'!I$9)*100)</f>
        <v>0</v>
      </c>
      <c r="L427">
        <f>IF('исходные данные'!L427&gt;'минимумы и максимумы'!J$10,100,('исходные данные'!L427-'минимумы и максимумы'!J$9)/('минимумы и максимумы'!J$10-'минимумы и максимумы'!J$9)*100)</f>
        <v>0</v>
      </c>
      <c r="M427">
        <f>IF('исходные данные'!M427&gt;'минимумы и максимумы'!K$10,100,('исходные данные'!M427-'минимумы и максимумы'!K$9)/('минимумы и максимумы'!K$10-'минимумы и максимумы'!K$9)*100)</f>
        <v>0</v>
      </c>
      <c r="N427">
        <f>IF('исходные данные'!N427&gt;'минимумы и максимумы'!L$10,100,('исходные данные'!N427-'минимумы и максимумы'!L$9)/('минимумы и максимумы'!L$10-'минимумы и максимумы'!L$9)*100)</f>
        <v>73.694035421384697</v>
      </c>
      <c r="O427">
        <f>IF('исходные данные'!O427&gt;'минимумы и максимумы'!M$10,100,('исходные данные'!O427-'минимумы и максимумы'!M$9)/('минимумы и максимумы'!M$10-'минимумы и максимумы'!M$9)*100)</f>
        <v>66.666666666666657</v>
      </c>
      <c r="P427">
        <f>IF('исходные данные'!P427&gt;'минимумы и максимумы'!N$10,100,('исходные данные'!P427-'минимумы и максимумы'!N$9)/('минимумы и максимумы'!N$10-'минимумы и максимумы'!N$9)*100)</f>
        <v>0</v>
      </c>
      <c r="Q427">
        <f>IF('исходные данные'!Q427&gt;'минимумы и максимумы'!O$10,100,('исходные данные'!Q427-'минимумы и максимумы'!O$9)/('минимумы и максимумы'!O$10-'минимумы и максимумы'!O$9)*100)</f>
        <v>100</v>
      </c>
      <c r="R427">
        <f>IF('исходные данные'!R427&gt;'минимумы и максимумы'!P$10,100,('исходные данные'!R427-'минимумы и максимумы'!P$9)/('минимумы и максимумы'!P$10-'минимумы и максимумы'!P$9)*100)</f>
        <v>75</v>
      </c>
      <c r="S427">
        <f>IF('исходные данные'!S427&gt;'минимумы и максимумы'!Q$10,100,('исходные данные'!S427-'минимумы и максимумы'!Q$9)/('минимумы и максимумы'!Q$10-'минимумы и максимумы'!Q$9)*100)</f>
        <v>33.333333333333329</v>
      </c>
      <c r="T427">
        <f>IF('исходные данные'!T427&gt;'минимумы и максимумы'!R$10,100,('исходные данные'!T427-'минимумы и максимумы'!R$9)/('минимумы и максимумы'!R$10-'минимумы и максимумы'!R$9)*100)</f>
        <v>6.61680092059839</v>
      </c>
      <c r="U427">
        <f>IF('исходные данные'!U427&gt;'минимумы и максимумы'!S$10,100,('исходные данные'!U427-'минимумы и максимумы'!S$9)/('минимумы и максимумы'!S$10-'минимумы и максимумы'!S$9)*100)</f>
        <v>0</v>
      </c>
    </row>
    <row r="428" spans="1:21" x14ac:dyDescent="0.45">
      <c r="A428" s="4">
        <v>549</v>
      </c>
      <c r="B428" s="4">
        <v>0</v>
      </c>
      <c r="C428" s="4">
        <v>0</v>
      </c>
      <c r="D428">
        <f>IF('исходные данные'!D428&gt;'минимумы и максимумы'!B$10,100,('исходные данные'!D428-'минимумы и максимумы'!B$9)/('минимумы и максимумы'!B$10-'минимумы и максимумы'!B$9)*100)</f>
        <v>0</v>
      </c>
      <c r="E428">
        <f>IF('исходные данные'!E428&gt;'минимумы и максимумы'!C$10,100,('исходные данные'!E428-'минимумы и максимумы'!C$9)/('минимумы и максимумы'!C$10-'минимумы и максимумы'!C$9)*100)</f>
        <v>0</v>
      </c>
      <c r="F428">
        <f>IF('исходные данные'!F428&gt;'минимумы и максимумы'!D$10,100,('исходные данные'!F428-'минимумы и максимумы'!D$9)/('минимумы и максимумы'!D$10-'минимумы и максимумы'!D$9)*100)</f>
        <v>0</v>
      </c>
      <c r="G428">
        <f>IF('исходные данные'!G428&gt;'минимумы и максимумы'!E$10,100,('исходные данные'!G428-'минимумы и максимумы'!E$9)/('минимумы и максимумы'!E$10-'минимумы и максимумы'!E$9)*100)</f>
        <v>0</v>
      </c>
      <c r="H428">
        <f>IF('исходные данные'!H428&gt;'минимумы и максимумы'!F$10,100,('исходные данные'!H428-'минимумы и максимумы'!F$9)/('минимумы и максимумы'!F$10-'минимумы и максимумы'!F$9)*100)</f>
        <v>0</v>
      </c>
      <c r="I428">
        <f>IF('исходные данные'!I428&gt;'минимумы и максимумы'!G$10,100,('исходные данные'!I428-'минимумы и максимумы'!G$9)/('минимумы и максимумы'!G$10-'минимумы и максимумы'!G$9)*100)</f>
        <v>0</v>
      </c>
      <c r="J428">
        <f>IF('исходные данные'!J428&gt;'минимумы и максимумы'!H$10,100,('исходные данные'!J428-'минимумы и максимумы'!H$9)/('минимумы и максимумы'!H$10-'минимумы и максимумы'!H$9)*100)</f>
        <v>0</v>
      </c>
      <c r="K428">
        <f>IF('исходные данные'!K428&gt;'минимумы и максимумы'!I$10,100,('исходные данные'!K428-'минимумы и максимумы'!I$9)/('минимумы и максимумы'!I$10-'минимумы и максимумы'!I$9)*100)</f>
        <v>0</v>
      </c>
      <c r="L428">
        <f>IF('исходные данные'!L428&gt;'минимумы и максимумы'!J$10,100,('исходные данные'!L428-'минимумы и максимумы'!J$9)/('минимумы и максимумы'!J$10-'минимумы и максимумы'!J$9)*100)</f>
        <v>0</v>
      </c>
      <c r="M428">
        <f>IF('исходные данные'!M428&gt;'минимумы и максимумы'!K$10,100,('исходные данные'!M428-'минимумы и максимумы'!K$9)/('минимумы и максимумы'!K$10-'минимумы и максимумы'!K$9)*100)</f>
        <v>0</v>
      </c>
      <c r="N428">
        <f>IF('исходные данные'!N428&gt;'минимумы и максимумы'!L$10,100,('исходные данные'!N428-'минимумы и максимумы'!L$9)/('минимумы и максимумы'!L$10-'минимумы и максимумы'!L$9)*100)</f>
        <v>73.112570010377127</v>
      </c>
      <c r="O428">
        <f>IF('исходные данные'!O428&gt;'минимумы и максимумы'!M$10,100,('исходные данные'!O428-'минимумы и максимумы'!M$9)/('минимумы и максимумы'!M$10-'минимумы и максимумы'!M$9)*100)</f>
        <v>0</v>
      </c>
      <c r="P428">
        <f>IF('исходные данные'!P428&gt;'минимумы и максимумы'!N$10,100,('исходные данные'!P428-'минимумы и максимумы'!N$9)/('минимумы и максимумы'!N$10-'минимумы и максимумы'!N$9)*100)</f>
        <v>0</v>
      </c>
      <c r="Q428">
        <f>IF('исходные данные'!Q428&gt;'минимумы и максимумы'!O$10,100,('исходные данные'!Q428-'минимумы и максимумы'!O$9)/('минимумы и максимумы'!O$10-'минимумы и максимумы'!O$9)*100)</f>
        <v>100</v>
      </c>
      <c r="R428">
        <f>IF('исходные данные'!R428&gt;'минимумы и максимумы'!P$10,100,('исходные данные'!R428-'минимумы и максимумы'!P$9)/('минимумы и максимумы'!P$10-'минимумы и максимумы'!P$9)*100)</f>
        <v>75</v>
      </c>
      <c r="S428">
        <f>IF('исходные данные'!S428&gt;'минимумы и максимумы'!Q$10,100,('исходные данные'!S428-'минимумы и максимумы'!Q$9)/('минимумы и максимумы'!Q$10-'минимумы и максимумы'!Q$9)*100)</f>
        <v>33.333333333333329</v>
      </c>
      <c r="T428">
        <f>IF('исходные данные'!T428&gt;'минимумы и максимумы'!R$10,100,('исходные данные'!T428-'минимумы и максимумы'!R$9)/('минимумы и максимумы'!R$10-'минимумы и максимумы'!R$9)*100)</f>
        <v>6.5880322209436137</v>
      </c>
      <c r="U428">
        <f>IF('исходные данные'!U428&gt;'минимумы и максимумы'!S$10,100,('исходные данные'!U428-'минимумы и максимумы'!S$9)/('минимумы и максимумы'!S$10-'минимумы и максимумы'!S$9)*100)</f>
        <v>0</v>
      </c>
    </row>
    <row r="429" spans="1:21" x14ac:dyDescent="0.45">
      <c r="A429" s="4">
        <v>550</v>
      </c>
      <c r="B429" s="4">
        <v>0</v>
      </c>
      <c r="C429" s="4">
        <v>1</v>
      </c>
      <c r="D429">
        <f>IF('исходные данные'!D429&gt;'минимумы и максимумы'!B$10,100,('исходные данные'!D429-'минимумы и максимумы'!B$9)/('минимумы и максимумы'!B$10-'минимумы и максимумы'!B$9)*100)</f>
        <v>0</v>
      </c>
      <c r="E429">
        <f>IF('исходные данные'!E429&gt;'минимумы и максимумы'!C$10,100,('исходные данные'!E429-'минимумы и максимумы'!C$9)/('минимумы и максимумы'!C$10-'минимумы и максимумы'!C$9)*100)</f>
        <v>10</v>
      </c>
      <c r="F429">
        <f>IF('исходные данные'!F429&gt;'минимумы и максимумы'!D$10,100,('исходные данные'!F429-'минимумы и максимумы'!D$9)/('минимумы и максимумы'!D$10-'минимумы и максимумы'!D$9)*100)</f>
        <v>0</v>
      </c>
      <c r="G429">
        <f>IF('исходные данные'!G429&gt;'минимумы и максимумы'!E$10,100,('исходные данные'!G429-'минимумы и максимумы'!E$9)/('минимумы и максимумы'!E$10-'минимумы и максимумы'!E$9)*100)</f>
        <v>4.1666666666666661</v>
      </c>
      <c r="H429">
        <f>IF('исходные данные'!H429&gt;'минимумы и максимумы'!F$10,100,('исходные данные'!H429-'минимумы и максимумы'!F$9)/('минимумы и максимумы'!F$10-'минимумы и максимумы'!F$9)*100)</f>
        <v>13.793103448275861</v>
      </c>
      <c r="I429">
        <f>IF('исходные данные'!I429&gt;'минимумы и максимумы'!G$10,100,('исходные данные'!I429-'минимумы и максимумы'!G$9)/('минимумы и максимумы'!G$10-'минимумы и максимумы'!G$9)*100)</f>
        <v>3.7735849056603774</v>
      </c>
      <c r="J429">
        <f>IF('исходные данные'!J429&gt;'минимумы и максимумы'!H$10,100,('исходные данные'!J429-'минимумы и максимумы'!H$9)/('минимумы и максимумы'!H$10-'минимумы и максимумы'!H$9)*100)</f>
        <v>13.333333333333334</v>
      </c>
      <c r="K429">
        <f>IF('исходные данные'!K429&gt;'минимумы и максимумы'!I$10,100,('исходные данные'!K429-'минимумы и максимумы'!I$9)/('минимумы и максимумы'!I$10-'минимумы и максимумы'!I$9)*100)</f>
        <v>0</v>
      </c>
      <c r="L429">
        <f>IF('исходные данные'!L429&gt;'минимумы и максимумы'!J$10,100,('исходные данные'!L429-'минимумы и максимумы'!J$9)/('минимумы и максимумы'!J$10-'минимумы и максимумы'!J$9)*100)</f>
        <v>0</v>
      </c>
      <c r="M429">
        <f>IF('исходные данные'!M429&gt;'минимумы и максимумы'!K$10,100,('исходные данные'!M429-'минимумы и максимумы'!K$9)/('минимумы и максимумы'!K$10-'минимумы и максимумы'!K$9)*100)</f>
        <v>21.428571428571427</v>
      </c>
      <c r="N429">
        <f>IF('исходные данные'!N429&gt;'минимумы и максимумы'!L$10,100,('исходные данные'!N429-'минимумы и максимумы'!L$9)/('минимумы и максимумы'!L$10-'минимумы и максимумы'!L$9)*100)</f>
        <v>71.111313538459882</v>
      </c>
      <c r="O429">
        <f>IF('исходные данные'!O429&gt;'минимумы и максимумы'!M$10,100,('исходные данные'!O429-'минимумы и максимумы'!M$9)/('минимумы и максимумы'!M$10-'минимумы и максимумы'!M$9)*100)</f>
        <v>66.666666666666657</v>
      </c>
      <c r="P429">
        <f>IF('исходные данные'!P429&gt;'минимумы и максимумы'!N$10,100,('исходные данные'!P429-'минимумы и максимумы'!N$9)/('минимумы и максимумы'!N$10-'минимумы и максимумы'!N$9)*100)</f>
        <v>0</v>
      </c>
      <c r="Q429">
        <f>IF('исходные данные'!Q429&gt;'минимумы и максимумы'!O$10,100,('исходные данные'!Q429-'минимумы и максимумы'!O$9)/('минимумы и максимумы'!O$10-'минимумы и максимумы'!O$9)*100)</f>
        <v>100</v>
      </c>
      <c r="R429">
        <f>IF('исходные данные'!R429&gt;'минимумы и максимумы'!P$10,100,('исходные данные'!R429-'минимумы и максимумы'!P$9)/('минимумы и максимумы'!P$10-'минимумы и максимумы'!P$9)*100)</f>
        <v>100</v>
      </c>
      <c r="S429">
        <f>IF('исходные данные'!S429&gt;'минимумы и максимумы'!Q$10,100,('исходные данные'!S429-'минимумы и максимумы'!Q$9)/('минимумы и максимумы'!Q$10-'минимумы и максимумы'!Q$9)*100)</f>
        <v>33.333333333333329</v>
      </c>
      <c r="T429">
        <f>IF('исходные данные'!T429&gt;'минимумы и максимумы'!R$10,100,('исходные данные'!T429-'минимумы и максимумы'!R$9)/('минимумы и максимумы'!R$10-'минимумы и максимумы'!R$9)*100)</f>
        <v>5.5811277330264666</v>
      </c>
      <c r="U429">
        <f>IF('исходные данные'!U429&gt;'минимумы и максимумы'!S$10,100,('исходные данные'!U429-'минимумы и максимумы'!S$9)/('минимумы и максимумы'!S$10-'минимумы и максимумы'!S$9)*100)</f>
        <v>0</v>
      </c>
    </row>
    <row r="430" spans="1:21" x14ac:dyDescent="0.45">
      <c r="A430" s="4">
        <v>551</v>
      </c>
      <c r="B430" s="4">
        <v>0</v>
      </c>
      <c r="C430" s="4">
        <v>0</v>
      </c>
      <c r="D430">
        <f>IF('исходные данные'!D430&gt;'минимумы и максимумы'!B$10,100,('исходные данные'!D430-'минимумы и максимумы'!B$9)/('минимумы и максимумы'!B$10-'минимумы и максимумы'!B$9)*100)</f>
        <v>66.666666666666657</v>
      </c>
      <c r="E430">
        <f>IF('исходные данные'!E430&gt;'минимумы и максимумы'!C$10,100,('исходные данные'!E430-'минимумы и максимумы'!C$9)/('минимумы и максимумы'!C$10-'минимумы и максимумы'!C$9)*100)</f>
        <v>30</v>
      </c>
      <c r="F430">
        <f>IF('исходные данные'!F430&gt;'минимумы и максимумы'!D$10,100,('исходные данные'!F430-'минимумы и максимумы'!D$9)/('минимумы и максимумы'!D$10-'минимумы и максимумы'!D$9)*100)</f>
        <v>33.333333333333329</v>
      </c>
      <c r="G430">
        <f>IF('исходные данные'!G430&gt;'минимумы и максимумы'!E$10,100,('исходные данные'!G430-'минимумы и максимумы'!E$9)/('минимумы и максимумы'!E$10-'минимумы и максимумы'!E$9)*100)</f>
        <v>83.333333333333343</v>
      </c>
      <c r="H430">
        <f>IF('исходные данные'!H430&gt;'минимумы и максимумы'!F$10,100,('исходные данные'!H430-'минимумы и максимумы'!F$9)/('минимумы и максимумы'!F$10-'минимумы и максимумы'!F$9)*100)</f>
        <v>44.827586206896555</v>
      </c>
      <c r="I430">
        <f>IF('исходные данные'!I430&gt;'минимумы и максимумы'!G$10,100,('исходные данные'!I430-'минимумы и максимумы'!G$9)/('минимумы и максимумы'!G$10-'минимумы и максимумы'!G$9)*100)</f>
        <v>100</v>
      </c>
      <c r="J430">
        <f>IF('исходные данные'!J430&gt;'минимумы и максимумы'!H$10,100,('исходные данные'!J430-'минимумы и максимумы'!H$9)/('минимумы и максимумы'!H$10-'минимумы и максимумы'!H$9)*100)</f>
        <v>100</v>
      </c>
      <c r="K430">
        <f>IF('исходные данные'!K430&gt;'минимумы и максимумы'!I$10,100,('исходные данные'!K430-'минимумы и максимумы'!I$9)/('минимумы и максимумы'!I$10-'минимумы и максимумы'!I$9)*100)</f>
        <v>100</v>
      </c>
      <c r="L430">
        <f>IF('исходные данные'!L430&gt;'минимумы и максимумы'!J$10,100,('исходные данные'!L430-'минимумы и максимумы'!J$9)/('минимумы и максимумы'!J$10-'минимумы и максимумы'!J$9)*100)</f>
        <v>28.571428571428569</v>
      </c>
      <c r="M430">
        <f>IF('исходные данные'!M430&gt;'минимумы и максимумы'!K$10,100,('исходные данные'!M430-'минимумы и максимумы'!K$9)/('минимумы и максимумы'!K$10-'минимумы и максимумы'!K$9)*100)</f>
        <v>46.428571428571431</v>
      </c>
      <c r="N430">
        <f>IF('исходные данные'!N430&gt;'минимумы и максимумы'!L$10,100,('исходные данные'!N430-'минимумы и максимумы'!L$9)/('минимумы и максимумы'!L$10-'минимумы и максимумы'!L$9)*100)</f>
        <v>5.1724160898232334</v>
      </c>
      <c r="O430">
        <f>IF('исходные данные'!O430&gt;'минимумы и максимумы'!M$10,100,('исходные данные'!O430-'минимумы и максимумы'!M$9)/('минимумы и максимумы'!M$10-'минимумы и максимумы'!M$9)*100)</f>
        <v>0</v>
      </c>
      <c r="P430">
        <f>IF('исходные данные'!P430&gt;'минимумы и максимумы'!N$10,100,('исходные данные'!P430-'минимумы и максимумы'!N$9)/('минимумы и максимумы'!N$10-'минимумы и максимумы'!N$9)*100)</f>
        <v>100</v>
      </c>
      <c r="Q430">
        <f>IF('исходные данные'!Q430&gt;'минимумы и максимумы'!O$10,100,('исходные данные'!Q430-'минимумы и максимумы'!O$9)/('минимумы и максимумы'!O$10-'минимумы и максимумы'!O$9)*100)</f>
        <v>100</v>
      </c>
      <c r="R430">
        <f>IF('исходные данные'!R430&gt;'минимумы и максимумы'!P$10,100,('исходные данные'!R430-'минимумы и максимумы'!P$9)/('минимумы и максимумы'!P$10-'минимумы и максимумы'!P$9)*100)</f>
        <v>100</v>
      </c>
      <c r="S430">
        <f>IF('исходные данные'!S430&gt;'минимумы и максимумы'!Q$10,100,('исходные данные'!S430-'минимумы и максимумы'!Q$9)/('минимумы и максимумы'!Q$10-'минимумы и максимумы'!Q$9)*100)</f>
        <v>33.333333333333329</v>
      </c>
      <c r="T430">
        <f>IF('исходные данные'!T430&gt;'минимумы и максимумы'!R$10,100,('исходные данные'!T430-'минимумы и максимумы'!R$9)/('минимумы и максимумы'!R$10-'минимумы и максимумы'!R$9)*100)</f>
        <v>60.932105868814737</v>
      </c>
      <c r="U430">
        <f>IF('исходные данные'!U430&gt;'минимумы и максимумы'!S$10,100,('исходные данные'!U430-'минимумы и максимумы'!S$9)/('минимумы и максимумы'!S$10-'минимумы и максимумы'!S$9)*100)</f>
        <v>0</v>
      </c>
    </row>
    <row r="431" spans="1:21" x14ac:dyDescent="0.45">
      <c r="A431" s="4">
        <v>552</v>
      </c>
      <c r="B431" s="4">
        <v>0</v>
      </c>
      <c r="C431" s="4">
        <v>0</v>
      </c>
      <c r="D431">
        <f>IF('исходные данные'!D431&gt;'минимумы и максимумы'!B$10,100,('исходные данные'!D431-'минимумы и максимумы'!B$9)/('минимумы и максимумы'!B$10-'минимумы и максимумы'!B$9)*100)</f>
        <v>11.111111111111111</v>
      </c>
      <c r="E431">
        <f>IF('исходные данные'!E431&gt;'минимумы и максимумы'!C$10,100,('исходные данные'!E431-'минимумы и максимумы'!C$9)/('минимумы и максимумы'!C$10-'минимумы и максимумы'!C$9)*100)</f>
        <v>70</v>
      </c>
      <c r="F431">
        <f>IF('исходные данные'!F431&gt;'минимумы и максимумы'!D$10,100,('исходные данные'!F431-'минимумы и максимумы'!D$9)/('минимумы и максимумы'!D$10-'минимумы и максимумы'!D$9)*100)</f>
        <v>0</v>
      </c>
      <c r="G431">
        <f>IF('исходные данные'!G431&gt;'минимумы и максимумы'!E$10,100,('исходные данные'!G431-'минимумы и максимумы'!E$9)/('минимумы и максимумы'!E$10-'минимумы и максимумы'!E$9)*100)</f>
        <v>45.833333333333329</v>
      </c>
      <c r="H431">
        <f>IF('исходные данные'!H431&gt;'минимумы и максимумы'!F$10,100,('исходные данные'!H431-'минимумы и максимумы'!F$9)/('минимумы и максимумы'!F$10-'минимумы и максимумы'!F$9)*100)</f>
        <v>58.620689655172406</v>
      </c>
      <c r="I431">
        <f>IF('исходные данные'!I431&gt;'минимумы и максимумы'!G$10,100,('исходные данные'!I431-'минимумы и максимумы'!G$9)/('минимумы и максимумы'!G$10-'минимумы и максимумы'!G$9)*100)</f>
        <v>94.339622641509436</v>
      </c>
      <c r="J431">
        <f>IF('исходные данные'!J431&gt;'минимумы и максимумы'!H$10,100,('исходные данные'!J431-'минимумы и максимумы'!H$9)/('минимумы и максимумы'!H$10-'минимумы и максимумы'!H$9)*100)</f>
        <v>13.333333333333334</v>
      </c>
      <c r="K431">
        <f>IF('исходные данные'!K431&gt;'минимумы и максимумы'!I$10,100,('исходные данные'!K431-'минимумы и максимумы'!I$9)/('минимумы и максимумы'!I$10-'минимумы и максимумы'!I$9)*100)</f>
        <v>16.666666666666664</v>
      </c>
      <c r="L431">
        <f>IF('исходные данные'!L431&gt;'минимумы и максимумы'!J$10,100,('исходные данные'!L431-'минимумы и максимумы'!J$9)/('минимумы и максимумы'!J$10-'минимумы и максимумы'!J$9)*100)</f>
        <v>0</v>
      </c>
      <c r="M431">
        <f>IF('исходные данные'!M431&gt;'минимумы и максимумы'!K$10,100,('исходные данные'!M431-'минимумы и максимумы'!K$9)/('минимумы и максимумы'!K$10-'минимумы и максимумы'!K$9)*100)</f>
        <v>25</v>
      </c>
      <c r="N431">
        <f>IF('исходные данные'!N431&gt;'минимумы и максимумы'!L$10,100,('исходные данные'!N431-'минимумы и максимумы'!L$9)/('минимумы и максимумы'!L$10-'минимумы и максимумы'!L$9)*100)</f>
        <v>17.617915012503381</v>
      </c>
      <c r="O431">
        <f>IF('исходные данные'!O431&gt;'минимумы и максимумы'!M$10,100,('исходные данные'!O431-'минимумы и максимумы'!M$9)/('минимумы и максимумы'!M$10-'минимумы и максимумы'!M$9)*100)</f>
        <v>66.666666666666657</v>
      </c>
      <c r="P431">
        <f>IF('исходные данные'!P431&gt;'минимумы и максимумы'!N$10,100,('исходные данные'!P431-'минимумы и максимумы'!N$9)/('минимумы и максимумы'!N$10-'минимумы и максимумы'!N$9)*100)</f>
        <v>100</v>
      </c>
      <c r="Q431">
        <f>IF('исходные данные'!Q431&gt;'минимумы и максимумы'!O$10,100,('исходные данные'!Q431-'минимумы и максимумы'!O$9)/('минимумы и максимумы'!O$10-'минимумы и максимумы'!O$9)*100)</f>
        <v>100</v>
      </c>
      <c r="R431">
        <f>IF('исходные данные'!R431&gt;'минимумы и максимумы'!P$10,100,('исходные данные'!R431-'минимумы и максимумы'!P$9)/('минимумы и максимумы'!P$10-'минимумы и максимумы'!P$9)*100)</f>
        <v>75</v>
      </c>
      <c r="S431">
        <f>IF('исходные данные'!S431&gt;'минимумы и максимумы'!Q$10,100,('исходные данные'!S431-'минимумы и максимумы'!Q$9)/('минимумы и максимумы'!Q$10-'минимумы и максимумы'!Q$9)*100)</f>
        <v>33.333333333333329</v>
      </c>
      <c r="T431">
        <f>IF('исходные данные'!T431&gt;'минимумы и максимумы'!R$10,100,('исходные данные'!T431-'минимумы и максимумы'!R$9)/('минимумы и максимумы'!R$10-'минимумы и максимумы'!R$9)*100)</f>
        <v>14.039125431530493</v>
      </c>
      <c r="U431">
        <f>IF('исходные данные'!U431&gt;'минимумы и максимумы'!S$10,100,('исходные данные'!U431-'минимумы и максимумы'!S$9)/('минимумы и максимумы'!S$10-'минимумы и максимумы'!S$9)*100)</f>
        <v>33.333333333333329</v>
      </c>
    </row>
    <row r="432" spans="1:21" x14ac:dyDescent="0.45">
      <c r="A432" s="5">
        <v>553</v>
      </c>
      <c r="B432" s="5">
        <v>0</v>
      </c>
      <c r="C432" s="5">
        <v>0</v>
      </c>
      <c r="D432">
        <f>IF('исходные данные'!D432&gt;'минимумы и максимумы'!B$10,100,('исходные данные'!D432-'минимумы и максимумы'!B$9)/('минимумы и максимумы'!B$10-'минимумы и максимумы'!B$9)*100)</f>
        <v>0</v>
      </c>
      <c r="E432">
        <f>IF('исходные данные'!E432&gt;'минимумы и максимумы'!C$10,100,('исходные данные'!E432-'минимумы и максимумы'!C$9)/('минимумы и максимумы'!C$10-'минимумы и максимумы'!C$9)*100)</f>
        <v>0</v>
      </c>
      <c r="F432">
        <f>IF('исходные данные'!F432&gt;'минимумы и максимумы'!D$10,100,('исходные данные'!F432-'минимумы и максимумы'!D$9)/('минимумы и максимумы'!D$10-'минимумы и максимумы'!D$9)*100)</f>
        <v>0</v>
      </c>
      <c r="G432">
        <f>IF('исходные данные'!G432&gt;'минимумы и максимумы'!E$10,100,('исходные данные'!G432-'минимумы и максимумы'!E$9)/('минимумы и максимумы'!E$10-'минимумы и максимумы'!E$9)*100)</f>
        <v>0</v>
      </c>
      <c r="H432">
        <f>IF('исходные данные'!H432&gt;'минимумы и максимумы'!F$10,100,('исходные данные'!H432-'минимумы и максимумы'!F$9)/('минимумы и максимумы'!F$10-'минимумы и максимумы'!F$9)*100)</f>
        <v>0</v>
      </c>
      <c r="I432">
        <f>IF('исходные данные'!I432&gt;'минимумы и максимумы'!G$10,100,('исходные данные'!I432-'минимумы и максимумы'!G$9)/('минимумы и максимумы'!G$10-'минимумы и максимумы'!G$9)*100)</f>
        <v>3.7735849056603774</v>
      </c>
      <c r="J432">
        <f>IF('исходные данные'!J432&gt;'минимумы и максимумы'!H$10,100,('исходные данные'!J432-'минимумы и максимумы'!H$9)/('минимумы и максимумы'!H$10-'минимумы и максимумы'!H$9)*100)</f>
        <v>0</v>
      </c>
      <c r="K432">
        <f>IF('исходные данные'!K432&gt;'минимумы и максимумы'!I$10,100,('исходные данные'!K432-'минимумы и максимумы'!I$9)/('минимумы и максимумы'!I$10-'минимумы и максимумы'!I$9)*100)</f>
        <v>0</v>
      </c>
      <c r="L432">
        <f>IF('исходные данные'!L432&gt;'минимумы и максимумы'!J$10,100,('исходные данные'!L432-'минимумы и максимумы'!J$9)/('минимумы и максимумы'!J$10-'минимумы и максимумы'!J$9)*100)</f>
        <v>0</v>
      </c>
      <c r="M432">
        <f>IF('исходные данные'!M432&gt;'минимумы и максимумы'!K$10,100,('исходные данные'!M432-'минимумы и максимумы'!K$9)/('минимумы и максимумы'!K$10-'минимумы и максимумы'!K$9)*100)</f>
        <v>10.714285714285714</v>
      </c>
      <c r="N432">
        <f>IF('исходные данные'!N432&gt;'минимумы и максимумы'!L$10,100,('исходные данные'!N432-'минимумы и максимумы'!L$9)/('минимумы и максимумы'!L$10-'минимумы и максимумы'!L$9)*100)</f>
        <v>41.93702237560678</v>
      </c>
      <c r="O432">
        <f>IF('исходные данные'!O432&gt;'минимумы и максимумы'!M$10,100,('исходные данные'!O432-'минимумы и максимумы'!M$9)/('минимумы и максимумы'!M$10-'минимумы и максимумы'!M$9)*100)</f>
        <v>33.333333333333329</v>
      </c>
      <c r="P432">
        <f>IF('исходные данные'!P432&gt;'минимумы и максимумы'!N$10,100,('исходные данные'!P432-'минимумы и максимумы'!N$9)/('минимумы и максимумы'!N$10-'минимумы и максимумы'!N$9)*100)</f>
        <v>0</v>
      </c>
      <c r="Q432">
        <f>IF('исходные данные'!Q432&gt;'минимумы и максимумы'!O$10,100,('исходные данные'!Q432-'минимумы и максимумы'!O$9)/('минимумы и максимумы'!O$10-'минимумы и максимумы'!O$9)*100)</f>
        <v>0</v>
      </c>
      <c r="R432">
        <f>IF('исходные данные'!R432&gt;'минимумы и максимумы'!P$10,100,('исходные данные'!R432-'минимумы и максимумы'!P$9)/('минимумы и максимумы'!P$10-'минимумы и максимумы'!P$9)*100)</f>
        <v>75</v>
      </c>
      <c r="S432">
        <f>IF('исходные данные'!S432&gt;'минимумы и максимумы'!Q$10,100,('исходные данные'!S432-'минимумы и максимумы'!Q$9)/('минимумы и максимумы'!Q$10-'минимумы и максимумы'!Q$9)*100)</f>
        <v>16.666666666666664</v>
      </c>
      <c r="T432">
        <f>IF('исходные данные'!T432&gt;'минимумы и максимумы'!R$10,100,('исходные данные'!T432-'минимумы и максимумы'!R$9)/('минимумы и максимумы'!R$10-'минимумы и максимумы'!R$9)*100)</f>
        <v>33.601841196777904</v>
      </c>
      <c r="U432">
        <f>IF('исходные данные'!U432&gt;'минимумы и максимумы'!S$10,100,('исходные данные'!U432-'минимумы и максимумы'!S$9)/('минимумы и максимумы'!S$10-'минимумы и максимумы'!S$9)*100)</f>
        <v>66.666666666666657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538B-9398-41F0-B0C6-19B5AD4CA34F}">
  <dimension ref="A1:U432"/>
  <sheetViews>
    <sheetView workbookViewId="0">
      <selection activeCell="V2" sqref="V2"/>
    </sheetView>
  </sheetViews>
  <sheetFormatPr defaultRowHeight="14.25" x14ac:dyDescent="0.45"/>
  <cols>
    <col min="2" max="2" width="15.3984375" customWidth="1"/>
    <col min="3" max="3" width="10" customWidth="1"/>
    <col min="5" max="5" width="13.06640625" customWidth="1"/>
    <col min="6" max="6" width="10.19921875" customWidth="1"/>
    <col min="7" max="7" width="13" customWidth="1"/>
    <col min="9" max="9" width="9.796875" customWidth="1"/>
    <col min="14" max="14" width="10.46484375" customWidth="1"/>
    <col min="15" max="15" width="10.33203125" customWidth="1"/>
    <col min="21" max="21" width="11.53125" customWidth="1"/>
  </cols>
  <sheetData>
    <row r="1" spans="1:21" x14ac:dyDescent="0.45">
      <c r="A1" s="4" t="s">
        <v>21</v>
      </c>
      <c r="B1" s="4" t="s">
        <v>22</v>
      </c>
      <c r="C1" s="4" t="s">
        <v>23</v>
      </c>
      <c r="D1" t="s">
        <v>0</v>
      </c>
      <c r="E1" t="s">
        <v>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9</v>
      </c>
      <c r="N1" t="s">
        <v>17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45">
      <c r="A2" s="4">
        <v>1</v>
      </c>
      <c r="B2" s="4">
        <v>0</v>
      </c>
      <c r="C2" s="4">
        <v>0</v>
      </c>
      <c r="D2" s="1">
        <f>IF('исходные данные'!D2&gt;'минимумы и максимумы'!B$3,100,('исходные данные'!D2-'минимумы и максимумы'!B$2)/('минимумы и максимумы'!B$3-'минимумы и максимумы'!B$2)*100)</f>
        <v>80</v>
      </c>
      <c r="E2" s="1">
        <f>IF('исходные данные'!E2&gt;'минимумы и максимумы'!C$3,100,('исходные данные'!E2-'минимумы и максимумы'!C$2)/('минимумы и максимумы'!C$3-'минимумы и максимумы'!C$2)*100)</f>
        <v>80</v>
      </c>
      <c r="F2" s="1">
        <f>IF('исходные данные'!F2&gt;'минимумы и максимумы'!D$3,100,('исходные данные'!F2-'минимумы и максимумы'!D$2)/('минимумы и максимумы'!D$3-'минимумы и максимумы'!D$2)*100)</f>
        <v>33.333333333333329</v>
      </c>
      <c r="G2" s="1">
        <f>IF('исходные данные'!G2&gt;'минимумы и максимумы'!E$3,100,('исходные данные'!G2-'минимумы и максимумы'!E$2)/('минимумы и максимумы'!E$3-'минимумы и максимумы'!E$2)*100)</f>
        <v>66.666666666666657</v>
      </c>
      <c r="H2" s="1">
        <f>IF('исходные данные'!H2&gt;'минимумы и максимумы'!F$3,100,('исходные данные'!H2-'минимумы и максимумы'!F$2)/('минимумы и максимумы'!F$3-'минимумы и максимумы'!F$2)*100)</f>
        <v>80</v>
      </c>
      <c r="I2" s="1">
        <f>IF('исходные данные'!I2&gt;'минимумы и максимумы'!G$3,100,('исходные данные'!I2-'минимумы и максимумы'!G$2)/('минимумы и максимумы'!G$3-'минимумы и максимумы'!G$2)*100)</f>
        <v>100</v>
      </c>
      <c r="J2" s="1">
        <f>IF('исходные данные'!J2&gt;'минимумы и максимумы'!H$3,100,('исходные данные'!J2-'минимумы и максимумы'!H$2)/('минимумы и максимумы'!H$3-'минимумы и максимумы'!H$2)*100)</f>
        <v>100</v>
      </c>
      <c r="K2" s="1">
        <f>IF('исходные данные'!K2&gt;'минимумы и максимумы'!I$3,100,('исходные данные'!K2-'минимумы и максимумы'!I$2)/('минимумы и максимумы'!I$3-'минимумы и максимумы'!I$2)*100)</f>
        <v>33.333333333333329</v>
      </c>
      <c r="L2" s="1">
        <f>IF('исходные данные'!L2&gt;'минимумы и максимумы'!J$3,100,('исходные данные'!L2-'минимумы и максимумы'!J$2)/('минимумы и максимумы'!J$3-'минимумы и максимумы'!J$2)*100)</f>
        <v>100</v>
      </c>
      <c r="M2" s="1">
        <f>IF('исходные данные'!M2&gt;'минимумы и максимумы'!K$3,100,('исходные данные'!M2-'минимумы и максимумы'!K$2)/('минимумы и максимумы'!K$3-'минимумы и максимумы'!K$2)*100)</f>
        <v>48.387096774193552</v>
      </c>
      <c r="N2" s="1">
        <f>IF('исходные данные'!N2&gt;'минимумы и максимумы'!L$3,100,('исходные данные'!N2-'минимумы и максимумы'!L$2)/('минимумы и максимумы'!L$3-'минимумы и максимумы'!L$2)*100)</f>
        <v>13.290937888298563</v>
      </c>
      <c r="O2" s="1">
        <f>IF('исходные данные'!O2&gt;'минимумы и максимумы'!M$3,100,('исходные данные'!O2-'минимумы и максимумы'!M$2)/('минимумы и максимумы'!M$3-'минимумы и максимумы'!M$2)*100)</f>
        <v>33.333333333333329</v>
      </c>
      <c r="P2" s="1">
        <f>IF('исходные данные'!P2&gt;'минимумы и максимумы'!N$3,100,('исходные данные'!P2-'минимумы и максимумы'!N$2)/('минимумы и максимумы'!N$3-'минимумы и максимумы'!N$2)*100)</f>
        <v>100</v>
      </c>
      <c r="Q2" s="1">
        <f>IF('исходные данные'!Q2&gt;'минимумы и максимумы'!O$3,100,('исходные данные'!Q2-'минимумы и максимумы'!O$2)/('минимумы и максимумы'!O$3-'минимумы и максимумы'!O$2)*100)</f>
        <v>100</v>
      </c>
      <c r="R2" s="1">
        <f>IF('исходные данные'!R2&gt;'минимумы и максимумы'!P$3,100,('исходные данные'!R2-'минимумы и максимумы'!P$2)/('минимумы и максимумы'!P$3-'минимумы и максимумы'!P$2)*100)</f>
        <v>75</v>
      </c>
      <c r="S2" s="1">
        <f>IF('исходные данные'!S2&gt;'минимумы и максимумы'!Q$3,100,('исходные данные'!S2-'минимумы и максимумы'!Q$2)/('минимумы и максимумы'!Q$3-'минимумы и максимумы'!Q$2)*100)</f>
        <v>50</v>
      </c>
      <c r="T2" s="1">
        <f>IF('исходные данные'!T2&gt;'минимумы и максимумы'!R$3,100,('исходные данные'!T2-'минимумы и максимумы'!R$2)/('минимумы и максимумы'!R$3-'минимумы и максимумы'!R$2)*100)</f>
        <v>49.890013198416192</v>
      </c>
      <c r="U2" s="1">
        <f>IF('исходные данные'!U2&gt;'минимумы и максимумы'!S$3,100,('исходные данные'!U2-'минимумы и максимумы'!S$2)/('минимумы и максимумы'!S$3-'минимумы и максимумы'!S$2)*100)</f>
        <v>100</v>
      </c>
    </row>
    <row r="3" spans="1:21" x14ac:dyDescent="0.45">
      <c r="A3" s="4">
        <v>2</v>
      </c>
      <c r="B3" s="4">
        <v>0</v>
      </c>
      <c r="C3" s="4">
        <v>0</v>
      </c>
      <c r="D3" s="1">
        <f>IF('исходные данные'!D3&gt;'минимумы и максимумы'!B$3,100,('исходные данные'!D3-'минимумы и максимумы'!B$2)/('минимумы и максимумы'!B$3-'минимумы и максимумы'!B$2)*100)</f>
        <v>0</v>
      </c>
      <c r="E3" s="1">
        <f>IF('исходные данные'!E3&gt;'минимумы и максимумы'!C$3,100,('исходные данные'!E3-'минимумы и максимумы'!C$2)/('минимумы и максимумы'!C$3-'минимумы и максимумы'!C$2)*100)</f>
        <v>0</v>
      </c>
      <c r="F3" s="1">
        <f>IF('исходные данные'!F3&gt;'минимумы и максимумы'!D$3,100,('исходные данные'!F3-'минимумы и максимумы'!D$2)/('минимумы и максимумы'!D$3-'минимумы и максимумы'!D$2)*100)</f>
        <v>0</v>
      </c>
      <c r="G3" s="1">
        <f>IF('исходные данные'!G3&gt;'минимумы и максимумы'!E$3,100,('исходные данные'!G3-'минимумы и максимумы'!E$2)/('минимумы и максимумы'!E$3-'минимумы и максимумы'!E$2)*100)</f>
        <v>0</v>
      </c>
      <c r="H3" s="1">
        <f>IF('исходные данные'!H3&gt;'минимумы и максимумы'!F$3,100,('исходные данные'!H3-'минимумы и максимумы'!F$2)/('минимумы и максимумы'!F$3-'минимумы и максимумы'!F$2)*100)</f>
        <v>0</v>
      </c>
      <c r="I3" s="1">
        <f>IF('исходные данные'!I3&gt;'минимумы и максимумы'!G$3,100,('исходные данные'!I3-'минимумы и максимумы'!G$2)/('минимумы и максимумы'!G$3-'минимумы и максимумы'!G$2)*100)</f>
        <v>1.8867924528301887</v>
      </c>
      <c r="J3" s="1">
        <f>IF('исходные данные'!J3&gt;'минимумы и максимумы'!H$3,100,('исходные данные'!J3-'минимумы и максимумы'!H$2)/('минимумы и максимумы'!H$3-'минимумы и максимумы'!H$2)*100)</f>
        <v>0</v>
      </c>
      <c r="K3" s="1">
        <f>IF('исходные данные'!K3&gt;'минимумы и максимумы'!I$3,100,('исходные данные'!K3-'минимумы и максимумы'!I$2)/('минимумы и максимумы'!I$3-'минимумы и максимумы'!I$2)*100)</f>
        <v>5.5555555555555554</v>
      </c>
      <c r="L3" s="1">
        <f>IF('исходные данные'!L3&gt;'минимумы и максимумы'!J$3,100,('исходные данные'!L3-'минимумы и максимумы'!J$2)/('минимумы и максимумы'!J$3-'минимумы и максимумы'!J$2)*100)</f>
        <v>0</v>
      </c>
      <c r="M3" s="1">
        <f>IF('исходные данные'!M3&gt;'минимумы и максимумы'!K$3,100,('исходные данные'!M3-'минимумы и максимумы'!K$2)/('минимумы и максимумы'!K$3-'минимумы и максимумы'!K$2)*100)</f>
        <v>3.225806451612903</v>
      </c>
      <c r="N3" s="1">
        <f>IF('исходные данные'!N3&gt;'минимумы и максимумы'!L$3,100,('исходные данные'!N3-'минимумы и максимумы'!L$2)/('минимумы и максимумы'!L$3-'минимумы и максимумы'!L$2)*100)</f>
        <v>18.089781861345379</v>
      </c>
      <c r="O3" s="1">
        <f>IF('исходные данные'!O3&gt;'минимумы и максимумы'!M$3,100,('исходные данные'!O3-'минимумы и максимумы'!M$2)/('минимумы и максимумы'!M$3-'минимумы и максимумы'!M$2)*100)</f>
        <v>0</v>
      </c>
      <c r="P3" s="1">
        <f>IF('исходные данные'!P3&gt;'минимумы и максимумы'!N$3,100,('исходные данные'!P3-'минимумы и максимумы'!N$2)/('минимумы и максимумы'!N$3-'минимумы и максимумы'!N$2)*100)</f>
        <v>100</v>
      </c>
      <c r="Q3" s="1">
        <f>IF('исходные данные'!Q3&gt;'минимумы и максимумы'!O$3,100,('исходные данные'!Q3-'минимумы и максимумы'!O$2)/('минимумы и максимумы'!O$3-'минимумы и максимумы'!O$2)*100)</f>
        <v>0</v>
      </c>
      <c r="R3" s="1">
        <f>IF('исходные данные'!R3&gt;'минимумы и максимумы'!P$3,100,('исходные данные'!R3-'минимумы и максимумы'!P$2)/('минимумы и максимумы'!P$3-'минимумы и максимумы'!P$2)*100)</f>
        <v>25</v>
      </c>
      <c r="S3" s="1">
        <f>IF('исходные данные'!S3&gt;'минимумы и максимумы'!Q$3,100,('исходные данные'!S3-'минимумы и максимумы'!Q$2)/('минимумы и максимумы'!Q$3-'минимумы и максимумы'!Q$2)*100)</f>
        <v>33.333333333333329</v>
      </c>
      <c r="T3" s="1">
        <f>IF('исходные данные'!T3&gt;'минимумы и максимумы'!R$3,100,('исходные данные'!T3-'минимумы и максимумы'!R$2)/('минимумы и максимумы'!R$3-'минимумы и максимумы'!R$2)*100)</f>
        <v>100</v>
      </c>
      <c r="U3" s="1">
        <f>IF('исходные данные'!U3&gt;'минимумы и максимумы'!S$3,100,('исходные данные'!U3-'минимумы и максимумы'!S$2)/('минимумы и максимумы'!S$3-'минимумы и максимумы'!S$2)*100)</f>
        <v>33.333333333333329</v>
      </c>
    </row>
    <row r="4" spans="1:21" x14ac:dyDescent="0.45">
      <c r="A4" s="4">
        <v>3</v>
      </c>
      <c r="B4" s="4">
        <v>0</v>
      </c>
      <c r="C4" s="4">
        <v>0</v>
      </c>
      <c r="D4" s="1">
        <f>IF('исходные данные'!D4&gt;'минимумы и максимумы'!B$3,100,('исходные данные'!D4-'минимумы и максимумы'!B$2)/('минимумы и максимумы'!B$3-'минимумы и максимумы'!B$2)*100)</f>
        <v>80</v>
      </c>
      <c r="E4" s="1">
        <f>IF('исходные данные'!E4&gt;'минимумы и максимумы'!C$3,100,('исходные данные'!E4-'минимумы и максимумы'!C$2)/('минимумы и максимумы'!C$3-'минимумы и максимумы'!C$2)*100)</f>
        <v>40</v>
      </c>
      <c r="F4" s="1">
        <f>IF('исходные данные'!F4&gt;'минимумы и максимумы'!D$3,100,('исходные данные'!F4-'минимумы и максимумы'!D$2)/('минимумы и максимумы'!D$3-'минимумы и максимумы'!D$2)*100)</f>
        <v>0</v>
      </c>
      <c r="G4" s="1">
        <f>IF('исходные данные'!G4&gt;'минимумы и максимумы'!E$3,100,('исходные данные'!G4-'минимумы и максимумы'!E$2)/('минимумы и максимумы'!E$3-'минимумы и максимумы'!E$2)*100)</f>
        <v>37.5</v>
      </c>
      <c r="H4" s="1">
        <f>IF('исходные данные'!H4&gt;'минимумы и максимумы'!F$3,100,('исходные данные'!H4-'минимумы и максимумы'!F$2)/('минимумы и максимумы'!F$3-'минимумы и максимумы'!F$2)*100)</f>
        <v>36</v>
      </c>
      <c r="I4" s="1">
        <f>IF('исходные данные'!I4&gt;'минимумы и максимумы'!G$3,100,('исходные данные'!I4-'минимумы и максимумы'!G$2)/('минимумы и максимумы'!G$3-'минимумы и максимумы'!G$2)*100)</f>
        <v>100</v>
      </c>
      <c r="J4" s="1">
        <f>IF('исходные данные'!J4&gt;'минимумы и максимумы'!H$3,100,('исходные данные'!J4-'минимумы и максимумы'!H$2)/('минимумы и максимумы'!H$3-'минимумы и максимумы'!H$2)*100)</f>
        <v>80</v>
      </c>
      <c r="K4" s="1">
        <f>IF('исходные данные'!K4&gt;'минимумы и максимумы'!I$3,100,('исходные данные'!K4-'минимумы и максимумы'!I$2)/('минимумы и максимумы'!I$3-'минимумы и максимумы'!I$2)*100)</f>
        <v>27.777777777777779</v>
      </c>
      <c r="L4" s="1">
        <f>IF('исходные данные'!L4&gt;'минимумы и максимумы'!J$3,100,('исходные данные'!L4-'минимумы и максимумы'!J$2)/('минимумы и максимумы'!J$3-'минимумы и максимумы'!J$2)*100)</f>
        <v>40</v>
      </c>
      <c r="M4" s="1">
        <f>IF('исходные данные'!M4&gt;'минимумы и максимумы'!K$3,100,('исходные данные'!M4-'минимумы и максимумы'!K$2)/('минимумы и максимумы'!K$3-'минимумы и максимумы'!K$2)*100)</f>
        <v>38.70967741935484</v>
      </c>
      <c r="N4" s="1">
        <f>IF('исходные данные'!N4&gt;'минимумы и максимумы'!L$3,100,('исходные данные'!N4-'минимумы и максимумы'!L$2)/('минимумы и максимумы'!L$3-'минимумы и максимумы'!L$2)*100)</f>
        <v>8.9853886751778074</v>
      </c>
      <c r="O4" s="1">
        <f>IF('исходные данные'!O4&gt;'минимумы и максимумы'!M$3,100,('исходные данные'!O4-'минимумы и максимумы'!M$2)/('минимумы и максимумы'!M$3-'минимумы и максимумы'!M$2)*100)</f>
        <v>0</v>
      </c>
      <c r="P4" s="1">
        <f>IF('исходные данные'!P4&gt;'минимумы и максимумы'!N$3,100,('исходные данные'!P4-'минимумы и максимумы'!N$2)/('минимумы и максимумы'!N$3-'минимумы и максимумы'!N$2)*100)</f>
        <v>0</v>
      </c>
      <c r="Q4" s="1">
        <f>IF('исходные данные'!Q4&gt;'минимумы и максимумы'!O$3,100,('исходные данные'!Q4-'минимумы и максимумы'!O$2)/('минимумы и максимумы'!O$3-'минимумы и максимумы'!O$2)*100)</f>
        <v>100</v>
      </c>
      <c r="R4" s="1">
        <f>IF('исходные данные'!R4&gt;'минимумы и максимумы'!P$3,100,('исходные данные'!R4-'минимумы и максимумы'!P$2)/('минимумы и максимумы'!P$3-'минимумы и максимумы'!P$2)*100)</f>
        <v>75</v>
      </c>
      <c r="S4" s="1">
        <f>IF('исходные данные'!S4&gt;'минимумы и максимумы'!Q$3,100,('исходные данные'!S4-'минимумы и максимумы'!Q$2)/('минимумы и максимумы'!Q$3-'минимумы и максимумы'!Q$2)*100)</f>
        <v>33.333333333333329</v>
      </c>
      <c r="T4" s="1">
        <f>IF('исходные данные'!T4&gt;'минимумы и максимумы'!R$3,100,('исходные данные'!T4-'минимумы и максимумы'!R$2)/('минимумы и максимумы'!R$3-'минимумы и максимумы'!R$2)*100)</f>
        <v>8.3150021997360302</v>
      </c>
      <c r="U4" s="1">
        <f>IF('исходные данные'!U4&gt;'минимумы и максимумы'!S$3,100,('исходные данные'!U4-'минимумы и максимумы'!S$2)/('минимумы и максимумы'!S$3-'минимумы и максимумы'!S$2)*100)</f>
        <v>33.333333333333329</v>
      </c>
    </row>
    <row r="5" spans="1:21" x14ac:dyDescent="0.45">
      <c r="A5" s="4">
        <v>5</v>
      </c>
      <c r="B5" s="4">
        <v>0</v>
      </c>
      <c r="C5" s="4">
        <v>0</v>
      </c>
      <c r="D5" s="1">
        <f>IF('исходные данные'!D5&gt;'минимумы и максимумы'!B$3,100,('исходные данные'!D5-'минимумы и максимумы'!B$2)/('минимумы и максимумы'!B$3-'минимумы и максимумы'!B$2)*100)</f>
        <v>40</v>
      </c>
      <c r="E5" s="1">
        <f>IF('исходные данные'!E5&gt;'минимумы и максимумы'!C$3,100,('исходные данные'!E5-'минимумы и максимумы'!C$2)/('минимумы и максимумы'!C$3-'минимумы и максимумы'!C$2)*100)</f>
        <v>70</v>
      </c>
      <c r="F5" s="1">
        <f>IF('исходные данные'!F5&gt;'минимумы и максимумы'!D$3,100,('исходные данные'!F5-'минимумы и максимумы'!D$2)/('минимумы и максимумы'!D$3-'минимумы и максимумы'!D$2)*100)</f>
        <v>0</v>
      </c>
      <c r="G5" s="1">
        <f>IF('исходные данные'!G5&gt;'минимумы и максимумы'!E$3,100,('исходные данные'!G5-'минимумы и максимумы'!E$2)/('минимумы и максимумы'!E$3-'минимумы и максимумы'!E$2)*100)</f>
        <v>25</v>
      </c>
      <c r="H5" s="1">
        <f>IF('исходные данные'!H5&gt;'минимумы и максимумы'!F$3,100,('исходные данные'!H5-'минимумы и максимумы'!F$2)/('минимумы и максимумы'!F$3-'минимумы и максимумы'!F$2)*100)</f>
        <v>20</v>
      </c>
      <c r="I5" s="1">
        <f>IF('исходные данные'!I5&gt;'минимумы и максимумы'!G$3,100,('исходные данные'!I5-'минимумы и максимумы'!G$2)/('минимумы и максимумы'!G$3-'минимумы и максимумы'!G$2)*100)</f>
        <v>100</v>
      </c>
      <c r="J5" s="1">
        <f>IF('исходные данные'!J5&gt;'минимумы и максимумы'!H$3,100,('исходные данные'!J5-'минимумы и максимумы'!H$2)/('минимумы и максимумы'!H$3-'минимумы и максимумы'!H$2)*100)</f>
        <v>46.666666666666664</v>
      </c>
      <c r="K5" s="1">
        <f>IF('исходные данные'!K5&gt;'минимумы и максимумы'!I$3,100,('исходные данные'!K5-'минимумы и максимумы'!I$2)/('минимумы и максимумы'!I$3-'минимумы и максимумы'!I$2)*100)</f>
        <v>5.5555555555555554</v>
      </c>
      <c r="L5" s="1">
        <f>IF('исходные данные'!L5&gt;'минимумы и максимумы'!J$3,100,('исходные данные'!L5-'минимумы и максимумы'!J$2)/('минимумы и максимумы'!J$3-'минимумы и максимумы'!J$2)*100)</f>
        <v>60</v>
      </c>
      <c r="M5" s="1">
        <f>IF('исходные данные'!M5&gt;'минимумы и максимумы'!K$3,100,('исходные данные'!M5-'минимумы и максимумы'!K$2)/('минимумы и максимумы'!K$3-'минимумы и максимумы'!K$2)*100)</f>
        <v>29.032258064516132</v>
      </c>
      <c r="N5" s="1">
        <f>IF('исходные данные'!N5&gt;'минимумы и максимумы'!L$3,100,('исходные данные'!N5-'минимумы и максимумы'!L$2)/('минимумы и максимумы'!L$3-'минимумы и максимумы'!L$2)*100)</f>
        <v>9.461206767672719</v>
      </c>
      <c r="O5" s="1">
        <f>IF('исходные данные'!O5&gt;'минимумы и максимумы'!M$3,100,('исходные данные'!O5-'минимумы и максимумы'!M$2)/('минимумы и максимумы'!M$3-'минимумы и максимумы'!M$2)*100)</f>
        <v>66.666666666666657</v>
      </c>
      <c r="P5" s="1">
        <f>IF('исходные данные'!P5&gt;'минимумы и максимумы'!N$3,100,('исходные данные'!P5-'минимумы и максимумы'!N$2)/('минимумы и максимумы'!N$3-'минимумы и максимумы'!N$2)*100)</f>
        <v>100</v>
      </c>
      <c r="Q5" s="1">
        <f>IF('исходные данные'!Q5&gt;'минимумы и максимумы'!O$3,100,('исходные данные'!Q5-'минимумы и максимумы'!O$2)/('минимумы и максимумы'!O$3-'минимумы и максимумы'!O$2)*100)</f>
        <v>100</v>
      </c>
      <c r="R5" s="1">
        <f>IF('исходные данные'!R5&gt;'минимумы и максимумы'!P$3,100,('исходные данные'!R5-'минимумы и максимумы'!P$2)/('минимумы и максимумы'!P$3-'минимумы и максимумы'!P$2)*100)</f>
        <v>75</v>
      </c>
      <c r="S5" s="1">
        <f>IF('исходные данные'!S5&gt;'минимумы и максимумы'!Q$3,100,('исходные данные'!S5-'минимумы и максимумы'!Q$2)/('минимумы и максимумы'!Q$3-'минимумы и максимумы'!Q$2)*100)</f>
        <v>50</v>
      </c>
      <c r="T5" s="1">
        <f>IF('исходные данные'!T5&gt;'минимумы и максимумы'!R$3,100,('исходные данные'!T5-'минимумы и максимумы'!R$2)/('минимумы и максимумы'!R$3-'минимумы и максимумы'!R$2)*100)</f>
        <v>28.376594808622968</v>
      </c>
      <c r="U5" s="1">
        <f>IF('исходные данные'!U5&gt;'минимумы и максимумы'!S$3,100,('исходные данные'!U5-'минимумы и максимумы'!S$2)/('минимумы и максимумы'!S$3-'минимумы и максимумы'!S$2)*100)</f>
        <v>66.666666666666657</v>
      </c>
    </row>
    <row r="6" spans="1:21" x14ac:dyDescent="0.45">
      <c r="A6" s="4">
        <v>6</v>
      </c>
      <c r="B6" s="4">
        <v>0</v>
      </c>
      <c r="C6" s="4">
        <v>0</v>
      </c>
      <c r="D6" s="1">
        <f>IF('исходные данные'!D6&gt;'минимумы и максимумы'!B$3,100,('исходные данные'!D6-'минимумы и максимумы'!B$2)/('минимумы и максимумы'!B$3-'минимумы и максимумы'!B$2)*100)</f>
        <v>80</v>
      </c>
      <c r="E6" s="1">
        <f>IF('исходные данные'!E6&gt;'минимумы и максимумы'!C$3,100,('исходные данные'!E6-'минимумы и максимумы'!C$2)/('минимумы и максимумы'!C$3-'минимумы и максимумы'!C$2)*100)</f>
        <v>60</v>
      </c>
      <c r="F6" s="1">
        <f>IF('исходные данные'!F6&gt;'минимумы и максимумы'!D$3,100,('исходные данные'!F6-'минимумы и максимумы'!D$2)/('минимумы и максимумы'!D$3-'минимумы и максимумы'!D$2)*100)</f>
        <v>0</v>
      </c>
      <c r="G6" s="1">
        <f>IF('исходные данные'!G6&gt;'минимумы и максимумы'!E$3,100,('исходные данные'!G6-'минимумы и максимумы'!E$2)/('минимумы и максимумы'!E$3-'минимумы и максимумы'!E$2)*100)</f>
        <v>20.833333333333336</v>
      </c>
      <c r="H6" s="1">
        <f>IF('исходные данные'!H6&gt;'минимумы и максимумы'!F$3,100,('исходные данные'!H6-'минимумы и максимумы'!F$2)/('минимумы и максимумы'!F$3-'минимумы и максимумы'!F$2)*100)</f>
        <v>20</v>
      </c>
      <c r="I6" s="1">
        <f>IF('исходные данные'!I6&gt;'минимумы и максимумы'!G$3,100,('исходные данные'!I6-'минимумы и максимумы'!G$2)/('минимумы и максимумы'!G$3-'минимумы и максимумы'!G$2)*100)</f>
        <v>100</v>
      </c>
      <c r="J6" s="1">
        <f>IF('исходные данные'!J6&gt;'минимумы и максимумы'!H$3,100,('исходные данные'!J6-'минимумы и максимумы'!H$2)/('минимумы и максимумы'!H$3-'минимумы и максимумы'!H$2)*100)</f>
        <v>60</v>
      </c>
      <c r="K6" s="1">
        <f>IF('исходные данные'!K6&gt;'минимумы и максимумы'!I$3,100,('исходные данные'!K6-'минимумы и максимумы'!I$2)/('минимумы и максимумы'!I$3-'минимумы и максимумы'!I$2)*100)</f>
        <v>5.5555555555555554</v>
      </c>
      <c r="L6" s="1">
        <f>IF('исходные данные'!L6&gt;'минимумы и максимумы'!J$3,100,('исходные данные'!L6-'минимумы и максимумы'!J$2)/('минимумы и максимумы'!J$3-'минимумы и максимумы'!J$2)*100)</f>
        <v>60</v>
      </c>
      <c r="M6" s="1">
        <f>IF('исходные данные'!M6&gt;'минимумы и максимумы'!K$3,100,('исходные данные'!M6-'минимумы и максимумы'!K$2)/('минимумы и максимумы'!K$3-'минимумы и максимумы'!K$2)*100)</f>
        <v>29.032258064516132</v>
      </c>
      <c r="N6" s="1">
        <f>IF('исходные данные'!N6&gt;'минимумы и максимумы'!L$3,100,('исходные данные'!N6-'минимумы и максимумы'!L$2)/('минимумы и максимумы'!L$3-'минимумы и максимумы'!L$2)*100)</f>
        <v>9.7329038537042472</v>
      </c>
      <c r="O6" s="1">
        <f>IF('исходные данные'!O6&gt;'минимумы и максимумы'!M$3,100,('исходные данные'!O6-'минимумы и максимумы'!M$2)/('минимумы и максимумы'!M$3-'минимумы и максимумы'!M$2)*100)</f>
        <v>100</v>
      </c>
      <c r="P6" s="1">
        <f>IF('исходные данные'!P6&gt;'минимумы и максимумы'!N$3,100,('исходные данные'!P6-'минимумы и максимумы'!N$2)/('минимумы и максимумы'!N$3-'минимумы и максимумы'!N$2)*100)</f>
        <v>100</v>
      </c>
      <c r="Q6" s="1">
        <f>IF('исходные данные'!Q6&gt;'минимумы и максимумы'!O$3,100,('исходные данные'!Q6-'минимумы и максимумы'!O$2)/('минимумы и максимумы'!O$3-'минимумы и максимумы'!O$2)*100)</f>
        <v>100</v>
      </c>
      <c r="R6" s="1">
        <f>IF('исходные данные'!R6&gt;'минимумы и максимумы'!P$3,100,('исходные данные'!R6-'минимумы и максимумы'!P$2)/('минимумы и максимумы'!P$3-'минимумы и максимумы'!P$2)*100)</f>
        <v>100</v>
      </c>
      <c r="S6" s="1">
        <f>IF('исходные данные'!S6&gt;'минимумы и максимумы'!Q$3,100,('исходные данные'!S6-'минимумы и максимумы'!Q$2)/('минимумы и максимумы'!Q$3-'минимумы и максимумы'!Q$2)*100)</f>
        <v>33.333333333333329</v>
      </c>
      <c r="T6" s="1">
        <f>IF('исходные данные'!T6&gt;'минимумы и максимумы'!R$3,100,('исходные данные'!T6-'минимумы и максимумы'!R$2)/('минимумы и максимумы'!R$3-'минимумы и максимумы'!R$2)*100)</f>
        <v>56.841179058512978</v>
      </c>
      <c r="U6" s="1">
        <f>IF('исходные данные'!U6&gt;'минимумы и максимумы'!S$3,100,('исходные данные'!U6-'минимумы и максимумы'!S$2)/('минимумы и максимумы'!S$3-'минимумы и максимумы'!S$2)*100)</f>
        <v>100</v>
      </c>
    </row>
    <row r="7" spans="1:21" x14ac:dyDescent="0.45">
      <c r="A7" s="4">
        <v>7</v>
      </c>
      <c r="B7" s="4">
        <v>0</v>
      </c>
      <c r="C7" s="4">
        <v>0</v>
      </c>
      <c r="D7" s="1">
        <f>IF('исходные данные'!D7&gt;'минимумы и максимумы'!B$3,100,('исходные данные'!D7-'минимумы и максимумы'!B$2)/('минимумы и максимумы'!B$3-'минимумы и максимумы'!B$2)*100)</f>
        <v>80</v>
      </c>
      <c r="E7" s="1">
        <f>IF('исходные данные'!E7&gt;'минимумы и максимумы'!C$3,100,('исходные данные'!E7-'минимумы и максимумы'!C$2)/('минимумы и максимумы'!C$3-'минимумы и максимумы'!C$2)*100)</f>
        <v>60</v>
      </c>
      <c r="F7" s="1">
        <f>IF('исходные данные'!F7&gt;'минимумы и максимумы'!D$3,100,('исходные данные'!F7-'минимумы и максимумы'!D$2)/('минимумы и максимумы'!D$3-'минимумы и максимумы'!D$2)*100)</f>
        <v>0</v>
      </c>
      <c r="G7" s="1">
        <f>IF('исходные данные'!G7&gt;'минимумы и максимумы'!E$3,100,('исходные данные'!G7-'минимумы и максимумы'!E$2)/('минимумы и максимумы'!E$3-'минимумы и максимумы'!E$2)*100)</f>
        <v>29.166666666666668</v>
      </c>
      <c r="H7" s="1">
        <f>IF('исходные данные'!H7&gt;'минимумы и максимумы'!F$3,100,('исходные данные'!H7-'минимумы и максимумы'!F$2)/('минимумы и максимумы'!F$3-'минимумы и максимумы'!F$2)*100)</f>
        <v>36</v>
      </c>
      <c r="I7" s="1">
        <f>IF('исходные данные'!I7&gt;'минимумы и максимумы'!G$3,100,('исходные данные'!I7-'минимумы и максимумы'!G$2)/('минимумы и максимумы'!G$3-'минимумы и максимумы'!G$2)*100)</f>
        <v>100</v>
      </c>
      <c r="J7" s="1">
        <f>IF('исходные данные'!J7&gt;'минимумы и максимумы'!H$3,100,('исходные данные'!J7-'минимумы и максимумы'!H$2)/('минимумы и максимумы'!H$3-'минимумы и максимумы'!H$2)*100)</f>
        <v>86.666666666666671</v>
      </c>
      <c r="K7" s="1">
        <f>IF('исходные данные'!K7&gt;'минимумы и максимумы'!I$3,100,('исходные данные'!K7-'минимумы и максимумы'!I$2)/('минимумы и максимумы'!I$3-'минимумы и максимумы'!I$2)*100)</f>
        <v>22.222222222222221</v>
      </c>
      <c r="L7" s="1">
        <f>IF('исходные данные'!L7&gt;'минимумы и максимумы'!J$3,100,('исходные данные'!L7-'минимумы и максимумы'!J$2)/('минимумы и максимумы'!J$3-'минимумы и максимумы'!J$2)*100)</f>
        <v>60</v>
      </c>
      <c r="M7" s="1">
        <f>IF('исходные данные'!M7&gt;'минимумы и максимумы'!K$3,100,('исходные данные'!M7-'минимумы и максимумы'!K$2)/('минимумы и максимумы'!K$3-'минимумы и максимумы'!K$2)*100)</f>
        <v>25.806451612903224</v>
      </c>
      <c r="N7" s="1">
        <f>IF('исходные данные'!N7&gt;'минимумы и максимумы'!L$3,100,('исходные данные'!N7-'минимумы и максимумы'!L$2)/('минимумы и максимумы'!L$3-'минимумы и максимумы'!L$2)*100)</f>
        <v>10.591467184521047</v>
      </c>
      <c r="O7" s="1">
        <f>IF('исходные данные'!O7&gt;'минимумы и максимумы'!M$3,100,('исходные данные'!O7-'минимумы и максимумы'!M$2)/('минимумы и максимумы'!M$3-'минимумы и максимумы'!M$2)*100)</f>
        <v>33.333333333333329</v>
      </c>
      <c r="P7" s="1">
        <f>IF('исходные данные'!P7&gt;'минимумы и максимумы'!N$3,100,('исходные данные'!P7-'минимумы и максимумы'!N$2)/('минимумы и максимумы'!N$3-'минимумы и максимумы'!N$2)*100)</f>
        <v>0</v>
      </c>
      <c r="Q7" s="1">
        <f>IF('исходные данные'!Q7&gt;'минимумы и максимумы'!O$3,100,('исходные данные'!Q7-'минимумы и максимумы'!O$2)/('минимумы и максимумы'!O$3-'минимумы и максимумы'!O$2)*100)</f>
        <v>100</v>
      </c>
      <c r="R7" s="1">
        <f>IF('исходные данные'!R7&gt;'минимумы и максимумы'!P$3,100,('исходные данные'!R7-'минимумы и максимумы'!P$2)/('минимумы и максимумы'!P$3-'минимумы и максимумы'!P$2)*100)</f>
        <v>100</v>
      </c>
      <c r="S7" s="1">
        <f>IF('исходные данные'!S7&gt;'минимумы и максимумы'!Q$3,100,('исходные данные'!S7-'минимумы и максимумы'!Q$2)/('минимумы и максимумы'!Q$3-'минимумы и максимумы'!Q$2)*100)</f>
        <v>33.333333333333329</v>
      </c>
      <c r="T7" s="1">
        <f>IF('исходные данные'!T7&gt;'минимумы и максимумы'!R$3,100,('исходные данные'!T7-'минимумы и максимумы'!R$2)/('минимумы и максимумы'!R$3-'минимумы и максимумы'!R$2)*100)</f>
        <v>40.211174659040914</v>
      </c>
      <c r="U7" s="1">
        <f>IF('исходные данные'!U7&gt;'минимумы и максимумы'!S$3,100,('исходные данные'!U7-'минимумы и максимумы'!S$2)/('минимумы и максимумы'!S$3-'минимумы и максимумы'!S$2)*100)</f>
        <v>100</v>
      </c>
    </row>
    <row r="8" spans="1:21" x14ac:dyDescent="0.45">
      <c r="A8" s="4">
        <v>17</v>
      </c>
      <c r="B8" s="4">
        <v>0</v>
      </c>
      <c r="C8" s="4">
        <v>0</v>
      </c>
      <c r="D8" s="1">
        <f>IF('исходные данные'!D8&gt;'минимумы и максимумы'!B$3,100,('исходные данные'!D8-'минимумы и максимумы'!B$2)/('минимумы и максимумы'!B$3-'минимумы и максимумы'!B$2)*100)</f>
        <v>0</v>
      </c>
      <c r="E8" s="1">
        <f>IF('исходные данные'!E8&gt;'минимумы и максимумы'!C$3,100,('исходные данные'!E8-'минимумы и максимумы'!C$2)/('минимумы и максимумы'!C$3-'минимумы и максимумы'!C$2)*100)</f>
        <v>0</v>
      </c>
      <c r="F8" s="1">
        <f>IF('исходные данные'!F8&gt;'минимумы и максимумы'!D$3,100,('исходные данные'!F8-'минимумы и максимумы'!D$2)/('минимумы и максимумы'!D$3-'минимумы и максимумы'!D$2)*100)</f>
        <v>0</v>
      </c>
      <c r="G8" s="1">
        <f>IF('исходные данные'!G8&gt;'минимумы и максимумы'!E$3,100,('исходные данные'!G8-'минимумы и максимумы'!E$2)/('минимумы и максимумы'!E$3-'минимумы и максимумы'!E$2)*100)</f>
        <v>12.5</v>
      </c>
      <c r="H8" s="1">
        <f>IF('исходные данные'!H8&gt;'минимумы и максимумы'!F$3,100,('исходные данные'!H8-'минимумы и максимумы'!F$2)/('минимумы и максимумы'!F$3-'минимумы и максимумы'!F$2)*100)</f>
        <v>8</v>
      </c>
      <c r="I8" s="1">
        <f>IF('исходные данные'!I8&gt;'минимумы и максимумы'!G$3,100,('исходные данные'!I8-'минимумы и максимумы'!G$2)/('минимумы и максимумы'!G$3-'минимумы и максимумы'!G$2)*100)</f>
        <v>67.924528301886795</v>
      </c>
      <c r="J8" s="1">
        <f>IF('исходные данные'!J8&gt;'минимумы и максимумы'!H$3,100,('исходные данные'!J8-'минимумы и максимумы'!H$2)/('минимумы и максимумы'!H$3-'минимумы и максимумы'!H$2)*100)</f>
        <v>6.666666666666667</v>
      </c>
      <c r="K8" s="1">
        <f>IF('исходные данные'!K8&gt;'минимумы и максимумы'!I$3,100,('исходные данные'!K8-'минимумы и максимумы'!I$2)/('минимумы и максимумы'!I$3-'минимумы и максимумы'!I$2)*100)</f>
        <v>0</v>
      </c>
      <c r="L8" s="1">
        <f>IF('исходные данные'!L8&gt;'минимумы и максимумы'!J$3,100,('исходные данные'!L8-'минимумы и максимумы'!J$2)/('минимумы и максимумы'!J$3-'минимумы и максимумы'!J$2)*100)</f>
        <v>0</v>
      </c>
      <c r="M8" s="1">
        <f>IF('исходные данные'!M8&gt;'минимумы и максимумы'!K$3,100,('исходные данные'!M8-'минимумы и максимумы'!K$2)/('минимумы и максимумы'!K$3-'минимумы и максимумы'!K$2)*100)</f>
        <v>22.58064516129032</v>
      </c>
      <c r="N8" s="1">
        <f>IF('исходные данные'!N8&gt;'минимумы и максимумы'!L$3,100,('исходные данные'!N8-'минимумы и максимумы'!L$2)/('минимумы и максимумы'!L$3-'минимумы и максимумы'!L$2)*100)</f>
        <v>24.152582138669441</v>
      </c>
      <c r="O8" s="1">
        <f>IF('исходные данные'!O8&gt;'минимумы и максимумы'!M$3,100,('исходные данные'!O8-'минимумы и максимумы'!M$2)/('минимумы и максимумы'!M$3-'минимумы и максимумы'!M$2)*100)</f>
        <v>66.666666666666657</v>
      </c>
      <c r="P8" s="1">
        <f>IF('исходные данные'!P8&gt;'минимумы и максимумы'!N$3,100,('исходные данные'!P8-'минимумы и максимумы'!N$2)/('минимумы и максимумы'!N$3-'минимумы и максимумы'!N$2)*100)</f>
        <v>0</v>
      </c>
      <c r="Q8" s="1">
        <f>IF('исходные данные'!Q8&gt;'минимумы и максимумы'!O$3,100,('исходные данные'!Q8-'минимумы и максимумы'!O$2)/('минимумы и максимумы'!O$3-'минимумы и максимумы'!O$2)*100)</f>
        <v>100</v>
      </c>
      <c r="R8" s="1">
        <f>IF('исходные данные'!R8&gt;'минимумы и максимумы'!P$3,100,('исходные данные'!R8-'минимумы и максимумы'!P$2)/('минимумы и максимумы'!P$3-'минимумы и максимумы'!P$2)*100)</f>
        <v>75</v>
      </c>
      <c r="S8" s="1">
        <f>IF('исходные данные'!S8&gt;'минимумы и максимумы'!Q$3,100,('исходные данные'!S8-'минимумы и максимумы'!Q$2)/('минимумы и максимумы'!Q$3-'минимумы и максимумы'!Q$2)*100)</f>
        <v>33.333333333333329</v>
      </c>
      <c r="T8" s="1">
        <f>IF('исходные данные'!T8&gt;'минимумы и максимумы'!R$3,100,('исходные данные'!T8-'минимумы и максимумы'!R$2)/('минимумы и максимумы'!R$3-'минимумы и максимумы'!R$2)*100)</f>
        <v>6.1152661680598328</v>
      </c>
      <c r="U8" s="1">
        <f>IF('исходные данные'!U8&gt;'минимумы и максимумы'!S$3,100,('исходные данные'!U8-'минимумы и максимумы'!S$2)/('минимумы и максимумы'!S$3-'минимумы и максимумы'!S$2)*100)</f>
        <v>0</v>
      </c>
    </row>
    <row r="9" spans="1:21" x14ac:dyDescent="0.45">
      <c r="A9" s="4">
        <v>20</v>
      </c>
      <c r="B9" s="4">
        <v>0</v>
      </c>
      <c r="C9" s="4">
        <v>0</v>
      </c>
      <c r="D9" s="1">
        <f>IF('исходные данные'!D9&gt;'минимумы и максимумы'!B$3,100,('исходные данные'!D9-'минимумы и максимумы'!B$2)/('минимумы и максимумы'!B$3-'минимумы и максимумы'!B$2)*100)</f>
        <v>20</v>
      </c>
      <c r="E9" s="1">
        <f>IF('исходные данные'!E9&gt;'минимумы и максимумы'!C$3,100,('исходные данные'!E9-'минимумы и максимумы'!C$2)/('минимумы и максимумы'!C$3-'минимумы и максимумы'!C$2)*100)</f>
        <v>10</v>
      </c>
      <c r="F9" s="1">
        <f>IF('исходные данные'!F9&gt;'минимумы и максимумы'!D$3,100,('исходные данные'!F9-'минимумы и максимумы'!D$2)/('минимумы и максимумы'!D$3-'минимумы и максимумы'!D$2)*100)</f>
        <v>33.333333333333329</v>
      </c>
      <c r="G9" s="1">
        <f>IF('исходные данные'!G9&gt;'минимумы и максимумы'!E$3,100,('исходные данные'!G9-'минимумы и максимумы'!E$2)/('минимумы и максимумы'!E$3-'минимумы и максимумы'!E$2)*100)</f>
        <v>37.5</v>
      </c>
      <c r="H9" s="1">
        <f>IF('исходные данные'!H9&gt;'минимумы и максимумы'!F$3,100,('исходные данные'!H9-'минимумы и максимумы'!F$2)/('минимумы и максимумы'!F$3-'минимумы и максимумы'!F$2)*100)</f>
        <v>32</v>
      </c>
      <c r="I9" s="1">
        <f>IF('исходные данные'!I9&gt;'минимумы и максимумы'!G$3,100,('исходные данные'!I9-'минимумы и максимумы'!G$2)/('минимумы и максимумы'!G$3-'минимумы и максимумы'!G$2)*100)</f>
        <v>35.849056603773583</v>
      </c>
      <c r="J9" s="1">
        <f>IF('исходные данные'!J9&gt;'минимумы и максимумы'!H$3,100,('исходные данные'!J9-'минимумы и максимумы'!H$2)/('минимумы и максимумы'!H$3-'минимумы и максимумы'!H$2)*100)</f>
        <v>60</v>
      </c>
      <c r="K9" s="1">
        <f>IF('исходные данные'!K9&gt;'минимумы и максимумы'!I$3,100,('исходные данные'!K9-'минимумы и максимумы'!I$2)/('минимумы и максимумы'!I$3-'минимумы и максимумы'!I$2)*100)</f>
        <v>72.222222222222214</v>
      </c>
      <c r="L9" s="1">
        <f>IF('исходные данные'!L9&gt;'минимумы и максимумы'!J$3,100,('исходные данные'!L9-'минимумы и максимумы'!J$2)/('минимумы и максимумы'!J$3-'минимумы и максимумы'!J$2)*100)</f>
        <v>60</v>
      </c>
      <c r="M9" s="1">
        <f>IF('исходные данные'!M9&gt;'минимумы и максимумы'!K$3,100,('исходные данные'!M9-'минимумы и максимумы'!K$2)/('минимумы и максимумы'!K$3-'минимумы и максимумы'!K$2)*100)</f>
        <v>51.612903225806448</v>
      </c>
      <c r="N9" s="1">
        <f>IF('исходные данные'!N9&gt;'минимумы и максимумы'!L$3,100,('исходные данные'!N9-'минимумы и максимумы'!L$2)/('минимумы и максимумы'!L$3-'минимумы и максимумы'!L$2)*100)</f>
        <v>18.726008209733269</v>
      </c>
      <c r="O9" s="1">
        <f>IF('исходные данные'!O9&gt;'минимумы и максимумы'!M$3,100,('исходные данные'!O9-'минимумы и максимумы'!M$2)/('минимумы и максимумы'!M$3-'минимумы и максимумы'!M$2)*100)</f>
        <v>33.333333333333329</v>
      </c>
      <c r="P9" s="1">
        <f>IF('исходные данные'!P9&gt;'минимумы и максимумы'!N$3,100,('исходные данные'!P9-'минимумы и максимумы'!N$2)/('минимумы и максимумы'!N$3-'минимумы и максимумы'!N$2)*100)</f>
        <v>100</v>
      </c>
      <c r="Q9" s="1">
        <f>IF('исходные данные'!Q9&gt;'минимумы и максимумы'!O$3,100,('исходные данные'!Q9-'минимумы и максимумы'!O$2)/('минимумы и максимумы'!O$3-'минимумы и максимумы'!O$2)*100)</f>
        <v>100</v>
      </c>
      <c r="R9" s="1">
        <f>IF('исходные данные'!R9&gt;'минимумы и максимумы'!P$3,100,('исходные данные'!R9-'минимумы и максимумы'!P$2)/('минимумы и максимумы'!P$3-'минимумы и максимумы'!P$2)*100)</f>
        <v>75</v>
      </c>
      <c r="S9" s="1">
        <f>IF('исходные данные'!S9&gt;'минимумы и максимумы'!Q$3,100,('исходные данные'!S9-'минимумы и максимумы'!Q$2)/('минимумы и максимумы'!Q$3-'минимумы и максимумы'!Q$2)*100)</f>
        <v>50</v>
      </c>
      <c r="T9" s="1">
        <f>IF('исходные данные'!T9&gt;'минимумы и максимумы'!R$3,100,('исходные данные'!T9-'минимумы и максимумы'!R$2)/('минимумы и максимумы'!R$3-'минимумы и максимумы'!R$2)*100)</f>
        <v>57.677078750549938</v>
      </c>
      <c r="U9" s="1">
        <f>IF('исходные данные'!U9&gt;'минимумы и максимумы'!S$3,100,('исходные данные'!U9-'минимумы и максимумы'!S$2)/('минимумы и максимумы'!S$3-'минимумы и максимумы'!S$2)*100)</f>
        <v>66.666666666666657</v>
      </c>
    </row>
    <row r="10" spans="1:21" x14ac:dyDescent="0.45">
      <c r="A10" s="4">
        <v>21</v>
      </c>
      <c r="B10" s="4">
        <v>0</v>
      </c>
      <c r="C10" s="4">
        <v>1</v>
      </c>
      <c r="D10" s="1">
        <f>IF('исходные данные'!D10&gt;'минимумы и максимумы'!B$3,100,('исходные данные'!D10-'минимумы и максимумы'!B$2)/('минимумы и максимумы'!B$3-'минимумы и максимумы'!B$2)*100)</f>
        <v>20</v>
      </c>
      <c r="E10" s="1">
        <f>IF('исходные данные'!E10&gt;'минимумы и максимумы'!C$3,100,('исходные данные'!E10-'минимумы и максимумы'!C$2)/('минимумы и максимумы'!C$3-'минимумы и максимумы'!C$2)*100)</f>
        <v>30</v>
      </c>
      <c r="F10" s="1">
        <f>IF('исходные данные'!F10&gt;'минимумы и максимумы'!D$3,100,('исходные данные'!F10-'минимумы и максимумы'!D$2)/('минимумы и максимумы'!D$3-'минимумы и максимумы'!D$2)*100)</f>
        <v>0</v>
      </c>
      <c r="G10" s="1">
        <f>IF('исходные данные'!G10&gt;'минимумы и максимумы'!E$3,100,('исходные данные'!G10-'минимумы и максимумы'!E$2)/('минимумы и максимумы'!E$3-'минимумы и максимумы'!E$2)*100)</f>
        <v>37.5</v>
      </c>
      <c r="H10" s="1">
        <f>IF('исходные данные'!H10&gt;'минимумы и максимумы'!F$3,100,('исходные данные'!H10-'минимумы и максимумы'!F$2)/('минимумы и максимумы'!F$3-'минимумы и максимумы'!F$2)*100)</f>
        <v>44</v>
      </c>
      <c r="I10" s="1">
        <f>IF('исходные данные'!I10&gt;'минимумы и максимумы'!G$3,100,('исходные данные'!I10-'минимумы и максимумы'!G$2)/('минимумы и максимумы'!G$3-'минимумы и максимумы'!G$2)*100)</f>
        <v>60.377358490566039</v>
      </c>
      <c r="J10" s="1">
        <f>IF('исходные данные'!J10&gt;'минимумы и максимумы'!H$3,100,('исходные данные'!J10-'минимумы и максимумы'!H$2)/('минимумы и максимумы'!H$3-'минимумы и максимумы'!H$2)*100)</f>
        <v>46.666666666666664</v>
      </c>
      <c r="K10" s="1">
        <f>IF('исходные данные'!K10&gt;'минимумы и максимумы'!I$3,100,('исходные данные'!K10-'минимумы и максимумы'!I$2)/('минимумы и максимумы'!I$3-'минимумы и максимумы'!I$2)*100)</f>
        <v>0</v>
      </c>
      <c r="L10" s="1">
        <f>IF('исходные данные'!L10&gt;'минимумы и максимумы'!J$3,100,('исходные данные'!L10-'минимумы и максимумы'!J$2)/('минимумы и максимумы'!J$3-'минимумы и максимумы'!J$2)*100)</f>
        <v>0</v>
      </c>
      <c r="M10" s="1">
        <f>IF('исходные данные'!M10&gt;'минимумы и максимумы'!K$3,100,('исходные данные'!M10-'минимумы и максимумы'!K$2)/('минимумы и максимумы'!K$3-'минимумы и максимумы'!K$2)*100)</f>
        <v>32.258064516129032</v>
      </c>
      <c r="N10" s="1">
        <f>IF('исходные данные'!N10&gt;'минимумы и максимумы'!L$3,100,('исходные данные'!N10-'минимумы и максимумы'!L$2)/('минимумы и максимумы'!L$3-'минимумы и максимумы'!L$2)*100)</f>
        <v>23.148184293417813</v>
      </c>
      <c r="O10" s="1">
        <f>IF('исходные данные'!O10&gt;'минимумы и максимумы'!M$3,100,('исходные данные'!O10-'минимумы и максимумы'!M$2)/('минимумы и максимумы'!M$3-'минимумы и максимумы'!M$2)*100)</f>
        <v>0</v>
      </c>
      <c r="P10" s="1">
        <f>IF('исходные данные'!P10&gt;'минимумы и максимумы'!N$3,100,('исходные данные'!P10-'минимумы и максимумы'!N$2)/('минимумы и максимумы'!N$3-'минимумы и максимумы'!N$2)*100)</f>
        <v>0</v>
      </c>
      <c r="Q10" s="1">
        <f>IF('исходные данные'!Q10&gt;'минимумы и максимумы'!O$3,100,('исходные данные'!Q10-'минимумы и максимумы'!O$2)/('минимумы и максимумы'!O$3-'минимумы и максимумы'!O$2)*100)</f>
        <v>100</v>
      </c>
      <c r="R10" s="1">
        <f>IF('исходные данные'!R10&gt;'минимумы и максимумы'!P$3,100,('исходные данные'!R10-'минимумы и максимумы'!P$2)/('минимумы и максимумы'!P$3-'минимумы и максимумы'!P$2)*100)</f>
        <v>100</v>
      </c>
      <c r="S10" s="1">
        <f>IF('исходные данные'!S10&gt;'минимумы и максимумы'!Q$3,100,('исходные данные'!S10-'минимумы и максимумы'!Q$2)/('минимумы и максимумы'!Q$3-'минимумы и максимумы'!Q$2)*100)</f>
        <v>50</v>
      </c>
      <c r="T10" s="1">
        <f>IF('исходные данные'!T10&gt;'минимумы и максимумы'!R$3,100,('исходные данные'!T10-'минимумы и максимумы'!R$2)/('минимумы и максимумы'!R$3-'минимумы и максимумы'!R$2)*100)</f>
        <v>17.59788825340959</v>
      </c>
      <c r="U10" s="1">
        <f>IF('исходные данные'!U10&gt;'минимумы и максимумы'!S$3,100,('исходные данные'!U10-'минимумы и максимумы'!S$2)/('минимумы и максимумы'!S$3-'минимумы и максимумы'!S$2)*100)</f>
        <v>100</v>
      </c>
    </row>
    <row r="11" spans="1:21" x14ac:dyDescent="0.45">
      <c r="A11" s="4">
        <v>22</v>
      </c>
      <c r="B11" s="4">
        <v>0</v>
      </c>
      <c r="C11" s="4">
        <v>0</v>
      </c>
      <c r="D11" s="1">
        <f>IF('исходные данные'!D11&gt;'минимумы и максимумы'!B$3,100,('исходные данные'!D11-'минимумы и максимумы'!B$2)/('минимумы и максимумы'!B$3-'минимумы и максимумы'!B$2)*100)</f>
        <v>80</v>
      </c>
      <c r="E11" s="1">
        <f>IF('исходные данные'!E11&gt;'минимумы и максимумы'!C$3,100,('исходные данные'!E11-'минимумы и максимумы'!C$2)/('минимумы и максимумы'!C$3-'минимумы и максимумы'!C$2)*100)</f>
        <v>60</v>
      </c>
      <c r="F11" s="1">
        <f>IF('исходные данные'!F11&gt;'минимумы и максимумы'!D$3,100,('исходные данные'!F11-'минимумы и максимумы'!D$2)/('минимумы и максимумы'!D$3-'минимумы и максимумы'!D$2)*100)</f>
        <v>0</v>
      </c>
      <c r="G11" s="1">
        <f>IF('исходные данные'!G11&gt;'минимумы и максимумы'!E$3,100,('исходные данные'!G11-'минимумы и максимумы'!E$2)/('минимумы и максимумы'!E$3-'минимумы и максимумы'!E$2)*100)</f>
        <v>20.833333333333336</v>
      </c>
      <c r="H11" s="1">
        <f>IF('исходные данные'!H11&gt;'минимумы и максимумы'!F$3,100,('исходные данные'!H11-'минимумы и максимумы'!F$2)/('минимумы и максимумы'!F$3-'минимумы и максимумы'!F$2)*100)</f>
        <v>20</v>
      </c>
      <c r="I11" s="1">
        <f>IF('исходные данные'!I11&gt;'минимумы и максимумы'!G$3,100,('исходные данные'!I11-'минимумы и максимумы'!G$2)/('минимумы и максимумы'!G$3-'минимумы и максимумы'!G$2)*100)</f>
        <v>30.188679245283019</v>
      </c>
      <c r="J11" s="1">
        <f>IF('исходные данные'!J11&gt;'минимумы и максимумы'!H$3,100,('исходные данные'!J11-'минимумы и максимумы'!H$2)/('минимумы и максимумы'!H$3-'минимумы и максимумы'!H$2)*100)</f>
        <v>20</v>
      </c>
      <c r="K11" s="1">
        <f>IF('исходные данные'!K11&gt;'минимумы и максимумы'!I$3,100,('исходные данные'!K11-'минимумы и максимумы'!I$2)/('минимумы и максимумы'!I$3-'минимумы и максимумы'!I$2)*100)</f>
        <v>44.444444444444443</v>
      </c>
      <c r="L11" s="1">
        <f>IF('исходные данные'!L11&gt;'минимумы и максимумы'!J$3,100,('исходные данные'!L11-'минимумы и максимумы'!J$2)/('минимумы и максимумы'!J$3-'минимумы и максимумы'!J$2)*100)</f>
        <v>0</v>
      </c>
      <c r="M11" s="1">
        <f>IF('исходные данные'!M11&gt;'минимумы и максимумы'!K$3,100,('исходные данные'!M11-'минимумы и максимумы'!K$2)/('минимумы и максимумы'!K$3-'минимумы и максимумы'!K$2)*100)</f>
        <v>54.838709677419352</v>
      </c>
      <c r="N11" s="1">
        <f>IF('исходные данные'!N11&gt;'минимумы и максимумы'!L$3,100,('исходные данные'!N11-'минимумы и максимумы'!L$2)/('минимумы и максимумы'!L$3-'минимумы и максимумы'!L$2)*100)</f>
        <v>17.885559870006936</v>
      </c>
      <c r="O11" s="1">
        <f>IF('исходные данные'!O11&gt;'минимумы и максимумы'!M$3,100,('исходные данные'!O11-'минимумы и максимумы'!M$2)/('минимумы и максимумы'!M$3-'минимумы и максимумы'!M$2)*100)</f>
        <v>100</v>
      </c>
      <c r="P11" s="1">
        <f>IF('исходные данные'!P11&gt;'минимумы и максимумы'!N$3,100,('исходные данные'!P11-'минимумы и максимумы'!N$2)/('минимумы и максимумы'!N$3-'минимумы и максимумы'!N$2)*100)</f>
        <v>0</v>
      </c>
      <c r="Q11" s="1">
        <f>IF('исходные данные'!Q11&gt;'минимумы и максимумы'!O$3,100,('исходные данные'!Q11-'минимумы и максимумы'!O$2)/('минимумы и максимумы'!O$3-'минимумы и максимумы'!O$2)*100)</f>
        <v>100</v>
      </c>
      <c r="R11" s="1">
        <f>IF('исходные данные'!R11&gt;'минимумы и максимумы'!P$3,100,('исходные данные'!R11-'минимумы и максимумы'!P$2)/('минимумы и максимумы'!P$3-'минимумы и максимумы'!P$2)*100)</f>
        <v>75</v>
      </c>
      <c r="S11" s="1">
        <f>IF('исходные данные'!S11&gt;'минимумы и максимумы'!Q$3,100,('исходные данные'!S11-'минимумы и максимумы'!Q$2)/('минимумы и максимумы'!Q$3-'минимумы и максимумы'!Q$2)*100)</f>
        <v>66.666666666666657</v>
      </c>
      <c r="T11" s="1">
        <f>IF('исходные данные'!T11&gt;'минимумы и максимумы'!R$3,100,('исходные данные'!T11-'минимумы и максимумы'!R$2)/('минимумы и максимумы'!R$3-'минимумы и максимумы'!R$2)*100)</f>
        <v>40.959084909810819</v>
      </c>
      <c r="U11" s="1">
        <f>IF('исходные данные'!U11&gt;'минимумы и максимумы'!S$3,100,('исходные данные'!U11-'минимумы и максимумы'!S$2)/('минимумы и максимумы'!S$3-'минимумы и максимумы'!S$2)*100)</f>
        <v>0</v>
      </c>
    </row>
    <row r="12" spans="1:21" x14ac:dyDescent="0.45">
      <c r="A12" s="4">
        <v>27</v>
      </c>
      <c r="B12" s="4">
        <v>1</v>
      </c>
      <c r="C12" s="4">
        <v>0</v>
      </c>
      <c r="D12" s="1">
        <f>IF('исходные данные'!D12&gt;'минимумы и максимумы'!B$3,100,('исходные данные'!D12-'минимумы и максимумы'!B$2)/('минимумы и максимумы'!B$3-'минимумы и максимумы'!B$2)*100)</f>
        <v>80</v>
      </c>
      <c r="E12" s="1">
        <f>IF('исходные данные'!E12&gt;'минимумы и максимумы'!C$3,100,('исходные данные'!E12-'минимумы и максимумы'!C$2)/('минимумы и максимумы'!C$3-'минимумы и максимумы'!C$2)*100)</f>
        <v>60</v>
      </c>
      <c r="F12" s="1">
        <f>IF('исходные данные'!F12&gt;'минимумы и максимумы'!D$3,100,('исходные данные'!F12-'минимумы и максимумы'!D$2)/('минимумы и максимумы'!D$3-'минимумы и максимумы'!D$2)*100)</f>
        <v>33.333333333333329</v>
      </c>
      <c r="G12" s="1">
        <f>IF('исходные данные'!G12&gt;'минимумы и максимумы'!E$3,100,('исходные данные'!G12-'минимумы и максимумы'!E$2)/('минимумы и максимумы'!E$3-'минимумы и максимумы'!E$2)*100)</f>
        <v>83.333333333333343</v>
      </c>
      <c r="H12" s="1">
        <f>IF('исходные данные'!H12&gt;'минимумы и максимумы'!F$3,100,('исходные данные'!H12-'минимумы и максимумы'!F$2)/('минимумы и максимумы'!F$3-'минимумы и максимумы'!F$2)*100)</f>
        <v>80</v>
      </c>
      <c r="I12" s="1">
        <f>IF('исходные данные'!I12&gt;'минимумы и максимумы'!G$3,100,('исходные данные'!I12-'минимумы и максимумы'!G$2)/('минимумы и максимумы'!G$3-'минимумы и максимумы'!G$2)*100)</f>
        <v>84.905660377358487</v>
      </c>
      <c r="J12" s="1">
        <f>IF('исходные данные'!J12&gt;'минимумы и максимумы'!H$3,100,('исходные данные'!J12-'минимумы и максимумы'!H$2)/('минимумы и максимумы'!H$3-'минимумы и максимумы'!H$2)*100)</f>
        <v>86.666666666666671</v>
      </c>
      <c r="K12" s="1">
        <f>IF('исходные данные'!K12&gt;'минимумы и максимумы'!I$3,100,('исходные данные'!K12-'минимумы и максимумы'!I$2)/('минимумы и максимумы'!I$3-'минимумы и максимумы'!I$2)*100)</f>
        <v>27.777777777777779</v>
      </c>
      <c r="L12" s="1">
        <f>IF('исходные данные'!L12&gt;'минимумы и максимумы'!J$3,100,('исходные данные'!L12-'минимумы и максимумы'!J$2)/('минимумы и максимумы'!J$3-'минимумы и максимумы'!J$2)*100)</f>
        <v>100</v>
      </c>
      <c r="M12" s="1">
        <f>IF('исходные данные'!M12&gt;'минимумы и максимумы'!K$3,100,('исходные данные'!M12-'минимумы и максимумы'!K$2)/('минимумы и максимумы'!K$3-'минимумы и максимумы'!K$2)*100)</f>
        <v>54.838709677419352</v>
      </c>
      <c r="N12" s="1">
        <f>IF('исходные данные'!N12&gt;'минимумы и максимумы'!L$3,100,('исходные данные'!N12-'минимумы и максимумы'!L$2)/('минимумы и максимумы'!L$3-'минимумы и максимумы'!L$2)*100)</f>
        <v>14.867055899690262</v>
      </c>
      <c r="O12" s="1">
        <f>IF('исходные данные'!O12&gt;'минимумы и максимумы'!M$3,100,('исходные данные'!O12-'минимумы и максимумы'!M$2)/('минимумы и максимумы'!M$3-'минимумы и максимумы'!M$2)*100)</f>
        <v>66.666666666666657</v>
      </c>
      <c r="P12" s="1">
        <f>IF('исходные данные'!P12&gt;'минимумы и максимумы'!N$3,100,('исходные данные'!P12-'минимумы и максимумы'!N$2)/('минимумы и максимумы'!N$3-'минимумы и максимумы'!N$2)*100)</f>
        <v>100</v>
      </c>
      <c r="Q12" s="1">
        <f>IF('исходные данные'!Q12&gt;'минимумы и максимумы'!O$3,100,('исходные данные'!Q12-'минимумы и максимумы'!O$2)/('минимумы и максимумы'!O$3-'минимумы и максимумы'!O$2)*100)</f>
        <v>100</v>
      </c>
      <c r="R12" s="1">
        <f>IF('исходные данные'!R12&gt;'минимумы и максимумы'!P$3,100,('исходные данные'!R12-'минимумы и максимумы'!P$2)/('минимумы и максимумы'!P$3-'минимумы и максимумы'!P$2)*100)</f>
        <v>100</v>
      </c>
      <c r="S12" s="1">
        <f>IF('исходные данные'!S12&gt;'минимумы и максимумы'!Q$3,100,('исходные данные'!S12-'минимумы и максимумы'!Q$2)/('минимумы и максимумы'!Q$3-'минимумы и максимумы'!Q$2)*100)</f>
        <v>33.333333333333329</v>
      </c>
      <c r="T12" s="1">
        <f>IF('исходные данные'!T12&gt;'минимумы и максимумы'!R$3,100,('исходные данные'!T12-'минимумы и максимумы'!R$2)/('минимумы и максимумы'!R$3-'минимумы и максимумы'!R$2)*100)</f>
        <v>12.054553453585569</v>
      </c>
      <c r="U12" s="1">
        <f>IF('исходные данные'!U12&gt;'минимумы и максимумы'!S$3,100,('исходные данные'!U12-'минимумы и максимумы'!S$2)/('минимумы и максимумы'!S$3-'минимумы и максимумы'!S$2)*100)</f>
        <v>33.333333333333329</v>
      </c>
    </row>
    <row r="13" spans="1:21" x14ac:dyDescent="0.45">
      <c r="A13" s="4">
        <v>29</v>
      </c>
      <c r="B13" s="4">
        <v>0</v>
      </c>
      <c r="C13" s="4">
        <v>0</v>
      </c>
      <c r="D13" s="1">
        <f>IF('исходные данные'!D13&gt;'минимумы и максимумы'!B$3,100,('исходные данные'!D13-'минимумы и максимумы'!B$2)/('минимумы и максимумы'!B$3-'минимумы и максимумы'!B$2)*100)</f>
        <v>100</v>
      </c>
      <c r="E13" s="1">
        <f>IF('исходные данные'!E13&gt;'минимумы и максимумы'!C$3,100,('исходные данные'!E13-'минимумы и максимумы'!C$2)/('минимумы и максимумы'!C$3-'минимумы и максимумы'!C$2)*100)</f>
        <v>50</v>
      </c>
      <c r="F13" s="1">
        <f>IF('исходные данные'!F13&gt;'минимумы и максимумы'!D$3,100,('исходные данные'!F13-'минимумы и максимумы'!D$2)/('минимумы и максимумы'!D$3-'минимумы и максимумы'!D$2)*100)</f>
        <v>66.666666666666657</v>
      </c>
      <c r="G13" s="1">
        <f>IF('исходные данные'!G13&gt;'минимумы и максимумы'!E$3,100,('исходные данные'!G13-'минимумы и максимумы'!E$2)/('минимумы и максимумы'!E$3-'минимумы и максимумы'!E$2)*100)</f>
        <v>58.333333333333336</v>
      </c>
      <c r="H13" s="1">
        <f>IF('исходные данные'!H13&gt;'минимумы и максимумы'!F$3,100,('исходные данные'!H13-'минимумы и максимумы'!F$2)/('минимумы и максимумы'!F$3-'минимумы и максимумы'!F$2)*100)</f>
        <v>64</v>
      </c>
      <c r="I13" s="1">
        <f>IF('исходные данные'!I13&gt;'минимумы и максимумы'!G$3,100,('исходные данные'!I13-'минимумы и максимумы'!G$2)/('минимумы и максимумы'!G$3-'минимумы и максимумы'!G$2)*100)</f>
        <v>94.339622641509436</v>
      </c>
      <c r="J13" s="1">
        <f>IF('исходные данные'!J13&gt;'минимумы и максимумы'!H$3,100,('исходные данные'!J13-'минимумы и максимумы'!H$2)/('минимумы и максимумы'!H$3-'минимумы и максимумы'!H$2)*100)</f>
        <v>100</v>
      </c>
      <c r="K13" s="1">
        <f>IF('исходные данные'!K13&gt;'минимумы и максимумы'!I$3,100,('исходные данные'!K13-'минимумы и максимумы'!I$2)/('минимумы и максимумы'!I$3-'минимумы и максимумы'!I$2)*100)</f>
        <v>72.222222222222214</v>
      </c>
      <c r="L13" s="1">
        <f>IF('исходные данные'!L13&gt;'минимумы и максимумы'!J$3,100,('исходные данные'!L13-'минимумы и максимумы'!J$2)/('минимумы и максимумы'!J$3-'минимумы и максимумы'!J$2)*100)</f>
        <v>100</v>
      </c>
      <c r="M13" s="1">
        <f>IF('исходные данные'!M13&gt;'минимумы и максимумы'!K$3,100,('исходные данные'!M13-'минимумы и максимумы'!K$2)/('минимумы и максимумы'!K$3-'минимумы и максимумы'!K$2)*100)</f>
        <v>64.516129032258064</v>
      </c>
      <c r="N13" s="1">
        <f>IF('исходные данные'!N13&gt;'минимумы и максимумы'!L$3,100,('исходные данные'!N13-'минимумы и максимумы'!L$2)/('минимумы и максимумы'!L$3-'минимумы и максимумы'!L$2)*100)</f>
        <v>12.122567147717417</v>
      </c>
      <c r="O13" s="1">
        <f>IF('исходные данные'!O13&gt;'минимумы и максимумы'!M$3,100,('исходные данные'!O13-'минимумы и максимумы'!M$2)/('минимумы и максимумы'!M$3-'минимумы и максимумы'!M$2)*100)</f>
        <v>66.666666666666657</v>
      </c>
      <c r="P13" s="1">
        <f>IF('исходные данные'!P13&gt;'минимумы и максимумы'!N$3,100,('исходные данные'!P13-'минимумы и максимумы'!N$2)/('минимумы и максимумы'!N$3-'минимумы и максимумы'!N$2)*100)</f>
        <v>100</v>
      </c>
      <c r="Q13" s="1">
        <f>IF('исходные данные'!Q13&gt;'минимумы и максимумы'!O$3,100,('исходные данные'!Q13-'минимумы и максимумы'!O$2)/('минимумы и максимумы'!O$3-'минимумы и максимумы'!O$2)*100)</f>
        <v>100</v>
      </c>
      <c r="R13" s="1">
        <f>IF('исходные данные'!R13&gt;'минимумы и максимумы'!P$3,100,('исходные данные'!R13-'минимумы и максимумы'!P$2)/('минимумы и максимумы'!P$3-'минимумы и максимумы'!P$2)*100)</f>
        <v>100</v>
      </c>
      <c r="S13" s="1">
        <f>IF('исходные данные'!S13&gt;'минимумы и максимумы'!Q$3,100,('исходные данные'!S13-'минимумы и максимумы'!Q$2)/('минимумы и максимумы'!Q$3-'минимумы и максимумы'!Q$2)*100)</f>
        <v>33.333333333333329</v>
      </c>
      <c r="T13" s="1">
        <f>IF('исходные данные'!T13&gt;'минимумы и максимумы'!R$3,100,('исходные данные'!T13-'минимумы и максимумы'!R$2)/('минимумы и максимумы'!R$3-'минимумы и максимумы'!R$2)*100)</f>
        <v>16.849978002639684</v>
      </c>
      <c r="U13" s="1">
        <f>IF('исходные данные'!U13&gt;'минимумы и максимумы'!S$3,100,('исходные данные'!U13-'минимумы и максимумы'!S$2)/('минимумы и максимумы'!S$3-'минимумы и максимумы'!S$2)*100)</f>
        <v>66.666666666666657</v>
      </c>
    </row>
    <row r="14" spans="1:21" x14ac:dyDescent="0.45">
      <c r="A14" s="4">
        <v>30</v>
      </c>
      <c r="B14" s="4">
        <v>1</v>
      </c>
      <c r="C14" s="4">
        <v>0</v>
      </c>
      <c r="D14" s="1">
        <f>IF('исходные данные'!D14&gt;'минимумы и максимумы'!B$3,100,('исходные данные'!D14-'минимумы и максимумы'!B$2)/('минимумы и максимумы'!B$3-'минимумы и максимумы'!B$2)*100)</f>
        <v>100</v>
      </c>
      <c r="E14" s="1">
        <f>IF('исходные данные'!E14&gt;'минимумы и максимумы'!C$3,100,('исходные данные'!E14-'минимумы и максимумы'!C$2)/('минимумы и максимумы'!C$3-'минимумы и максимумы'!C$2)*100)</f>
        <v>50</v>
      </c>
      <c r="F14" s="1">
        <f>IF('исходные данные'!F14&gt;'минимумы и максимумы'!D$3,100,('исходные данные'!F14-'минимумы и максимумы'!D$2)/('минимумы и максимумы'!D$3-'минимумы и максимумы'!D$2)*100)</f>
        <v>66.666666666666657</v>
      </c>
      <c r="G14" s="1">
        <f>IF('исходные данные'!G14&gt;'минимумы и максимумы'!E$3,100,('исходные данные'!G14-'минимумы и максимумы'!E$2)/('минимумы и максимумы'!E$3-'минимумы и максимумы'!E$2)*100)</f>
        <v>58.333333333333336</v>
      </c>
      <c r="H14" s="1">
        <f>IF('исходные данные'!H14&gt;'минимумы и максимумы'!F$3,100,('исходные данные'!H14-'минимумы и максимумы'!F$2)/('минимумы и максимумы'!F$3-'минимумы и максимумы'!F$2)*100)</f>
        <v>64</v>
      </c>
      <c r="I14" s="1">
        <f>IF('исходные данные'!I14&gt;'минимумы и максимумы'!G$3,100,('исходные данные'!I14-'минимумы и максимумы'!G$2)/('минимумы и максимумы'!G$3-'минимумы и максимумы'!G$2)*100)</f>
        <v>94.339622641509436</v>
      </c>
      <c r="J14" s="1">
        <f>IF('исходные данные'!J14&gt;'минимумы и максимумы'!H$3,100,('исходные данные'!J14-'минимумы и максимумы'!H$2)/('минимумы и максимумы'!H$3-'минимумы и максимумы'!H$2)*100)</f>
        <v>100</v>
      </c>
      <c r="K14" s="1">
        <f>IF('исходные данные'!K14&gt;'минимумы и максимумы'!I$3,100,('исходные данные'!K14-'минимумы и максимумы'!I$2)/('минимумы и максимумы'!I$3-'минимумы и максимумы'!I$2)*100)</f>
        <v>72.222222222222214</v>
      </c>
      <c r="L14" s="1">
        <f>IF('исходные данные'!L14&gt;'минимумы и максимумы'!J$3,100,('исходные данные'!L14-'минимумы и максимумы'!J$2)/('минимумы и максимумы'!J$3-'минимумы и максимумы'!J$2)*100)</f>
        <v>100</v>
      </c>
      <c r="M14" s="1">
        <f>IF('исходные данные'!M14&gt;'минимумы и максимумы'!K$3,100,('исходные данные'!M14-'минимумы и максимумы'!K$2)/('минимумы и максимумы'!K$3-'минимумы и максимумы'!K$2)*100)</f>
        <v>64.516129032258064</v>
      </c>
      <c r="N14" s="1">
        <f>IF('исходные данные'!N14&gt;'минимумы и максимумы'!L$3,100,('исходные данные'!N14-'минимумы и максимумы'!L$2)/('минимумы и максимумы'!L$3-'минимумы и максимумы'!L$2)*100)</f>
        <v>12.538083562620431</v>
      </c>
      <c r="O14" s="1">
        <f>IF('исходные данные'!O14&gt;'минимумы и максимумы'!M$3,100,('исходные данные'!O14-'минимумы и максимумы'!M$2)/('минимумы и максимумы'!M$3-'минимумы и максимумы'!M$2)*100)</f>
        <v>66.666666666666657</v>
      </c>
      <c r="P14" s="1">
        <f>IF('исходные данные'!P14&gt;'минимумы и максимумы'!N$3,100,('исходные данные'!P14-'минимумы и максимумы'!N$2)/('минимумы и максимумы'!N$3-'минимумы и максимумы'!N$2)*100)</f>
        <v>0</v>
      </c>
      <c r="Q14" s="1">
        <f>IF('исходные данные'!Q14&gt;'минимумы и максимумы'!O$3,100,('исходные данные'!Q14-'минимумы и максимумы'!O$2)/('минимумы и максимумы'!O$3-'минимумы и максимумы'!O$2)*100)</f>
        <v>100</v>
      </c>
      <c r="R14" s="1">
        <f>IF('исходные данные'!R14&gt;'минимумы и максимумы'!P$3,100,('исходные данные'!R14-'минимумы и максимумы'!P$2)/('минимумы и максимумы'!P$3-'минимумы и максимумы'!P$2)*100)</f>
        <v>100</v>
      </c>
      <c r="S14" s="1">
        <f>IF('исходные данные'!S14&gt;'минимумы и максимумы'!Q$3,100,('исходные данные'!S14-'минимумы и максимумы'!Q$2)/('минимумы и максимумы'!Q$3-'минимумы и максимумы'!Q$2)*100)</f>
        <v>66.666666666666657</v>
      </c>
      <c r="T14" s="1">
        <f>IF('исходные данные'!T14&gt;'минимумы и максимумы'!R$3,100,('исходные данные'!T14-'минимумы и максимумы'!R$2)/('минимумы и максимумы'!R$3-'минимумы и максимумы'!R$2)*100)</f>
        <v>46.414430268367795</v>
      </c>
      <c r="U14" s="1">
        <f>IF('исходные данные'!U14&gt;'минимумы и максимумы'!S$3,100,('исходные данные'!U14-'минимумы и максимумы'!S$2)/('минимумы и максимумы'!S$3-'минимумы и максимумы'!S$2)*100)</f>
        <v>66.666666666666657</v>
      </c>
    </row>
    <row r="15" spans="1:21" x14ac:dyDescent="0.45">
      <c r="A15" s="4">
        <v>31</v>
      </c>
      <c r="B15" s="4">
        <v>0</v>
      </c>
      <c r="C15" s="4">
        <v>0</v>
      </c>
      <c r="D15" s="1">
        <f>IF('исходные данные'!D15&gt;'минимумы и максимумы'!B$3,100,('исходные данные'!D15-'минимумы и максимумы'!B$2)/('минимумы и максимумы'!B$3-'минимумы и максимумы'!B$2)*100)</f>
        <v>100</v>
      </c>
      <c r="E15" s="1">
        <f>IF('исходные данные'!E15&gt;'минимумы и максимумы'!C$3,100,('исходные данные'!E15-'минимумы и максимумы'!C$2)/('минимумы и максимумы'!C$3-'минимумы и максимумы'!C$2)*100)</f>
        <v>50</v>
      </c>
      <c r="F15" s="1">
        <f>IF('исходные данные'!F15&gt;'минимумы и максимумы'!D$3,100,('исходные данные'!F15-'минимумы и максимумы'!D$2)/('минимумы и максимумы'!D$3-'минимумы и максимумы'!D$2)*100)</f>
        <v>66.666666666666657</v>
      </c>
      <c r="G15" s="1">
        <f>IF('исходные данные'!G15&gt;'минимумы и максимумы'!E$3,100,('исходные данные'!G15-'минимумы и максимумы'!E$2)/('минимумы и максимумы'!E$3-'минимумы и максимумы'!E$2)*100)</f>
        <v>91.666666666666657</v>
      </c>
      <c r="H15" s="1">
        <f>IF('исходные данные'!H15&gt;'минимумы и максимумы'!F$3,100,('исходные данные'!H15-'минимумы и максимумы'!F$2)/('минимумы и максимумы'!F$3-'минимумы и максимумы'!F$2)*100)</f>
        <v>100</v>
      </c>
      <c r="I15" s="1">
        <f>IF('исходные данные'!I15&gt;'минимумы и максимумы'!G$3,100,('исходные данные'!I15-'минимумы и максимумы'!G$2)/('минимумы и максимумы'!G$3-'минимумы и максимумы'!G$2)*100)</f>
        <v>100</v>
      </c>
      <c r="J15" s="1">
        <f>IF('исходные данные'!J15&gt;'минимумы и максимумы'!H$3,100,('исходные данные'!J15-'минимумы и максимумы'!H$2)/('минимумы и максимумы'!H$3-'минимумы и максимумы'!H$2)*100)</f>
        <v>100</v>
      </c>
      <c r="K15" s="1">
        <f>IF('исходные данные'!K15&gt;'минимумы и максимумы'!I$3,100,('исходные данные'!K15-'минимумы и максимумы'!I$2)/('минимумы и максимумы'!I$3-'минимумы и максимумы'!I$2)*100)</f>
        <v>61.111111111111114</v>
      </c>
      <c r="L15" s="1">
        <f>IF('исходные данные'!L15&gt;'минимумы и максимумы'!J$3,100,('исходные данные'!L15-'минимумы и максимумы'!J$2)/('минимумы и максимумы'!J$3-'минимумы и максимумы'!J$2)*100)</f>
        <v>100</v>
      </c>
      <c r="M15" s="1">
        <f>IF('исходные данные'!M15&gt;'минимумы и максимумы'!K$3,100,('исходные данные'!M15-'минимумы и максимумы'!K$2)/('минимумы и максимумы'!K$3-'минимумы и максимумы'!K$2)*100)</f>
        <v>77.41935483870968</v>
      </c>
      <c r="N15" s="1">
        <f>IF('исходные данные'!N15&gt;'минимумы и максимумы'!L$3,100,('исходные данные'!N15-'минимумы и максимумы'!L$2)/('минимумы и максимумы'!L$3-'минимумы и максимумы'!L$2)*100)</f>
        <v>11.934284414358332</v>
      </c>
      <c r="O15" s="1">
        <f>IF('исходные данные'!O15&gt;'минимумы и максимумы'!M$3,100,('исходные данные'!O15-'минимумы и максимумы'!M$2)/('минимумы и максимумы'!M$3-'минимумы и максимумы'!M$2)*100)</f>
        <v>33.333333333333329</v>
      </c>
      <c r="P15" s="1">
        <f>IF('исходные данные'!P15&gt;'минимумы и максимумы'!N$3,100,('исходные данные'!P15-'минимумы и максимумы'!N$2)/('минимумы и максимумы'!N$3-'минимумы и максимумы'!N$2)*100)</f>
        <v>100</v>
      </c>
      <c r="Q15" s="1">
        <f>IF('исходные данные'!Q15&gt;'минимумы и максимумы'!O$3,100,('исходные данные'!Q15-'минимумы и максимумы'!O$2)/('минимумы и максимумы'!O$3-'минимумы и максимумы'!O$2)*100)</f>
        <v>100</v>
      </c>
      <c r="R15" s="1">
        <f>IF('исходные данные'!R15&gt;'минимумы и максимумы'!P$3,100,('исходные данные'!R15-'минимумы и максимумы'!P$2)/('минимумы и максимумы'!P$3-'минимумы и максимумы'!P$2)*100)</f>
        <v>100</v>
      </c>
      <c r="S15" s="1">
        <f>IF('исходные данные'!S15&gt;'минимумы и максимумы'!Q$3,100,('исходные данные'!S15-'минимумы и максимумы'!Q$2)/('минимумы и максимумы'!Q$3-'минимумы и максимумы'!Q$2)*100)</f>
        <v>33.333333333333329</v>
      </c>
      <c r="T15" s="1">
        <f>IF('исходные данные'!T15&gt;'минимумы и максимумы'!R$3,100,('исходные данные'!T15-'минимумы и максимумы'!R$2)/('минимумы и максимумы'!R$3-'минимумы и максимумы'!R$2)*100)</f>
        <v>10.998680158380994</v>
      </c>
      <c r="U15" s="1">
        <f>IF('исходные данные'!U15&gt;'минимумы и максимумы'!S$3,100,('исходные данные'!U15-'минимумы и максимумы'!S$2)/('минимумы и максимумы'!S$3-'минимумы и максимумы'!S$2)*100)</f>
        <v>0</v>
      </c>
    </row>
    <row r="16" spans="1:21" x14ac:dyDescent="0.45">
      <c r="A16" s="4">
        <v>32</v>
      </c>
      <c r="B16" s="4">
        <v>0</v>
      </c>
      <c r="C16" s="4">
        <v>0</v>
      </c>
      <c r="D16" s="1">
        <f>IF('исходные данные'!D16&gt;'минимумы и максимумы'!B$3,100,('исходные данные'!D16-'минимумы и максимумы'!B$2)/('минимумы и максимумы'!B$3-'минимумы и максимумы'!B$2)*100)</f>
        <v>100</v>
      </c>
      <c r="E16" s="1">
        <f>IF('исходные данные'!E16&gt;'минимумы и максимумы'!C$3,100,('исходные данные'!E16-'минимумы и максимумы'!C$2)/('минимумы и максимумы'!C$3-'минимумы и максимумы'!C$2)*100)</f>
        <v>30</v>
      </c>
      <c r="F16" s="1">
        <f>IF('исходные данные'!F16&gt;'минимумы и максимумы'!D$3,100,('исходные данные'!F16-'минимумы и максимумы'!D$2)/('минимумы и максимумы'!D$3-'минимумы и максимумы'!D$2)*100)</f>
        <v>66.666666666666657</v>
      </c>
      <c r="G16" s="1">
        <f>IF('исходные данные'!G16&gt;'минимумы и максимумы'!E$3,100,('исходные данные'!G16-'минимумы и максимумы'!E$2)/('минимумы и максимумы'!E$3-'минимумы и максимумы'!E$2)*100)</f>
        <v>75</v>
      </c>
      <c r="H16" s="1">
        <f>IF('исходные данные'!H16&gt;'минимумы и максимумы'!F$3,100,('исходные данные'!H16-'минимумы и максимумы'!F$2)/('минимумы и максимумы'!F$3-'минимумы и максимумы'!F$2)*100)</f>
        <v>72</v>
      </c>
      <c r="I16" s="1">
        <f>IF('исходные данные'!I16&gt;'минимумы и максимумы'!G$3,100,('исходные данные'!I16-'минимумы и максимумы'!G$2)/('минимумы и максимумы'!G$3-'минимумы и максимумы'!G$2)*100)</f>
        <v>100</v>
      </c>
      <c r="J16" s="1">
        <f>IF('исходные данные'!J16&gt;'минимумы и максимумы'!H$3,100,('исходные данные'!J16-'минимумы и максимумы'!H$2)/('минимумы и максимумы'!H$3-'минимумы и максимумы'!H$2)*100)</f>
        <v>100</v>
      </c>
      <c r="K16" s="1">
        <f>IF('исходные данные'!K16&gt;'минимумы и максимумы'!I$3,100,('исходные данные'!K16-'минимумы и максимумы'!I$2)/('минимумы и максимумы'!I$3-'минимумы и максимумы'!I$2)*100)</f>
        <v>33.333333333333329</v>
      </c>
      <c r="L16" s="1">
        <f>IF('исходные данные'!L16&gt;'минимумы и максимумы'!J$3,100,('исходные данные'!L16-'минимумы и максимумы'!J$2)/('минимумы и максимумы'!J$3-'минимумы и максимумы'!J$2)*100)</f>
        <v>100</v>
      </c>
      <c r="M16" s="1">
        <f>IF('исходные данные'!M16&gt;'минимумы и максимумы'!K$3,100,('исходные данные'!M16-'минимумы и максимумы'!K$2)/('минимумы и максимумы'!K$3-'минимумы и максимумы'!K$2)*100)</f>
        <v>61.29032258064516</v>
      </c>
      <c r="N16" s="1">
        <f>IF('исходные данные'!N16&gt;'минимумы и максимумы'!L$3,100,('исходные данные'!N16-'минимумы и максимумы'!L$2)/('минимумы и максимумы'!L$3-'минимумы и максимумы'!L$2)*100)</f>
        <v>10.848817442712273</v>
      </c>
      <c r="O16" s="1">
        <f>IF('исходные данные'!O16&gt;'минимумы и максимумы'!M$3,100,('исходные данные'!O16-'минимумы и максимумы'!M$2)/('минимумы и максимумы'!M$3-'минимумы и максимумы'!M$2)*100)</f>
        <v>66.666666666666657</v>
      </c>
      <c r="P16" s="1">
        <f>IF('исходные данные'!P16&gt;'минимумы и максимумы'!N$3,100,('исходные данные'!P16-'минимумы и максимумы'!N$2)/('минимумы и максимумы'!N$3-'минимумы и максимумы'!N$2)*100)</f>
        <v>0</v>
      </c>
      <c r="Q16" s="1">
        <f>IF('исходные данные'!Q16&gt;'минимумы и максимумы'!O$3,100,('исходные данные'!Q16-'минимумы и максимумы'!O$2)/('минимумы и максимумы'!O$3-'минимумы и максимумы'!O$2)*100)</f>
        <v>100</v>
      </c>
      <c r="R16" s="1">
        <f>IF('исходные данные'!R16&gt;'минимумы и максимумы'!P$3,100,('исходные данные'!R16-'минимумы и максимумы'!P$2)/('минимумы и максимумы'!P$3-'минимумы и максимумы'!P$2)*100)</f>
        <v>75</v>
      </c>
      <c r="S16" s="1">
        <f>IF('исходные данные'!S16&gt;'минимумы и максимумы'!Q$3,100,('исходные данные'!S16-'минимумы и максимумы'!Q$2)/('минимумы и максимумы'!Q$3-'минимумы и максимумы'!Q$2)*100)</f>
        <v>33.333333333333329</v>
      </c>
      <c r="T16" s="1">
        <f>IF('исходные данные'!T16&gt;'минимумы и максимумы'!R$3,100,('исходные данные'!T16-'минимумы и максимумы'!R$2)/('минимумы и максимумы'!R$3-'минимумы и максимумы'!R$2)*100)</f>
        <v>10.602727672679277</v>
      </c>
      <c r="U16" s="1">
        <f>IF('исходные данные'!U16&gt;'минимумы и максимумы'!S$3,100,('исходные данные'!U16-'минимумы и максимумы'!S$2)/('минимумы и максимумы'!S$3-'минимумы и максимумы'!S$2)*100)</f>
        <v>0</v>
      </c>
    </row>
    <row r="17" spans="1:21" x14ac:dyDescent="0.45">
      <c r="A17" s="4">
        <v>33</v>
      </c>
      <c r="B17" s="4">
        <v>0</v>
      </c>
      <c r="C17" s="4">
        <v>0</v>
      </c>
      <c r="D17" s="1">
        <f>IF('исходные данные'!D17&gt;'минимумы и максимумы'!B$3,100,('исходные данные'!D17-'минимумы и максимумы'!B$2)/('минимумы и максимумы'!B$3-'минимумы и максимумы'!B$2)*100)</f>
        <v>100</v>
      </c>
      <c r="E17" s="1">
        <f>IF('исходные данные'!E17&gt;'минимумы и максимумы'!C$3,100,('исходные данные'!E17-'минимумы и максимумы'!C$2)/('минимумы и максимумы'!C$3-'минимумы и максимумы'!C$2)*100)</f>
        <v>30</v>
      </c>
      <c r="F17" s="1">
        <f>IF('исходные данные'!F17&gt;'минимумы и максимумы'!D$3,100,('исходные данные'!F17-'минимумы и максимумы'!D$2)/('минимумы и максимумы'!D$3-'минимумы и максимумы'!D$2)*100)</f>
        <v>33.333333333333329</v>
      </c>
      <c r="G17" s="1">
        <f>IF('исходные данные'!G17&gt;'минимумы и максимумы'!E$3,100,('исходные данные'!G17-'минимумы и максимумы'!E$2)/('минимумы и максимумы'!E$3-'минимумы и максимумы'!E$2)*100)</f>
        <v>50</v>
      </c>
      <c r="H17" s="1">
        <f>IF('исходные данные'!H17&gt;'минимумы и максимумы'!F$3,100,('исходные данные'!H17-'минимумы и максимумы'!F$2)/('минимумы и максимумы'!F$3-'минимумы и максимумы'!F$2)*100)</f>
        <v>60</v>
      </c>
      <c r="I17" s="1">
        <f>IF('исходные данные'!I17&gt;'минимумы и максимумы'!G$3,100,('исходные данные'!I17-'минимумы и максимумы'!G$2)/('минимумы и максимумы'!G$3-'минимумы и максимумы'!G$2)*100)</f>
        <v>96.226415094339629</v>
      </c>
      <c r="J17" s="1">
        <f>IF('исходные данные'!J17&gt;'минимумы и максимумы'!H$3,100,('исходные данные'!J17-'минимумы и максимумы'!H$2)/('минимумы и максимумы'!H$3-'минимумы и максимумы'!H$2)*100)</f>
        <v>100</v>
      </c>
      <c r="K17" s="1">
        <f>IF('исходные данные'!K17&gt;'минимумы и максимумы'!I$3,100,('исходные данные'!K17-'минимумы и максимумы'!I$2)/('минимумы и максимумы'!I$3-'минимумы и максимумы'!I$2)*100)</f>
        <v>33.333333333333329</v>
      </c>
      <c r="L17" s="1">
        <f>IF('исходные данные'!L17&gt;'минимумы и максимумы'!J$3,100,('исходные данные'!L17-'минимумы и максимумы'!J$2)/('минимумы и максимумы'!J$3-'минимумы и максимумы'!J$2)*100)</f>
        <v>80</v>
      </c>
      <c r="M17" s="1">
        <f>IF('исходные данные'!M17&gt;'минимумы и максимумы'!K$3,100,('исходные данные'!M17-'минимумы и максимумы'!K$2)/('минимумы и максимумы'!K$3-'минимумы и максимумы'!K$2)*100)</f>
        <v>54.838709677419352</v>
      </c>
      <c r="N17" s="1">
        <f>IF('исходные данные'!N17&gt;'минимумы и максимумы'!L$3,100,('исходные данные'!N17-'минимумы и максимумы'!L$2)/('минимумы и максимумы'!L$3-'минимумы и максимумы'!L$2)*100)</f>
        <v>10.44959192687203</v>
      </c>
      <c r="O17" s="1">
        <f>IF('исходные данные'!O17&gt;'минимумы и максимумы'!M$3,100,('исходные данные'!O17-'минимумы и максимумы'!M$2)/('минимумы и максимумы'!M$3-'минимумы и максимумы'!M$2)*100)</f>
        <v>66.666666666666657</v>
      </c>
      <c r="P17" s="1">
        <f>IF('исходные данные'!P17&gt;'минимумы и максимумы'!N$3,100,('исходные данные'!P17-'минимумы и максимумы'!N$2)/('минимумы и максимумы'!N$3-'минимумы и максимумы'!N$2)*100)</f>
        <v>0</v>
      </c>
      <c r="Q17" s="1">
        <f>IF('исходные данные'!Q17&gt;'минимумы и максимумы'!O$3,100,('исходные данные'!Q17-'минимумы и максимумы'!O$2)/('минимумы и максимумы'!O$3-'минимумы и максимумы'!O$2)*100)</f>
        <v>100</v>
      </c>
      <c r="R17" s="1">
        <f>IF('исходные данные'!R17&gt;'минимумы и максимумы'!P$3,100,('исходные данные'!R17-'минимумы и максимумы'!P$2)/('минимумы и максимумы'!P$3-'минимумы и максимумы'!P$2)*100)</f>
        <v>75</v>
      </c>
      <c r="S17" s="1">
        <f>IF('исходные данные'!S17&gt;'минимумы и максимумы'!Q$3,100,('исходные данные'!S17-'минимумы и максимумы'!Q$2)/('минимумы и максимумы'!Q$3-'минимумы и максимумы'!Q$2)*100)</f>
        <v>33.333333333333329</v>
      </c>
      <c r="T17" s="1">
        <f>IF('исходные данные'!T17&gt;'минимумы и максимумы'!R$3,100,('исходные данные'!T17-'минимумы и максимумы'!R$2)/('минимумы и максимумы'!R$3-'минимумы и максимумы'!R$2)*100)</f>
        <v>7.1711394632644083</v>
      </c>
      <c r="U17" s="1">
        <f>IF('исходные данные'!U17&gt;'минимумы и максимумы'!S$3,100,('исходные данные'!U17-'минимумы и максимумы'!S$2)/('минимумы и максимумы'!S$3-'минимумы и максимумы'!S$2)*100)</f>
        <v>0</v>
      </c>
    </row>
    <row r="18" spans="1:21" x14ac:dyDescent="0.45">
      <c r="A18" s="4">
        <v>34</v>
      </c>
      <c r="B18" s="4">
        <v>1</v>
      </c>
      <c r="C18" s="4">
        <v>0</v>
      </c>
      <c r="D18" s="1">
        <f>IF('исходные данные'!D18&gt;'минимумы и максимумы'!B$3,100,('исходные данные'!D18-'минимумы и максимумы'!B$2)/('минимумы и максимумы'!B$3-'минимумы и максимумы'!B$2)*100)</f>
        <v>0</v>
      </c>
      <c r="E18" s="1">
        <f>IF('исходные данные'!E18&gt;'минимумы и максимумы'!C$3,100,('исходные данные'!E18-'минимумы и максимумы'!C$2)/('минимумы и максимумы'!C$3-'минимумы и максимумы'!C$2)*100)</f>
        <v>50</v>
      </c>
      <c r="F18" s="1">
        <f>IF('исходные данные'!F18&gt;'минимумы и максимумы'!D$3,100,('исходные данные'!F18-'минимумы и максимумы'!D$2)/('минимумы и максимумы'!D$3-'минимумы и максимумы'!D$2)*100)</f>
        <v>33.333333333333329</v>
      </c>
      <c r="G18" s="1">
        <f>IF('исходные данные'!G18&gt;'минимумы и максимумы'!E$3,100,('исходные данные'!G18-'минимумы и максимумы'!E$2)/('минимумы и максимумы'!E$3-'минимумы и максимумы'!E$2)*100)</f>
        <v>41.666666666666671</v>
      </c>
      <c r="H18" s="1">
        <f>IF('исходные данные'!H18&gt;'минимумы и максимумы'!F$3,100,('исходные данные'!H18-'минимумы и максимумы'!F$2)/('минимумы и максимумы'!F$3-'минимумы и максимумы'!F$2)*100)</f>
        <v>44</v>
      </c>
      <c r="I18" s="1">
        <f>IF('исходные данные'!I18&gt;'минимумы и максимумы'!G$3,100,('исходные данные'!I18-'минимумы и максимумы'!G$2)/('минимумы и максимумы'!G$3-'минимумы и максимумы'!G$2)*100)</f>
        <v>49.056603773584904</v>
      </c>
      <c r="J18" s="1">
        <f>IF('исходные данные'!J18&gt;'минимумы и максимумы'!H$3,100,('исходные данные'!J18-'минимумы и максимумы'!H$2)/('минимумы и максимумы'!H$3-'минимумы и максимумы'!H$2)*100)</f>
        <v>26.666666666666668</v>
      </c>
      <c r="K18" s="1">
        <f>IF('исходные данные'!K18&gt;'минимумы и максимумы'!I$3,100,('исходные данные'!K18-'минимумы и максимумы'!I$2)/('минимумы и максимумы'!I$3-'минимумы и максимумы'!I$2)*100)</f>
        <v>100</v>
      </c>
      <c r="L18" s="1">
        <f>IF('исходные данные'!L18&gt;'минимумы и максимумы'!J$3,100,('исходные данные'!L18-'минимумы и максимумы'!J$2)/('минимумы и максимумы'!J$3-'минимумы и максимумы'!J$2)*100)</f>
        <v>80</v>
      </c>
      <c r="M18" s="1">
        <f>IF('исходные данные'!M18&gt;'минимумы и максимумы'!K$3,100,('исходные данные'!M18-'минимумы и максимумы'!K$2)/('минимумы и максимумы'!K$3-'минимумы и максимумы'!K$2)*100)</f>
        <v>22.58064516129032</v>
      </c>
      <c r="N18" s="1">
        <f>IF('исходные данные'!N18&gt;'минимумы и максимумы'!L$3,100,('исходные данные'!N18-'минимумы и максимумы'!L$2)/('минимумы и максимумы'!L$3-'минимумы и максимумы'!L$2)*100)</f>
        <v>14.187447406466545</v>
      </c>
      <c r="O18" s="1">
        <f>IF('исходные данные'!O18&gt;'минимумы и максимумы'!M$3,100,('исходные данные'!O18-'минимумы и максимумы'!M$2)/('минимумы и максимумы'!M$3-'минимумы и максимумы'!M$2)*100)</f>
        <v>66.666666666666657</v>
      </c>
      <c r="P18" s="1">
        <f>IF('исходные данные'!P18&gt;'минимумы и максимумы'!N$3,100,('исходные данные'!P18-'минимумы и максимумы'!N$2)/('минимумы и максимумы'!N$3-'минимумы и максимумы'!N$2)*100)</f>
        <v>100</v>
      </c>
      <c r="Q18" s="1">
        <f>IF('исходные данные'!Q18&gt;'минимумы и максимумы'!O$3,100,('исходные данные'!Q18-'минимумы и максимумы'!O$2)/('минимумы и максимумы'!O$3-'минимумы и максимумы'!O$2)*100)</f>
        <v>100</v>
      </c>
      <c r="R18" s="1">
        <f>IF('исходные данные'!R18&gt;'минимумы и максимумы'!P$3,100,('исходные данные'!R18-'минимумы и максимумы'!P$2)/('минимумы и максимумы'!P$3-'минимумы и максимумы'!P$2)*100)</f>
        <v>75</v>
      </c>
      <c r="S18" s="1">
        <f>IF('исходные данные'!S18&gt;'минимумы и максимумы'!Q$3,100,('исходные данные'!S18-'минимумы и максимумы'!Q$2)/('минимумы и максимумы'!Q$3-'минимумы и максимумы'!Q$2)*100)</f>
        <v>50</v>
      </c>
      <c r="T18" s="1">
        <f>IF('исходные данные'!T18&gt;'минимумы и максимумы'!R$3,100,('исходные данные'!T18-'минимумы и максимумы'!R$2)/('минимумы и максимумы'!R$3-'минимумы и максимумы'!R$2)*100)</f>
        <v>28.464584249890013</v>
      </c>
      <c r="U18" s="1">
        <f>IF('исходные данные'!U18&gt;'минимумы и максимумы'!S$3,100,('исходные данные'!U18-'минимумы и максимумы'!S$2)/('минимумы и максимумы'!S$3-'минимумы и максимумы'!S$2)*100)</f>
        <v>66.666666666666657</v>
      </c>
    </row>
    <row r="19" spans="1:21" x14ac:dyDescent="0.45">
      <c r="A19" s="4">
        <v>35</v>
      </c>
      <c r="B19" s="4">
        <v>0</v>
      </c>
      <c r="C19" s="4">
        <v>0</v>
      </c>
      <c r="D19" s="1">
        <f>IF('исходные данные'!D19&gt;'минимумы и максимумы'!B$3,100,('исходные данные'!D19-'минимумы и максимумы'!B$2)/('минимумы и максимумы'!B$3-'минимумы и максимумы'!B$2)*100)</f>
        <v>0</v>
      </c>
      <c r="E19" s="1">
        <f>IF('исходные данные'!E19&gt;'минимумы и максимумы'!C$3,100,('исходные данные'!E19-'минимумы и максимумы'!C$2)/('минимумы и максимумы'!C$3-'минимумы и максимумы'!C$2)*100)</f>
        <v>50</v>
      </c>
      <c r="F19" s="1">
        <f>IF('исходные данные'!F19&gt;'минимумы и максимумы'!D$3,100,('исходные данные'!F19-'минимумы и максимумы'!D$2)/('минимумы и максимумы'!D$3-'минимумы и максимумы'!D$2)*100)</f>
        <v>33.333333333333329</v>
      </c>
      <c r="G19" s="1">
        <f>IF('исходные данные'!G19&gt;'минимумы и максимумы'!E$3,100,('исходные данные'!G19-'минимумы и максимумы'!E$2)/('минимумы и максимумы'!E$3-'минимумы и максимумы'!E$2)*100)</f>
        <v>41.666666666666671</v>
      </c>
      <c r="H19" s="1">
        <f>IF('исходные данные'!H19&gt;'минимумы и максимумы'!F$3,100,('исходные данные'!H19-'минимумы и максимумы'!F$2)/('минимумы и максимумы'!F$3-'минимумы и максимумы'!F$2)*100)</f>
        <v>44</v>
      </c>
      <c r="I19" s="1">
        <f>IF('исходные данные'!I19&gt;'минимумы и максимумы'!G$3,100,('исходные данные'!I19-'минимумы и максимумы'!G$2)/('минимумы и максимумы'!G$3-'минимумы и максимумы'!G$2)*100)</f>
        <v>49.056603773584904</v>
      </c>
      <c r="J19" s="1">
        <f>IF('исходные данные'!J19&gt;'минимумы и максимумы'!H$3,100,('исходные данные'!J19-'минимумы и максимумы'!H$2)/('минимумы и максимумы'!H$3-'минимумы и максимумы'!H$2)*100)</f>
        <v>26.666666666666668</v>
      </c>
      <c r="K19" s="1">
        <f>IF('исходные данные'!K19&gt;'минимумы и максимумы'!I$3,100,('исходные данные'!K19-'минимумы и максимумы'!I$2)/('минимумы и максимумы'!I$3-'минимумы и максимумы'!I$2)*100)</f>
        <v>100</v>
      </c>
      <c r="L19" s="1">
        <f>IF('исходные данные'!L19&gt;'минимумы и максимумы'!J$3,100,('исходные данные'!L19-'минимумы и максимумы'!J$2)/('минимумы и максимумы'!J$3-'минимумы и максимумы'!J$2)*100)</f>
        <v>80</v>
      </c>
      <c r="M19" s="1">
        <f>IF('исходные данные'!M19&gt;'минимумы и максимумы'!K$3,100,('исходные данные'!M19-'минимумы и максимумы'!K$2)/('минимумы и максимумы'!K$3-'минимумы и максимумы'!K$2)*100)</f>
        <v>22.58064516129032</v>
      </c>
      <c r="N19" s="1">
        <f>IF('исходные данные'!N19&gt;'минимумы и максимумы'!L$3,100,('исходные данные'!N19-'минимумы и максимумы'!L$2)/('минимумы и максимумы'!L$3-'минимумы и максимумы'!L$2)*100)</f>
        <v>14.521058270721435</v>
      </c>
      <c r="O19" s="1">
        <f>IF('исходные данные'!O19&gt;'минимумы и максимумы'!M$3,100,('исходные данные'!O19-'минимумы и максимумы'!M$2)/('минимумы и максимумы'!M$3-'минимумы и максимумы'!M$2)*100)</f>
        <v>66.666666666666657</v>
      </c>
      <c r="P19" s="1">
        <f>IF('исходные данные'!P19&gt;'минимумы и максимумы'!N$3,100,('исходные данные'!P19-'минимумы и максимумы'!N$2)/('минимумы и максимумы'!N$3-'минимумы и максимумы'!N$2)*100)</f>
        <v>100</v>
      </c>
      <c r="Q19" s="1">
        <f>IF('исходные данные'!Q19&gt;'минимумы и максимумы'!O$3,100,('исходные данные'!Q19-'минимумы и максимумы'!O$2)/('минимумы и максимумы'!O$3-'минимумы и максимумы'!O$2)*100)</f>
        <v>100</v>
      </c>
      <c r="R19" s="1">
        <f>IF('исходные данные'!R19&gt;'минимумы и максимумы'!P$3,100,('исходные данные'!R19-'минимумы и максимумы'!P$2)/('минимумы и максимумы'!P$3-'минимумы и максимумы'!P$2)*100)</f>
        <v>75</v>
      </c>
      <c r="S19" s="1">
        <f>IF('исходные данные'!S19&gt;'минимумы и максимумы'!Q$3,100,('исходные данные'!S19-'минимумы и максимумы'!Q$2)/('минимумы и максимумы'!Q$3-'минимумы и максимумы'!Q$2)*100)</f>
        <v>33.333333333333329</v>
      </c>
      <c r="T19" s="1">
        <f>IF('исходные данные'!T19&gt;'минимумы и максимумы'!R$3,100,('исходные данные'!T19-'минимумы и максимумы'!R$2)/('минимумы и максимумы'!R$3-'минимумы и максимумы'!R$2)*100)</f>
        <v>6.247250329960405</v>
      </c>
      <c r="U19" s="1">
        <f>IF('исходные данные'!U19&gt;'минимумы и максимумы'!S$3,100,('исходные данные'!U19-'минимумы и максимумы'!S$2)/('минимумы и максимумы'!S$3-'минимумы и максимумы'!S$2)*100)</f>
        <v>0</v>
      </c>
    </row>
    <row r="20" spans="1:21" x14ac:dyDescent="0.45">
      <c r="A20" s="4">
        <v>36</v>
      </c>
      <c r="B20" s="4">
        <v>0</v>
      </c>
      <c r="C20" s="4">
        <v>0</v>
      </c>
      <c r="D20" s="1">
        <f>IF('исходные данные'!D20&gt;'минимумы и максимумы'!B$3,100,('исходные данные'!D20-'минимумы и максимумы'!B$2)/('минимумы и максимумы'!B$3-'минимумы и максимумы'!B$2)*100)</f>
        <v>0</v>
      </c>
      <c r="E20" s="1">
        <f>IF('исходные данные'!E20&gt;'минимумы и максимумы'!C$3,100,('исходные данные'!E20-'минимумы и максимумы'!C$2)/('минимумы и максимумы'!C$3-'минимумы и максимумы'!C$2)*100)</f>
        <v>40</v>
      </c>
      <c r="F20" s="1">
        <f>IF('исходные данные'!F20&gt;'минимумы и максимумы'!D$3,100,('исходные данные'!F20-'минимумы и максимумы'!D$2)/('минимумы и максимумы'!D$3-'минимумы и максимумы'!D$2)*100)</f>
        <v>33.333333333333329</v>
      </c>
      <c r="G20" s="1">
        <f>IF('исходные данные'!G20&gt;'минимумы и максимумы'!E$3,100,('исходные данные'!G20-'минимумы и максимумы'!E$2)/('минимумы и максимумы'!E$3-'минимумы и максимумы'!E$2)*100)</f>
        <v>58.333333333333336</v>
      </c>
      <c r="H20" s="1">
        <f>IF('исходные данные'!H20&gt;'минимумы и максимумы'!F$3,100,('исходные данные'!H20-'минимумы и максимумы'!F$2)/('минимумы и максимумы'!F$3-'минимумы и максимумы'!F$2)*100)</f>
        <v>56.000000000000007</v>
      </c>
      <c r="I20" s="1">
        <f>IF('исходные данные'!I20&gt;'минимумы и максимумы'!G$3,100,('исходные данные'!I20-'минимумы и максимумы'!G$2)/('минимумы и максимумы'!G$3-'минимумы и максимумы'!G$2)*100)</f>
        <v>41.509433962264154</v>
      </c>
      <c r="J20" s="1">
        <f>IF('исходные данные'!J20&gt;'минимумы и максимумы'!H$3,100,('исходные данные'!J20-'минимумы и максимумы'!H$2)/('минимумы и максимумы'!H$3-'минимумы и максимумы'!H$2)*100)</f>
        <v>13.333333333333334</v>
      </c>
      <c r="K20" s="1">
        <f>IF('исходные данные'!K20&gt;'минимумы и максимумы'!I$3,100,('исходные данные'!K20-'минимумы и максимумы'!I$2)/('минимумы и максимумы'!I$3-'минимумы и максимумы'!I$2)*100)</f>
        <v>100</v>
      </c>
      <c r="L20" s="1">
        <f>IF('исходные данные'!L20&gt;'минимумы и максимумы'!J$3,100,('исходные данные'!L20-'минимумы и максимумы'!J$2)/('минимумы и максимумы'!J$3-'минимумы и максимумы'!J$2)*100)</f>
        <v>80</v>
      </c>
      <c r="M20" s="1">
        <f>IF('исходные данные'!M20&gt;'минимумы и максимумы'!K$3,100,('исходные данные'!M20-'минимумы и максимумы'!K$2)/('минимумы и максимумы'!K$3-'минимумы и максимумы'!K$2)*100)</f>
        <v>19.35483870967742</v>
      </c>
      <c r="N20" s="1">
        <f>IF('исходные данные'!N20&gt;'минимумы и максимумы'!L$3,100,('исходные данные'!N20-'минимумы и максимумы'!L$2)/('минимумы и максимумы'!L$3-'минимумы и максимумы'!L$2)*100)</f>
        <v>14.521058270721435</v>
      </c>
      <c r="O20" s="1">
        <f>IF('исходные данные'!O20&gt;'минимумы и максимумы'!M$3,100,('исходные данные'!O20-'минимумы и максимумы'!M$2)/('минимумы и максимумы'!M$3-'минимумы и максимумы'!M$2)*100)</f>
        <v>66.666666666666657</v>
      </c>
      <c r="P20" s="1">
        <f>IF('исходные данные'!P20&gt;'минимумы и максимумы'!N$3,100,('исходные данные'!P20-'минимумы и максимумы'!N$2)/('минимумы и максимумы'!N$3-'минимумы и максимумы'!N$2)*100)</f>
        <v>0</v>
      </c>
      <c r="Q20" s="1">
        <f>IF('исходные данные'!Q20&gt;'минимумы и максимумы'!O$3,100,('исходные данные'!Q20-'минимумы и максимумы'!O$2)/('минимумы и максимумы'!O$3-'минимумы и максимумы'!O$2)*100)</f>
        <v>100</v>
      </c>
      <c r="R20" s="1">
        <f>IF('исходные данные'!R20&gt;'минимумы и максимумы'!P$3,100,('исходные данные'!R20-'минимумы и максимумы'!P$2)/('минимумы и максимумы'!P$3-'минимумы и максимумы'!P$2)*100)</f>
        <v>75</v>
      </c>
      <c r="S20" s="1">
        <f>IF('исходные данные'!S20&gt;'минимумы и максимумы'!Q$3,100,('исходные данные'!S20-'минимумы и максимумы'!Q$2)/('минимумы и максимумы'!Q$3-'минимумы и максимумы'!Q$2)*100)</f>
        <v>83.333333333333343</v>
      </c>
      <c r="T20" s="1">
        <f>IF('исходные данные'!T20&gt;'минимумы и максимумы'!R$3,100,('исходные данные'!T20-'минимумы и максимумы'!R$2)/('минимумы и максимумы'!R$3-'минимумы и максимумы'!R$2)*100)</f>
        <v>19.4456665200176</v>
      </c>
      <c r="U20" s="1">
        <f>IF('исходные данные'!U20&gt;'минимумы и максимумы'!S$3,100,('исходные данные'!U20-'минимумы и максимумы'!S$2)/('минимумы и максимумы'!S$3-'минимумы и максимумы'!S$2)*100)</f>
        <v>0</v>
      </c>
    </row>
    <row r="21" spans="1:21" x14ac:dyDescent="0.45">
      <c r="A21" s="4">
        <v>42</v>
      </c>
      <c r="B21" s="4">
        <v>0</v>
      </c>
      <c r="C21" s="4">
        <v>0</v>
      </c>
      <c r="D21" s="1">
        <f>IF('исходные данные'!D21&gt;'минимумы и максимумы'!B$3,100,('исходные данные'!D21-'минимумы и максимумы'!B$2)/('минимумы и максимумы'!B$3-'минимумы и максимумы'!B$2)*100)</f>
        <v>40</v>
      </c>
      <c r="E21" s="1">
        <f>IF('исходные данные'!E21&gt;'минимумы и максимумы'!C$3,100,('исходные данные'!E21-'минимумы и максимумы'!C$2)/('минимумы и максимумы'!C$3-'минимумы и максимумы'!C$2)*100)</f>
        <v>30</v>
      </c>
      <c r="F21" s="1">
        <f>IF('исходные данные'!F21&gt;'минимумы и максимумы'!D$3,100,('исходные данные'!F21-'минимумы и максимумы'!D$2)/('минимумы и максимумы'!D$3-'минимумы и максимумы'!D$2)*100)</f>
        <v>33.333333333333329</v>
      </c>
      <c r="G21" s="1">
        <f>IF('исходные данные'!G21&gt;'минимумы и максимумы'!E$3,100,('исходные данные'!G21-'минимумы и максимумы'!E$2)/('минимумы и максимумы'!E$3-'минимумы и максимумы'!E$2)*100)</f>
        <v>58.333333333333336</v>
      </c>
      <c r="H21" s="1">
        <f>IF('исходные данные'!H21&gt;'минимумы и максимумы'!F$3,100,('исходные данные'!H21-'минимумы и максимумы'!F$2)/('минимумы и максимумы'!F$3-'минимумы и максимумы'!F$2)*100)</f>
        <v>44</v>
      </c>
      <c r="I21" s="1">
        <f>IF('исходные данные'!I21&gt;'минимумы и максимумы'!G$3,100,('исходные данные'!I21-'минимумы и максимумы'!G$2)/('минимумы и максимумы'!G$3-'минимумы и максимумы'!G$2)*100)</f>
        <v>58.490566037735846</v>
      </c>
      <c r="J21" s="1">
        <f>IF('исходные данные'!J21&gt;'минимумы и максимумы'!H$3,100,('исходные данные'!J21-'минимумы и максимумы'!H$2)/('минимумы и максимумы'!H$3-'минимумы и максимумы'!H$2)*100)</f>
        <v>66.666666666666657</v>
      </c>
      <c r="K21" s="1">
        <f>IF('исходные данные'!K21&gt;'минимумы и максимумы'!I$3,100,('исходные данные'!K21-'минимумы и максимумы'!I$2)/('минимумы и максимумы'!I$3-'минимумы и максимумы'!I$2)*100)</f>
        <v>44.444444444444443</v>
      </c>
      <c r="L21" s="1">
        <f>IF('исходные данные'!L21&gt;'минимумы и максимумы'!J$3,100,('исходные данные'!L21-'минимумы и максимумы'!J$2)/('минимумы и максимумы'!J$3-'минимумы и максимумы'!J$2)*100)</f>
        <v>100</v>
      </c>
      <c r="M21" s="1">
        <f>IF('исходные данные'!M21&gt;'минимумы и максимумы'!K$3,100,('исходные данные'!M21-'минимумы и максимумы'!K$2)/('минимумы и максимумы'!K$3-'минимумы и максимумы'!K$2)*100)</f>
        <v>29.032258064516132</v>
      </c>
      <c r="N21" s="1">
        <f>IF('исходные данные'!N21&gt;'минимумы и максимумы'!L$3,100,('исходные данные'!N21-'минимумы и максимумы'!L$2)/('минимумы и максимумы'!L$3-'минимумы и максимумы'!L$2)*100)</f>
        <v>15.657557750703969</v>
      </c>
      <c r="O21" s="1">
        <f>IF('исходные данные'!O21&gt;'минимумы и максимумы'!M$3,100,('исходные данные'!O21-'минимумы и максимумы'!M$2)/('минимумы и максимумы'!M$3-'минимумы и максимумы'!M$2)*100)</f>
        <v>66.666666666666657</v>
      </c>
      <c r="P21" s="1">
        <f>IF('исходные данные'!P21&gt;'минимумы и максимумы'!N$3,100,('исходные данные'!P21-'минимумы и максимумы'!N$2)/('минимумы и максимумы'!N$3-'минимумы и максимумы'!N$2)*100)</f>
        <v>0</v>
      </c>
      <c r="Q21" s="1">
        <f>IF('исходные данные'!Q21&gt;'минимумы и максимумы'!O$3,100,('исходные данные'!Q21-'минимумы и максимумы'!O$2)/('минимумы и максимумы'!O$3-'минимумы и максимумы'!O$2)*100)</f>
        <v>100</v>
      </c>
      <c r="R21" s="1">
        <f>IF('исходные данные'!R21&gt;'минимумы и максимумы'!P$3,100,('исходные данные'!R21-'минимумы и максимумы'!P$2)/('минимумы и максимумы'!P$3-'минимумы и максимумы'!P$2)*100)</f>
        <v>75</v>
      </c>
      <c r="S21" s="1">
        <f>IF('исходные данные'!S21&gt;'минимумы и максимумы'!Q$3,100,('исходные данные'!S21-'минимумы и максимумы'!Q$2)/('минимумы и максимумы'!Q$3-'минимумы и максимумы'!Q$2)*100)</f>
        <v>33.333333333333329</v>
      </c>
      <c r="T21" s="1">
        <f>IF('исходные данные'!T21&gt;'минимумы и максимумы'!R$3,100,('исходные данные'!T21-'минимумы и максимумы'!R$2)/('минимумы и максимумы'!R$3-'минимумы и максимумы'!R$2)*100)</f>
        <v>6.3792344918609771</v>
      </c>
      <c r="U21" s="1">
        <f>IF('исходные данные'!U21&gt;'минимумы и максимумы'!S$3,100,('исходные данные'!U21-'минимумы и максимумы'!S$2)/('минимумы и максимумы'!S$3-'минимумы и максимумы'!S$2)*100)</f>
        <v>0</v>
      </c>
    </row>
    <row r="22" spans="1:21" x14ac:dyDescent="0.45">
      <c r="A22" s="4">
        <v>43</v>
      </c>
      <c r="B22" s="4">
        <v>1</v>
      </c>
      <c r="C22" s="4">
        <v>0</v>
      </c>
      <c r="D22" s="1">
        <f>IF('исходные данные'!D22&gt;'минимумы и максимумы'!B$3,100,('исходные данные'!D22-'минимумы и максимумы'!B$2)/('минимумы и максимумы'!B$3-'минимумы и максимумы'!B$2)*100)</f>
        <v>0</v>
      </c>
      <c r="E22" s="1">
        <f>IF('исходные данные'!E22&gt;'минимумы и максимумы'!C$3,100,('исходные данные'!E22-'минимумы и максимумы'!C$2)/('минимумы и максимумы'!C$3-'минимумы и максимумы'!C$2)*100)</f>
        <v>40</v>
      </c>
      <c r="F22" s="1">
        <f>IF('исходные данные'!F22&gt;'минимумы и максимумы'!D$3,100,('исходные данные'!F22-'минимумы и максимумы'!D$2)/('минимумы и максимумы'!D$3-'минимумы и максимумы'!D$2)*100)</f>
        <v>33.333333333333329</v>
      </c>
      <c r="G22" s="1">
        <f>IF('исходные данные'!G22&gt;'минимумы и максимумы'!E$3,100,('исходные данные'!G22-'минимумы и максимумы'!E$2)/('минимумы и максимумы'!E$3-'минимумы и максимумы'!E$2)*100)</f>
        <v>50</v>
      </c>
      <c r="H22" s="1">
        <f>IF('исходные данные'!H22&gt;'минимумы и максимумы'!F$3,100,('исходные данные'!H22-'минимумы и максимумы'!F$2)/('минимумы и максимумы'!F$3-'минимумы и максимумы'!F$2)*100)</f>
        <v>32</v>
      </c>
      <c r="I22" s="1">
        <f>IF('исходные данные'!I22&gt;'минимумы и максимумы'!G$3,100,('исходные данные'!I22-'минимумы и максимумы'!G$2)/('минимумы и максимумы'!G$3-'минимумы и максимумы'!G$2)*100)</f>
        <v>24.528301886792452</v>
      </c>
      <c r="J22" s="1">
        <f>IF('исходные данные'!J22&gt;'минимумы и максимумы'!H$3,100,('исходные данные'!J22-'минимумы и максимумы'!H$2)/('минимумы и максимумы'!H$3-'минимумы и максимумы'!H$2)*100)</f>
        <v>20</v>
      </c>
      <c r="K22" s="1">
        <f>IF('исходные данные'!K22&gt;'минимумы и максимумы'!I$3,100,('исходные данные'!K22-'минимумы и максимумы'!I$2)/('минимумы и максимумы'!I$3-'минимумы и максимумы'!I$2)*100)</f>
        <v>50</v>
      </c>
      <c r="L22" s="1">
        <f>IF('исходные данные'!L22&gt;'минимумы и максимумы'!J$3,100,('исходные данные'!L22-'минимумы и максимумы'!J$2)/('минимумы и максимумы'!J$3-'минимумы и максимумы'!J$2)*100)</f>
        <v>0</v>
      </c>
      <c r="M22" s="1">
        <f>IF('исходные данные'!M22&gt;'минимумы и максимумы'!K$3,100,('исходные данные'!M22-'минимумы и максимумы'!K$2)/('минимумы и максимумы'!K$3-'минимумы и максимумы'!K$2)*100)</f>
        <v>9.67741935483871</v>
      </c>
      <c r="N22" s="1">
        <f>IF('исходные данные'!N22&gt;'минимумы и максимумы'!L$3,100,('исходные данные'!N22-'минимумы и максимумы'!L$2)/('минимумы и максимумы'!L$3-'минимумы и максимумы'!L$2)*100)</f>
        <v>17.662712131246909</v>
      </c>
      <c r="O22" s="1">
        <f>IF('исходные данные'!O22&gt;'минимумы и максимумы'!M$3,100,('исходные данные'!O22-'минимумы и максимумы'!M$2)/('минимумы и максимумы'!M$3-'минимумы и максимумы'!M$2)*100)</f>
        <v>100</v>
      </c>
      <c r="P22" s="1">
        <f>IF('исходные данные'!P22&gt;'минимумы и максимумы'!N$3,100,('исходные данные'!P22-'минимумы и максимумы'!N$2)/('минимумы и максимумы'!N$3-'минимумы и максимумы'!N$2)*100)</f>
        <v>0</v>
      </c>
      <c r="Q22" s="1">
        <f>IF('исходные данные'!Q22&gt;'минимумы и максимумы'!O$3,100,('исходные данные'!Q22-'минимумы и максимумы'!O$2)/('минимумы и максимумы'!O$3-'минимумы и максимумы'!O$2)*100)</f>
        <v>100</v>
      </c>
      <c r="R22" s="1">
        <f>IF('исходные данные'!R22&gt;'минимумы и максимумы'!P$3,100,('исходные данные'!R22-'минимумы и максимумы'!P$2)/('минимумы и максимумы'!P$3-'минимумы и максимумы'!P$2)*100)</f>
        <v>75</v>
      </c>
      <c r="S22" s="1">
        <f>IF('исходные данные'!S22&gt;'минимумы и максимумы'!Q$3,100,('исходные данные'!S22-'минимумы и максимумы'!Q$2)/('минимумы и максимумы'!Q$3-'минимумы и максимумы'!Q$2)*100)</f>
        <v>50</v>
      </c>
      <c r="T22" s="1">
        <f>IF('исходные данные'!T22&gt;'минимумы и максимумы'!R$3,100,('исходные данные'!T22-'минимумы и максимумы'!R$2)/('минимумы и максимумы'!R$3-'минимумы и максимумы'!R$2)*100)</f>
        <v>57.677078750549938</v>
      </c>
      <c r="U22" s="1">
        <f>IF('исходные данные'!U22&gt;'минимумы и максимумы'!S$3,100,('исходные данные'!U22-'минимумы и максимумы'!S$2)/('минимумы и максимумы'!S$3-'минимумы и максимумы'!S$2)*100)</f>
        <v>100</v>
      </c>
    </row>
    <row r="23" spans="1:21" x14ac:dyDescent="0.45">
      <c r="A23" s="4">
        <v>44</v>
      </c>
      <c r="B23" s="4">
        <v>0</v>
      </c>
      <c r="C23" s="4">
        <v>0</v>
      </c>
      <c r="D23" s="1">
        <f>IF('исходные данные'!D23&gt;'минимумы и максимумы'!B$3,100,('исходные данные'!D23-'минимумы и максимумы'!B$2)/('минимумы и максимумы'!B$3-'минимумы и максимумы'!B$2)*100)</f>
        <v>40</v>
      </c>
      <c r="E23" s="1">
        <f>IF('исходные данные'!E23&gt;'минимумы и максимумы'!C$3,100,('исходные данные'!E23-'минимумы и максимумы'!C$2)/('минимумы и максимумы'!C$3-'минимумы и максимумы'!C$2)*100)</f>
        <v>50</v>
      </c>
      <c r="F23" s="1">
        <f>IF('исходные данные'!F23&gt;'минимумы и максимумы'!D$3,100,('исходные данные'!F23-'минимумы и максимумы'!D$2)/('минимумы и максимумы'!D$3-'минимумы и максимумы'!D$2)*100)</f>
        <v>0</v>
      </c>
      <c r="G23" s="1">
        <f>IF('исходные данные'!G23&gt;'минимумы и максимумы'!E$3,100,('исходные данные'!G23-'минимумы и максимумы'!E$2)/('минимумы и максимумы'!E$3-'минимумы и максимумы'!E$2)*100)</f>
        <v>33.333333333333329</v>
      </c>
      <c r="H23" s="1">
        <f>IF('исходные данные'!H23&gt;'минимумы и максимумы'!F$3,100,('исходные данные'!H23-'минимумы и максимумы'!F$2)/('минимумы и максимумы'!F$3-'минимумы и максимумы'!F$2)*100)</f>
        <v>44</v>
      </c>
      <c r="I23" s="1">
        <f>IF('исходные данные'!I23&gt;'минимумы и максимумы'!G$3,100,('исходные данные'!I23-'минимумы и максимумы'!G$2)/('минимумы и максимумы'!G$3-'минимумы и максимумы'!G$2)*100)</f>
        <v>20.754716981132077</v>
      </c>
      <c r="J23" s="1">
        <f>IF('исходные данные'!J23&gt;'минимумы и максимумы'!H$3,100,('исходные данные'!J23-'минимумы и максимумы'!H$2)/('минимумы и максимумы'!H$3-'минимумы и максимумы'!H$2)*100)</f>
        <v>6.666666666666667</v>
      </c>
      <c r="K23" s="1">
        <f>IF('исходные данные'!K23&gt;'минимумы и максимумы'!I$3,100,('исходные данные'!K23-'минимумы и максимумы'!I$2)/('минимумы и максимумы'!I$3-'минимумы и максимумы'!I$2)*100)</f>
        <v>0</v>
      </c>
      <c r="L23" s="1">
        <f>IF('исходные данные'!L23&gt;'минимумы и максимумы'!J$3,100,('исходные данные'!L23-'минимумы и максимумы'!J$2)/('минимумы и максимумы'!J$3-'минимумы и максимумы'!J$2)*100)</f>
        <v>20</v>
      </c>
      <c r="M23" s="1">
        <f>IF('исходные данные'!M23&gt;'минимумы и максимумы'!K$3,100,('исходные данные'!M23-'минимумы и максимумы'!K$2)/('минимумы и максимумы'!K$3-'минимумы и максимумы'!K$2)*100)</f>
        <v>19.35483870967742</v>
      </c>
      <c r="N23" s="1">
        <f>IF('исходные данные'!N23&gt;'минимумы и максимумы'!L$3,100,('исходные данные'!N23-'минимумы и максимумы'!L$2)/('минимумы и максимумы'!L$3-'минимумы и максимумы'!L$2)*100)</f>
        <v>26.197466732971897</v>
      </c>
      <c r="O23" s="1">
        <f>IF('исходные данные'!O23&gt;'минимумы и максимумы'!M$3,100,('исходные данные'!O23-'минимумы и максимумы'!M$2)/('минимумы и максимумы'!M$3-'минимумы и максимумы'!M$2)*100)</f>
        <v>100</v>
      </c>
      <c r="P23" s="1">
        <f>IF('исходные данные'!P23&gt;'минимумы и максимумы'!N$3,100,('исходные данные'!P23-'минимумы и максимумы'!N$2)/('минимумы и максимумы'!N$3-'минимумы и максимумы'!N$2)*100)</f>
        <v>0</v>
      </c>
      <c r="Q23" s="1">
        <f>IF('исходные данные'!Q23&gt;'минимумы и максимумы'!O$3,100,('исходные данные'!Q23-'минимумы и максимумы'!O$2)/('минимумы и максимумы'!O$3-'минимумы и максимумы'!O$2)*100)</f>
        <v>0</v>
      </c>
      <c r="R23" s="1">
        <f>IF('исходные данные'!R23&gt;'минимумы и максимумы'!P$3,100,('исходные данные'!R23-'минимумы и максимумы'!P$2)/('минимумы и максимумы'!P$3-'минимумы и максимумы'!P$2)*100)</f>
        <v>100</v>
      </c>
      <c r="S23" s="1">
        <f>IF('исходные данные'!S23&gt;'минимумы и максимумы'!Q$3,100,('исходные данные'!S23-'минимумы и максимумы'!Q$2)/('минимумы и максимумы'!Q$3-'минимумы и максимумы'!Q$2)*100)</f>
        <v>33.333333333333329</v>
      </c>
      <c r="T23" s="1">
        <f>IF('исходные данные'!T23&gt;'минимумы и максимумы'!R$3,100,('исходные данные'!T23-'минимумы и максимумы'!R$2)/('минимумы и максимумы'!R$3-'минимумы и максимумы'!R$2)*100)</f>
        <v>60.66871975362956</v>
      </c>
      <c r="U23" s="1">
        <f>IF('исходные данные'!U23&gt;'минимумы и максимумы'!S$3,100,('исходные данные'!U23-'минимумы и максимумы'!S$2)/('минимумы и максимумы'!S$3-'минимумы и максимумы'!S$2)*100)</f>
        <v>0</v>
      </c>
    </row>
    <row r="24" spans="1:21" x14ac:dyDescent="0.45">
      <c r="A24" s="4">
        <v>46</v>
      </c>
      <c r="B24" s="4">
        <v>0</v>
      </c>
      <c r="C24" s="4">
        <v>0</v>
      </c>
      <c r="D24" s="1">
        <f>IF('исходные данные'!D24&gt;'минимумы и максимумы'!B$3,100,('исходные данные'!D24-'минимумы и максимумы'!B$2)/('минимумы и максимумы'!B$3-'минимумы и максимумы'!B$2)*100)</f>
        <v>60</v>
      </c>
      <c r="E24" s="1">
        <f>IF('исходные данные'!E24&gt;'минимумы и максимумы'!C$3,100,('исходные данные'!E24-'минимумы и максимумы'!C$2)/('минимумы и максимумы'!C$3-'минимумы и максимумы'!C$2)*100)</f>
        <v>70</v>
      </c>
      <c r="F24" s="1">
        <f>IF('исходные данные'!F24&gt;'минимумы и максимумы'!D$3,100,('исходные данные'!F24-'минимумы и максимумы'!D$2)/('минимумы и максимумы'!D$3-'минимумы и максимумы'!D$2)*100)</f>
        <v>33.333333333333329</v>
      </c>
      <c r="G24" s="1">
        <f>IF('исходные данные'!G24&gt;'минимумы и максимумы'!E$3,100,('исходные данные'!G24-'минимумы и максимумы'!E$2)/('минимумы и максимумы'!E$3-'минимумы и максимумы'!E$2)*100)</f>
        <v>37.5</v>
      </c>
      <c r="H24" s="1">
        <f>IF('исходные данные'!H24&gt;'минимумы и максимумы'!F$3,100,('исходные данные'!H24-'минимумы и максимумы'!F$2)/('минимумы и максимумы'!F$3-'минимумы и максимумы'!F$2)*100)</f>
        <v>60</v>
      </c>
      <c r="I24" s="1">
        <f>IF('исходные данные'!I24&gt;'минимумы и максимумы'!G$3,100,('исходные данные'!I24-'минимумы и максимумы'!G$2)/('минимумы и максимумы'!G$3-'минимумы и максимумы'!G$2)*100)</f>
        <v>18.867924528301888</v>
      </c>
      <c r="J24" s="1">
        <f>IF('исходные данные'!J24&gt;'минимумы и максимумы'!H$3,100,('исходные данные'!J24-'минимумы и максимумы'!H$2)/('минимумы и максимумы'!H$3-'минимумы и максимумы'!H$2)*100)</f>
        <v>6.666666666666667</v>
      </c>
      <c r="K24" s="1">
        <f>IF('исходные данные'!K24&gt;'минимумы и максимумы'!I$3,100,('исходные данные'!K24-'минимумы и максимумы'!I$2)/('минимумы и максимумы'!I$3-'минимумы и максимумы'!I$2)*100)</f>
        <v>0</v>
      </c>
      <c r="L24" s="1">
        <f>IF('исходные данные'!L24&gt;'минимумы и максимумы'!J$3,100,('исходные данные'!L24-'минимумы и максимумы'!J$2)/('минимумы и максимумы'!J$3-'минимумы и максимумы'!J$2)*100)</f>
        <v>40</v>
      </c>
      <c r="M24" s="1">
        <f>IF('исходные данные'!M24&gt;'минимумы и максимумы'!K$3,100,('исходные данные'!M24-'минимумы и максимумы'!K$2)/('минимумы и максимумы'!K$3-'минимумы и максимумы'!K$2)*100)</f>
        <v>32.258064516129032</v>
      </c>
      <c r="N24" s="1">
        <f>IF('исходные данные'!N24&gt;'минимумы и максимумы'!L$3,100,('исходные данные'!N24-'минимумы и максимумы'!L$2)/('минимумы и максимумы'!L$3-'минимумы и максимумы'!L$2)*100)</f>
        <v>26.056784458038333</v>
      </c>
      <c r="O24" s="1">
        <f>IF('исходные данные'!O24&gt;'минимумы и максимумы'!M$3,100,('исходные данные'!O24-'минимумы и максимумы'!M$2)/('минимумы и максимумы'!M$3-'минимумы и максимумы'!M$2)*100)</f>
        <v>100</v>
      </c>
      <c r="P24" s="1">
        <f>IF('исходные данные'!P24&gt;'минимумы и максимумы'!N$3,100,('исходные данные'!P24-'минимумы и максимумы'!N$2)/('минимумы и максимумы'!N$3-'минимумы и максимумы'!N$2)*100)</f>
        <v>0</v>
      </c>
      <c r="Q24" s="1">
        <f>IF('исходные данные'!Q24&gt;'минимумы и максимумы'!O$3,100,('исходные данные'!Q24-'минимумы и максимумы'!O$2)/('минимумы и максимумы'!O$3-'минимумы и максимумы'!O$2)*100)</f>
        <v>0</v>
      </c>
      <c r="R24" s="1">
        <f>IF('исходные данные'!R24&gt;'минимумы и максимумы'!P$3,100,('исходные данные'!R24-'минимумы и максимумы'!P$2)/('минимумы и максимумы'!P$3-'минимумы и максимумы'!P$2)*100)</f>
        <v>100</v>
      </c>
      <c r="S24" s="1">
        <f>IF('исходные данные'!S24&gt;'минимумы и максимумы'!Q$3,100,('исходные данные'!S24-'минимумы и максимумы'!Q$2)/('минимумы и максимумы'!Q$3-'минимумы и максимумы'!Q$2)*100)</f>
        <v>33.333333333333329</v>
      </c>
      <c r="T24" s="1">
        <f>IF('исходные данные'!T24&gt;'минимумы и максимумы'!R$3,100,('исходные данные'!T24-'минимумы и максимумы'!R$2)/('минимумы и максимумы'!R$3-'минимумы и максимумы'!R$2)*100)</f>
        <v>3.5195776506819181</v>
      </c>
      <c r="U24" s="1">
        <f>IF('исходные данные'!U24&gt;'минимумы и максимумы'!S$3,100,('исходные данные'!U24-'минимумы и максимумы'!S$2)/('минимумы и максимумы'!S$3-'минимумы и максимумы'!S$2)*100)</f>
        <v>0</v>
      </c>
    </row>
    <row r="25" spans="1:21" x14ac:dyDescent="0.45">
      <c r="A25" s="4">
        <v>48</v>
      </c>
      <c r="B25" s="4">
        <v>0</v>
      </c>
      <c r="C25" s="4">
        <v>0</v>
      </c>
      <c r="D25" s="1">
        <f>IF('исходные данные'!D25&gt;'минимумы и максимумы'!B$3,100,('исходные данные'!D25-'минимумы и максимумы'!B$2)/('минимумы и максимумы'!B$3-'минимумы и максимумы'!B$2)*100)</f>
        <v>0</v>
      </c>
      <c r="E25" s="1">
        <f>IF('исходные данные'!E25&gt;'минимумы и максимумы'!C$3,100,('исходные данные'!E25-'минимумы и максимумы'!C$2)/('минимумы и максимумы'!C$3-'минимумы и максимумы'!C$2)*100)</f>
        <v>30</v>
      </c>
      <c r="F25" s="1">
        <f>IF('исходные данные'!F25&gt;'минимумы и максимумы'!D$3,100,('исходные данные'!F25-'минимумы и максимумы'!D$2)/('минимумы и максимумы'!D$3-'минимумы и максимумы'!D$2)*100)</f>
        <v>33.333333333333329</v>
      </c>
      <c r="G25" s="1">
        <f>IF('исходные данные'!G25&gt;'минимумы и максимумы'!E$3,100,('исходные данные'!G25-'минимумы и максимумы'!E$2)/('минимумы и максимумы'!E$3-'минимумы и максимумы'!E$2)*100)</f>
        <v>20.833333333333336</v>
      </c>
      <c r="H25" s="1">
        <f>IF('исходные данные'!H25&gt;'минимумы и максимумы'!F$3,100,('исходные данные'!H25-'минимумы и максимумы'!F$2)/('минимумы и максимумы'!F$3-'минимумы и максимумы'!F$2)*100)</f>
        <v>36</v>
      </c>
      <c r="I25" s="1">
        <f>IF('исходные данные'!I25&gt;'минимумы и максимумы'!G$3,100,('исходные данные'!I25-'минимумы и максимумы'!G$2)/('минимумы и максимумы'!G$3-'минимумы и максимумы'!G$2)*100)</f>
        <v>24.528301886792452</v>
      </c>
      <c r="J25" s="1">
        <f>IF('исходные данные'!J25&gt;'минимумы и максимумы'!H$3,100,('исходные данные'!J25-'минимумы и максимумы'!H$2)/('минимумы и максимумы'!H$3-'минимумы и максимумы'!H$2)*100)</f>
        <v>6.666666666666667</v>
      </c>
      <c r="K25" s="1">
        <f>IF('исходные данные'!K25&gt;'минимумы и максимумы'!I$3,100,('исходные данные'!K25-'минимумы и максимумы'!I$2)/('минимумы и максимумы'!I$3-'минимумы и максимумы'!I$2)*100)</f>
        <v>33.333333333333329</v>
      </c>
      <c r="L25" s="1">
        <f>IF('исходные данные'!L25&gt;'минимумы и максимумы'!J$3,100,('исходные данные'!L25-'минимумы и максимумы'!J$2)/('минимумы и максимумы'!J$3-'минимумы и максимумы'!J$2)*100)</f>
        <v>0</v>
      </c>
      <c r="M25" s="1">
        <f>IF('исходные данные'!M25&gt;'минимумы и максимумы'!K$3,100,('исходные данные'!M25-'минимумы и максимумы'!K$2)/('минимумы и максимумы'!K$3-'минимумы и максимумы'!K$2)*100)</f>
        <v>22.58064516129032</v>
      </c>
      <c r="N25" s="1">
        <f>IF('исходные данные'!N25&gt;'минимумы и максимумы'!L$3,100,('исходные данные'!N25-'минимумы и максимумы'!L$2)/('минимумы и максимумы'!L$3-'минимумы и максимумы'!L$2)*100)</f>
        <v>17.499456123814568</v>
      </c>
      <c r="O25" s="1">
        <f>IF('исходные данные'!O25&gt;'минимумы и максимумы'!M$3,100,('исходные данные'!O25-'минимумы и максимумы'!M$2)/('минимумы и максимумы'!M$3-'минимумы и максимумы'!M$2)*100)</f>
        <v>100</v>
      </c>
      <c r="P25" s="1">
        <f>IF('исходные данные'!P25&gt;'минимумы и максимумы'!N$3,100,('исходные данные'!P25-'минимумы и максимумы'!N$2)/('минимумы и максимумы'!N$3-'минимумы и максимумы'!N$2)*100)</f>
        <v>0</v>
      </c>
      <c r="Q25" s="1">
        <f>IF('исходные данные'!Q25&gt;'минимумы и максимумы'!O$3,100,('исходные данные'!Q25-'минимумы и максимумы'!O$2)/('минимумы и максимумы'!O$3-'минимумы и максимумы'!O$2)*100)</f>
        <v>0</v>
      </c>
      <c r="R25" s="1">
        <f>IF('исходные данные'!R25&gt;'минимумы и максимумы'!P$3,100,('исходные данные'!R25-'минимумы и максимумы'!P$2)/('минимумы и максимумы'!P$3-'минимумы и максимумы'!P$2)*100)</f>
        <v>75</v>
      </c>
      <c r="S25" s="1">
        <f>IF('исходные данные'!S25&gt;'минимумы и максимумы'!Q$3,100,('исходные данные'!S25-'минимумы и максимумы'!Q$2)/('минимумы и максимумы'!Q$3-'минимумы и максимумы'!Q$2)*100)</f>
        <v>16.666666666666664</v>
      </c>
      <c r="T25" s="1">
        <f>IF('исходные данные'!T25&gt;'минимумы и максимумы'!R$3,100,('исходные данные'!T25-'минимумы и максимумы'!R$2)/('минимумы и максимумы'!R$3-'минимумы и максимумы'!R$2)*100)</f>
        <v>2.0237571491421029</v>
      </c>
      <c r="U25" s="1">
        <f>IF('исходные данные'!U25&gt;'минимумы и максимумы'!S$3,100,('исходные данные'!U25-'минимумы и максимумы'!S$2)/('минимумы и максимумы'!S$3-'минимумы и максимумы'!S$2)*100)</f>
        <v>0</v>
      </c>
    </row>
    <row r="26" spans="1:21" x14ac:dyDescent="0.45">
      <c r="A26" s="4">
        <v>49</v>
      </c>
      <c r="B26" s="4">
        <v>0</v>
      </c>
      <c r="C26" s="4">
        <v>0</v>
      </c>
      <c r="D26" s="1">
        <f>IF('исходные данные'!D26&gt;'минимумы и максимумы'!B$3,100,('исходные данные'!D26-'минимумы и максимумы'!B$2)/('минимумы и максимумы'!B$3-'минимумы и максимумы'!B$2)*100)</f>
        <v>0</v>
      </c>
      <c r="E26" s="1">
        <f>IF('исходные данные'!E26&gt;'минимумы и максимумы'!C$3,100,('исходные данные'!E26-'минимумы и максимумы'!C$2)/('минимумы и максимумы'!C$3-'минимумы и максимумы'!C$2)*100)</f>
        <v>30</v>
      </c>
      <c r="F26" s="1">
        <f>IF('исходные данные'!F26&gt;'минимумы и максимумы'!D$3,100,('исходные данные'!F26-'минимумы и максимумы'!D$2)/('минимумы и максимумы'!D$3-'минимумы и максимумы'!D$2)*100)</f>
        <v>0</v>
      </c>
      <c r="G26" s="1">
        <f>IF('исходные данные'!G26&gt;'минимумы и максимумы'!E$3,100,('исходные данные'!G26-'минимумы и максимумы'!E$2)/('минимумы и максимумы'!E$3-'минимумы и максимумы'!E$2)*100)</f>
        <v>33.333333333333329</v>
      </c>
      <c r="H26" s="1">
        <f>IF('исходные данные'!H26&gt;'минимумы и максимумы'!F$3,100,('исходные данные'!H26-'минимумы и максимумы'!F$2)/('минимумы и максимумы'!F$3-'минимумы и максимумы'!F$2)*100)</f>
        <v>36</v>
      </c>
      <c r="I26" s="1">
        <f>IF('исходные данные'!I26&gt;'минимумы и максимумы'!G$3,100,('исходные данные'!I26-'минимумы и максимумы'!G$2)/('минимумы и максимумы'!G$3-'минимумы и максимумы'!G$2)*100)</f>
        <v>15.09433962264151</v>
      </c>
      <c r="J26" s="1">
        <f>IF('исходные данные'!J26&gt;'минимумы и максимумы'!H$3,100,('исходные данные'!J26-'минимумы и максимумы'!H$2)/('минимумы и максимумы'!H$3-'минимумы и максимумы'!H$2)*100)</f>
        <v>6.666666666666667</v>
      </c>
      <c r="K26" s="1">
        <f>IF('исходные данные'!K26&gt;'минимумы и максимумы'!I$3,100,('исходные данные'!K26-'минимумы и максимумы'!I$2)/('минимумы и максимумы'!I$3-'минимумы и максимумы'!I$2)*100)</f>
        <v>38.888888888888893</v>
      </c>
      <c r="L26" s="1">
        <f>IF('исходные данные'!L26&gt;'минимумы и максимумы'!J$3,100,('исходные данные'!L26-'минимумы и максимумы'!J$2)/('минимумы и максимумы'!J$3-'минимумы и максимумы'!J$2)*100)</f>
        <v>0</v>
      </c>
      <c r="M26" s="1">
        <f>IF('исходные данные'!M26&gt;'минимумы и максимумы'!K$3,100,('исходные данные'!M26-'минимумы и максимумы'!K$2)/('минимумы и максимумы'!K$3-'минимумы и максимумы'!K$2)*100)</f>
        <v>25.806451612903224</v>
      </c>
      <c r="N26" s="1">
        <f>IF('исходные данные'!N26&gt;'минимумы и максимумы'!L$3,100,('исходные данные'!N26-'минимумы и максимумы'!L$2)/('минимумы и максимумы'!L$3-'минимумы и максимумы'!L$2)*100)</f>
        <v>17.829791909608527</v>
      </c>
      <c r="O26" s="1">
        <f>IF('исходные данные'!O26&gt;'минимумы и максимумы'!M$3,100,('исходные данные'!O26-'минимумы и максимумы'!M$2)/('минимумы и максимумы'!M$3-'минимумы и максимумы'!M$2)*100)</f>
        <v>100</v>
      </c>
      <c r="P26" s="1">
        <f>IF('исходные данные'!P26&gt;'минимумы и максимумы'!N$3,100,('исходные данные'!P26-'минимумы и максимумы'!N$2)/('минимумы и максимумы'!N$3-'минимумы и максимумы'!N$2)*100)</f>
        <v>0</v>
      </c>
      <c r="Q26" s="1">
        <f>IF('исходные данные'!Q26&gt;'минимумы и максимумы'!O$3,100,('исходные данные'!Q26-'минимумы и максимумы'!O$2)/('минимумы и максимумы'!O$3-'минимумы и максимумы'!O$2)*100)</f>
        <v>0</v>
      </c>
      <c r="R26" s="1">
        <f>IF('исходные данные'!R26&gt;'минимумы и максимумы'!P$3,100,('исходные данные'!R26-'минимумы и максимумы'!P$2)/('минимумы и максимумы'!P$3-'минимумы и максимумы'!P$2)*100)</f>
        <v>75</v>
      </c>
      <c r="S26" s="1">
        <f>IF('исходные данные'!S26&gt;'минимумы и максимумы'!Q$3,100,('исходные данные'!S26-'минимумы и максимумы'!Q$2)/('минимумы и максимумы'!Q$3-'минимумы и максимумы'!Q$2)*100)</f>
        <v>100</v>
      </c>
      <c r="T26" s="1">
        <f>IF('исходные данные'!T26&gt;'минимумы и максимумы'!R$3,100,('исходные данные'!T26-'минимумы и максимумы'!R$2)/('минимумы и максимумы'!R$3-'минимумы и максимумы'!R$2)*100)</f>
        <v>100</v>
      </c>
      <c r="U26" s="1">
        <f>IF('исходные данные'!U26&gt;'минимумы и максимумы'!S$3,100,('исходные данные'!U26-'минимумы и максимумы'!S$2)/('минимумы и максимумы'!S$3-'минимумы и максимумы'!S$2)*100)</f>
        <v>100</v>
      </c>
    </row>
    <row r="27" spans="1:21" x14ac:dyDescent="0.45">
      <c r="A27" s="4">
        <v>50</v>
      </c>
      <c r="B27" s="4">
        <v>0</v>
      </c>
      <c r="C27" s="4">
        <v>0</v>
      </c>
      <c r="D27" s="1">
        <f>IF('исходные данные'!D27&gt;'минимумы и максимумы'!B$3,100,('исходные данные'!D27-'минимумы и максимумы'!B$2)/('минимумы и максимумы'!B$3-'минимумы и максимумы'!B$2)*100)</f>
        <v>0</v>
      </c>
      <c r="E27" s="1">
        <f>IF('исходные данные'!E27&gt;'минимумы и максимумы'!C$3,100,('исходные данные'!E27-'минимумы и максимумы'!C$2)/('минимумы и максимумы'!C$3-'минимумы и максимумы'!C$2)*100)</f>
        <v>10</v>
      </c>
      <c r="F27" s="1">
        <f>IF('исходные данные'!F27&gt;'минимумы и максимумы'!D$3,100,('исходные данные'!F27-'минимумы и максимумы'!D$2)/('минимумы и максимумы'!D$3-'минимумы и максимумы'!D$2)*100)</f>
        <v>0</v>
      </c>
      <c r="G27" s="1">
        <f>IF('исходные данные'!G27&gt;'минимумы и максимумы'!E$3,100,('исходные данные'!G27-'минимумы и максимумы'!E$2)/('минимумы и максимумы'!E$3-'минимумы и максимумы'!E$2)*100)</f>
        <v>4.1666666666666661</v>
      </c>
      <c r="H27" s="1">
        <f>IF('исходные данные'!H27&gt;'минимумы и максимумы'!F$3,100,('исходные данные'!H27-'минимумы и максимумы'!F$2)/('минимумы и максимумы'!F$3-'минимумы и максимумы'!F$2)*100)</f>
        <v>8</v>
      </c>
      <c r="I27" s="1">
        <f>IF('исходные данные'!I27&gt;'минимумы и максимумы'!G$3,100,('исходные данные'!I27-'минимумы и максимумы'!G$2)/('минимумы и максимумы'!G$3-'минимумы и максимумы'!G$2)*100)</f>
        <v>5.6603773584905666</v>
      </c>
      <c r="J27" s="1">
        <f>IF('исходные данные'!J27&gt;'минимумы и максимумы'!H$3,100,('исходные данные'!J27-'минимумы и максимумы'!H$2)/('минимумы и максимумы'!H$3-'минимумы и максимумы'!H$2)*100)</f>
        <v>0</v>
      </c>
      <c r="K27" s="1">
        <f>IF('исходные данные'!K27&gt;'минимумы и максимумы'!I$3,100,('исходные данные'!K27-'минимумы и максимумы'!I$2)/('минимумы и максимумы'!I$3-'минимумы и максимумы'!I$2)*100)</f>
        <v>5.5555555555555554</v>
      </c>
      <c r="L27" s="1">
        <f>IF('исходные данные'!L27&gt;'минимумы и максимумы'!J$3,100,('исходные данные'!L27-'минимумы и максимумы'!J$2)/('минимумы и максимумы'!J$3-'минимумы и максимумы'!J$2)*100)</f>
        <v>0</v>
      </c>
      <c r="M27" s="1">
        <f>IF('исходные данные'!M27&gt;'минимумы и максимумы'!K$3,100,('исходные данные'!M27-'минимумы и максимумы'!K$2)/('минимумы и максимумы'!K$3-'минимумы и максимумы'!K$2)*100)</f>
        <v>6.4516129032258061</v>
      </c>
      <c r="N27" s="1">
        <f>IF('исходные данные'!N27&gt;'минимумы и максимумы'!L$3,100,('исходные данные'!N27-'минимумы и максимумы'!L$2)/('минимумы и максимумы'!L$3-'минимумы и максимумы'!L$2)*100)</f>
        <v>24.736050542294375</v>
      </c>
      <c r="O27" s="1">
        <f>IF('исходные данные'!O27&gt;'минимумы и максимумы'!M$3,100,('исходные данные'!O27-'минимумы и максимумы'!M$2)/('минимумы и максимумы'!M$3-'минимумы и максимумы'!M$2)*100)</f>
        <v>66.666666666666657</v>
      </c>
      <c r="P27" s="1">
        <f>IF('исходные данные'!P27&gt;'минимумы и максимумы'!N$3,100,('исходные данные'!P27-'минимумы и максимумы'!N$2)/('минимумы и максимумы'!N$3-'минимумы и максимумы'!N$2)*100)</f>
        <v>100</v>
      </c>
      <c r="Q27" s="1">
        <f>IF('исходные данные'!Q27&gt;'минимумы и максимумы'!O$3,100,('исходные данные'!Q27-'минимумы и максимумы'!O$2)/('минимумы и максимумы'!O$3-'минимумы и максимумы'!O$2)*100)</f>
        <v>100</v>
      </c>
      <c r="R27" s="1">
        <f>IF('исходные данные'!R27&gt;'минимумы и максимумы'!P$3,100,('исходные данные'!R27-'минимумы и максимумы'!P$2)/('минимумы и максимумы'!P$3-'минимумы и максимумы'!P$2)*100)</f>
        <v>50</v>
      </c>
      <c r="S27" s="1">
        <f>IF('исходные данные'!S27&gt;'минимумы и максимумы'!Q$3,100,('исходные данные'!S27-'минимумы и максимумы'!Q$2)/('минимумы и максимумы'!Q$3-'минимумы и максимумы'!Q$2)*100)</f>
        <v>33.333333333333329</v>
      </c>
      <c r="T27" s="1">
        <f>IF('исходные данные'!T27&gt;'минимумы и максимумы'!R$3,100,('исходные данные'!T27-'минимумы и максимумы'!R$2)/('минимумы и максимумы'!R$3-'минимумы и максимумы'!R$2)*100)</f>
        <v>22.613286405631325</v>
      </c>
      <c r="U27" s="1">
        <f>IF('исходные данные'!U27&gt;'минимумы и максимумы'!S$3,100,('исходные данные'!U27-'минимумы и максимумы'!S$2)/('минимумы и максимумы'!S$3-'минимумы и максимумы'!S$2)*100)</f>
        <v>33.333333333333329</v>
      </c>
    </row>
    <row r="28" spans="1:21" x14ac:dyDescent="0.45">
      <c r="A28" s="4">
        <v>53</v>
      </c>
      <c r="B28" s="4">
        <v>0</v>
      </c>
      <c r="C28" s="4">
        <v>0</v>
      </c>
      <c r="D28" s="1">
        <f>IF('исходные данные'!D28&gt;'минимумы и максимумы'!B$3,100,('исходные данные'!D28-'минимумы и максимумы'!B$2)/('минимумы и максимумы'!B$3-'минимумы и максимумы'!B$2)*100)</f>
        <v>40</v>
      </c>
      <c r="E28" s="1">
        <f>IF('исходные данные'!E28&gt;'минимумы и максимумы'!C$3,100,('исходные данные'!E28-'минимумы и максимумы'!C$2)/('минимумы и максимумы'!C$3-'минимумы и максимумы'!C$2)*100)</f>
        <v>20</v>
      </c>
      <c r="F28" s="1">
        <f>IF('исходные данные'!F28&gt;'минимумы и максимумы'!D$3,100,('исходные данные'!F28-'минимумы и максимумы'!D$2)/('минимумы и максимумы'!D$3-'минимумы и максимумы'!D$2)*100)</f>
        <v>0</v>
      </c>
      <c r="G28" s="1">
        <f>IF('исходные данные'!G28&gt;'минимумы и максимумы'!E$3,100,('исходные данные'!G28-'минимумы и максимумы'!E$2)/('минимумы и максимумы'!E$3-'минимумы и максимумы'!E$2)*100)</f>
        <v>12.5</v>
      </c>
      <c r="H28" s="1">
        <f>IF('исходные данные'!H28&gt;'минимумы и максимумы'!F$3,100,('исходные данные'!H28-'минимумы и максимумы'!F$2)/('минимумы и максимумы'!F$3-'минимумы и максимумы'!F$2)*100)</f>
        <v>12</v>
      </c>
      <c r="I28" s="1">
        <f>IF('исходные данные'!I28&gt;'минимумы и максимумы'!G$3,100,('исходные данные'!I28-'минимумы и максимумы'!G$2)/('минимумы и максимумы'!G$3-'минимумы и максимумы'!G$2)*100)</f>
        <v>15.09433962264151</v>
      </c>
      <c r="J28" s="1">
        <f>IF('исходные данные'!J28&gt;'минимумы и максимумы'!H$3,100,('исходные данные'!J28-'минимумы и максимумы'!H$2)/('минимумы и максимумы'!H$3-'минимумы и максимумы'!H$2)*100)</f>
        <v>0</v>
      </c>
      <c r="K28" s="1">
        <f>IF('исходные данные'!K28&gt;'минимумы и максимумы'!I$3,100,('исходные данные'!K28-'минимумы и максимумы'!I$2)/('минимумы и максимумы'!I$3-'минимумы и максимумы'!I$2)*100)</f>
        <v>0</v>
      </c>
      <c r="L28" s="1">
        <f>IF('исходные данные'!L28&gt;'минимумы и максимумы'!J$3,100,('исходные данные'!L28-'минимумы и максимумы'!J$2)/('минимумы и максимумы'!J$3-'минимумы и максимумы'!J$2)*100)</f>
        <v>0</v>
      </c>
      <c r="M28" s="1">
        <f>IF('исходные данные'!M28&gt;'минимумы и максимумы'!K$3,100,('исходные данные'!M28-'минимумы и максимумы'!K$2)/('минимумы и максимумы'!K$3-'минимумы и максимумы'!K$2)*100)</f>
        <v>9.67741935483871</v>
      </c>
      <c r="N28" s="1">
        <f>IF('исходные данные'!N28&gt;'минимумы и максимумы'!L$3,100,('исходные данные'!N28-'минимумы и максимумы'!L$2)/('минимумы и максимумы'!L$3-'минимумы и максимумы'!L$2)*100)</f>
        <v>20.868657876176318</v>
      </c>
      <c r="O28" s="1">
        <f>IF('исходные данные'!O28&gt;'минимумы и максимумы'!M$3,100,('исходные данные'!O28-'минимумы и максимумы'!M$2)/('минимумы и максимумы'!M$3-'минимумы и максимумы'!M$2)*100)</f>
        <v>33.333333333333329</v>
      </c>
      <c r="P28" s="1">
        <f>IF('исходные данные'!P28&gt;'минимумы и максимумы'!N$3,100,('исходные данные'!P28-'минимумы и максимумы'!N$2)/('минимумы и максимумы'!N$3-'минимумы и максимумы'!N$2)*100)</f>
        <v>100</v>
      </c>
      <c r="Q28" s="1">
        <f>IF('исходные данные'!Q28&gt;'минимумы и максимумы'!O$3,100,('исходные данные'!Q28-'минимумы и максимумы'!O$2)/('минимумы и максимумы'!O$3-'минимумы и максимумы'!O$2)*100)</f>
        <v>0</v>
      </c>
      <c r="R28" s="1">
        <f>IF('исходные данные'!R28&gt;'минимумы и максимумы'!P$3,100,('исходные данные'!R28-'минимумы и максимумы'!P$2)/('минимумы и максимумы'!P$3-'минимумы и максимумы'!P$2)*100)</f>
        <v>100</v>
      </c>
      <c r="S28" s="1">
        <f>IF('исходные данные'!S28&gt;'минимумы и максимумы'!Q$3,100,('исходные данные'!S28-'минимумы и максимумы'!Q$2)/('минимумы и максимумы'!Q$3-'минимумы и максимумы'!Q$2)*100)</f>
        <v>100</v>
      </c>
      <c r="T28" s="1">
        <f>IF('исходные данные'!T28&gt;'минимумы и максимумы'!R$3,100,('исходные данные'!T28-'минимумы и максимумы'!R$2)/('минимумы и максимумы'!R$3-'минимумы и максимумы'!R$2)*100)</f>
        <v>63.264408271007476</v>
      </c>
      <c r="U28" s="1">
        <f>IF('исходные данные'!U28&gt;'минимумы и максимумы'!S$3,100,('исходные данные'!U28-'минимумы и максимумы'!S$2)/('минимумы и максимумы'!S$3-'минимумы и максимумы'!S$2)*100)</f>
        <v>0</v>
      </c>
    </row>
    <row r="29" spans="1:21" x14ac:dyDescent="0.45">
      <c r="A29" s="4">
        <v>54</v>
      </c>
      <c r="B29" s="4">
        <v>0</v>
      </c>
      <c r="C29" s="4">
        <v>0</v>
      </c>
      <c r="D29" s="1">
        <f>IF('исходные данные'!D29&gt;'минимумы и максимумы'!B$3,100,('исходные данные'!D29-'минимумы и максимумы'!B$2)/('минимумы и максимумы'!B$3-'минимумы и максимумы'!B$2)*100)</f>
        <v>40</v>
      </c>
      <c r="E29" s="1">
        <f>IF('исходные данные'!E29&gt;'минимумы и максимумы'!C$3,100,('исходные данные'!E29-'минимумы и максимумы'!C$2)/('минимумы и максимумы'!C$3-'минимумы и максимумы'!C$2)*100)</f>
        <v>20</v>
      </c>
      <c r="F29" s="1">
        <f>IF('исходные данные'!F29&gt;'минимумы и максимумы'!D$3,100,('исходные данные'!F29-'минимумы и максимумы'!D$2)/('минимумы и максимумы'!D$3-'минимумы и максимумы'!D$2)*100)</f>
        <v>0</v>
      </c>
      <c r="G29" s="1">
        <f>IF('исходные данные'!G29&gt;'минимумы и максимумы'!E$3,100,('исходные данные'!G29-'минимумы и максимумы'!E$2)/('минимумы и максимумы'!E$3-'минимумы и максимумы'!E$2)*100)</f>
        <v>8.3333333333333321</v>
      </c>
      <c r="H29" s="1">
        <f>IF('исходные данные'!H29&gt;'минимумы и максимумы'!F$3,100,('исходные данные'!H29-'минимумы и максимумы'!F$2)/('минимумы и максимумы'!F$3-'минимумы и максимумы'!F$2)*100)</f>
        <v>12</v>
      </c>
      <c r="I29" s="1">
        <f>IF('исходные данные'!I29&gt;'минимумы и максимумы'!G$3,100,('исходные данные'!I29-'минимумы и максимумы'!G$2)/('минимумы и максимумы'!G$3-'минимумы и максимумы'!G$2)*100)</f>
        <v>11.320754716981133</v>
      </c>
      <c r="J29" s="1">
        <f>IF('исходные данные'!J29&gt;'минимумы и максимумы'!H$3,100,('исходные данные'!J29-'минимумы и максимумы'!H$2)/('минимумы и максимумы'!H$3-'минимумы и максимумы'!H$2)*100)</f>
        <v>0</v>
      </c>
      <c r="K29" s="1">
        <f>IF('исходные данные'!K29&gt;'минимумы и максимумы'!I$3,100,('исходные данные'!K29-'минимумы и максимумы'!I$2)/('минимумы и максимумы'!I$3-'минимумы и максимумы'!I$2)*100)</f>
        <v>0</v>
      </c>
      <c r="L29" s="1">
        <f>IF('исходные данные'!L29&gt;'минимумы и максимумы'!J$3,100,('исходные данные'!L29-'минимумы и максимумы'!J$2)/('минимумы и максимумы'!J$3-'минимумы и максимумы'!J$2)*100)</f>
        <v>0</v>
      </c>
      <c r="M29" s="1">
        <f>IF('исходные данные'!M29&gt;'минимумы и максимумы'!K$3,100,('исходные данные'!M29-'минимумы и максимумы'!K$2)/('минимумы и максимумы'!K$3-'минимумы и максимумы'!K$2)*100)</f>
        <v>16.129032258064516</v>
      </c>
      <c r="N29" s="1">
        <f>IF('исходные данные'!N29&gt;'минимумы и максимумы'!L$3,100,('исходные данные'!N29-'минимумы и максимумы'!L$2)/('минимумы и максимумы'!L$3-'минимумы и максимумы'!L$2)*100)</f>
        <v>19.835939231065034</v>
      </c>
      <c r="O29" s="1">
        <f>IF('исходные данные'!O29&gt;'минимумы и максимумы'!M$3,100,('исходные данные'!O29-'минимумы и максимумы'!M$2)/('минимумы и максимумы'!M$3-'минимумы и максимумы'!M$2)*100)</f>
        <v>0</v>
      </c>
      <c r="P29" s="1">
        <f>IF('исходные данные'!P29&gt;'минимумы и максимумы'!N$3,100,('исходные данные'!P29-'минимумы и максимумы'!N$2)/('минимумы и максимумы'!N$3-'минимумы и максимумы'!N$2)*100)</f>
        <v>0</v>
      </c>
      <c r="Q29" s="1">
        <f>IF('исходные данные'!Q29&gt;'минимумы и максимумы'!O$3,100,('исходные данные'!Q29-'минимумы и максимумы'!O$2)/('минимумы и максимумы'!O$3-'минимумы и максимумы'!O$2)*100)</f>
        <v>0</v>
      </c>
      <c r="R29" s="1">
        <f>IF('исходные данные'!R29&gt;'минимумы и максимумы'!P$3,100,('исходные данные'!R29-'минимумы и максимумы'!P$2)/('минимумы и максимумы'!P$3-'минимумы и максимумы'!P$2)*100)</f>
        <v>100</v>
      </c>
      <c r="S29" s="1">
        <f>IF('исходные данные'!S29&gt;'минимумы и максимумы'!Q$3,100,('исходные данные'!S29-'минимумы и максимумы'!Q$2)/('минимумы и максимумы'!Q$3-'минимумы и максимумы'!Q$2)*100)</f>
        <v>16.666666666666664</v>
      </c>
      <c r="T29" s="1">
        <f>IF('исходные данные'!T29&gt;'минимумы и максимумы'!R$3,100,('исходные данные'!T29-'минимумы и максимумы'!R$2)/('минимумы и максимумы'!R$3-'минимумы и максимумы'!R$2)*100)</f>
        <v>29.168499780026398</v>
      </c>
      <c r="U29" s="1">
        <f>IF('исходные данные'!U29&gt;'минимумы и максимумы'!S$3,100,('исходные данные'!U29-'минимумы и максимумы'!S$2)/('минимумы и максимумы'!S$3-'минимумы и максимумы'!S$2)*100)</f>
        <v>0</v>
      </c>
    </row>
    <row r="30" spans="1:21" x14ac:dyDescent="0.45">
      <c r="A30" s="4">
        <v>55</v>
      </c>
      <c r="B30" s="4">
        <v>0</v>
      </c>
      <c r="C30" s="4">
        <v>1</v>
      </c>
      <c r="D30" s="1">
        <f>IF('исходные данные'!D30&gt;'минимумы и максимумы'!B$3,100,('исходные данные'!D30-'минимумы и максимумы'!B$2)/('минимумы и максимумы'!B$3-'минимумы и максимумы'!B$2)*100)</f>
        <v>40</v>
      </c>
      <c r="E30" s="1">
        <f>IF('исходные данные'!E30&gt;'минимумы и максимумы'!C$3,100,('исходные данные'!E30-'минимумы и максимумы'!C$2)/('минимумы и максимумы'!C$3-'минимумы и максимумы'!C$2)*100)</f>
        <v>60</v>
      </c>
      <c r="F30" s="1">
        <f>IF('исходные данные'!F30&gt;'минимумы и максимумы'!D$3,100,('исходные данные'!F30-'минимумы и максимумы'!D$2)/('минимумы и максимумы'!D$3-'минимумы и максимумы'!D$2)*100)</f>
        <v>0</v>
      </c>
      <c r="G30" s="1">
        <f>IF('исходные данные'!G30&gt;'минимумы и максимумы'!E$3,100,('исходные данные'!G30-'минимумы и максимумы'!E$2)/('минимумы и максимумы'!E$3-'минимумы и максимумы'!E$2)*100)</f>
        <v>16.666666666666664</v>
      </c>
      <c r="H30" s="1">
        <f>IF('исходные данные'!H30&gt;'минимумы и максимумы'!F$3,100,('исходные данные'!H30-'минимумы и максимумы'!F$2)/('минимумы и максимумы'!F$3-'минимумы и максимумы'!F$2)*100)</f>
        <v>16</v>
      </c>
      <c r="I30" s="1">
        <f>IF('исходные данные'!I30&gt;'минимумы и максимумы'!G$3,100,('исходные данные'!I30-'минимумы и максимумы'!G$2)/('минимумы и максимумы'!G$3-'минимумы и максимумы'!G$2)*100)</f>
        <v>7.5471698113207548</v>
      </c>
      <c r="J30" s="1">
        <f>IF('исходные данные'!J30&gt;'минимумы и максимумы'!H$3,100,('исходные данные'!J30-'минимумы и максимумы'!H$2)/('минимумы и максимумы'!H$3-'минимумы и максимумы'!H$2)*100)</f>
        <v>0</v>
      </c>
      <c r="K30" s="1">
        <f>IF('исходные данные'!K30&gt;'минимумы и максимумы'!I$3,100,('исходные данные'!K30-'минимумы и максимумы'!I$2)/('минимумы и максимумы'!I$3-'минимумы и максимумы'!I$2)*100)</f>
        <v>0</v>
      </c>
      <c r="L30" s="1">
        <f>IF('исходные данные'!L30&gt;'минимумы и максимумы'!J$3,100,('исходные данные'!L30-'минимумы и максимумы'!J$2)/('минимумы и максимумы'!J$3-'минимумы и максимумы'!J$2)*100)</f>
        <v>0</v>
      </c>
      <c r="M30" s="1">
        <f>IF('исходные данные'!M30&gt;'минимумы и максимумы'!K$3,100,('исходные данные'!M30-'минимумы и максимумы'!K$2)/('минимумы и максимумы'!K$3-'минимумы и максимумы'!K$2)*100)</f>
        <v>22.58064516129032</v>
      </c>
      <c r="N30" s="1">
        <f>IF('исходные данные'!N30&gt;'минимумы и максимумы'!L$3,100,('исходные данные'!N30-'минимумы и максимумы'!L$2)/('минимумы и максимумы'!L$3-'минимумы и максимумы'!L$2)*100)</f>
        <v>19.055205586978023</v>
      </c>
      <c r="O30" s="1">
        <f>IF('исходные данные'!O30&gt;'минимумы и максимумы'!M$3,100,('исходные данные'!O30-'минимумы и максимумы'!M$2)/('минимумы и максимумы'!M$3-'минимумы и максимумы'!M$2)*100)</f>
        <v>66.666666666666657</v>
      </c>
      <c r="P30" s="1">
        <f>IF('исходные данные'!P30&gt;'минимумы и максимумы'!N$3,100,('исходные данные'!P30-'минимумы и максимумы'!N$2)/('минимумы и максимумы'!N$3-'минимумы и максимумы'!N$2)*100)</f>
        <v>0</v>
      </c>
      <c r="Q30" s="1">
        <f>IF('исходные данные'!Q30&gt;'минимумы и максимумы'!O$3,100,('исходные данные'!Q30-'минимумы и максимумы'!O$2)/('минимумы и максимумы'!O$3-'минимумы и максимумы'!O$2)*100)</f>
        <v>100</v>
      </c>
      <c r="R30" s="1">
        <f>IF('исходные данные'!R30&gt;'минимумы и максимумы'!P$3,100,('исходные данные'!R30-'минимумы и максимумы'!P$2)/('минимумы и максимумы'!P$3-'минимумы и максимумы'!P$2)*100)</f>
        <v>75</v>
      </c>
      <c r="S30" s="1">
        <f>IF('исходные данные'!S30&gt;'минимумы и максимумы'!Q$3,100,('исходные данные'!S30-'минимумы и максимумы'!Q$2)/('минимумы и максимумы'!Q$3-'минимумы и максимумы'!Q$2)*100)</f>
        <v>33.333333333333329</v>
      </c>
      <c r="T30" s="1">
        <f>IF('исходные данные'!T30&gt;'минимумы и максимумы'!R$3,100,('исходные данные'!T30-'минимумы и максимумы'!R$2)/('минимумы и максимумы'!R$3-'минимумы и максимумы'!R$2)*100)</f>
        <v>69.599648042234932</v>
      </c>
      <c r="U30" s="1">
        <f>IF('исходные данные'!U30&gt;'минимумы и максимумы'!S$3,100,('исходные данные'!U30-'минимумы и максимумы'!S$2)/('минимумы и максимумы'!S$3-'минимумы и максимумы'!S$2)*100)</f>
        <v>0</v>
      </c>
    </row>
    <row r="31" spans="1:21" x14ac:dyDescent="0.45">
      <c r="A31" s="4">
        <v>56</v>
      </c>
      <c r="B31" s="4">
        <v>0</v>
      </c>
      <c r="C31" s="4">
        <v>1</v>
      </c>
      <c r="D31" s="1">
        <f>IF('исходные данные'!D31&gt;'минимумы и максимумы'!B$3,100,('исходные данные'!D31-'минимумы и максимумы'!B$2)/('минимумы и максимумы'!B$3-'минимумы и максимумы'!B$2)*100)</f>
        <v>20</v>
      </c>
      <c r="E31" s="1">
        <f>IF('исходные данные'!E31&gt;'минимумы и максимумы'!C$3,100,('исходные данные'!E31-'минимумы и максимумы'!C$2)/('минимумы и максимумы'!C$3-'минимумы и максимумы'!C$2)*100)</f>
        <v>10</v>
      </c>
      <c r="F31" s="1">
        <f>IF('исходные данные'!F31&gt;'минимумы и максимумы'!D$3,100,('исходные данные'!F31-'минимумы и максимумы'!D$2)/('минимумы и максимумы'!D$3-'минимумы и максимумы'!D$2)*100)</f>
        <v>0</v>
      </c>
      <c r="G31" s="1">
        <f>IF('исходные данные'!G31&gt;'минимумы и максимумы'!E$3,100,('исходные данные'!G31-'минимумы и максимумы'!E$2)/('минимумы и максимумы'!E$3-'минимумы и максимумы'!E$2)*100)</f>
        <v>0</v>
      </c>
      <c r="H31" s="1">
        <f>IF('исходные данные'!H31&gt;'минимумы и максимумы'!F$3,100,('исходные данные'!H31-'минимумы и максимумы'!F$2)/('минимумы и максимумы'!F$3-'минимумы и максимумы'!F$2)*100)</f>
        <v>0</v>
      </c>
      <c r="I31" s="1">
        <f>IF('исходные данные'!I31&gt;'минимумы и максимумы'!G$3,100,('исходные данные'!I31-'минимумы и максимумы'!G$2)/('минимумы и максимумы'!G$3-'минимумы и максимумы'!G$2)*100)</f>
        <v>0</v>
      </c>
      <c r="J31" s="1">
        <f>IF('исходные данные'!J31&gt;'минимумы и максимумы'!H$3,100,('исходные данные'!J31-'минимумы и максимумы'!H$2)/('минимумы и максимумы'!H$3-'минимумы и максимумы'!H$2)*100)</f>
        <v>0</v>
      </c>
      <c r="K31" s="1">
        <f>IF('исходные данные'!K31&gt;'минимумы и максимумы'!I$3,100,('исходные данные'!K31-'минимумы и максимумы'!I$2)/('минимумы и максимумы'!I$3-'минимумы и максимумы'!I$2)*100)</f>
        <v>0</v>
      </c>
      <c r="L31" s="1">
        <f>IF('исходные данные'!L31&gt;'минимумы и максимумы'!J$3,100,('исходные данные'!L31-'минимумы и максимумы'!J$2)/('минимумы и максимумы'!J$3-'минимумы и максимумы'!J$2)*100)</f>
        <v>0</v>
      </c>
      <c r="M31" s="1">
        <f>IF('исходные данные'!M31&gt;'минимумы и максимумы'!K$3,100,('исходные данные'!M31-'минимумы и максимумы'!K$2)/('минимумы и максимумы'!K$3-'минимумы и максимумы'!K$2)*100)</f>
        <v>0</v>
      </c>
      <c r="N31" s="1">
        <f>IF('исходные данные'!N31&gt;'минимумы и максимумы'!L$3,100,('исходные данные'!N31-'минимумы и максимумы'!L$2)/('минимумы и максимумы'!L$3-'минимумы и максимумы'!L$2)*100)</f>
        <v>23.79280113757002</v>
      </c>
      <c r="O31" s="1">
        <f>IF('исходные данные'!O31&gt;'минимумы и максимумы'!M$3,100,('исходные данные'!O31-'минимумы и максимумы'!M$2)/('минимумы и максимумы'!M$3-'минимумы и максимумы'!M$2)*100)</f>
        <v>0</v>
      </c>
      <c r="P31" s="1">
        <f>IF('исходные данные'!P31&gt;'минимумы и максимумы'!N$3,100,('исходные данные'!P31-'минимумы и максимумы'!N$2)/('минимумы и максимумы'!N$3-'минимумы и максимумы'!N$2)*100)</f>
        <v>0</v>
      </c>
      <c r="Q31" s="1">
        <f>IF('исходные данные'!Q31&gt;'минимумы и максимумы'!O$3,100,('исходные данные'!Q31-'минимумы и максимумы'!O$2)/('минимумы и максимумы'!O$3-'минимумы и максимумы'!O$2)*100)</f>
        <v>100</v>
      </c>
      <c r="R31" s="1">
        <f>IF('исходные данные'!R31&gt;'минимумы и максимумы'!P$3,100,('исходные данные'!R31-'минимумы и максимумы'!P$2)/('минимумы и максимумы'!P$3-'минимумы и максимумы'!P$2)*100)</f>
        <v>50</v>
      </c>
      <c r="S31" s="1">
        <f>IF('исходные данные'!S31&gt;'минимумы и максимумы'!Q$3,100,('исходные данные'!S31-'минимумы и максимумы'!Q$2)/('минимумы и максимумы'!Q$3-'минимумы и максимумы'!Q$2)*100)</f>
        <v>50</v>
      </c>
      <c r="T31" s="1">
        <f>IF('исходные данные'!T31&gt;'минимумы и максимумы'!R$3,100,('исходные данные'!T31-'минимумы и максимумы'!R$2)/('минимумы и максимумы'!R$3-'минимумы и максимумы'!R$2)*100)</f>
        <v>19.885613726352837</v>
      </c>
      <c r="U31" s="1">
        <f>IF('исходные данные'!U31&gt;'минимумы и максимумы'!S$3,100,('исходные данные'!U31-'минимумы и максимумы'!S$2)/('минимумы и максимумы'!S$3-'минимумы и максимумы'!S$2)*100)</f>
        <v>33.333333333333329</v>
      </c>
    </row>
    <row r="32" spans="1:21" x14ac:dyDescent="0.45">
      <c r="A32" s="4">
        <v>57</v>
      </c>
      <c r="B32" s="4">
        <v>0</v>
      </c>
      <c r="C32" s="4">
        <v>0</v>
      </c>
      <c r="D32" s="1">
        <f>IF('исходные данные'!D32&gt;'минимумы и максимумы'!B$3,100,('исходные данные'!D32-'минимумы и максимумы'!B$2)/('минимумы и максимумы'!B$3-'минимумы и максимумы'!B$2)*100)</f>
        <v>40</v>
      </c>
      <c r="E32" s="1">
        <f>IF('исходные данные'!E32&gt;'минимумы и максимумы'!C$3,100,('исходные данные'!E32-'минимумы и максимумы'!C$2)/('минимумы и максимумы'!C$3-'минимумы и максимумы'!C$2)*100)</f>
        <v>20</v>
      </c>
      <c r="F32" s="1">
        <f>IF('исходные данные'!F32&gt;'минимумы и максимумы'!D$3,100,('исходные данные'!F32-'минимумы и максимумы'!D$2)/('минимумы и максимумы'!D$3-'минимумы и максимумы'!D$2)*100)</f>
        <v>0</v>
      </c>
      <c r="G32" s="1">
        <f>IF('исходные данные'!G32&gt;'минимумы и максимумы'!E$3,100,('исходные данные'!G32-'минимумы и максимумы'!E$2)/('минимумы и максимумы'!E$3-'минимумы и максимумы'!E$2)*100)</f>
        <v>25</v>
      </c>
      <c r="H32" s="1">
        <f>IF('исходные данные'!H32&gt;'минимумы и максимумы'!F$3,100,('исходные данные'!H32-'минимумы и максимумы'!F$2)/('минимумы и максимумы'!F$3-'минимумы и максимумы'!F$2)*100)</f>
        <v>12</v>
      </c>
      <c r="I32" s="1">
        <f>IF('исходные данные'!I32&gt;'минимумы и максимумы'!G$3,100,('исходные данные'!I32-'минимумы и максимумы'!G$2)/('минимумы и максимумы'!G$3-'минимумы и максимумы'!G$2)*100)</f>
        <v>13.20754716981132</v>
      </c>
      <c r="J32" s="1">
        <f>IF('исходные данные'!J32&gt;'минимумы и максимумы'!H$3,100,('исходные данные'!J32-'минимумы и максимумы'!H$2)/('минимумы и максимумы'!H$3-'минимумы и максимумы'!H$2)*100)</f>
        <v>0</v>
      </c>
      <c r="K32" s="1">
        <f>IF('исходные данные'!K32&gt;'минимумы и максимумы'!I$3,100,('исходные данные'!K32-'минимумы и максимумы'!I$2)/('минимумы и максимумы'!I$3-'минимумы и максимумы'!I$2)*100)</f>
        <v>5.5555555555555554</v>
      </c>
      <c r="L32" s="1">
        <f>IF('исходные данные'!L32&gt;'минимумы и максимумы'!J$3,100,('исходные данные'!L32-'минимумы и максимумы'!J$2)/('минимумы и максимумы'!J$3-'минимумы и максимумы'!J$2)*100)</f>
        <v>20</v>
      </c>
      <c r="M32" s="1">
        <f>IF('исходные данные'!M32&gt;'минимумы и максимумы'!K$3,100,('исходные данные'!M32-'минимумы и максимумы'!K$2)/('минимумы и максимумы'!K$3-'минимумы и максимумы'!K$2)*100)</f>
        <v>12.903225806451612</v>
      </c>
      <c r="N32" s="1">
        <f>IF('исходные данные'!N32&gt;'минимумы и максимумы'!L$3,100,('исходные данные'!N32-'минимумы и максимумы'!L$2)/('минимумы и максимумы'!L$3-'минимумы и максимумы'!L$2)*100)</f>
        <v>19.42773647852276</v>
      </c>
      <c r="O32" s="1">
        <f>IF('исходные данные'!O32&gt;'минимумы и максимумы'!M$3,100,('исходные данные'!O32-'минимумы и максимумы'!M$2)/('минимумы и максимумы'!M$3-'минимумы и максимумы'!M$2)*100)</f>
        <v>0</v>
      </c>
      <c r="P32" s="1">
        <f>IF('исходные данные'!P32&gt;'минимумы и максимумы'!N$3,100,('исходные данные'!P32-'минимумы и максимумы'!N$2)/('минимумы и максимумы'!N$3-'минимумы и максимумы'!N$2)*100)</f>
        <v>100</v>
      </c>
      <c r="Q32" s="1">
        <f>IF('исходные данные'!Q32&gt;'минимумы и максимумы'!O$3,100,('исходные данные'!Q32-'минимумы и максимумы'!O$2)/('минимумы и максимумы'!O$3-'минимумы и максимумы'!O$2)*100)</f>
        <v>0</v>
      </c>
      <c r="R32" s="1">
        <f>IF('исходные данные'!R32&gt;'минимумы и максимумы'!P$3,100,('исходные данные'!R32-'минимумы и максимумы'!P$2)/('минимумы и максимумы'!P$3-'минимумы и максимумы'!P$2)*100)</f>
        <v>100</v>
      </c>
      <c r="S32" s="1">
        <f>IF('исходные данные'!S32&gt;'минимумы и максимумы'!Q$3,100,('исходные данные'!S32-'минимумы и максимумы'!Q$2)/('минимумы и максимумы'!Q$3-'минимумы и максимумы'!Q$2)*100)</f>
        <v>100</v>
      </c>
      <c r="T32" s="1">
        <f>IF('исходные данные'!T32&gt;'минимумы и максимумы'!R$3,100,('исходные данные'!T32-'минимумы и максимумы'!R$2)/('минимумы и максимумы'!R$3-'минимумы и максимумы'!R$2)*100)</f>
        <v>59.920809502859662</v>
      </c>
      <c r="U32" s="1">
        <f>IF('исходные данные'!U32&gt;'минимумы и максимумы'!S$3,100,('исходные данные'!U32-'минимумы и максимумы'!S$2)/('минимумы и максимумы'!S$3-'минимумы и максимумы'!S$2)*100)</f>
        <v>0</v>
      </c>
    </row>
    <row r="33" spans="1:21" x14ac:dyDescent="0.45">
      <c r="A33" s="4">
        <v>58</v>
      </c>
      <c r="B33" s="4">
        <v>0</v>
      </c>
      <c r="C33" s="4">
        <v>0</v>
      </c>
      <c r="D33" s="1">
        <f>IF('исходные данные'!D33&gt;'минимумы и максимумы'!B$3,100,('исходные данные'!D33-'минимумы и максимумы'!B$2)/('минимумы и максимумы'!B$3-'минимумы и максимумы'!B$2)*100)</f>
        <v>40</v>
      </c>
      <c r="E33" s="1">
        <f>IF('исходные данные'!E33&gt;'минимумы и максимумы'!C$3,100,('исходные данные'!E33-'минимумы и максимумы'!C$2)/('минимумы и максимумы'!C$3-'минимумы и максимумы'!C$2)*100)</f>
        <v>90</v>
      </c>
      <c r="F33" s="1">
        <f>IF('исходные данные'!F33&gt;'минимумы и максимумы'!D$3,100,('исходные данные'!F33-'минимумы и максимумы'!D$2)/('минимумы и максимумы'!D$3-'минимумы и максимумы'!D$2)*100)</f>
        <v>33.333333333333329</v>
      </c>
      <c r="G33" s="1">
        <f>IF('исходные данные'!G33&gt;'минимумы и максимумы'!E$3,100,('исходные данные'!G33-'минимумы и максимумы'!E$2)/('минимумы и максимумы'!E$3-'минимумы и максимумы'!E$2)*100)</f>
        <v>33.333333333333329</v>
      </c>
      <c r="H33" s="1">
        <f>IF('исходные данные'!H33&gt;'минимумы и максимумы'!F$3,100,('исходные данные'!H33-'минимумы и максимумы'!F$2)/('минимумы и максимумы'!F$3-'минимумы и максимумы'!F$2)*100)</f>
        <v>20</v>
      </c>
      <c r="I33" s="1">
        <f>IF('исходные данные'!I33&gt;'минимумы и максимумы'!G$3,100,('исходные данные'!I33-'минимумы и максимумы'!G$2)/('минимумы и максимумы'!G$3-'минимумы и максимумы'!G$2)*100)</f>
        <v>28.30188679245283</v>
      </c>
      <c r="J33" s="1">
        <f>IF('исходные данные'!J33&gt;'минимумы и максимумы'!H$3,100,('исходные данные'!J33-'минимумы и максимумы'!H$2)/('минимумы и максимумы'!H$3-'минимумы и максимумы'!H$2)*100)</f>
        <v>6.666666666666667</v>
      </c>
      <c r="K33" s="1">
        <f>IF('исходные данные'!K33&gt;'минимумы и максимумы'!I$3,100,('исходные данные'!K33-'минимумы и максимумы'!I$2)/('минимумы и максимумы'!I$3-'минимумы и максимумы'!I$2)*100)</f>
        <v>50</v>
      </c>
      <c r="L33" s="1">
        <f>IF('исходные данные'!L33&gt;'минимумы и максимумы'!J$3,100,('исходные данные'!L33-'минимумы и максимумы'!J$2)/('минимумы и максимумы'!J$3-'минимумы и максимумы'!J$2)*100)</f>
        <v>20</v>
      </c>
      <c r="M33" s="1">
        <f>IF('исходные данные'!M33&gt;'минимумы и максимумы'!K$3,100,('исходные данные'!M33-'минимумы и максимумы'!K$2)/('минимумы и максимумы'!K$3-'минимумы и максимумы'!K$2)*100)</f>
        <v>29.032258064516132</v>
      </c>
      <c r="N33" s="1">
        <f>IF('исходные данные'!N33&gt;'минимумы и максимумы'!L$3,100,('исходные данные'!N33-'минимумы и максимумы'!L$2)/('минимумы и максимумы'!L$3-'минимумы и максимумы'!L$2)*100)</f>
        <v>17.306162052421538</v>
      </c>
      <c r="O33" s="1">
        <f>IF('исходные данные'!O33&gt;'минимумы и максимумы'!M$3,100,('исходные данные'!O33-'минимумы и максимумы'!M$2)/('минимумы и максимумы'!M$3-'минимумы и максимумы'!M$2)*100)</f>
        <v>33.333333333333329</v>
      </c>
      <c r="P33" s="1">
        <f>IF('исходные данные'!P33&gt;'минимумы и максимумы'!N$3,100,('исходные данные'!P33-'минимумы и максимумы'!N$2)/('минимумы и максимумы'!N$3-'минимумы и максимумы'!N$2)*100)</f>
        <v>0</v>
      </c>
      <c r="Q33" s="1">
        <f>IF('исходные данные'!Q33&gt;'минимумы и максимумы'!O$3,100,('исходные данные'!Q33-'минимумы и максимумы'!O$2)/('минимумы и максимумы'!O$3-'минимумы и максимумы'!O$2)*100)</f>
        <v>100</v>
      </c>
      <c r="R33" s="1">
        <f>IF('исходные данные'!R33&gt;'минимумы и максимумы'!P$3,100,('исходные данные'!R33-'минимумы и максимумы'!P$2)/('минимумы и максимумы'!P$3-'минимумы и максимумы'!P$2)*100)</f>
        <v>75</v>
      </c>
      <c r="S33" s="1">
        <f>IF('исходные данные'!S33&gt;'минимумы и максимумы'!Q$3,100,('исходные данные'!S33-'минимумы и максимумы'!Q$2)/('минимумы и максимумы'!Q$3-'минимумы и максимумы'!Q$2)*100)</f>
        <v>66.666666666666657</v>
      </c>
      <c r="T33" s="1">
        <f>IF('исходные данные'!T33&gt;'минимумы и максимумы'!R$3,100,('исходные данные'!T33-'минимумы и максимумы'!R$2)/('минимумы и максимумы'!R$3-'минимумы и максимумы'!R$2)*100)</f>
        <v>13.462384513858336</v>
      </c>
      <c r="U33" s="1">
        <f>IF('исходные данные'!U33&gt;'минимумы и максимумы'!S$3,100,('исходные данные'!U33-'минимумы и максимумы'!S$2)/('минимумы и максимумы'!S$3-'минимумы и максимумы'!S$2)*100)</f>
        <v>0</v>
      </c>
    </row>
    <row r="34" spans="1:21" x14ac:dyDescent="0.45">
      <c r="A34" s="4">
        <v>59</v>
      </c>
      <c r="B34" s="4">
        <v>0</v>
      </c>
      <c r="C34" s="4">
        <v>0</v>
      </c>
      <c r="D34" s="1">
        <f>IF('исходные данные'!D34&gt;'минимумы и максимумы'!B$3,100,('исходные данные'!D34-'минимумы и максимумы'!B$2)/('минимумы и максимумы'!B$3-'минимумы и максимумы'!B$2)*100)</f>
        <v>20</v>
      </c>
      <c r="E34" s="1">
        <f>IF('исходные данные'!E34&gt;'минимумы и максимумы'!C$3,100,('исходные данные'!E34-'минимумы и максимумы'!C$2)/('минимумы и максимумы'!C$3-'минимумы и максимумы'!C$2)*100)</f>
        <v>60</v>
      </c>
      <c r="F34" s="1">
        <f>IF('исходные данные'!F34&gt;'минимумы и максимумы'!D$3,100,('исходные данные'!F34-'минимумы и максимумы'!D$2)/('минимумы и максимумы'!D$3-'минимумы и максимумы'!D$2)*100)</f>
        <v>33.333333333333329</v>
      </c>
      <c r="G34" s="1">
        <f>IF('исходные данные'!G34&gt;'минимумы и максимумы'!E$3,100,('исходные данные'!G34-'минимумы и максимумы'!E$2)/('минимумы и максимумы'!E$3-'минимумы и максимумы'!E$2)*100)</f>
        <v>25</v>
      </c>
      <c r="H34" s="1">
        <f>IF('исходные данные'!H34&gt;'минимумы и максимумы'!F$3,100,('исходные данные'!H34-'минимумы и максимумы'!F$2)/('минимумы и максимумы'!F$3-'минимумы и максимумы'!F$2)*100)</f>
        <v>20</v>
      </c>
      <c r="I34" s="1">
        <f>IF('исходные данные'!I34&gt;'минимумы и максимумы'!G$3,100,('исходные данные'!I34-'минимумы и максимумы'!G$2)/('минимумы и максимумы'!G$3-'минимумы и максимумы'!G$2)*100)</f>
        <v>37.735849056603776</v>
      </c>
      <c r="J34" s="1">
        <f>IF('исходные данные'!J34&gt;'минимумы и максимумы'!H$3,100,('исходные данные'!J34-'минимумы и максимумы'!H$2)/('минимумы и максимумы'!H$3-'минимумы и максимумы'!H$2)*100)</f>
        <v>13.333333333333334</v>
      </c>
      <c r="K34" s="1">
        <f>IF('исходные данные'!K34&gt;'минимумы и максимумы'!I$3,100,('исходные данные'!K34-'минимумы и максимумы'!I$2)/('минимумы и максимумы'!I$3-'минимумы и максимумы'!I$2)*100)</f>
        <v>61.111111111111114</v>
      </c>
      <c r="L34" s="1">
        <f>IF('исходные данные'!L34&gt;'минимумы и максимумы'!J$3,100,('исходные данные'!L34-'минимумы и максимумы'!J$2)/('минимумы и максимумы'!J$3-'минимумы и максимумы'!J$2)*100)</f>
        <v>0</v>
      </c>
      <c r="M34" s="1">
        <f>IF('исходные данные'!M34&gt;'минимумы и максимумы'!K$3,100,('исходные данные'!M34-'минимумы и максимумы'!K$2)/('минимумы и максимумы'!K$3-'минимумы и максимумы'!K$2)*100)</f>
        <v>29.032258064516132</v>
      </c>
      <c r="N34" s="1">
        <f>IF('исходные данные'!N34&gt;'минимумы и максимумы'!L$3,100,('исходные данные'!N34-'минимумы и максимумы'!L$2)/('минимумы и максимумы'!L$3-'минимумы и максимумы'!L$2)*100)</f>
        <v>15.614116679291229</v>
      </c>
      <c r="O34" s="1">
        <f>IF('исходные данные'!O34&gt;'минимумы и максимумы'!M$3,100,('исходные данные'!O34-'минимумы и максимумы'!M$2)/('минимумы и максимумы'!M$3-'минимумы и максимумы'!M$2)*100)</f>
        <v>33.333333333333329</v>
      </c>
      <c r="P34" s="1">
        <f>IF('исходные данные'!P34&gt;'минимумы и максимумы'!N$3,100,('исходные данные'!P34-'минимумы и максимумы'!N$2)/('минимумы и максимумы'!N$3-'минимумы и максимумы'!N$2)*100)</f>
        <v>0</v>
      </c>
      <c r="Q34" s="1">
        <f>IF('исходные данные'!Q34&gt;'минимумы и максимумы'!O$3,100,('исходные данные'!Q34-'минимумы и максимумы'!O$2)/('минимумы и максимумы'!O$3-'минимумы и максимумы'!O$2)*100)</f>
        <v>0</v>
      </c>
      <c r="R34" s="1">
        <f>IF('исходные данные'!R34&gt;'минимумы и максимумы'!P$3,100,('исходные данные'!R34-'минимумы и максимумы'!P$2)/('минимумы и максимумы'!P$3-'минимумы и максимумы'!P$2)*100)</f>
        <v>75</v>
      </c>
      <c r="S34" s="1">
        <f>IF('исходные данные'!S34&gt;'минимумы и максимумы'!Q$3,100,('исходные данные'!S34-'минимумы и максимумы'!Q$2)/('минимумы и максимумы'!Q$3-'минимумы и максимумы'!Q$2)*100)</f>
        <v>33.333333333333329</v>
      </c>
      <c r="T34" s="1">
        <f>IF('исходные данные'!T34&gt;'минимумы и максимумы'!R$3,100,('исходные данные'!T34-'минимумы и максимумы'!R$2)/('минимумы и максимумы'!R$3-'минимумы и максимумы'!R$2)*100)</f>
        <v>34.799824021117466</v>
      </c>
      <c r="U34" s="1">
        <f>IF('исходные данные'!U34&gt;'минимумы и максимумы'!S$3,100,('исходные данные'!U34-'минимумы и максимумы'!S$2)/('минимумы и максимумы'!S$3-'минимумы и максимумы'!S$2)*100)</f>
        <v>33.333333333333329</v>
      </c>
    </row>
    <row r="35" spans="1:21" x14ac:dyDescent="0.45">
      <c r="A35" s="4">
        <v>61</v>
      </c>
      <c r="B35" s="4">
        <v>0</v>
      </c>
      <c r="C35" s="4">
        <v>0</v>
      </c>
      <c r="D35" s="1">
        <f>IF('исходные данные'!D35&gt;'минимумы и максимумы'!B$3,100,('исходные данные'!D35-'минимумы и максимумы'!B$2)/('минимумы и максимумы'!B$3-'минимумы и максимумы'!B$2)*100)</f>
        <v>20</v>
      </c>
      <c r="E35" s="1">
        <f>IF('исходные данные'!E35&gt;'минимумы и максимумы'!C$3,100,('исходные данные'!E35-'минимумы и максимумы'!C$2)/('минимумы и максимумы'!C$3-'минимумы и максимумы'!C$2)*100)</f>
        <v>90</v>
      </c>
      <c r="F35" s="1">
        <f>IF('исходные данные'!F35&gt;'минимумы и максимумы'!D$3,100,('исходные данные'!F35-'минимумы и максимумы'!D$2)/('минимумы и максимумы'!D$3-'минимумы и максимумы'!D$2)*100)</f>
        <v>33.333333333333329</v>
      </c>
      <c r="G35" s="1">
        <f>IF('исходные данные'!G35&gt;'минимумы и максимумы'!E$3,100,('исходные данные'!G35-'минимумы и максимумы'!E$2)/('минимумы и максимумы'!E$3-'минимумы и максимумы'!E$2)*100)</f>
        <v>16.666666666666664</v>
      </c>
      <c r="H35" s="1">
        <f>IF('исходные данные'!H35&gt;'минимумы и максимумы'!F$3,100,('исходные данные'!H35-'минимумы и максимумы'!F$2)/('минимумы и максимумы'!F$3-'минимумы и максимумы'!F$2)*100)</f>
        <v>16</v>
      </c>
      <c r="I35" s="1">
        <f>IF('исходные данные'!I35&gt;'минимумы и максимумы'!G$3,100,('исходные данные'!I35-'минимумы и максимумы'!G$2)/('минимумы и максимумы'!G$3-'минимумы и максимумы'!G$2)*100)</f>
        <v>18.867924528301888</v>
      </c>
      <c r="J35" s="1">
        <f>IF('исходные данные'!J35&gt;'минимумы и максимумы'!H$3,100,('исходные данные'!J35-'минимумы и максимумы'!H$2)/('минимумы и максимумы'!H$3-'минимумы и максимумы'!H$2)*100)</f>
        <v>6.666666666666667</v>
      </c>
      <c r="K35" s="1">
        <f>IF('исходные данные'!K35&gt;'минимумы и максимумы'!I$3,100,('исходные данные'!K35-'минимумы и максимумы'!I$2)/('минимумы и максимумы'!I$3-'минимумы и максимумы'!I$2)*100)</f>
        <v>44.444444444444443</v>
      </c>
      <c r="L35" s="1">
        <f>IF('исходные данные'!L35&gt;'минимумы и максимумы'!J$3,100,('исходные данные'!L35-'минимумы и максимумы'!J$2)/('минимумы и максимумы'!J$3-'минимумы и максимумы'!J$2)*100)</f>
        <v>0</v>
      </c>
      <c r="M35" s="1">
        <f>IF('исходные данные'!M35&gt;'минимумы и максимумы'!K$3,100,('исходные данные'!M35-'минимумы и максимумы'!K$2)/('минимумы и максимумы'!K$3-'минимумы и максимумы'!K$2)*100)</f>
        <v>35.483870967741936</v>
      </c>
      <c r="N35" s="1">
        <f>IF('исходные данные'!N35&gt;'минимумы и максимумы'!L$3,100,('исходные данные'!N35-'минимумы и максимумы'!L$2)/('минимумы и максимумы'!L$3-'минимумы и максимумы'!L$2)*100)</f>
        <v>15.783350366190191</v>
      </c>
      <c r="O35" s="1">
        <f>IF('исходные данные'!O35&gt;'минимумы и максимумы'!M$3,100,('исходные данные'!O35-'минимумы и максимумы'!M$2)/('минимумы и максимумы'!M$3-'минимумы и максимумы'!M$2)*100)</f>
        <v>100</v>
      </c>
      <c r="P35" s="1">
        <f>IF('исходные данные'!P35&gt;'минимумы и максимумы'!N$3,100,('исходные данные'!P35-'минимумы и максимумы'!N$2)/('минимумы и максимумы'!N$3-'минимумы и максимумы'!N$2)*100)</f>
        <v>0</v>
      </c>
      <c r="Q35" s="1">
        <f>IF('исходные данные'!Q35&gt;'минимумы и максимумы'!O$3,100,('исходные данные'!Q35-'минимумы и максимумы'!O$2)/('минимумы и максимумы'!O$3-'минимумы и максимумы'!O$2)*100)</f>
        <v>100</v>
      </c>
      <c r="R35" s="1">
        <f>IF('исходные данные'!R35&gt;'минимумы и максимумы'!P$3,100,('исходные данные'!R35-'минимумы и максимумы'!P$2)/('минимумы и максимумы'!P$3-'минимумы и максимумы'!P$2)*100)</f>
        <v>100</v>
      </c>
      <c r="S35" s="1">
        <f>IF('исходные данные'!S35&gt;'минимумы и максимумы'!Q$3,100,('исходные данные'!S35-'минимумы и максимумы'!Q$2)/('минимумы и максимумы'!Q$3-'минимумы и максимумы'!Q$2)*100)</f>
        <v>33.333333333333329</v>
      </c>
      <c r="T35" s="1">
        <f>IF('исходные данные'!T35&gt;'минимумы и максимумы'!R$3,100,('исходные данные'!T35-'минимумы и максимумы'!R$2)/('минимумы и максимумы'!R$3-'минимумы и максимумы'!R$2)*100)</f>
        <v>17.069951605807304</v>
      </c>
      <c r="U35" s="1">
        <f>IF('исходные данные'!U35&gt;'минимумы и максимумы'!S$3,100,('исходные данные'!U35-'минимумы и максимумы'!S$2)/('минимумы и максимумы'!S$3-'минимумы и максимумы'!S$2)*100)</f>
        <v>33.333333333333329</v>
      </c>
    </row>
    <row r="36" spans="1:21" x14ac:dyDescent="0.45">
      <c r="A36" s="4">
        <v>65</v>
      </c>
      <c r="B36" s="4">
        <v>0</v>
      </c>
      <c r="C36" s="4">
        <v>0</v>
      </c>
      <c r="D36" s="1">
        <f>IF('исходные данные'!D36&gt;'минимумы и максимумы'!B$3,100,('исходные данные'!D36-'минимумы и максимумы'!B$2)/('минимумы и максимумы'!B$3-'минимумы и максимумы'!B$2)*100)</f>
        <v>20</v>
      </c>
      <c r="E36" s="1">
        <f>IF('исходные данные'!E36&gt;'минимумы и максимумы'!C$3,100,('исходные данные'!E36-'минимумы и максимумы'!C$2)/('минимумы и максимумы'!C$3-'минимумы и максимумы'!C$2)*100)</f>
        <v>0</v>
      </c>
      <c r="F36" s="1">
        <f>IF('исходные данные'!F36&gt;'минимумы и максимумы'!D$3,100,('исходные данные'!F36-'минимумы и максимумы'!D$2)/('минимумы и максимумы'!D$3-'минимумы и максимумы'!D$2)*100)</f>
        <v>0</v>
      </c>
      <c r="G36" s="1">
        <f>IF('исходные данные'!G36&gt;'минимумы и максимумы'!E$3,100,('исходные данные'!G36-'минимумы и максимумы'!E$2)/('минимумы и максимумы'!E$3-'минимумы и максимумы'!E$2)*100)</f>
        <v>12.5</v>
      </c>
      <c r="H36" s="1">
        <f>IF('исходные данные'!H36&gt;'минимумы и максимумы'!F$3,100,('исходные данные'!H36-'минимумы и максимумы'!F$2)/('минимумы и максимумы'!F$3-'минимумы и максимумы'!F$2)*100)</f>
        <v>4</v>
      </c>
      <c r="I36" s="1">
        <f>IF('исходные данные'!I36&gt;'минимумы и максимумы'!G$3,100,('исходные данные'!I36-'минимумы и максимумы'!G$2)/('минимумы и максимумы'!G$3-'минимумы и максимумы'!G$2)*100)</f>
        <v>28.30188679245283</v>
      </c>
      <c r="J36" s="1">
        <f>IF('исходные данные'!J36&gt;'минимумы и максимумы'!H$3,100,('исходные данные'!J36-'минимумы и максимумы'!H$2)/('минимумы и максимумы'!H$3-'минимумы и максимумы'!H$2)*100)</f>
        <v>13.333333333333334</v>
      </c>
      <c r="K36" s="1">
        <f>IF('исходные данные'!K36&gt;'минимумы и максимумы'!I$3,100,('исходные данные'!K36-'минимумы и максимумы'!I$2)/('минимумы и максимумы'!I$3-'минимумы и максимумы'!I$2)*100)</f>
        <v>11.111111111111111</v>
      </c>
      <c r="L36" s="1">
        <f>IF('исходные данные'!L36&gt;'минимумы и максимумы'!J$3,100,('исходные данные'!L36-'минимумы и максимумы'!J$2)/('минимумы и максимумы'!J$3-'минимумы и максимумы'!J$2)*100)</f>
        <v>60</v>
      </c>
      <c r="M36" s="1">
        <f>IF('исходные данные'!M36&gt;'минимумы и максимумы'!K$3,100,('исходные данные'!M36-'минимумы и максимумы'!K$2)/('минимумы и максимумы'!K$3-'минимумы и максимумы'!K$2)*100)</f>
        <v>29.032258064516132</v>
      </c>
      <c r="N36" s="1">
        <f>IF('исходные данные'!N36&gt;'минимумы и максимумы'!L$3,100,('исходные данные'!N36-'минимумы и максимумы'!L$2)/('минимумы и максимумы'!L$3-'минимумы и максимумы'!L$2)*100)</f>
        <v>11.493744931436249</v>
      </c>
      <c r="O36" s="1">
        <f>IF('исходные данные'!O36&gt;'минимумы и максимумы'!M$3,100,('исходные данные'!O36-'минимумы и максимумы'!M$2)/('минимумы и максимумы'!M$3-'минимумы и максимумы'!M$2)*100)</f>
        <v>100</v>
      </c>
      <c r="P36" s="1">
        <f>IF('исходные данные'!P36&gt;'минимумы и максимумы'!N$3,100,('исходные данные'!P36-'минимумы и максимумы'!N$2)/('минимумы и максимумы'!N$3-'минимумы и максимумы'!N$2)*100)</f>
        <v>100</v>
      </c>
      <c r="Q36" s="1">
        <f>IF('исходные данные'!Q36&gt;'минимумы и максимумы'!O$3,100,('исходные данные'!Q36-'минимумы и максимумы'!O$2)/('минимумы и максимумы'!O$3-'минимумы и максимумы'!O$2)*100)</f>
        <v>100</v>
      </c>
      <c r="R36" s="1">
        <f>IF('исходные данные'!R36&gt;'минимумы и максимумы'!P$3,100,('исходные данные'!R36-'минимумы и максимумы'!P$2)/('минимумы и максимумы'!P$3-'минимумы и максимумы'!P$2)*100)</f>
        <v>75</v>
      </c>
      <c r="S36" s="1">
        <f>IF('исходные данные'!S36&gt;'минимумы и максимумы'!Q$3,100,('исходные данные'!S36-'минимумы и максимумы'!Q$2)/('минимумы и максимумы'!Q$3-'минимумы и максимумы'!Q$2)*100)</f>
        <v>83.333333333333343</v>
      </c>
      <c r="T36" s="1">
        <f>IF('исходные данные'!T36&gt;'минимумы и максимумы'!R$3,100,('исходные данные'!T36-'минимумы и максимумы'!R$2)/('минимумы и максимумы'!R$3-'минимумы и максимумы'!R$2)*100)</f>
        <v>100</v>
      </c>
      <c r="U36" s="1">
        <f>IF('исходные данные'!U36&gt;'минимумы и максимумы'!S$3,100,('исходные данные'!U36-'минимумы и максимумы'!S$2)/('минимумы и максимумы'!S$3-'минимумы и максимумы'!S$2)*100)</f>
        <v>100</v>
      </c>
    </row>
    <row r="37" spans="1:21" x14ac:dyDescent="0.45">
      <c r="A37" s="4">
        <v>69</v>
      </c>
      <c r="B37" s="4">
        <v>0</v>
      </c>
      <c r="C37" s="4">
        <v>0</v>
      </c>
      <c r="D37" s="1">
        <f>IF('исходные данные'!D37&gt;'минимумы и максимумы'!B$3,100,('исходные данные'!D37-'минимумы и максимумы'!B$2)/('минимумы и максимумы'!B$3-'минимумы и максимумы'!B$2)*100)</f>
        <v>0</v>
      </c>
      <c r="E37" s="1">
        <f>IF('исходные данные'!E37&gt;'минимумы и максимумы'!C$3,100,('исходные данные'!E37-'минимумы и максимумы'!C$2)/('минимумы и максимумы'!C$3-'минимумы и максимумы'!C$2)*100)</f>
        <v>10</v>
      </c>
      <c r="F37" s="1">
        <f>IF('исходные данные'!F37&gt;'минимумы и максимумы'!D$3,100,('исходные данные'!F37-'минимумы и максимумы'!D$2)/('минимумы и максимумы'!D$3-'минимумы и максимумы'!D$2)*100)</f>
        <v>0</v>
      </c>
      <c r="G37" s="1">
        <f>IF('исходные данные'!G37&gt;'минимумы и максимумы'!E$3,100,('исходные данные'!G37-'минимумы и максимумы'!E$2)/('минимумы и максимумы'!E$3-'минимумы и максимумы'!E$2)*100)</f>
        <v>0</v>
      </c>
      <c r="H37" s="1">
        <f>IF('исходные данные'!H37&gt;'минимумы и максимумы'!F$3,100,('исходные данные'!H37-'минимумы и максимумы'!F$2)/('минимумы и максимумы'!F$3-'минимумы и максимумы'!F$2)*100)</f>
        <v>4</v>
      </c>
      <c r="I37" s="1">
        <f>IF('исходные данные'!I37&gt;'минимумы и максимумы'!G$3,100,('исходные данные'!I37-'минимумы и максимумы'!G$2)/('минимумы и максимумы'!G$3-'минимумы и максимумы'!G$2)*100)</f>
        <v>18.867924528301888</v>
      </c>
      <c r="J37" s="1">
        <f>IF('исходные данные'!J37&gt;'минимумы и максимумы'!H$3,100,('исходные данные'!J37-'минимумы и максимумы'!H$2)/('минимумы и максимумы'!H$3-'минимумы и максимумы'!H$2)*100)</f>
        <v>13.333333333333334</v>
      </c>
      <c r="K37" s="1">
        <f>IF('исходные данные'!K37&gt;'минимумы и максимумы'!I$3,100,('исходные данные'!K37-'минимумы и максимумы'!I$2)/('минимумы и максимумы'!I$3-'минимумы и максимумы'!I$2)*100)</f>
        <v>0</v>
      </c>
      <c r="L37" s="1">
        <f>IF('исходные данные'!L37&gt;'минимумы и максимумы'!J$3,100,('исходные данные'!L37-'минимумы и максимумы'!J$2)/('минимумы и максимумы'!J$3-'минимумы и максимумы'!J$2)*100)</f>
        <v>0</v>
      </c>
      <c r="M37" s="1">
        <f>IF('исходные данные'!M37&gt;'минимумы и максимумы'!K$3,100,('исходные данные'!M37-'минимумы и максимумы'!K$2)/('минимумы и максимумы'!K$3-'минимумы и максимумы'!K$2)*100)</f>
        <v>12.903225806451612</v>
      </c>
      <c r="N37" s="1">
        <f>IF('исходные данные'!N37&gt;'минимумы и максимумы'!L$3,100,('исходные данные'!N37-'минимумы и максимумы'!L$2)/('минимумы и максимумы'!L$3-'минимумы и максимумы'!L$2)*100)</f>
        <v>10.043031522121849</v>
      </c>
      <c r="O37" s="1">
        <f>IF('исходные данные'!O37&gt;'минимумы и максимумы'!M$3,100,('исходные данные'!O37-'минимумы и максимумы'!M$2)/('минимумы и максимумы'!M$3-'минимумы и максимумы'!M$2)*100)</f>
        <v>0</v>
      </c>
      <c r="P37" s="1">
        <f>IF('исходные данные'!P37&gt;'минимумы и максимумы'!N$3,100,('исходные данные'!P37-'минимумы и максимумы'!N$2)/('минимумы и максимумы'!N$3-'минимумы и максимумы'!N$2)*100)</f>
        <v>0</v>
      </c>
      <c r="Q37" s="1">
        <f>IF('исходные данные'!Q37&gt;'минимумы и максимумы'!O$3,100,('исходные данные'!Q37-'минимумы и максимумы'!O$2)/('минимумы и максимумы'!O$3-'минимумы и максимумы'!O$2)*100)</f>
        <v>0</v>
      </c>
      <c r="R37" s="1">
        <f>IF('исходные данные'!R37&gt;'минимумы и максимумы'!P$3,100,('исходные данные'!R37-'минимумы и максимумы'!P$2)/('минимумы и максимумы'!P$3-'минимумы и максимумы'!P$2)*100)</f>
        <v>75</v>
      </c>
      <c r="S37" s="1">
        <f>IF('исходные данные'!S37&gt;'минимумы и максимумы'!Q$3,100,('исходные данные'!S37-'минимумы и максимумы'!Q$2)/('минимумы и максимумы'!Q$3-'минимумы и максимумы'!Q$2)*100)</f>
        <v>16.666666666666664</v>
      </c>
      <c r="T37" s="1">
        <f>IF('исходные данные'!T37&gt;'минимумы и максимумы'!R$3,100,('исходные данные'!T37-'минимумы и максимумы'!R$2)/('минимумы и максимумы'!R$3-'минимумы и максимумы'!R$2)*100)</f>
        <v>7.5670919489661248</v>
      </c>
      <c r="U37" s="1">
        <f>IF('исходные данные'!U37&gt;'минимумы и максимумы'!S$3,100,('исходные данные'!U37-'минимумы и максимумы'!S$2)/('минимумы и максимумы'!S$3-'минимумы и максимумы'!S$2)*100)</f>
        <v>33.333333333333329</v>
      </c>
    </row>
    <row r="38" spans="1:21" x14ac:dyDescent="0.45">
      <c r="A38" s="4">
        <v>72</v>
      </c>
      <c r="B38" s="4">
        <v>1</v>
      </c>
      <c r="C38" s="4">
        <v>0</v>
      </c>
      <c r="D38" s="1">
        <f>IF('исходные данные'!D38&gt;'минимумы и максимумы'!B$3,100,('исходные данные'!D38-'минимумы и максимумы'!B$2)/('минимумы и максимумы'!B$3-'минимумы и максимумы'!B$2)*100)</f>
        <v>20</v>
      </c>
      <c r="E38" s="1">
        <f>IF('исходные данные'!E38&gt;'минимумы и максимумы'!C$3,100,('исходные данные'!E38-'минимумы и максимумы'!C$2)/('минимумы и максимумы'!C$3-'минимумы и максимумы'!C$2)*100)</f>
        <v>20</v>
      </c>
      <c r="F38" s="1">
        <f>IF('исходные данные'!F38&gt;'минимумы и максимумы'!D$3,100,('исходные данные'!F38-'минимумы и максимумы'!D$2)/('минимумы и максимумы'!D$3-'минимумы и максимумы'!D$2)*100)</f>
        <v>100</v>
      </c>
      <c r="G38" s="1">
        <f>IF('исходные данные'!G38&gt;'минимумы и максимумы'!E$3,100,('исходные данные'!G38-'минимумы и максимумы'!E$2)/('минимумы и максимумы'!E$3-'минимумы и максимумы'!E$2)*100)</f>
        <v>33.333333333333329</v>
      </c>
      <c r="H38" s="1">
        <f>IF('исходные данные'!H38&gt;'минимумы и максимумы'!F$3,100,('исходные данные'!H38-'минимумы и максимумы'!F$2)/('минимумы и максимумы'!F$3-'минимумы и максимумы'!F$2)*100)</f>
        <v>12</v>
      </c>
      <c r="I38" s="1">
        <f>IF('исходные данные'!I38&gt;'минимумы и максимумы'!G$3,100,('исходные данные'!I38-'минимумы и максимумы'!G$2)/('минимумы и максимумы'!G$3-'минимумы и максимумы'!G$2)*100)</f>
        <v>35.849056603773583</v>
      </c>
      <c r="J38" s="1">
        <f>IF('исходные данные'!J38&gt;'минимумы и максимумы'!H$3,100,('исходные данные'!J38-'минимумы и максимумы'!H$2)/('минимумы и максимумы'!H$3-'минимумы и максимумы'!H$2)*100)</f>
        <v>20</v>
      </c>
      <c r="K38" s="1">
        <f>IF('исходные данные'!K38&gt;'минимумы и максимумы'!I$3,100,('исходные данные'!K38-'минимумы и максимумы'!I$2)/('минимумы и максимумы'!I$3-'минимумы и максимумы'!I$2)*100)</f>
        <v>5.5555555555555554</v>
      </c>
      <c r="L38" s="1">
        <f>IF('исходные данные'!L38&gt;'минимумы и максимумы'!J$3,100,('исходные данные'!L38-'минимумы и максимумы'!J$2)/('минимумы и максимумы'!J$3-'минимумы и максимумы'!J$2)*100)</f>
        <v>20</v>
      </c>
      <c r="M38" s="1">
        <f>IF('исходные данные'!M38&gt;'минимумы и максимумы'!K$3,100,('исходные данные'!M38-'минимумы и максимумы'!K$2)/('минимумы и максимумы'!K$3-'минимумы и максимумы'!K$2)*100)</f>
        <v>41.935483870967744</v>
      </c>
      <c r="N38" s="1">
        <f>IF('исходные данные'!N38&gt;'минимумы и максимумы'!L$3,100,('исходные данные'!N38-'минимумы и максимумы'!L$2)/('минимумы и максимумы'!L$3-'минимумы и максимумы'!L$2)*100)</f>
        <v>10.395129264910381</v>
      </c>
      <c r="O38" s="1">
        <f>IF('исходные данные'!O38&gt;'минимумы и максимумы'!M$3,100,('исходные данные'!O38-'минимумы и максимумы'!M$2)/('минимумы и максимумы'!M$3-'минимумы и максимумы'!M$2)*100)</f>
        <v>100</v>
      </c>
      <c r="P38" s="1">
        <f>IF('исходные данные'!P38&gt;'минимумы и максимумы'!N$3,100,('исходные данные'!P38-'минимумы и максимумы'!N$2)/('минимумы и максимумы'!N$3-'минимумы и максимумы'!N$2)*100)</f>
        <v>0</v>
      </c>
      <c r="Q38" s="1">
        <f>IF('исходные данные'!Q38&gt;'минимумы и максимумы'!O$3,100,('исходные данные'!Q38-'минимумы и максимумы'!O$2)/('минимумы и максимумы'!O$3-'минимумы и максимумы'!O$2)*100)</f>
        <v>100</v>
      </c>
      <c r="R38" s="1">
        <f>IF('исходные данные'!R38&gt;'минимумы и максимумы'!P$3,100,('исходные данные'!R38-'минимумы и максимумы'!P$2)/('минимумы и максимумы'!P$3-'минимумы и максимумы'!P$2)*100)</f>
        <v>100</v>
      </c>
      <c r="S38" s="1">
        <f>IF('исходные данные'!S38&gt;'минимумы и максимумы'!Q$3,100,('исходные данные'!S38-'минимумы и максимумы'!Q$2)/('минимумы и максимумы'!Q$3-'минимумы и максимумы'!Q$2)*100)</f>
        <v>33.333333333333329</v>
      </c>
      <c r="T38" s="1">
        <f>IF('исходные данные'!T38&gt;'минимумы и максимумы'!R$3,100,('исходные данные'!T38-'минимумы и максимумы'!R$2)/('минимумы и максимумы'!R$3-'минимумы и максимумы'!R$2)*100)</f>
        <v>19.885613726352837</v>
      </c>
      <c r="U38" s="1">
        <f>IF('исходные данные'!U38&gt;'минимумы и максимумы'!S$3,100,('исходные данные'!U38-'минимумы и максимумы'!S$2)/('минимумы и максимумы'!S$3-'минимумы и максимумы'!S$2)*100)</f>
        <v>0</v>
      </c>
    </row>
    <row r="39" spans="1:21" x14ac:dyDescent="0.45">
      <c r="A39" s="4">
        <v>73</v>
      </c>
      <c r="B39" s="4">
        <v>1</v>
      </c>
      <c r="C39" s="4">
        <v>0</v>
      </c>
      <c r="D39" s="1">
        <f>IF('исходные данные'!D39&gt;'минимумы и максимумы'!B$3,100,('исходные данные'!D39-'минимумы и максимумы'!B$2)/('минимумы и максимумы'!B$3-'минимумы и максимумы'!B$2)*100)</f>
        <v>0</v>
      </c>
      <c r="E39" s="1">
        <f>IF('исходные данные'!E39&gt;'минимумы и максимумы'!C$3,100,('исходные данные'!E39-'минимумы и максимумы'!C$2)/('минимумы и максимумы'!C$3-'минимумы и максимумы'!C$2)*100)</f>
        <v>0</v>
      </c>
      <c r="F39" s="1">
        <f>IF('исходные данные'!F39&gt;'минимумы и максимумы'!D$3,100,('исходные данные'!F39-'минимумы и максимумы'!D$2)/('минимумы и максимумы'!D$3-'минимумы и максимумы'!D$2)*100)</f>
        <v>100</v>
      </c>
      <c r="G39" s="1">
        <f>IF('исходные данные'!G39&gt;'минимумы и максимумы'!E$3,100,('исходные данные'!G39-'минимумы и максимумы'!E$2)/('минимумы и максимумы'!E$3-'минимумы и максимумы'!E$2)*100)</f>
        <v>29.166666666666668</v>
      </c>
      <c r="H39" s="1">
        <f>IF('исходные данные'!H39&gt;'минимумы и максимумы'!F$3,100,('исходные данные'!H39-'минимумы и максимумы'!F$2)/('минимумы и максимумы'!F$3-'минимумы и максимумы'!F$2)*100)</f>
        <v>20</v>
      </c>
      <c r="I39" s="1">
        <f>IF('исходные данные'!I39&gt;'минимумы и максимумы'!G$3,100,('исходные данные'!I39-'минимумы и максимумы'!G$2)/('минимумы и максимумы'!G$3-'минимумы и максимумы'!G$2)*100)</f>
        <v>49.056603773584904</v>
      </c>
      <c r="J39" s="1">
        <f>IF('исходные данные'!J39&gt;'минимумы и максимумы'!H$3,100,('исходные данные'!J39-'минимумы и максимумы'!H$2)/('минимумы и максимумы'!H$3-'минимумы и максимумы'!H$2)*100)</f>
        <v>20</v>
      </c>
      <c r="K39" s="1">
        <f>IF('исходные данные'!K39&gt;'минимумы и максимумы'!I$3,100,('исходные данные'!K39-'минимумы и максимумы'!I$2)/('минимумы и максимумы'!I$3-'минимумы и максимумы'!I$2)*100)</f>
        <v>44.444444444444443</v>
      </c>
      <c r="L39" s="1">
        <f>IF('исходные данные'!L39&gt;'минимумы и максимумы'!J$3,100,('исходные данные'!L39-'минимумы и максимумы'!J$2)/('минимумы и максимумы'!J$3-'минимумы и максимумы'!J$2)*100)</f>
        <v>60</v>
      </c>
      <c r="M39" s="1">
        <f>IF('исходные данные'!M39&gt;'минимумы и максимумы'!K$3,100,('исходные данные'!M39-'минимумы и максимумы'!K$2)/('минимумы и максимумы'!K$3-'минимумы и максимумы'!K$2)*100)</f>
        <v>38.70967741935484</v>
      </c>
      <c r="N39" s="1">
        <f>IF('исходные данные'!N39&gt;'минимумы и максимумы'!L$3,100,('исходные данные'!N39-'минимумы и максимумы'!L$2)/('минимумы и максимумы'!L$3-'минимумы и максимумы'!L$2)*100)</f>
        <v>12.382191830258268</v>
      </c>
      <c r="O39" s="1">
        <f>IF('исходные данные'!O39&gt;'минимумы и максимумы'!M$3,100,('исходные данные'!O39-'минимумы и максимумы'!M$2)/('минимумы и максимумы'!M$3-'минимумы и максимумы'!M$2)*100)</f>
        <v>66.666666666666657</v>
      </c>
      <c r="P39" s="1">
        <f>IF('исходные данные'!P39&gt;'минимумы и максимумы'!N$3,100,('исходные данные'!P39-'минимумы и максимумы'!N$2)/('минимумы и максимумы'!N$3-'минимумы и максимумы'!N$2)*100)</f>
        <v>0</v>
      </c>
      <c r="Q39" s="1">
        <f>IF('исходные данные'!Q39&gt;'минимумы и максимумы'!O$3,100,('исходные данные'!Q39-'минимумы и максимумы'!O$2)/('минимумы и максимумы'!O$3-'минимумы и максимумы'!O$2)*100)</f>
        <v>100</v>
      </c>
      <c r="R39" s="1">
        <f>IF('исходные данные'!R39&gt;'минимумы и максимумы'!P$3,100,('исходные данные'!R39-'минимумы и максимумы'!P$2)/('минимумы и максимумы'!P$3-'минимумы и максимумы'!P$2)*100)</f>
        <v>100</v>
      </c>
      <c r="S39" s="1">
        <f>IF('исходные данные'!S39&gt;'минимумы и максимумы'!Q$3,100,('исходные данные'!S39-'минимумы и максимумы'!Q$2)/('минимумы и максимумы'!Q$3-'минимумы и максимумы'!Q$2)*100)</f>
        <v>83.333333333333343</v>
      </c>
      <c r="T39" s="1">
        <f>IF('исходные данные'!T39&gt;'минимумы и максимумы'!R$3,100,('исходные данные'!T39-'минимумы и максимумы'!R$2)/('минимумы и максимумы'!R$3-'минимумы и максимумы'!R$2)*100)</f>
        <v>21.381434227892655</v>
      </c>
      <c r="U39" s="1">
        <f>IF('исходные данные'!U39&gt;'минимумы и максимумы'!S$3,100,('исходные данные'!U39-'минимумы и максимумы'!S$2)/('минимумы и максимумы'!S$3-'минимумы и максимумы'!S$2)*100)</f>
        <v>33.333333333333329</v>
      </c>
    </row>
    <row r="40" spans="1:21" x14ac:dyDescent="0.45">
      <c r="A40" s="4">
        <v>74</v>
      </c>
      <c r="B40" s="4">
        <v>1</v>
      </c>
      <c r="C40" s="4">
        <v>0</v>
      </c>
      <c r="D40" s="1">
        <f>IF('исходные данные'!D40&gt;'минимумы и максимумы'!B$3,100,('исходные данные'!D40-'минимумы и максимумы'!B$2)/('минимумы и максимумы'!B$3-'минимумы и максимумы'!B$2)*100)</f>
        <v>0</v>
      </c>
      <c r="E40" s="1">
        <f>IF('исходные данные'!E40&gt;'минимумы и максимумы'!C$3,100,('исходные данные'!E40-'минимумы и максимумы'!C$2)/('минимумы и максимумы'!C$3-'минимумы и максимумы'!C$2)*100)</f>
        <v>0</v>
      </c>
      <c r="F40" s="1">
        <f>IF('исходные данные'!F40&gt;'минимумы и максимумы'!D$3,100,('исходные данные'!F40-'минимумы и максимумы'!D$2)/('минимумы и максимумы'!D$3-'минимумы и максимумы'!D$2)*100)</f>
        <v>100</v>
      </c>
      <c r="G40" s="1">
        <f>IF('исходные данные'!G40&gt;'минимумы и максимумы'!E$3,100,('исходные данные'!G40-'минимумы и максимумы'!E$2)/('минимумы и максимумы'!E$3-'минимумы и максимумы'!E$2)*100)</f>
        <v>29.166666666666668</v>
      </c>
      <c r="H40" s="1">
        <f>IF('исходные данные'!H40&gt;'минимумы и максимумы'!F$3,100,('исходные данные'!H40-'минимумы и максимумы'!F$2)/('минимумы и максимумы'!F$3-'минимумы и максимумы'!F$2)*100)</f>
        <v>20</v>
      </c>
      <c r="I40" s="1">
        <f>IF('исходные данные'!I40&gt;'минимумы и максимумы'!G$3,100,('исходные данные'!I40-'минимумы и максимумы'!G$2)/('минимумы и максимумы'!G$3-'минимумы и максимумы'!G$2)*100)</f>
        <v>49.056603773584904</v>
      </c>
      <c r="J40" s="1">
        <f>IF('исходные данные'!J40&gt;'минимумы и максимумы'!H$3,100,('исходные данные'!J40-'минимумы и максимумы'!H$2)/('минимумы и максимумы'!H$3-'минимумы и максимумы'!H$2)*100)</f>
        <v>20</v>
      </c>
      <c r="K40" s="1">
        <f>IF('исходные данные'!K40&gt;'минимумы и максимумы'!I$3,100,('исходные данные'!K40-'минимумы и максимумы'!I$2)/('минимумы и максимумы'!I$3-'минимумы и максимумы'!I$2)*100)</f>
        <v>44.444444444444443</v>
      </c>
      <c r="L40" s="1">
        <f>IF('исходные данные'!L40&gt;'минимумы и максимумы'!J$3,100,('исходные данные'!L40-'минимумы и максимумы'!J$2)/('минимумы и максимумы'!J$3-'минимумы и максимумы'!J$2)*100)</f>
        <v>60</v>
      </c>
      <c r="M40" s="1">
        <f>IF('исходные данные'!M40&gt;'минимумы и максимумы'!K$3,100,('исходные данные'!M40-'минимумы и максимумы'!K$2)/('минимумы и максимумы'!K$3-'минимумы и максимумы'!K$2)*100)</f>
        <v>38.70967741935484</v>
      </c>
      <c r="N40" s="1">
        <f>IF('исходные данные'!N40&gt;'минимумы и максимумы'!L$3,100,('исходные данные'!N40-'минимумы и максимумы'!L$2)/('минимумы и максимумы'!L$3-'минимумы и максимумы'!L$2)*100)</f>
        <v>12.382191830258268</v>
      </c>
      <c r="O40" s="1">
        <f>IF('исходные данные'!O40&gt;'минимумы и максимумы'!M$3,100,('исходные данные'!O40-'минимумы и максимумы'!M$2)/('минимумы и максимумы'!M$3-'минимумы и максимумы'!M$2)*100)</f>
        <v>66.666666666666657</v>
      </c>
      <c r="P40" s="1">
        <f>IF('исходные данные'!P40&gt;'минимумы и максимумы'!N$3,100,('исходные данные'!P40-'минимумы и максимумы'!N$2)/('минимумы и максимумы'!N$3-'минимумы и максимумы'!N$2)*100)</f>
        <v>0</v>
      </c>
      <c r="Q40" s="1">
        <f>IF('исходные данные'!Q40&gt;'минимумы и максимумы'!O$3,100,('исходные данные'!Q40-'минимумы и максимумы'!O$2)/('минимумы и максимумы'!O$3-'минимумы и максимумы'!O$2)*100)</f>
        <v>100</v>
      </c>
      <c r="R40" s="1">
        <f>IF('исходные данные'!R40&gt;'минимумы и максимумы'!P$3,100,('исходные данные'!R40-'минимумы и максимумы'!P$2)/('минимумы и максимумы'!P$3-'минимумы и максимумы'!P$2)*100)</f>
        <v>100</v>
      </c>
      <c r="S40" s="1">
        <f>IF('исходные данные'!S40&gt;'минимумы и максимумы'!Q$3,100,('исходные данные'!S40-'минимумы и максимумы'!Q$2)/('минимумы и максимумы'!Q$3-'минимумы и максимумы'!Q$2)*100)</f>
        <v>83.333333333333343</v>
      </c>
      <c r="T40" s="1">
        <f>IF('исходные данные'!T40&gt;'минимумы и максимумы'!R$3,100,('исходные данные'!T40-'минимумы и максимумы'!R$2)/('минимумы и максимумы'!R$3-'минимумы и максимумы'!R$2)*100)</f>
        <v>15.574131104267488</v>
      </c>
      <c r="U40" s="1">
        <f>IF('исходные данные'!U40&gt;'минимумы и максимумы'!S$3,100,('исходные данные'!U40-'минимумы и максимумы'!S$2)/('минимумы и максимумы'!S$3-'минимумы и максимумы'!S$2)*100)</f>
        <v>66.666666666666657</v>
      </c>
    </row>
    <row r="41" spans="1:21" x14ac:dyDescent="0.45">
      <c r="A41" s="4">
        <v>75</v>
      </c>
      <c r="B41" s="4">
        <v>0</v>
      </c>
      <c r="C41" s="4">
        <v>0</v>
      </c>
      <c r="D41" s="1">
        <f>IF('исходные данные'!D41&gt;'минимумы и максимумы'!B$3,100,('исходные данные'!D41-'минимумы и максимумы'!B$2)/('минимумы и максимумы'!B$3-'минимумы и максимумы'!B$2)*100)</f>
        <v>100</v>
      </c>
      <c r="E41" s="1">
        <f>IF('исходные данные'!E41&gt;'минимумы и максимумы'!C$3,100,('исходные данные'!E41-'минимумы и максимумы'!C$2)/('минимумы и максимумы'!C$3-'минимумы и максимумы'!C$2)*100)</f>
        <v>90</v>
      </c>
      <c r="F41" s="1">
        <f>IF('исходные данные'!F41&gt;'минимумы и максимумы'!D$3,100,('исходные данные'!F41-'минимумы и максимумы'!D$2)/('минимумы и максимумы'!D$3-'минимумы и максимумы'!D$2)*100)</f>
        <v>100</v>
      </c>
      <c r="G41" s="1">
        <f>IF('исходные данные'!G41&gt;'минимумы и максимумы'!E$3,100,('исходные данные'!G41-'минимумы и максимумы'!E$2)/('минимумы и максимумы'!E$3-'минимумы и максимумы'!E$2)*100)</f>
        <v>79.166666666666657</v>
      </c>
      <c r="H41" s="1">
        <f>IF('исходные данные'!H41&gt;'минимумы и максимумы'!F$3,100,('исходные данные'!H41-'минимумы и максимумы'!F$2)/('минимумы и максимумы'!F$3-'минимумы и максимумы'!F$2)*100)</f>
        <v>56.000000000000007</v>
      </c>
      <c r="I41" s="1">
        <f>IF('исходные данные'!I41&gt;'минимумы и максимумы'!G$3,100,('исходные данные'!I41-'минимумы и максимумы'!G$2)/('минимумы и максимумы'!G$3-'минимумы и максимумы'!G$2)*100)</f>
        <v>81.132075471698116</v>
      </c>
      <c r="J41" s="1">
        <f>IF('исходные данные'!J41&gt;'минимумы и максимумы'!H$3,100,('исходные данные'!J41-'минимумы и максимумы'!H$2)/('минимумы и максимумы'!H$3-'минимумы и максимумы'!H$2)*100)</f>
        <v>100</v>
      </c>
      <c r="K41" s="1">
        <f>IF('исходные данные'!K41&gt;'минимумы и максимумы'!I$3,100,('исходные данные'!K41-'минимумы и максимумы'!I$2)/('минимумы и максимумы'!I$3-'минимумы и максимумы'!I$2)*100)</f>
        <v>38.888888888888893</v>
      </c>
      <c r="L41" s="1">
        <f>IF('исходные данные'!L41&gt;'минимумы и максимумы'!J$3,100,('исходные данные'!L41-'минимумы и максимумы'!J$2)/('минимумы и максимумы'!J$3-'минимумы и максимумы'!J$2)*100)</f>
        <v>100</v>
      </c>
      <c r="M41" s="1">
        <f>IF('исходные данные'!M41&gt;'минимумы и максимумы'!K$3,100,('исходные данные'!M41-'минимумы и максимумы'!K$2)/('минимумы и максимумы'!K$3-'минимумы и максимумы'!K$2)*100)</f>
        <v>38.70967741935484</v>
      </c>
      <c r="N41" s="1">
        <f>IF('исходные данные'!N41&gt;'минимумы и максимумы'!L$3,100,('исходные данные'!N41-'минимумы и максимумы'!L$2)/('минимумы и максимумы'!L$3-'минимумы и максимумы'!L$2)*100)</f>
        <v>11.606238657731108</v>
      </c>
      <c r="O41" s="1">
        <f>IF('исходные данные'!O41&gt;'минимумы и максимумы'!M$3,100,('исходные данные'!O41-'минимумы и максимумы'!M$2)/('минимумы и максимумы'!M$3-'минимумы и максимумы'!M$2)*100)</f>
        <v>33.333333333333329</v>
      </c>
      <c r="P41" s="1">
        <f>IF('исходные данные'!P41&gt;'минимумы и максимумы'!N$3,100,('исходные данные'!P41-'минимумы и максимумы'!N$2)/('минимумы и максимумы'!N$3-'минимумы и максимумы'!N$2)*100)</f>
        <v>0</v>
      </c>
      <c r="Q41" s="1">
        <f>IF('исходные данные'!Q41&gt;'минимумы и максимумы'!O$3,100,('исходные данные'!Q41-'минимумы и максимумы'!O$2)/('минимумы и максимумы'!O$3-'минимумы и максимумы'!O$2)*100)</f>
        <v>100</v>
      </c>
      <c r="R41" s="1">
        <f>IF('исходные данные'!R41&gt;'минимумы и максимумы'!P$3,100,('исходные данные'!R41-'минимумы и максимумы'!P$2)/('минимумы и максимумы'!P$3-'минимумы и максимумы'!P$2)*100)</f>
        <v>100</v>
      </c>
      <c r="S41" s="1">
        <f>IF('исходные данные'!S41&gt;'минимумы и максимумы'!Q$3,100,('исходные данные'!S41-'минимумы и максимумы'!Q$2)/('минимумы и максимумы'!Q$3-'минимумы и максимумы'!Q$2)*100)</f>
        <v>100</v>
      </c>
      <c r="T41" s="1">
        <f>IF('исходные данные'!T41&gt;'минимумы и максимумы'!R$3,100,('исходные данные'!T41-'минимумы и максимумы'!R$2)/('минимумы и максимумы'!R$3-'минимумы и максимумы'!R$2)*100)</f>
        <v>74.791025076990763</v>
      </c>
      <c r="U41" s="1">
        <f>IF('исходные данные'!U41&gt;'минимумы и максимумы'!S$3,100,('исходные данные'!U41-'минимумы и максимумы'!S$2)/('минимумы и максимумы'!S$3-'минимумы и максимумы'!S$2)*100)</f>
        <v>100</v>
      </c>
    </row>
    <row r="42" spans="1:21" x14ac:dyDescent="0.45">
      <c r="A42" s="4">
        <v>76</v>
      </c>
      <c r="B42" s="4">
        <v>1</v>
      </c>
      <c r="C42" s="4">
        <v>0</v>
      </c>
      <c r="D42" s="1">
        <f>IF('исходные данные'!D42&gt;'минимумы и максимумы'!B$3,100,('исходные данные'!D42-'минимумы и максимумы'!B$2)/('минимумы и максимумы'!B$3-'минимумы и максимумы'!B$2)*100)</f>
        <v>80</v>
      </c>
      <c r="E42" s="1">
        <f>IF('исходные данные'!E42&gt;'минимумы и максимумы'!C$3,100,('исходные данные'!E42-'минимумы и максимумы'!C$2)/('минимумы и максимумы'!C$3-'минимумы и максимумы'!C$2)*100)</f>
        <v>100</v>
      </c>
      <c r="F42" s="1">
        <f>IF('исходные данные'!F42&gt;'минимумы и максимумы'!D$3,100,('исходные данные'!F42-'минимумы и максимумы'!D$2)/('минимумы и максимумы'!D$3-'минимумы и максимумы'!D$2)*100)</f>
        <v>33.333333333333329</v>
      </c>
      <c r="G42" s="1">
        <f>IF('исходные данные'!G42&gt;'минимумы и максимумы'!E$3,100,('исходные данные'!G42-'минимумы и максимумы'!E$2)/('минимумы и максимумы'!E$3-'минимумы и максимумы'!E$2)*100)</f>
        <v>91.666666666666657</v>
      </c>
      <c r="H42" s="1">
        <f>IF('исходные данные'!H42&gt;'минимумы и максимумы'!F$3,100,('исходные данные'!H42-'минимумы и максимумы'!F$2)/('минимумы и максимумы'!F$3-'минимумы и максимумы'!F$2)*100)</f>
        <v>72</v>
      </c>
      <c r="I42" s="1">
        <f>IF('исходные данные'!I42&gt;'минимумы и максимумы'!G$3,100,('исходные данные'!I42-'минимумы и максимумы'!G$2)/('минимумы и максимумы'!G$3-'минимумы и максимумы'!G$2)*100)</f>
        <v>100</v>
      </c>
      <c r="J42" s="1">
        <f>IF('исходные данные'!J42&gt;'минимумы и максимумы'!H$3,100,('исходные данные'!J42-'минимумы и максимумы'!H$2)/('минимумы и максимумы'!H$3-'минимумы и максимумы'!H$2)*100)</f>
        <v>100</v>
      </c>
      <c r="K42" s="1">
        <f>IF('исходные данные'!K42&gt;'минимумы и максимумы'!I$3,100,('исходные данные'!K42-'минимумы и максимумы'!I$2)/('минимумы и максимумы'!I$3-'минимумы и максимумы'!I$2)*100)</f>
        <v>27.777777777777779</v>
      </c>
      <c r="L42" s="1">
        <f>IF('исходные данные'!L42&gt;'минимумы и максимумы'!J$3,100,('исходные данные'!L42-'минимумы и максимумы'!J$2)/('минимумы и максимумы'!J$3-'минимумы и максимумы'!J$2)*100)</f>
        <v>40</v>
      </c>
      <c r="M42" s="1">
        <f>IF('исходные данные'!M42&gt;'минимумы и максимумы'!K$3,100,('исходные данные'!M42-'минимумы и максимумы'!K$2)/('минимумы и максимумы'!K$3-'минимумы и максимумы'!K$2)*100)</f>
        <v>38.70967741935484</v>
      </c>
      <c r="N42" s="1">
        <f>IF('исходные данные'!N42&gt;'минимумы и максимумы'!L$3,100,('исходные данные'!N42-'минимумы и максимумы'!L$2)/('минимумы и максимумы'!L$3-'минимумы и максимумы'!L$2)*100)</f>
        <v>11.605626050182993</v>
      </c>
      <c r="O42" s="1">
        <f>IF('исходные данные'!O42&gt;'минимумы и максимумы'!M$3,100,('исходные данные'!O42-'минимумы и максимумы'!M$2)/('минимумы и максимумы'!M$3-'минимумы и максимумы'!M$2)*100)</f>
        <v>100</v>
      </c>
      <c r="P42" s="1">
        <f>IF('исходные данные'!P42&gt;'минимумы и максимумы'!N$3,100,('исходные данные'!P42-'минимумы и максимумы'!N$2)/('минимумы и максимумы'!N$3-'минимумы и максимумы'!N$2)*100)</f>
        <v>0</v>
      </c>
      <c r="Q42" s="1">
        <f>IF('исходные данные'!Q42&gt;'минимумы и максимумы'!O$3,100,('исходные данные'!Q42-'минимумы и максимумы'!O$2)/('минимумы и максимумы'!O$3-'минимумы и максимумы'!O$2)*100)</f>
        <v>100</v>
      </c>
      <c r="R42" s="1">
        <f>IF('исходные данные'!R42&gt;'минимумы и максимумы'!P$3,100,('исходные данные'!R42-'минимумы и максимумы'!P$2)/('минимумы и максимумы'!P$3-'минимумы и максимумы'!P$2)*100)</f>
        <v>100</v>
      </c>
      <c r="S42" s="1">
        <f>IF('исходные данные'!S42&gt;'минимумы и максимумы'!Q$3,100,('исходные данные'!S42-'минимумы и максимумы'!Q$2)/('минимумы и максимумы'!Q$3-'минимумы и максимумы'!Q$2)*100)</f>
        <v>66.666666666666657</v>
      </c>
      <c r="T42" s="1">
        <f>IF('исходные данные'!T42&gt;'минимумы и максимумы'!R$3,100,('исходные данные'!T42-'минимумы и максимумы'!R$2)/('минимумы и максимумы'!R$3-'минимумы и максимумы'!R$2)*100)</f>
        <v>12.27452705675319</v>
      </c>
      <c r="U42" s="1">
        <f>IF('исходные данные'!U42&gt;'минимумы и максимумы'!S$3,100,('исходные данные'!U42-'минимумы и максимумы'!S$2)/('минимумы и максимумы'!S$3-'минимумы и максимумы'!S$2)*100)</f>
        <v>0</v>
      </c>
    </row>
    <row r="43" spans="1:21" x14ac:dyDescent="0.45">
      <c r="A43" s="4">
        <v>77</v>
      </c>
      <c r="B43" s="4">
        <v>1</v>
      </c>
      <c r="C43" s="4">
        <v>0</v>
      </c>
      <c r="D43" s="1">
        <f>IF('исходные данные'!D43&gt;'минимумы и максимумы'!B$3,100,('исходные данные'!D43-'минимумы и максимумы'!B$2)/('минимумы и максимумы'!B$3-'минимумы и максимумы'!B$2)*100)</f>
        <v>100</v>
      </c>
      <c r="E43" s="1">
        <f>IF('исходные данные'!E43&gt;'минимумы и максимумы'!C$3,100,('исходные данные'!E43-'минимумы и максимумы'!C$2)/('минимумы и максимумы'!C$3-'минимумы и максимумы'!C$2)*100)</f>
        <v>100</v>
      </c>
      <c r="F43" s="1">
        <f>IF('исходные данные'!F43&gt;'минимумы и максимумы'!D$3,100,('исходные данные'!F43-'минимумы и максимумы'!D$2)/('минимумы и максимумы'!D$3-'минимумы и максимумы'!D$2)*100)</f>
        <v>0</v>
      </c>
      <c r="G43" s="1">
        <f>IF('исходные данные'!G43&gt;'минимумы и максимумы'!E$3,100,('исходные данные'!G43-'минимумы и максимумы'!E$2)/('минимумы и максимумы'!E$3-'минимумы и максимумы'!E$2)*100)</f>
        <v>50</v>
      </c>
      <c r="H43" s="1">
        <f>IF('исходные данные'!H43&gt;'минимумы и максимумы'!F$3,100,('исходные данные'!H43-'минимумы и максимумы'!F$2)/('минимумы и максимумы'!F$3-'минимумы и максимумы'!F$2)*100)</f>
        <v>64</v>
      </c>
      <c r="I43" s="1">
        <f>IF('исходные данные'!I43&gt;'минимумы и максимумы'!G$3,100,('исходные данные'!I43-'минимумы и максимумы'!G$2)/('минимумы и максимумы'!G$3-'минимумы и максимумы'!G$2)*100)</f>
        <v>100</v>
      </c>
      <c r="J43" s="1">
        <f>IF('исходные данные'!J43&gt;'минимумы и максимумы'!H$3,100,('исходные данные'!J43-'минимумы и максимумы'!H$2)/('минимумы и максимумы'!H$3-'минимумы и максимумы'!H$2)*100)</f>
        <v>66.666666666666657</v>
      </c>
      <c r="K43" s="1">
        <f>IF('исходные данные'!K43&gt;'минимумы и максимумы'!I$3,100,('исходные данные'!K43-'минимумы и максимумы'!I$2)/('минимумы и максимумы'!I$3-'минимумы и максимумы'!I$2)*100)</f>
        <v>100</v>
      </c>
      <c r="L43" s="1">
        <f>IF('исходные данные'!L43&gt;'минимумы и максимумы'!J$3,100,('исходные данные'!L43-'минимумы и максимумы'!J$2)/('минимумы и максимумы'!J$3-'минимумы и максимумы'!J$2)*100)</f>
        <v>100</v>
      </c>
      <c r="M43" s="1">
        <f>IF('исходные данные'!M43&gt;'минимумы и максимумы'!K$3,100,('исходные данные'!M43-'минимумы и максимумы'!K$2)/('минимумы и максимумы'!K$3-'минимумы и максимумы'!K$2)*100)</f>
        <v>64.516129032258064</v>
      </c>
      <c r="N43" s="1">
        <f>IF('исходные данные'!N43&gt;'минимумы и максимумы'!L$3,100,('исходные данные'!N43-'минимумы и максимумы'!L$2)/('минимумы и максимумы'!L$3-'минимумы и максимумы'!L$2)*100)</f>
        <v>14.214381022467199</v>
      </c>
      <c r="O43" s="1">
        <f>IF('исходные данные'!O43&gt;'минимумы и максимумы'!M$3,100,('исходные данные'!O43-'минимумы и максимумы'!M$2)/('минимумы и максимумы'!M$3-'минимумы и максимумы'!M$2)*100)</f>
        <v>33.333333333333329</v>
      </c>
      <c r="P43" s="1">
        <f>IF('исходные данные'!P43&gt;'минимумы и максимумы'!N$3,100,('исходные данные'!P43-'минимумы и максимумы'!N$2)/('минимумы и максимумы'!N$3-'минимумы и максимумы'!N$2)*100)</f>
        <v>0</v>
      </c>
      <c r="Q43" s="1">
        <f>IF('исходные данные'!Q43&gt;'минимумы и максимумы'!O$3,100,('исходные данные'!Q43-'минимумы и максимумы'!O$2)/('минимумы и максимумы'!O$3-'минимумы и максимумы'!O$2)*100)</f>
        <v>100</v>
      </c>
      <c r="R43" s="1">
        <f>IF('исходные данные'!R43&gt;'минимумы и максимумы'!P$3,100,('исходные данные'!R43-'минимумы и максимумы'!P$2)/('минимумы и максимумы'!P$3-'минимумы и максимумы'!P$2)*100)</f>
        <v>100</v>
      </c>
      <c r="S43" s="1">
        <f>IF('исходные данные'!S43&gt;'минимумы и максимумы'!Q$3,100,('исходные данные'!S43-'минимумы и максимумы'!Q$2)/('минимумы и максимумы'!Q$3-'минимумы и максимумы'!Q$2)*100)</f>
        <v>83.333333333333343</v>
      </c>
      <c r="T43" s="1">
        <f>IF('исходные данные'!T43&gt;'минимумы и максимумы'!R$3,100,('исходные данные'!T43-'минимумы и максимумы'!R$2)/('минимумы и максимумы'!R$3-'минимумы и максимумы'!R$2)*100)</f>
        <v>26.264848218213814</v>
      </c>
      <c r="U43" s="1">
        <f>IF('исходные данные'!U43&gt;'минимумы и максимумы'!S$3,100,('исходные данные'!U43-'минимумы и максимумы'!S$2)/('минимумы и максимумы'!S$3-'минимумы и максимумы'!S$2)*100)</f>
        <v>33.333333333333329</v>
      </c>
    </row>
    <row r="44" spans="1:21" x14ac:dyDescent="0.45">
      <c r="A44" s="4">
        <v>79</v>
      </c>
      <c r="B44" s="4">
        <v>0</v>
      </c>
      <c r="C44" s="4">
        <v>0</v>
      </c>
      <c r="D44" s="1">
        <f>IF('исходные данные'!D44&gt;'минимумы и максимумы'!B$3,100,('исходные данные'!D44-'минимумы и максимумы'!B$2)/('минимумы и максимумы'!B$3-'минимумы и максимумы'!B$2)*100)</f>
        <v>60</v>
      </c>
      <c r="E44" s="1">
        <f>IF('исходные данные'!E44&gt;'минимумы и максимумы'!C$3,100,('исходные данные'!E44-'минимумы и максимумы'!C$2)/('минимумы и максимумы'!C$3-'минимумы и максимумы'!C$2)*100)</f>
        <v>90</v>
      </c>
      <c r="F44" s="1">
        <f>IF('исходные данные'!F44&gt;'минимумы и максимумы'!D$3,100,('исходные данные'!F44-'минимумы и максимумы'!D$2)/('минимумы и максимумы'!D$3-'минимумы и максимумы'!D$2)*100)</f>
        <v>33.333333333333329</v>
      </c>
      <c r="G44" s="1">
        <f>IF('исходные данные'!G44&gt;'минимумы и максимумы'!E$3,100,('исходные данные'!G44-'минимумы и максимумы'!E$2)/('минимумы и максимумы'!E$3-'минимумы и максимумы'!E$2)*100)</f>
        <v>25</v>
      </c>
      <c r="H44" s="1">
        <f>IF('исходные данные'!H44&gt;'минимумы и максимумы'!F$3,100,('исходные данные'!H44-'минимумы и максимумы'!F$2)/('минимумы и максимумы'!F$3-'минимумы и максимумы'!F$2)*100)</f>
        <v>36</v>
      </c>
      <c r="I44" s="1">
        <f>IF('исходные данные'!I44&gt;'минимумы и максимумы'!G$3,100,('исходные данные'!I44-'минимумы и максимумы'!G$2)/('минимумы и максимумы'!G$3-'минимумы и максимумы'!G$2)*100)</f>
        <v>39.622641509433961</v>
      </c>
      <c r="J44" s="1">
        <f>IF('исходные данные'!J44&gt;'минимумы и максимумы'!H$3,100,('исходные данные'!J44-'минимумы и максимумы'!H$2)/('минимумы и максимумы'!H$3-'минимумы и максимумы'!H$2)*100)</f>
        <v>20</v>
      </c>
      <c r="K44" s="1">
        <f>IF('исходные данные'!K44&gt;'минимумы и максимумы'!I$3,100,('исходные данные'!K44-'минимумы и максимумы'!I$2)/('минимумы и максимумы'!I$3-'минимумы и максимумы'!I$2)*100)</f>
        <v>50</v>
      </c>
      <c r="L44" s="1">
        <f>IF('исходные данные'!L44&gt;'минимумы и максимумы'!J$3,100,('исходные данные'!L44-'минимумы и максимумы'!J$2)/('минимумы и максимумы'!J$3-'минимумы и максимумы'!J$2)*100)</f>
        <v>60</v>
      </c>
      <c r="M44" s="1">
        <f>IF('исходные данные'!M44&gt;'минимумы и максимумы'!K$3,100,('исходные данные'!M44-'минимумы и максимумы'!K$2)/('минимумы и максимумы'!K$3-'минимумы и максимумы'!K$2)*100)</f>
        <v>51.612903225806448</v>
      </c>
      <c r="N44" s="1">
        <f>IF('исходные данные'!N44&gt;'минимумы и максимумы'!L$3,100,('исходные данные'!N44-'минимумы и максимумы'!L$2)/('минимумы и максимумы'!L$3-'минимумы и максимумы'!L$2)*100)</f>
        <v>14.524207246067972</v>
      </c>
      <c r="O44" s="1">
        <f>IF('исходные данные'!O44&gt;'минимумы и максимумы'!M$3,100,('исходные данные'!O44-'минимумы и максимумы'!M$2)/('минимумы и максимумы'!M$3-'минимумы и максимумы'!M$2)*100)</f>
        <v>66.666666666666657</v>
      </c>
      <c r="P44" s="1">
        <f>IF('исходные данные'!P44&gt;'минимумы и максимумы'!N$3,100,('исходные данные'!P44-'минимумы и максимумы'!N$2)/('минимумы и максимумы'!N$3-'минимумы и максимумы'!N$2)*100)</f>
        <v>0</v>
      </c>
      <c r="Q44" s="1">
        <f>IF('исходные данные'!Q44&gt;'минимумы и максимумы'!O$3,100,('исходные данные'!Q44-'минимумы и максимумы'!O$2)/('минимумы и максимумы'!O$3-'минимумы и максимумы'!O$2)*100)</f>
        <v>0</v>
      </c>
      <c r="R44" s="1">
        <f>IF('исходные данные'!R44&gt;'минимумы и максимумы'!P$3,100,('исходные данные'!R44-'минимумы и максимумы'!P$2)/('минимумы и максимумы'!P$3-'минимумы и максимумы'!P$2)*100)</f>
        <v>25</v>
      </c>
      <c r="S44" s="1">
        <f>IF('исходные данные'!S44&gt;'минимумы и максимумы'!Q$3,100,('исходные данные'!S44-'минимумы и максимумы'!Q$2)/('минимумы и максимумы'!Q$3-'минимумы и максимумы'!Q$2)*100)</f>
        <v>66.666666666666657</v>
      </c>
      <c r="T44" s="1">
        <f>IF('исходные данные'!T44&gt;'минимумы и максимумы'!R$3,100,('исходные данные'!T44-'минимумы и максимумы'!R$2)/('минимумы и максимумы'!R$3-'минимумы и максимумы'!R$2)*100)</f>
        <v>97.712274527056749</v>
      </c>
      <c r="U44" s="1">
        <f>IF('исходные данные'!U44&gt;'минимумы и максимумы'!S$3,100,('исходные данные'!U44-'минимумы и максимумы'!S$2)/('минимумы и максимумы'!S$3-'минимумы и максимумы'!S$2)*100)</f>
        <v>0</v>
      </c>
    </row>
    <row r="45" spans="1:21" x14ac:dyDescent="0.45">
      <c r="A45" s="4">
        <v>81</v>
      </c>
      <c r="B45" s="4">
        <v>1</v>
      </c>
      <c r="C45" s="4">
        <v>0</v>
      </c>
      <c r="D45" s="1">
        <f>IF('исходные данные'!D45&gt;'минимумы и максимумы'!B$3,100,('исходные данные'!D45-'минимумы и максимумы'!B$2)/('минимумы и максимумы'!B$3-'минимумы и максимумы'!B$2)*100)</f>
        <v>20</v>
      </c>
      <c r="E45" s="1">
        <f>IF('исходные данные'!E45&gt;'минимумы и максимумы'!C$3,100,('исходные данные'!E45-'минимумы и максимумы'!C$2)/('минимумы и максимумы'!C$3-'минимумы и максимумы'!C$2)*100)</f>
        <v>20</v>
      </c>
      <c r="F45" s="1">
        <f>IF('исходные данные'!F45&gt;'минимумы и максимумы'!D$3,100,('исходные данные'!F45-'минимумы и максимумы'!D$2)/('минимумы и максимумы'!D$3-'минимумы и максимумы'!D$2)*100)</f>
        <v>100</v>
      </c>
      <c r="G45" s="1">
        <f>IF('исходные данные'!G45&gt;'минимумы и максимумы'!E$3,100,('исходные данные'!G45-'минимумы и максимумы'!E$2)/('минимумы и максимумы'!E$3-'минимумы и максимумы'!E$2)*100)</f>
        <v>37.5</v>
      </c>
      <c r="H45" s="1">
        <f>IF('исходные данные'!H45&gt;'минимумы и максимумы'!F$3,100,('исходные данные'!H45-'минимумы и максимумы'!F$2)/('минимумы и максимумы'!F$3-'минимумы и максимумы'!F$2)*100)</f>
        <v>24</v>
      </c>
      <c r="I45" s="1">
        <f>IF('исходные данные'!I45&gt;'минимумы и максимумы'!G$3,100,('исходные данные'!I45-'минимумы и максимумы'!G$2)/('минимумы и максимумы'!G$3-'минимумы и максимумы'!G$2)*100)</f>
        <v>64.15094339622641</v>
      </c>
      <c r="J45" s="1">
        <f>IF('исходные данные'!J45&gt;'минимумы и максимумы'!H$3,100,('исходные данные'!J45-'минимумы и максимумы'!H$2)/('минимумы и максимумы'!H$3-'минимумы и максимумы'!H$2)*100)</f>
        <v>33.333333333333329</v>
      </c>
      <c r="K45" s="1">
        <f>IF('исходные данные'!K45&gt;'минимумы и максимумы'!I$3,100,('исходные данные'!K45-'минимумы и максимумы'!I$2)/('минимумы и максимумы'!I$3-'минимумы и максимумы'!I$2)*100)</f>
        <v>88.888888888888886</v>
      </c>
      <c r="L45" s="1">
        <f>IF('исходные данные'!L45&gt;'минимумы и максимумы'!J$3,100,('исходные данные'!L45-'минимумы и максимумы'!J$2)/('минимумы и максимумы'!J$3-'минимумы и максимумы'!J$2)*100)</f>
        <v>40</v>
      </c>
      <c r="M45" s="1">
        <f>IF('исходные данные'!M45&gt;'минимумы и максимумы'!K$3,100,('исходные данные'!M45-'минимумы и максимумы'!K$2)/('минимумы и максимумы'!K$3-'минимумы и максимумы'!K$2)*100)</f>
        <v>54.838709677419352</v>
      </c>
      <c r="N45" s="1">
        <f>IF('исходные данные'!N45&gt;'минимумы и максимумы'!L$3,100,('исходные данные'!N45-'минимумы и максимумы'!L$2)/('минимумы и максимумы'!L$3-'минимумы и максимумы'!L$2)*100)</f>
        <v>12.820457087950784</v>
      </c>
      <c r="O45" s="1">
        <f>IF('исходные данные'!O45&gt;'минимумы и максимумы'!M$3,100,('исходные данные'!O45-'минимумы и максимумы'!M$2)/('минимумы и максимумы'!M$3-'минимумы и максимумы'!M$2)*100)</f>
        <v>66.666666666666657</v>
      </c>
      <c r="P45" s="1">
        <f>IF('исходные данные'!P45&gt;'минимумы и максимумы'!N$3,100,('исходные данные'!P45-'минимумы и максимумы'!N$2)/('минимумы и максимумы'!N$3-'минимумы и максимумы'!N$2)*100)</f>
        <v>0</v>
      </c>
      <c r="Q45" s="1">
        <f>IF('исходные данные'!Q45&gt;'минимумы и максимумы'!O$3,100,('исходные данные'!Q45-'минимумы и максимумы'!O$2)/('минимумы и максимумы'!O$3-'минимумы и максимумы'!O$2)*100)</f>
        <v>100</v>
      </c>
      <c r="R45" s="1">
        <f>IF('исходные данные'!R45&gt;'минимумы и максимумы'!P$3,100,('исходные данные'!R45-'минимумы и максимумы'!P$2)/('минимумы и максимумы'!P$3-'минимумы и максимумы'!P$2)*100)</f>
        <v>75</v>
      </c>
      <c r="S45" s="1">
        <f>IF('исходные данные'!S45&gt;'минимумы и максимумы'!Q$3,100,('исходные данные'!S45-'минимумы и максимумы'!Q$2)/('минимумы и максимумы'!Q$3-'минимумы и максимумы'!Q$2)*100)</f>
        <v>50</v>
      </c>
      <c r="T45" s="1">
        <f>IF('исходные данные'!T45&gt;'минимумы и максимумы'!R$3,100,('исходные данные'!T45-'минимумы и максимумы'!R$2)/('минимумы и максимумы'!R$3-'минимумы и максимумы'!R$2)*100)</f>
        <v>29.520457545094587</v>
      </c>
      <c r="U45" s="1">
        <f>IF('исходные данные'!U45&gt;'минимумы и максимумы'!S$3,100,('исходные данные'!U45-'минимумы и максимумы'!S$2)/('минимумы и максимумы'!S$3-'минимумы и максимумы'!S$2)*100)</f>
        <v>0</v>
      </c>
    </row>
    <row r="46" spans="1:21" x14ac:dyDescent="0.45">
      <c r="A46" s="4">
        <v>85</v>
      </c>
      <c r="B46" s="4">
        <v>1</v>
      </c>
      <c r="C46" s="4">
        <v>0</v>
      </c>
      <c r="D46" s="1">
        <f>IF('исходные данные'!D46&gt;'минимумы и максимумы'!B$3,100,('исходные данные'!D46-'минимумы и максимумы'!B$2)/('минимумы и максимумы'!B$3-'минимумы и максимумы'!B$2)*100)</f>
        <v>100</v>
      </c>
      <c r="E46" s="1">
        <f>IF('исходные данные'!E46&gt;'минимумы и максимумы'!C$3,100,('исходные данные'!E46-'минимумы и максимумы'!C$2)/('минимумы и максимумы'!C$3-'минимумы и максимумы'!C$2)*100)</f>
        <v>90</v>
      </c>
      <c r="F46" s="1">
        <f>IF('исходные данные'!F46&gt;'минимумы и максимумы'!D$3,100,('исходные данные'!F46-'минимумы и максимумы'!D$2)/('минимумы и максимумы'!D$3-'минимумы и максимумы'!D$2)*100)</f>
        <v>66.666666666666657</v>
      </c>
      <c r="G46" s="1">
        <f>IF('исходные данные'!G46&gt;'минимумы и максимумы'!E$3,100,('исходные данные'!G46-'минимумы и максимумы'!E$2)/('минимумы и максимумы'!E$3-'минимумы и максимумы'!E$2)*100)</f>
        <v>41.666666666666671</v>
      </c>
      <c r="H46" s="1">
        <f>IF('исходные данные'!H46&gt;'минимумы и максимумы'!F$3,100,('исходные данные'!H46-'минимумы и максимумы'!F$2)/('минимумы и максимумы'!F$3-'минимумы и максимумы'!F$2)*100)</f>
        <v>56.000000000000007</v>
      </c>
      <c r="I46" s="1">
        <f>IF('исходные данные'!I46&gt;'минимумы и максимумы'!G$3,100,('исходные данные'!I46-'минимумы и максимумы'!G$2)/('минимумы и максимумы'!G$3-'минимумы и максимумы'!G$2)*100)</f>
        <v>66.037735849056602</v>
      </c>
      <c r="J46" s="1">
        <f>IF('исходные данные'!J46&gt;'минимумы и максимумы'!H$3,100,('исходные данные'!J46-'минимумы и максимумы'!H$2)/('минимумы и максимумы'!H$3-'минимумы и максимумы'!H$2)*100)</f>
        <v>40</v>
      </c>
      <c r="K46" s="1">
        <f>IF('исходные данные'!K46&gt;'минимумы и максимумы'!I$3,100,('исходные данные'!K46-'минимумы и максимумы'!I$2)/('минимумы и максимумы'!I$3-'минимумы и максимумы'!I$2)*100)</f>
        <v>50</v>
      </c>
      <c r="L46" s="1">
        <f>IF('исходные данные'!L46&gt;'минимумы и максимумы'!J$3,100,('исходные данные'!L46-'минимумы и максимумы'!J$2)/('минимумы и максимумы'!J$3-'минимумы и максимумы'!J$2)*100)</f>
        <v>100</v>
      </c>
      <c r="M46" s="1">
        <f>IF('исходные данные'!M46&gt;'минимумы и максимумы'!K$3,100,('исходные данные'!M46-'минимумы и максимумы'!K$2)/('минимумы и максимумы'!K$3-'минимумы и максимумы'!K$2)*100)</f>
        <v>80.645161290322577</v>
      </c>
      <c r="N46" s="1">
        <f>IF('исходные данные'!N46&gt;'минимумы и максимумы'!L$3,100,('исходные данные'!N46-'минимумы и максимумы'!L$2)/('минимумы и максимумы'!L$3-'минимумы и максимумы'!L$2)*100)</f>
        <v>18.669770558623373</v>
      </c>
      <c r="O46" s="1">
        <f>IF('исходные данные'!O46&gt;'минимумы и максимумы'!M$3,100,('исходные данные'!O46-'минимумы и максимумы'!M$2)/('минимумы и максимумы'!M$3-'минимумы и максимумы'!M$2)*100)</f>
        <v>100</v>
      </c>
      <c r="P46" s="1">
        <f>IF('исходные данные'!P46&gt;'минимумы и максимумы'!N$3,100,('исходные данные'!P46-'минимумы и максимумы'!N$2)/('минимумы и максимумы'!N$3-'минимумы и максимумы'!N$2)*100)</f>
        <v>100</v>
      </c>
      <c r="Q46" s="1">
        <f>IF('исходные данные'!Q46&gt;'минимумы и максимумы'!O$3,100,('исходные данные'!Q46-'минимумы и максимумы'!O$2)/('минимумы и максимумы'!O$3-'минимумы и максимумы'!O$2)*100)</f>
        <v>100</v>
      </c>
      <c r="R46" s="1">
        <f>IF('исходные данные'!R46&gt;'минимумы и максимумы'!P$3,100,('исходные данные'!R46-'минимумы и максимумы'!P$2)/('минимумы и максимумы'!P$3-'минимумы и максимумы'!P$2)*100)</f>
        <v>100</v>
      </c>
      <c r="S46" s="1">
        <f>IF('исходные данные'!S46&gt;'минимумы и максимумы'!Q$3,100,('исходные данные'!S46-'минимумы и максимумы'!Q$2)/('минимумы и максимумы'!Q$3-'минимумы и максимумы'!Q$2)*100)</f>
        <v>50</v>
      </c>
      <c r="T46" s="1">
        <f>IF('исходные данные'!T46&gt;'минимумы и максимумы'!R$3,100,('исходные данные'!T46-'минимумы и максимумы'!R$2)/('минимумы и максимумы'!R$3-'минимумы и максимумы'!R$2)*100)</f>
        <v>13.770347558293006</v>
      </c>
      <c r="U46" s="1">
        <f>IF('исходные данные'!U46&gt;'минимумы и максимумы'!S$3,100,('исходные данные'!U46-'минимумы и максимумы'!S$2)/('минимумы и максимумы'!S$3-'минимумы и максимумы'!S$2)*100)</f>
        <v>33.333333333333329</v>
      </c>
    </row>
    <row r="47" spans="1:21" x14ac:dyDescent="0.45">
      <c r="A47" s="4">
        <v>87</v>
      </c>
      <c r="B47" s="4">
        <v>0</v>
      </c>
      <c r="C47" s="4">
        <v>0</v>
      </c>
      <c r="D47" s="1">
        <f>IF('исходные данные'!D47&gt;'минимумы и максимумы'!B$3,100,('исходные данные'!D47-'минимумы и максимумы'!B$2)/('минимумы и максимумы'!B$3-'минимумы и максимумы'!B$2)*100)</f>
        <v>100</v>
      </c>
      <c r="E47" s="1">
        <f>IF('исходные данные'!E47&gt;'минимумы и максимумы'!C$3,100,('исходные данные'!E47-'минимумы и максимумы'!C$2)/('минимумы и максимумы'!C$3-'минимумы и максимумы'!C$2)*100)</f>
        <v>90</v>
      </c>
      <c r="F47" s="1">
        <f>IF('исходные данные'!F47&gt;'минимумы и максимумы'!D$3,100,('исходные данные'!F47-'минимумы и максимумы'!D$2)/('минимумы и максимумы'!D$3-'минимумы и максимумы'!D$2)*100)</f>
        <v>66.666666666666657</v>
      </c>
      <c r="G47" s="1">
        <f>IF('исходные данные'!G47&gt;'минимумы и максимумы'!E$3,100,('исходные данные'!G47-'минимумы и максимумы'!E$2)/('минимумы и максимумы'!E$3-'минимумы и максимумы'!E$2)*100)</f>
        <v>33.333333333333329</v>
      </c>
      <c r="H47" s="1">
        <f>IF('исходные данные'!H47&gt;'минимумы и максимумы'!F$3,100,('исходные данные'!H47-'минимумы и максимумы'!F$2)/('минимумы и максимумы'!F$3-'минимумы и максимумы'!F$2)*100)</f>
        <v>40</v>
      </c>
      <c r="I47" s="1">
        <f>IF('исходные данные'!I47&gt;'минимумы и максимумы'!G$3,100,('исходные данные'!I47-'минимумы и максимумы'!G$2)/('минимумы и максимумы'!G$3-'минимумы и максимумы'!G$2)*100)</f>
        <v>50.943396226415096</v>
      </c>
      <c r="J47" s="1">
        <f>IF('исходные данные'!J47&gt;'минимумы и максимумы'!H$3,100,('исходные данные'!J47-'минимумы и максимумы'!H$2)/('минимумы и максимумы'!H$3-'минимумы и максимумы'!H$2)*100)</f>
        <v>26.666666666666668</v>
      </c>
      <c r="K47" s="1">
        <f>IF('исходные данные'!K47&gt;'минимумы и максимумы'!I$3,100,('исходные данные'!K47-'минимумы и максимумы'!I$2)/('минимумы и максимумы'!I$3-'минимумы и максимумы'!I$2)*100)</f>
        <v>38.888888888888893</v>
      </c>
      <c r="L47" s="1">
        <f>IF('исходные данные'!L47&gt;'минимумы и максимумы'!J$3,100,('исходные данные'!L47-'минимумы и максимумы'!J$2)/('минимумы и максимумы'!J$3-'минимумы и максимумы'!J$2)*100)</f>
        <v>100</v>
      </c>
      <c r="M47" s="1">
        <f>IF('исходные данные'!M47&gt;'минимумы и максимумы'!K$3,100,('исходные данные'!M47-'минимумы и максимумы'!K$2)/('минимумы и максимумы'!K$3-'минимумы и максимумы'!K$2)*100)</f>
        <v>61.29032258064516</v>
      </c>
      <c r="N47" s="1">
        <f>IF('исходные данные'!N47&gt;'минимумы и максимумы'!L$3,100,('исходные данные'!N47-'минимумы и максимумы'!L$2)/('минимумы и максимумы'!L$3-'минимумы и максимумы'!L$2)*100)</f>
        <v>19.371386725345406</v>
      </c>
      <c r="O47" s="1">
        <f>IF('исходные данные'!O47&gt;'минимумы и максимумы'!M$3,100,('исходные данные'!O47-'минимумы и максимумы'!M$2)/('минимумы и максимумы'!M$3-'минимумы и максимумы'!M$2)*100)</f>
        <v>100</v>
      </c>
      <c r="P47" s="1">
        <f>IF('исходные данные'!P47&gt;'минимумы и максимумы'!N$3,100,('исходные данные'!P47-'минимумы и максимумы'!N$2)/('минимумы и максимумы'!N$3-'минимумы и максимумы'!N$2)*100)</f>
        <v>0</v>
      </c>
      <c r="Q47" s="1">
        <f>IF('исходные данные'!Q47&gt;'минимумы и максимумы'!O$3,100,('исходные данные'!Q47-'минимумы и максимумы'!O$2)/('минимумы и максимумы'!O$3-'минимумы и максимумы'!O$2)*100)</f>
        <v>0</v>
      </c>
      <c r="R47" s="1">
        <f>IF('исходные данные'!R47&gt;'минимумы и максимумы'!P$3,100,('исходные данные'!R47-'минимумы и максимумы'!P$2)/('минимумы и максимумы'!P$3-'минимумы и максимумы'!P$2)*100)</f>
        <v>100</v>
      </c>
      <c r="S47" s="1">
        <f>IF('исходные данные'!S47&gt;'минимумы и максимумы'!Q$3,100,('исходные данные'!S47-'минимумы и максимумы'!Q$2)/('минимумы и максимумы'!Q$3-'минимумы и максимумы'!Q$2)*100)</f>
        <v>33.333333333333329</v>
      </c>
      <c r="T47" s="1">
        <f>IF('исходные данные'!T47&gt;'минимумы и максимумы'!R$3,100,('исходные данные'!T47-'минимумы и максимумы'!R$2)/('минимумы и максимумы'!R$3-'минимумы и максимумы'!R$2)*100)</f>
        <v>2.5956885173779147</v>
      </c>
      <c r="U47" s="1">
        <f>IF('исходные данные'!U47&gt;'минимумы и максимумы'!S$3,100,('исходные данные'!U47-'минимумы и максимумы'!S$2)/('минимумы и максимумы'!S$3-'минимумы и максимумы'!S$2)*100)</f>
        <v>33.333333333333329</v>
      </c>
    </row>
    <row r="48" spans="1:21" x14ac:dyDescent="0.45">
      <c r="A48" s="4">
        <v>90</v>
      </c>
      <c r="B48" s="4">
        <v>0</v>
      </c>
      <c r="C48" s="4">
        <v>0</v>
      </c>
      <c r="D48" s="1">
        <f>IF('исходные данные'!D48&gt;'минимумы и максимумы'!B$3,100,('исходные данные'!D48-'минимумы и максимумы'!B$2)/('минимумы и максимумы'!B$3-'минимумы и максимумы'!B$2)*100)</f>
        <v>0</v>
      </c>
      <c r="E48" s="1">
        <f>IF('исходные данные'!E48&gt;'минимумы и максимумы'!C$3,100,('исходные данные'!E48-'минимумы и максимумы'!C$2)/('минимумы и максимумы'!C$3-'минимумы и максимумы'!C$2)*100)</f>
        <v>70</v>
      </c>
      <c r="F48" s="1">
        <f>IF('исходные данные'!F48&gt;'минимумы и максимумы'!D$3,100,('исходные данные'!F48-'минимумы и максимумы'!D$2)/('минимумы и максимумы'!D$3-'минимумы и максимумы'!D$2)*100)</f>
        <v>33.333333333333329</v>
      </c>
      <c r="G48" s="1">
        <f>IF('исходные данные'!G48&gt;'минимумы и максимумы'!E$3,100,('исходные данные'!G48-'минимумы и максимумы'!E$2)/('минимумы и максимумы'!E$3-'минимумы и максимумы'!E$2)*100)</f>
        <v>29.166666666666668</v>
      </c>
      <c r="H48" s="1">
        <f>IF('исходные данные'!H48&gt;'минимумы и максимумы'!F$3,100,('исходные данные'!H48-'минимумы и максимумы'!F$2)/('минимумы и максимумы'!F$3-'минимумы и максимумы'!F$2)*100)</f>
        <v>28.000000000000004</v>
      </c>
      <c r="I48" s="1">
        <f>IF('исходные данные'!I48&gt;'минимумы и максимумы'!G$3,100,('исходные данные'!I48-'минимумы и максимумы'!G$2)/('минимумы и максимумы'!G$3-'минимумы и максимумы'!G$2)*100)</f>
        <v>18.867924528301888</v>
      </c>
      <c r="J48" s="1">
        <f>IF('исходные данные'!J48&gt;'минимумы и максимумы'!H$3,100,('исходные данные'!J48-'минимумы и максимумы'!H$2)/('минимумы и максимумы'!H$3-'минимумы и максимумы'!H$2)*100)</f>
        <v>13.333333333333334</v>
      </c>
      <c r="K48" s="1">
        <f>IF('исходные данные'!K48&gt;'минимумы и максимумы'!I$3,100,('исходные данные'!K48-'минимумы и максимумы'!I$2)/('минимумы и максимумы'!I$3-'минимумы и максимумы'!I$2)*100)</f>
        <v>38.888888888888893</v>
      </c>
      <c r="L48" s="1">
        <f>IF('исходные данные'!L48&gt;'минимумы и максимумы'!J$3,100,('исходные данные'!L48-'минимумы и максимумы'!J$2)/('минимумы и максимумы'!J$3-'минимумы и максимумы'!J$2)*100)</f>
        <v>20</v>
      </c>
      <c r="M48" s="1">
        <f>IF('исходные данные'!M48&gt;'минимумы и максимумы'!K$3,100,('исходные данные'!M48-'минимумы и максимумы'!K$2)/('минимумы и максимумы'!K$3-'минимумы и максимумы'!K$2)*100)</f>
        <v>54.838709677419352</v>
      </c>
      <c r="N48" s="1">
        <f>IF('исходные данные'!N48&gt;'минимумы и максимумы'!L$3,100,('исходные данные'!N48-'минимумы и максимумы'!L$2)/('минимумы и максимумы'!L$3-'минимумы и максимумы'!L$2)*100)</f>
        <v>20.987006471376869</v>
      </c>
      <c r="O48" s="1">
        <f>IF('исходные данные'!O48&gt;'минимумы и максимумы'!M$3,100,('исходные данные'!O48-'минимумы и максимумы'!M$2)/('минимумы и максимумы'!M$3-'минимумы и максимумы'!M$2)*100)</f>
        <v>0</v>
      </c>
      <c r="P48" s="1">
        <f>IF('исходные данные'!P48&gt;'минимумы и максимумы'!N$3,100,('исходные данные'!P48-'минимумы и максимумы'!N$2)/('минимумы и максимумы'!N$3-'минимумы и максимумы'!N$2)*100)</f>
        <v>0</v>
      </c>
      <c r="Q48" s="1">
        <f>IF('исходные данные'!Q48&gt;'минимумы и максимумы'!O$3,100,('исходные данные'!Q48-'минимумы и максимумы'!O$2)/('минимумы и максимумы'!O$3-'минимумы и максимумы'!O$2)*100)</f>
        <v>100</v>
      </c>
      <c r="R48" s="1">
        <f>IF('исходные данные'!R48&gt;'минимумы и максимумы'!P$3,100,('исходные данные'!R48-'минимумы и максимумы'!P$2)/('минимумы и максимумы'!P$3-'минимумы и максимумы'!P$2)*100)</f>
        <v>100</v>
      </c>
      <c r="S48" s="1">
        <f>IF('исходные данные'!S48&gt;'минимумы и максимумы'!Q$3,100,('исходные данные'!S48-'минимумы и максимумы'!Q$2)/('минимумы и максимумы'!Q$3-'минимумы и максимумы'!Q$2)*100)</f>
        <v>33.333333333333329</v>
      </c>
      <c r="T48" s="1">
        <f>IF('исходные данные'!T48&gt;'минимумы и максимумы'!R$3,100,('исходные данные'!T48-'минимумы и максимумы'!R$2)/('минимумы и максимумы'!R$3-'минимумы и максимумы'!R$2)*100)</f>
        <v>3.43158820941487</v>
      </c>
      <c r="U48" s="1">
        <f>IF('исходные данные'!U48&gt;'минимумы и максимумы'!S$3,100,('исходные данные'!U48-'минимумы и максимумы'!S$2)/('минимумы и максимумы'!S$3-'минимумы и максимумы'!S$2)*100)</f>
        <v>0</v>
      </c>
    </row>
    <row r="49" spans="1:21" x14ac:dyDescent="0.45">
      <c r="A49" s="4">
        <v>92</v>
      </c>
      <c r="B49" s="4">
        <v>0</v>
      </c>
      <c r="C49" s="4">
        <v>0</v>
      </c>
      <c r="D49" s="1">
        <f>IF('исходные данные'!D49&gt;'минимумы и максимумы'!B$3,100,('исходные данные'!D49-'минимумы и максимумы'!B$2)/('минимумы и максимумы'!B$3-'минимумы и максимумы'!B$2)*100)</f>
        <v>20</v>
      </c>
      <c r="E49" s="1">
        <f>IF('исходные данные'!E49&gt;'минимумы и максимумы'!C$3,100,('исходные данные'!E49-'минимумы и максимумы'!C$2)/('минимумы и максимумы'!C$3-'минимумы и максимумы'!C$2)*100)</f>
        <v>40</v>
      </c>
      <c r="F49" s="1">
        <f>IF('исходные данные'!F49&gt;'минимумы и максимумы'!D$3,100,('исходные данные'!F49-'минимумы и максимумы'!D$2)/('минимумы и максимумы'!D$3-'минимумы и максимумы'!D$2)*100)</f>
        <v>33.333333333333329</v>
      </c>
      <c r="G49" s="1">
        <f>IF('исходные данные'!G49&gt;'минимумы и максимумы'!E$3,100,('исходные данные'!G49-'минимумы и максимумы'!E$2)/('минимумы и максимумы'!E$3-'минимумы и максимумы'!E$2)*100)</f>
        <v>20.833333333333336</v>
      </c>
      <c r="H49" s="1">
        <f>IF('исходные данные'!H49&gt;'минимумы и максимумы'!F$3,100,('исходные данные'!H49-'минимумы и максимумы'!F$2)/('минимумы и максимумы'!F$3-'минимумы и максимумы'!F$2)*100)</f>
        <v>28.000000000000004</v>
      </c>
      <c r="I49" s="1">
        <f>IF('исходные данные'!I49&gt;'минимумы и максимумы'!G$3,100,('исходные данные'!I49-'минимумы и максимумы'!G$2)/('минимумы и максимумы'!G$3-'минимумы и максимумы'!G$2)*100)</f>
        <v>15.09433962264151</v>
      </c>
      <c r="J49" s="1">
        <f>IF('исходные данные'!J49&gt;'минимумы и максимумы'!H$3,100,('исходные данные'!J49-'минимумы и максимумы'!H$2)/('минимумы и максимумы'!H$3-'минимумы и максимумы'!H$2)*100)</f>
        <v>13.333333333333334</v>
      </c>
      <c r="K49" s="1">
        <f>IF('исходные данные'!K49&gt;'минимумы и максимумы'!I$3,100,('исходные данные'!K49-'минимумы и максимумы'!I$2)/('минимумы и максимумы'!I$3-'минимумы и максимумы'!I$2)*100)</f>
        <v>38.888888888888893</v>
      </c>
      <c r="L49" s="1">
        <f>IF('исходные данные'!L49&gt;'минимумы и максимумы'!J$3,100,('исходные данные'!L49-'минимумы и максимумы'!J$2)/('минимумы и максимумы'!J$3-'минимумы и максимумы'!J$2)*100)</f>
        <v>20</v>
      </c>
      <c r="M49" s="1">
        <f>IF('исходные данные'!M49&gt;'минимумы и максимумы'!K$3,100,('исходные данные'!M49-'минимумы и максимумы'!K$2)/('минимумы и максимумы'!K$3-'минимумы и максимумы'!K$2)*100)</f>
        <v>54.838709677419352</v>
      </c>
      <c r="N49" s="1">
        <f>IF('исходные данные'!N49&gt;'минимумы и максимумы'!L$3,100,('исходные данные'!N49-'минимумы и максимумы'!L$2)/('минимумы и максимумы'!L$3-'минимумы и максимумы'!L$2)*100)</f>
        <v>21.359947917243396</v>
      </c>
      <c r="O49" s="1">
        <f>IF('исходные данные'!O49&gt;'минимумы и максимумы'!M$3,100,('исходные данные'!O49-'минимумы и максимумы'!M$2)/('минимумы и максимумы'!M$3-'минимумы и максимумы'!M$2)*100)</f>
        <v>33.333333333333329</v>
      </c>
      <c r="P49" s="1">
        <f>IF('исходные данные'!P49&gt;'минимумы и максимумы'!N$3,100,('исходные данные'!P49-'минимумы и максимумы'!N$2)/('минимумы и максимумы'!N$3-'минимумы и максимумы'!N$2)*100)</f>
        <v>0</v>
      </c>
      <c r="Q49" s="1">
        <f>IF('исходные данные'!Q49&gt;'минимумы и максимумы'!O$3,100,('исходные данные'!Q49-'минимумы и максимумы'!O$2)/('минимумы и максимумы'!O$3-'минимумы и максимумы'!O$2)*100)</f>
        <v>100</v>
      </c>
      <c r="R49" s="1">
        <f>IF('исходные данные'!R49&gt;'минимумы и максимумы'!P$3,100,('исходные данные'!R49-'минимумы и максимумы'!P$2)/('минимумы и максимумы'!P$3-'минимумы и максимумы'!P$2)*100)</f>
        <v>100</v>
      </c>
      <c r="S49" s="1">
        <f>IF('исходные данные'!S49&gt;'минимумы и максимумы'!Q$3,100,('исходные данные'!S49-'минимумы и максимумы'!Q$2)/('минимумы и максимумы'!Q$3-'минимумы и максимумы'!Q$2)*100)</f>
        <v>33.333333333333329</v>
      </c>
      <c r="T49" s="1">
        <f>IF('исходные данные'!T49&gt;'минимумы и максимумы'!R$3,100,('исходные данные'!T49-'минимумы и максимумы'!R$2)/('минимумы и максимумы'!R$3-'минимумы и максимумы'!R$2)*100)</f>
        <v>18.741750989881215</v>
      </c>
      <c r="U49" s="1">
        <f>IF('исходные данные'!U49&gt;'минимумы и максимумы'!S$3,100,('исходные данные'!U49-'минимумы и максимумы'!S$2)/('минимумы и максимумы'!S$3-'минимумы и максимумы'!S$2)*100)</f>
        <v>33.333333333333329</v>
      </c>
    </row>
    <row r="50" spans="1:21" x14ac:dyDescent="0.45">
      <c r="A50" s="4">
        <v>96</v>
      </c>
      <c r="B50" s="4">
        <v>0</v>
      </c>
      <c r="C50" s="4">
        <v>0</v>
      </c>
      <c r="D50" s="1">
        <f>IF('исходные данные'!D50&gt;'минимумы и максимумы'!B$3,100,('исходные данные'!D50-'минимумы и максимумы'!B$2)/('минимумы и максимумы'!B$3-'минимумы и максимумы'!B$2)*100)</f>
        <v>60</v>
      </c>
      <c r="E50" s="1">
        <f>IF('исходные данные'!E50&gt;'минимумы и максимумы'!C$3,100,('исходные данные'!E50-'минимумы и максимумы'!C$2)/('минимумы и максимумы'!C$3-'минимумы и максимумы'!C$2)*100)</f>
        <v>30</v>
      </c>
      <c r="F50" s="1">
        <f>IF('исходные данные'!F50&gt;'минимумы и максимумы'!D$3,100,('исходные данные'!F50-'минимумы и максимумы'!D$2)/('минимумы и максимумы'!D$3-'минимумы и максимумы'!D$2)*100)</f>
        <v>66.666666666666657</v>
      </c>
      <c r="G50" s="1">
        <f>IF('исходные данные'!G50&gt;'минимумы и максимумы'!E$3,100,('исходные данные'!G50-'минимумы и максимумы'!E$2)/('минимумы и максимумы'!E$3-'минимумы и максимумы'!E$2)*100)</f>
        <v>83.333333333333343</v>
      </c>
      <c r="H50" s="1">
        <f>IF('исходные данные'!H50&gt;'минимумы и максимумы'!F$3,100,('исходные данные'!H50-'минимумы и максимумы'!F$2)/('минимумы и максимумы'!F$3-'минимумы и максимумы'!F$2)*100)</f>
        <v>80</v>
      </c>
      <c r="I50" s="1">
        <f>IF('исходные данные'!I50&gt;'минимумы и максимумы'!G$3,100,('исходные данные'!I50-'минимумы и максимумы'!G$2)/('минимумы и максимумы'!G$3-'минимумы и максимумы'!G$2)*100)</f>
        <v>100</v>
      </c>
      <c r="J50" s="1">
        <f>IF('исходные данные'!J50&gt;'минимумы и максимумы'!H$3,100,('исходные данные'!J50-'минимумы и максимумы'!H$2)/('минимумы и максимумы'!H$3-'минимумы и максимумы'!H$2)*100)</f>
        <v>93.333333333333329</v>
      </c>
      <c r="K50" s="1">
        <f>IF('исходные данные'!K50&gt;'минимумы и максимумы'!I$3,100,('исходные данные'!K50-'минимумы и максимумы'!I$2)/('минимумы и максимумы'!I$3-'минимумы и максимумы'!I$2)*100)</f>
        <v>44.444444444444443</v>
      </c>
      <c r="L50" s="1">
        <f>IF('исходные данные'!L50&gt;'минимумы и максимумы'!J$3,100,('исходные данные'!L50-'минимумы и максимумы'!J$2)/('минимумы и максимумы'!J$3-'минимумы и максимумы'!J$2)*100)</f>
        <v>100</v>
      </c>
      <c r="M50" s="1">
        <f>IF('исходные данные'!M50&gt;'минимумы и максимумы'!K$3,100,('исходные данные'!M50-'минимумы и максимумы'!K$2)/('минимумы и максимумы'!K$3-'минимумы и максимумы'!K$2)*100)</f>
        <v>38.70967741935484</v>
      </c>
      <c r="N50" s="1">
        <f>IF('исходные данные'!N50&gt;'минимумы и максимумы'!L$3,100,('исходные данные'!N50-'минимумы и максимумы'!L$2)/('минимумы и максимумы'!L$3-'минимумы и максимумы'!L$2)*100)</f>
        <v>13.026659636795756</v>
      </c>
      <c r="O50" s="1">
        <f>IF('исходные данные'!O50&gt;'минимумы и максимумы'!M$3,100,('исходные данные'!O50-'минимумы и максимумы'!M$2)/('минимумы и максимумы'!M$3-'минимумы и максимумы'!M$2)*100)</f>
        <v>100</v>
      </c>
      <c r="P50" s="1">
        <f>IF('исходные данные'!P50&gt;'минимумы и максимумы'!N$3,100,('исходные данные'!P50-'минимумы и максимумы'!N$2)/('минимумы и максимумы'!N$3-'минимумы и максимумы'!N$2)*100)</f>
        <v>0</v>
      </c>
      <c r="Q50" s="1">
        <f>IF('исходные данные'!Q50&gt;'минимумы и максимумы'!O$3,100,('исходные данные'!Q50-'минимумы и максимумы'!O$2)/('минимумы и максимумы'!O$3-'минимумы и максимумы'!O$2)*100)</f>
        <v>100</v>
      </c>
      <c r="R50" s="1">
        <f>IF('исходные данные'!R50&gt;'минимумы и максимумы'!P$3,100,('исходные данные'!R50-'минимумы и максимумы'!P$2)/('минимумы и максимумы'!P$3-'минимумы и максимумы'!P$2)*100)</f>
        <v>100</v>
      </c>
      <c r="S50" s="1">
        <f>IF('исходные данные'!S50&gt;'минимумы и максимумы'!Q$3,100,('исходные данные'!S50-'минимумы и максимумы'!Q$2)/('минимумы и максимумы'!Q$3-'минимумы и максимумы'!Q$2)*100)</f>
        <v>50</v>
      </c>
      <c r="T50" s="1">
        <f>IF('исходные данные'!T50&gt;'минимумы и максимумы'!R$3,100,('исходные данные'!T50-'минимумы и максимумы'!R$2)/('минимумы и максимумы'!R$3-'минимумы и максимумы'!R$2)*100)</f>
        <v>11.526616805983283</v>
      </c>
      <c r="U50" s="1">
        <f>IF('исходные данные'!U50&gt;'минимумы и максимумы'!S$3,100,('исходные данные'!U50-'минимумы и максимумы'!S$2)/('минимумы и максимумы'!S$3-'минимумы и максимумы'!S$2)*100)</f>
        <v>33.333333333333329</v>
      </c>
    </row>
    <row r="51" spans="1:21" x14ac:dyDescent="0.45">
      <c r="A51" s="4">
        <v>97</v>
      </c>
      <c r="B51" s="4">
        <v>0</v>
      </c>
      <c r="C51" s="4">
        <v>0</v>
      </c>
      <c r="D51" s="1">
        <f>IF('исходные данные'!D51&gt;'минимумы и максимумы'!B$3,100,('исходные данные'!D51-'минимумы и максимумы'!B$2)/('минимумы и максимумы'!B$3-'минимумы и максимумы'!B$2)*100)</f>
        <v>60</v>
      </c>
      <c r="E51" s="1">
        <f>IF('исходные данные'!E51&gt;'минимумы и максимумы'!C$3,100,('исходные данные'!E51-'минимумы и максимумы'!C$2)/('минимумы и максимумы'!C$3-'минимумы и максимумы'!C$2)*100)</f>
        <v>30</v>
      </c>
      <c r="F51" s="1">
        <f>IF('исходные данные'!F51&gt;'минимумы и максимумы'!D$3,100,('исходные данные'!F51-'минимумы и максимумы'!D$2)/('минимумы и максимумы'!D$3-'минимумы и максимумы'!D$2)*100)</f>
        <v>33.333333333333329</v>
      </c>
      <c r="G51" s="1">
        <f>IF('исходные данные'!G51&gt;'минимумы и максимумы'!E$3,100,('исходные данные'!G51-'минимумы и максимумы'!E$2)/('минимумы и максимумы'!E$3-'минимумы и максимумы'!E$2)*100)</f>
        <v>91.666666666666657</v>
      </c>
      <c r="H51" s="1">
        <f>IF('исходные данные'!H51&gt;'минимумы и максимумы'!F$3,100,('исходные данные'!H51-'минимумы и максимумы'!F$2)/('минимумы и максимумы'!F$3-'минимумы и максимумы'!F$2)*100)</f>
        <v>68</v>
      </c>
      <c r="I51" s="1">
        <f>IF('исходные данные'!I51&gt;'минимумы и максимумы'!G$3,100,('исходные данные'!I51-'минимумы и максимумы'!G$2)/('минимумы и максимумы'!G$3-'минимумы и максимумы'!G$2)*100)</f>
        <v>100</v>
      </c>
      <c r="J51" s="1">
        <f>IF('исходные данные'!J51&gt;'минимумы и максимумы'!H$3,100,('исходные данные'!J51-'минимумы и максимумы'!H$2)/('минимумы и максимумы'!H$3-'минимумы и максимумы'!H$2)*100)</f>
        <v>80</v>
      </c>
      <c r="K51" s="1">
        <f>IF('исходные данные'!K51&gt;'минимумы и максимумы'!I$3,100,('исходные данные'!K51-'минимумы и максимумы'!I$2)/('минимумы и максимумы'!I$3-'минимумы и максимумы'!I$2)*100)</f>
        <v>50</v>
      </c>
      <c r="L51" s="1">
        <f>IF('исходные данные'!L51&gt;'минимумы и максимумы'!J$3,100,('исходные данные'!L51-'минимумы и максимумы'!J$2)/('минимумы и максимумы'!J$3-'минимумы и максимумы'!J$2)*100)</f>
        <v>100</v>
      </c>
      <c r="M51" s="1">
        <f>IF('исходные данные'!M51&gt;'минимумы и максимумы'!K$3,100,('исходные данные'!M51-'минимумы и максимумы'!K$2)/('минимумы и максимумы'!K$3-'минимумы и максимумы'!K$2)*100)</f>
        <v>45.161290322580641</v>
      </c>
      <c r="N51" s="1">
        <f>IF('исходные данные'!N51&gt;'минимумы и максимумы'!L$3,100,('исходные данные'!N51-'минимумы и максимумы'!L$2)/('минимумы и максимумы'!L$3-'минимумы и максимумы'!L$2)*100)</f>
        <v>13.189077534085353</v>
      </c>
      <c r="O51" s="1">
        <f>IF('исходные данные'!O51&gt;'минимумы и максимумы'!M$3,100,('исходные данные'!O51-'минимумы и максимумы'!M$2)/('минимумы и максимумы'!M$3-'минимумы и максимумы'!M$2)*100)</f>
        <v>66.666666666666657</v>
      </c>
      <c r="P51" s="1">
        <f>IF('исходные данные'!P51&gt;'минимумы и максимумы'!N$3,100,('исходные данные'!P51-'минимумы и максимумы'!N$2)/('минимумы и максимумы'!N$3-'минимумы и максимумы'!N$2)*100)</f>
        <v>0</v>
      </c>
      <c r="Q51" s="1">
        <f>IF('исходные данные'!Q51&gt;'минимумы и максимумы'!O$3,100,('исходные данные'!Q51-'минимумы и максимумы'!O$2)/('минимумы и максимумы'!O$3-'минимумы и максимумы'!O$2)*100)</f>
        <v>100</v>
      </c>
      <c r="R51" s="1">
        <f>IF('исходные данные'!R51&gt;'минимумы и максимумы'!P$3,100,('исходные данные'!R51-'минимумы и максимумы'!P$2)/('минимумы и максимумы'!P$3-'минимумы и максимумы'!P$2)*100)</f>
        <v>100</v>
      </c>
      <c r="S51" s="1">
        <f>IF('исходные данные'!S51&gt;'минимумы и максимумы'!Q$3,100,('исходные данные'!S51-'минимумы и максимумы'!Q$2)/('минимумы и максимумы'!Q$3-'минимумы и максимумы'!Q$2)*100)</f>
        <v>50</v>
      </c>
      <c r="T51" s="1">
        <f>IF('исходные данные'!T51&gt;'минимумы и максимумы'!R$3,100,('исходные данные'!T51-'минимумы и максимумы'!R$2)/('минимумы и максимумы'!R$3-'минимумы и максимумы'!R$2)*100)</f>
        <v>8.7549494060712725</v>
      </c>
      <c r="U51" s="1">
        <f>IF('исходные данные'!U51&gt;'минимумы и максимумы'!S$3,100,('исходные данные'!U51-'минимумы и максимумы'!S$2)/('минимумы и максимумы'!S$3-'минимумы и максимумы'!S$2)*100)</f>
        <v>33.333333333333329</v>
      </c>
    </row>
    <row r="52" spans="1:21" x14ac:dyDescent="0.45">
      <c r="A52" s="4">
        <v>98</v>
      </c>
      <c r="B52" s="4">
        <v>0</v>
      </c>
      <c r="C52" s="4">
        <v>0</v>
      </c>
      <c r="D52" s="1">
        <f>IF('исходные данные'!D52&gt;'минимумы и максимумы'!B$3,100,('исходные данные'!D52-'минимумы и максимумы'!B$2)/('минимумы и максимумы'!B$3-'минимумы и максимумы'!B$2)*100)</f>
        <v>20</v>
      </c>
      <c r="E52" s="1">
        <f>IF('исходные данные'!E52&gt;'минимумы и максимумы'!C$3,100,('исходные данные'!E52-'минимумы и максимумы'!C$2)/('минимумы и максимумы'!C$3-'минимумы и максимумы'!C$2)*100)</f>
        <v>80</v>
      </c>
      <c r="F52" s="1">
        <f>IF('исходные данные'!F52&gt;'минимумы и максимумы'!D$3,100,('исходные данные'!F52-'минимумы и максимумы'!D$2)/('минимумы и максимумы'!D$3-'минимумы и максимумы'!D$2)*100)</f>
        <v>0</v>
      </c>
      <c r="G52" s="1">
        <f>IF('исходные данные'!G52&gt;'минимумы и максимумы'!E$3,100,('исходные данные'!G52-'минимумы и максимумы'!E$2)/('минимумы и максимумы'!E$3-'минимумы и максимумы'!E$2)*100)</f>
        <v>100</v>
      </c>
      <c r="H52" s="1">
        <f>IF('исходные данные'!H52&gt;'минимумы и максимумы'!F$3,100,('исходные данные'!H52-'минимумы и максимумы'!F$2)/('минимумы и максимумы'!F$3-'минимумы и максимумы'!F$2)*100)</f>
        <v>92</v>
      </c>
      <c r="I52" s="1">
        <f>IF('исходные данные'!I52&gt;'минимумы и максимумы'!G$3,100,('исходные данные'!I52-'минимумы и максимумы'!G$2)/('минимумы и максимумы'!G$3-'минимумы и максимумы'!G$2)*100)</f>
        <v>100</v>
      </c>
      <c r="J52" s="1">
        <f>IF('исходные данные'!J52&gt;'минимумы и максимумы'!H$3,100,('исходные данные'!J52-'минимумы и максимумы'!H$2)/('минимумы и максимумы'!H$3-'минимумы и максимумы'!H$2)*100)</f>
        <v>100</v>
      </c>
      <c r="K52" s="1">
        <f>IF('исходные данные'!K52&gt;'минимумы и максимумы'!I$3,100,('исходные данные'!K52-'минимумы и максимумы'!I$2)/('минимумы и максимумы'!I$3-'минимумы и максимумы'!I$2)*100)</f>
        <v>50</v>
      </c>
      <c r="L52" s="1">
        <f>IF('исходные данные'!L52&gt;'минимумы и максимумы'!J$3,100,('исходные данные'!L52-'минимумы и максимумы'!J$2)/('минимумы и максимумы'!J$3-'минимумы и максимумы'!J$2)*100)</f>
        <v>100</v>
      </c>
      <c r="M52" s="1">
        <f>IF('исходные данные'!M52&gt;'минимумы и максимумы'!K$3,100,('исходные данные'!M52-'минимумы и максимумы'!K$2)/('минимумы и максимумы'!K$3-'минимумы и максимумы'!K$2)*100)</f>
        <v>32.258064516129032</v>
      </c>
      <c r="N52" s="1">
        <f>IF('исходные данные'!N52&gt;'минимумы и максимумы'!L$3,100,('исходные данные'!N52-'минимумы и максимумы'!L$2)/('минимумы и максимумы'!L$3-'минимумы и максимумы'!L$2)*100)</f>
        <v>14.361319844591661</v>
      </c>
      <c r="O52" s="1">
        <f>IF('исходные данные'!O52&gt;'минимумы и максимумы'!M$3,100,('исходные данные'!O52-'минимумы и максимумы'!M$2)/('минимумы и максимумы'!M$3-'минимумы и максимумы'!M$2)*100)</f>
        <v>0</v>
      </c>
      <c r="P52" s="1">
        <f>IF('исходные данные'!P52&gt;'минимумы и максимумы'!N$3,100,('исходные данные'!P52-'минимумы и максимумы'!N$2)/('минимумы и максимумы'!N$3-'минимумы и максимумы'!N$2)*100)</f>
        <v>0</v>
      </c>
      <c r="Q52" s="1">
        <f>IF('исходные данные'!Q52&gt;'минимумы и максимумы'!O$3,100,('исходные данные'!Q52-'минимумы и максимумы'!O$2)/('минимумы и максимумы'!O$3-'минимумы и максимумы'!O$2)*100)</f>
        <v>100</v>
      </c>
      <c r="R52" s="1">
        <f>IF('исходные данные'!R52&gt;'минимумы и максимумы'!P$3,100,('исходные данные'!R52-'минимумы и максимумы'!P$2)/('минимумы и максимумы'!P$3-'минимумы и максимумы'!P$2)*100)</f>
        <v>100</v>
      </c>
      <c r="S52" s="1">
        <f>IF('исходные данные'!S52&gt;'минимумы и максимумы'!Q$3,100,('исходные данные'!S52-'минимумы и максимумы'!Q$2)/('минимумы и максимумы'!Q$3-'минимумы и максимумы'!Q$2)*100)</f>
        <v>33.333333333333329</v>
      </c>
      <c r="T52" s="1">
        <f>IF('исходные данные'!T52&gt;'минимумы и максимумы'!R$3,100,('исходные данные'!T52-'минимумы и максимумы'!R$2)/('минимумы и максимумы'!R$3-'минимумы и максимумы'!R$2)*100)</f>
        <v>15.970083589969203</v>
      </c>
      <c r="U52" s="1">
        <f>IF('исходные данные'!U52&gt;'минимумы и максимумы'!S$3,100,('исходные данные'!U52-'минимумы и максимумы'!S$2)/('минимумы и максимумы'!S$3-'минимумы и максимумы'!S$2)*100)</f>
        <v>66.666666666666657</v>
      </c>
    </row>
    <row r="53" spans="1:21" x14ac:dyDescent="0.45">
      <c r="A53" s="4">
        <v>100</v>
      </c>
      <c r="B53" s="4">
        <v>0</v>
      </c>
      <c r="C53" s="4">
        <v>0</v>
      </c>
      <c r="D53" s="1">
        <f>IF('исходные данные'!D53&gt;'минимумы и максимумы'!B$3,100,('исходные данные'!D53-'минимумы и максимумы'!B$2)/('минимумы и максимумы'!B$3-'минимумы и максимумы'!B$2)*100)</f>
        <v>100</v>
      </c>
      <c r="E53" s="1">
        <f>IF('исходные данные'!E53&gt;'минимумы и максимумы'!C$3,100,('исходные данные'!E53-'минимумы и максимумы'!C$2)/('минимумы и максимумы'!C$3-'минимумы и максимумы'!C$2)*100)</f>
        <v>40</v>
      </c>
      <c r="F53" s="1">
        <f>IF('исходные данные'!F53&gt;'минимумы и максимумы'!D$3,100,('исходные данные'!F53-'минимумы и максимумы'!D$2)/('минимумы и максимумы'!D$3-'минимумы и максимумы'!D$2)*100)</f>
        <v>33.333333333333329</v>
      </c>
      <c r="G53" s="1">
        <f>IF('исходные данные'!G53&gt;'минимумы и максимумы'!E$3,100,('исходные данные'!G53-'минимумы и максимумы'!E$2)/('минимумы и максимумы'!E$3-'минимумы и максимумы'!E$2)*100)</f>
        <v>75</v>
      </c>
      <c r="H53" s="1">
        <f>IF('исходные данные'!H53&gt;'минимумы и максимумы'!F$3,100,('исходные данные'!H53-'минимумы и максимумы'!F$2)/('минимумы и максимумы'!F$3-'минимумы и максимумы'!F$2)*100)</f>
        <v>72</v>
      </c>
      <c r="I53" s="1">
        <f>IF('исходные данные'!I53&gt;'минимумы и максимумы'!G$3,100,('исходные данные'!I53-'минимумы и максимумы'!G$2)/('минимумы и максимумы'!G$3-'минимумы и максимумы'!G$2)*100)</f>
        <v>100</v>
      </c>
      <c r="J53" s="1">
        <f>IF('исходные данные'!J53&gt;'минимумы и максимумы'!H$3,100,('исходные данные'!J53-'минимумы и максимумы'!H$2)/('минимумы и максимумы'!H$3-'минимумы и максимумы'!H$2)*100)</f>
        <v>46.666666666666664</v>
      </c>
      <c r="K53" s="1">
        <f>IF('исходные данные'!K53&gt;'минимумы и максимумы'!I$3,100,('исходные данные'!K53-'минимумы и максимумы'!I$2)/('минимумы и максимумы'!I$3-'минимумы и максимумы'!I$2)*100)</f>
        <v>38.888888888888893</v>
      </c>
      <c r="L53" s="1">
        <f>IF('исходные данные'!L53&gt;'минимумы и максимумы'!J$3,100,('исходные данные'!L53-'минимумы и максимумы'!J$2)/('минимумы и максимумы'!J$3-'минимумы и максимумы'!J$2)*100)</f>
        <v>100</v>
      </c>
      <c r="M53" s="1">
        <f>IF('исходные данные'!M53&gt;'минимумы и максимумы'!K$3,100,('исходные данные'!M53-'минимумы и максимумы'!K$2)/('минимумы и максимумы'!K$3-'минимумы и максимумы'!K$2)*100)</f>
        <v>38.70967741935484</v>
      </c>
      <c r="N53" s="1">
        <f>IF('исходные данные'!N53&gt;'минимумы и максимумы'!L$3,100,('исходные данные'!N53-'минимумы и максимумы'!L$2)/('минимумы и максимумы'!L$3-'минимумы и максимумы'!L$2)*100)</f>
        <v>14.438552456000991</v>
      </c>
      <c r="O53" s="1">
        <f>IF('исходные данные'!O53&gt;'минимумы и максимумы'!M$3,100,('исходные данные'!O53-'минимумы и максимумы'!M$2)/('минимумы и максимумы'!M$3-'минимумы и максимумы'!M$2)*100)</f>
        <v>66.666666666666657</v>
      </c>
      <c r="P53" s="1">
        <f>IF('исходные данные'!P53&gt;'минимумы и максимумы'!N$3,100,('исходные данные'!P53-'минимумы и максимумы'!N$2)/('минимумы и максимумы'!N$3-'минимумы и максимумы'!N$2)*100)</f>
        <v>0</v>
      </c>
      <c r="Q53" s="1">
        <f>IF('исходные данные'!Q53&gt;'минимумы и максимумы'!O$3,100,('исходные данные'!Q53-'минимумы и максимумы'!O$2)/('минимумы и максимумы'!O$3-'минимумы и максимумы'!O$2)*100)</f>
        <v>100</v>
      </c>
      <c r="R53" s="1">
        <f>IF('исходные данные'!R53&gt;'минимумы и максимумы'!P$3,100,('исходные данные'!R53-'минимумы и максимумы'!P$2)/('минимумы и максимумы'!P$3-'минимумы и максимумы'!P$2)*100)</f>
        <v>100</v>
      </c>
      <c r="S53" s="1">
        <f>IF('исходные данные'!S53&gt;'минимумы и максимумы'!Q$3,100,('исходные данные'!S53-'минимумы и максимумы'!Q$2)/('минимумы и максимумы'!Q$3-'минимумы и максимумы'!Q$2)*100)</f>
        <v>100</v>
      </c>
      <c r="T53" s="1">
        <f>IF('исходные данные'!T53&gt;'минимумы и максимумы'!R$3,100,('исходные данные'!T53-'минимумы и максимумы'!R$2)/('минимумы и максимумы'!R$3-'минимумы и максимумы'!R$2)*100)</f>
        <v>6.995160580730313</v>
      </c>
      <c r="U53" s="1">
        <f>IF('исходные данные'!U53&gt;'минимумы и максимумы'!S$3,100,('исходные данные'!U53-'минимумы и максимумы'!S$2)/('минимумы и максимумы'!S$3-'минимумы и максимумы'!S$2)*100)</f>
        <v>0</v>
      </c>
    </row>
    <row r="54" spans="1:21" x14ac:dyDescent="0.45">
      <c r="A54" s="4">
        <v>103</v>
      </c>
      <c r="B54" s="4">
        <v>0</v>
      </c>
      <c r="C54" s="4">
        <v>0</v>
      </c>
      <c r="D54" s="1">
        <f>IF('исходные данные'!D54&gt;'минимумы и максимумы'!B$3,100,('исходные данные'!D54-'минимумы и максимумы'!B$2)/('минимумы и максимумы'!B$3-'минимумы и максимумы'!B$2)*100)</f>
        <v>60</v>
      </c>
      <c r="E54" s="1">
        <f>IF('исходные данные'!E54&gt;'минимумы и максимумы'!C$3,100,('исходные данные'!E54-'минимумы и максимумы'!C$2)/('минимумы и максимумы'!C$3-'минимумы и максимумы'!C$2)*100)</f>
        <v>80</v>
      </c>
      <c r="F54" s="1">
        <f>IF('исходные данные'!F54&gt;'минимумы и максимумы'!D$3,100,('исходные данные'!F54-'минимумы и максимумы'!D$2)/('минимумы и максимумы'!D$3-'минимумы и максимумы'!D$2)*100)</f>
        <v>33.333333333333329</v>
      </c>
      <c r="G54" s="1">
        <f>IF('исходные данные'!G54&gt;'минимумы и максимумы'!E$3,100,('исходные данные'!G54-'минимумы и максимумы'!E$2)/('минимумы и максимумы'!E$3-'минимумы и максимумы'!E$2)*100)</f>
        <v>37.5</v>
      </c>
      <c r="H54" s="1">
        <f>IF('исходные данные'!H54&gt;'минимумы и максимумы'!F$3,100,('исходные данные'!H54-'минимумы и максимумы'!F$2)/('минимумы и максимумы'!F$3-'минимумы и максимумы'!F$2)*100)</f>
        <v>28.000000000000004</v>
      </c>
      <c r="I54" s="1">
        <f>IF('исходные данные'!I54&gt;'минимумы и максимумы'!G$3,100,('исходные данные'!I54-'минимумы и максимумы'!G$2)/('минимумы и максимумы'!G$3-'минимумы и максимумы'!G$2)*100)</f>
        <v>54.716981132075468</v>
      </c>
      <c r="J54" s="1">
        <f>IF('исходные данные'!J54&gt;'минимумы и максимумы'!H$3,100,('исходные данные'!J54-'минимумы и максимумы'!H$2)/('минимумы и максимумы'!H$3-'минимумы и максимумы'!H$2)*100)</f>
        <v>26.666666666666668</v>
      </c>
      <c r="K54" s="1">
        <f>IF('исходные данные'!K54&gt;'минимумы и максимумы'!I$3,100,('исходные данные'!K54-'минимумы и максимумы'!I$2)/('минимумы и максимумы'!I$3-'минимумы и максимумы'!I$2)*100)</f>
        <v>72.222222222222214</v>
      </c>
      <c r="L54" s="1">
        <f>IF('исходные данные'!L54&gt;'минимумы и максимумы'!J$3,100,('исходные данные'!L54-'минимумы и максимумы'!J$2)/('минимумы и максимумы'!J$3-'минимумы и максимумы'!J$2)*100)</f>
        <v>20</v>
      </c>
      <c r="M54" s="1">
        <f>IF('исходные данные'!M54&gt;'минимумы и максимумы'!K$3,100,('исходные данные'!M54-'минимумы и максимумы'!K$2)/('минимумы и максимумы'!K$3-'минимумы и максимумы'!K$2)*100)</f>
        <v>29.032258064516132</v>
      </c>
      <c r="N54" s="1">
        <f>IF('исходные данные'!N54&gt;'минимумы и максимумы'!L$3,100,('исходные данные'!N54-'минимумы и максимумы'!L$2)/('минимумы и максимумы'!L$3-'минимумы и максимумы'!L$2)*100)</f>
        <v>17.987658767751306</v>
      </c>
      <c r="O54" s="1">
        <f>IF('исходные данные'!O54&gt;'минимумы и максимумы'!M$3,100,('исходные данные'!O54-'минимумы и максимумы'!M$2)/('минимумы и максимумы'!M$3-'минимумы и максимумы'!M$2)*100)</f>
        <v>66.666666666666657</v>
      </c>
      <c r="P54" s="1">
        <f>IF('исходные данные'!P54&gt;'минимумы и максимумы'!N$3,100,('исходные данные'!P54-'минимумы и максимумы'!N$2)/('минимумы и максимумы'!N$3-'минимумы и максимумы'!N$2)*100)</f>
        <v>0</v>
      </c>
      <c r="Q54" s="1">
        <f>IF('исходные данные'!Q54&gt;'минимумы и максимумы'!O$3,100,('исходные данные'!Q54-'минимумы и максимумы'!O$2)/('минимумы и максимумы'!O$3-'минимумы и максимумы'!O$2)*100)</f>
        <v>0</v>
      </c>
      <c r="R54" s="1">
        <f>IF('исходные данные'!R54&gt;'минимумы и максимумы'!P$3,100,('исходные данные'!R54-'минимумы и максимумы'!P$2)/('минимумы и максимумы'!P$3-'минимумы и максимумы'!P$2)*100)</f>
        <v>100</v>
      </c>
      <c r="S54" s="1">
        <f>IF('исходные данные'!S54&gt;'минимумы и максимумы'!Q$3,100,('исходные данные'!S54-'минимумы и максимумы'!Q$2)/('минимумы и максимумы'!Q$3-'минимумы и максимумы'!Q$2)*100)</f>
        <v>33.333333333333329</v>
      </c>
      <c r="T54" s="1">
        <f>IF('исходные данные'!T54&gt;'минимумы и максимумы'!R$3,100,('исходные данные'!T54-'минимумы и максимумы'!R$2)/('минимумы и максимумы'!R$3-'минимумы и максимумы'!R$2)*100)</f>
        <v>65.552133743950719</v>
      </c>
      <c r="U54" s="1">
        <f>IF('исходные данные'!U54&gt;'минимумы и максимумы'!S$3,100,('исходные данные'!U54-'минимумы и максимумы'!S$2)/('минимумы и максимумы'!S$3-'минимумы и максимумы'!S$2)*100)</f>
        <v>0</v>
      </c>
    </row>
    <row r="55" spans="1:21" x14ac:dyDescent="0.45">
      <c r="A55" s="4">
        <v>105</v>
      </c>
      <c r="B55" s="4">
        <v>0</v>
      </c>
      <c r="C55" s="4">
        <v>0</v>
      </c>
      <c r="D55" s="1">
        <f>IF('исходные данные'!D55&gt;'минимумы и максимумы'!B$3,100,('исходные данные'!D55-'минимумы и максимумы'!B$2)/('минимумы и максимумы'!B$3-'минимумы и максимумы'!B$2)*100)</f>
        <v>80</v>
      </c>
      <c r="E55" s="1">
        <f>IF('исходные данные'!E55&gt;'минимумы и максимумы'!C$3,100,('исходные данные'!E55-'минимумы и максимумы'!C$2)/('минимумы и максимумы'!C$3-'минимумы и максимумы'!C$2)*100)</f>
        <v>70</v>
      </c>
      <c r="F55" s="1">
        <f>IF('исходные данные'!F55&gt;'минимумы и максимумы'!D$3,100,('исходные данные'!F55-'минимумы и максимумы'!D$2)/('минимумы и максимумы'!D$3-'минимумы и максимумы'!D$2)*100)</f>
        <v>0</v>
      </c>
      <c r="G55" s="1">
        <f>IF('исходные данные'!G55&gt;'минимумы и максимумы'!E$3,100,('исходные данные'!G55-'минимумы и максимумы'!E$2)/('минимумы и максимумы'!E$3-'минимумы и максимумы'!E$2)*100)</f>
        <v>83.333333333333343</v>
      </c>
      <c r="H55" s="1">
        <f>IF('исходные данные'!H55&gt;'минимумы и максимумы'!F$3,100,('исходные данные'!H55-'минимумы и максимумы'!F$2)/('минимумы и максимумы'!F$3-'минимумы и максимумы'!F$2)*100)</f>
        <v>36</v>
      </c>
      <c r="I55" s="1">
        <f>IF('исходные данные'!I55&gt;'минимумы и максимумы'!G$3,100,('исходные данные'!I55-'минимумы и максимумы'!G$2)/('минимумы и максимумы'!G$3-'минимумы и максимумы'!G$2)*100)</f>
        <v>81.132075471698116</v>
      </c>
      <c r="J55" s="1">
        <f>IF('исходные данные'!J55&gt;'минимумы и максимумы'!H$3,100,('исходные данные'!J55-'минимумы и максимумы'!H$2)/('минимумы и максимумы'!H$3-'минимумы и максимумы'!H$2)*100)</f>
        <v>100</v>
      </c>
      <c r="K55" s="1">
        <f>IF('исходные данные'!K55&gt;'минимумы и максимумы'!I$3,100,('исходные данные'!K55-'минимумы и максимумы'!I$2)/('минимумы и максимумы'!I$3-'минимумы и максимумы'!I$2)*100)</f>
        <v>38.888888888888893</v>
      </c>
      <c r="L55" s="1">
        <f>IF('исходные данные'!L55&gt;'минимумы и максимумы'!J$3,100,('исходные данные'!L55-'минимумы и максимумы'!J$2)/('минимумы и максимумы'!J$3-'минимумы и максимумы'!J$2)*100)</f>
        <v>60</v>
      </c>
      <c r="M55" s="1">
        <f>IF('исходные данные'!M55&gt;'минимумы и максимумы'!K$3,100,('исходные данные'!M55-'минимумы и максимумы'!K$2)/('минимумы и максимумы'!K$3-'минимумы и максимумы'!K$2)*100)</f>
        <v>41.935483870967744</v>
      </c>
      <c r="N55" s="1">
        <f>IF('исходные данные'!N55&gt;'минимумы и максимумы'!L$3,100,('исходные данные'!N55-'минимумы и максимумы'!L$2)/('минимумы и максимумы'!L$3-'минимумы и максимумы'!L$2)*100)</f>
        <v>9.5265545352612815</v>
      </c>
      <c r="O55" s="1">
        <f>IF('исходные данные'!O55&gt;'минимумы и максимумы'!M$3,100,('исходные данные'!O55-'минимумы и максимумы'!M$2)/('минимумы и максимумы'!M$3-'минимумы и максимумы'!M$2)*100)</f>
        <v>100</v>
      </c>
      <c r="P55" s="1">
        <f>IF('исходные данные'!P55&gt;'минимумы и максимумы'!N$3,100,('исходные данные'!P55-'минимумы и максимумы'!N$2)/('минимумы и максимумы'!N$3-'минимумы и максимумы'!N$2)*100)</f>
        <v>100</v>
      </c>
      <c r="Q55" s="1">
        <f>IF('исходные данные'!Q55&gt;'минимумы и максимумы'!O$3,100,('исходные данные'!Q55-'минимумы и максимумы'!O$2)/('минимумы и максимумы'!O$3-'минимумы и максимумы'!O$2)*100)</f>
        <v>100</v>
      </c>
      <c r="R55" s="1">
        <f>IF('исходные данные'!R55&gt;'минимумы и максимумы'!P$3,100,('исходные данные'!R55-'минимумы и максимумы'!P$2)/('минимумы и максимумы'!P$3-'минимумы и максимумы'!P$2)*100)</f>
        <v>100</v>
      </c>
      <c r="S55" s="1">
        <f>IF('исходные данные'!S55&gt;'минимумы и максимумы'!Q$3,100,('исходные данные'!S55-'минимумы и максимумы'!Q$2)/('минимумы и максимумы'!Q$3-'минимумы и максимумы'!Q$2)*100)</f>
        <v>50</v>
      </c>
      <c r="T55" s="1">
        <f>IF('исходные данные'!T55&gt;'минимумы и максимумы'!R$3,100,('исходные данные'!T55-'минимумы и максимумы'!R$2)/('минимумы и максимумы'!R$3-'минимумы и максимумы'!R$2)*100)</f>
        <v>85.569731632204139</v>
      </c>
      <c r="U55" s="1">
        <f>IF('исходные данные'!U55&gt;'минимумы и максимумы'!S$3,100,('исходные данные'!U55-'минимумы и максимумы'!S$2)/('минимумы и максимумы'!S$3-'минимумы и максимумы'!S$2)*100)</f>
        <v>100</v>
      </c>
    </row>
    <row r="56" spans="1:21" x14ac:dyDescent="0.45">
      <c r="A56" s="4">
        <v>106</v>
      </c>
      <c r="B56" s="4">
        <v>0</v>
      </c>
      <c r="C56" s="4">
        <v>0</v>
      </c>
      <c r="D56" s="1">
        <f>IF('исходные данные'!D56&gt;'минимумы и максимумы'!B$3,100,('исходные данные'!D56-'минимумы и максимумы'!B$2)/('минимумы и максимумы'!B$3-'минимумы и максимумы'!B$2)*100)</f>
        <v>80</v>
      </c>
      <c r="E56" s="1">
        <f>IF('исходные данные'!E56&gt;'минимумы и максимумы'!C$3,100,('исходные данные'!E56-'минимумы и максимумы'!C$2)/('минимумы и максимумы'!C$3-'минимумы и максимумы'!C$2)*100)</f>
        <v>70</v>
      </c>
      <c r="F56" s="1">
        <f>IF('исходные данные'!F56&gt;'минимумы и максимумы'!D$3,100,('исходные данные'!F56-'минимумы и максимумы'!D$2)/('минимумы и максимумы'!D$3-'минимумы и максимумы'!D$2)*100)</f>
        <v>0</v>
      </c>
      <c r="G56" s="1">
        <f>IF('исходные данные'!G56&gt;'минимумы и максимумы'!E$3,100,('исходные данные'!G56-'минимумы и максимумы'!E$2)/('минимумы и максимумы'!E$3-'минимумы и максимумы'!E$2)*100)</f>
        <v>83.333333333333343</v>
      </c>
      <c r="H56" s="1">
        <f>IF('исходные данные'!H56&gt;'минимумы и максимумы'!F$3,100,('исходные данные'!H56-'минимумы и максимумы'!F$2)/('минимумы и максимумы'!F$3-'минимумы и максимумы'!F$2)*100)</f>
        <v>36</v>
      </c>
      <c r="I56" s="1">
        <f>IF('исходные данные'!I56&gt;'минимумы и максимумы'!G$3,100,('исходные данные'!I56-'минимумы и максимумы'!G$2)/('минимумы и максимумы'!G$3-'минимумы и максимумы'!G$2)*100)</f>
        <v>81.132075471698116</v>
      </c>
      <c r="J56" s="1">
        <f>IF('исходные данные'!J56&gt;'минимумы и максимумы'!H$3,100,('исходные данные'!J56-'минимумы и максимумы'!H$2)/('минимумы и максимумы'!H$3-'минимумы и максимумы'!H$2)*100)</f>
        <v>100</v>
      </c>
      <c r="K56" s="1">
        <f>IF('исходные данные'!K56&gt;'минимумы и максимумы'!I$3,100,('исходные данные'!K56-'минимумы и максимумы'!I$2)/('минимумы и максимумы'!I$3-'минимумы и максимумы'!I$2)*100)</f>
        <v>38.888888888888893</v>
      </c>
      <c r="L56" s="1">
        <f>IF('исходные данные'!L56&gt;'минимумы и максимумы'!J$3,100,('исходные данные'!L56-'минимумы и максимумы'!J$2)/('минимумы и максимумы'!J$3-'минимумы и максимумы'!J$2)*100)</f>
        <v>60</v>
      </c>
      <c r="M56" s="1">
        <f>IF('исходные данные'!M56&gt;'минимумы и максимумы'!K$3,100,('исходные данные'!M56-'минимумы и максимумы'!K$2)/('минимумы и максимумы'!K$3-'минимумы и максимумы'!K$2)*100)</f>
        <v>41.935483870967744</v>
      </c>
      <c r="N56" s="1">
        <f>IF('исходные данные'!N56&gt;'минимумы и максимумы'!L$3,100,('исходные данные'!N56-'минимумы и максимумы'!L$2)/('минимумы и максимумы'!L$3-'минимумы и максимумы'!L$2)*100)</f>
        <v>9.1917312325988156</v>
      </c>
      <c r="O56" s="1">
        <f>IF('исходные данные'!O56&gt;'минимумы и максимумы'!M$3,100,('исходные данные'!O56-'минимумы и максимумы'!M$2)/('минимумы и максимумы'!M$3-'минимумы и максимумы'!M$2)*100)</f>
        <v>100</v>
      </c>
      <c r="P56" s="1">
        <f>IF('исходные данные'!P56&gt;'минимумы и максимумы'!N$3,100,('исходные данные'!P56-'минимумы и максимумы'!N$2)/('минимумы и максимумы'!N$3-'минимумы и максимумы'!N$2)*100)</f>
        <v>100</v>
      </c>
      <c r="Q56" s="1">
        <f>IF('исходные данные'!Q56&gt;'минимумы и максимумы'!O$3,100,('исходные данные'!Q56-'минимумы и максимумы'!O$2)/('минимумы и максимумы'!O$3-'минимумы и максимумы'!O$2)*100)</f>
        <v>100</v>
      </c>
      <c r="R56" s="1">
        <f>IF('исходные данные'!R56&gt;'минимумы и максимумы'!P$3,100,('исходные данные'!R56-'минимумы и максимумы'!P$2)/('минимумы и максимумы'!P$3-'минимумы и максимумы'!P$2)*100)</f>
        <v>100</v>
      </c>
      <c r="S56" s="1">
        <f>IF('исходные данные'!S56&gt;'минимумы и максимумы'!Q$3,100,('исходные данные'!S56-'минимумы и максимумы'!Q$2)/('минимумы и максимумы'!Q$3-'минимумы и максимумы'!Q$2)*100)</f>
        <v>33.333333333333329</v>
      </c>
      <c r="T56" s="1">
        <f>IF('исходные данные'!T56&gt;'минимумы и максимумы'!R$3,100,('исходные данные'!T56-'минимумы и максимумы'!R$2)/('минимумы и максимумы'!R$3-'минимумы и максимумы'!R$2)*100)</f>
        <v>100</v>
      </c>
      <c r="U56" s="1">
        <f>IF('исходные данные'!U56&gt;'минимумы и максимумы'!S$3,100,('исходные данные'!U56-'минимумы и максимумы'!S$2)/('минимумы и максимумы'!S$3-'минимумы и максимумы'!S$2)*100)</f>
        <v>100</v>
      </c>
    </row>
    <row r="57" spans="1:21" x14ac:dyDescent="0.45">
      <c r="A57" s="4">
        <v>107</v>
      </c>
      <c r="B57" s="4">
        <v>0</v>
      </c>
      <c r="C57" s="4">
        <v>0</v>
      </c>
      <c r="D57" s="1">
        <f>IF('исходные данные'!D57&gt;'минимумы и максимумы'!B$3,100,('исходные данные'!D57-'минимумы и максимумы'!B$2)/('минимумы и максимумы'!B$3-'минимумы и максимумы'!B$2)*100)</f>
        <v>20</v>
      </c>
      <c r="E57" s="1">
        <f>IF('исходные данные'!E57&gt;'минимумы и максимумы'!C$3,100,('исходные данные'!E57-'минимумы и максимумы'!C$2)/('минимумы и максимумы'!C$3-'минимумы и максимумы'!C$2)*100)</f>
        <v>20</v>
      </c>
      <c r="F57" s="1">
        <f>IF('исходные данные'!F57&gt;'минимумы и максимумы'!D$3,100,('исходные данные'!F57-'минимумы и максимумы'!D$2)/('минимумы и максимумы'!D$3-'минимумы и максимумы'!D$2)*100)</f>
        <v>0</v>
      </c>
      <c r="G57" s="1">
        <f>IF('исходные данные'!G57&gt;'минимумы и максимумы'!E$3,100,('исходные данные'!G57-'минимумы и максимумы'!E$2)/('минимумы и максимумы'!E$3-'минимумы и максимумы'!E$2)*100)</f>
        <v>29.166666666666668</v>
      </c>
      <c r="H57" s="1">
        <f>IF('исходные данные'!H57&gt;'минимумы и максимумы'!F$3,100,('исходные данные'!H57-'минимумы и максимумы'!F$2)/('минимумы и максимумы'!F$3-'минимумы и максимумы'!F$2)*100)</f>
        <v>12</v>
      </c>
      <c r="I57" s="1">
        <f>IF('исходные данные'!I57&gt;'минимумы и максимумы'!G$3,100,('исходные данные'!I57-'минимумы и максимумы'!G$2)/('минимумы и максимумы'!G$3-'минимумы и максимумы'!G$2)*100)</f>
        <v>18.867924528301888</v>
      </c>
      <c r="J57" s="1">
        <f>IF('исходные данные'!J57&gt;'минимумы и максимумы'!H$3,100,('исходные данные'!J57-'минимумы и максимумы'!H$2)/('минимумы и максимумы'!H$3-'минимумы и максимумы'!H$2)*100)</f>
        <v>26.666666666666668</v>
      </c>
      <c r="K57" s="1">
        <f>IF('исходные данные'!K57&gt;'минимумы и максимумы'!I$3,100,('исходные данные'!K57-'минимумы и максимумы'!I$2)/('минимумы и максимумы'!I$3-'минимумы и максимумы'!I$2)*100)</f>
        <v>22.222222222222221</v>
      </c>
      <c r="L57" s="1">
        <f>IF('исходные данные'!L57&gt;'минимумы и максимумы'!J$3,100,('исходные данные'!L57-'минимумы и максимумы'!J$2)/('минимумы и максимумы'!J$3-'минимумы и максимумы'!J$2)*100)</f>
        <v>20</v>
      </c>
      <c r="M57" s="1">
        <f>IF('исходные данные'!M57&gt;'минимумы и максимумы'!K$3,100,('исходные данные'!M57-'минимумы и максимумы'!K$2)/('минимумы и максимумы'!K$3-'минимумы и максимумы'!K$2)*100)</f>
        <v>12.903225806451612</v>
      </c>
      <c r="N57" s="1">
        <f>IF('исходные данные'!N57&gt;'минимумы и максимумы'!L$3,100,('исходные данные'!N57-'минимумы и максимумы'!L$2)/('минимумы и максимумы'!L$3-'минимумы и максимумы'!L$2)*100)</f>
        <v>8.1207667392079923</v>
      </c>
      <c r="O57" s="1">
        <f>IF('исходные данные'!O57&gt;'минимумы и максимумы'!M$3,100,('исходные данные'!O57-'минимумы и максимумы'!M$2)/('минимумы и максимумы'!M$3-'минимумы и максимумы'!M$2)*100)</f>
        <v>33.333333333333329</v>
      </c>
      <c r="P57" s="1">
        <f>IF('исходные данные'!P57&gt;'минимумы и максимумы'!N$3,100,('исходные данные'!P57-'минимумы и максимумы'!N$2)/('минимумы и максимумы'!N$3-'минимумы и максимумы'!N$2)*100)</f>
        <v>0</v>
      </c>
      <c r="Q57" s="1">
        <f>IF('исходные данные'!Q57&gt;'минимумы и максимумы'!O$3,100,('исходные данные'!Q57-'минимумы и максимумы'!O$2)/('минимумы и максимумы'!O$3-'минимумы и максимумы'!O$2)*100)</f>
        <v>0</v>
      </c>
      <c r="R57" s="1">
        <f>IF('исходные данные'!R57&gt;'минимумы и максимумы'!P$3,100,('исходные данные'!R57-'минимумы и максимумы'!P$2)/('минимумы и максимумы'!P$3-'минимумы и максимумы'!P$2)*100)</f>
        <v>100</v>
      </c>
      <c r="S57" s="1">
        <f>IF('исходные данные'!S57&gt;'минимумы и максимумы'!Q$3,100,('исходные данные'!S57-'минимумы и максимумы'!Q$2)/('минимумы и максимумы'!Q$3-'минимумы и максимумы'!Q$2)*100)</f>
        <v>50</v>
      </c>
      <c r="T57" s="1">
        <f>IF('исходные данные'!T57&gt;'минимумы и максимумы'!R$3,100,('исходные данные'!T57-'минимумы и максимумы'!R$2)/('минимумы и максимумы'!R$3-'минимумы и максимумы'!R$2)*100)</f>
        <v>15.354157501099868</v>
      </c>
      <c r="U57" s="1">
        <f>IF('исходные данные'!U57&gt;'минимумы и максимумы'!S$3,100,('исходные данные'!U57-'минимумы и максимумы'!S$2)/('минимумы и максимумы'!S$3-'минимумы и максимумы'!S$2)*100)</f>
        <v>0</v>
      </c>
    </row>
    <row r="58" spans="1:21" x14ac:dyDescent="0.45">
      <c r="A58" s="4">
        <v>108</v>
      </c>
      <c r="B58" s="4">
        <v>0</v>
      </c>
      <c r="C58" s="4">
        <v>0</v>
      </c>
      <c r="D58" s="1">
        <f>IF('исходные данные'!D58&gt;'минимумы и максимумы'!B$3,100,('исходные данные'!D58-'минимумы и максимумы'!B$2)/('минимумы и максимумы'!B$3-'минимумы и максимумы'!B$2)*100)</f>
        <v>100</v>
      </c>
      <c r="E58" s="1">
        <f>IF('исходные данные'!E58&gt;'минимумы и максимумы'!C$3,100,('исходные данные'!E58-'минимумы и максимумы'!C$2)/('минимумы и максимумы'!C$3-'минимумы и максимумы'!C$2)*100)</f>
        <v>60</v>
      </c>
      <c r="F58" s="1">
        <f>IF('исходные данные'!F58&gt;'минимумы и максимумы'!D$3,100,('исходные данные'!F58-'минимумы и максимумы'!D$2)/('минимумы и максимумы'!D$3-'минимумы и максимумы'!D$2)*100)</f>
        <v>0</v>
      </c>
      <c r="G58" s="1">
        <f>IF('исходные данные'!G58&gt;'минимумы и максимумы'!E$3,100,('исходные данные'!G58-'минимумы и максимумы'!E$2)/('минимумы и максимумы'!E$3-'минимумы и максимумы'!E$2)*100)</f>
        <v>58.333333333333336</v>
      </c>
      <c r="H58" s="1">
        <f>IF('исходные данные'!H58&gt;'минимумы и максимумы'!F$3,100,('исходные данные'!H58-'минимумы и максимумы'!F$2)/('минимумы и максимумы'!F$3-'минимумы и максимумы'!F$2)*100)</f>
        <v>40</v>
      </c>
      <c r="I58" s="1">
        <f>IF('исходные данные'!I58&gt;'минимумы и максимумы'!G$3,100,('исходные данные'!I58-'минимумы и максимумы'!G$2)/('минимумы и максимумы'!G$3-'минимумы и максимумы'!G$2)*100)</f>
        <v>100</v>
      </c>
      <c r="J58" s="1">
        <f>IF('исходные данные'!J58&gt;'минимумы и максимумы'!H$3,100,('исходные данные'!J58-'минимумы и максимумы'!H$2)/('минимумы и максимумы'!H$3-'минимумы и максимумы'!H$2)*100)</f>
        <v>100</v>
      </c>
      <c r="K58" s="1">
        <f>IF('исходные данные'!K58&gt;'минимумы и максимумы'!I$3,100,('исходные данные'!K58-'минимумы и максимумы'!I$2)/('минимумы и максимумы'!I$3-'минимумы и максимумы'!I$2)*100)</f>
        <v>27.777777777777779</v>
      </c>
      <c r="L58" s="1">
        <f>IF('исходные данные'!L58&gt;'минимумы и максимумы'!J$3,100,('исходные данные'!L58-'минимумы и максимумы'!J$2)/('минимумы и максимумы'!J$3-'минимумы и максимумы'!J$2)*100)</f>
        <v>60</v>
      </c>
      <c r="M58" s="1">
        <f>IF('исходные данные'!M58&gt;'минимумы и максимумы'!K$3,100,('исходные данные'!M58-'минимумы и максимумы'!K$2)/('минимумы и максимумы'!K$3-'минимумы и максимумы'!K$2)*100)</f>
        <v>45.161290322580641</v>
      </c>
      <c r="N58" s="1">
        <f>IF('исходные данные'!N58&gt;'минимумы и максимумы'!L$3,100,('исходные данные'!N58-'минимумы и максимумы'!L$2)/('минимумы и максимумы'!L$3-'минимумы и максимумы'!L$2)*100)</f>
        <v>6.9089301562132679</v>
      </c>
      <c r="O58" s="1">
        <f>IF('исходные данные'!O58&gt;'минимумы и максимумы'!M$3,100,('исходные данные'!O58-'минимумы и максимумы'!M$2)/('минимумы и максимумы'!M$3-'минимумы и максимумы'!M$2)*100)</f>
        <v>100</v>
      </c>
      <c r="P58" s="1">
        <f>IF('исходные данные'!P58&gt;'минимумы и максимумы'!N$3,100,('исходные данные'!P58-'минимумы и максимумы'!N$2)/('минимумы и максимумы'!N$3-'минимумы и максимумы'!N$2)*100)</f>
        <v>100</v>
      </c>
      <c r="Q58" s="1">
        <f>IF('исходные данные'!Q58&gt;'минимумы и максимумы'!O$3,100,('исходные данные'!Q58-'минимумы и максимумы'!O$2)/('минимумы и максимумы'!O$3-'минимумы и максимумы'!O$2)*100)</f>
        <v>100</v>
      </c>
      <c r="R58" s="1">
        <f>IF('исходные данные'!R58&gt;'минимумы и максимумы'!P$3,100,('исходные данные'!R58-'минимумы и максимумы'!P$2)/('минимумы и максимумы'!P$3-'минимумы и максимумы'!P$2)*100)</f>
        <v>75</v>
      </c>
      <c r="S58" s="1">
        <f>IF('исходные данные'!S58&gt;'минимумы и максимумы'!Q$3,100,('исходные данные'!S58-'минимумы и максимумы'!Q$2)/('минимумы и максимумы'!Q$3-'минимумы и максимумы'!Q$2)*100)</f>
        <v>50</v>
      </c>
      <c r="T58" s="1">
        <f>IF('исходные данные'!T58&gt;'минимумы и максимумы'!R$3,100,('исходные данные'!T58-'минимумы и максимумы'!R$2)/('минимумы и максимумы'!R$3-'минимумы и максимумы'!R$2)*100)</f>
        <v>58.468983721953357</v>
      </c>
      <c r="U58" s="1">
        <f>IF('исходные данные'!U58&gt;'минимумы и максимумы'!S$3,100,('исходные данные'!U58-'минимумы и максимумы'!S$2)/('минимумы и максимумы'!S$3-'минимумы и максимумы'!S$2)*100)</f>
        <v>0</v>
      </c>
    </row>
    <row r="59" spans="1:21" x14ac:dyDescent="0.45">
      <c r="A59" s="4">
        <v>109</v>
      </c>
      <c r="B59" s="4">
        <v>0</v>
      </c>
      <c r="C59" s="4">
        <v>0</v>
      </c>
      <c r="D59" s="1">
        <f>IF('исходные данные'!D59&gt;'минимумы и максимумы'!B$3,100,('исходные данные'!D59-'минимумы и максимумы'!B$2)/('минимумы и максимумы'!B$3-'минимумы и максимумы'!B$2)*100)</f>
        <v>100</v>
      </c>
      <c r="E59" s="1">
        <f>IF('исходные данные'!E59&gt;'минимумы и максимумы'!C$3,100,('исходные данные'!E59-'минимумы и максимумы'!C$2)/('минимумы и максимумы'!C$3-'минимумы и максимумы'!C$2)*100)</f>
        <v>60</v>
      </c>
      <c r="F59" s="1">
        <f>IF('исходные данные'!F59&gt;'минимумы и максимумы'!D$3,100,('исходные данные'!F59-'минимумы и максимумы'!D$2)/('минимумы и максимумы'!D$3-'минимумы и максимумы'!D$2)*100)</f>
        <v>0</v>
      </c>
      <c r="G59" s="1">
        <f>IF('исходные данные'!G59&gt;'минимумы и максимумы'!E$3,100,('исходные данные'!G59-'минимумы и максимумы'!E$2)/('минимумы и максимумы'!E$3-'минимумы и максимумы'!E$2)*100)</f>
        <v>58.333333333333336</v>
      </c>
      <c r="H59" s="1">
        <f>IF('исходные данные'!H59&gt;'минимумы и максимумы'!F$3,100,('исходные данные'!H59-'минимумы и максимумы'!F$2)/('минимумы и максимумы'!F$3-'минимумы и максимумы'!F$2)*100)</f>
        <v>40</v>
      </c>
      <c r="I59" s="1">
        <f>IF('исходные данные'!I59&gt;'минимумы и максимумы'!G$3,100,('исходные данные'!I59-'минимумы и максимумы'!G$2)/('минимумы и максимумы'!G$3-'минимумы и максимумы'!G$2)*100)</f>
        <v>100</v>
      </c>
      <c r="J59" s="1">
        <f>IF('исходные данные'!J59&gt;'минимумы и максимумы'!H$3,100,('исходные данные'!J59-'минимумы и максимумы'!H$2)/('минимумы и максимумы'!H$3-'минимумы и максимумы'!H$2)*100)</f>
        <v>100</v>
      </c>
      <c r="K59" s="1">
        <f>IF('исходные данные'!K59&gt;'минимумы и максимумы'!I$3,100,('исходные данные'!K59-'минимумы и максимумы'!I$2)/('минимумы и максимумы'!I$3-'минимумы и максимумы'!I$2)*100)</f>
        <v>27.777777777777779</v>
      </c>
      <c r="L59" s="1">
        <f>IF('исходные данные'!L59&gt;'минимумы и максимумы'!J$3,100,('исходные данные'!L59-'минимумы и максимумы'!J$2)/('минимумы и максимумы'!J$3-'минимумы и максимумы'!J$2)*100)</f>
        <v>60</v>
      </c>
      <c r="M59" s="1">
        <f>IF('исходные данные'!M59&gt;'минимумы и максимумы'!K$3,100,('исходные данные'!M59-'минимумы и максимумы'!K$2)/('минимумы и максимумы'!K$3-'минимумы и максимумы'!K$2)*100)</f>
        <v>45.161290322580641</v>
      </c>
      <c r="N59" s="1">
        <f>IF('исходные данные'!N59&gt;'минимумы и максимумы'!L$3,100,('исходные данные'!N59-'минимумы и максимумы'!L$2)/('минимумы и максимумы'!L$3-'минимумы и максимумы'!L$2)*100)</f>
        <v>7.3848941337760596</v>
      </c>
      <c r="O59" s="1">
        <f>IF('исходные данные'!O59&gt;'минимумы и максимумы'!M$3,100,('исходные данные'!O59-'минимумы и максимумы'!M$2)/('минимумы и максимумы'!M$3-'минимумы и максимумы'!M$2)*100)</f>
        <v>100</v>
      </c>
      <c r="P59" s="1">
        <f>IF('исходные данные'!P59&gt;'минимумы и максимумы'!N$3,100,('исходные данные'!P59-'минимумы и максимумы'!N$2)/('минимумы и максимумы'!N$3-'минимумы и максимумы'!N$2)*100)</f>
        <v>100</v>
      </c>
      <c r="Q59" s="1">
        <f>IF('исходные данные'!Q59&gt;'минимумы и максимумы'!O$3,100,('исходные данные'!Q59-'минимумы и максимумы'!O$2)/('минимумы и максимумы'!O$3-'минимумы и максимумы'!O$2)*100)</f>
        <v>100</v>
      </c>
      <c r="R59" s="1">
        <f>IF('исходные данные'!R59&gt;'минимумы и максимумы'!P$3,100,('исходные данные'!R59-'минимумы и максимумы'!P$2)/('минимумы и максимумы'!P$3-'минимумы и максимумы'!P$2)*100)</f>
        <v>75</v>
      </c>
      <c r="S59" s="1">
        <f>IF('исходные данные'!S59&gt;'минимумы и максимумы'!Q$3,100,('исходные данные'!S59-'минимумы и максимумы'!Q$2)/('минимумы и максимумы'!Q$3-'минимумы и максимумы'!Q$2)*100)</f>
        <v>33.333333333333329</v>
      </c>
      <c r="T59" s="1">
        <f>IF('исходные данные'!T59&gt;'минимумы и максимумы'!R$3,100,('исходные данные'!T59-'минимумы и максимумы'!R$2)/('минимумы и максимумы'!R$3-'минимумы и максимумы'!R$2)*100)</f>
        <v>14.826220853497579</v>
      </c>
      <c r="U59" s="1">
        <f>IF('исходные данные'!U59&gt;'минимумы и максимумы'!S$3,100,('исходные данные'!U59-'минимумы и максимумы'!S$2)/('минимумы и максимумы'!S$3-'минимумы и максимумы'!S$2)*100)</f>
        <v>0</v>
      </c>
    </row>
    <row r="60" spans="1:21" x14ac:dyDescent="0.45">
      <c r="A60" s="4">
        <v>110</v>
      </c>
      <c r="B60" s="4">
        <v>0</v>
      </c>
      <c r="C60" s="4">
        <v>0</v>
      </c>
      <c r="D60" s="1">
        <f>IF('исходные данные'!D60&gt;'минимумы и максимумы'!B$3,100,('исходные данные'!D60-'минимумы и максимумы'!B$2)/('минимумы и максимумы'!B$3-'минимумы и максимумы'!B$2)*100)</f>
        <v>100</v>
      </c>
      <c r="E60" s="1">
        <f>IF('исходные данные'!E60&gt;'минимумы и максимумы'!C$3,100,('исходные данные'!E60-'минимумы и максимумы'!C$2)/('минимумы и максимумы'!C$3-'минимумы и максимумы'!C$2)*100)</f>
        <v>60</v>
      </c>
      <c r="F60" s="1">
        <f>IF('исходные данные'!F60&gt;'минимумы и максимумы'!D$3,100,('исходные данные'!F60-'минимумы и максимумы'!D$2)/('минимумы и максимумы'!D$3-'минимумы и максимумы'!D$2)*100)</f>
        <v>0</v>
      </c>
      <c r="G60" s="1">
        <f>IF('исходные данные'!G60&gt;'минимумы и максимумы'!E$3,100,('исходные данные'!G60-'минимумы и максимумы'!E$2)/('минимумы и максимумы'!E$3-'минимумы и максимумы'!E$2)*100)</f>
        <v>58.333333333333336</v>
      </c>
      <c r="H60" s="1">
        <f>IF('исходные данные'!H60&gt;'минимумы и максимумы'!F$3,100,('исходные данные'!H60-'минимумы и максимумы'!F$2)/('минимумы и максимумы'!F$3-'минимумы и максимумы'!F$2)*100)</f>
        <v>40</v>
      </c>
      <c r="I60" s="1">
        <f>IF('исходные данные'!I60&gt;'минимумы и максимумы'!G$3,100,('исходные данные'!I60-'минимумы и максимумы'!G$2)/('минимумы и максимумы'!G$3-'минимумы и максимумы'!G$2)*100)</f>
        <v>100</v>
      </c>
      <c r="J60" s="1">
        <f>IF('исходные данные'!J60&gt;'минимумы и максимумы'!H$3,100,('исходные данные'!J60-'минимумы и максимумы'!H$2)/('минимумы и максимумы'!H$3-'минимумы и максимумы'!H$2)*100)</f>
        <v>100</v>
      </c>
      <c r="K60" s="1">
        <f>IF('исходные данные'!K60&gt;'минимумы и максимумы'!I$3,100,('исходные данные'!K60-'минимумы и максимумы'!I$2)/('минимумы и максимумы'!I$3-'минимумы и максимумы'!I$2)*100)</f>
        <v>27.777777777777779</v>
      </c>
      <c r="L60" s="1">
        <f>IF('исходные данные'!L60&gt;'минимумы и максимумы'!J$3,100,('исходные данные'!L60-'минимумы и максимумы'!J$2)/('минимумы и максимумы'!J$3-'минимумы и максимумы'!J$2)*100)</f>
        <v>60</v>
      </c>
      <c r="M60" s="1">
        <f>IF('исходные данные'!M60&gt;'минимумы и максимумы'!K$3,100,('исходные данные'!M60-'минимумы и максимумы'!K$2)/('минимумы и максимумы'!K$3-'минимумы и максимумы'!K$2)*100)</f>
        <v>45.161290322580641</v>
      </c>
      <c r="N60" s="1">
        <f>IF('исходные данные'!N60&gt;'минимумы и максимумы'!L$3,100,('исходные данные'!N60-'минимумы и максимумы'!L$2)/('минимумы и максимумы'!L$3-'минимумы и максимумы'!L$2)*100)</f>
        <v>6.9089301562132679</v>
      </c>
      <c r="O60" s="1">
        <f>IF('исходные данные'!O60&gt;'минимумы и максимумы'!M$3,100,('исходные данные'!O60-'минимумы и максимумы'!M$2)/('минимумы и максимумы'!M$3-'минимумы и максимумы'!M$2)*100)</f>
        <v>100</v>
      </c>
      <c r="P60" s="1">
        <f>IF('исходные данные'!P60&gt;'минимумы и максимумы'!N$3,100,('исходные данные'!P60-'минимумы и максимумы'!N$2)/('минимумы и максимумы'!N$3-'минимумы и максимумы'!N$2)*100)</f>
        <v>100</v>
      </c>
      <c r="Q60" s="1">
        <f>IF('исходные данные'!Q60&gt;'минимумы и максимумы'!O$3,100,('исходные данные'!Q60-'минимумы и максимумы'!O$2)/('минимумы и максимумы'!O$3-'минимумы и максимумы'!O$2)*100)</f>
        <v>100</v>
      </c>
      <c r="R60" s="1">
        <f>IF('исходные данные'!R60&gt;'минимумы и максимумы'!P$3,100,('исходные данные'!R60-'минимумы и максимумы'!P$2)/('минимумы и максимумы'!P$3-'минимумы и максимумы'!P$2)*100)</f>
        <v>75</v>
      </c>
      <c r="S60" s="1">
        <f>IF('исходные данные'!S60&gt;'минимумы и максимумы'!Q$3,100,('исходные данные'!S60-'минимумы и максимумы'!Q$2)/('минимумы и максимумы'!Q$3-'минимумы и максимумы'!Q$2)*100)</f>
        <v>50</v>
      </c>
      <c r="T60" s="1">
        <f>IF('исходные данные'!T60&gt;'минимумы и максимумы'!R$3,100,('исходные данные'!T60-'минимумы и максимумы'!R$2)/('минимумы и максимумы'!R$3-'минимумы и максимумы'!R$2)*100)</f>
        <v>12.978442586889575</v>
      </c>
      <c r="U60" s="1">
        <f>IF('исходные данные'!U60&gt;'минимумы и максимумы'!S$3,100,('исходные данные'!U60-'минимумы и максимумы'!S$2)/('минимумы и максимумы'!S$3-'минимумы и максимумы'!S$2)*100)</f>
        <v>0</v>
      </c>
    </row>
    <row r="61" spans="1:21" x14ac:dyDescent="0.45">
      <c r="A61" s="4">
        <v>111</v>
      </c>
      <c r="B61" s="4">
        <v>0</v>
      </c>
      <c r="C61" s="4">
        <v>0</v>
      </c>
      <c r="D61" s="1">
        <f>IF('исходные данные'!D61&gt;'минимумы и максимумы'!B$3,100,('исходные данные'!D61-'минимумы и максимумы'!B$2)/('минимумы и максимумы'!B$3-'минимумы и максимумы'!B$2)*100)</f>
        <v>100</v>
      </c>
      <c r="E61" s="1">
        <f>IF('исходные данные'!E61&gt;'минимумы и максимумы'!C$3,100,('исходные данные'!E61-'минимумы и максимумы'!C$2)/('минимумы и максимумы'!C$3-'минимумы и максимумы'!C$2)*100)</f>
        <v>60</v>
      </c>
      <c r="F61" s="1">
        <f>IF('исходные данные'!F61&gt;'минимумы и максимумы'!D$3,100,('исходные данные'!F61-'минимумы и максимумы'!D$2)/('минимумы и максимумы'!D$3-'минимумы и максимумы'!D$2)*100)</f>
        <v>0</v>
      </c>
      <c r="G61" s="1">
        <f>IF('исходные данные'!G61&gt;'минимумы и максимумы'!E$3,100,('исходные данные'!G61-'минимумы и максимумы'!E$2)/('минимумы и максимумы'!E$3-'минимумы и максимумы'!E$2)*100)</f>
        <v>58.333333333333336</v>
      </c>
      <c r="H61" s="1">
        <f>IF('исходные данные'!H61&gt;'минимумы и максимумы'!F$3,100,('исходные данные'!H61-'минимумы и максимумы'!F$2)/('минимумы и максимумы'!F$3-'минимумы и максимумы'!F$2)*100)</f>
        <v>40</v>
      </c>
      <c r="I61" s="1">
        <f>IF('исходные данные'!I61&gt;'минимумы и максимумы'!G$3,100,('исходные данные'!I61-'минимумы и максимумы'!G$2)/('минимумы и максимумы'!G$3-'минимумы и максимумы'!G$2)*100)</f>
        <v>100</v>
      </c>
      <c r="J61" s="1">
        <f>IF('исходные данные'!J61&gt;'минимумы и максимумы'!H$3,100,('исходные данные'!J61-'минимумы и максимумы'!H$2)/('минимумы и максимумы'!H$3-'минимумы и максимумы'!H$2)*100)</f>
        <v>100</v>
      </c>
      <c r="K61" s="1">
        <f>IF('исходные данные'!K61&gt;'минимумы и максимумы'!I$3,100,('исходные данные'!K61-'минимумы и максимумы'!I$2)/('минимумы и максимумы'!I$3-'минимумы и максимумы'!I$2)*100)</f>
        <v>27.777777777777779</v>
      </c>
      <c r="L61" s="1">
        <f>IF('исходные данные'!L61&gt;'минимумы и максимумы'!J$3,100,('исходные данные'!L61-'минимумы и максимумы'!J$2)/('минимумы и максимумы'!J$3-'минимумы и максимумы'!J$2)*100)</f>
        <v>60</v>
      </c>
      <c r="M61" s="1">
        <f>IF('исходные данные'!M61&gt;'минимумы и максимумы'!K$3,100,('исходные данные'!M61-'минимумы и максимумы'!K$2)/('минимумы и максимумы'!K$3-'минимумы и максимумы'!K$2)*100)</f>
        <v>45.161290322580641</v>
      </c>
      <c r="N61" s="1">
        <f>IF('исходные данные'!N61&gt;'минимумы и максимумы'!L$3,100,('исходные данные'!N61-'минимумы и максимумы'!L$2)/('минимумы и максимумы'!L$3-'минимумы и максимумы'!L$2)*100)</f>
        <v>7.3848941337760596</v>
      </c>
      <c r="O61" s="1">
        <f>IF('исходные данные'!O61&gt;'минимумы и максимумы'!M$3,100,('исходные данные'!O61-'минимумы и максимумы'!M$2)/('минимумы и максимумы'!M$3-'минимумы и максимумы'!M$2)*100)</f>
        <v>66.666666666666657</v>
      </c>
      <c r="P61" s="1">
        <f>IF('исходные данные'!P61&gt;'минимумы и максимумы'!N$3,100,('исходные данные'!P61-'минимумы и максимумы'!N$2)/('минимумы и максимумы'!N$3-'минимумы и максимумы'!N$2)*100)</f>
        <v>100</v>
      </c>
      <c r="Q61" s="1">
        <f>IF('исходные данные'!Q61&gt;'минимумы и максимумы'!O$3,100,('исходные данные'!Q61-'минимумы и максимумы'!O$2)/('минимумы и максимумы'!O$3-'минимумы и максимумы'!O$2)*100)</f>
        <v>100</v>
      </c>
      <c r="R61" s="1">
        <f>IF('исходные данные'!R61&gt;'минимумы и максимумы'!P$3,100,('исходные данные'!R61-'минимумы и максимумы'!P$2)/('минимумы и максимумы'!P$3-'минимумы и максимумы'!P$2)*100)</f>
        <v>75</v>
      </c>
      <c r="S61" s="1">
        <f>IF('исходные данные'!S61&gt;'минимумы и максимумы'!Q$3,100,('исходные данные'!S61-'минимумы и максимумы'!Q$2)/('минимумы и максимумы'!Q$3-'минимумы и максимумы'!Q$2)*100)</f>
        <v>50</v>
      </c>
      <c r="T61" s="1">
        <f>IF('исходные данные'!T61&gt;'минимумы и максимумы'!R$3,100,('исходные данные'!T61-'минимумы и максимумы'!R$2)/('минимумы и максимумы'!R$3-'минимумы и максимумы'!R$2)*100)</f>
        <v>36.867575890893093</v>
      </c>
      <c r="U61" s="1">
        <f>IF('исходные данные'!U61&gt;'минимумы и максимумы'!S$3,100,('исходные данные'!U61-'минимумы и максимумы'!S$2)/('минимумы и максимумы'!S$3-'минимумы и максимумы'!S$2)*100)</f>
        <v>0</v>
      </c>
    </row>
    <row r="62" spans="1:21" x14ac:dyDescent="0.45">
      <c r="A62" s="4">
        <v>112</v>
      </c>
      <c r="B62" s="4">
        <v>0</v>
      </c>
      <c r="C62" s="4">
        <v>0</v>
      </c>
      <c r="D62" s="1">
        <f>IF('исходные данные'!D62&gt;'минимумы и максимумы'!B$3,100,('исходные данные'!D62-'минимумы и максимумы'!B$2)/('минимумы и максимумы'!B$3-'минимумы и максимумы'!B$2)*100)</f>
        <v>80</v>
      </c>
      <c r="E62" s="1">
        <f>IF('исходные данные'!E62&gt;'минимумы и максимумы'!C$3,100,('исходные данные'!E62-'минимумы и максимумы'!C$2)/('минимумы и максимумы'!C$3-'минимумы и максимумы'!C$2)*100)</f>
        <v>40</v>
      </c>
      <c r="F62" s="1">
        <f>IF('исходные данные'!F62&gt;'минимумы и максимумы'!D$3,100,('исходные данные'!F62-'минимумы и максимумы'!D$2)/('минимумы и максимумы'!D$3-'минимумы и максимумы'!D$2)*100)</f>
        <v>0</v>
      </c>
      <c r="G62" s="1">
        <f>IF('исходные данные'!G62&gt;'минимумы и максимумы'!E$3,100,('исходные данные'!G62-'минимумы и максимумы'!E$2)/('минимумы и максимумы'!E$3-'минимумы и максимумы'!E$2)*100)</f>
        <v>66.666666666666657</v>
      </c>
      <c r="H62" s="1">
        <f>IF('исходные данные'!H62&gt;'минимумы и максимумы'!F$3,100,('исходные данные'!H62-'минимумы и максимумы'!F$2)/('минимумы и максимумы'!F$3-'минимумы и максимумы'!F$2)*100)</f>
        <v>56.000000000000007</v>
      </c>
      <c r="I62" s="1">
        <f>IF('исходные данные'!I62&gt;'минимумы и максимумы'!G$3,100,('исходные данные'!I62-'минимумы и максимумы'!G$2)/('минимумы и максимумы'!G$3-'минимумы и максимумы'!G$2)*100)</f>
        <v>100</v>
      </c>
      <c r="J62" s="1">
        <f>IF('исходные данные'!J62&gt;'минимумы и максимумы'!H$3,100,('исходные данные'!J62-'минимумы и максимумы'!H$2)/('минимумы и максимумы'!H$3-'минимумы и максимумы'!H$2)*100)</f>
        <v>100</v>
      </c>
      <c r="K62" s="1">
        <f>IF('исходные данные'!K62&gt;'минимумы и максимумы'!I$3,100,('исходные данные'!K62-'минимумы и максимумы'!I$2)/('минимумы и максимумы'!I$3-'минимумы и максимумы'!I$2)*100)</f>
        <v>100</v>
      </c>
      <c r="L62" s="1">
        <f>IF('исходные данные'!L62&gt;'минимумы и максимумы'!J$3,100,('исходные данные'!L62-'минимумы и максимумы'!J$2)/('минимумы и максимумы'!J$3-'минимумы и максимумы'!J$2)*100)</f>
        <v>100</v>
      </c>
      <c r="M62" s="1">
        <f>IF('исходные данные'!M62&gt;'минимумы и максимумы'!K$3,100,('исходные данные'!M62-'минимумы и максимумы'!K$2)/('минимумы и максимумы'!K$3-'минимумы и максимумы'!K$2)*100)</f>
        <v>45.161290322580641</v>
      </c>
      <c r="N62" s="1">
        <f>IF('исходные данные'!N62&gt;'минимумы и максимумы'!L$3,100,('исходные данные'!N62-'минимумы и максимумы'!L$2)/('минимумы и максимумы'!L$3-'минимумы и максимумы'!L$2)*100)</f>
        <v>6.9089301562132679</v>
      </c>
      <c r="O62" s="1">
        <f>IF('исходные данные'!O62&gt;'минимумы и максимумы'!M$3,100,('исходные данные'!O62-'минимумы и максимумы'!M$2)/('минимумы и максимумы'!M$3-'минимумы и максимумы'!M$2)*100)</f>
        <v>100</v>
      </c>
      <c r="P62" s="1">
        <f>IF('исходные данные'!P62&gt;'минимумы и максимумы'!N$3,100,('исходные данные'!P62-'минимумы и максимумы'!N$2)/('минимумы и максимумы'!N$3-'минимумы и максимумы'!N$2)*100)</f>
        <v>0</v>
      </c>
      <c r="Q62" s="1">
        <f>IF('исходные данные'!Q62&gt;'минимумы и максимумы'!O$3,100,('исходные данные'!Q62-'минимумы и максимумы'!O$2)/('минимумы и максимумы'!O$3-'минимумы и максимумы'!O$2)*100)</f>
        <v>100</v>
      </c>
      <c r="R62" s="1">
        <f>IF('исходные данные'!R62&gt;'минимумы и максимумы'!P$3,100,('исходные данные'!R62-'минимумы и максимумы'!P$2)/('минимумы и максимумы'!P$3-'минимумы и максимумы'!P$2)*100)</f>
        <v>100</v>
      </c>
      <c r="S62" s="1">
        <f>IF('исходные данные'!S62&gt;'минимумы и максимумы'!Q$3,100,('исходные данные'!S62-'минимумы и максимумы'!Q$2)/('минимумы и максимумы'!Q$3-'минимумы и максимумы'!Q$2)*100)</f>
        <v>50</v>
      </c>
      <c r="T62" s="1">
        <f>IF('исходные данные'!T62&gt;'минимумы и максимумы'!R$3,100,('исходные данные'!T62-'минимумы и максимумы'!R$2)/('минимумы и максимумы'!R$3-'минимумы и максимумы'!R$2)*100)</f>
        <v>37.48350197976243</v>
      </c>
      <c r="U62" s="1">
        <f>IF('исходные данные'!U62&gt;'минимумы и максимумы'!S$3,100,('исходные данные'!U62-'минимумы и максимумы'!S$2)/('минимумы и максимумы'!S$3-'минимумы и максимумы'!S$2)*100)</f>
        <v>100</v>
      </c>
    </row>
    <row r="63" spans="1:21" x14ac:dyDescent="0.45">
      <c r="A63" s="4">
        <v>113</v>
      </c>
      <c r="B63" s="4">
        <v>0</v>
      </c>
      <c r="C63" s="4">
        <v>0</v>
      </c>
      <c r="D63" s="1">
        <f>IF('исходные данные'!D63&gt;'минимумы и максимумы'!B$3,100,('исходные данные'!D63-'минимумы и максимумы'!B$2)/('минимумы и максимумы'!B$3-'минимумы и максимумы'!B$2)*100)</f>
        <v>60</v>
      </c>
      <c r="E63" s="1">
        <f>IF('исходные данные'!E63&gt;'минимумы и максимумы'!C$3,100,('исходные данные'!E63-'минимумы и максимумы'!C$2)/('минимумы и максимумы'!C$3-'минимумы и максимумы'!C$2)*100)</f>
        <v>20</v>
      </c>
      <c r="F63" s="1">
        <f>IF('исходные данные'!F63&gt;'минимумы и максимумы'!D$3,100,('исходные данные'!F63-'минимумы и максимумы'!D$2)/('минимумы и максимумы'!D$3-'минимумы и максимумы'!D$2)*100)</f>
        <v>0</v>
      </c>
      <c r="G63" s="1">
        <f>IF('исходные данные'!G63&gt;'минимумы и максимумы'!E$3,100,('исходные данные'!G63-'минимумы и максимумы'!E$2)/('минимумы и максимумы'!E$3-'минимумы и максимумы'!E$2)*100)</f>
        <v>58.333333333333336</v>
      </c>
      <c r="H63" s="1">
        <f>IF('исходные данные'!H63&gt;'минимумы и максимумы'!F$3,100,('исходные данные'!H63-'минимумы и максимумы'!F$2)/('минимумы и максимумы'!F$3-'минимумы и максимумы'!F$2)*100)</f>
        <v>64</v>
      </c>
      <c r="I63" s="1">
        <f>IF('исходные данные'!I63&gt;'минимумы и максимумы'!G$3,100,('исходные данные'!I63-'минимумы и максимумы'!G$2)/('минимумы и максимумы'!G$3-'минимумы и максимумы'!G$2)*100)</f>
        <v>100</v>
      </c>
      <c r="J63" s="1">
        <f>IF('исходные данные'!J63&gt;'минимумы и максимумы'!H$3,100,('исходные данные'!J63-'минимумы и максимумы'!H$2)/('минимумы и максимумы'!H$3-'минимумы и максимумы'!H$2)*100)</f>
        <v>100</v>
      </c>
      <c r="K63" s="1">
        <f>IF('исходные данные'!K63&gt;'минимумы и максимумы'!I$3,100,('исходные данные'!K63-'минимумы и максимумы'!I$2)/('минимумы и максимумы'!I$3-'минимумы и максимумы'!I$2)*100)</f>
        <v>100</v>
      </c>
      <c r="L63" s="1">
        <f>IF('исходные данные'!L63&gt;'минимумы и максимумы'!J$3,100,('исходные данные'!L63-'минимумы и максимумы'!J$2)/('минимумы и максимумы'!J$3-'минимумы и максимумы'!J$2)*100)</f>
        <v>100</v>
      </c>
      <c r="M63" s="1">
        <f>IF('исходные данные'!M63&gt;'минимумы и максимумы'!K$3,100,('исходные данные'!M63-'минимумы и максимумы'!K$2)/('минимумы и максимумы'!K$3-'минимумы и максимумы'!K$2)*100)</f>
        <v>61.29032258064516</v>
      </c>
      <c r="N63" s="1">
        <f>IF('исходные данные'!N63&gt;'минимумы и максимумы'!L$3,100,('исходные данные'!N63-'минимумы и максимумы'!L$2)/('минимумы и максимумы'!L$3-'минимумы и максимумы'!L$2)*100)</f>
        <v>6.9198596773709831</v>
      </c>
      <c r="O63" s="1">
        <f>IF('исходные данные'!O63&gt;'минимумы и максимумы'!M$3,100,('исходные данные'!O63-'минимумы и максимумы'!M$2)/('минимумы и максимумы'!M$3-'минимумы и максимумы'!M$2)*100)</f>
        <v>100</v>
      </c>
      <c r="P63" s="1">
        <f>IF('исходные данные'!P63&gt;'минимумы и максимумы'!N$3,100,('исходные данные'!P63-'минимумы и максимумы'!N$2)/('минимумы и максимумы'!N$3-'минимумы и максимумы'!N$2)*100)</f>
        <v>100</v>
      </c>
      <c r="Q63" s="1">
        <f>IF('исходные данные'!Q63&gt;'минимумы и максимумы'!O$3,100,('исходные данные'!Q63-'минимумы и максимумы'!O$2)/('минимумы и максимумы'!O$3-'минимумы и максимумы'!O$2)*100)</f>
        <v>100</v>
      </c>
      <c r="R63" s="1">
        <f>IF('исходные данные'!R63&gt;'минимумы и максимумы'!P$3,100,('исходные данные'!R63-'минимумы и максимумы'!P$2)/('минимумы и максимумы'!P$3-'минимумы и максимумы'!P$2)*100)</f>
        <v>75</v>
      </c>
      <c r="S63" s="1">
        <f>IF('исходные данные'!S63&gt;'минимумы и максимумы'!Q$3,100,('исходные данные'!S63-'минимумы и максимумы'!Q$2)/('минимумы и максимумы'!Q$3-'минимумы и максимумы'!Q$2)*100)</f>
        <v>66.666666666666657</v>
      </c>
      <c r="T63" s="1">
        <f>IF('исходные данные'!T63&gt;'минимумы и максимумы'!R$3,100,('исходные данные'!T63-'минимумы и максимумы'!R$2)/('минимумы и максимумы'!R$3-'минимумы и максимумы'!R$2)*100)</f>
        <v>35.415750109986796</v>
      </c>
      <c r="U63" s="1">
        <f>IF('исходные данные'!U63&gt;'минимумы и максимумы'!S$3,100,('исходные данные'!U63-'минимумы и максимумы'!S$2)/('минимумы и максимумы'!S$3-'минимумы и максимумы'!S$2)*100)</f>
        <v>0</v>
      </c>
    </row>
    <row r="64" spans="1:21" x14ac:dyDescent="0.45">
      <c r="A64" s="4">
        <v>116</v>
      </c>
      <c r="B64" s="4">
        <v>0</v>
      </c>
      <c r="C64" s="4">
        <v>0</v>
      </c>
      <c r="D64" s="1">
        <f>IF('исходные данные'!D64&gt;'минимумы и максимумы'!B$3,100,('исходные данные'!D64-'минимумы и максимумы'!B$2)/('минимумы и максимумы'!B$3-'минимумы и максимумы'!B$2)*100)</f>
        <v>40</v>
      </c>
      <c r="E64" s="1">
        <f>IF('исходные данные'!E64&gt;'минимумы и максимумы'!C$3,100,('исходные данные'!E64-'минимумы и максимумы'!C$2)/('минимумы и максимумы'!C$3-'минимумы и максимумы'!C$2)*100)</f>
        <v>20</v>
      </c>
      <c r="F64" s="1">
        <f>IF('исходные данные'!F64&gt;'минимумы и максимумы'!D$3,100,('исходные данные'!F64-'минимумы и максимумы'!D$2)/('минимумы и максимумы'!D$3-'минимумы и максимумы'!D$2)*100)</f>
        <v>0</v>
      </c>
      <c r="G64" s="1">
        <f>IF('исходные данные'!G64&gt;'минимумы и максимумы'!E$3,100,('исходные данные'!G64-'минимумы и максимумы'!E$2)/('минимумы и максимумы'!E$3-'минимумы и максимумы'!E$2)*100)</f>
        <v>66.666666666666657</v>
      </c>
      <c r="H64" s="1">
        <f>IF('исходные данные'!H64&gt;'минимумы и максимумы'!F$3,100,('исходные данные'!H64-'минимумы и максимумы'!F$2)/('минимумы и максимумы'!F$3-'минимумы и максимумы'!F$2)*100)</f>
        <v>68</v>
      </c>
      <c r="I64" s="1">
        <f>IF('исходные данные'!I64&gt;'минимумы и максимумы'!G$3,100,('исходные данные'!I64-'минимумы и максимумы'!G$2)/('минимумы и максимумы'!G$3-'минимумы и максимумы'!G$2)*100)</f>
        <v>100</v>
      </c>
      <c r="J64" s="1">
        <f>IF('исходные данные'!J64&gt;'минимумы и максимумы'!H$3,100,('исходные данные'!J64-'минимумы и максимумы'!H$2)/('минимумы и максимумы'!H$3-'минимумы и максимумы'!H$2)*100)</f>
        <v>100</v>
      </c>
      <c r="K64" s="1">
        <f>IF('исходные данные'!K64&gt;'минимумы и максимумы'!I$3,100,('исходные данные'!K64-'минимумы и максимумы'!I$2)/('минимумы и максимумы'!I$3-'минимумы и максимумы'!I$2)*100)</f>
        <v>100</v>
      </c>
      <c r="L64" s="1">
        <f>IF('исходные данные'!L64&gt;'минимумы и максимумы'!J$3,100,('исходные данные'!L64-'минимумы и максимумы'!J$2)/('минимумы и максимумы'!J$3-'минимумы и максимумы'!J$2)*100)</f>
        <v>100</v>
      </c>
      <c r="M64" s="1">
        <f>IF('исходные данные'!M64&gt;'минимумы и максимумы'!K$3,100,('исходные данные'!M64-'минимумы и максимумы'!K$2)/('минимумы и максимумы'!K$3-'минимумы и максимумы'!K$2)*100)</f>
        <v>64.516129032258064</v>
      </c>
      <c r="N64" s="1">
        <f>IF('исходные данные'!N64&gt;'минимумы и максимумы'!L$3,100,('исходные данные'!N64-'минимумы и максимумы'!L$2)/('минимумы и максимумы'!L$3-'минимумы и максимумы'!L$2)*100)</f>
        <v>5.9453434149573319</v>
      </c>
      <c r="O64" s="1">
        <f>IF('исходные данные'!O64&gt;'минимумы и максимумы'!M$3,100,('исходные данные'!O64-'минимумы и максимумы'!M$2)/('минимумы и максимумы'!M$3-'минимумы и максимумы'!M$2)*100)</f>
        <v>100</v>
      </c>
      <c r="P64" s="1">
        <f>IF('исходные данные'!P64&gt;'минимумы и максимумы'!N$3,100,('исходные данные'!P64-'минимумы и максимумы'!N$2)/('минимумы и максимумы'!N$3-'минимумы и максимумы'!N$2)*100)</f>
        <v>100</v>
      </c>
      <c r="Q64" s="1">
        <f>IF('исходные данные'!Q64&gt;'минимумы и максимумы'!O$3,100,('исходные данные'!Q64-'минимумы и максимумы'!O$2)/('минимумы и максимумы'!O$3-'минимумы и максимумы'!O$2)*100)</f>
        <v>100</v>
      </c>
      <c r="R64" s="1">
        <f>IF('исходные данные'!R64&gt;'минимумы и максимумы'!P$3,100,('исходные данные'!R64-'минимумы и максимумы'!P$2)/('минимумы и максимумы'!P$3-'минимумы и максимумы'!P$2)*100)</f>
        <v>75</v>
      </c>
      <c r="S64" s="1">
        <f>IF('исходные данные'!S64&gt;'минимумы и максимумы'!Q$3,100,('исходные данные'!S64-'минимумы и максимумы'!Q$2)/('минимумы и максимумы'!Q$3-'минимумы и максимумы'!Q$2)*100)</f>
        <v>50</v>
      </c>
      <c r="T64" s="1">
        <f>IF('исходные данные'!T64&gt;'минимумы и максимумы'!R$3,100,('исходные данные'!T64-'минимумы и максимумы'!R$2)/('минимумы и максимумы'!R$3-'минимумы и максимумы'!R$2)*100)</f>
        <v>24.153101627804663</v>
      </c>
      <c r="U64" s="1">
        <f>IF('исходные данные'!U64&gt;'минимумы и максимумы'!S$3,100,('исходные данные'!U64-'минимумы и максимумы'!S$2)/('минимумы и максимумы'!S$3-'минимумы и максимумы'!S$2)*100)</f>
        <v>0</v>
      </c>
    </row>
    <row r="65" spans="1:21" x14ac:dyDescent="0.45">
      <c r="A65" s="4">
        <v>117</v>
      </c>
      <c r="B65" s="4">
        <v>0</v>
      </c>
      <c r="C65" s="4">
        <v>0</v>
      </c>
      <c r="D65" s="1">
        <f>IF('исходные данные'!D65&gt;'минимумы и максимумы'!B$3,100,('исходные данные'!D65-'минимумы и максимумы'!B$2)/('минимумы и максимумы'!B$3-'минимумы и максимумы'!B$2)*100)</f>
        <v>40</v>
      </c>
      <c r="E65" s="1">
        <f>IF('исходные данные'!E65&gt;'минимумы и максимумы'!C$3,100,('исходные данные'!E65-'минимумы и максимумы'!C$2)/('минимумы и максимумы'!C$3-'минимумы и максимумы'!C$2)*100)</f>
        <v>20</v>
      </c>
      <c r="F65" s="1">
        <f>IF('исходные данные'!F65&gt;'минимумы и максимумы'!D$3,100,('исходные данные'!F65-'минимумы и максимумы'!D$2)/('минимумы и максимумы'!D$3-'минимумы и максимумы'!D$2)*100)</f>
        <v>0</v>
      </c>
      <c r="G65" s="1">
        <f>IF('исходные данные'!G65&gt;'минимумы и максимумы'!E$3,100,('исходные данные'!G65-'минимумы и максимумы'!E$2)/('минимумы и максимумы'!E$3-'минимумы и максимумы'!E$2)*100)</f>
        <v>54.166666666666664</v>
      </c>
      <c r="H65" s="1">
        <f>IF('исходные данные'!H65&gt;'минимумы и максимумы'!F$3,100,('исходные данные'!H65-'минимумы и максимумы'!F$2)/('минимумы и максимумы'!F$3-'минимумы и максимумы'!F$2)*100)</f>
        <v>48</v>
      </c>
      <c r="I65" s="1">
        <f>IF('исходные данные'!I65&gt;'минимумы и максимумы'!G$3,100,('исходные данные'!I65-'минимумы и максимумы'!G$2)/('минимумы и максимумы'!G$3-'минимумы и максимумы'!G$2)*100)</f>
        <v>100</v>
      </c>
      <c r="J65" s="1">
        <f>IF('исходные данные'!J65&gt;'минимумы и максимумы'!H$3,100,('исходные данные'!J65-'минимумы и максимумы'!H$2)/('минимумы и максимумы'!H$3-'минимумы и максимумы'!H$2)*100)</f>
        <v>100</v>
      </c>
      <c r="K65" s="1">
        <f>IF('исходные данные'!K65&gt;'минимумы и максимумы'!I$3,100,('исходные данные'!K65-'минимумы и максимумы'!I$2)/('минимумы и максимумы'!I$3-'минимумы и максимумы'!I$2)*100)</f>
        <v>94.444444444444443</v>
      </c>
      <c r="L65" s="1">
        <f>IF('исходные данные'!L65&gt;'минимумы и максимумы'!J$3,100,('исходные данные'!L65-'минимумы и максимумы'!J$2)/('минимумы и максимумы'!J$3-'минимумы и максимумы'!J$2)*100)</f>
        <v>100</v>
      </c>
      <c r="M65" s="1">
        <f>IF('исходные данные'!M65&gt;'минимумы и максимумы'!K$3,100,('исходные данные'!M65-'минимумы и максимумы'!K$2)/('минимумы и максимумы'!K$3-'минимумы и максимумы'!K$2)*100)</f>
        <v>67.741935483870961</v>
      </c>
      <c r="N65" s="1">
        <f>IF('исходные данные'!N65&gt;'минимумы и максимумы'!L$3,100,('исходные данные'!N65-'минимумы и максимумы'!L$2)/('минимумы и максимумы'!L$3-'минимумы и максимумы'!L$2)*100)</f>
        <v>6.0042402344057981</v>
      </c>
      <c r="O65" s="1">
        <f>IF('исходные данные'!O65&gt;'минимумы и максимумы'!M$3,100,('исходные данные'!O65-'минимумы и максимумы'!M$2)/('минимумы и максимумы'!M$3-'минимумы и максимумы'!M$2)*100)</f>
        <v>100</v>
      </c>
      <c r="P65" s="1">
        <f>IF('исходные данные'!P65&gt;'минимумы и максимумы'!N$3,100,('исходные данные'!P65-'минимумы и максимумы'!N$2)/('минимумы и максимумы'!N$3-'минимумы и максимумы'!N$2)*100)</f>
        <v>100</v>
      </c>
      <c r="Q65" s="1">
        <f>IF('исходные данные'!Q65&gt;'минимумы и максимумы'!O$3,100,('исходные данные'!Q65-'минимумы и максимумы'!O$2)/('минимумы и максимумы'!O$3-'минимумы и максимумы'!O$2)*100)</f>
        <v>100</v>
      </c>
      <c r="R65" s="1">
        <f>IF('исходные данные'!R65&gt;'минимумы и максимумы'!P$3,100,('исходные данные'!R65-'минимумы и максимумы'!P$2)/('минимумы и максимумы'!P$3-'минимумы и максимумы'!P$2)*100)</f>
        <v>75</v>
      </c>
      <c r="S65" s="1">
        <f>IF('исходные данные'!S65&gt;'минимумы и максимумы'!Q$3,100,('исходные данные'!S65-'минимумы и максимумы'!Q$2)/('минимумы и максимумы'!Q$3-'минимумы и максимумы'!Q$2)*100)</f>
        <v>50</v>
      </c>
      <c r="T65" s="1">
        <f>IF('исходные данные'!T65&gt;'минимумы и максимумы'!R$3,100,('исходные данные'!T65-'минимумы и максимумы'!R$2)/('минимумы и максимумы'!R$3-'минимумы и максимумы'!R$2)*100)</f>
        <v>20.325560932688077</v>
      </c>
      <c r="U65" s="1">
        <f>IF('исходные данные'!U65&gt;'минимумы и максимумы'!S$3,100,('исходные данные'!U65-'минимумы и максимумы'!S$2)/('минимумы и максимумы'!S$3-'минимумы и максимумы'!S$2)*100)</f>
        <v>0</v>
      </c>
    </row>
    <row r="66" spans="1:21" x14ac:dyDescent="0.45">
      <c r="A66" s="4">
        <v>118</v>
      </c>
      <c r="B66" s="4">
        <v>0</v>
      </c>
      <c r="C66" s="4">
        <v>0</v>
      </c>
      <c r="D66" s="1">
        <f>IF('исходные данные'!D66&gt;'минимумы и максимумы'!B$3,100,('исходные данные'!D66-'минимумы и максимумы'!B$2)/('минимумы и максимумы'!B$3-'минимумы и максимумы'!B$2)*100)</f>
        <v>40</v>
      </c>
      <c r="E66" s="1">
        <f>IF('исходные данные'!E66&gt;'минимумы и максимумы'!C$3,100,('исходные данные'!E66-'минимумы и максимумы'!C$2)/('минимумы и максимумы'!C$3-'минимумы и максимумы'!C$2)*100)</f>
        <v>20</v>
      </c>
      <c r="F66" s="1">
        <f>IF('исходные данные'!F66&gt;'минимумы и максимумы'!D$3,100,('исходные данные'!F66-'минимумы и максимумы'!D$2)/('минимумы и максимумы'!D$3-'минимумы и максимумы'!D$2)*100)</f>
        <v>0</v>
      </c>
      <c r="G66" s="1">
        <f>IF('исходные данные'!G66&gt;'минимумы и максимумы'!E$3,100,('исходные данные'!G66-'минимумы и максимумы'!E$2)/('минимумы и максимумы'!E$3-'минимумы и максимумы'!E$2)*100)</f>
        <v>54.166666666666664</v>
      </c>
      <c r="H66" s="1">
        <f>IF('исходные данные'!H66&gt;'минимумы и максимумы'!F$3,100,('исходные данные'!H66-'минимумы и максимумы'!F$2)/('минимумы и максимумы'!F$3-'минимумы и максимумы'!F$2)*100)</f>
        <v>48</v>
      </c>
      <c r="I66" s="1">
        <f>IF('исходные данные'!I66&gt;'минимумы и максимумы'!G$3,100,('исходные данные'!I66-'минимумы и максимумы'!G$2)/('минимумы и максимумы'!G$3-'минимумы и максимумы'!G$2)*100)</f>
        <v>100</v>
      </c>
      <c r="J66" s="1">
        <f>IF('исходные данные'!J66&gt;'минимумы и максимумы'!H$3,100,('исходные данные'!J66-'минимумы и максимумы'!H$2)/('минимумы и максимумы'!H$3-'минимумы и максимумы'!H$2)*100)</f>
        <v>100</v>
      </c>
      <c r="K66" s="1">
        <f>IF('исходные данные'!K66&gt;'минимумы и максимумы'!I$3,100,('исходные данные'!K66-'минимумы и максимумы'!I$2)/('минимумы и максимумы'!I$3-'минимумы и максимумы'!I$2)*100)</f>
        <v>94.444444444444443</v>
      </c>
      <c r="L66" s="1">
        <f>IF('исходные данные'!L66&gt;'минимумы и максимумы'!J$3,100,('исходные данные'!L66-'минимумы и максимумы'!J$2)/('минимумы и максимумы'!J$3-'минимумы и максимумы'!J$2)*100)</f>
        <v>100</v>
      </c>
      <c r="M66" s="1">
        <f>IF('исходные данные'!M66&gt;'минимумы и максимумы'!K$3,100,('исходные данные'!M66-'минимумы и максимумы'!K$2)/('минимумы и максимумы'!K$3-'минимумы и максимумы'!K$2)*100)</f>
        <v>67.741935483870961</v>
      </c>
      <c r="N66" s="1">
        <f>IF('исходные данные'!N66&gt;'минимумы и максимумы'!L$3,100,('исходные данные'!N66-'минимумы и максимумы'!L$2)/('минимумы и максимумы'!L$3-'минимумы и максимумы'!L$2)*100)</f>
        <v>6.1876167742384869</v>
      </c>
      <c r="O66" s="1">
        <f>IF('исходные данные'!O66&gt;'минимумы и максимумы'!M$3,100,('исходные данные'!O66-'минимумы и максимумы'!M$2)/('минимумы и максимумы'!M$3-'минимумы и максимумы'!M$2)*100)</f>
        <v>100</v>
      </c>
      <c r="P66" s="1">
        <f>IF('исходные данные'!P66&gt;'минимумы и максимумы'!N$3,100,('исходные данные'!P66-'минимумы и максимумы'!N$2)/('минимумы и максимумы'!N$3-'минимумы и максимумы'!N$2)*100)</f>
        <v>100</v>
      </c>
      <c r="Q66" s="1">
        <f>IF('исходные данные'!Q66&gt;'минимумы и максимумы'!O$3,100,('исходные данные'!Q66-'минимумы и максимумы'!O$2)/('минимумы и максимумы'!O$3-'минимумы и максимумы'!O$2)*100)</f>
        <v>100</v>
      </c>
      <c r="R66" s="1">
        <f>IF('исходные данные'!R66&gt;'минимумы и максимумы'!P$3,100,('исходные данные'!R66-'минимумы и максимумы'!P$2)/('минимумы и максимумы'!P$3-'минимумы и максимумы'!P$2)*100)</f>
        <v>75</v>
      </c>
      <c r="S66" s="1">
        <f>IF('исходные данные'!S66&gt;'минимумы и максимумы'!Q$3,100,('исходные данные'!S66-'минимумы и максимумы'!Q$2)/('минимумы и максимумы'!Q$3-'минимумы и максимумы'!Q$2)*100)</f>
        <v>50</v>
      </c>
      <c r="T66" s="1">
        <f>IF('исходные данные'!T66&gt;'минимумы и максимумы'!R$3,100,('исходные данные'!T66-'минимумы и максимумы'!R$2)/('минимумы и максимумы'!R$3-'минимумы и максимумы'!R$2)*100)</f>
        <v>19.885613726352837</v>
      </c>
      <c r="U66" s="1">
        <f>IF('исходные данные'!U66&gt;'минимумы и максимумы'!S$3,100,('исходные данные'!U66-'минимумы и максимумы'!S$2)/('минимумы и максимумы'!S$3-'минимумы и максимумы'!S$2)*100)</f>
        <v>0</v>
      </c>
    </row>
    <row r="67" spans="1:21" x14ac:dyDescent="0.45">
      <c r="A67" s="4">
        <v>119</v>
      </c>
      <c r="B67" s="4">
        <v>0</v>
      </c>
      <c r="C67" s="4">
        <v>0</v>
      </c>
      <c r="D67" s="1">
        <f>IF('исходные данные'!D67&gt;'минимумы и максимумы'!B$3,100,('исходные данные'!D67-'минимумы и максимумы'!B$2)/('минимумы и максимумы'!B$3-'минимумы и максимумы'!B$2)*100)</f>
        <v>40</v>
      </c>
      <c r="E67" s="1">
        <f>IF('исходные данные'!E67&gt;'минимумы и максимумы'!C$3,100,('исходные данные'!E67-'минимумы и максимумы'!C$2)/('минимумы и максимумы'!C$3-'минимумы и максимумы'!C$2)*100)</f>
        <v>20</v>
      </c>
      <c r="F67" s="1">
        <f>IF('исходные данные'!F67&gt;'минимумы и максимумы'!D$3,100,('исходные данные'!F67-'минимумы и максимумы'!D$2)/('минимумы и максимумы'!D$3-'минимумы и максимумы'!D$2)*100)</f>
        <v>0</v>
      </c>
      <c r="G67" s="1">
        <f>IF('исходные данные'!G67&gt;'минимумы и максимумы'!E$3,100,('исходные данные'!G67-'минимумы и максимумы'!E$2)/('минимумы и максимумы'!E$3-'минимумы и максимумы'!E$2)*100)</f>
        <v>54.166666666666664</v>
      </c>
      <c r="H67" s="1">
        <f>IF('исходные данные'!H67&gt;'минимумы и максимумы'!F$3,100,('исходные данные'!H67-'минимумы и максимумы'!F$2)/('минимумы и максимумы'!F$3-'минимумы и максимумы'!F$2)*100)</f>
        <v>48</v>
      </c>
      <c r="I67" s="1">
        <f>IF('исходные данные'!I67&gt;'минимумы и максимумы'!G$3,100,('исходные данные'!I67-'минимумы и максимумы'!G$2)/('минимумы и максимумы'!G$3-'минимумы и максимумы'!G$2)*100)</f>
        <v>100</v>
      </c>
      <c r="J67" s="1">
        <f>IF('исходные данные'!J67&gt;'минимумы и максимумы'!H$3,100,('исходные данные'!J67-'минимумы и максимумы'!H$2)/('минимумы и максимумы'!H$3-'минимумы и максимумы'!H$2)*100)</f>
        <v>100</v>
      </c>
      <c r="K67" s="1">
        <f>IF('исходные данные'!K67&gt;'минимумы и максимумы'!I$3,100,('исходные данные'!K67-'минимумы и максимумы'!I$2)/('минимумы и максимумы'!I$3-'минимумы и максимумы'!I$2)*100)</f>
        <v>94.444444444444443</v>
      </c>
      <c r="L67" s="1">
        <f>IF('исходные данные'!L67&gt;'минимумы и максимумы'!J$3,100,('исходные данные'!L67-'минимумы и максимумы'!J$2)/('минимумы и максимумы'!J$3-'минимумы и максимумы'!J$2)*100)</f>
        <v>100</v>
      </c>
      <c r="M67" s="1">
        <f>IF('исходные данные'!M67&gt;'минимумы и максимумы'!K$3,100,('исходные данные'!M67-'минимумы и максимумы'!K$2)/('минимумы и максимумы'!K$3-'минимумы и максимумы'!K$2)*100)</f>
        <v>67.741935483870961</v>
      </c>
      <c r="N67" s="1">
        <f>IF('исходные данные'!N67&gt;'минимумы и максимумы'!L$3,100,('исходные данные'!N67-'минимумы и максимумы'!L$2)/('минимумы и максимумы'!L$3-'минимумы и максимумы'!L$2)*100)</f>
        <v>6.0319571370129523</v>
      </c>
      <c r="O67" s="1">
        <f>IF('исходные данные'!O67&gt;'минимумы и максимумы'!M$3,100,('исходные данные'!O67-'минимумы и максимумы'!M$2)/('минимумы и максимумы'!M$3-'минимумы и максимумы'!M$2)*100)</f>
        <v>100</v>
      </c>
      <c r="P67" s="1">
        <f>IF('исходные данные'!P67&gt;'минимумы и максимумы'!N$3,100,('исходные данные'!P67-'минимумы и максимумы'!N$2)/('минимумы и максимумы'!N$3-'минимумы и максимумы'!N$2)*100)</f>
        <v>100</v>
      </c>
      <c r="Q67" s="1">
        <f>IF('исходные данные'!Q67&gt;'минимумы и максимумы'!O$3,100,('исходные данные'!Q67-'минимумы и максимумы'!O$2)/('минимумы и максимумы'!O$3-'минимумы и максимумы'!O$2)*100)</f>
        <v>100</v>
      </c>
      <c r="R67" s="1">
        <f>IF('исходные данные'!R67&gt;'минимумы и максимумы'!P$3,100,('исходные данные'!R67-'минимумы и максимумы'!P$2)/('минимумы и максимумы'!P$3-'минимумы и максимумы'!P$2)*100)</f>
        <v>75</v>
      </c>
      <c r="S67" s="1">
        <f>IF('исходные данные'!S67&gt;'минимумы и максимумы'!Q$3,100,('исходные данные'!S67-'минимумы и максимумы'!Q$2)/('минимумы и максимумы'!Q$3-'минимумы и максимумы'!Q$2)*100)</f>
        <v>33.333333333333329</v>
      </c>
      <c r="T67" s="1">
        <f>IF('исходные данные'!T67&gt;'минимумы и максимумы'!R$3,100,('исходные данные'!T67-'минимумы и максимумы'!R$2)/('минимумы и максимумы'!R$3-'минимумы и максимумы'!R$2)*100)</f>
        <v>20.413550373955125</v>
      </c>
      <c r="U67" s="1">
        <f>IF('исходные данные'!U67&gt;'минимумы и максимумы'!S$3,100,('исходные данные'!U67-'минимумы и максимумы'!S$2)/('минимумы и максимумы'!S$3-'минимумы и максимумы'!S$2)*100)</f>
        <v>0</v>
      </c>
    </row>
    <row r="68" spans="1:21" x14ac:dyDescent="0.45">
      <c r="A68" s="4">
        <v>120</v>
      </c>
      <c r="B68" s="4">
        <v>0</v>
      </c>
      <c r="C68" s="4">
        <v>0</v>
      </c>
      <c r="D68" s="1">
        <f>IF('исходные данные'!D68&gt;'минимумы и максимумы'!B$3,100,('исходные данные'!D68-'минимумы и максимумы'!B$2)/('минимумы и максимумы'!B$3-'минимумы и максимумы'!B$2)*100)</f>
        <v>80</v>
      </c>
      <c r="E68" s="1">
        <f>IF('исходные данные'!E68&gt;'минимумы и максимумы'!C$3,100,('исходные данные'!E68-'минимумы и максимумы'!C$2)/('минимумы и максимумы'!C$3-'минимумы и максимумы'!C$2)*100)</f>
        <v>20</v>
      </c>
      <c r="F68" s="1">
        <f>IF('исходные данные'!F68&gt;'минимумы и максимумы'!D$3,100,('исходные данные'!F68-'минимумы и максимумы'!D$2)/('минимумы и максимумы'!D$3-'минимумы и максимумы'!D$2)*100)</f>
        <v>0</v>
      </c>
      <c r="G68" s="1">
        <f>IF('исходные данные'!G68&gt;'минимумы и максимумы'!E$3,100,('исходные данные'!G68-'минимумы и максимумы'!E$2)/('минимумы и максимумы'!E$3-'минимумы и максимумы'!E$2)*100)</f>
        <v>50</v>
      </c>
      <c r="H68" s="1">
        <f>IF('исходные данные'!H68&gt;'минимумы и максимумы'!F$3,100,('исходные данные'!H68-'минимумы и максимумы'!F$2)/('минимумы и максимумы'!F$3-'минимумы и максимумы'!F$2)*100)</f>
        <v>24</v>
      </c>
      <c r="I68" s="1">
        <f>IF('исходные данные'!I68&gt;'минимумы и максимумы'!G$3,100,('исходные данные'!I68-'минимумы и максимумы'!G$2)/('минимумы и максимумы'!G$3-'минимумы и максимумы'!G$2)*100)</f>
        <v>100</v>
      </c>
      <c r="J68" s="1">
        <f>IF('исходные данные'!J68&gt;'минимумы и максимумы'!H$3,100,('исходные данные'!J68-'минимумы и максимумы'!H$2)/('минимумы и максимумы'!H$3-'минимумы и максимумы'!H$2)*100)</f>
        <v>100</v>
      </c>
      <c r="K68" s="1">
        <f>IF('исходные данные'!K68&gt;'минимумы и максимумы'!I$3,100,('исходные данные'!K68-'минимумы и максимумы'!I$2)/('минимумы и максимумы'!I$3-'минимумы и максимумы'!I$2)*100)</f>
        <v>38.888888888888893</v>
      </c>
      <c r="L68" s="1">
        <f>IF('исходные данные'!L68&gt;'минимумы и максимумы'!J$3,100,('исходные данные'!L68-'минимумы и максимумы'!J$2)/('минимумы и максимумы'!J$3-'минимумы и максимумы'!J$2)*100)</f>
        <v>100</v>
      </c>
      <c r="M68" s="1">
        <f>IF('исходные данные'!M68&gt;'минимумы и максимумы'!K$3,100,('исходные данные'!M68-'минимумы и максимумы'!K$2)/('минимумы и максимумы'!K$3-'минимумы и максимумы'!K$2)*100)</f>
        <v>45.161290322580641</v>
      </c>
      <c r="N68" s="1">
        <f>IF('исходные данные'!N68&gt;'минимумы и максимумы'!L$3,100,('исходные данные'!N68-'минимумы и максимумы'!L$2)/('минимумы и максимумы'!L$3-'минимумы и максимумы'!L$2)*100)</f>
        <v>6.0319571370129523</v>
      </c>
      <c r="O68" s="1">
        <f>IF('исходные данные'!O68&gt;'минимумы и максимумы'!M$3,100,('исходные данные'!O68-'минимумы и максимумы'!M$2)/('минимумы и максимумы'!M$3-'минимумы и максимумы'!M$2)*100)</f>
        <v>100</v>
      </c>
      <c r="P68" s="1">
        <f>IF('исходные данные'!P68&gt;'минимумы и максимумы'!N$3,100,('исходные данные'!P68-'минимумы и максимумы'!N$2)/('минимумы и максимумы'!N$3-'минимумы и максимумы'!N$2)*100)</f>
        <v>100</v>
      </c>
      <c r="Q68" s="1">
        <f>IF('исходные данные'!Q68&gt;'минимумы и максимумы'!O$3,100,('исходные данные'!Q68-'минимумы и максимумы'!O$2)/('минимумы и максимумы'!O$3-'минимумы и максимумы'!O$2)*100)</f>
        <v>100</v>
      </c>
      <c r="R68" s="1">
        <f>IF('исходные данные'!R68&gt;'минимумы и максимумы'!P$3,100,('исходные данные'!R68-'минимумы и максимумы'!P$2)/('минимумы и максимумы'!P$3-'минимумы и максимумы'!P$2)*100)</f>
        <v>75</v>
      </c>
      <c r="S68" s="1">
        <f>IF('исходные данные'!S68&gt;'минимумы и максимумы'!Q$3,100,('исходные данные'!S68-'минимумы и максимумы'!Q$2)/('минимумы и максимумы'!Q$3-'минимумы и максимумы'!Q$2)*100)</f>
        <v>33.333333333333329</v>
      </c>
      <c r="T68" s="1">
        <f>IF('исходные данные'!T68&gt;'минимумы и максимумы'!R$3,100,('исходные данные'!T68-'минимумы и максимумы'!R$2)/('минимумы и максимумы'!R$3-'минимумы и максимумы'!R$2)*100)</f>
        <v>19.621645402551692</v>
      </c>
      <c r="U68" s="1">
        <f>IF('исходные данные'!U68&gt;'минимумы и максимумы'!S$3,100,('исходные данные'!U68-'минимумы и максимумы'!S$2)/('минимумы и максимумы'!S$3-'минимумы и максимумы'!S$2)*100)</f>
        <v>0</v>
      </c>
    </row>
    <row r="69" spans="1:21" x14ac:dyDescent="0.45">
      <c r="A69" s="4">
        <v>121</v>
      </c>
      <c r="B69" s="4">
        <v>0</v>
      </c>
      <c r="C69" s="4">
        <v>0</v>
      </c>
      <c r="D69" s="1">
        <f>IF('исходные данные'!D69&gt;'минимумы и максимумы'!B$3,100,('исходные данные'!D69-'минимумы и максимумы'!B$2)/('минимумы и максимумы'!B$3-'минимумы и максимумы'!B$2)*100)</f>
        <v>80</v>
      </c>
      <c r="E69" s="1">
        <f>IF('исходные данные'!E69&gt;'минимумы и максимумы'!C$3,100,('исходные данные'!E69-'минимумы и максимумы'!C$2)/('минимумы и максимумы'!C$3-'минимумы и максимумы'!C$2)*100)</f>
        <v>20</v>
      </c>
      <c r="F69" s="1">
        <f>IF('исходные данные'!F69&gt;'минимумы и максимумы'!D$3,100,('исходные данные'!F69-'минимумы и максимумы'!D$2)/('минимумы и максимумы'!D$3-'минимумы и максимумы'!D$2)*100)</f>
        <v>0</v>
      </c>
      <c r="G69" s="1">
        <f>IF('исходные данные'!G69&gt;'минимумы и максимумы'!E$3,100,('исходные данные'!G69-'минимумы и максимумы'!E$2)/('минимумы и максимумы'!E$3-'минимумы и максимумы'!E$2)*100)</f>
        <v>50</v>
      </c>
      <c r="H69" s="1">
        <f>IF('исходные данные'!H69&gt;'минимумы и максимумы'!F$3,100,('исходные данные'!H69-'минимумы и максимумы'!F$2)/('минимумы и максимумы'!F$3-'минимумы и максимумы'!F$2)*100)</f>
        <v>24</v>
      </c>
      <c r="I69" s="1">
        <f>IF('исходные данные'!I69&gt;'минимумы и максимумы'!G$3,100,('исходные данные'!I69-'минимумы и максимумы'!G$2)/('минимумы и максимумы'!G$3-'минимумы и максимумы'!G$2)*100)</f>
        <v>100</v>
      </c>
      <c r="J69" s="1">
        <f>IF('исходные данные'!J69&gt;'минимумы и максимумы'!H$3,100,('исходные данные'!J69-'минимумы и максимумы'!H$2)/('минимумы и максимумы'!H$3-'минимумы и максимумы'!H$2)*100)</f>
        <v>100</v>
      </c>
      <c r="K69" s="1">
        <f>IF('исходные данные'!K69&gt;'минимумы и максимумы'!I$3,100,('исходные данные'!K69-'минимумы и максимумы'!I$2)/('минимумы и максимумы'!I$3-'минимумы и максимумы'!I$2)*100)</f>
        <v>38.888888888888893</v>
      </c>
      <c r="L69" s="1">
        <f>IF('исходные данные'!L69&gt;'минимумы и максимумы'!J$3,100,('исходные данные'!L69-'минимумы и максимумы'!J$2)/('минимумы и максимумы'!J$3-'минимумы и максимумы'!J$2)*100)</f>
        <v>100</v>
      </c>
      <c r="M69" s="1">
        <f>IF('исходные данные'!M69&gt;'минимумы и максимумы'!K$3,100,('исходные данные'!M69-'минимумы и максимумы'!K$2)/('минимумы и максимумы'!K$3-'минимумы и максимумы'!K$2)*100)</f>
        <v>45.161290322580641</v>
      </c>
      <c r="N69" s="1">
        <f>IF('исходные данные'!N69&gt;'минимумы и максимумы'!L$3,100,('исходные данные'!N69-'минимумы и максимумы'!L$2)/('минимумы и максимумы'!L$3-'минимумы и максимумы'!L$2)*100)</f>
        <v>6.1876167742384869</v>
      </c>
      <c r="O69" s="1">
        <f>IF('исходные данные'!O69&gt;'минимумы и максимумы'!M$3,100,('исходные данные'!O69-'минимумы и максимумы'!M$2)/('минимумы и максимумы'!M$3-'минимумы и максимумы'!M$2)*100)</f>
        <v>100</v>
      </c>
      <c r="P69" s="1">
        <f>IF('исходные данные'!P69&gt;'минимумы и максимумы'!N$3,100,('исходные данные'!P69-'минимумы и максимумы'!N$2)/('минимумы и максимумы'!N$3-'минимумы и максимумы'!N$2)*100)</f>
        <v>100</v>
      </c>
      <c r="Q69" s="1">
        <f>IF('исходные данные'!Q69&gt;'минимумы и максимумы'!O$3,100,('исходные данные'!Q69-'минимумы и максимумы'!O$2)/('минимумы и максимумы'!O$3-'минимумы и максимумы'!O$2)*100)</f>
        <v>100</v>
      </c>
      <c r="R69" s="1">
        <f>IF('исходные данные'!R69&gt;'минимумы и максимумы'!P$3,100,('исходные данные'!R69-'минимумы и максимумы'!P$2)/('минимумы и максимумы'!P$3-'минимумы и максимумы'!P$2)*100)</f>
        <v>75</v>
      </c>
      <c r="S69" s="1">
        <f>IF('исходные данные'!S69&gt;'минимумы и максимумы'!Q$3,100,('исходные данные'!S69-'минимумы и максимумы'!Q$2)/('минимумы и максимумы'!Q$3-'минимумы и максимумы'!Q$2)*100)</f>
        <v>50</v>
      </c>
      <c r="T69" s="1">
        <f>IF('исходные данные'!T69&gt;'минимумы и максимумы'!R$3,100,('исходные данные'!T69-'минимумы и максимумы'!R$2)/('минимумы и максимумы'!R$3-'минимумы и максимумы'!R$2)*100)</f>
        <v>42.322921249450069</v>
      </c>
      <c r="U69" s="1">
        <f>IF('исходные данные'!U69&gt;'минимумы и максимумы'!S$3,100,('исходные данные'!U69-'минимумы и максимумы'!S$2)/('минимумы и максимумы'!S$3-'минимумы и максимумы'!S$2)*100)</f>
        <v>0</v>
      </c>
    </row>
    <row r="70" spans="1:21" x14ac:dyDescent="0.45">
      <c r="A70" s="4">
        <v>122</v>
      </c>
      <c r="B70" s="4">
        <v>0</v>
      </c>
      <c r="C70" s="4">
        <v>0</v>
      </c>
      <c r="D70" s="1">
        <f>IF('исходные данные'!D70&gt;'минимумы и максимумы'!B$3,100,('исходные данные'!D70-'минимумы и максимумы'!B$2)/('минимумы и максимумы'!B$3-'минимумы и максимумы'!B$2)*100)</f>
        <v>60</v>
      </c>
      <c r="E70" s="1">
        <f>IF('исходные данные'!E70&gt;'минимумы и максимумы'!C$3,100,('исходные данные'!E70-'минимумы и максимумы'!C$2)/('минимумы и максимумы'!C$3-'минимумы и максимумы'!C$2)*100)</f>
        <v>10</v>
      </c>
      <c r="F70" s="1">
        <f>IF('исходные данные'!F70&gt;'минимумы и максимумы'!D$3,100,('исходные данные'!F70-'минимумы и максимумы'!D$2)/('минимумы и максимумы'!D$3-'минимумы и максимумы'!D$2)*100)</f>
        <v>0</v>
      </c>
      <c r="G70" s="1">
        <f>IF('исходные данные'!G70&gt;'минимумы и максимумы'!E$3,100,('исходные данные'!G70-'минимумы и максимумы'!E$2)/('минимумы и максимумы'!E$3-'минимумы и максимумы'!E$2)*100)</f>
        <v>41.666666666666671</v>
      </c>
      <c r="H70" s="1">
        <f>IF('исходные данные'!H70&gt;'минимумы и максимумы'!F$3,100,('исходные данные'!H70-'минимумы и максимумы'!F$2)/('минимумы и максимумы'!F$3-'минимумы и максимумы'!F$2)*100)</f>
        <v>28.000000000000004</v>
      </c>
      <c r="I70" s="1">
        <f>IF('исходные данные'!I70&gt;'минимумы и максимумы'!G$3,100,('исходные данные'!I70-'минимумы и максимумы'!G$2)/('минимумы и максимумы'!G$3-'минимумы и максимумы'!G$2)*100)</f>
        <v>100</v>
      </c>
      <c r="J70" s="1">
        <f>IF('исходные данные'!J70&gt;'минимумы и максимумы'!H$3,100,('исходные данные'!J70-'минимумы и максимумы'!H$2)/('минимумы и максимумы'!H$3-'минимумы и максимумы'!H$2)*100)</f>
        <v>100</v>
      </c>
      <c r="K70" s="1">
        <f>IF('исходные данные'!K70&gt;'минимумы и максимумы'!I$3,100,('исходные данные'!K70-'минимумы и максимумы'!I$2)/('минимумы и максимумы'!I$3-'минимумы и максимумы'!I$2)*100)</f>
        <v>27.777777777777779</v>
      </c>
      <c r="L70" s="1">
        <f>IF('исходные данные'!L70&gt;'минимумы и максимумы'!J$3,100,('исходные данные'!L70-'минимумы и максимумы'!J$2)/('минимумы и максимумы'!J$3-'минимумы и максимумы'!J$2)*100)</f>
        <v>100</v>
      </c>
      <c r="M70" s="1">
        <f>IF('исходные данные'!M70&gt;'минимумы и максимумы'!K$3,100,('исходные данные'!M70-'минимумы и максимумы'!K$2)/('минимумы и максимумы'!K$3-'минимумы и максимумы'!K$2)*100)</f>
        <v>48.387096774193552</v>
      </c>
      <c r="N70" s="1">
        <f>IF('исходные данные'!N70&gt;'минимумы и максимумы'!L$3,100,('исходные данные'!N70-'минимумы и максимумы'!L$2)/('минимумы и максимумы'!L$3-'минимумы и максимумы'!L$2)*100)</f>
        <v>6.5223177198641489</v>
      </c>
      <c r="O70" s="1">
        <f>IF('исходные данные'!O70&gt;'минимумы и максимумы'!M$3,100,('исходные данные'!O70-'минимумы и максимумы'!M$2)/('минимумы и максимумы'!M$3-'минимумы и максимумы'!M$2)*100)</f>
        <v>100</v>
      </c>
      <c r="P70" s="1">
        <f>IF('исходные данные'!P70&gt;'минимумы и максимумы'!N$3,100,('исходные данные'!P70-'минимумы и максимумы'!N$2)/('минимумы и максимумы'!N$3-'минимумы и максимумы'!N$2)*100)</f>
        <v>100</v>
      </c>
      <c r="Q70" s="1">
        <f>IF('исходные данные'!Q70&gt;'минимумы и максимумы'!O$3,100,('исходные данные'!Q70-'минимумы и максимумы'!O$2)/('минимумы и максимумы'!O$3-'минимумы и максимумы'!O$2)*100)</f>
        <v>100</v>
      </c>
      <c r="R70" s="1">
        <f>IF('исходные данные'!R70&gt;'минимумы и максимумы'!P$3,100,('исходные данные'!R70-'минимумы и максимумы'!P$2)/('минимумы и максимумы'!P$3-'минимумы и максимумы'!P$2)*100)</f>
        <v>75</v>
      </c>
      <c r="S70" s="1">
        <f>IF('исходные данные'!S70&gt;'минимумы и максимумы'!Q$3,100,('исходные данные'!S70-'минимумы и максимумы'!Q$2)/('минимумы и максимумы'!Q$3-'минимумы и максимумы'!Q$2)*100)</f>
        <v>66.666666666666657</v>
      </c>
      <c r="T70" s="1">
        <f>IF('исходные данные'!T70&gt;'минимумы и максимумы'!R$3,100,('исходные данные'!T70-'минимумы и максимумы'!R$2)/('минимумы и максимумы'!R$3-'минимумы и максимумы'!R$2)*100)</f>
        <v>26.352837659480858</v>
      </c>
      <c r="U70" s="1">
        <f>IF('исходные данные'!U70&gt;'минимумы и максимумы'!S$3,100,('исходные данные'!U70-'минимумы и максимумы'!S$2)/('минимумы и максимумы'!S$3-'минимумы и максимумы'!S$2)*100)</f>
        <v>0</v>
      </c>
    </row>
    <row r="71" spans="1:21" x14ac:dyDescent="0.45">
      <c r="A71" s="4">
        <v>123</v>
      </c>
      <c r="B71" s="4">
        <v>0</v>
      </c>
      <c r="C71" s="4">
        <v>0</v>
      </c>
      <c r="D71" s="1">
        <f>IF('исходные данные'!D71&gt;'минимумы и максимумы'!B$3,100,('исходные данные'!D71-'минимумы и максимумы'!B$2)/('минимумы и максимумы'!B$3-'минимумы и максимумы'!B$2)*100)</f>
        <v>40</v>
      </c>
      <c r="E71" s="1">
        <f>IF('исходные данные'!E71&gt;'минимумы и максимумы'!C$3,100,('исходные данные'!E71-'минимумы и максимумы'!C$2)/('минимумы и максимумы'!C$3-'минимумы и максимумы'!C$2)*100)</f>
        <v>100</v>
      </c>
      <c r="F71" s="1">
        <f>IF('исходные данные'!F71&gt;'минимумы и максимумы'!D$3,100,('исходные данные'!F71-'минимумы и максимумы'!D$2)/('минимумы и максимумы'!D$3-'минимумы и максимумы'!D$2)*100)</f>
        <v>0</v>
      </c>
      <c r="G71" s="1">
        <f>IF('исходные данные'!G71&gt;'минимумы и максимумы'!E$3,100,('исходные данные'!G71-'минимумы и максимумы'!E$2)/('минимумы и максимумы'!E$3-'минимумы и максимумы'!E$2)*100)</f>
        <v>100</v>
      </c>
      <c r="H71" s="1">
        <f>IF('исходные данные'!H71&gt;'минимумы и максимумы'!F$3,100,('исходные данные'!H71-'минимумы и максимумы'!F$2)/('минимумы и максимумы'!F$3-'минимумы и максимумы'!F$2)*100)</f>
        <v>100</v>
      </c>
      <c r="I71" s="1">
        <f>IF('исходные данные'!I71&gt;'минимумы и максимумы'!G$3,100,('исходные данные'!I71-'минимумы и максимумы'!G$2)/('минимумы и максимумы'!G$3-'минимумы и максимумы'!G$2)*100)</f>
        <v>100</v>
      </c>
      <c r="J71" s="1">
        <f>IF('исходные данные'!J71&gt;'минимумы и максимумы'!H$3,100,('исходные данные'!J71-'минимумы и максимумы'!H$2)/('минимумы и максимумы'!H$3-'минимумы и максимумы'!H$2)*100)</f>
        <v>100</v>
      </c>
      <c r="K71" s="1">
        <f>IF('исходные данные'!K71&gt;'минимумы и максимумы'!I$3,100,('исходные данные'!K71-'минимумы и максимумы'!I$2)/('минимумы и максимумы'!I$3-'минимумы и максимумы'!I$2)*100)</f>
        <v>100</v>
      </c>
      <c r="L71" s="1">
        <f>IF('исходные данные'!L71&gt;'минимумы и максимумы'!J$3,100,('исходные данные'!L71-'минимумы и максимумы'!J$2)/('минимумы и максимумы'!J$3-'минимумы и максимумы'!J$2)*100)</f>
        <v>100</v>
      </c>
      <c r="M71" s="1">
        <f>IF('исходные данные'!M71&gt;'минимумы и максимумы'!K$3,100,('исходные данные'!M71-'минимумы и максимумы'!K$2)/('минимумы и максимумы'!K$3-'минимумы и максимумы'!K$2)*100)</f>
        <v>61.29032258064516</v>
      </c>
      <c r="N71" s="1">
        <f>IF('исходные данные'!N71&gt;'минимумы и максимумы'!L$3,100,('исходные данные'!N71-'минимумы и максимумы'!L$2)/('минимумы и максимумы'!L$3-'минимумы и максимумы'!L$2)*100)</f>
        <v>12.740317652158078</v>
      </c>
      <c r="O71" s="1">
        <f>IF('исходные данные'!O71&gt;'минимумы и максимумы'!M$3,100,('исходные данные'!O71-'минимумы и максимумы'!M$2)/('минимумы и максимумы'!M$3-'минимумы и максимумы'!M$2)*100)</f>
        <v>100</v>
      </c>
      <c r="P71" s="1">
        <f>IF('исходные данные'!P71&gt;'минимумы и максимумы'!N$3,100,('исходные данные'!P71-'минимумы и максимумы'!N$2)/('минимумы и максимумы'!N$3-'минимумы и максимумы'!N$2)*100)</f>
        <v>0</v>
      </c>
      <c r="Q71" s="1">
        <f>IF('исходные данные'!Q71&gt;'минимумы и максимумы'!O$3,100,('исходные данные'!Q71-'минимумы и максимумы'!O$2)/('минимумы и максимумы'!O$3-'минимумы и максимумы'!O$2)*100)</f>
        <v>100</v>
      </c>
      <c r="R71" s="1">
        <f>IF('исходные данные'!R71&gt;'минимумы и максимумы'!P$3,100,('исходные данные'!R71-'минимумы и максимумы'!P$2)/('минимумы и максимумы'!P$3-'минимумы и максимумы'!P$2)*100)</f>
        <v>100</v>
      </c>
      <c r="S71" s="1">
        <f>IF('исходные данные'!S71&gt;'минимумы и максимумы'!Q$3,100,('исходные данные'!S71-'минимумы и максимумы'!Q$2)/('минимумы и максимумы'!Q$3-'минимумы и максимумы'!Q$2)*100)</f>
        <v>33.333333333333329</v>
      </c>
      <c r="T71" s="1">
        <f>IF('исходные данные'!T71&gt;'минимумы и максимумы'!R$3,100,('исходные данные'!T71-'минимумы и максимумы'!R$2)/('минимумы и максимумы'!R$3-'минимумы и максимумы'!R$2)*100)</f>
        <v>54.069511658600966</v>
      </c>
      <c r="U71" s="1">
        <f>IF('исходные данные'!U71&gt;'минимумы и максимумы'!S$3,100,('исходные данные'!U71-'минимумы и максимумы'!S$2)/('минимумы и максимумы'!S$3-'минимумы и максимумы'!S$2)*100)</f>
        <v>100</v>
      </c>
    </row>
    <row r="72" spans="1:21" x14ac:dyDescent="0.45">
      <c r="A72" s="4">
        <v>124</v>
      </c>
      <c r="B72" s="4">
        <v>0</v>
      </c>
      <c r="C72" s="4">
        <v>0</v>
      </c>
      <c r="D72" s="1">
        <f>IF('исходные данные'!D72&gt;'минимумы и максимумы'!B$3,100,('исходные данные'!D72-'минимумы и максимумы'!B$2)/('минимумы и максимумы'!B$3-'минимумы и максимумы'!B$2)*100)</f>
        <v>80</v>
      </c>
      <c r="E72" s="1">
        <f>IF('исходные данные'!E72&gt;'минимумы и максимумы'!C$3,100,('исходные данные'!E72-'минимумы и максимумы'!C$2)/('минимумы и максимумы'!C$3-'минимумы и максимумы'!C$2)*100)</f>
        <v>90</v>
      </c>
      <c r="F72" s="1">
        <f>IF('исходные данные'!F72&gt;'минимумы и максимумы'!D$3,100,('исходные данные'!F72-'минимумы и максимумы'!D$2)/('минимумы и максимумы'!D$3-'минимумы и максимумы'!D$2)*100)</f>
        <v>33.333333333333329</v>
      </c>
      <c r="G72" s="1">
        <f>IF('исходные данные'!G72&gt;'минимумы и максимумы'!E$3,100,('исходные данные'!G72-'минимумы и максимумы'!E$2)/('минимумы и максимумы'!E$3-'минимумы и максимумы'!E$2)*100)</f>
        <v>100</v>
      </c>
      <c r="H72" s="1">
        <f>IF('исходные данные'!H72&gt;'минимумы и максимумы'!F$3,100,('исходные данные'!H72-'минимумы и максимумы'!F$2)/('минимумы и максимумы'!F$3-'минимумы и максимумы'!F$2)*100)</f>
        <v>96</v>
      </c>
      <c r="I72" s="1">
        <f>IF('исходные данные'!I72&gt;'минимумы и максимумы'!G$3,100,('исходные данные'!I72-'минимумы и максимумы'!G$2)/('минимумы и максимумы'!G$3-'минимумы и максимумы'!G$2)*100)</f>
        <v>100</v>
      </c>
      <c r="J72" s="1">
        <f>IF('исходные данные'!J72&gt;'минимумы и максимумы'!H$3,100,('исходные данные'!J72-'минимумы и максимумы'!H$2)/('минимумы и максимумы'!H$3-'минимумы и максимумы'!H$2)*100)</f>
        <v>100</v>
      </c>
      <c r="K72" s="1">
        <f>IF('исходные данные'!K72&gt;'минимумы и максимумы'!I$3,100,('исходные данные'!K72-'минимумы и максимумы'!I$2)/('минимумы и максимумы'!I$3-'минимумы и максимумы'!I$2)*100)</f>
        <v>100</v>
      </c>
      <c r="L72" s="1">
        <f>IF('исходные данные'!L72&gt;'минимумы и максимумы'!J$3,100,('исходные данные'!L72-'минимумы и максимумы'!J$2)/('минимумы и максимумы'!J$3-'минимумы и максимумы'!J$2)*100)</f>
        <v>100</v>
      </c>
      <c r="M72" s="1">
        <f>IF('исходные данные'!M72&gt;'минимумы и максимумы'!K$3,100,('исходные данные'!M72-'минимумы и максимумы'!K$2)/('минимумы и максимумы'!K$3-'минимумы и максимумы'!K$2)*100)</f>
        <v>61.29032258064516</v>
      </c>
      <c r="N72" s="1">
        <f>IF('исходные данные'!N72&gt;'минимумы и максимумы'!L$3,100,('исходные данные'!N72-'минимумы и максимумы'!L$2)/('минимумы и максимумы'!L$3-'минимумы и максимумы'!L$2)*100)</f>
        <v>13.490934642705401</v>
      </c>
      <c r="O72" s="1">
        <f>IF('исходные данные'!O72&gt;'минимумы и максимумы'!M$3,100,('исходные данные'!O72-'минимумы и максимумы'!M$2)/('минимумы и максимумы'!M$3-'минимумы и максимумы'!M$2)*100)</f>
        <v>33.333333333333329</v>
      </c>
      <c r="P72" s="1">
        <f>IF('исходные данные'!P72&gt;'минимумы и максимумы'!N$3,100,('исходные данные'!P72-'минимумы и максимумы'!N$2)/('минимумы и максимумы'!N$3-'минимумы и максимумы'!N$2)*100)</f>
        <v>0</v>
      </c>
      <c r="Q72" s="1">
        <f>IF('исходные данные'!Q72&gt;'минимумы и максимумы'!O$3,100,('исходные данные'!Q72-'минимумы и максимумы'!O$2)/('минимумы и максимумы'!O$3-'минимумы и максимумы'!O$2)*100)</f>
        <v>100</v>
      </c>
      <c r="R72" s="1">
        <f>IF('исходные данные'!R72&gt;'минимумы и максимумы'!P$3,100,('исходные данные'!R72-'минимумы и максимумы'!P$2)/('минимумы и максимумы'!P$3-'минимумы и максимумы'!P$2)*100)</f>
        <v>100</v>
      </c>
      <c r="S72" s="1">
        <f>IF('исходные данные'!S72&gt;'минимумы и максимумы'!Q$3,100,('исходные данные'!S72-'минимумы и максимумы'!Q$2)/('минимумы и максимумы'!Q$3-'минимумы и максимумы'!Q$2)*100)</f>
        <v>50</v>
      </c>
      <c r="T72" s="1">
        <f>IF('исходные данные'!T72&gt;'минимумы и максимумы'!R$3,100,('исходные данные'!T72-'минимумы и максимумы'!R$2)/('минимумы и максимумы'!R$3-'минимумы и максимумы'!R$2)*100)</f>
        <v>65.508139023317199</v>
      </c>
      <c r="U72" s="1">
        <f>IF('исходные данные'!U72&gt;'минимумы и максимумы'!S$3,100,('исходные данные'!U72-'минимумы и максимумы'!S$2)/('минимумы и максимумы'!S$3-'минимумы и максимумы'!S$2)*100)</f>
        <v>100</v>
      </c>
    </row>
    <row r="73" spans="1:21" x14ac:dyDescent="0.45">
      <c r="A73" s="4">
        <v>125</v>
      </c>
      <c r="B73" s="4">
        <v>1</v>
      </c>
      <c r="C73" s="4">
        <v>0</v>
      </c>
      <c r="D73" s="1">
        <f>IF('исходные данные'!D73&gt;'минимумы и максимумы'!B$3,100,('исходные данные'!D73-'минимумы и максимумы'!B$2)/('минимумы и максимумы'!B$3-'минимумы и максимумы'!B$2)*100)</f>
        <v>80</v>
      </c>
      <c r="E73" s="1">
        <f>IF('исходные данные'!E73&gt;'минимумы и максимумы'!C$3,100,('исходные данные'!E73-'минимумы и максимумы'!C$2)/('минимумы и максимумы'!C$3-'минимумы и максимумы'!C$2)*100)</f>
        <v>60</v>
      </c>
      <c r="F73" s="1">
        <f>IF('исходные данные'!F73&gt;'минимумы и максимумы'!D$3,100,('исходные данные'!F73-'минимумы и максимумы'!D$2)/('минимумы и максимумы'!D$3-'минимумы и максимумы'!D$2)*100)</f>
        <v>0</v>
      </c>
      <c r="G73" s="1">
        <f>IF('исходные данные'!G73&gt;'минимумы и максимумы'!E$3,100,('исходные данные'!G73-'минимумы и максимумы'!E$2)/('минимумы и максимумы'!E$3-'минимумы и максимумы'!E$2)*100)</f>
        <v>87.5</v>
      </c>
      <c r="H73" s="1">
        <f>IF('исходные данные'!H73&gt;'минимумы и максимумы'!F$3,100,('исходные данные'!H73-'минимумы и максимумы'!F$2)/('минимумы и максимумы'!F$3-'минимумы и максимумы'!F$2)*100)</f>
        <v>100</v>
      </c>
      <c r="I73" s="1">
        <f>IF('исходные данные'!I73&gt;'минимумы и максимумы'!G$3,100,('исходные данные'!I73-'минимумы и максимумы'!G$2)/('минимумы и максимумы'!G$3-'минимумы и максимумы'!G$2)*100)</f>
        <v>100</v>
      </c>
      <c r="J73" s="1">
        <f>IF('исходные данные'!J73&gt;'минимумы и максимумы'!H$3,100,('исходные данные'!J73-'минимумы и максимумы'!H$2)/('минимумы и максимумы'!H$3-'минимумы и максимумы'!H$2)*100)</f>
        <v>100</v>
      </c>
      <c r="K73" s="1">
        <f>IF('исходные данные'!K73&gt;'минимумы и максимумы'!I$3,100,('исходные данные'!K73-'минимумы и максимумы'!I$2)/('минимумы и максимумы'!I$3-'минимумы и максимумы'!I$2)*100)</f>
        <v>100</v>
      </c>
      <c r="L73" s="1">
        <f>IF('исходные данные'!L73&gt;'минимумы и максимумы'!J$3,100,('исходные данные'!L73-'минимумы и максимумы'!J$2)/('минимумы и максимумы'!J$3-'минимумы и максимумы'!J$2)*100)</f>
        <v>100</v>
      </c>
      <c r="M73" s="1">
        <f>IF('исходные данные'!M73&gt;'минимумы и максимумы'!K$3,100,('исходные данные'!M73-'минимумы и максимумы'!K$2)/('минимумы и максимумы'!K$3-'минимумы и максимумы'!K$2)*100)</f>
        <v>41.935483870967744</v>
      </c>
      <c r="N73" s="1">
        <f>IF('исходные данные'!N73&gt;'минимумы и максимумы'!L$3,100,('исходные данные'!N73-'минимумы и максимумы'!L$2)/('минимумы и максимумы'!L$3-'минимумы и максимумы'!L$2)*100)</f>
        <v>14.686505620841658</v>
      </c>
      <c r="O73" s="1">
        <f>IF('исходные данные'!O73&gt;'минимумы и максимумы'!M$3,100,('исходные данные'!O73-'минимумы и максимумы'!M$2)/('минимумы и максимумы'!M$3-'минимумы и максимумы'!M$2)*100)</f>
        <v>66.666666666666657</v>
      </c>
      <c r="P73" s="1">
        <f>IF('исходные данные'!P73&gt;'минимумы и максимумы'!N$3,100,('исходные данные'!P73-'минимумы и максимумы'!N$2)/('минимумы и максимумы'!N$3-'минимумы и максимумы'!N$2)*100)</f>
        <v>0</v>
      </c>
      <c r="Q73" s="1">
        <f>IF('исходные данные'!Q73&gt;'минимумы и максимумы'!O$3,100,('исходные данные'!Q73-'минимумы и максимумы'!O$2)/('минимумы и максимумы'!O$3-'минимумы и максимумы'!O$2)*100)</f>
        <v>100</v>
      </c>
      <c r="R73" s="1">
        <f>IF('исходные данные'!R73&gt;'минимумы и максимумы'!P$3,100,('исходные данные'!R73-'минимумы и максимумы'!P$2)/('минимумы и максимумы'!P$3-'минимумы и максимумы'!P$2)*100)</f>
        <v>100</v>
      </c>
      <c r="S73" s="1">
        <f>IF('исходные данные'!S73&gt;'минимумы и максимумы'!Q$3,100,('исходные данные'!S73-'минимумы и максимумы'!Q$2)/('минимумы и максимумы'!Q$3-'минимумы и максимумы'!Q$2)*100)</f>
        <v>33.333333333333329</v>
      </c>
      <c r="T73" s="1">
        <f>IF('исходные данные'!T73&gt;'минимумы и максимумы'!R$3,100,('исходные данные'!T73-'минимумы и максимумы'!R$2)/('минимумы и максимумы'!R$3-'минимумы и максимумы'!R$2)*100)</f>
        <v>21.073471183457983</v>
      </c>
      <c r="U73" s="1">
        <f>IF('исходные данные'!U73&gt;'минимумы и максимумы'!S$3,100,('исходные данные'!U73-'минимумы и максимумы'!S$2)/('минимумы и максимумы'!S$3-'минимумы и максимумы'!S$2)*100)</f>
        <v>33.333333333333329</v>
      </c>
    </row>
    <row r="74" spans="1:21" x14ac:dyDescent="0.45">
      <c r="A74" s="4">
        <v>126</v>
      </c>
      <c r="B74" s="4">
        <v>1</v>
      </c>
      <c r="C74" s="4">
        <v>0</v>
      </c>
      <c r="D74" s="1">
        <f>IF('исходные данные'!D74&gt;'минимумы и максимумы'!B$3,100,('исходные данные'!D74-'минимумы и максимумы'!B$2)/('минимумы и максимумы'!B$3-'минимумы и максимумы'!B$2)*100)</f>
        <v>100</v>
      </c>
      <c r="E74" s="1">
        <f>IF('исходные данные'!E74&gt;'минимумы и максимумы'!C$3,100,('исходные данные'!E74-'минимумы и максимумы'!C$2)/('минимумы и максимумы'!C$3-'минимумы и максимумы'!C$2)*100)</f>
        <v>50</v>
      </c>
      <c r="F74" s="1">
        <f>IF('исходные данные'!F74&gt;'минимумы и максимумы'!D$3,100,('исходные данные'!F74-'минимумы и максимумы'!D$2)/('минимумы и максимумы'!D$3-'минимумы и максимумы'!D$2)*100)</f>
        <v>0</v>
      </c>
      <c r="G74" s="1">
        <f>IF('исходные данные'!G74&gt;'минимумы и максимумы'!E$3,100,('исходные данные'!G74-'минимумы и максимумы'!E$2)/('минимумы и максимумы'!E$3-'минимумы и максимумы'!E$2)*100)</f>
        <v>100</v>
      </c>
      <c r="H74" s="1">
        <f>IF('исходные данные'!H74&gt;'минимумы и максимумы'!F$3,100,('исходные данные'!H74-'минимумы и максимумы'!F$2)/('минимумы и максимумы'!F$3-'минимумы и максимумы'!F$2)*100)</f>
        <v>100</v>
      </c>
      <c r="I74" s="1">
        <f>IF('исходные данные'!I74&gt;'минимумы и максимумы'!G$3,100,('исходные данные'!I74-'минимумы и максимумы'!G$2)/('минимумы и максимумы'!G$3-'минимумы и максимумы'!G$2)*100)</f>
        <v>100</v>
      </c>
      <c r="J74" s="1">
        <f>IF('исходные данные'!J74&gt;'минимумы и максимумы'!H$3,100,('исходные данные'!J74-'минимумы и максимумы'!H$2)/('минимумы и максимумы'!H$3-'минимумы и максимумы'!H$2)*100)</f>
        <v>100</v>
      </c>
      <c r="K74" s="1">
        <f>IF('исходные данные'!K74&gt;'минимумы и максимумы'!I$3,100,('исходные данные'!K74-'минимумы и максимумы'!I$2)/('минимумы и максимумы'!I$3-'минимумы и максимумы'!I$2)*100)</f>
        <v>100</v>
      </c>
      <c r="L74" s="1">
        <f>IF('исходные данные'!L74&gt;'минимумы и максимумы'!J$3,100,('исходные данные'!L74-'минимумы и максимумы'!J$2)/('минимумы и максимумы'!J$3-'минимумы и максимумы'!J$2)*100)</f>
        <v>100</v>
      </c>
      <c r="M74" s="1">
        <f>IF('исходные данные'!M74&gt;'минимумы и максимумы'!K$3,100,('исходные данные'!M74-'минимумы и максимумы'!K$2)/('минимумы и максимумы'!K$3-'минимумы и максимумы'!K$2)*100)</f>
        <v>48.387096774193552</v>
      </c>
      <c r="N74" s="1">
        <f>IF('исходные данные'!N74&gt;'минимумы и максимумы'!L$3,100,('исходные данные'!N74-'минимумы и максимумы'!L$2)/('минимумы и максимумы'!L$3-'минимумы и максимумы'!L$2)*100)</f>
        <v>14.212765858602468</v>
      </c>
      <c r="O74" s="1">
        <f>IF('исходные данные'!O74&gt;'минимумы и максимумы'!M$3,100,('исходные данные'!O74-'минимумы и максимумы'!M$2)/('минимумы и максимумы'!M$3-'минимумы и максимумы'!M$2)*100)</f>
        <v>66.666666666666657</v>
      </c>
      <c r="P74" s="1">
        <f>IF('исходные данные'!P74&gt;'минимумы и максимумы'!N$3,100,('исходные данные'!P74-'минимумы и максимумы'!N$2)/('минимумы и максимумы'!N$3-'минимумы и максимумы'!N$2)*100)</f>
        <v>0</v>
      </c>
      <c r="Q74" s="1">
        <f>IF('исходные данные'!Q74&gt;'минимумы и максимумы'!O$3,100,('исходные данные'!Q74-'минимумы и максимумы'!O$2)/('минимумы и максимумы'!O$3-'минимумы и максимумы'!O$2)*100)</f>
        <v>100</v>
      </c>
      <c r="R74" s="1">
        <f>IF('исходные данные'!R74&gt;'минимумы и максимумы'!P$3,100,('исходные данные'!R74-'минимумы и максимумы'!P$2)/('минимумы и максимумы'!P$3-'минимумы и максимумы'!P$2)*100)</f>
        <v>100</v>
      </c>
      <c r="S74" s="1">
        <f>IF('исходные данные'!S74&gt;'минимумы и максимумы'!Q$3,100,('исходные данные'!S74-'минимумы и максимумы'!Q$2)/('минимумы и максимумы'!Q$3-'минимумы и максимумы'!Q$2)*100)</f>
        <v>50</v>
      </c>
      <c r="T74" s="1">
        <f>IF('исходные данные'!T74&gt;'минимумы и максимумы'!R$3,100,('исходные данные'!T74-'минимумы и максимумы'!R$2)/('минимумы и максимумы'!R$3-'минимумы и максимумы'!R$2)*100)</f>
        <v>22.173339199296084</v>
      </c>
      <c r="U74" s="1">
        <f>IF('исходные данные'!U74&gt;'минимумы и максимумы'!S$3,100,('исходные данные'!U74-'минимумы и максимумы'!S$2)/('минимумы и максимумы'!S$3-'минимумы и максимумы'!S$2)*100)</f>
        <v>33.333333333333329</v>
      </c>
    </row>
    <row r="75" spans="1:21" x14ac:dyDescent="0.45">
      <c r="A75" s="4">
        <v>127</v>
      </c>
      <c r="B75" s="4">
        <v>0</v>
      </c>
      <c r="C75" s="4">
        <v>0</v>
      </c>
      <c r="D75" s="1">
        <f>IF('исходные данные'!D75&gt;'минимумы и максимумы'!B$3,100,('исходные данные'!D75-'минимумы и максимумы'!B$2)/('минимумы и максимумы'!B$3-'минимумы и максимумы'!B$2)*100)</f>
        <v>100</v>
      </c>
      <c r="E75" s="1">
        <f>IF('исходные данные'!E75&gt;'минимумы и максимумы'!C$3,100,('исходные данные'!E75-'минимумы и максимумы'!C$2)/('минимумы и максимумы'!C$3-'минимумы и максимумы'!C$2)*100)</f>
        <v>50</v>
      </c>
      <c r="F75" s="1">
        <f>IF('исходные данные'!F75&gt;'минимумы и максимумы'!D$3,100,('исходные данные'!F75-'минимумы и максимумы'!D$2)/('минимумы и максимумы'!D$3-'минимумы и максимумы'!D$2)*100)</f>
        <v>0</v>
      </c>
      <c r="G75" s="1">
        <f>IF('исходные данные'!G75&gt;'минимумы и максимумы'!E$3,100,('исходные данные'!G75-'минимумы и максимумы'!E$2)/('минимумы и максимумы'!E$3-'минимумы и максимумы'!E$2)*100)</f>
        <v>100</v>
      </c>
      <c r="H75" s="1">
        <f>IF('исходные данные'!H75&gt;'минимумы и максимумы'!F$3,100,('исходные данные'!H75-'минимумы и максимумы'!F$2)/('минимумы и максимумы'!F$3-'минимумы и максимумы'!F$2)*100)</f>
        <v>100</v>
      </c>
      <c r="I75" s="1">
        <f>IF('исходные данные'!I75&gt;'минимумы и максимумы'!G$3,100,('исходные данные'!I75-'минимумы и максимумы'!G$2)/('минимумы и максимумы'!G$3-'минимумы и максимумы'!G$2)*100)</f>
        <v>100</v>
      </c>
      <c r="J75" s="1">
        <f>IF('исходные данные'!J75&gt;'минимумы и максимумы'!H$3,100,('исходные данные'!J75-'минимумы и максимумы'!H$2)/('минимумы и максимумы'!H$3-'минимумы и максимумы'!H$2)*100)</f>
        <v>100</v>
      </c>
      <c r="K75" s="1">
        <f>IF('исходные данные'!K75&gt;'минимумы и максимумы'!I$3,100,('исходные данные'!K75-'минимумы и максимумы'!I$2)/('минимумы и максимумы'!I$3-'минимумы и максимумы'!I$2)*100)</f>
        <v>100</v>
      </c>
      <c r="L75" s="1">
        <f>IF('исходные данные'!L75&gt;'минимумы и максимумы'!J$3,100,('исходные данные'!L75-'минимумы и максимумы'!J$2)/('минимумы и максимумы'!J$3-'минимумы и максимумы'!J$2)*100)</f>
        <v>100</v>
      </c>
      <c r="M75" s="1">
        <f>IF('исходные данные'!M75&gt;'минимумы и максимумы'!K$3,100,('исходные данные'!M75-'минимумы и максимумы'!K$2)/('минимумы и максимумы'!K$3-'минимумы и максимумы'!K$2)*100)</f>
        <v>48.387096774193552</v>
      </c>
      <c r="N75" s="1">
        <f>IF('исходные данные'!N75&gt;'минимумы и максимумы'!L$3,100,('исходные данные'!N75-'минимумы и максимумы'!L$2)/('минимумы и максимумы'!L$3-'минимумы и максимумы'!L$2)*100)</f>
        <v>14.212765858602468</v>
      </c>
      <c r="O75" s="1">
        <f>IF('исходные данные'!O75&gt;'минимумы и максимумы'!M$3,100,('исходные данные'!O75-'минимумы и максимумы'!M$2)/('минимумы и максимумы'!M$3-'минимумы и максимумы'!M$2)*100)</f>
        <v>66.666666666666657</v>
      </c>
      <c r="P75" s="1">
        <f>IF('исходные данные'!P75&gt;'минимумы и максимумы'!N$3,100,('исходные данные'!P75-'минимумы и максимумы'!N$2)/('минимумы и максимумы'!N$3-'минимумы и максимумы'!N$2)*100)</f>
        <v>100</v>
      </c>
      <c r="Q75" s="1">
        <f>IF('исходные данные'!Q75&gt;'минимумы и максимумы'!O$3,100,('исходные данные'!Q75-'минимумы и максимумы'!O$2)/('минимумы и максимумы'!O$3-'минимумы и максимумы'!O$2)*100)</f>
        <v>100</v>
      </c>
      <c r="R75" s="1">
        <f>IF('исходные данные'!R75&gt;'минимумы и максимумы'!P$3,100,('исходные данные'!R75-'минимумы и максимумы'!P$2)/('минимумы и максимумы'!P$3-'минимумы и максимумы'!P$2)*100)</f>
        <v>100</v>
      </c>
      <c r="S75" s="1">
        <f>IF('исходные данные'!S75&gt;'минимумы и максимумы'!Q$3,100,('исходные данные'!S75-'минимумы и максимумы'!Q$2)/('минимумы и максимумы'!Q$3-'минимумы и максимумы'!Q$2)*100)</f>
        <v>33.333333333333329</v>
      </c>
      <c r="T75" s="1">
        <f>IF('исходные данные'!T75&gt;'минимумы и максимумы'!R$3,100,('исходные данные'!T75-'минимумы и максимумы'!R$2)/('минимумы и максимумы'!R$3-'минимумы и максимумы'!R$2)*100)</f>
        <v>18.873735151781787</v>
      </c>
      <c r="U75" s="1">
        <f>IF('исходные данные'!U75&gt;'минимумы и максимумы'!S$3,100,('исходные данные'!U75-'минимумы и максимумы'!S$2)/('минимумы и максимумы'!S$3-'минимумы и максимумы'!S$2)*100)</f>
        <v>33.333333333333329</v>
      </c>
    </row>
    <row r="76" spans="1:21" x14ac:dyDescent="0.45">
      <c r="A76" s="4">
        <v>129</v>
      </c>
      <c r="B76" s="4">
        <v>0</v>
      </c>
      <c r="C76" s="4">
        <v>0</v>
      </c>
      <c r="D76" s="1">
        <f>IF('исходные данные'!D76&gt;'минимумы и максимумы'!B$3,100,('исходные данные'!D76-'минимумы и максимумы'!B$2)/('минимумы и максимумы'!B$3-'минимумы и максимумы'!B$2)*100)</f>
        <v>80</v>
      </c>
      <c r="E76" s="1">
        <f>IF('исходные данные'!E76&gt;'минимумы и максимумы'!C$3,100,('исходные данные'!E76-'минимумы и максимумы'!C$2)/('минимумы и максимумы'!C$3-'минимумы и максимумы'!C$2)*100)</f>
        <v>60</v>
      </c>
      <c r="F76" s="1">
        <f>IF('исходные данные'!F76&gt;'минимумы и максимумы'!D$3,100,('исходные данные'!F76-'минимумы и максимумы'!D$2)/('минимумы и максимумы'!D$3-'минимумы и максимумы'!D$2)*100)</f>
        <v>0</v>
      </c>
      <c r="G76" s="1">
        <f>IF('исходные данные'!G76&gt;'минимумы и максимумы'!E$3,100,('исходные данные'!G76-'минимумы и максимумы'!E$2)/('минимумы и максимумы'!E$3-'минимумы и максимумы'!E$2)*100)</f>
        <v>75</v>
      </c>
      <c r="H76" s="1">
        <f>IF('исходные данные'!H76&gt;'минимумы и максимумы'!F$3,100,('исходные данные'!H76-'минимумы и максимумы'!F$2)/('минимумы и максимумы'!F$3-'минимумы и максимумы'!F$2)*100)</f>
        <v>88</v>
      </c>
      <c r="I76" s="1">
        <f>IF('исходные данные'!I76&gt;'минимумы и максимумы'!G$3,100,('исходные данные'!I76-'минимумы и максимумы'!G$2)/('минимумы и максимумы'!G$3-'минимумы и максимумы'!G$2)*100)</f>
        <v>96.226415094339629</v>
      </c>
      <c r="J76" s="1">
        <f>IF('исходные данные'!J76&gt;'минимумы и максимумы'!H$3,100,('исходные данные'!J76-'минимумы и максимумы'!H$2)/('минимумы и максимумы'!H$3-'минимумы и максимумы'!H$2)*100)</f>
        <v>93.333333333333329</v>
      </c>
      <c r="K76" s="1">
        <f>IF('исходные данные'!K76&gt;'минимумы и максимумы'!I$3,100,('исходные данные'!K76-'минимумы и максимумы'!I$2)/('минимумы и максимумы'!I$3-'минимумы и максимумы'!I$2)*100)</f>
        <v>100</v>
      </c>
      <c r="L76" s="1">
        <f>IF('исходные данные'!L76&gt;'минимумы и максимумы'!J$3,100,('исходные данные'!L76-'минимумы и максимумы'!J$2)/('минимумы и максимумы'!J$3-'минимумы и максимумы'!J$2)*100)</f>
        <v>100</v>
      </c>
      <c r="M76" s="1">
        <f>IF('исходные данные'!M76&gt;'минимумы и максимумы'!K$3,100,('исходные данные'!M76-'минимумы и максимумы'!K$2)/('минимумы и максимумы'!K$3-'минимумы и максимумы'!K$2)*100)</f>
        <v>25.806451612903224</v>
      </c>
      <c r="N76" s="1">
        <f>IF('исходные данные'!N76&gt;'минимумы и максимумы'!L$3,100,('исходные данные'!N76-'минимумы и максимумы'!L$2)/('минимумы и максимумы'!L$3-'минимумы и максимумы'!L$2)*100)</f>
        <v>14.534280209457343</v>
      </c>
      <c r="O76" s="1">
        <f>IF('исходные данные'!O76&gt;'минимумы и максимумы'!M$3,100,('исходные данные'!O76-'минимумы и максимумы'!M$2)/('минимумы и максимумы'!M$3-'минимумы и максимумы'!M$2)*100)</f>
        <v>66.666666666666657</v>
      </c>
      <c r="P76" s="1">
        <f>IF('исходные данные'!P76&gt;'минимумы и максимумы'!N$3,100,('исходные данные'!P76-'минимумы и максимумы'!N$2)/('минимумы и максимумы'!N$3-'минимумы и максимумы'!N$2)*100)</f>
        <v>0</v>
      </c>
      <c r="Q76" s="1">
        <f>IF('исходные данные'!Q76&gt;'минимумы и максимумы'!O$3,100,('исходные данные'!Q76-'минимумы и максимумы'!O$2)/('минимумы и максимумы'!O$3-'минимумы и максимумы'!O$2)*100)</f>
        <v>100</v>
      </c>
      <c r="R76" s="1">
        <f>IF('исходные данные'!R76&gt;'минимумы и максимумы'!P$3,100,('исходные данные'!R76-'минимумы и максимумы'!P$2)/('минимумы и максимумы'!P$3-'минимумы и максимумы'!P$2)*100)</f>
        <v>100</v>
      </c>
      <c r="S76" s="1">
        <f>IF('исходные данные'!S76&gt;'минимумы и максимумы'!Q$3,100,('исходные данные'!S76-'минимумы и максимумы'!Q$2)/('минимумы и максимумы'!Q$3-'минимумы и максимумы'!Q$2)*100)</f>
        <v>66.666666666666657</v>
      </c>
      <c r="T76" s="1">
        <f>IF('исходные данные'!T76&gt;'минимумы и максимумы'!R$3,100,('исходные данные'!T76-'минимумы и максимумы'!R$2)/('минимумы и максимумы'!R$3-'минимумы и максимумы'!R$2)*100)</f>
        <v>21.821381434227895</v>
      </c>
      <c r="U76" s="1">
        <f>IF('исходные данные'!U76&gt;'минимумы и максимумы'!S$3,100,('исходные данные'!U76-'минимумы и максимумы'!S$2)/('минимумы и максимумы'!S$3-'минимумы и максимумы'!S$2)*100)</f>
        <v>33.333333333333329</v>
      </c>
    </row>
    <row r="77" spans="1:21" x14ac:dyDescent="0.45">
      <c r="A77" s="4">
        <v>131</v>
      </c>
      <c r="B77" s="4">
        <v>1</v>
      </c>
      <c r="C77" s="4">
        <v>0</v>
      </c>
      <c r="D77" s="1">
        <f>IF('исходные данные'!D77&gt;'минимумы и максимумы'!B$3,100,('исходные данные'!D77-'минимумы и максимумы'!B$2)/('минимумы и максимумы'!B$3-'минимумы и максимумы'!B$2)*100)</f>
        <v>80</v>
      </c>
      <c r="E77" s="1">
        <f>IF('исходные данные'!E77&gt;'минимумы и максимумы'!C$3,100,('исходные данные'!E77-'минимумы и максимумы'!C$2)/('минимумы и максимумы'!C$3-'минимумы и максимумы'!C$2)*100)</f>
        <v>80</v>
      </c>
      <c r="F77" s="1">
        <f>IF('исходные данные'!F77&gt;'минимумы и максимумы'!D$3,100,('исходные данные'!F77-'минимумы и максимумы'!D$2)/('минимумы и максимумы'!D$3-'минимумы и максимумы'!D$2)*100)</f>
        <v>0</v>
      </c>
      <c r="G77" s="1">
        <f>IF('исходные данные'!G77&gt;'минимумы и максимумы'!E$3,100,('исходные данные'!G77-'минимумы и максимумы'!E$2)/('минимумы и максимумы'!E$3-'минимумы и максимумы'!E$2)*100)</f>
        <v>66.666666666666657</v>
      </c>
      <c r="H77" s="1">
        <f>IF('исходные данные'!H77&gt;'минимумы и максимумы'!F$3,100,('исходные данные'!H77-'минимумы и максимумы'!F$2)/('минимумы и максимумы'!F$3-'минимумы и максимумы'!F$2)*100)</f>
        <v>84</v>
      </c>
      <c r="I77" s="1">
        <f>IF('исходные данные'!I77&gt;'минимумы и максимумы'!G$3,100,('исходные данные'!I77-'минимумы и максимумы'!G$2)/('минимумы и максимумы'!G$3-'минимумы и максимумы'!G$2)*100)</f>
        <v>100</v>
      </c>
      <c r="J77" s="1">
        <f>IF('исходные данные'!J77&gt;'минимумы и максимумы'!H$3,100,('исходные данные'!J77-'минимумы и максимумы'!H$2)/('минимумы и максимумы'!H$3-'минимумы и максимумы'!H$2)*100)</f>
        <v>86.666666666666671</v>
      </c>
      <c r="K77" s="1">
        <f>IF('исходные данные'!K77&gt;'минимумы и максимумы'!I$3,100,('исходные данные'!K77-'минимумы и максимумы'!I$2)/('минимумы и максимумы'!I$3-'минимумы и максимумы'!I$2)*100)</f>
        <v>100</v>
      </c>
      <c r="L77" s="1">
        <f>IF('исходные данные'!L77&gt;'минимумы и максимумы'!J$3,100,('исходные данные'!L77-'минимумы и максимумы'!J$2)/('минимумы и максимумы'!J$3-'минимумы и максимумы'!J$2)*100)</f>
        <v>100</v>
      </c>
      <c r="M77" s="1">
        <f>IF('исходные данные'!M77&gt;'минимумы и максимумы'!K$3,100,('исходные данные'!M77-'минимумы и максимумы'!K$2)/('минимумы и максимумы'!K$3-'минимумы и максимумы'!K$2)*100)</f>
        <v>41.935483870967744</v>
      </c>
      <c r="N77" s="1">
        <f>IF('исходные данные'!N77&gt;'минимумы и максимумы'!L$3,100,('исходные данные'!N77-'минимумы и максимумы'!L$2)/('минимумы и максимумы'!L$3-'минимумы и максимумы'!L$2)*100)</f>
        <v>14.911820827780966</v>
      </c>
      <c r="O77" s="1">
        <f>IF('исходные данные'!O77&gt;'минимумы и максимумы'!M$3,100,('исходные данные'!O77-'минимумы и максимумы'!M$2)/('минимумы и максимумы'!M$3-'минимумы и максимумы'!M$2)*100)</f>
        <v>100</v>
      </c>
      <c r="P77" s="1">
        <f>IF('исходные данные'!P77&gt;'минимумы и максимумы'!N$3,100,('исходные данные'!P77-'минимумы и максимумы'!N$2)/('минимумы и максимумы'!N$3-'минимумы и максимумы'!N$2)*100)</f>
        <v>100</v>
      </c>
      <c r="Q77" s="1">
        <f>IF('исходные данные'!Q77&gt;'минимумы и максимумы'!O$3,100,('исходные данные'!Q77-'минимумы и максимумы'!O$2)/('минимумы и максимумы'!O$3-'минимумы и максимумы'!O$2)*100)</f>
        <v>100</v>
      </c>
      <c r="R77" s="1">
        <f>IF('исходные данные'!R77&gt;'минимумы и максимумы'!P$3,100,('исходные данные'!R77-'минимумы и максимумы'!P$2)/('минимумы и максимумы'!P$3-'минимумы и максимумы'!P$2)*100)</f>
        <v>100</v>
      </c>
      <c r="S77" s="1">
        <f>IF('исходные данные'!S77&gt;'минимумы и максимумы'!Q$3,100,('исходные данные'!S77-'минимумы и максимумы'!Q$2)/('минимумы и максимумы'!Q$3-'минимумы и максимумы'!Q$2)*100)</f>
        <v>66.666666666666657</v>
      </c>
      <c r="T77" s="1">
        <f>IF('исходные данные'!T77&gt;'минимумы и максимумы'!R$3,100,('исходные данные'!T77-'минимумы и максимумы'!R$2)/('минимумы и максимумы'!R$3-'минимумы и максимумы'!R$2)*100)</f>
        <v>28.684557853057633</v>
      </c>
      <c r="U77" s="1">
        <f>IF('исходные данные'!U77&gt;'минимумы и максимумы'!S$3,100,('исходные данные'!U77-'минимумы и максимумы'!S$2)/('минимумы и максимумы'!S$3-'минимумы и максимумы'!S$2)*100)</f>
        <v>33.333333333333329</v>
      </c>
    </row>
    <row r="78" spans="1:21" x14ac:dyDescent="0.45">
      <c r="A78" s="4">
        <v>133</v>
      </c>
      <c r="B78" s="4">
        <v>1</v>
      </c>
      <c r="C78" s="4">
        <v>0</v>
      </c>
      <c r="D78" s="1">
        <f>IF('исходные данные'!D78&gt;'минимумы и максимумы'!B$3,100,('исходные данные'!D78-'минимумы и максимумы'!B$2)/('минимумы и максимумы'!B$3-'минимумы и максимумы'!B$2)*100)</f>
        <v>100</v>
      </c>
      <c r="E78" s="1">
        <f>IF('исходные данные'!E78&gt;'минимумы и максимумы'!C$3,100,('исходные данные'!E78-'минимумы и максимумы'!C$2)/('минимумы и максимумы'!C$3-'минимумы и максимумы'!C$2)*100)</f>
        <v>90</v>
      </c>
      <c r="F78" s="1">
        <f>IF('исходные данные'!F78&gt;'минимумы и максимумы'!D$3,100,('исходные данные'!F78-'минимумы и максимумы'!D$2)/('минимумы и максимумы'!D$3-'минимумы и максимумы'!D$2)*100)</f>
        <v>66.666666666666657</v>
      </c>
      <c r="G78" s="1">
        <f>IF('исходные данные'!G78&gt;'минимумы и максимумы'!E$3,100,('исходные данные'!G78-'минимумы и максимумы'!E$2)/('минимумы и максимумы'!E$3-'минимумы и максимумы'!E$2)*100)</f>
        <v>79.166666666666657</v>
      </c>
      <c r="H78" s="1">
        <f>IF('исходные данные'!H78&gt;'минимумы и максимумы'!F$3,100,('исходные данные'!H78-'минимумы и максимумы'!F$2)/('минимумы и максимумы'!F$3-'минимумы и максимумы'!F$2)*100)</f>
        <v>32</v>
      </c>
      <c r="I78" s="1">
        <f>IF('исходные данные'!I78&gt;'минимумы и максимумы'!G$3,100,('исходные данные'!I78-'минимумы и максимумы'!G$2)/('минимумы и максимумы'!G$3-'минимумы и максимумы'!G$2)*100)</f>
        <v>100</v>
      </c>
      <c r="J78" s="1">
        <f>IF('исходные данные'!J78&gt;'минимумы и максимумы'!H$3,100,('исходные данные'!J78-'минимумы и максимумы'!H$2)/('минимумы и максимумы'!H$3-'минимумы и максимумы'!H$2)*100)</f>
        <v>100</v>
      </c>
      <c r="K78" s="1">
        <f>IF('исходные данные'!K78&gt;'минимумы и максимумы'!I$3,100,('исходные данные'!K78-'минимумы и максимумы'!I$2)/('минимумы и максимумы'!I$3-'минимумы и максимумы'!I$2)*100)</f>
        <v>94.444444444444443</v>
      </c>
      <c r="L78" s="1">
        <f>IF('исходные данные'!L78&gt;'минимумы и максимумы'!J$3,100,('исходные данные'!L78-'минимумы и максимумы'!J$2)/('минимумы и максимумы'!J$3-'минимумы и максимумы'!J$2)*100)</f>
        <v>100</v>
      </c>
      <c r="M78" s="1">
        <f>IF('исходные данные'!M78&gt;'минимумы и максимумы'!K$3,100,('исходные данные'!M78-'минимумы и максимумы'!K$2)/('минимумы и максимумы'!K$3-'минимумы и максимумы'!K$2)*100)</f>
        <v>58.064516129032263</v>
      </c>
      <c r="N78" s="1">
        <f>IF('исходные данные'!N78&gt;'минимумы и максимумы'!L$3,100,('исходные данные'!N78-'минимумы и максимумы'!L$2)/('минимумы и максимумы'!L$3-'минимумы и максимумы'!L$2)*100)</f>
        <v>10.574568055491534</v>
      </c>
      <c r="O78" s="1">
        <f>IF('исходные данные'!O78&gt;'минимумы и максимумы'!M$3,100,('исходные данные'!O78-'минимумы и максимумы'!M$2)/('минимумы и максимумы'!M$3-'минимумы и максимумы'!M$2)*100)</f>
        <v>100</v>
      </c>
      <c r="P78" s="1">
        <f>IF('исходные данные'!P78&gt;'минимумы и максимумы'!N$3,100,('исходные данные'!P78-'минимумы и максимумы'!N$2)/('минимумы и максимумы'!N$3-'минимумы и максимумы'!N$2)*100)</f>
        <v>0</v>
      </c>
      <c r="Q78" s="1">
        <f>IF('исходные данные'!Q78&gt;'минимумы и максимумы'!O$3,100,('исходные данные'!Q78-'минимумы и максимумы'!O$2)/('минимумы и максимумы'!O$3-'минимумы и максимумы'!O$2)*100)</f>
        <v>100</v>
      </c>
      <c r="R78" s="1">
        <f>IF('исходные данные'!R78&gt;'минимумы и максимумы'!P$3,100,('исходные данные'!R78-'минимумы и максимумы'!P$2)/('минимумы и максимумы'!P$3-'минимумы и максимумы'!P$2)*100)</f>
        <v>100</v>
      </c>
      <c r="S78" s="1">
        <f>IF('исходные данные'!S78&gt;'минимумы и максимумы'!Q$3,100,('исходные данные'!S78-'минимумы и максимумы'!Q$2)/('минимумы и максимумы'!Q$3-'минимумы и максимумы'!Q$2)*100)</f>
        <v>50</v>
      </c>
      <c r="T78" s="1">
        <f>IF('исходные данные'!T78&gt;'минимумы и максимумы'!R$3,100,('исходные данные'!T78-'минимумы и максимумы'!R$2)/('минимумы и максимумы'!R$3-'минимумы и максимумы'!R$2)*100)</f>
        <v>31.060272767267925</v>
      </c>
      <c r="U78" s="1">
        <f>IF('исходные данные'!U78&gt;'минимумы и максимумы'!S$3,100,('исходные данные'!U78-'минимумы и максимумы'!S$2)/('минимумы и максимумы'!S$3-'минимумы и максимумы'!S$2)*100)</f>
        <v>66.666666666666657</v>
      </c>
    </row>
    <row r="79" spans="1:21" x14ac:dyDescent="0.45">
      <c r="A79" s="4">
        <v>134</v>
      </c>
      <c r="B79" s="4">
        <v>0</v>
      </c>
      <c r="C79" s="4">
        <v>0</v>
      </c>
      <c r="D79" s="1">
        <f>IF('исходные данные'!D79&gt;'минимумы и максимумы'!B$3,100,('исходные данные'!D79-'минимумы и максимумы'!B$2)/('минимумы и максимумы'!B$3-'минимумы и максимумы'!B$2)*100)</f>
        <v>100</v>
      </c>
      <c r="E79" s="1">
        <f>IF('исходные данные'!E79&gt;'минимумы и максимумы'!C$3,100,('исходные данные'!E79-'минимумы и максимумы'!C$2)/('минимумы и максимумы'!C$3-'минимумы и максимумы'!C$2)*100)</f>
        <v>100</v>
      </c>
      <c r="F79" s="1">
        <f>IF('исходные данные'!F79&gt;'минимумы и максимумы'!D$3,100,('исходные данные'!F79-'минимумы и максимумы'!D$2)/('минимумы и максимумы'!D$3-'минимумы и максимумы'!D$2)*100)</f>
        <v>33.333333333333329</v>
      </c>
      <c r="G79" s="1">
        <f>IF('исходные данные'!G79&gt;'минимумы и максимумы'!E$3,100,('исходные данные'!G79-'минимумы и максимумы'!E$2)/('минимумы и максимумы'!E$3-'минимумы и максимумы'!E$2)*100)</f>
        <v>91.666666666666657</v>
      </c>
      <c r="H79" s="1">
        <f>IF('исходные данные'!H79&gt;'минимумы и максимумы'!F$3,100,('исходные данные'!H79-'минимумы и максимумы'!F$2)/('минимумы и максимумы'!F$3-'минимумы и максимумы'!F$2)*100)</f>
        <v>48</v>
      </c>
      <c r="I79" s="1">
        <f>IF('исходные данные'!I79&gt;'минимумы и максимумы'!G$3,100,('исходные данные'!I79-'минимумы и максимумы'!G$2)/('минимумы и максимумы'!G$3-'минимумы и максимумы'!G$2)*100)</f>
        <v>100</v>
      </c>
      <c r="J79" s="1">
        <f>IF('исходные данные'!J79&gt;'минимумы и максимумы'!H$3,100,('исходные данные'!J79-'минимумы и максимумы'!H$2)/('минимумы и максимумы'!H$3-'минимумы и максимумы'!H$2)*100)</f>
        <v>100</v>
      </c>
      <c r="K79" s="1">
        <f>IF('исходные данные'!K79&gt;'минимумы и максимумы'!I$3,100,('исходные данные'!K79-'минимумы и максимумы'!I$2)/('минимумы и максимумы'!I$3-'минимумы и максимумы'!I$2)*100)</f>
        <v>50</v>
      </c>
      <c r="L79" s="1">
        <f>IF('исходные данные'!L79&gt;'минимумы и максимумы'!J$3,100,('исходные данные'!L79-'минимумы и максимумы'!J$2)/('минимумы и максимумы'!J$3-'минимумы и максимумы'!J$2)*100)</f>
        <v>100</v>
      </c>
      <c r="M79" s="1">
        <f>IF('исходные данные'!M79&gt;'минимумы и максимумы'!K$3,100,('исходные данные'!M79-'минимумы и максимумы'!K$2)/('минимумы и максимумы'!K$3-'минимумы и максимумы'!K$2)*100)</f>
        <v>22.58064516129032</v>
      </c>
      <c r="N79" s="1">
        <f>IF('исходные данные'!N79&gt;'минимумы и максимумы'!L$3,100,('исходные данные'!N79-'минимумы и максимумы'!L$2)/('минимумы и максимумы'!L$3-'минимумы и максимумы'!L$2)*100)</f>
        <v>11.793949019176821</v>
      </c>
      <c r="O79" s="1">
        <f>IF('исходные данные'!O79&gt;'минимумы и максимумы'!M$3,100,('исходные данные'!O79-'минимумы и максимумы'!M$2)/('минимумы и максимумы'!M$3-'минимумы и максимумы'!M$2)*100)</f>
        <v>66.666666666666657</v>
      </c>
      <c r="P79" s="1">
        <f>IF('исходные данные'!P79&gt;'минимумы и максимумы'!N$3,100,('исходные данные'!P79-'минимумы и максимумы'!N$2)/('минимумы и максимумы'!N$3-'минимумы и максимумы'!N$2)*100)</f>
        <v>100</v>
      </c>
      <c r="Q79" s="1">
        <f>IF('исходные данные'!Q79&gt;'минимумы и максимумы'!O$3,100,('исходные данные'!Q79-'минимумы и максимумы'!O$2)/('минимумы и максимумы'!O$3-'минимумы и максимумы'!O$2)*100)</f>
        <v>100</v>
      </c>
      <c r="R79" s="1">
        <f>IF('исходные данные'!R79&gt;'минимумы и максимумы'!P$3,100,('исходные данные'!R79-'минимумы и максимумы'!P$2)/('минимумы и максимумы'!P$3-'минимумы и максимумы'!P$2)*100)</f>
        <v>100</v>
      </c>
      <c r="S79" s="1">
        <f>IF('исходные данные'!S79&gt;'минимумы и максимумы'!Q$3,100,('исходные данные'!S79-'минимумы и максимумы'!Q$2)/('минимумы и максимумы'!Q$3-'минимумы и максимумы'!Q$2)*100)</f>
        <v>33.333333333333329</v>
      </c>
      <c r="T79" s="1">
        <f>IF('исходные данные'!T79&gt;'минимумы и максимумы'!R$3,100,('исходные данные'!T79-'минимумы и максимумы'!R$2)/('минимумы и максимумы'!R$3-'минимумы и максимумы'!R$2)*100)</f>
        <v>11.570611526616807</v>
      </c>
      <c r="U79" s="1">
        <f>IF('исходные данные'!U79&gt;'минимумы и максимумы'!S$3,100,('исходные данные'!U79-'минимумы и максимумы'!S$2)/('минимумы и максимумы'!S$3-'минимумы и максимумы'!S$2)*100)</f>
        <v>66.666666666666657</v>
      </c>
    </row>
    <row r="80" spans="1:21" x14ac:dyDescent="0.45">
      <c r="A80" s="4">
        <v>135</v>
      </c>
      <c r="B80" s="4">
        <v>0</v>
      </c>
      <c r="C80" s="4">
        <v>0</v>
      </c>
      <c r="D80" s="1">
        <f>IF('исходные данные'!D80&gt;'минимумы и максимумы'!B$3,100,('исходные данные'!D80-'минимумы и максимумы'!B$2)/('минимумы и максимумы'!B$3-'минимумы и максимумы'!B$2)*100)</f>
        <v>100</v>
      </c>
      <c r="E80" s="1">
        <f>IF('исходные данные'!E80&gt;'минимумы и максимумы'!C$3,100,('исходные данные'!E80-'минимумы и максимумы'!C$2)/('минимумы и максимумы'!C$3-'минимумы и максимумы'!C$2)*100)</f>
        <v>100</v>
      </c>
      <c r="F80" s="1">
        <f>IF('исходные данные'!F80&gt;'минимумы и максимумы'!D$3,100,('исходные данные'!F80-'минимумы и максимумы'!D$2)/('минимумы и максимумы'!D$3-'минимумы и максимумы'!D$2)*100)</f>
        <v>0</v>
      </c>
      <c r="G80" s="1">
        <f>IF('исходные данные'!G80&gt;'минимумы и максимумы'!E$3,100,('исходные данные'!G80-'минимумы и максимумы'!E$2)/('минимумы и максимумы'!E$3-'минимумы и максимумы'!E$2)*100)</f>
        <v>100</v>
      </c>
      <c r="H80" s="1">
        <f>IF('исходные данные'!H80&gt;'минимумы и максимумы'!F$3,100,('исходные данные'!H80-'минимумы и максимумы'!F$2)/('минимумы и максимумы'!F$3-'минимумы и максимумы'!F$2)*100)</f>
        <v>68</v>
      </c>
      <c r="I80" s="1">
        <f>IF('исходные данные'!I80&gt;'минимумы и максимумы'!G$3,100,('исходные данные'!I80-'минимумы и максимумы'!G$2)/('минимумы и максимумы'!G$3-'минимумы и максимумы'!G$2)*100)</f>
        <v>100</v>
      </c>
      <c r="J80" s="1">
        <f>IF('исходные данные'!J80&gt;'минимумы и максимумы'!H$3,100,('исходные данные'!J80-'минимумы и максимумы'!H$2)/('минимумы и максимумы'!H$3-'минимумы и максимумы'!H$2)*100)</f>
        <v>100</v>
      </c>
      <c r="K80" s="1">
        <f>IF('исходные данные'!K80&gt;'минимумы и максимумы'!I$3,100,('исходные данные'!K80-'минимумы и максимумы'!I$2)/('минимумы и максимумы'!I$3-'минимумы и максимумы'!I$2)*100)</f>
        <v>61.111111111111114</v>
      </c>
      <c r="L80" s="1">
        <f>IF('исходные данные'!L80&gt;'минимумы и максимумы'!J$3,100,('исходные данные'!L80-'минимумы и максимумы'!J$2)/('минимумы и максимумы'!J$3-'минимумы и максимумы'!J$2)*100)</f>
        <v>100</v>
      </c>
      <c r="M80" s="1">
        <f>IF('исходные данные'!M80&gt;'минимумы и максимумы'!K$3,100,('исходные данные'!M80-'минимумы и максимумы'!K$2)/('минимумы и максимумы'!K$3-'минимумы и максимумы'!K$2)*100)</f>
        <v>35.483870967741936</v>
      </c>
      <c r="N80" s="1">
        <f>IF('исходные данные'!N80&gt;'минимумы и максимумы'!L$3,100,('исходные данные'!N80-'минимумы и максимумы'!L$2)/('минимумы и максимумы'!L$3-'минимумы и максимумы'!L$2)*100)</f>
        <v>11.833783517276657</v>
      </c>
      <c r="O80" s="1">
        <f>IF('исходные данные'!O80&gt;'минимумы и максимумы'!M$3,100,('исходные данные'!O80-'минимумы и максимумы'!M$2)/('минимумы и максимумы'!M$3-'минимумы и максимумы'!M$2)*100)</f>
        <v>100</v>
      </c>
      <c r="P80" s="1">
        <f>IF('исходные данные'!P80&gt;'минимумы и максимумы'!N$3,100,('исходные данные'!P80-'минимумы и максимумы'!N$2)/('минимумы и максимумы'!N$3-'минимумы и максимумы'!N$2)*100)</f>
        <v>100</v>
      </c>
      <c r="Q80" s="1">
        <f>IF('исходные данные'!Q80&gt;'минимумы и максимумы'!O$3,100,('исходные данные'!Q80-'минимумы и максимумы'!O$2)/('минимумы и максимумы'!O$3-'минимумы и максимумы'!O$2)*100)</f>
        <v>100</v>
      </c>
      <c r="R80" s="1">
        <f>IF('исходные данные'!R80&gt;'минимумы и максимумы'!P$3,100,('исходные данные'!R80-'минимумы и максимумы'!P$2)/('минимумы и максимумы'!P$3-'минимумы и максимумы'!P$2)*100)</f>
        <v>100</v>
      </c>
      <c r="S80" s="1">
        <f>IF('исходные данные'!S80&gt;'минимумы и максимумы'!Q$3,100,('исходные данные'!S80-'минимумы и максимумы'!Q$2)/('минимумы и максимумы'!Q$3-'минимумы и максимумы'!Q$2)*100)</f>
        <v>50</v>
      </c>
      <c r="T80" s="1">
        <f>IF('исходные данные'!T80&gt;'минимумы и максимумы'!R$3,100,('исходные данные'!T80-'минимумы и максимумы'!R$2)/('минимумы и максимумы'!R$3-'минимумы и максимумы'!R$2)*100)</f>
        <v>5.4993400791904969</v>
      </c>
      <c r="U80" s="1">
        <f>IF('исходные данные'!U80&gt;'минимумы и максимумы'!S$3,100,('исходные данные'!U80-'минимумы и максимумы'!S$2)/('минимумы и максимумы'!S$3-'минимумы и максимумы'!S$2)*100)</f>
        <v>0</v>
      </c>
    </row>
    <row r="81" spans="1:21" x14ac:dyDescent="0.45">
      <c r="A81" s="4">
        <v>136</v>
      </c>
      <c r="B81" s="4">
        <v>0</v>
      </c>
      <c r="C81" s="4">
        <v>0</v>
      </c>
      <c r="D81" s="1">
        <f>IF('исходные данные'!D81&gt;'минимумы и максимумы'!B$3,100,('исходные данные'!D81-'минимумы и максимумы'!B$2)/('минимумы и максимумы'!B$3-'минимумы и максимумы'!B$2)*100)</f>
        <v>60</v>
      </c>
      <c r="E81" s="1">
        <f>IF('исходные данные'!E81&gt;'минимумы и максимумы'!C$3,100,('исходные данные'!E81-'минимумы и максимумы'!C$2)/('минимумы и максимумы'!C$3-'минимумы и максимумы'!C$2)*100)</f>
        <v>100</v>
      </c>
      <c r="F81" s="1">
        <f>IF('исходные данные'!F81&gt;'минимумы и максимумы'!D$3,100,('исходные данные'!F81-'минимумы и максимумы'!D$2)/('минимумы и максимумы'!D$3-'минимумы и максимумы'!D$2)*100)</f>
        <v>0</v>
      </c>
      <c r="G81" s="1">
        <f>IF('исходные данные'!G81&gt;'минимумы и максимумы'!E$3,100,('исходные данные'!G81-'минимумы и максимумы'!E$2)/('минимумы и максимумы'!E$3-'минимумы и максимумы'!E$2)*100)</f>
        <v>50</v>
      </c>
      <c r="H81" s="1">
        <f>IF('исходные данные'!H81&gt;'минимумы и максимумы'!F$3,100,('исходные данные'!H81-'минимумы и максимумы'!F$2)/('минимумы и максимумы'!F$3-'минимумы и максимумы'!F$2)*100)</f>
        <v>36</v>
      </c>
      <c r="I81" s="1">
        <f>IF('исходные данные'!I81&gt;'минимумы и максимумы'!G$3,100,('исходные данные'!I81-'минимумы и максимумы'!G$2)/('минимумы и максимумы'!G$3-'минимумы и максимумы'!G$2)*100)</f>
        <v>69.811320754716974</v>
      </c>
      <c r="J81" s="1">
        <f>IF('исходные данные'!J81&gt;'минимумы и максимумы'!H$3,100,('исходные данные'!J81-'минимумы и максимумы'!H$2)/('минимумы и максимумы'!H$3-'минимумы и максимумы'!H$2)*100)</f>
        <v>100</v>
      </c>
      <c r="K81" s="1">
        <f>IF('исходные данные'!K81&gt;'минимумы и максимумы'!I$3,100,('исходные данные'!K81-'минимумы и максимумы'!I$2)/('минимумы и максимумы'!I$3-'минимумы и максимумы'!I$2)*100)</f>
        <v>50</v>
      </c>
      <c r="L81" s="1">
        <f>IF('исходные данные'!L81&gt;'минимумы и максимумы'!J$3,100,('исходные данные'!L81-'минимумы и максимумы'!J$2)/('минимумы и максимумы'!J$3-'минимумы и максимумы'!J$2)*100)</f>
        <v>80</v>
      </c>
      <c r="M81" s="1">
        <f>IF('исходные данные'!M81&gt;'минимумы и максимумы'!K$3,100,('исходные данные'!M81-'минимумы и максимумы'!K$2)/('минимумы и максимумы'!K$3-'минимумы и максимумы'!K$2)*100)</f>
        <v>22.58064516129032</v>
      </c>
      <c r="N81" s="1">
        <f>IF('исходные данные'!N81&gt;'минимумы и максимумы'!L$3,100,('исходные данные'!N81-'минимумы и максимумы'!L$2)/('минимумы и максимумы'!L$3-'минимумы и максимумы'!L$2)*100)</f>
        <v>15.270677632011104</v>
      </c>
      <c r="O81" s="1">
        <f>IF('исходные данные'!O81&gt;'минимумы и максимумы'!M$3,100,('исходные данные'!O81-'минимумы и максимумы'!M$2)/('минимумы и максимумы'!M$3-'минимумы и максимумы'!M$2)*100)</f>
        <v>66.666666666666657</v>
      </c>
      <c r="P81" s="1">
        <f>IF('исходные данные'!P81&gt;'минимумы и максимумы'!N$3,100,('исходные данные'!P81-'минимумы и максимумы'!N$2)/('минимумы и максимумы'!N$3-'минимумы и максимумы'!N$2)*100)</f>
        <v>0</v>
      </c>
      <c r="Q81" s="1">
        <f>IF('исходные данные'!Q81&gt;'минимумы и максимумы'!O$3,100,('исходные данные'!Q81-'минимумы и максимумы'!O$2)/('минимумы и максимумы'!O$3-'минимумы и максимумы'!O$2)*100)</f>
        <v>0</v>
      </c>
      <c r="R81" s="1">
        <f>IF('исходные данные'!R81&gt;'минимумы и максимумы'!P$3,100,('исходные данные'!R81-'минимумы и максимумы'!P$2)/('минимумы и максимумы'!P$3-'минимумы и максимумы'!P$2)*100)</f>
        <v>75</v>
      </c>
      <c r="S81" s="1">
        <f>IF('исходные данные'!S81&gt;'минимумы и максимумы'!Q$3,100,('исходные данные'!S81-'минимумы и максимумы'!Q$2)/('минимумы и максимумы'!Q$3-'минимумы и максимумы'!Q$2)*100)</f>
        <v>83.333333333333343</v>
      </c>
      <c r="T81" s="1">
        <f>IF('исходные данные'!T81&gt;'минимумы и максимумы'!R$3,100,('исходные данные'!T81-'минимумы и максимумы'!R$2)/('минимумы и максимумы'!R$3-'минимумы и максимумы'!R$2)*100)</f>
        <v>49.670039595248575</v>
      </c>
      <c r="U81" s="1">
        <f>IF('исходные данные'!U81&gt;'минимумы и максимумы'!S$3,100,('исходные данные'!U81-'минимумы и максимумы'!S$2)/('минимумы и максимумы'!S$3-'минимумы и максимумы'!S$2)*100)</f>
        <v>33.333333333333329</v>
      </c>
    </row>
    <row r="82" spans="1:21" x14ac:dyDescent="0.45">
      <c r="A82" s="4">
        <v>139</v>
      </c>
      <c r="B82" s="4">
        <v>0</v>
      </c>
      <c r="C82" s="4">
        <v>0</v>
      </c>
      <c r="D82" s="1">
        <f>IF('исходные данные'!D82&gt;'минимумы и максимумы'!B$3,100,('исходные данные'!D82-'минимумы и максимумы'!B$2)/('минимумы и максимумы'!B$3-'минимумы и максимумы'!B$2)*100)</f>
        <v>60</v>
      </c>
      <c r="E82" s="1">
        <f>IF('исходные данные'!E82&gt;'минимумы и максимумы'!C$3,100,('исходные данные'!E82-'минимумы и максимумы'!C$2)/('минимумы и максимумы'!C$3-'минимумы и максимумы'!C$2)*100)</f>
        <v>70</v>
      </c>
      <c r="F82" s="1">
        <f>IF('исходные данные'!F82&gt;'минимумы и максимумы'!D$3,100,('исходные данные'!F82-'минимумы и максимумы'!D$2)/('минимумы и максимумы'!D$3-'минимумы и максимумы'!D$2)*100)</f>
        <v>66.666666666666657</v>
      </c>
      <c r="G82" s="1">
        <f>IF('исходные данные'!G82&gt;'минимумы и максимумы'!E$3,100,('исходные данные'!G82-'минимумы и максимумы'!E$2)/('минимумы и максимумы'!E$3-'минимумы и максимумы'!E$2)*100)</f>
        <v>41.666666666666671</v>
      </c>
      <c r="H82" s="1">
        <f>IF('исходные данные'!H82&gt;'минимумы и максимумы'!F$3,100,('исходные данные'!H82-'минимумы и максимумы'!F$2)/('минимумы и максимумы'!F$3-'минимумы и максимумы'!F$2)*100)</f>
        <v>24</v>
      </c>
      <c r="I82" s="1">
        <f>IF('исходные данные'!I82&gt;'минимумы и максимумы'!G$3,100,('исходные данные'!I82-'минимумы и максимумы'!G$2)/('минимумы и максимумы'!G$3-'минимумы и максимумы'!G$2)*100)</f>
        <v>43.39622641509434</v>
      </c>
      <c r="J82" s="1">
        <f>IF('исходные данные'!J82&gt;'минимумы и максимумы'!H$3,100,('исходные данные'!J82-'минимумы и максимумы'!H$2)/('минимумы и максимумы'!H$3-'минимумы и максимумы'!H$2)*100)</f>
        <v>26.666666666666668</v>
      </c>
      <c r="K82" s="1">
        <f>IF('исходные данные'!K82&gt;'минимумы и максимумы'!I$3,100,('исходные данные'!K82-'минимумы и максимумы'!I$2)/('минимумы и максимумы'!I$3-'минимумы и максимумы'!I$2)*100)</f>
        <v>22.222222222222221</v>
      </c>
      <c r="L82" s="1">
        <f>IF('исходные данные'!L82&gt;'минимумы и максимумы'!J$3,100,('исходные данные'!L82-'минимумы и максимумы'!J$2)/('минимумы и максимумы'!J$3-'минимумы и максимумы'!J$2)*100)</f>
        <v>80</v>
      </c>
      <c r="M82" s="1">
        <f>IF('исходные данные'!M82&gt;'минимумы и максимумы'!K$3,100,('исходные данные'!M82-'минимумы и максимумы'!K$2)/('минимумы и максимумы'!K$3-'минимумы и максимумы'!K$2)*100)</f>
        <v>35.483870967741936</v>
      </c>
      <c r="N82" s="1">
        <f>IF('исходные данные'!N82&gt;'минимумы и максимумы'!L$3,100,('исходные данные'!N82-'минимумы и максимумы'!L$2)/('минимумы и максимумы'!L$3-'минимумы и максимумы'!L$2)*100)</f>
        <v>17.794838689854583</v>
      </c>
      <c r="O82" s="1">
        <f>IF('исходные данные'!O82&gt;'минимумы и максимумы'!M$3,100,('исходные данные'!O82-'минимумы и максимумы'!M$2)/('минимумы и максимумы'!M$3-'минимумы и максимумы'!M$2)*100)</f>
        <v>100</v>
      </c>
      <c r="P82" s="1">
        <f>IF('исходные данные'!P82&gt;'минимумы и максимумы'!N$3,100,('исходные данные'!P82-'минимумы и максимумы'!N$2)/('минимумы и максимумы'!N$3-'минимумы и максимумы'!N$2)*100)</f>
        <v>0</v>
      </c>
      <c r="Q82" s="1">
        <f>IF('исходные данные'!Q82&gt;'минимумы и максимумы'!O$3,100,('исходные данные'!Q82-'минимумы и максимумы'!O$2)/('минимумы и максимумы'!O$3-'минимумы и максимумы'!O$2)*100)</f>
        <v>100</v>
      </c>
      <c r="R82" s="1">
        <f>IF('исходные данные'!R82&gt;'минимумы и максимумы'!P$3,100,('исходные данные'!R82-'минимумы и максимумы'!P$2)/('минимумы и максимумы'!P$3-'минимумы и максимумы'!P$2)*100)</f>
        <v>100</v>
      </c>
      <c r="S82" s="1">
        <f>IF('исходные данные'!S82&gt;'минимумы и максимумы'!Q$3,100,('исходные данные'!S82-'минимумы и максимумы'!Q$2)/('минимумы и максимумы'!Q$3-'минимумы и максимумы'!Q$2)*100)</f>
        <v>33.333333333333329</v>
      </c>
      <c r="T82" s="1">
        <f>IF('исходные данные'!T82&gt;'минимумы и максимумы'!R$3,100,('исходные данные'!T82-'минимумы и максимумы'!R$2)/('минимумы и максимумы'!R$3-'минимумы и максимумы'!R$2)*100)</f>
        <v>33.787945446546416</v>
      </c>
      <c r="U82" s="1">
        <f>IF('исходные данные'!U82&gt;'минимумы и максимумы'!S$3,100,('исходные данные'!U82-'минимумы и максимумы'!S$2)/('минимумы и максимумы'!S$3-'минимумы и максимумы'!S$2)*100)</f>
        <v>0</v>
      </c>
    </row>
    <row r="83" spans="1:21" x14ac:dyDescent="0.45">
      <c r="A83" s="4">
        <v>140</v>
      </c>
      <c r="B83" s="4">
        <v>0</v>
      </c>
      <c r="C83" s="4">
        <v>0</v>
      </c>
      <c r="D83" s="1">
        <f>IF('исходные данные'!D83&gt;'минимумы и максимумы'!B$3,100,('исходные данные'!D83-'минимумы и максимумы'!B$2)/('минимумы и максимумы'!B$3-'минимумы и максимумы'!B$2)*100)</f>
        <v>60</v>
      </c>
      <c r="E83" s="1">
        <f>IF('исходные данные'!E83&gt;'минимумы и максимумы'!C$3,100,('исходные данные'!E83-'минимумы и максимумы'!C$2)/('минимумы и максимумы'!C$3-'минимумы и максимумы'!C$2)*100)</f>
        <v>70</v>
      </c>
      <c r="F83" s="1">
        <f>IF('исходные данные'!F83&gt;'минимумы и максимумы'!D$3,100,('исходные данные'!F83-'минимумы и максимумы'!D$2)/('минимумы и максимумы'!D$3-'минимумы и максимумы'!D$2)*100)</f>
        <v>66.666666666666657</v>
      </c>
      <c r="G83" s="1">
        <f>IF('исходные данные'!G83&gt;'минимумы и максимумы'!E$3,100,('исходные данные'!G83-'минимумы и максимумы'!E$2)/('минимумы и максимумы'!E$3-'минимумы и максимумы'!E$2)*100)</f>
        <v>41.666666666666671</v>
      </c>
      <c r="H83" s="1">
        <f>IF('исходные данные'!H83&gt;'минимумы и максимумы'!F$3,100,('исходные данные'!H83-'минимумы и максимумы'!F$2)/('минимумы и максимумы'!F$3-'минимумы и максимумы'!F$2)*100)</f>
        <v>24</v>
      </c>
      <c r="I83" s="1">
        <f>IF('исходные данные'!I83&gt;'минимумы и максимумы'!G$3,100,('исходные данные'!I83-'минимумы и максимумы'!G$2)/('минимумы и максимумы'!G$3-'минимумы и максимумы'!G$2)*100)</f>
        <v>43.39622641509434</v>
      </c>
      <c r="J83" s="1">
        <f>IF('исходные данные'!J83&gt;'минимумы и максимумы'!H$3,100,('исходные данные'!J83-'минимумы и максимумы'!H$2)/('минимумы и максимумы'!H$3-'минимумы и максимумы'!H$2)*100)</f>
        <v>26.666666666666668</v>
      </c>
      <c r="K83" s="1">
        <f>IF('исходные данные'!K83&gt;'минимумы и максимумы'!I$3,100,('исходные данные'!K83-'минимумы и максимумы'!I$2)/('минимумы и максимумы'!I$3-'минимумы и максимумы'!I$2)*100)</f>
        <v>22.222222222222221</v>
      </c>
      <c r="L83" s="1">
        <f>IF('исходные данные'!L83&gt;'минимумы и максимумы'!J$3,100,('исходные данные'!L83-'минимумы и максимумы'!J$2)/('минимумы и максимумы'!J$3-'минимумы и максимумы'!J$2)*100)</f>
        <v>80</v>
      </c>
      <c r="M83" s="1">
        <f>IF('исходные данные'!M83&gt;'минимумы и максимумы'!K$3,100,('исходные данные'!M83-'минимумы и максимумы'!K$2)/('минимумы и максимумы'!K$3-'минимумы и максимумы'!K$2)*100)</f>
        <v>35.483870967741936</v>
      </c>
      <c r="N83" s="1">
        <f>IF('исходные данные'!N83&gt;'минимумы и максимумы'!L$3,100,('исходные данные'!N83-'минимумы и максимумы'!L$2)/('минимумы и максимумы'!L$3-'минимумы и максимумы'!L$2)*100)</f>
        <v>18.249550762620771</v>
      </c>
      <c r="O83" s="1">
        <f>IF('исходные данные'!O83&gt;'минимумы и максимумы'!M$3,100,('исходные данные'!O83-'минимумы и максимумы'!M$2)/('минимумы и максимумы'!M$3-'минимумы и максимумы'!M$2)*100)</f>
        <v>66.666666666666657</v>
      </c>
      <c r="P83" s="1">
        <f>IF('исходные данные'!P83&gt;'минимумы и максимумы'!N$3,100,('исходные данные'!P83-'минимумы и максимумы'!N$2)/('минимумы и максимумы'!N$3-'минимумы и максимумы'!N$2)*100)</f>
        <v>0</v>
      </c>
      <c r="Q83" s="1">
        <f>IF('исходные данные'!Q83&gt;'минимумы и максимумы'!O$3,100,('исходные данные'!Q83-'минимумы и максимумы'!O$2)/('минимумы и максимумы'!O$3-'минимумы и максимумы'!O$2)*100)</f>
        <v>100</v>
      </c>
      <c r="R83" s="1">
        <f>IF('исходные данные'!R83&gt;'минимумы и максимумы'!P$3,100,('исходные данные'!R83-'минимумы и максимумы'!P$2)/('минимумы и максимумы'!P$3-'минимумы и максимумы'!P$2)*100)</f>
        <v>75</v>
      </c>
      <c r="S83" s="1">
        <f>IF('исходные данные'!S83&gt;'минимумы и максимумы'!Q$3,100,('исходные данные'!S83-'минимумы и максимумы'!Q$2)/('минимумы и максимумы'!Q$3-'минимумы и максимумы'!Q$2)*100)</f>
        <v>16.666666666666664</v>
      </c>
      <c r="T83" s="1">
        <f>IF('исходные данные'!T83&gt;'минимумы и максимумы'!R$3,100,('исходные данные'!T83-'минимумы и максимумы'!R$2)/('минимумы и максимумы'!R$3-'минимумы и максимумы'!R$2)*100)</f>
        <v>68.807743070831492</v>
      </c>
      <c r="U83" s="1">
        <f>IF('исходные данные'!U83&gt;'минимумы и максимумы'!S$3,100,('исходные данные'!U83-'минимумы и максимумы'!S$2)/('минимумы и максимумы'!S$3-'минимумы и максимумы'!S$2)*100)</f>
        <v>66.666666666666657</v>
      </c>
    </row>
    <row r="84" spans="1:21" x14ac:dyDescent="0.45">
      <c r="A84" s="4">
        <v>141</v>
      </c>
      <c r="B84" s="4">
        <v>0</v>
      </c>
      <c r="C84" s="4">
        <v>0</v>
      </c>
      <c r="D84" s="1">
        <f>IF('исходные данные'!D84&gt;'минимумы и максимумы'!B$3,100,('исходные данные'!D84-'минимумы и максимумы'!B$2)/('минимумы и максимумы'!B$3-'минимумы и максимумы'!B$2)*100)</f>
        <v>100</v>
      </c>
      <c r="E84" s="1">
        <f>IF('исходные данные'!E84&gt;'минимумы и максимумы'!C$3,100,('исходные данные'!E84-'минимумы и максимумы'!C$2)/('минимумы и максимумы'!C$3-'минимумы и максимумы'!C$2)*100)</f>
        <v>90</v>
      </c>
      <c r="F84" s="1">
        <f>IF('исходные данные'!F84&gt;'минимумы и максимумы'!D$3,100,('исходные данные'!F84-'минимумы и максимумы'!D$2)/('минимумы и максимумы'!D$3-'минимумы и максимумы'!D$2)*100)</f>
        <v>0</v>
      </c>
      <c r="G84" s="1">
        <f>IF('исходные данные'!G84&gt;'минимумы и максимумы'!E$3,100,('исходные данные'!G84-'минимумы и максимумы'!E$2)/('минимумы и максимумы'!E$3-'минимумы и максимумы'!E$2)*100)</f>
        <v>54.166666666666664</v>
      </c>
      <c r="H84" s="1">
        <f>IF('исходные данные'!H84&gt;'минимумы и максимумы'!F$3,100,('исходные данные'!H84-'минимумы и максимумы'!F$2)/('минимумы и максимумы'!F$3-'минимумы и максимумы'!F$2)*100)</f>
        <v>52</v>
      </c>
      <c r="I84" s="1">
        <f>IF('исходные данные'!I84&gt;'минимумы и максимумы'!G$3,100,('исходные данные'!I84-'минимумы и максимумы'!G$2)/('минимумы и максимумы'!G$3-'минимумы и максимумы'!G$2)*100)</f>
        <v>50.943396226415096</v>
      </c>
      <c r="J84" s="1">
        <f>IF('исходные данные'!J84&gt;'минимумы и максимумы'!H$3,100,('исходные данные'!J84-'минимумы и максимумы'!H$2)/('минимумы и максимумы'!H$3-'минимумы и максимумы'!H$2)*100)</f>
        <v>53.333333333333336</v>
      </c>
      <c r="K84" s="1">
        <f>IF('исходные данные'!K84&gt;'минимумы и максимумы'!I$3,100,('исходные данные'!K84-'минимумы и максимумы'!I$2)/('минимумы и максимумы'!I$3-'минимумы и максимумы'!I$2)*100)</f>
        <v>16.666666666666664</v>
      </c>
      <c r="L84" s="1">
        <f>IF('исходные данные'!L84&gt;'минимумы и максимумы'!J$3,100,('исходные данные'!L84-'минимумы и максимумы'!J$2)/('минимумы и максимумы'!J$3-'минимумы и максимумы'!J$2)*100)</f>
        <v>60</v>
      </c>
      <c r="M84" s="1">
        <f>IF('исходные данные'!M84&gt;'минимумы и максимумы'!K$3,100,('исходные данные'!M84-'минимумы и максимумы'!K$2)/('минимумы и максимумы'!K$3-'минимумы и максимумы'!K$2)*100)</f>
        <v>35.483870967741936</v>
      </c>
      <c r="N84" s="1">
        <f>IF('исходные данные'!N84&gt;'минимумы и максимумы'!L$3,100,('исходные данные'!N84-'минимумы и максимумы'!L$2)/('минимумы и максимумы'!L$3-'минимумы и максимумы'!L$2)*100)</f>
        <v>16.875925333706064</v>
      </c>
      <c r="O84" s="1">
        <f>IF('исходные данные'!O84&gt;'минимумы и максимумы'!M$3,100,('исходные данные'!O84-'минимумы и максимумы'!M$2)/('минимумы и максимумы'!M$3-'минимумы и максимумы'!M$2)*100)</f>
        <v>100</v>
      </c>
      <c r="P84" s="1">
        <f>IF('исходные данные'!P84&gt;'минимумы и максимумы'!N$3,100,('исходные данные'!P84-'минимумы и максимумы'!N$2)/('минимумы и максимумы'!N$3-'минимумы и максимумы'!N$2)*100)</f>
        <v>100</v>
      </c>
      <c r="Q84" s="1">
        <f>IF('исходные данные'!Q84&gt;'минимумы и максимумы'!O$3,100,('исходные данные'!Q84-'минимумы и максимумы'!O$2)/('минимумы и максимумы'!O$3-'минимумы и максимумы'!O$2)*100)</f>
        <v>100</v>
      </c>
      <c r="R84" s="1">
        <f>IF('исходные данные'!R84&gt;'минимумы и максимумы'!P$3,100,('исходные данные'!R84-'минимумы и максимумы'!P$2)/('минимумы и максимумы'!P$3-'минимумы и максимумы'!P$2)*100)</f>
        <v>100</v>
      </c>
      <c r="S84" s="1">
        <f>IF('исходные данные'!S84&gt;'минимумы и максимумы'!Q$3,100,('исходные данные'!S84-'минимумы и максимумы'!Q$2)/('минимумы и максимумы'!Q$3-'минимумы и максимумы'!Q$2)*100)</f>
        <v>50</v>
      </c>
      <c r="T84" s="1">
        <f>IF('исходные данные'!T84&gt;'минимумы и максимумы'!R$3,100,('исходные данные'!T84-'минимумы и максимумы'!R$2)/('минимумы и максимумы'!R$3-'минимумы и максимумы'!R$2)*100)</f>
        <v>43.774747030356359</v>
      </c>
      <c r="U84" s="1">
        <f>IF('исходные данные'!U84&gt;'минимумы и максимумы'!S$3,100,('исходные данные'!U84-'минимумы и максимумы'!S$2)/('минимумы и максимумы'!S$3-'минимумы и максимумы'!S$2)*100)</f>
        <v>0</v>
      </c>
    </row>
    <row r="85" spans="1:21" x14ac:dyDescent="0.45">
      <c r="A85" s="4">
        <v>142</v>
      </c>
      <c r="B85" s="4">
        <v>0</v>
      </c>
      <c r="C85" s="4">
        <v>0</v>
      </c>
      <c r="D85" s="1">
        <f>IF('исходные данные'!D85&gt;'минимумы и максимумы'!B$3,100,('исходные данные'!D85-'минимумы и максимумы'!B$2)/('минимумы и максимумы'!B$3-'минимумы и максимумы'!B$2)*100)</f>
        <v>60</v>
      </c>
      <c r="E85" s="1">
        <f>IF('исходные данные'!E85&gt;'минимумы и максимумы'!C$3,100,('исходные данные'!E85-'минимумы и максимумы'!C$2)/('минимумы и максимумы'!C$3-'минимумы и максимумы'!C$2)*100)</f>
        <v>60</v>
      </c>
      <c r="F85" s="1">
        <f>IF('исходные данные'!F85&gt;'минимумы и максимумы'!D$3,100,('исходные данные'!F85-'минимумы и максимумы'!D$2)/('минимумы и максимумы'!D$3-'минимумы и максимумы'!D$2)*100)</f>
        <v>33.333333333333329</v>
      </c>
      <c r="G85" s="1">
        <f>IF('исходные данные'!G85&gt;'минимумы и максимумы'!E$3,100,('исходные данные'!G85-'минимумы и максимумы'!E$2)/('минимумы и максимумы'!E$3-'минимумы и максимумы'!E$2)*100)</f>
        <v>37.5</v>
      </c>
      <c r="H85" s="1">
        <f>IF('исходные данные'!H85&gt;'минимумы и максимумы'!F$3,100,('исходные данные'!H85-'минимумы и максимумы'!F$2)/('минимумы и максимумы'!F$3-'минимумы и максимумы'!F$2)*100)</f>
        <v>44</v>
      </c>
      <c r="I85" s="1">
        <f>IF('исходные данные'!I85&gt;'минимумы и максимумы'!G$3,100,('исходные данные'!I85-'минимумы и максимумы'!G$2)/('минимумы и максимумы'!G$3-'минимумы и максимумы'!G$2)*100)</f>
        <v>37.735849056603776</v>
      </c>
      <c r="J85" s="1">
        <f>IF('исходные данные'!J85&gt;'минимумы и максимумы'!H$3,100,('исходные данные'!J85-'минимумы и максимумы'!H$2)/('минимумы и максимумы'!H$3-'минимумы и максимумы'!H$2)*100)</f>
        <v>33.333333333333329</v>
      </c>
      <c r="K85" s="1">
        <f>IF('исходные данные'!K85&gt;'минимумы и максимумы'!I$3,100,('исходные данные'!K85-'минимумы и максимумы'!I$2)/('минимумы и максимумы'!I$3-'минимумы и максимумы'!I$2)*100)</f>
        <v>44.444444444444443</v>
      </c>
      <c r="L85" s="1">
        <f>IF('исходные данные'!L85&gt;'минимумы и максимумы'!J$3,100,('исходные данные'!L85-'минимумы и максимумы'!J$2)/('минимумы и максимумы'!J$3-'минимумы и максимумы'!J$2)*100)</f>
        <v>60</v>
      </c>
      <c r="M85" s="1">
        <f>IF('исходные данные'!M85&gt;'минимумы и максимумы'!K$3,100,('исходные данные'!M85-'минимумы и максимумы'!K$2)/('минимумы и максимумы'!K$3-'минимумы и максимумы'!K$2)*100)</f>
        <v>41.935483870967744</v>
      </c>
      <c r="N85" s="1">
        <f>IF('исходные данные'!N85&gt;'минимумы и максимумы'!L$3,100,('исходные данные'!N85-'минимумы и максимумы'!L$2)/('минимумы и максимумы'!L$3-'минимумы и максимумы'!L$2)*100)</f>
        <v>17.030950579590577</v>
      </c>
      <c r="O85" s="1">
        <f>IF('исходные данные'!O85&gt;'минимумы и максимумы'!M$3,100,('исходные данные'!O85-'минимумы и максимумы'!M$2)/('минимумы и максимумы'!M$3-'минимумы и максимумы'!M$2)*100)</f>
        <v>100</v>
      </c>
      <c r="P85" s="1">
        <f>IF('исходные данные'!P85&gt;'минимумы и максимумы'!N$3,100,('исходные данные'!P85-'минимумы и максимумы'!N$2)/('минимумы и максимумы'!N$3-'минимумы и максимумы'!N$2)*100)</f>
        <v>0</v>
      </c>
      <c r="Q85" s="1">
        <f>IF('исходные данные'!Q85&gt;'минимумы и максимумы'!O$3,100,('исходные данные'!Q85-'минимумы и максимумы'!O$2)/('минимумы и максимумы'!O$3-'минимумы и максимумы'!O$2)*100)</f>
        <v>100</v>
      </c>
      <c r="R85" s="1">
        <f>IF('исходные данные'!R85&gt;'минимумы и максимумы'!P$3,100,('исходные данные'!R85-'минимумы и максимумы'!P$2)/('минимумы и максимумы'!P$3-'минимумы и максимумы'!P$2)*100)</f>
        <v>100</v>
      </c>
      <c r="S85" s="1">
        <f>IF('исходные данные'!S85&gt;'минимумы и максимумы'!Q$3,100,('исходные данные'!S85-'минимумы и максимумы'!Q$2)/('минимумы и максимумы'!Q$3-'минимумы и максимумы'!Q$2)*100)</f>
        <v>83.333333333333343</v>
      </c>
      <c r="T85" s="1">
        <f>IF('исходные данные'!T85&gt;'минимумы и максимумы'!R$3,100,('исходные данные'!T85-'минимумы и максимумы'!R$2)/('минимумы и максимумы'!R$3-'минимумы и максимумы'!R$2)*100)</f>
        <v>26.660800703915534</v>
      </c>
      <c r="U85" s="1">
        <f>IF('исходные данные'!U85&gt;'минимумы и максимумы'!S$3,100,('исходные данные'!U85-'минимумы и максимумы'!S$2)/('минимумы и максимумы'!S$3-'минимумы и максимумы'!S$2)*100)</f>
        <v>66.666666666666657</v>
      </c>
    </row>
    <row r="86" spans="1:21" x14ac:dyDescent="0.45">
      <c r="A86" s="4">
        <v>143</v>
      </c>
      <c r="B86" s="4">
        <v>0</v>
      </c>
      <c r="C86" s="4">
        <v>0</v>
      </c>
      <c r="D86" s="1">
        <f>IF('исходные данные'!D86&gt;'минимумы и максимумы'!B$3,100,('исходные данные'!D86-'минимумы и максимумы'!B$2)/('минимумы и максимумы'!B$3-'минимумы и максимумы'!B$2)*100)</f>
        <v>100</v>
      </c>
      <c r="E86" s="1">
        <f>IF('исходные данные'!E86&gt;'минимумы и максимумы'!C$3,100,('исходные данные'!E86-'минимумы и максимумы'!C$2)/('минимумы и максимумы'!C$3-'минимумы и максимумы'!C$2)*100)</f>
        <v>100</v>
      </c>
      <c r="F86" s="1">
        <f>IF('исходные данные'!F86&gt;'минимумы и максимумы'!D$3,100,('исходные данные'!F86-'минимумы и максимумы'!D$2)/('минимумы и максимумы'!D$3-'минимумы и максимумы'!D$2)*100)</f>
        <v>0</v>
      </c>
      <c r="G86" s="1">
        <f>IF('исходные данные'!G86&gt;'минимумы и максимумы'!E$3,100,('исходные данные'!G86-'минимумы и максимумы'!E$2)/('минимумы и максимумы'!E$3-'минимумы и максимумы'!E$2)*100)</f>
        <v>87.5</v>
      </c>
      <c r="H86" s="1">
        <f>IF('исходные данные'!H86&gt;'минимумы и максимумы'!F$3,100,('исходные данные'!H86-'минимумы и максимумы'!F$2)/('минимумы и максимумы'!F$3-'минимумы и максимумы'!F$2)*100)</f>
        <v>56.000000000000007</v>
      </c>
      <c r="I86" s="1">
        <f>IF('исходные данные'!I86&gt;'минимумы и максимумы'!G$3,100,('исходные данные'!I86-'минимумы и максимумы'!G$2)/('минимумы и максимумы'!G$3-'минимумы и максимумы'!G$2)*100)</f>
        <v>92.452830188679243</v>
      </c>
      <c r="J86" s="1">
        <f>IF('исходные данные'!J86&gt;'минимумы и максимумы'!H$3,100,('исходные данные'!J86-'минимумы и максимумы'!H$2)/('минимумы и максимумы'!H$3-'минимумы и максимумы'!H$2)*100)</f>
        <v>100</v>
      </c>
      <c r="K86" s="1">
        <f>IF('исходные данные'!K86&gt;'минимумы и максимумы'!I$3,100,('исходные данные'!K86-'минимумы и максимумы'!I$2)/('минимумы и максимумы'!I$3-'минимумы и максимумы'!I$2)*100)</f>
        <v>33.333333333333329</v>
      </c>
      <c r="L86" s="1">
        <f>IF('исходные данные'!L86&gt;'минимумы и максимумы'!J$3,100,('исходные данные'!L86-'минимумы и максимумы'!J$2)/('минимумы и максимумы'!J$3-'минимумы и максимумы'!J$2)*100)</f>
        <v>80</v>
      </c>
      <c r="M86" s="1">
        <f>IF('исходные данные'!M86&gt;'минимумы и максимумы'!K$3,100,('исходные данные'!M86-'минимумы и максимумы'!K$2)/('минимумы и максимумы'!K$3-'минимумы и максимумы'!K$2)*100)</f>
        <v>38.70967741935484</v>
      </c>
      <c r="N86" s="1">
        <f>IF('исходные данные'!N86&gt;'минимумы и максимумы'!L$3,100,('исходные данные'!N86-'минимумы и максимумы'!L$2)/('минимумы и максимумы'!L$3-'минимумы и максимумы'!L$2)*100)</f>
        <v>15.008328284929989</v>
      </c>
      <c r="O86" s="1">
        <f>IF('исходные данные'!O86&gt;'минимумы и максимумы'!M$3,100,('исходные данные'!O86-'минимумы и максимумы'!M$2)/('минимумы и максимумы'!M$3-'минимумы и максимумы'!M$2)*100)</f>
        <v>100</v>
      </c>
      <c r="P86" s="1">
        <f>IF('исходные данные'!P86&gt;'минимумы и максимумы'!N$3,100,('исходные данные'!P86-'минимумы и максимумы'!N$2)/('минимумы и максимумы'!N$3-'минимумы и максимумы'!N$2)*100)</f>
        <v>0</v>
      </c>
      <c r="Q86" s="1">
        <f>IF('исходные данные'!Q86&gt;'минимумы и максимумы'!O$3,100,('исходные данные'!Q86-'минимумы и максимумы'!O$2)/('минимумы и максимумы'!O$3-'минимумы и максимумы'!O$2)*100)</f>
        <v>100</v>
      </c>
      <c r="R86" s="1">
        <f>IF('исходные данные'!R86&gt;'минимумы и максимумы'!P$3,100,('исходные данные'!R86-'минимумы и максимумы'!P$2)/('минимумы и максимумы'!P$3-'минимумы и максимумы'!P$2)*100)</f>
        <v>100</v>
      </c>
      <c r="S86" s="1">
        <f>IF('исходные данные'!S86&gt;'минимумы и максимумы'!Q$3,100,('исходные данные'!S86-'минимумы и максимумы'!Q$2)/('минимумы и максимумы'!Q$3-'минимумы и максимумы'!Q$2)*100)</f>
        <v>66.666666666666657</v>
      </c>
      <c r="T86" s="1">
        <f>IF('исходные данные'!T86&gt;'минимумы и максимумы'!R$3,100,('исходные данные'!T86-'минимумы и максимумы'!R$2)/('минимумы и максимумы'!R$3-'минимумы и максимумы'!R$2)*100)</f>
        <v>13.110426748790143</v>
      </c>
      <c r="U86" s="1">
        <f>IF('исходные данные'!U86&gt;'минимумы и максимумы'!S$3,100,('исходные данные'!U86-'минимумы и максимумы'!S$2)/('минимумы и максимумы'!S$3-'минимумы и максимумы'!S$2)*100)</f>
        <v>0</v>
      </c>
    </row>
    <row r="87" spans="1:21" x14ac:dyDescent="0.45">
      <c r="A87" s="4">
        <v>144</v>
      </c>
      <c r="B87" s="4">
        <v>0</v>
      </c>
      <c r="C87" s="4">
        <v>0</v>
      </c>
      <c r="D87" s="1">
        <f>IF('исходные данные'!D87&gt;'минимумы и максимумы'!B$3,100,('исходные данные'!D87-'минимумы и максимумы'!B$2)/('минимумы и максимумы'!B$3-'минимумы и максимумы'!B$2)*100)</f>
        <v>80</v>
      </c>
      <c r="E87" s="1">
        <f>IF('исходные данные'!E87&gt;'минимумы и максимумы'!C$3,100,('исходные данные'!E87-'минимумы и максимумы'!C$2)/('минимумы и максимумы'!C$3-'минимумы и максимумы'!C$2)*100)</f>
        <v>70</v>
      </c>
      <c r="F87" s="1">
        <f>IF('исходные данные'!F87&gt;'минимумы и максимумы'!D$3,100,('исходные данные'!F87-'минимумы и максимумы'!D$2)/('минимумы и максимумы'!D$3-'минимумы и максимумы'!D$2)*100)</f>
        <v>33.333333333333329</v>
      </c>
      <c r="G87" s="1">
        <f>IF('исходные данные'!G87&gt;'минимумы и максимумы'!E$3,100,('исходные данные'!G87-'минимумы и максимумы'!E$2)/('минимумы и максимумы'!E$3-'минимумы и максимумы'!E$2)*100)</f>
        <v>29.166666666666668</v>
      </c>
      <c r="H87" s="1">
        <f>IF('исходные данные'!H87&gt;'минимумы и максимумы'!F$3,100,('исходные данные'!H87-'минимумы и максимумы'!F$2)/('минимумы и максимумы'!F$3-'минимумы и максимумы'!F$2)*100)</f>
        <v>48</v>
      </c>
      <c r="I87" s="1">
        <f>IF('исходные данные'!I87&gt;'минимумы и максимумы'!G$3,100,('исходные данные'!I87-'минимумы и максимумы'!G$2)/('минимумы и максимумы'!G$3-'минимумы и максимумы'!G$2)*100)</f>
        <v>28.30188679245283</v>
      </c>
      <c r="J87" s="1">
        <f>IF('исходные данные'!J87&gt;'минимумы и максимумы'!H$3,100,('исходные данные'!J87-'минимумы и максимумы'!H$2)/('минимумы и максимумы'!H$3-'минимумы и максимумы'!H$2)*100)</f>
        <v>20</v>
      </c>
      <c r="K87" s="1">
        <f>IF('исходные данные'!K87&gt;'минимумы и максимумы'!I$3,100,('исходные данные'!K87-'минимумы и максимумы'!I$2)/('минимумы и максимумы'!I$3-'минимумы и максимумы'!I$2)*100)</f>
        <v>44.444444444444443</v>
      </c>
      <c r="L87" s="1">
        <f>IF('исходные данные'!L87&gt;'минимумы и максимумы'!J$3,100,('исходные данные'!L87-'минимумы и максимумы'!J$2)/('минимумы и максимумы'!J$3-'минимумы и максимумы'!J$2)*100)</f>
        <v>40</v>
      </c>
      <c r="M87" s="1">
        <f>IF('исходные данные'!M87&gt;'минимумы и максимумы'!K$3,100,('исходные данные'!M87-'минимумы и максимумы'!K$2)/('минимумы и максимумы'!K$3-'минимумы и максимумы'!K$2)*100)</f>
        <v>38.70967741935484</v>
      </c>
      <c r="N87" s="1">
        <f>IF('исходные данные'!N87&gt;'минимумы и максимумы'!L$3,100,('исходные данные'!N87-'минимумы и максимумы'!L$2)/('минимумы и максимумы'!L$3-'минимумы и максимумы'!L$2)*100)</f>
        <v>18.055063692654809</v>
      </c>
      <c r="O87" s="1">
        <f>IF('исходные данные'!O87&gt;'минимумы и максимумы'!M$3,100,('исходные данные'!O87-'минимумы и максимумы'!M$2)/('минимумы и максимумы'!M$3-'минимумы и максимумы'!M$2)*100)</f>
        <v>33.333333333333329</v>
      </c>
      <c r="P87" s="1">
        <f>IF('исходные данные'!P87&gt;'минимумы и максимумы'!N$3,100,('исходные данные'!P87-'минимумы и максимумы'!N$2)/('минимумы и максимумы'!N$3-'минимумы и максимумы'!N$2)*100)</f>
        <v>0</v>
      </c>
      <c r="Q87" s="1">
        <f>IF('исходные данные'!Q87&gt;'минимумы и максимумы'!O$3,100,('исходные данные'!Q87-'минимумы и максимумы'!O$2)/('минимумы и максимумы'!O$3-'минимумы и максимумы'!O$2)*100)</f>
        <v>0</v>
      </c>
      <c r="R87" s="1">
        <f>IF('исходные данные'!R87&gt;'минимумы и максимумы'!P$3,100,('исходные данные'!R87-'минимумы и максимумы'!P$2)/('минимумы и максимумы'!P$3-'минимумы и максимумы'!P$2)*100)</f>
        <v>75</v>
      </c>
      <c r="S87" s="1">
        <f>IF('исходные данные'!S87&gt;'минимумы и максимумы'!Q$3,100,('исходные данные'!S87-'минимумы и максимумы'!Q$2)/('минимумы и максимумы'!Q$3-'минимумы и максимумы'!Q$2)*100)</f>
        <v>33.333333333333329</v>
      </c>
      <c r="T87" s="1">
        <f>IF('исходные данные'!T87&gt;'минимумы и максимумы'!R$3,100,('исходные данные'!T87-'минимумы и максимумы'!R$2)/('минимумы и максимумы'!R$3-'минимумы и максимумы'!R$2)*100)</f>
        <v>20.457545094588649</v>
      </c>
      <c r="U87" s="1">
        <f>IF('исходные данные'!U87&gt;'минимумы и максимумы'!S$3,100,('исходные данные'!U87-'минимумы и максимумы'!S$2)/('минимумы и максимумы'!S$3-'минимумы и максимумы'!S$2)*100)</f>
        <v>66.666666666666657</v>
      </c>
    </row>
    <row r="88" spans="1:21" x14ac:dyDescent="0.45">
      <c r="A88" s="4">
        <v>145</v>
      </c>
      <c r="B88" s="4">
        <v>0</v>
      </c>
      <c r="C88" s="4">
        <v>0</v>
      </c>
      <c r="D88" s="1">
        <f>IF('исходные данные'!D88&gt;'минимумы и максимумы'!B$3,100,('исходные данные'!D88-'минимумы и максимумы'!B$2)/('минимумы и максимумы'!B$3-'минимумы и максимумы'!B$2)*100)</f>
        <v>80</v>
      </c>
      <c r="E88" s="1">
        <f>IF('исходные данные'!E88&gt;'минимумы и максимумы'!C$3,100,('исходные данные'!E88-'минимумы и максимумы'!C$2)/('минимумы и максимумы'!C$3-'минимумы и максимумы'!C$2)*100)</f>
        <v>90</v>
      </c>
      <c r="F88" s="1">
        <f>IF('исходные данные'!F88&gt;'минимумы и максимумы'!D$3,100,('исходные данные'!F88-'минимумы и максимумы'!D$2)/('минимумы и максимумы'!D$3-'минимумы и максимумы'!D$2)*100)</f>
        <v>33.333333333333329</v>
      </c>
      <c r="G88" s="1">
        <f>IF('исходные данные'!G88&gt;'минимумы и максимумы'!E$3,100,('исходные данные'!G88-'минимумы и максимумы'!E$2)/('минимумы и максимумы'!E$3-'минимумы и максимумы'!E$2)*100)</f>
        <v>41.666666666666671</v>
      </c>
      <c r="H88" s="1">
        <f>IF('исходные данные'!H88&gt;'минимумы и максимумы'!F$3,100,('исходные данные'!H88-'минимумы и максимумы'!F$2)/('минимумы и максимумы'!F$3-'минимумы и максимумы'!F$2)*100)</f>
        <v>52</v>
      </c>
      <c r="I88" s="1">
        <f>IF('исходные данные'!I88&gt;'минимумы и максимумы'!G$3,100,('исходные данные'!I88-'минимумы и максимумы'!G$2)/('минимумы и максимумы'!G$3-'минимумы и максимумы'!G$2)*100)</f>
        <v>33.962264150943398</v>
      </c>
      <c r="J88" s="1">
        <f>IF('исходные данные'!J88&gt;'минимумы и максимумы'!H$3,100,('исходные данные'!J88-'минимумы и максимумы'!H$2)/('минимумы и максимумы'!H$3-'минимумы и максимумы'!H$2)*100)</f>
        <v>26.666666666666668</v>
      </c>
      <c r="K88" s="1">
        <f>IF('исходные данные'!K88&gt;'минимумы и максимумы'!I$3,100,('исходные данные'!K88-'минимумы и максимумы'!I$2)/('минимумы и максимумы'!I$3-'минимумы и максимумы'!I$2)*100)</f>
        <v>38.888888888888893</v>
      </c>
      <c r="L88" s="1">
        <f>IF('исходные данные'!L88&gt;'минимумы и максимумы'!J$3,100,('исходные данные'!L88-'минимумы и максимумы'!J$2)/('минимумы и максимумы'!J$3-'минимумы и максимумы'!J$2)*100)</f>
        <v>20</v>
      </c>
      <c r="M88" s="1">
        <f>IF('исходные данные'!M88&gt;'минимумы и максимумы'!K$3,100,('исходные данные'!M88-'минимумы и максимумы'!K$2)/('минимумы и максимумы'!K$3-'минимумы и максимумы'!K$2)*100)</f>
        <v>45.161290322580641</v>
      </c>
      <c r="N88" s="1">
        <f>IF('исходные данные'!N88&gt;'минимумы и максимумы'!L$3,100,('исходные данные'!N88-'минимумы и максимумы'!L$2)/('минимумы и максимумы'!L$3-'минимумы и максимумы'!L$2)*100)</f>
        <v>17.837929298620264</v>
      </c>
      <c r="O88" s="1">
        <f>IF('исходные данные'!O88&gt;'минимумы и максимумы'!M$3,100,('исходные данные'!O88-'минимумы и максимумы'!M$2)/('минимумы и максимумы'!M$3-'минимумы и максимумы'!M$2)*100)</f>
        <v>66.666666666666657</v>
      </c>
      <c r="P88" s="1">
        <f>IF('исходные данные'!P88&gt;'минимумы и максимумы'!N$3,100,('исходные данные'!P88-'минимумы и максимумы'!N$2)/('минимумы и максимумы'!N$3-'минимумы и максимумы'!N$2)*100)</f>
        <v>0</v>
      </c>
      <c r="Q88" s="1">
        <f>IF('исходные данные'!Q88&gt;'минимумы и максимумы'!O$3,100,('исходные данные'!Q88-'минимумы и максимумы'!O$2)/('минимумы и максимумы'!O$3-'минимумы и максимумы'!O$2)*100)</f>
        <v>100</v>
      </c>
      <c r="R88" s="1">
        <f>IF('исходные данные'!R88&gt;'минимумы и максимумы'!P$3,100,('исходные данные'!R88-'минимумы и максимумы'!P$2)/('минимумы и максимумы'!P$3-'минимумы и максимумы'!P$2)*100)</f>
        <v>100</v>
      </c>
      <c r="S88" s="1">
        <f>IF('исходные данные'!S88&gt;'минимумы и максимумы'!Q$3,100,('исходные данные'!S88-'минимумы и максимумы'!Q$2)/('минимумы и максимумы'!Q$3-'минимумы и максимумы'!Q$2)*100)</f>
        <v>100</v>
      </c>
      <c r="T88" s="1">
        <f>IF('исходные данные'!T88&gt;'минимумы и максимумы'!R$3,100,('исходные данные'!T88-'минимумы и максимумы'!R$2)/('минимумы и максимумы'!R$3-'минимумы и максимумы'!R$2)*100)</f>
        <v>100</v>
      </c>
      <c r="U88" s="1">
        <f>IF('исходные данные'!U88&gt;'минимумы и максимумы'!S$3,100,('исходные данные'!U88-'минимумы и максимумы'!S$2)/('минимумы и максимумы'!S$3-'минимумы и максимумы'!S$2)*100)</f>
        <v>66.666666666666657</v>
      </c>
    </row>
    <row r="89" spans="1:21" x14ac:dyDescent="0.45">
      <c r="A89" s="4">
        <v>146</v>
      </c>
      <c r="B89" s="4">
        <v>0</v>
      </c>
      <c r="C89" s="4">
        <v>0</v>
      </c>
      <c r="D89" s="1">
        <f>IF('исходные данные'!D89&gt;'минимумы и максимумы'!B$3,100,('исходные данные'!D89-'минимумы и максимумы'!B$2)/('минимумы и максимумы'!B$3-'минимумы и максимумы'!B$2)*100)</f>
        <v>40</v>
      </c>
      <c r="E89" s="1">
        <f>IF('исходные данные'!E89&gt;'минимумы и максимумы'!C$3,100,('исходные данные'!E89-'минимумы и максимумы'!C$2)/('минимумы и максимумы'!C$3-'минимумы и максимумы'!C$2)*100)</f>
        <v>70</v>
      </c>
      <c r="F89" s="1">
        <f>IF('исходные данные'!F89&gt;'минимумы и максимумы'!D$3,100,('исходные данные'!F89-'минимумы и максимумы'!D$2)/('минимумы и максимумы'!D$3-'минимумы и максимумы'!D$2)*100)</f>
        <v>66.666666666666657</v>
      </c>
      <c r="G89" s="1">
        <f>IF('исходные данные'!G89&gt;'минимумы и максимумы'!E$3,100,('исходные данные'!G89-'минимумы и максимумы'!E$2)/('минимумы и максимумы'!E$3-'минимумы и максимумы'!E$2)*100)</f>
        <v>62.5</v>
      </c>
      <c r="H89" s="1">
        <f>IF('исходные данные'!H89&gt;'минимумы и максимумы'!F$3,100,('исходные данные'!H89-'минимумы и максимумы'!F$2)/('минимумы и максимумы'!F$3-'минимумы и максимумы'!F$2)*100)</f>
        <v>48</v>
      </c>
      <c r="I89" s="1">
        <f>IF('исходные данные'!I89&gt;'минимумы и максимумы'!G$3,100,('исходные данные'!I89-'минимумы и максимумы'!G$2)/('минимумы и максимумы'!G$3-'минимумы и максимумы'!G$2)*100)</f>
        <v>77.358490566037744</v>
      </c>
      <c r="J89" s="1">
        <f>IF('исходные данные'!J89&gt;'минимумы и максимумы'!H$3,100,('исходные данные'!J89-'минимумы и максимумы'!H$2)/('минимумы и максимумы'!H$3-'минимумы и максимумы'!H$2)*100)</f>
        <v>100</v>
      </c>
      <c r="K89" s="1">
        <f>IF('исходные данные'!K89&gt;'минимумы и максимумы'!I$3,100,('исходные данные'!K89-'минимумы и максимумы'!I$2)/('минимумы и максимумы'!I$3-'минимумы и максимумы'!I$2)*100)</f>
        <v>66.666666666666657</v>
      </c>
      <c r="L89" s="1">
        <f>IF('исходные данные'!L89&gt;'минимумы и максимумы'!J$3,100,('исходные данные'!L89-'минимумы и максимумы'!J$2)/('минимумы и максимумы'!J$3-'минимумы и максимумы'!J$2)*100)</f>
        <v>100</v>
      </c>
      <c r="M89" s="1">
        <f>IF('исходные данные'!M89&gt;'минимумы и максимумы'!K$3,100,('исходные данные'!M89-'минимумы и максимумы'!K$2)/('минимумы и максимумы'!K$3-'минимумы и максимумы'!K$2)*100)</f>
        <v>83.870967741935488</v>
      </c>
      <c r="N89" s="1">
        <f>IF('исходные данные'!N89&gt;'минимумы и максимумы'!L$3,100,('исходные данные'!N89-'минимумы и максимумы'!L$2)/('минимумы и максимумы'!L$3-'минимумы и максимумы'!L$2)*100)</f>
        <v>18.012798857538261</v>
      </c>
      <c r="O89" s="1">
        <f>IF('исходные данные'!O89&gt;'минимумы и максимумы'!M$3,100,('исходные данные'!O89-'минимумы и максимумы'!M$2)/('минимумы и максимумы'!M$3-'минимумы и максимумы'!M$2)*100)</f>
        <v>66.666666666666657</v>
      </c>
      <c r="P89" s="1">
        <f>IF('исходные данные'!P89&gt;'минимумы и максимумы'!N$3,100,('исходные данные'!P89-'минимумы и максимумы'!N$2)/('минимумы и максимумы'!N$3-'минимумы и максимумы'!N$2)*100)</f>
        <v>0</v>
      </c>
      <c r="Q89" s="1">
        <f>IF('исходные данные'!Q89&gt;'минимумы и максимумы'!O$3,100,('исходные данные'!Q89-'минимумы и максимумы'!O$2)/('минимумы и максимумы'!O$3-'минимумы и максимумы'!O$2)*100)</f>
        <v>100</v>
      </c>
      <c r="R89" s="1">
        <f>IF('исходные данные'!R89&gt;'минимумы и максимумы'!P$3,100,('исходные данные'!R89-'минимумы и максимумы'!P$2)/('минимумы и максимумы'!P$3-'минимумы и максимумы'!P$2)*100)</f>
        <v>100</v>
      </c>
      <c r="S89" s="1">
        <f>IF('исходные данные'!S89&gt;'минимумы и максимумы'!Q$3,100,('исходные данные'!S89-'минимумы и максимумы'!Q$2)/('минимумы и максимумы'!Q$3-'минимумы и максимумы'!Q$2)*100)</f>
        <v>50</v>
      </c>
      <c r="T89" s="1">
        <f>IF('исходные данные'!T89&gt;'минимумы и максимумы'!R$3,100,('исходные данные'!T89-'минимумы и максимумы'!R$2)/('минимумы и максимумы'!R$3-'минимумы и максимумы'!R$2)*100)</f>
        <v>13.594368675758908</v>
      </c>
      <c r="U89" s="1">
        <f>IF('исходные данные'!U89&gt;'минимумы и максимумы'!S$3,100,('исходные данные'!U89-'минимумы и максимумы'!S$2)/('минимумы и максимумы'!S$3-'минимумы и максимумы'!S$2)*100)</f>
        <v>33.333333333333329</v>
      </c>
    </row>
    <row r="90" spans="1:21" x14ac:dyDescent="0.45">
      <c r="A90" s="4">
        <v>147</v>
      </c>
      <c r="B90" s="4">
        <v>0</v>
      </c>
      <c r="C90" s="4">
        <v>0</v>
      </c>
      <c r="D90" s="1">
        <f>IF('исходные данные'!D90&gt;'минимумы и максимумы'!B$3,100,('исходные данные'!D90-'минимумы и максимумы'!B$2)/('минимумы и максимумы'!B$3-'минимумы и максимумы'!B$2)*100)</f>
        <v>80</v>
      </c>
      <c r="E90" s="1">
        <f>IF('исходные данные'!E90&gt;'минимумы и максимумы'!C$3,100,('исходные данные'!E90-'минимумы и максимумы'!C$2)/('минимумы и максимумы'!C$3-'минимумы и максимумы'!C$2)*100)</f>
        <v>20</v>
      </c>
      <c r="F90" s="1">
        <f>IF('исходные данные'!F90&gt;'минимумы и максимумы'!D$3,100,('исходные данные'!F90-'минимумы и максимумы'!D$2)/('минимумы и максимумы'!D$3-'минимумы и максимумы'!D$2)*100)</f>
        <v>0</v>
      </c>
      <c r="G90" s="1">
        <f>IF('исходные данные'!G90&gt;'минимумы и максимумы'!E$3,100,('исходные данные'!G90-'минимумы и максимумы'!E$2)/('минимумы и максимумы'!E$3-'минимумы и максимумы'!E$2)*100)</f>
        <v>20.833333333333336</v>
      </c>
      <c r="H90" s="1">
        <f>IF('исходные данные'!H90&gt;'минимумы и максимумы'!F$3,100,('исходные данные'!H90-'минимумы и максимумы'!F$2)/('минимумы и максимумы'!F$3-'минимумы и максимумы'!F$2)*100)</f>
        <v>12</v>
      </c>
      <c r="I90" s="1">
        <f>IF('исходные данные'!I90&gt;'минимумы и максимумы'!G$3,100,('исходные данные'!I90-'минимумы и максимумы'!G$2)/('минимумы и максимумы'!G$3-'минимумы и максимумы'!G$2)*100)</f>
        <v>20.754716981132077</v>
      </c>
      <c r="J90" s="1">
        <f>IF('исходные данные'!J90&gt;'минимумы и максимумы'!H$3,100,('исходные данные'!J90-'минимумы и максимумы'!H$2)/('минимумы и максимумы'!H$3-'минимумы и максимумы'!H$2)*100)</f>
        <v>26.666666666666668</v>
      </c>
      <c r="K90" s="1">
        <f>IF('исходные данные'!K90&gt;'минимумы и максимумы'!I$3,100,('исходные данные'!K90-'минимумы и максимумы'!I$2)/('минимумы и максимумы'!I$3-'минимумы и максимумы'!I$2)*100)</f>
        <v>33.333333333333329</v>
      </c>
      <c r="L90" s="1">
        <f>IF('исходные данные'!L90&gt;'минимумы и максимумы'!J$3,100,('исходные данные'!L90-'минимумы и максимумы'!J$2)/('минимумы и максимумы'!J$3-'минимумы и максимумы'!J$2)*100)</f>
        <v>40</v>
      </c>
      <c r="M90" s="1">
        <f>IF('исходные данные'!M90&gt;'минимумы и максимумы'!K$3,100,('исходные данные'!M90-'минимумы и максимумы'!K$2)/('минимумы и максимумы'!K$3-'минимумы и максимумы'!K$2)*100)</f>
        <v>41.935483870967744</v>
      </c>
      <c r="N90" s="1">
        <f>IF('исходные данные'!N90&gt;'минимумы и максимумы'!L$3,100,('исходные данные'!N90-'минимумы и максимумы'!L$2)/('минимумы и максимумы'!L$3-'минимумы и максимумы'!L$2)*100)</f>
        <v>19.929981302152235</v>
      </c>
      <c r="O90" s="1">
        <f>IF('исходные данные'!O90&gt;'минимумы и максимумы'!M$3,100,('исходные данные'!O90-'минимумы и максимумы'!M$2)/('минимумы и максимумы'!M$3-'минимумы и максимумы'!M$2)*100)</f>
        <v>100</v>
      </c>
      <c r="P90" s="1">
        <f>IF('исходные данные'!P90&gt;'минимумы и максимумы'!N$3,100,('исходные данные'!P90-'минимумы и максимумы'!N$2)/('минимумы и максимумы'!N$3-'минимумы и максимумы'!N$2)*100)</f>
        <v>0</v>
      </c>
      <c r="Q90" s="1">
        <f>IF('исходные данные'!Q90&gt;'минимумы и максимумы'!O$3,100,('исходные данные'!Q90-'минимумы и максимумы'!O$2)/('минимумы и максимумы'!O$3-'минимумы и максимумы'!O$2)*100)</f>
        <v>100</v>
      </c>
      <c r="R90" s="1">
        <f>IF('исходные данные'!R90&gt;'минимумы и максимумы'!P$3,100,('исходные данные'!R90-'минимумы и максимумы'!P$2)/('минимумы и максимумы'!P$3-'минимумы и максимумы'!P$2)*100)</f>
        <v>100</v>
      </c>
      <c r="S90" s="1">
        <f>IF('исходные данные'!S90&gt;'минимумы и максимумы'!Q$3,100,('исходные данные'!S90-'минимумы и максимумы'!Q$2)/('минимумы и максимумы'!Q$3-'минимумы и максимумы'!Q$2)*100)</f>
        <v>33.333333333333329</v>
      </c>
      <c r="T90" s="1">
        <f>IF('исходные данные'!T90&gt;'минимумы и максимумы'!R$3,100,('исходные данные'!T90-'минимумы и максимумы'!R$2)/('минимумы и максимумы'!R$3-'минимумы и максимумы'!R$2)*100)</f>
        <v>7.8310602727672682</v>
      </c>
      <c r="U90" s="1">
        <f>IF('исходные данные'!U90&gt;'минимумы и максимумы'!S$3,100,('исходные данные'!U90-'минимумы и максимумы'!S$2)/('минимумы и максимумы'!S$3-'минимумы и максимумы'!S$2)*100)</f>
        <v>33.333333333333329</v>
      </c>
    </row>
    <row r="91" spans="1:21" x14ac:dyDescent="0.45">
      <c r="A91" s="4">
        <v>148</v>
      </c>
      <c r="B91" s="4">
        <v>0</v>
      </c>
      <c r="C91" s="4">
        <v>0</v>
      </c>
      <c r="D91" s="1">
        <f>IF('исходные данные'!D91&gt;'минимумы и максимумы'!B$3,100,('исходные данные'!D91-'минимумы и максимумы'!B$2)/('минимумы и максимумы'!B$3-'минимумы и максимумы'!B$2)*100)</f>
        <v>20</v>
      </c>
      <c r="E91" s="1">
        <f>IF('исходные данные'!E91&gt;'минимумы и максимумы'!C$3,100,('исходные данные'!E91-'минимумы и максимумы'!C$2)/('минимумы и максимумы'!C$3-'минимумы и максимумы'!C$2)*100)</f>
        <v>0</v>
      </c>
      <c r="F91" s="1">
        <f>IF('исходные данные'!F91&gt;'минимумы и максимумы'!D$3,100,('исходные данные'!F91-'минимумы и максимумы'!D$2)/('минимумы и максимумы'!D$3-'минимумы и максимумы'!D$2)*100)</f>
        <v>0</v>
      </c>
      <c r="G91" s="1">
        <f>IF('исходные данные'!G91&gt;'минимумы и максимумы'!E$3,100,('исходные данные'!G91-'минимумы и максимумы'!E$2)/('минимумы и максимумы'!E$3-'минимумы и максимумы'!E$2)*100)</f>
        <v>25</v>
      </c>
      <c r="H91" s="1">
        <f>IF('исходные данные'!H91&gt;'минимумы и максимумы'!F$3,100,('исходные данные'!H91-'минимумы и максимумы'!F$2)/('минимумы и максимумы'!F$3-'минимумы и максимумы'!F$2)*100)</f>
        <v>8</v>
      </c>
      <c r="I91" s="1">
        <f>IF('исходные данные'!I91&gt;'минимумы и максимумы'!G$3,100,('исходные данные'!I91-'минимумы и максимумы'!G$2)/('минимумы и максимумы'!G$3-'минимумы и максимумы'!G$2)*100)</f>
        <v>45.283018867924532</v>
      </c>
      <c r="J91" s="1">
        <f>IF('исходные данные'!J91&gt;'минимумы и максимумы'!H$3,100,('исходные данные'!J91-'минимумы и максимумы'!H$2)/('минимумы и максимумы'!H$3-'минимумы и максимумы'!H$2)*100)</f>
        <v>40</v>
      </c>
      <c r="K91" s="1">
        <f>IF('исходные данные'!K91&gt;'минимумы и максимумы'!I$3,100,('исходные данные'!K91-'минимумы и максимумы'!I$2)/('минимумы и максимумы'!I$3-'минимумы и максимумы'!I$2)*100)</f>
        <v>38.888888888888893</v>
      </c>
      <c r="L91" s="1">
        <f>IF('исходные данные'!L91&gt;'минимумы и максимумы'!J$3,100,('исходные данные'!L91-'минимумы и максимумы'!J$2)/('минимумы и максимумы'!J$3-'минимумы и максимумы'!J$2)*100)</f>
        <v>40</v>
      </c>
      <c r="M91" s="1">
        <f>IF('исходные данные'!M91&gt;'минимумы и максимумы'!K$3,100,('исходные данные'!M91-'минимумы и максимумы'!K$2)/('минимумы и максимумы'!K$3-'минимумы и максимумы'!K$2)*100)</f>
        <v>51.612903225806448</v>
      </c>
      <c r="N91" s="1">
        <f>IF('исходные данные'!N91&gt;'минимумы и максимумы'!L$3,100,('исходные данные'!N91-'минимумы и максимумы'!L$2)/('минимумы и максимумы'!L$3-'минимумы и максимумы'!L$2)*100)</f>
        <v>20.211366496480668</v>
      </c>
      <c r="O91" s="1">
        <f>IF('исходные данные'!O91&gt;'минимумы и максимумы'!M$3,100,('исходные данные'!O91-'минимумы и максимумы'!M$2)/('минимумы и максимумы'!M$3-'минимумы и максимумы'!M$2)*100)</f>
        <v>33.333333333333329</v>
      </c>
      <c r="P91" s="1">
        <f>IF('исходные данные'!P91&gt;'минимумы и максимумы'!N$3,100,('исходные данные'!P91-'минимумы и максимумы'!N$2)/('минимумы и максимумы'!N$3-'минимумы и максимумы'!N$2)*100)</f>
        <v>0</v>
      </c>
      <c r="Q91" s="1">
        <f>IF('исходные данные'!Q91&gt;'минимумы и максимумы'!O$3,100,('исходные данные'!Q91-'минимумы и максимумы'!O$2)/('минимумы и максимумы'!O$3-'минимумы и максимумы'!O$2)*100)</f>
        <v>0</v>
      </c>
      <c r="R91" s="1">
        <f>IF('исходные данные'!R91&gt;'минимумы и максимумы'!P$3,100,('исходные данные'!R91-'минимумы и максимумы'!P$2)/('минимумы и максимумы'!P$3-'минимумы и максимумы'!P$2)*100)</f>
        <v>100</v>
      </c>
      <c r="S91" s="1">
        <f>IF('исходные данные'!S91&gt;'минимумы и максимумы'!Q$3,100,('исходные данные'!S91-'минимумы и максимумы'!Q$2)/('минимумы и максимумы'!Q$3-'минимумы и максимумы'!Q$2)*100)</f>
        <v>33.333333333333329</v>
      </c>
      <c r="T91" s="1">
        <f>IF('исходные данные'!T91&gt;'минимумы и максимумы'!R$3,100,('исходные данные'!T91-'минимумы и максимумы'!R$2)/('минимумы и максимумы'!R$3-'минимумы и максимумы'!R$2)*100)</f>
        <v>51.385833699956009</v>
      </c>
      <c r="U91" s="1">
        <f>IF('исходные данные'!U91&gt;'минимумы и максимумы'!S$3,100,('исходные данные'!U91-'минимумы и максимумы'!S$2)/('минимумы и максимумы'!S$3-'минимумы и максимумы'!S$2)*100)</f>
        <v>33.333333333333329</v>
      </c>
    </row>
    <row r="92" spans="1:21" x14ac:dyDescent="0.45">
      <c r="A92" s="4">
        <v>149</v>
      </c>
      <c r="B92" s="4">
        <v>0</v>
      </c>
      <c r="C92" s="4">
        <v>0</v>
      </c>
      <c r="D92" s="1">
        <f>IF('исходные данные'!D92&gt;'минимумы и максимумы'!B$3,100,('исходные данные'!D92-'минимумы и максимумы'!B$2)/('минимумы и максимумы'!B$3-'минимумы и максимумы'!B$2)*100)</f>
        <v>20</v>
      </c>
      <c r="E92" s="1">
        <f>IF('исходные данные'!E92&gt;'минимумы и максимумы'!C$3,100,('исходные данные'!E92-'минимумы и максимумы'!C$2)/('минимумы и максимумы'!C$3-'минимумы и максимумы'!C$2)*100)</f>
        <v>0</v>
      </c>
      <c r="F92" s="1">
        <f>IF('исходные данные'!F92&gt;'минимумы и максимумы'!D$3,100,('исходные данные'!F92-'минимумы и максимумы'!D$2)/('минимумы и максимумы'!D$3-'минимумы и максимумы'!D$2)*100)</f>
        <v>0</v>
      </c>
      <c r="G92" s="1">
        <f>IF('исходные данные'!G92&gt;'минимумы и максимумы'!E$3,100,('исходные данные'!G92-'минимумы и максимумы'!E$2)/('минимумы и максимумы'!E$3-'минимумы и максимумы'!E$2)*100)</f>
        <v>25</v>
      </c>
      <c r="H92" s="1">
        <f>IF('исходные данные'!H92&gt;'минимумы и максимумы'!F$3,100,('исходные данные'!H92-'минимумы и максимумы'!F$2)/('минимумы и максимумы'!F$3-'минимумы и максимумы'!F$2)*100)</f>
        <v>8</v>
      </c>
      <c r="I92" s="1">
        <f>IF('исходные данные'!I92&gt;'минимумы и максимумы'!G$3,100,('исходные данные'!I92-'минимумы и максимумы'!G$2)/('минимумы и максимумы'!G$3-'минимумы и максимумы'!G$2)*100)</f>
        <v>45.283018867924532</v>
      </c>
      <c r="J92" s="1">
        <f>IF('исходные данные'!J92&gt;'минимумы и максимумы'!H$3,100,('исходные данные'!J92-'минимумы и максимумы'!H$2)/('минимумы и максимумы'!H$3-'минимумы и максимумы'!H$2)*100)</f>
        <v>40</v>
      </c>
      <c r="K92" s="1">
        <f>IF('исходные данные'!K92&gt;'минимумы и максимумы'!I$3,100,('исходные данные'!K92-'минимумы и максимумы'!I$2)/('минимумы и максимумы'!I$3-'минимумы и максимумы'!I$2)*100)</f>
        <v>38.888888888888893</v>
      </c>
      <c r="L92" s="1">
        <f>IF('исходные данные'!L92&gt;'минимумы и максимумы'!J$3,100,('исходные данные'!L92-'минимумы и максимумы'!J$2)/('минимумы и максимумы'!J$3-'минимумы и максимумы'!J$2)*100)</f>
        <v>40</v>
      </c>
      <c r="M92" s="1">
        <f>IF('исходные данные'!M92&gt;'минимумы и максимумы'!K$3,100,('исходные данные'!M92-'минимумы и максимумы'!K$2)/('минимумы и максимумы'!K$3-'минимумы и максимумы'!K$2)*100)</f>
        <v>51.612903225806448</v>
      </c>
      <c r="N92" s="1">
        <f>IF('исходные данные'!N92&gt;'минимумы и максимумы'!L$3,100,('исходные данные'!N92-'минимумы и максимумы'!L$2)/('минимумы и максимумы'!L$3-'минимумы и максимумы'!L$2)*100)</f>
        <v>19.942400902715576</v>
      </c>
      <c r="O92" s="1">
        <f>IF('исходные данные'!O92&gt;'минимумы и максимумы'!M$3,100,('исходные данные'!O92-'минимумы и максимумы'!M$2)/('минимумы и максимумы'!M$3-'минимумы и максимумы'!M$2)*100)</f>
        <v>33.333333333333329</v>
      </c>
      <c r="P92" s="1">
        <f>IF('исходные данные'!P92&gt;'минимумы и максимумы'!N$3,100,('исходные данные'!P92-'минимумы и максимумы'!N$2)/('минимумы и максимумы'!N$3-'минимумы и максимумы'!N$2)*100)</f>
        <v>0</v>
      </c>
      <c r="Q92" s="1">
        <f>IF('исходные данные'!Q92&gt;'минимумы и максимумы'!O$3,100,('исходные данные'!Q92-'минимумы и максимумы'!O$2)/('минимумы и максимумы'!O$3-'минимумы и максимумы'!O$2)*100)</f>
        <v>0</v>
      </c>
      <c r="R92" s="1">
        <f>IF('исходные данные'!R92&gt;'минимумы и максимумы'!P$3,100,('исходные данные'!R92-'минимумы и максимумы'!P$2)/('минимумы и максимумы'!P$3-'минимумы и максимумы'!P$2)*100)</f>
        <v>100</v>
      </c>
      <c r="S92" s="1">
        <f>IF('исходные данные'!S92&gt;'минимумы и максимумы'!Q$3,100,('исходные данные'!S92-'минимумы и максимумы'!Q$2)/('минимумы и максимумы'!Q$3-'минимумы и максимумы'!Q$2)*100)</f>
        <v>33.333333333333329</v>
      </c>
      <c r="T92" s="1">
        <f>IF('исходные данные'!T92&gt;'минимумы и максимумы'!R$3,100,('исходные данные'!T92-'минимумы и максимумы'!R$2)/('минимумы и максимумы'!R$3-'минимумы и максимумы'!R$2)*100)</f>
        <v>20.941487021557414</v>
      </c>
      <c r="U92" s="1">
        <f>IF('исходные данные'!U92&gt;'минимумы и максимумы'!S$3,100,('исходные данные'!U92-'минимумы и максимумы'!S$2)/('минимумы и максимумы'!S$3-'минимумы и максимумы'!S$2)*100)</f>
        <v>0</v>
      </c>
    </row>
    <row r="93" spans="1:21" x14ac:dyDescent="0.45">
      <c r="A93" s="4">
        <v>150</v>
      </c>
      <c r="B93" s="4">
        <v>0</v>
      </c>
      <c r="C93" s="4">
        <v>0</v>
      </c>
      <c r="D93" s="1">
        <f>IF('исходные данные'!D93&gt;'минимумы и максимумы'!B$3,100,('исходные данные'!D93-'минимумы и максимумы'!B$2)/('минимумы и максимумы'!B$3-'минимумы и максимумы'!B$2)*100)</f>
        <v>20</v>
      </c>
      <c r="E93" s="1">
        <f>IF('исходные данные'!E93&gt;'минимумы и максимумы'!C$3,100,('исходные данные'!E93-'минимумы и максимумы'!C$2)/('минимумы и максимумы'!C$3-'минимумы и максимумы'!C$2)*100)</f>
        <v>0</v>
      </c>
      <c r="F93" s="1">
        <f>IF('исходные данные'!F93&gt;'минимумы и максимумы'!D$3,100,('исходные данные'!F93-'минимумы и максимумы'!D$2)/('минимумы и максимумы'!D$3-'минимумы и максимумы'!D$2)*100)</f>
        <v>0</v>
      </c>
      <c r="G93" s="1">
        <f>IF('исходные данные'!G93&gt;'минимумы и максимумы'!E$3,100,('исходные данные'!G93-'минимумы и максимумы'!E$2)/('минимумы и максимумы'!E$3-'минимумы и максимумы'!E$2)*100)</f>
        <v>25</v>
      </c>
      <c r="H93" s="1">
        <f>IF('исходные данные'!H93&gt;'минимумы и максимумы'!F$3,100,('исходные данные'!H93-'минимумы и максимумы'!F$2)/('минимумы и максимумы'!F$3-'минимумы и максимумы'!F$2)*100)</f>
        <v>8</v>
      </c>
      <c r="I93" s="1">
        <f>IF('исходные данные'!I93&gt;'минимумы и максимумы'!G$3,100,('исходные данные'!I93-'минимумы и максимумы'!G$2)/('минимумы и максимумы'!G$3-'минимумы и максимумы'!G$2)*100)</f>
        <v>45.283018867924532</v>
      </c>
      <c r="J93" s="1">
        <f>IF('исходные данные'!J93&gt;'минимумы и максимумы'!H$3,100,('исходные данные'!J93-'минимумы и максимумы'!H$2)/('минимумы и максимумы'!H$3-'минимумы и максимумы'!H$2)*100)</f>
        <v>40</v>
      </c>
      <c r="K93" s="1">
        <f>IF('исходные данные'!K93&gt;'минимумы и максимумы'!I$3,100,('исходные данные'!K93-'минимумы и максимумы'!I$2)/('минимумы и максимумы'!I$3-'минимумы и максимумы'!I$2)*100)</f>
        <v>38.888888888888893</v>
      </c>
      <c r="L93" s="1">
        <f>IF('исходные данные'!L93&gt;'минимумы и максимумы'!J$3,100,('исходные данные'!L93-'минимумы и максимумы'!J$2)/('минимумы и максимумы'!J$3-'минимумы и максимумы'!J$2)*100)</f>
        <v>40</v>
      </c>
      <c r="M93" s="1">
        <f>IF('исходные данные'!M93&gt;'минимумы и максимумы'!K$3,100,('исходные данные'!M93-'минимумы и максимумы'!K$2)/('минимумы и максимумы'!K$3-'минимумы и максимумы'!K$2)*100)</f>
        <v>51.612903225806448</v>
      </c>
      <c r="N93" s="1">
        <f>IF('исходные данные'!N93&gt;'минимумы и максимумы'!L$3,100,('исходные данные'!N93-'минимумы и максимумы'!L$2)/('минимумы и максимумы'!L$3-'минимумы и максимумы'!L$2)*100)</f>
        <v>20.462553335819724</v>
      </c>
      <c r="O93" s="1">
        <f>IF('исходные данные'!O93&gt;'минимумы и максимумы'!M$3,100,('исходные данные'!O93-'минимумы и максимумы'!M$2)/('минимумы и максимумы'!M$3-'минимумы и максимумы'!M$2)*100)</f>
        <v>33.333333333333329</v>
      </c>
      <c r="P93" s="1">
        <f>IF('исходные данные'!P93&gt;'минимумы и максимумы'!N$3,100,('исходные данные'!P93-'минимумы и максимумы'!N$2)/('минимумы и максимумы'!N$3-'минимумы и максимумы'!N$2)*100)</f>
        <v>0</v>
      </c>
      <c r="Q93" s="1">
        <f>IF('исходные данные'!Q93&gt;'минимумы и максимумы'!O$3,100,('исходные данные'!Q93-'минимумы и максимумы'!O$2)/('минимумы и максимумы'!O$3-'минимумы и максимумы'!O$2)*100)</f>
        <v>100</v>
      </c>
      <c r="R93" s="1">
        <f>IF('исходные данные'!R93&gt;'минимумы и максимумы'!P$3,100,('исходные данные'!R93-'минимумы и максимумы'!P$2)/('минимумы и максимумы'!P$3-'минимумы и максимумы'!P$2)*100)</f>
        <v>75</v>
      </c>
      <c r="S93" s="1">
        <f>IF('исходные данные'!S93&gt;'минимумы и максимумы'!Q$3,100,('исходные данные'!S93-'минимумы и максимумы'!Q$2)/('минимумы и максимумы'!Q$3-'минимумы и максимумы'!Q$2)*100)</f>
        <v>50</v>
      </c>
      <c r="T93" s="1">
        <f>IF('исходные данные'!T93&gt;'минимумы и максимумы'!R$3,100,('исходные данные'!T93-'минимумы и максимумы'!R$2)/('минимумы и максимумы'!R$3-'минимумы и максимумы'!R$2)*100)</f>
        <v>39.155301363836344</v>
      </c>
      <c r="U93" s="1">
        <f>IF('исходные данные'!U93&gt;'минимумы и максимумы'!S$3,100,('исходные данные'!U93-'минимумы и максимумы'!S$2)/('минимумы и максимумы'!S$3-'минимумы и максимумы'!S$2)*100)</f>
        <v>33.333333333333329</v>
      </c>
    </row>
    <row r="94" spans="1:21" x14ac:dyDescent="0.45">
      <c r="A94" s="4">
        <v>151</v>
      </c>
      <c r="B94" s="4">
        <v>0</v>
      </c>
      <c r="C94" s="4">
        <v>0</v>
      </c>
      <c r="D94" s="1">
        <f>IF('исходные данные'!D94&gt;'минимумы и максимумы'!B$3,100,('исходные данные'!D94-'минимумы и максимумы'!B$2)/('минимумы и максимумы'!B$3-'минимумы и максимумы'!B$2)*100)</f>
        <v>20</v>
      </c>
      <c r="E94" s="1">
        <f>IF('исходные данные'!E94&gt;'минимумы и максимумы'!C$3,100,('исходные данные'!E94-'минимумы и максимумы'!C$2)/('минимумы и максимумы'!C$3-'минимумы и максимумы'!C$2)*100)</f>
        <v>10</v>
      </c>
      <c r="F94" s="1">
        <f>IF('исходные данные'!F94&gt;'минимумы и максимумы'!D$3,100,('исходные данные'!F94-'минимумы и максимумы'!D$2)/('минимумы и максимумы'!D$3-'минимумы и максимумы'!D$2)*100)</f>
        <v>0</v>
      </c>
      <c r="G94" s="1">
        <f>IF('исходные данные'!G94&gt;'минимумы и максимумы'!E$3,100,('исходные данные'!G94-'минимумы и максимумы'!E$2)/('минимумы и максимумы'!E$3-'минимумы и максимумы'!E$2)*100)</f>
        <v>33.333333333333329</v>
      </c>
      <c r="H94" s="1">
        <f>IF('исходные данные'!H94&gt;'минимумы и максимумы'!F$3,100,('исходные данные'!H94-'минимумы и максимумы'!F$2)/('минимумы и максимумы'!F$3-'минимумы и максимумы'!F$2)*100)</f>
        <v>16</v>
      </c>
      <c r="I94" s="1">
        <f>IF('исходные данные'!I94&gt;'минимумы и максимумы'!G$3,100,('исходные данные'!I94-'минимумы и максимумы'!G$2)/('минимумы и максимумы'!G$3-'минимумы и максимумы'!G$2)*100)</f>
        <v>49.056603773584904</v>
      </c>
      <c r="J94" s="1">
        <f>IF('исходные данные'!J94&gt;'минимумы и максимумы'!H$3,100,('исходные данные'!J94-'минимумы и максимумы'!H$2)/('минимумы и максимумы'!H$3-'минимумы и максимумы'!H$2)*100)</f>
        <v>53.333333333333336</v>
      </c>
      <c r="K94" s="1">
        <f>IF('исходные данные'!K94&gt;'минимумы и максимумы'!I$3,100,('исходные данные'!K94-'минимумы и максимумы'!I$2)/('минимумы и максимумы'!I$3-'минимумы и максимумы'!I$2)*100)</f>
        <v>44.444444444444443</v>
      </c>
      <c r="L94" s="1">
        <f>IF('исходные данные'!L94&gt;'минимумы и максимумы'!J$3,100,('исходные данные'!L94-'минимумы и максимумы'!J$2)/('минимумы и максимумы'!J$3-'минимумы и максимумы'!J$2)*100)</f>
        <v>60</v>
      </c>
      <c r="M94" s="1">
        <f>IF('исходные данные'!M94&gt;'минимумы и максимумы'!K$3,100,('исходные данные'!M94-'минимумы и максимумы'!K$2)/('минимумы и максимумы'!K$3-'минимумы и максимумы'!K$2)*100)</f>
        <v>54.838709677419352</v>
      </c>
      <c r="N94" s="1">
        <f>IF('исходные данные'!N94&gt;'минимумы и максимумы'!L$3,100,('исходные данные'!N94-'минимумы и максимумы'!L$2)/('минимумы и максимумы'!L$3-'минимумы и максимумы'!L$2)*100)</f>
        <v>20.462553335819724</v>
      </c>
      <c r="O94" s="1">
        <f>IF('исходные данные'!O94&gt;'минимумы и максимумы'!M$3,100,('исходные данные'!O94-'минимумы и максимумы'!M$2)/('минимумы и максимумы'!M$3-'минимумы и максимумы'!M$2)*100)</f>
        <v>0</v>
      </c>
      <c r="P94" s="1">
        <f>IF('исходные данные'!P94&gt;'минимумы и максимумы'!N$3,100,('исходные данные'!P94-'минимумы и максимумы'!N$2)/('минимумы и максимумы'!N$3-'минимумы и максимумы'!N$2)*100)</f>
        <v>0</v>
      </c>
      <c r="Q94" s="1">
        <f>IF('исходные данные'!Q94&gt;'минимумы и максимумы'!O$3,100,('исходные данные'!Q94-'минимумы и максимумы'!O$2)/('минимумы и максимумы'!O$3-'минимумы и максимумы'!O$2)*100)</f>
        <v>100</v>
      </c>
      <c r="R94" s="1">
        <f>IF('исходные данные'!R94&gt;'минимумы и максимумы'!P$3,100,('исходные данные'!R94-'минимумы и максимумы'!P$2)/('минимумы и максимумы'!P$3-'минимумы и максимумы'!P$2)*100)</f>
        <v>75</v>
      </c>
      <c r="S94" s="1">
        <f>IF('исходные данные'!S94&gt;'минимумы и максимумы'!Q$3,100,('исходные данные'!S94-'минимумы и максимумы'!Q$2)/('минимумы и максимумы'!Q$3-'минимумы и максимумы'!Q$2)*100)</f>
        <v>33.333333333333329</v>
      </c>
      <c r="T94" s="1">
        <f>IF('исходные данные'!T94&gt;'минимумы и максимумы'!R$3,100,('исходные данные'!T94-'минимумы и максимумы'!R$2)/('минимумы и максимумы'!R$3-'минимумы и максимумы'!R$2)*100)</f>
        <v>7.0391553013638362</v>
      </c>
      <c r="U94" s="1">
        <f>IF('исходные данные'!U94&gt;'минимумы и максимумы'!S$3,100,('исходные данные'!U94-'минимумы и максимумы'!S$2)/('минимумы и максимумы'!S$3-'минимумы и максимумы'!S$2)*100)</f>
        <v>0</v>
      </c>
    </row>
    <row r="95" spans="1:21" x14ac:dyDescent="0.45">
      <c r="A95" s="4">
        <v>152</v>
      </c>
      <c r="B95" s="4">
        <v>0</v>
      </c>
      <c r="C95" s="4">
        <v>0</v>
      </c>
      <c r="D95" s="1">
        <f>IF('исходные данные'!D95&gt;'минимумы и максимумы'!B$3,100,('исходные данные'!D95-'минимумы и максимумы'!B$2)/('минимумы и максимумы'!B$3-'минимумы и максимумы'!B$2)*100)</f>
        <v>20</v>
      </c>
      <c r="E95" s="1">
        <f>IF('исходные данные'!E95&gt;'минимумы и максимумы'!C$3,100,('исходные данные'!E95-'минимумы и максимумы'!C$2)/('минимумы и максимумы'!C$3-'минимумы и максимумы'!C$2)*100)</f>
        <v>40</v>
      </c>
      <c r="F95" s="1">
        <f>IF('исходные данные'!F95&gt;'минимумы и максимумы'!D$3,100,('исходные данные'!F95-'минимумы и максимумы'!D$2)/('минимумы и максимумы'!D$3-'минимумы и максимумы'!D$2)*100)</f>
        <v>0</v>
      </c>
      <c r="G95" s="1">
        <f>IF('исходные данные'!G95&gt;'минимумы и максимумы'!E$3,100,('исходные данные'!G95-'минимумы и максимумы'!E$2)/('минимумы и максимумы'!E$3-'минимумы и максимумы'!E$2)*100)</f>
        <v>41.666666666666671</v>
      </c>
      <c r="H95" s="1">
        <f>IF('исходные данные'!H95&gt;'минимумы и максимумы'!F$3,100,('исходные данные'!H95-'минимумы и максимумы'!F$2)/('минимумы и максимумы'!F$3-'минимумы и максимумы'!F$2)*100)</f>
        <v>36</v>
      </c>
      <c r="I95" s="1">
        <f>IF('исходные данные'!I95&gt;'минимумы и максимумы'!G$3,100,('исходные данные'!I95-'минимумы и максимумы'!G$2)/('минимумы и максимумы'!G$3-'минимумы и максимумы'!G$2)*100)</f>
        <v>100</v>
      </c>
      <c r="J95" s="1">
        <f>IF('исходные данные'!J95&gt;'минимумы и максимумы'!H$3,100,('исходные данные'!J95-'минимумы и максимумы'!H$2)/('минимумы и максимумы'!H$3-'минимумы и максимумы'!H$2)*100)</f>
        <v>100</v>
      </c>
      <c r="K95" s="1">
        <f>IF('исходные данные'!K95&gt;'минимумы и максимумы'!I$3,100,('исходные данные'!K95-'минимумы и максимумы'!I$2)/('минимумы и максимумы'!I$3-'минимумы и максимумы'!I$2)*100)</f>
        <v>100</v>
      </c>
      <c r="L95" s="1">
        <f>IF('исходные данные'!L95&gt;'минимумы и максимумы'!J$3,100,('исходные данные'!L95-'минимумы и максимумы'!J$2)/('минимумы и максимумы'!J$3-'минимумы и максимумы'!J$2)*100)</f>
        <v>100</v>
      </c>
      <c r="M95" s="1">
        <f>IF('исходные данные'!M95&gt;'минимумы и максимумы'!K$3,100,('исходные данные'!M95-'минимумы и максимумы'!K$2)/('минимумы и максимумы'!K$3-'минимумы и максимумы'!K$2)*100)</f>
        <v>16.129032258064516</v>
      </c>
      <c r="N95" s="1">
        <f>IF('исходные данные'!N95&gt;'минимумы и максимумы'!L$3,100,('исходные данные'!N95-'минимумы и максимумы'!L$2)/('минимумы и максимумы'!L$3-'минимумы и максимумы'!L$2)*100)</f>
        <v>14.856394464613304</v>
      </c>
      <c r="O95" s="1">
        <f>IF('исходные данные'!O95&gt;'минимумы и максимумы'!M$3,100,('исходные данные'!O95-'минимумы и максимумы'!M$2)/('минимумы и максимумы'!M$3-'минимумы и максимумы'!M$2)*100)</f>
        <v>66.666666666666657</v>
      </c>
      <c r="P95" s="1">
        <f>IF('исходные данные'!P95&gt;'минимумы и максимумы'!N$3,100,('исходные данные'!P95-'минимумы и максимумы'!N$2)/('минимумы и максимумы'!N$3-'минимумы и максимумы'!N$2)*100)</f>
        <v>0</v>
      </c>
      <c r="Q95" s="1">
        <f>IF('исходные данные'!Q95&gt;'минимумы и максимумы'!O$3,100,('исходные данные'!Q95-'минимумы и максимумы'!O$2)/('минимумы и максимумы'!O$3-'минимумы и максимумы'!O$2)*100)</f>
        <v>0</v>
      </c>
      <c r="R95" s="1">
        <f>IF('исходные данные'!R95&gt;'минимумы и максимумы'!P$3,100,('исходные данные'!R95-'минимумы и максимумы'!P$2)/('минимумы и максимумы'!P$3-'минимумы и максимумы'!P$2)*100)</f>
        <v>75</v>
      </c>
      <c r="S95" s="1">
        <f>IF('исходные данные'!S95&gt;'минимумы и максимумы'!Q$3,100,('исходные данные'!S95-'минимумы и максимумы'!Q$2)/('минимумы и максимумы'!Q$3-'минимумы и максимумы'!Q$2)*100)</f>
        <v>33.333333333333329</v>
      </c>
      <c r="T95" s="1">
        <f>IF('исходные данные'!T95&gt;'минимумы и максимумы'!R$3,100,('исходные данные'!T95-'минимумы и максимумы'!R$2)/('минимумы и максимумы'!R$3-'минимумы и максимумы'!R$2)*100)</f>
        <v>24.769027716674</v>
      </c>
      <c r="U95" s="1">
        <f>IF('исходные данные'!U95&gt;'минимумы и максимумы'!S$3,100,('исходные данные'!U95-'минимумы и максимумы'!S$2)/('минимумы и максимумы'!S$3-'минимумы и максимумы'!S$2)*100)</f>
        <v>66.666666666666657</v>
      </c>
    </row>
    <row r="96" spans="1:21" x14ac:dyDescent="0.45">
      <c r="A96" s="4">
        <v>153</v>
      </c>
      <c r="B96" s="4">
        <v>1</v>
      </c>
      <c r="C96" s="4">
        <v>0</v>
      </c>
      <c r="D96" s="1">
        <f>IF('исходные данные'!D96&gt;'минимумы и максимумы'!B$3,100,('исходные данные'!D96-'минимумы и максимумы'!B$2)/('минимумы и максимумы'!B$3-'минимумы и максимумы'!B$2)*100)</f>
        <v>20</v>
      </c>
      <c r="E96" s="1">
        <f>IF('исходные данные'!E96&gt;'минимумы и максимумы'!C$3,100,('исходные данные'!E96-'минимумы и максимумы'!C$2)/('минимумы и максимумы'!C$3-'минимумы и максимумы'!C$2)*100)</f>
        <v>40</v>
      </c>
      <c r="F96" s="1">
        <f>IF('исходные данные'!F96&gt;'минимумы и максимумы'!D$3,100,('исходные данные'!F96-'минимумы и максимумы'!D$2)/('минимумы и максимумы'!D$3-'минимумы и максимумы'!D$2)*100)</f>
        <v>0</v>
      </c>
      <c r="G96" s="1">
        <f>IF('исходные данные'!G96&gt;'минимумы и максимумы'!E$3,100,('исходные данные'!G96-'минимумы и максимумы'!E$2)/('минимумы и максимумы'!E$3-'минимумы и максимумы'!E$2)*100)</f>
        <v>50</v>
      </c>
      <c r="H96" s="1">
        <f>IF('исходные данные'!H96&gt;'минимумы и максимумы'!F$3,100,('исходные данные'!H96-'минимумы и максимумы'!F$2)/('минимумы и максимумы'!F$3-'минимумы и максимумы'!F$2)*100)</f>
        <v>60</v>
      </c>
      <c r="I96" s="1">
        <f>IF('исходные данные'!I96&gt;'минимумы и максимумы'!G$3,100,('исходные данные'!I96-'минимумы и максимумы'!G$2)/('минимумы и максимумы'!G$3-'минимумы и максимумы'!G$2)*100)</f>
        <v>100</v>
      </c>
      <c r="J96" s="1">
        <f>IF('исходные данные'!J96&gt;'минимумы и максимумы'!H$3,100,('исходные данные'!J96-'минимумы и максимумы'!H$2)/('минимумы и максимумы'!H$3-'минимумы и максимумы'!H$2)*100)</f>
        <v>100</v>
      </c>
      <c r="K96" s="1">
        <f>IF('исходные данные'!K96&gt;'минимумы и максимумы'!I$3,100,('исходные данные'!K96-'минимумы и максимумы'!I$2)/('минимумы и максимумы'!I$3-'минимумы и максимумы'!I$2)*100)</f>
        <v>88.888888888888886</v>
      </c>
      <c r="L96" s="1">
        <f>IF('исходные данные'!L96&gt;'минимумы и максимумы'!J$3,100,('исходные данные'!L96-'минимумы и максимумы'!J$2)/('минимумы и максимумы'!J$3-'минимумы и максимумы'!J$2)*100)</f>
        <v>80</v>
      </c>
      <c r="M96" s="1">
        <f>IF('исходные данные'!M96&gt;'минимумы и максимумы'!K$3,100,('исходные данные'!M96-'минимумы и максимумы'!K$2)/('минимумы и максимумы'!K$3-'минимумы и максимумы'!K$2)*100)</f>
        <v>22.58064516129032</v>
      </c>
      <c r="N96" s="1">
        <f>IF('исходные данные'!N96&gt;'минимумы и максимумы'!L$3,100,('исходные данные'!N96-'минимумы и максимумы'!L$2)/('минимумы и максимумы'!L$3-'минимумы и максимумы'!L$2)*100)</f>
        <v>15.320970316527601</v>
      </c>
      <c r="O96" s="1">
        <f>IF('исходные данные'!O96&gt;'минимумы и максимумы'!M$3,100,('исходные данные'!O96-'минимумы и максимумы'!M$2)/('минимумы и максимумы'!M$3-'минимумы и максимумы'!M$2)*100)</f>
        <v>33.333333333333329</v>
      </c>
      <c r="P96" s="1">
        <f>IF('исходные данные'!P96&gt;'минимумы и максимумы'!N$3,100,('исходные данные'!P96-'минимумы и максимумы'!N$2)/('минимумы и максимумы'!N$3-'минимумы и максимумы'!N$2)*100)</f>
        <v>0</v>
      </c>
      <c r="Q96" s="1">
        <f>IF('исходные данные'!Q96&gt;'минимумы и максимумы'!O$3,100,('исходные данные'!Q96-'минимумы и максимумы'!O$2)/('минимумы и максимумы'!O$3-'минимумы и максимумы'!O$2)*100)</f>
        <v>100</v>
      </c>
      <c r="R96" s="1">
        <f>IF('исходные данные'!R96&gt;'минимумы и максимумы'!P$3,100,('исходные данные'!R96-'минимумы и максимумы'!P$2)/('минимумы и максимумы'!P$3-'минимумы и максимумы'!P$2)*100)</f>
        <v>100</v>
      </c>
      <c r="S96" s="1">
        <f>IF('исходные данные'!S96&gt;'минимумы и максимумы'!Q$3,100,('исходные данные'!S96-'минимумы и максимумы'!Q$2)/('минимумы и максимумы'!Q$3-'минимумы и максимумы'!Q$2)*100)</f>
        <v>66.666666666666657</v>
      </c>
      <c r="T96" s="1">
        <f>IF('исходные данные'!T96&gt;'минимумы и максимумы'!R$3,100,('исходные данные'!T96-'минимумы и максимумы'!R$2)/('минимумы и максимумы'!R$3-'минимумы и максимумы'!R$2)*100)</f>
        <v>24.813022437307524</v>
      </c>
      <c r="U96" s="1">
        <f>IF('исходные данные'!U96&gt;'минимумы и максимумы'!S$3,100,('исходные данные'!U96-'минимумы и максимумы'!S$2)/('минимумы и максимумы'!S$3-'минимумы и максимумы'!S$2)*100)</f>
        <v>66.666666666666657</v>
      </c>
    </row>
    <row r="97" spans="1:21" x14ac:dyDescent="0.45">
      <c r="A97" s="4">
        <v>154</v>
      </c>
      <c r="B97" s="4">
        <v>1</v>
      </c>
      <c r="C97" s="4">
        <v>0</v>
      </c>
      <c r="D97" s="1">
        <f>IF('исходные данные'!D97&gt;'минимумы и максимумы'!B$3,100,('исходные данные'!D97-'минимумы и максимумы'!B$2)/('минимумы и максимумы'!B$3-'минимумы и максимумы'!B$2)*100)</f>
        <v>0</v>
      </c>
      <c r="E97" s="1">
        <f>IF('исходные данные'!E97&gt;'минимумы и максимумы'!C$3,100,('исходные данные'!E97-'минимумы и максимумы'!C$2)/('минимумы и максимумы'!C$3-'минимумы и максимумы'!C$2)*100)</f>
        <v>0</v>
      </c>
      <c r="F97" s="1">
        <f>IF('исходные данные'!F97&gt;'минимумы и максимумы'!D$3,100,('исходные данные'!F97-'минимумы и максимумы'!D$2)/('минимумы и максимумы'!D$3-'минимумы и максимумы'!D$2)*100)</f>
        <v>0</v>
      </c>
      <c r="G97" s="1">
        <f>IF('исходные данные'!G97&gt;'минимумы и максимумы'!E$3,100,('исходные данные'!G97-'минимумы и максимумы'!E$2)/('минимумы и максимумы'!E$3-'минимумы и максимумы'!E$2)*100)</f>
        <v>0</v>
      </c>
      <c r="H97" s="1">
        <f>IF('исходные данные'!H97&gt;'минимумы и максимумы'!F$3,100,('исходные данные'!H97-'минимумы и максимумы'!F$2)/('минимумы и максимумы'!F$3-'минимумы и максимумы'!F$2)*100)</f>
        <v>0</v>
      </c>
      <c r="I97" s="1">
        <f>IF('исходные данные'!I97&gt;'минимумы и максимумы'!G$3,100,('исходные данные'!I97-'минимумы и максимумы'!G$2)/('минимумы и максимумы'!G$3-'минимумы и максимумы'!G$2)*100)</f>
        <v>5.6603773584905666</v>
      </c>
      <c r="J97" s="1">
        <f>IF('исходные данные'!J97&gt;'минимумы и максимумы'!H$3,100,('исходные данные'!J97-'минимумы и максимумы'!H$2)/('минимумы и максимумы'!H$3-'минимумы и максимумы'!H$2)*100)</f>
        <v>33.333333333333329</v>
      </c>
      <c r="K97" s="1">
        <f>IF('исходные данные'!K97&gt;'минимумы и максимумы'!I$3,100,('исходные данные'!K97-'минимумы и максимумы'!I$2)/('минимумы и максимумы'!I$3-'минимумы и максимумы'!I$2)*100)</f>
        <v>5.5555555555555554</v>
      </c>
      <c r="L97" s="1">
        <f>IF('исходные данные'!L97&gt;'минимумы и максимумы'!J$3,100,('исходные данные'!L97-'минимумы и максимумы'!J$2)/('минимумы и максимумы'!J$3-'минимумы и максимумы'!J$2)*100)</f>
        <v>0</v>
      </c>
      <c r="M97" s="1">
        <f>IF('исходные данные'!M97&gt;'минимумы и максимумы'!K$3,100,('исходные данные'!M97-'минимумы и максимумы'!K$2)/('минимумы и максимумы'!K$3-'минимумы и максимумы'!K$2)*100)</f>
        <v>9.67741935483871</v>
      </c>
      <c r="N97" s="1">
        <f>IF('исходные данные'!N97&gt;'минимумы и максимумы'!L$3,100,('исходные данные'!N97-'минимумы и максимумы'!L$2)/('минимумы и максимумы'!L$3-'минимумы и максимумы'!L$2)*100)</f>
        <v>23.604199029690538</v>
      </c>
      <c r="O97" s="1">
        <f>IF('исходные данные'!O97&gt;'минимумы и максимумы'!M$3,100,('исходные данные'!O97-'минимумы и максимумы'!M$2)/('минимумы и максимумы'!M$3-'минимумы и максимумы'!M$2)*100)</f>
        <v>66.666666666666657</v>
      </c>
      <c r="P97" s="1">
        <f>IF('исходные данные'!P97&gt;'минимумы и максимумы'!N$3,100,('исходные данные'!P97-'минимумы и максимумы'!N$2)/('минимумы и максимумы'!N$3-'минимумы и максимумы'!N$2)*100)</f>
        <v>100</v>
      </c>
      <c r="Q97" s="1">
        <f>IF('исходные данные'!Q97&gt;'минимумы и максимумы'!O$3,100,('исходные данные'!Q97-'минимумы и максимумы'!O$2)/('минимумы и максимумы'!O$3-'минимумы и максимумы'!O$2)*100)</f>
        <v>0</v>
      </c>
      <c r="R97" s="1">
        <f>IF('исходные данные'!R97&gt;'минимумы и максимумы'!P$3,100,('исходные данные'!R97-'минимумы и максимумы'!P$2)/('минимумы и максимумы'!P$3-'минимумы и максимумы'!P$2)*100)</f>
        <v>75</v>
      </c>
      <c r="S97" s="1">
        <f>IF('исходные данные'!S97&gt;'минимумы и максимумы'!Q$3,100,('исходные данные'!S97-'минимумы и максимумы'!Q$2)/('минимумы и максимумы'!Q$3-'минимумы и максимумы'!Q$2)*100)</f>
        <v>33.333333333333329</v>
      </c>
      <c r="T97" s="1">
        <f>IF('исходные данные'!T97&gt;'минимумы и максимумы'!R$3,100,('исходные данные'!T97-'минимумы и максимумы'!R$2)/('минимумы и максимумы'!R$3-'минимумы и максимумы'!R$2)*100)</f>
        <v>38.495380554333479</v>
      </c>
      <c r="U97" s="1">
        <f>IF('исходные данные'!U97&gt;'минимумы и максимумы'!S$3,100,('исходные данные'!U97-'минимумы и максимумы'!S$2)/('минимумы и максимумы'!S$3-'минимумы и максимумы'!S$2)*100)</f>
        <v>0</v>
      </c>
    </row>
    <row r="98" spans="1:21" x14ac:dyDescent="0.45">
      <c r="A98" s="4">
        <v>155</v>
      </c>
      <c r="B98" s="4">
        <v>1</v>
      </c>
      <c r="C98" s="4">
        <v>0</v>
      </c>
      <c r="D98" s="1">
        <f>IF('исходные данные'!D98&gt;'минимумы и максимумы'!B$3,100,('исходные данные'!D98-'минимумы и максимумы'!B$2)/('минимумы и максимумы'!B$3-'минимумы и максимумы'!B$2)*100)</f>
        <v>0</v>
      </c>
      <c r="E98" s="1">
        <f>IF('исходные данные'!E98&gt;'минимумы и максимумы'!C$3,100,('исходные данные'!E98-'минимумы и максимумы'!C$2)/('минимумы и максимумы'!C$3-'минимумы и максимумы'!C$2)*100)</f>
        <v>0</v>
      </c>
      <c r="F98" s="1">
        <f>IF('исходные данные'!F98&gt;'минимумы и максимумы'!D$3,100,('исходные данные'!F98-'минимумы и максимумы'!D$2)/('минимумы и максимумы'!D$3-'минимумы и максимумы'!D$2)*100)</f>
        <v>0</v>
      </c>
      <c r="G98" s="1">
        <f>IF('исходные данные'!G98&gt;'минимумы и максимумы'!E$3,100,('исходные данные'!G98-'минимумы и максимумы'!E$2)/('минимумы и максимумы'!E$3-'минимумы и максимумы'!E$2)*100)</f>
        <v>0</v>
      </c>
      <c r="H98" s="1">
        <f>IF('исходные данные'!H98&gt;'минимумы и максимумы'!F$3,100,('исходные данные'!H98-'минимумы и максимумы'!F$2)/('минимумы и максимумы'!F$3-'минимумы и максимумы'!F$2)*100)</f>
        <v>0</v>
      </c>
      <c r="I98" s="1">
        <f>IF('исходные данные'!I98&gt;'минимумы и максимумы'!G$3,100,('исходные данные'!I98-'минимумы и максимумы'!G$2)/('минимумы и максимумы'!G$3-'минимумы и максимумы'!G$2)*100)</f>
        <v>7.5471698113207548</v>
      </c>
      <c r="J98" s="1">
        <f>IF('исходные данные'!J98&gt;'минимумы и максимумы'!H$3,100,('исходные данные'!J98-'минимумы и максимумы'!H$2)/('минимумы и максимумы'!H$3-'минимумы и максимумы'!H$2)*100)</f>
        <v>46.666666666666664</v>
      </c>
      <c r="K98" s="1">
        <f>IF('исходные данные'!K98&gt;'минимумы и максимумы'!I$3,100,('исходные данные'!K98-'минимумы и максимумы'!I$2)/('минимумы и максимумы'!I$3-'минимумы и максимумы'!I$2)*100)</f>
        <v>5.5555555555555554</v>
      </c>
      <c r="L98" s="1">
        <f>IF('исходные данные'!L98&gt;'минимумы и максимумы'!J$3,100,('исходные данные'!L98-'минимумы и максимумы'!J$2)/('минимумы и максимумы'!J$3-'минимумы и максимумы'!J$2)*100)</f>
        <v>0</v>
      </c>
      <c r="M98" s="1">
        <f>IF('исходные данные'!M98&gt;'минимумы и максимумы'!K$3,100,('исходные данные'!M98-'минимумы и максимумы'!K$2)/('минимумы и максимумы'!K$3-'минимумы и максимумы'!K$2)*100)</f>
        <v>6.4516129032258061</v>
      </c>
      <c r="N98" s="1">
        <f>IF('исходные данные'!N98&gt;'минимумы и максимумы'!L$3,100,('исходные данные'!N98-'минимумы и максимумы'!L$2)/('минимумы и максимумы'!L$3-'минимумы и максимумы'!L$2)*100)</f>
        <v>22.112831041366025</v>
      </c>
      <c r="O98" s="1">
        <f>IF('исходные данные'!O98&gt;'минимумы и максимумы'!M$3,100,('исходные данные'!O98-'минимумы и максимумы'!M$2)/('минимумы и максимумы'!M$3-'минимумы и максимумы'!M$2)*100)</f>
        <v>0</v>
      </c>
      <c r="P98" s="1">
        <f>IF('исходные данные'!P98&gt;'минимумы и максимумы'!N$3,100,('исходные данные'!P98-'минимумы и максимумы'!N$2)/('минимумы и максимумы'!N$3-'минимумы и максимумы'!N$2)*100)</f>
        <v>100</v>
      </c>
      <c r="Q98" s="1">
        <f>IF('исходные данные'!Q98&gt;'минимумы и максимумы'!O$3,100,('исходные данные'!Q98-'минимумы и максимумы'!O$2)/('минимумы и максимумы'!O$3-'минимумы и максимумы'!O$2)*100)</f>
        <v>100</v>
      </c>
      <c r="R98" s="1">
        <f>IF('исходные данные'!R98&gt;'минимумы и максимумы'!P$3,100,('исходные данные'!R98-'минимумы и максимумы'!P$2)/('минимумы и максимумы'!P$3-'минимумы и максимумы'!P$2)*100)</f>
        <v>75</v>
      </c>
      <c r="S98" s="1">
        <f>IF('исходные данные'!S98&gt;'минимумы и максимумы'!Q$3,100,('исходные данные'!S98-'минимумы и максимумы'!Q$2)/('минимумы и максимумы'!Q$3-'минимумы и максимумы'!Q$2)*100)</f>
        <v>33.333333333333329</v>
      </c>
      <c r="T98" s="1">
        <f>IF('исходные данные'!T98&gt;'минимумы и максимумы'!R$3,100,('исходные данные'!T98-'минимумы и максимумы'!R$2)/('минимумы и максимумы'!R$3-'минимумы и максимумы'!R$2)*100)</f>
        <v>10.206775186977563</v>
      </c>
      <c r="U98" s="1">
        <f>IF('исходные данные'!U98&gt;'минимумы и максимумы'!S$3,100,('исходные данные'!U98-'минимумы и максимумы'!S$2)/('минимумы и максимумы'!S$3-'минимумы и максимумы'!S$2)*100)</f>
        <v>0</v>
      </c>
    </row>
    <row r="99" spans="1:21" x14ac:dyDescent="0.45">
      <c r="A99" s="4">
        <v>156</v>
      </c>
      <c r="B99" s="4">
        <v>0</v>
      </c>
      <c r="C99" s="4">
        <v>0</v>
      </c>
      <c r="D99" s="1">
        <f>IF('исходные данные'!D99&gt;'минимумы и максимумы'!B$3,100,('исходные данные'!D99-'минимумы и максимумы'!B$2)/('минимумы и максимумы'!B$3-'минимумы и максимумы'!B$2)*100)</f>
        <v>0</v>
      </c>
      <c r="E99" s="1">
        <f>IF('исходные данные'!E99&gt;'минимумы и максимумы'!C$3,100,('исходные данные'!E99-'минимумы и максимумы'!C$2)/('минимумы и максимумы'!C$3-'минимумы и максимумы'!C$2)*100)</f>
        <v>30</v>
      </c>
      <c r="F99" s="1">
        <f>IF('исходные данные'!F99&gt;'минимумы и максимумы'!D$3,100,('исходные данные'!F99-'минимумы и максимумы'!D$2)/('минимумы и максимумы'!D$3-'минимумы и максимумы'!D$2)*100)</f>
        <v>100</v>
      </c>
      <c r="G99" s="1">
        <f>IF('исходные данные'!G99&gt;'минимумы и максимумы'!E$3,100,('исходные данные'!G99-'минимумы и максимумы'!E$2)/('минимумы и максимумы'!E$3-'минимумы и максимумы'!E$2)*100)</f>
        <v>20.833333333333336</v>
      </c>
      <c r="H99" s="1">
        <f>IF('исходные данные'!H99&gt;'минимумы и максимумы'!F$3,100,('исходные данные'!H99-'минимумы и максимумы'!F$2)/('минимумы и максимумы'!F$3-'минимумы и максимумы'!F$2)*100)</f>
        <v>32</v>
      </c>
      <c r="I99" s="1">
        <f>IF('исходные данные'!I99&gt;'минимумы и максимумы'!G$3,100,('исходные данные'!I99-'минимумы и максимумы'!G$2)/('минимумы и максимумы'!G$3-'минимумы и максимумы'!G$2)*100)</f>
        <v>16.981132075471699</v>
      </c>
      <c r="J99" s="1">
        <f>IF('исходные данные'!J99&gt;'минимумы и максимумы'!H$3,100,('исходные данные'!J99-'минимумы и максимумы'!H$2)/('минимумы и максимумы'!H$3-'минимумы и максимумы'!H$2)*100)</f>
        <v>13.333333333333334</v>
      </c>
      <c r="K99" s="1">
        <f>IF('исходные данные'!K99&gt;'минимумы и максимумы'!I$3,100,('исходные данные'!K99-'минимумы и максимумы'!I$2)/('минимумы и максимумы'!I$3-'минимумы и максимумы'!I$2)*100)</f>
        <v>16.666666666666664</v>
      </c>
      <c r="L99" s="1">
        <f>IF('исходные данные'!L99&gt;'минимумы и максимумы'!J$3,100,('исходные данные'!L99-'минимумы и максимумы'!J$2)/('минимумы и максимумы'!J$3-'минимумы и максимумы'!J$2)*100)</f>
        <v>0</v>
      </c>
      <c r="M99" s="1">
        <f>IF('исходные данные'!M99&gt;'минимумы и максимумы'!K$3,100,('исходные данные'!M99-'минимумы и максимумы'!K$2)/('минимумы и максимумы'!K$3-'минимумы и максимумы'!K$2)*100)</f>
        <v>16.129032258064516</v>
      </c>
      <c r="N99" s="1">
        <f>IF('исходные данные'!N99&gt;'минимумы и максимумы'!L$3,100,('исходные данные'!N99-'минимумы и максимумы'!L$2)/('минимумы и максимумы'!L$3-'минимумы и максимумы'!L$2)*100)</f>
        <v>19.286673786063293</v>
      </c>
      <c r="O99" s="1">
        <f>IF('исходные данные'!O99&gt;'минимумы и максимумы'!M$3,100,('исходные данные'!O99-'минимумы и максимумы'!M$2)/('минимумы и максимумы'!M$3-'минимумы и максимумы'!M$2)*100)</f>
        <v>100</v>
      </c>
      <c r="P99" s="1">
        <f>IF('исходные данные'!P99&gt;'минимумы и максимумы'!N$3,100,('исходные данные'!P99-'минимумы и максимумы'!N$2)/('минимумы и максимумы'!N$3-'минимумы и максимумы'!N$2)*100)</f>
        <v>100</v>
      </c>
      <c r="Q99" s="1">
        <f>IF('исходные данные'!Q99&gt;'минимумы и максимумы'!O$3,100,('исходные данные'!Q99-'минимумы и максимумы'!O$2)/('минимумы и максимумы'!O$3-'минимумы и максимумы'!O$2)*100)</f>
        <v>100</v>
      </c>
      <c r="R99" s="1">
        <f>IF('исходные данные'!R99&gt;'минимумы и максимумы'!P$3,100,('исходные данные'!R99-'минимумы и максимумы'!P$2)/('минимумы и максимумы'!P$3-'минимумы и максимумы'!P$2)*100)</f>
        <v>75</v>
      </c>
      <c r="S99" s="1">
        <f>IF('исходные данные'!S99&gt;'минимумы и максимумы'!Q$3,100,('исходные данные'!S99-'минимумы и максимумы'!Q$2)/('минимумы и максимумы'!Q$3-'минимумы и максимумы'!Q$2)*100)</f>
        <v>16.666666666666664</v>
      </c>
      <c r="T99" s="1">
        <f>IF('исходные данные'!T99&gt;'минимумы и максимумы'!R$3,100,('исходные данные'!T99-'минимумы и максимумы'!R$2)/('минимумы и максимумы'!R$3-'минимумы и максимумы'!R$2)*100)</f>
        <v>27.804663440387156</v>
      </c>
      <c r="U99" s="1">
        <f>IF('исходные данные'!U99&gt;'минимумы и максимумы'!S$3,100,('исходные данные'!U99-'минимумы и максимумы'!S$2)/('минимумы и максимумы'!S$3-'минимумы и максимумы'!S$2)*100)</f>
        <v>0</v>
      </c>
    </row>
    <row r="100" spans="1:21" x14ac:dyDescent="0.45">
      <c r="A100" s="4">
        <v>157</v>
      </c>
      <c r="B100" s="4">
        <v>0</v>
      </c>
      <c r="C100" s="4">
        <v>0</v>
      </c>
      <c r="D100" s="1">
        <f>IF('исходные данные'!D100&gt;'минимумы и максимумы'!B$3,100,('исходные данные'!D100-'минимумы и максимумы'!B$2)/('минимумы и максимумы'!B$3-'минимумы и максимумы'!B$2)*100)</f>
        <v>20</v>
      </c>
      <c r="E100" s="1">
        <f>IF('исходные данные'!E100&gt;'минимумы и максимумы'!C$3,100,('исходные данные'!E100-'минимумы и максимумы'!C$2)/('минимумы и максимумы'!C$3-'минимумы и максимумы'!C$2)*100)</f>
        <v>30</v>
      </c>
      <c r="F100" s="1">
        <f>IF('исходные данные'!F100&gt;'минимумы и максимумы'!D$3,100,('исходные данные'!F100-'минимумы и максимумы'!D$2)/('минимумы и максимумы'!D$3-'минимумы и максимумы'!D$2)*100)</f>
        <v>100</v>
      </c>
      <c r="G100" s="1">
        <f>IF('исходные данные'!G100&gt;'минимумы и максимумы'!E$3,100,('исходные данные'!G100-'минимумы и максимумы'!E$2)/('минимумы и максимумы'!E$3-'минимумы и максимумы'!E$2)*100)</f>
        <v>41.666666666666671</v>
      </c>
      <c r="H100" s="1">
        <f>IF('исходные данные'!H100&gt;'минимумы и максимумы'!F$3,100,('исходные данные'!H100-'минимумы и максимумы'!F$2)/('минимумы и максимумы'!F$3-'минимумы и максимумы'!F$2)*100)</f>
        <v>68</v>
      </c>
      <c r="I100" s="1">
        <f>IF('исходные данные'!I100&gt;'минимумы и максимумы'!G$3,100,('исходные данные'!I100-'минимумы и максимумы'!G$2)/('минимумы и максимумы'!G$3-'минимумы и максимумы'!G$2)*100)</f>
        <v>41.509433962264154</v>
      </c>
      <c r="J100" s="1">
        <f>IF('исходные данные'!J100&gt;'минимумы и максимумы'!H$3,100,('исходные данные'!J100-'минимумы и максимумы'!H$2)/('минимумы и максимумы'!H$3-'минимумы и максимумы'!H$2)*100)</f>
        <v>60</v>
      </c>
      <c r="K100" s="1">
        <f>IF('исходные данные'!K100&gt;'минимумы и максимумы'!I$3,100,('исходные данные'!K100-'минимумы и максимумы'!I$2)/('минимумы и максимумы'!I$3-'минимумы и максимумы'!I$2)*100)</f>
        <v>27.777777777777779</v>
      </c>
      <c r="L100" s="1">
        <f>IF('исходные данные'!L100&gt;'минимумы и максимумы'!J$3,100,('исходные данные'!L100-'минимумы и максимумы'!J$2)/('минимумы и максимумы'!J$3-'минимумы и максимумы'!J$2)*100)</f>
        <v>0</v>
      </c>
      <c r="M100" s="1">
        <f>IF('исходные данные'!M100&gt;'минимумы и максимумы'!K$3,100,('исходные данные'!M100-'минимумы и максимумы'!K$2)/('минимумы и максимумы'!K$3-'минимумы и максимумы'!K$2)*100)</f>
        <v>6.4516129032258061</v>
      </c>
      <c r="N100" s="1">
        <f>IF('исходные данные'!N100&gt;'минимумы и максимумы'!L$3,100,('исходные данные'!N100-'минимумы и максимумы'!L$2)/('минимумы и максимумы'!L$3-'минимумы и максимумы'!L$2)*100)</f>
        <v>17.475120874042315</v>
      </c>
      <c r="O100" s="1">
        <f>IF('исходные данные'!O100&gt;'минимумы и максимумы'!M$3,100,('исходные данные'!O100-'минимумы и максимумы'!M$2)/('минимумы и максимумы'!M$3-'минимумы и максимумы'!M$2)*100)</f>
        <v>66.666666666666657</v>
      </c>
      <c r="P100" s="1">
        <f>IF('исходные данные'!P100&gt;'минимумы и максимумы'!N$3,100,('исходные данные'!P100-'минимумы и максимумы'!N$2)/('минимумы и максимумы'!N$3-'минимумы и максимумы'!N$2)*100)</f>
        <v>100</v>
      </c>
      <c r="Q100" s="1">
        <f>IF('исходные данные'!Q100&gt;'минимумы и максимумы'!O$3,100,('исходные данные'!Q100-'минимумы и максимумы'!O$2)/('минимумы и максимумы'!O$3-'минимумы и максимумы'!O$2)*100)</f>
        <v>100</v>
      </c>
      <c r="R100" s="1">
        <f>IF('исходные данные'!R100&gt;'минимумы и максимумы'!P$3,100,('исходные данные'!R100-'минимумы и максимумы'!P$2)/('минимумы и максимумы'!P$3-'минимумы и максимумы'!P$2)*100)</f>
        <v>75</v>
      </c>
      <c r="S100" s="1">
        <f>IF('исходные данные'!S100&gt;'минимумы и максимумы'!Q$3,100,('исходные данные'!S100-'минимумы и максимумы'!Q$2)/('минимумы и максимумы'!Q$3-'минимумы и максимумы'!Q$2)*100)</f>
        <v>50</v>
      </c>
      <c r="T100" s="1">
        <f>IF('исходные данные'!T100&gt;'минимумы и максимумы'!R$3,100,('исходные данные'!T100-'минимумы и максимумы'!R$2)/('минимумы и максимумы'!R$3-'минимумы и максимумы'!R$2)*100)</f>
        <v>34.931808183018035</v>
      </c>
      <c r="U100" s="1">
        <f>IF('исходные данные'!U100&gt;'минимумы и максимумы'!S$3,100,('исходные данные'!U100-'минимумы и максимумы'!S$2)/('минимумы и максимумы'!S$3-'минимумы и максимумы'!S$2)*100)</f>
        <v>66.666666666666657</v>
      </c>
    </row>
    <row r="101" spans="1:21" x14ac:dyDescent="0.45">
      <c r="A101" s="4">
        <v>164</v>
      </c>
      <c r="B101" s="4">
        <v>0</v>
      </c>
      <c r="C101" s="4">
        <v>0</v>
      </c>
      <c r="D101" s="1">
        <f>IF('исходные данные'!D101&gt;'минимумы и максимумы'!B$3,100,('исходные данные'!D101-'минимумы и максимумы'!B$2)/('минимумы и максимумы'!B$3-'минимумы и максимумы'!B$2)*100)</f>
        <v>20</v>
      </c>
      <c r="E101" s="1">
        <f>IF('исходные данные'!E101&gt;'минимумы и максимумы'!C$3,100,('исходные данные'!E101-'минимумы и максимумы'!C$2)/('минимумы и максимумы'!C$3-'минимумы и максимумы'!C$2)*100)</f>
        <v>30</v>
      </c>
      <c r="F101" s="1">
        <f>IF('исходные данные'!F101&gt;'минимумы и максимумы'!D$3,100,('исходные данные'!F101-'минимумы и максимумы'!D$2)/('минимумы и максимумы'!D$3-'минимумы и максимумы'!D$2)*100)</f>
        <v>0</v>
      </c>
      <c r="G101" s="1">
        <f>IF('исходные данные'!G101&gt;'минимумы и максимумы'!E$3,100,('исходные данные'!G101-'минимумы и максимумы'!E$2)/('минимумы и максимумы'!E$3-'минимумы и максимумы'!E$2)*100)</f>
        <v>20.833333333333336</v>
      </c>
      <c r="H101" s="1">
        <f>IF('исходные данные'!H101&gt;'минимумы и максимумы'!F$3,100,('исходные данные'!H101-'минимумы и максимумы'!F$2)/('минимумы и максимумы'!F$3-'минимумы и максимумы'!F$2)*100)</f>
        <v>20</v>
      </c>
      <c r="I101" s="1">
        <f>IF('исходные данные'!I101&gt;'минимумы и максимумы'!G$3,100,('исходные данные'!I101-'минимумы и максимумы'!G$2)/('минимумы и максимумы'!G$3-'минимумы и максимумы'!G$2)*100)</f>
        <v>13.20754716981132</v>
      </c>
      <c r="J101" s="1">
        <f>IF('исходные данные'!J101&gt;'минимумы и максимумы'!H$3,100,('исходные данные'!J101-'минимумы и максимумы'!H$2)/('минимумы и максимумы'!H$3-'минимумы и максимумы'!H$2)*100)</f>
        <v>46.666666666666664</v>
      </c>
      <c r="K101" s="1">
        <f>IF('исходные данные'!K101&gt;'минимумы и максимумы'!I$3,100,('исходные данные'!K101-'минимумы и максимумы'!I$2)/('минимумы и максимумы'!I$3-'минимумы и максимумы'!I$2)*100)</f>
        <v>16.666666666666664</v>
      </c>
      <c r="L101" s="1">
        <f>IF('исходные данные'!L101&gt;'минимумы и максимумы'!J$3,100,('исходные данные'!L101-'минимумы и максимумы'!J$2)/('минимумы и максимумы'!J$3-'минимумы и максимумы'!J$2)*100)</f>
        <v>0</v>
      </c>
      <c r="M101" s="1">
        <f>IF('исходные данные'!M101&gt;'минимумы и максимумы'!K$3,100,('исходные данные'!M101-'минимумы и максимумы'!K$2)/('минимумы и максимумы'!K$3-'минимумы и максимумы'!K$2)*100)</f>
        <v>6.4516129032258061</v>
      </c>
      <c r="N101" s="1">
        <f>IF('исходные данные'!N101&gt;'минимумы и максимумы'!L$3,100,('исходные данные'!N101-'минимумы и максимумы'!L$2)/('минимумы и максимумы'!L$3-'минимумы и максимумы'!L$2)*100)</f>
        <v>12.715984272616726</v>
      </c>
      <c r="O101" s="1">
        <f>IF('исходные данные'!O101&gt;'минимумы и максимумы'!M$3,100,('исходные данные'!O101-'минимумы и максимумы'!M$2)/('минимумы и максимумы'!M$3-'минимумы и максимумы'!M$2)*100)</f>
        <v>100</v>
      </c>
      <c r="P101" s="1">
        <f>IF('исходные данные'!P101&gt;'минимумы и максимумы'!N$3,100,('исходные данные'!P101-'минимумы и максимумы'!N$2)/('минимумы и максимумы'!N$3-'минимумы и максимумы'!N$2)*100)</f>
        <v>100</v>
      </c>
      <c r="Q101" s="1">
        <f>IF('исходные данные'!Q101&gt;'минимумы и максимумы'!O$3,100,('исходные данные'!Q101-'минимумы и максимумы'!O$2)/('минимумы и максимумы'!O$3-'минимумы и максимумы'!O$2)*100)</f>
        <v>100</v>
      </c>
      <c r="R101" s="1">
        <f>IF('исходные данные'!R101&gt;'минимумы и максимумы'!P$3,100,('исходные данные'!R101-'минимумы и максимумы'!P$2)/('минимумы и максимумы'!P$3-'минимумы и максимумы'!P$2)*100)</f>
        <v>75</v>
      </c>
      <c r="S101" s="1">
        <f>IF('исходные данные'!S101&gt;'минимумы и максимумы'!Q$3,100,('исходные данные'!S101-'минимумы и максимумы'!Q$2)/('минимумы и максимумы'!Q$3-'минимумы и максимумы'!Q$2)*100)</f>
        <v>16.666666666666664</v>
      </c>
      <c r="T101" s="1">
        <f>IF('исходные данные'!T101&gt;'минимумы и максимумы'!R$3,100,('исходные данные'!T101-'минимумы и максимумы'!R$2)/('минимумы и максимумы'!R$3-'минимумы и максимумы'!R$2)*100)</f>
        <v>8.6669599648042226</v>
      </c>
      <c r="U101" s="1">
        <f>IF('исходные данные'!U101&gt;'минимумы и максимумы'!S$3,100,('исходные данные'!U101-'минимумы и максимумы'!S$2)/('минимумы и максимумы'!S$3-'минимумы и максимумы'!S$2)*100)</f>
        <v>66.666666666666657</v>
      </c>
    </row>
    <row r="102" spans="1:21" x14ac:dyDescent="0.45">
      <c r="A102" s="4">
        <v>165</v>
      </c>
      <c r="B102" s="4">
        <v>0</v>
      </c>
      <c r="C102" s="4">
        <v>0</v>
      </c>
      <c r="D102" s="1">
        <f>IF('исходные данные'!D102&gt;'минимумы и максимумы'!B$3,100,('исходные данные'!D102-'минимумы и максимумы'!B$2)/('минимумы и максимумы'!B$3-'минимумы и максимумы'!B$2)*100)</f>
        <v>100</v>
      </c>
      <c r="E102" s="1">
        <f>IF('исходные данные'!E102&gt;'минимумы и максимумы'!C$3,100,('исходные данные'!E102-'минимумы и максимумы'!C$2)/('минимумы и максимумы'!C$3-'минимумы и максимумы'!C$2)*100)</f>
        <v>90</v>
      </c>
      <c r="F102" s="1">
        <f>IF('исходные данные'!F102&gt;'минимумы и максимумы'!D$3,100,('исходные данные'!F102-'минимумы и максимумы'!D$2)/('минимумы и максимумы'!D$3-'минимумы и максимумы'!D$2)*100)</f>
        <v>100</v>
      </c>
      <c r="G102" s="1">
        <f>IF('исходные данные'!G102&gt;'минимумы и максимумы'!E$3,100,('исходные данные'!G102-'минимумы и максимумы'!E$2)/('минимумы и максимумы'!E$3-'минимумы и максимумы'!E$2)*100)</f>
        <v>87.5</v>
      </c>
      <c r="H102" s="1">
        <f>IF('исходные данные'!H102&gt;'минимумы и максимумы'!F$3,100,('исходные данные'!H102-'минимумы и максимумы'!F$2)/('минимумы и максимумы'!F$3-'минимумы и максимумы'!F$2)*100)</f>
        <v>64</v>
      </c>
      <c r="I102" s="1">
        <f>IF('исходные данные'!I102&gt;'минимумы и максимумы'!G$3,100,('исходные данные'!I102-'минимумы и максимумы'!G$2)/('минимумы и максимумы'!G$3-'минимумы и максимумы'!G$2)*100)</f>
        <v>100</v>
      </c>
      <c r="J102" s="1">
        <f>IF('исходные данные'!J102&gt;'минимумы и максимумы'!H$3,100,('исходные данные'!J102-'минимумы и максимумы'!H$2)/('минимумы и максимумы'!H$3-'минимумы и максимумы'!H$2)*100)</f>
        <v>100</v>
      </c>
      <c r="K102" s="1">
        <f>IF('исходные данные'!K102&gt;'минимумы и максимумы'!I$3,100,('исходные данные'!K102-'минимумы и максимумы'!I$2)/('минимумы и максимумы'!I$3-'минимумы и максимумы'!I$2)*100)</f>
        <v>16.666666666666664</v>
      </c>
      <c r="L102" s="1">
        <f>IF('исходные данные'!L102&gt;'минимумы и максимумы'!J$3,100,('исходные данные'!L102-'минимумы и максимумы'!J$2)/('минимумы и максимумы'!J$3-'минимумы и максимумы'!J$2)*100)</f>
        <v>60</v>
      </c>
      <c r="M102" s="1">
        <f>IF('исходные данные'!M102&gt;'минимумы и максимумы'!K$3,100,('исходные данные'!M102-'минимумы и максимумы'!K$2)/('минимумы и максимумы'!K$3-'минимумы и максимумы'!K$2)*100)</f>
        <v>74.193548387096769</v>
      </c>
      <c r="N102" s="1">
        <f>IF('исходные данные'!N102&gt;'минимумы и максимумы'!L$3,100,('исходные данные'!N102-'минимумы и максимумы'!L$2)/('минимумы и максимумы'!L$3-'минимумы и максимумы'!L$2)*100)</f>
        <v>8.3610217478624911</v>
      </c>
      <c r="O102" s="1">
        <f>IF('исходные данные'!O102&gt;'минимумы и максимумы'!M$3,100,('исходные данные'!O102-'минимумы и максимумы'!M$2)/('минимумы и максимумы'!M$3-'минимумы и максимумы'!M$2)*100)</f>
        <v>66.666666666666657</v>
      </c>
      <c r="P102" s="1">
        <f>IF('исходные данные'!P102&gt;'минимумы и максимумы'!N$3,100,('исходные данные'!P102-'минимумы и максимумы'!N$2)/('минимумы и максимумы'!N$3-'минимумы и максимумы'!N$2)*100)</f>
        <v>100</v>
      </c>
      <c r="Q102" s="1">
        <f>IF('исходные данные'!Q102&gt;'минимумы и максимумы'!O$3,100,('исходные данные'!Q102-'минимумы и максимумы'!O$2)/('минимумы и максимумы'!O$3-'минимумы и максимумы'!O$2)*100)</f>
        <v>100</v>
      </c>
      <c r="R102" s="1">
        <f>IF('исходные данные'!R102&gt;'минимумы и максимумы'!P$3,100,('исходные данные'!R102-'минимумы и максимумы'!P$2)/('минимумы и максимумы'!P$3-'минимумы и максимумы'!P$2)*100)</f>
        <v>100</v>
      </c>
      <c r="S102" s="1">
        <f>IF('исходные данные'!S102&gt;'минимумы и максимумы'!Q$3,100,('исходные данные'!S102-'минимумы и максимумы'!Q$2)/('минимумы и максимумы'!Q$3-'минимумы и максимумы'!Q$2)*100)</f>
        <v>66.666666666666657</v>
      </c>
      <c r="T102" s="1">
        <f>IF('исходные данные'!T102&gt;'минимумы и максимумы'!R$3,100,('исходные данные'!T102-'минимумы и максимумы'!R$2)/('минимумы и максимумы'!R$3-'минимумы и максимумы'!R$2)*100)</f>
        <v>100</v>
      </c>
      <c r="U102" s="1">
        <f>IF('исходные данные'!U102&gt;'минимумы и максимумы'!S$3,100,('исходные данные'!U102-'минимумы и максимумы'!S$2)/('минимумы и максимумы'!S$3-'минимумы и максимумы'!S$2)*100)</f>
        <v>100</v>
      </c>
    </row>
    <row r="103" spans="1:21" x14ac:dyDescent="0.45">
      <c r="A103" s="4">
        <v>166</v>
      </c>
      <c r="B103" s="4">
        <v>0</v>
      </c>
      <c r="C103" s="4">
        <v>0</v>
      </c>
      <c r="D103" s="1">
        <f>IF('исходные данные'!D103&gt;'минимумы и максимумы'!B$3,100,('исходные данные'!D103-'минимумы и максимумы'!B$2)/('минимумы и максимумы'!B$3-'минимумы и максимумы'!B$2)*100)</f>
        <v>100</v>
      </c>
      <c r="E103" s="1">
        <f>IF('исходные данные'!E103&gt;'минимумы и максимумы'!C$3,100,('исходные данные'!E103-'минимумы и максимумы'!C$2)/('минимумы и максимумы'!C$3-'минимумы и максимумы'!C$2)*100)</f>
        <v>100</v>
      </c>
      <c r="F103" s="1">
        <f>IF('исходные данные'!F103&gt;'минимумы и максимумы'!D$3,100,('исходные данные'!F103-'минимумы и максимумы'!D$2)/('минимумы и максимумы'!D$3-'минимумы и максимумы'!D$2)*100)</f>
        <v>100</v>
      </c>
      <c r="G103" s="1">
        <f>IF('исходные данные'!G103&gt;'минимумы и максимумы'!E$3,100,('исходные данные'!G103-'минимумы и максимумы'!E$2)/('минимумы и максимумы'!E$3-'минимумы и максимумы'!E$2)*100)</f>
        <v>62.5</v>
      </c>
      <c r="H103" s="1">
        <f>IF('исходные данные'!H103&gt;'минимумы и максимумы'!F$3,100,('исходные данные'!H103-'минимумы и максимумы'!F$2)/('минимумы и максимумы'!F$3-'минимумы и максимумы'!F$2)*100)</f>
        <v>44</v>
      </c>
      <c r="I103" s="1">
        <f>IF('исходные данные'!I103&gt;'минимумы и максимумы'!G$3,100,('исходные данные'!I103-'минимумы и максимумы'!G$2)/('минимумы и максимумы'!G$3-'минимумы и максимумы'!G$2)*100)</f>
        <v>90.566037735849065</v>
      </c>
      <c r="J103" s="1">
        <f>IF('исходные данные'!J103&gt;'минимумы и максимумы'!H$3,100,('исходные данные'!J103-'минимумы и максимумы'!H$2)/('минимумы и максимумы'!H$3-'минимумы и максимумы'!H$2)*100)</f>
        <v>100</v>
      </c>
      <c r="K103" s="1">
        <f>IF('исходные данные'!K103&gt;'минимумы и максимумы'!I$3,100,('исходные данные'!K103-'минимумы и максимумы'!I$2)/('минимумы и максимумы'!I$3-'минимумы и максимумы'!I$2)*100)</f>
        <v>22.222222222222221</v>
      </c>
      <c r="L103" s="1">
        <f>IF('исходные данные'!L103&gt;'минимумы и максимумы'!J$3,100,('исходные данные'!L103-'минимумы и максимумы'!J$2)/('минимумы и максимумы'!J$3-'минимумы и максимумы'!J$2)*100)</f>
        <v>0</v>
      </c>
      <c r="M103" s="1">
        <f>IF('исходные данные'!M103&gt;'минимумы и максимумы'!K$3,100,('исходные данные'!M103-'минимумы и максимумы'!K$2)/('минимумы и максимумы'!K$3-'минимумы и максимумы'!K$2)*100)</f>
        <v>64.516129032258064</v>
      </c>
      <c r="N103" s="1">
        <f>IF('исходные данные'!N103&gt;'минимумы и максимумы'!L$3,100,('исходные данные'!N103-'минимумы и максимумы'!L$2)/('минимумы и максимумы'!L$3-'минимумы и максимумы'!L$2)*100)</f>
        <v>9.659359406269898</v>
      </c>
      <c r="O103" s="1">
        <f>IF('исходные данные'!O103&gt;'минимумы и максимумы'!M$3,100,('исходные данные'!O103-'минимумы и максимумы'!M$2)/('минимумы и максимумы'!M$3-'минимумы и максимумы'!M$2)*100)</f>
        <v>66.666666666666657</v>
      </c>
      <c r="P103" s="1">
        <f>IF('исходные данные'!P103&gt;'минимумы и максимумы'!N$3,100,('исходные данные'!P103-'минимумы и максимумы'!N$2)/('минимумы и максимумы'!N$3-'минимумы и максимумы'!N$2)*100)</f>
        <v>100</v>
      </c>
      <c r="Q103" s="1">
        <f>IF('исходные данные'!Q103&gt;'минимумы и максимумы'!O$3,100,('исходные данные'!Q103-'минимумы и максимумы'!O$2)/('минимумы и максимумы'!O$3-'минимумы и максимумы'!O$2)*100)</f>
        <v>100</v>
      </c>
      <c r="R103" s="1">
        <f>IF('исходные данные'!R103&gt;'минимумы и максимумы'!P$3,100,('исходные данные'!R103-'минимумы и максимумы'!P$2)/('минимумы и максимумы'!P$3-'минимумы и максимумы'!P$2)*100)</f>
        <v>100</v>
      </c>
      <c r="S103" s="1">
        <f>IF('исходные данные'!S103&gt;'минимумы и максимумы'!Q$3,100,('исходные данные'!S103-'минимумы и максимумы'!Q$2)/('минимумы и максимумы'!Q$3-'минимумы и максимумы'!Q$2)*100)</f>
        <v>83.333333333333343</v>
      </c>
      <c r="T103" s="1">
        <f>IF('исходные данные'!T103&gt;'минимумы и максимумы'!R$3,100,('исходные данные'!T103-'минимумы и максимумы'!R$2)/('минимумы и максимумы'!R$3-'минимумы и максимумы'!R$2)*100)</f>
        <v>59.744830620325558</v>
      </c>
      <c r="U103" s="1">
        <f>IF('исходные данные'!U103&gt;'минимумы и максимумы'!S$3,100,('исходные данные'!U103-'минимумы и максимумы'!S$2)/('минимумы и максимумы'!S$3-'минимумы и максимумы'!S$2)*100)</f>
        <v>100</v>
      </c>
    </row>
    <row r="104" spans="1:21" x14ac:dyDescent="0.45">
      <c r="A104" s="4">
        <v>167</v>
      </c>
      <c r="B104" s="4">
        <v>0</v>
      </c>
      <c r="C104" s="4">
        <v>0</v>
      </c>
      <c r="D104" s="1">
        <f>IF('исходные данные'!D104&gt;'минимумы и максимумы'!B$3,100,('исходные данные'!D104-'минимумы и максимумы'!B$2)/('минимумы и максимумы'!B$3-'минимумы и максимумы'!B$2)*100)</f>
        <v>100</v>
      </c>
      <c r="E104" s="1">
        <f>IF('исходные данные'!E104&gt;'минимумы и максимумы'!C$3,100,('исходные данные'!E104-'минимумы и максимумы'!C$2)/('минимумы и максимумы'!C$3-'минимумы и максимумы'!C$2)*100)</f>
        <v>100</v>
      </c>
      <c r="F104" s="1">
        <f>IF('исходные данные'!F104&gt;'минимумы и максимумы'!D$3,100,('исходные данные'!F104-'минимумы и максимумы'!D$2)/('минимумы и максимумы'!D$3-'минимумы и максимумы'!D$2)*100)</f>
        <v>100</v>
      </c>
      <c r="G104" s="1">
        <f>IF('исходные данные'!G104&gt;'минимумы и максимумы'!E$3,100,('исходные данные'!G104-'минимумы и максимумы'!E$2)/('минимумы и максимумы'!E$3-'минимумы и максимумы'!E$2)*100)</f>
        <v>62.5</v>
      </c>
      <c r="H104" s="1">
        <f>IF('исходные данные'!H104&gt;'минимумы и максимумы'!F$3,100,('исходные данные'!H104-'минимумы и максимумы'!F$2)/('минимумы и максимумы'!F$3-'минимумы и максимумы'!F$2)*100)</f>
        <v>44</v>
      </c>
      <c r="I104" s="1">
        <f>IF('исходные данные'!I104&gt;'минимумы и максимумы'!G$3,100,('исходные данные'!I104-'минимумы и максимумы'!G$2)/('минимумы и максимумы'!G$3-'минимумы и максимумы'!G$2)*100)</f>
        <v>90.566037735849065</v>
      </c>
      <c r="J104" s="1">
        <f>IF('исходные данные'!J104&gt;'минимумы и максимумы'!H$3,100,('исходные данные'!J104-'минимумы и максимумы'!H$2)/('минимумы и максимумы'!H$3-'минимумы и максимумы'!H$2)*100)</f>
        <v>100</v>
      </c>
      <c r="K104" s="1">
        <f>IF('исходные данные'!K104&gt;'минимумы и максимумы'!I$3,100,('исходные данные'!K104-'минимумы и максимумы'!I$2)/('минимумы и максимумы'!I$3-'минимумы и максимумы'!I$2)*100)</f>
        <v>22.222222222222221</v>
      </c>
      <c r="L104" s="1">
        <f>IF('исходные данные'!L104&gt;'минимумы и максимумы'!J$3,100,('исходные данные'!L104-'минимумы и максимумы'!J$2)/('минимумы и максимумы'!J$3-'минимумы и максимумы'!J$2)*100)</f>
        <v>0</v>
      </c>
      <c r="M104" s="1">
        <f>IF('исходные данные'!M104&gt;'минимумы и максимумы'!K$3,100,('исходные данные'!M104-'минимумы и максимумы'!K$2)/('минимумы и максимумы'!K$3-'минимумы и максимумы'!K$2)*100)</f>
        <v>64.516129032258064</v>
      </c>
      <c r="N104" s="1">
        <f>IF('исходные данные'!N104&gt;'минимумы и максимумы'!L$3,100,('исходные данные'!N104-'минимумы и максимумы'!L$2)/('минимумы и максимумы'!L$3-'минимумы и максимумы'!L$2)*100)</f>
        <v>9.9530468251713309</v>
      </c>
      <c r="O104" s="1">
        <f>IF('исходные данные'!O104&gt;'минимумы и максимумы'!M$3,100,('исходные данные'!O104-'минимумы и максимумы'!M$2)/('минимумы и максимумы'!M$3-'минимумы и максимумы'!M$2)*100)</f>
        <v>66.666666666666657</v>
      </c>
      <c r="P104" s="1">
        <f>IF('исходные данные'!P104&gt;'минимумы и максимумы'!N$3,100,('исходные данные'!P104-'минимумы и максимумы'!N$2)/('минимумы и максимумы'!N$3-'минимумы и максимумы'!N$2)*100)</f>
        <v>0</v>
      </c>
      <c r="Q104" s="1">
        <f>IF('исходные данные'!Q104&gt;'минимумы и максимумы'!O$3,100,('исходные данные'!Q104-'минимумы и максимумы'!O$2)/('минимумы и максимумы'!O$3-'минимумы и максимумы'!O$2)*100)</f>
        <v>100</v>
      </c>
      <c r="R104" s="1">
        <f>IF('исходные данные'!R104&gt;'минимумы и максимумы'!P$3,100,('исходные данные'!R104-'минимумы и максимумы'!P$2)/('минимумы и максимумы'!P$3-'минимумы и максимумы'!P$2)*100)</f>
        <v>100</v>
      </c>
      <c r="S104" s="1">
        <f>IF('исходные данные'!S104&gt;'минимумы и максимумы'!Q$3,100,('исходные данные'!S104-'минимумы и максимумы'!Q$2)/('минимумы и максимумы'!Q$3-'минимумы и максимумы'!Q$2)*100)</f>
        <v>83.333333333333343</v>
      </c>
      <c r="T104" s="1">
        <f>IF('исходные данные'!T104&gt;'минимумы и максимумы'!R$3,100,('исходные данные'!T104-'минимумы и максимумы'!R$2)/('минимумы и максимумы'!R$3-'минимумы и максимумы'!R$2)*100)</f>
        <v>96.3484381874175</v>
      </c>
      <c r="U104" s="1">
        <f>IF('исходные данные'!U104&gt;'минимумы и максимумы'!S$3,100,('исходные данные'!U104-'минимумы и максимумы'!S$2)/('минимумы и максимумы'!S$3-'минимумы и максимумы'!S$2)*100)</f>
        <v>100</v>
      </c>
    </row>
    <row r="105" spans="1:21" x14ac:dyDescent="0.45">
      <c r="A105" s="4">
        <v>168</v>
      </c>
      <c r="B105" s="4">
        <v>0</v>
      </c>
      <c r="C105" s="4">
        <v>0</v>
      </c>
      <c r="D105" s="1">
        <f>IF('исходные данные'!D105&gt;'минимумы и максимумы'!B$3,100,('исходные данные'!D105-'минимумы и максимумы'!B$2)/('минимумы и максимумы'!B$3-'минимумы и максимумы'!B$2)*100)</f>
        <v>80</v>
      </c>
      <c r="E105" s="1">
        <f>IF('исходные данные'!E105&gt;'минимумы и максимумы'!C$3,100,('исходные данные'!E105-'минимумы и максимумы'!C$2)/('минимумы и максимумы'!C$3-'минимумы и максимумы'!C$2)*100)</f>
        <v>100</v>
      </c>
      <c r="F105" s="1">
        <f>IF('исходные данные'!F105&gt;'минимумы и максимумы'!D$3,100,('исходные данные'!F105-'минимумы и максимумы'!D$2)/('минимумы и максимумы'!D$3-'минимумы и максимумы'!D$2)*100)</f>
        <v>66.666666666666657</v>
      </c>
      <c r="G105" s="1">
        <f>IF('исходные данные'!G105&gt;'минимумы и максимумы'!E$3,100,('исходные данные'!G105-'минимумы и максимумы'!E$2)/('минимумы и максимумы'!E$3-'минимумы и максимумы'!E$2)*100)</f>
        <v>62.5</v>
      </c>
      <c r="H105" s="1">
        <f>IF('исходные данные'!H105&gt;'минимумы и максимумы'!F$3,100,('исходные данные'!H105-'минимумы и максимумы'!F$2)/('минимумы и максимумы'!F$3-'минимумы и максимумы'!F$2)*100)</f>
        <v>44</v>
      </c>
      <c r="I105" s="1">
        <f>IF('исходные данные'!I105&gt;'минимумы и максимумы'!G$3,100,('исходные данные'!I105-'минимумы и максимумы'!G$2)/('минимумы и максимумы'!G$3-'минимумы и максимумы'!G$2)*100)</f>
        <v>83.018867924528308</v>
      </c>
      <c r="J105" s="1">
        <f>IF('исходные данные'!J105&gt;'минимумы и максимумы'!H$3,100,('исходные данные'!J105-'минимумы и максимумы'!H$2)/('минимумы и максимумы'!H$3-'минимумы и максимумы'!H$2)*100)</f>
        <v>100</v>
      </c>
      <c r="K105" s="1">
        <f>IF('исходные данные'!K105&gt;'минимумы и максимумы'!I$3,100,('исходные данные'!K105-'минимумы и максимумы'!I$2)/('минимумы и максимумы'!I$3-'минимумы и максимумы'!I$2)*100)</f>
        <v>27.777777777777779</v>
      </c>
      <c r="L105" s="1">
        <f>IF('исходные данные'!L105&gt;'минимумы и максимумы'!J$3,100,('исходные данные'!L105-'минимумы и максимумы'!J$2)/('минимумы и максимумы'!J$3-'минимумы и максимумы'!J$2)*100)</f>
        <v>0</v>
      </c>
      <c r="M105" s="1">
        <f>IF('исходные данные'!M105&gt;'минимумы и максимумы'!K$3,100,('исходные данные'!M105-'минимумы и максимумы'!K$2)/('минимумы и максимумы'!K$3-'минимумы и максимумы'!K$2)*100)</f>
        <v>61.29032258064516</v>
      </c>
      <c r="N105" s="1">
        <f>IF('исходные данные'!N105&gt;'минимумы и максимумы'!L$3,100,('исходные данные'!N105-'минимумы и максимумы'!L$2)/('минимумы и максимумы'!L$3-'минимумы и максимумы'!L$2)*100)</f>
        <v>10.428673210538591</v>
      </c>
      <c r="O105" s="1">
        <f>IF('исходные данные'!O105&gt;'минимумы и максимумы'!M$3,100,('исходные данные'!O105-'минимумы и максимумы'!M$2)/('минимумы и максимумы'!M$3-'минимумы и максимумы'!M$2)*100)</f>
        <v>100</v>
      </c>
      <c r="P105" s="1">
        <f>IF('исходные данные'!P105&gt;'минимумы и максимумы'!N$3,100,('исходные данные'!P105-'минимумы и максимумы'!N$2)/('минимумы и максимумы'!N$3-'минимумы и максимумы'!N$2)*100)</f>
        <v>0</v>
      </c>
      <c r="Q105" s="1">
        <f>IF('исходные данные'!Q105&gt;'минимумы и максимумы'!O$3,100,('исходные данные'!Q105-'минимумы и максимумы'!O$2)/('минимумы и максимумы'!O$3-'минимумы и максимумы'!O$2)*100)</f>
        <v>100</v>
      </c>
      <c r="R105" s="1">
        <f>IF('исходные данные'!R105&gt;'минимумы и максимумы'!P$3,100,('исходные данные'!R105-'минимумы и максимумы'!P$2)/('минимумы и максимумы'!P$3-'минимумы и максимумы'!P$2)*100)</f>
        <v>75</v>
      </c>
      <c r="S105" s="1">
        <f>IF('исходные данные'!S105&gt;'минимумы и максимумы'!Q$3,100,('исходные данные'!S105-'минимумы и максимумы'!Q$2)/('минимумы и максимумы'!Q$3-'минимумы и максимумы'!Q$2)*100)</f>
        <v>33.333333333333329</v>
      </c>
      <c r="T105" s="1">
        <f>IF('исходные данные'!T105&gt;'минимумы и максимумы'!R$3,100,('исходные данные'!T105-'минимумы и максимумы'!R$2)/('минимумы и максимумы'!R$3-'минимумы и максимумы'!R$2)*100)</f>
        <v>29.916410030796303</v>
      </c>
      <c r="U105" s="1">
        <f>IF('исходные данные'!U105&gt;'минимумы и максимумы'!S$3,100,('исходные данные'!U105-'минимумы и максимумы'!S$2)/('минимумы и максимумы'!S$3-'минимумы и максимумы'!S$2)*100)</f>
        <v>33.333333333333329</v>
      </c>
    </row>
    <row r="106" spans="1:21" x14ac:dyDescent="0.45">
      <c r="A106" s="4">
        <v>170</v>
      </c>
      <c r="B106" s="4">
        <v>1</v>
      </c>
      <c r="C106" s="4">
        <v>0</v>
      </c>
      <c r="D106" s="1">
        <f>IF('исходные данные'!D106&gt;'минимумы и максимумы'!B$3,100,('исходные данные'!D106-'минимумы и максимумы'!B$2)/('минимумы и максимумы'!B$3-'минимумы и максимумы'!B$2)*100)</f>
        <v>60</v>
      </c>
      <c r="E106" s="1">
        <f>IF('исходные данные'!E106&gt;'минимумы и максимумы'!C$3,100,('исходные данные'!E106-'минимумы и максимумы'!C$2)/('минимумы и максимумы'!C$3-'минимумы и максимумы'!C$2)*100)</f>
        <v>60</v>
      </c>
      <c r="F106" s="1">
        <f>IF('исходные данные'!F106&gt;'минимумы и максимумы'!D$3,100,('исходные данные'!F106-'минимумы и максимумы'!D$2)/('минимумы и максимумы'!D$3-'минимумы и максимумы'!D$2)*100)</f>
        <v>66.666666666666657</v>
      </c>
      <c r="G106" s="1">
        <f>IF('исходные данные'!G106&gt;'минимумы и максимумы'!E$3,100,('исходные данные'!G106-'минимумы и максимумы'!E$2)/('минимумы и максимумы'!E$3-'минимумы и максимумы'!E$2)*100)</f>
        <v>45.833333333333329</v>
      </c>
      <c r="H106" s="1">
        <f>IF('исходные данные'!H106&gt;'минимумы и максимумы'!F$3,100,('исходные данные'!H106-'минимумы и максимумы'!F$2)/('минимумы и максимумы'!F$3-'минимумы и максимумы'!F$2)*100)</f>
        <v>40</v>
      </c>
      <c r="I106" s="1">
        <f>IF('исходные данные'!I106&gt;'минимумы и максимумы'!G$3,100,('исходные данные'!I106-'минимумы и максимумы'!G$2)/('минимумы и максимумы'!G$3-'минимумы и максимумы'!G$2)*100)</f>
        <v>83.018867924528308</v>
      </c>
      <c r="J106" s="1">
        <f>IF('исходные данные'!J106&gt;'минимумы и максимумы'!H$3,100,('исходные данные'!J106-'минимумы и максимумы'!H$2)/('минимумы и максимумы'!H$3-'минимумы и максимумы'!H$2)*100)</f>
        <v>80</v>
      </c>
      <c r="K106" s="1">
        <f>IF('исходные данные'!K106&gt;'минимумы и максимумы'!I$3,100,('исходные данные'!K106-'минимумы и максимумы'!I$2)/('минимумы и максимумы'!I$3-'минимумы и максимумы'!I$2)*100)</f>
        <v>11.111111111111111</v>
      </c>
      <c r="L106" s="1">
        <f>IF('исходные данные'!L106&gt;'минимумы и максимумы'!J$3,100,('исходные данные'!L106-'минимумы и максимумы'!J$2)/('минимумы и максимумы'!J$3-'минимумы и максимумы'!J$2)*100)</f>
        <v>20</v>
      </c>
      <c r="M106" s="1">
        <f>IF('исходные данные'!M106&gt;'минимумы и максимумы'!K$3,100,('исходные данные'!M106-'минимумы и максимумы'!K$2)/('минимумы и максимумы'!K$3-'минимумы и максимумы'!K$2)*100)</f>
        <v>22.58064516129032</v>
      </c>
      <c r="N106" s="1">
        <f>IF('исходные данные'!N106&gt;'минимумы и максимумы'!L$3,100,('исходные данные'!N106-'минимумы и максимумы'!L$2)/('минимумы и максимумы'!L$3-'минимумы и максимумы'!L$2)*100)</f>
        <v>8.3320400014424827</v>
      </c>
      <c r="O106" s="1">
        <f>IF('исходные данные'!O106&gt;'минимумы и максимумы'!M$3,100,('исходные данные'!O106-'минимумы и максимумы'!M$2)/('минимумы и максимумы'!M$3-'минимумы и максимумы'!M$2)*100)</f>
        <v>100</v>
      </c>
      <c r="P106" s="1">
        <f>IF('исходные данные'!P106&gt;'минимумы и максимумы'!N$3,100,('исходные данные'!P106-'минимумы и максимумы'!N$2)/('минимумы и максимумы'!N$3-'минимумы и максимумы'!N$2)*100)</f>
        <v>100</v>
      </c>
      <c r="Q106" s="1">
        <f>IF('исходные данные'!Q106&gt;'минимумы и максимумы'!O$3,100,('исходные данные'!Q106-'минимумы и максимумы'!O$2)/('минимумы и максимумы'!O$3-'минимумы и максимумы'!O$2)*100)</f>
        <v>100</v>
      </c>
      <c r="R106" s="1">
        <f>IF('исходные данные'!R106&gt;'минимумы и максимумы'!P$3,100,('исходные данные'!R106-'минимумы и максимумы'!P$2)/('минимумы и максимумы'!P$3-'минимумы и максимумы'!P$2)*100)</f>
        <v>75</v>
      </c>
      <c r="S106" s="1">
        <f>IF('исходные данные'!S106&gt;'минимумы и максимумы'!Q$3,100,('исходные данные'!S106-'минимумы и максимумы'!Q$2)/('минимумы и максимумы'!Q$3-'минимумы и максимумы'!Q$2)*100)</f>
        <v>83.333333333333343</v>
      </c>
      <c r="T106" s="1">
        <f>IF('исходные данные'!T106&gt;'минимумы и максимумы'!R$3,100,('исходные данные'!T106-'минимумы и максимумы'!R$2)/('минимумы и максимумы'!R$3-'минимумы и максимумы'!R$2)*100)</f>
        <v>100</v>
      </c>
      <c r="U106" s="1">
        <f>IF('исходные данные'!U106&gt;'минимумы и максимумы'!S$3,100,('исходные данные'!U106-'минимумы и максимумы'!S$2)/('минимумы и максимумы'!S$3-'минимумы и максимумы'!S$2)*100)</f>
        <v>100</v>
      </c>
    </row>
    <row r="107" spans="1:21" x14ac:dyDescent="0.45">
      <c r="A107" s="4">
        <v>171</v>
      </c>
      <c r="B107" s="4">
        <v>0</v>
      </c>
      <c r="C107" s="4">
        <v>0</v>
      </c>
      <c r="D107" s="1">
        <f>IF('исходные данные'!D107&gt;'минимумы и максимумы'!B$3,100,('исходные данные'!D107-'минимумы и максимумы'!B$2)/('минимумы и максимумы'!B$3-'минимумы и максимумы'!B$2)*100)</f>
        <v>80</v>
      </c>
      <c r="E107" s="1">
        <f>IF('исходные данные'!E107&gt;'минимумы и максимумы'!C$3,100,('исходные данные'!E107-'минимумы и максимумы'!C$2)/('минимумы и максимумы'!C$3-'минимумы и максимумы'!C$2)*100)</f>
        <v>50</v>
      </c>
      <c r="F107" s="1">
        <f>IF('исходные данные'!F107&gt;'минимумы и максимумы'!D$3,100,('исходные данные'!F107-'минимумы и максимумы'!D$2)/('минимумы и максимумы'!D$3-'минимумы и максимумы'!D$2)*100)</f>
        <v>0</v>
      </c>
      <c r="G107" s="1">
        <f>IF('исходные данные'!G107&gt;'минимумы и максимумы'!E$3,100,('исходные данные'!G107-'минимумы и максимумы'!E$2)/('минимумы и максимумы'!E$3-'минимумы и максимумы'!E$2)*100)</f>
        <v>25</v>
      </c>
      <c r="H107" s="1">
        <f>IF('исходные данные'!H107&gt;'минимумы и максимумы'!F$3,100,('исходные данные'!H107-'минимумы и максимумы'!F$2)/('минимумы и максимумы'!F$3-'минимумы и максимумы'!F$2)*100)</f>
        <v>32</v>
      </c>
      <c r="I107" s="1">
        <f>IF('исходные данные'!I107&gt;'минимумы и максимумы'!G$3,100,('исходные данные'!I107-'минимумы и максимумы'!G$2)/('минимумы и максимумы'!G$3-'минимумы и максимумы'!G$2)*100)</f>
        <v>22.641509433962266</v>
      </c>
      <c r="J107" s="1">
        <f>IF('исходные данные'!J107&gt;'минимумы и максимумы'!H$3,100,('исходные данные'!J107-'минимумы и максимумы'!H$2)/('минимумы и максимумы'!H$3-'минимумы и максимумы'!H$2)*100)</f>
        <v>60</v>
      </c>
      <c r="K107" s="1">
        <f>IF('исходные данные'!K107&gt;'минимумы и максимумы'!I$3,100,('исходные данные'!K107-'минимумы и максимумы'!I$2)/('минимумы и максимумы'!I$3-'минимумы и максимумы'!I$2)*100)</f>
        <v>16.666666666666664</v>
      </c>
      <c r="L107" s="1">
        <f>IF('исходные данные'!L107&gt;'минимумы и максимумы'!J$3,100,('исходные данные'!L107-'минимумы и максимумы'!J$2)/('минимумы и максимумы'!J$3-'минимумы и максимумы'!J$2)*100)</f>
        <v>0</v>
      </c>
      <c r="M107" s="1">
        <f>IF('исходные данные'!M107&gt;'минимумы и максимумы'!K$3,100,('исходные данные'!M107-'минимумы и максимумы'!K$2)/('минимумы и максимумы'!K$3-'минимумы и максимумы'!K$2)*100)</f>
        <v>9.67741935483871</v>
      </c>
      <c r="N107" s="1">
        <f>IF('исходные данные'!N107&gt;'минимумы и максимумы'!L$3,100,('исходные данные'!N107-'минимумы и максимумы'!L$2)/('минимумы и максимумы'!L$3-'минимумы и максимумы'!L$2)*100)</f>
        <v>12.432907272697271</v>
      </c>
      <c r="O107" s="1">
        <f>IF('исходные данные'!O107&gt;'минимумы и максимумы'!M$3,100,('исходные данные'!O107-'минимумы и максимумы'!M$2)/('минимумы и максимумы'!M$3-'минимумы и максимумы'!M$2)*100)</f>
        <v>66.666666666666657</v>
      </c>
      <c r="P107" s="1">
        <f>IF('исходные данные'!P107&gt;'минимумы и максимумы'!N$3,100,('исходные данные'!P107-'минимумы и максимумы'!N$2)/('минимумы и максимумы'!N$3-'минимумы и максимумы'!N$2)*100)</f>
        <v>0</v>
      </c>
      <c r="Q107" s="1">
        <f>IF('исходные данные'!Q107&gt;'минимумы и максимумы'!O$3,100,('исходные данные'!Q107-'минимумы и максимумы'!O$2)/('минимумы и максимумы'!O$3-'минимумы и максимумы'!O$2)*100)</f>
        <v>100</v>
      </c>
      <c r="R107" s="1">
        <f>IF('исходные данные'!R107&gt;'минимумы и максимумы'!P$3,100,('исходные данные'!R107-'минимумы и максимумы'!P$2)/('минимумы и максимумы'!P$3-'минимумы и максимумы'!P$2)*100)</f>
        <v>100</v>
      </c>
      <c r="S107" s="1">
        <f>IF('исходные данные'!S107&gt;'минимумы и максимумы'!Q$3,100,('исходные данные'!S107-'минимумы и максимумы'!Q$2)/('минимумы и максимумы'!Q$3-'минимумы и максимумы'!Q$2)*100)</f>
        <v>83.333333333333343</v>
      </c>
      <c r="T107" s="1">
        <f>IF('исходные данные'!T107&gt;'минимумы и максимумы'!R$3,100,('исходные данные'!T107-'минимумы и максимумы'!R$2)/('минимумы и максимумы'!R$3-'минимумы и максимумы'!R$2)*100)</f>
        <v>68.279806423229218</v>
      </c>
      <c r="U107" s="1">
        <f>IF('исходные данные'!U107&gt;'минимумы и максимумы'!S$3,100,('исходные данные'!U107-'минимумы и максимумы'!S$2)/('минимумы и максимумы'!S$3-'минимумы и максимумы'!S$2)*100)</f>
        <v>0</v>
      </c>
    </row>
    <row r="108" spans="1:21" x14ac:dyDescent="0.45">
      <c r="A108" s="4">
        <v>172</v>
      </c>
      <c r="B108" s="4">
        <v>1</v>
      </c>
      <c r="C108" s="4">
        <v>0</v>
      </c>
      <c r="D108" s="1">
        <f>IF('исходные данные'!D108&gt;'минимумы и максимумы'!B$3,100,('исходные данные'!D108-'минимумы и максимумы'!B$2)/('минимумы и максимумы'!B$3-'минимумы и максимумы'!B$2)*100)</f>
        <v>60</v>
      </c>
      <c r="E108" s="1">
        <f>IF('исходные данные'!E108&gt;'минимумы и максимумы'!C$3,100,('исходные данные'!E108-'минимумы и максимумы'!C$2)/('минимумы и максимумы'!C$3-'минимумы и максимумы'!C$2)*100)</f>
        <v>40</v>
      </c>
      <c r="F108" s="1">
        <f>IF('исходные данные'!F108&gt;'минимумы и максимумы'!D$3,100,('исходные данные'!F108-'минимумы и максимумы'!D$2)/('минимумы и максимумы'!D$3-'минимумы и максимумы'!D$2)*100)</f>
        <v>0</v>
      </c>
      <c r="G108" s="1">
        <f>IF('исходные данные'!G108&gt;'минимумы и максимумы'!E$3,100,('исходные данные'!G108-'минимумы и максимумы'!E$2)/('минимумы и максимумы'!E$3-'минимумы и максимумы'!E$2)*100)</f>
        <v>25</v>
      </c>
      <c r="H108" s="1">
        <f>IF('исходные данные'!H108&gt;'минимумы и максимумы'!F$3,100,('исходные данные'!H108-'минимумы и максимумы'!F$2)/('минимумы и максимумы'!F$3-'минимумы и максимумы'!F$2)*100)</f>
        <v>40</v>
      </c>
      <c r="I108" s="1">
        <f>IF('исходные данные'!I108&gt;'минимумы и максимумы'!G$3,100,('исходные данные'!I108-'минимумы и максимумы'!G$2)/('минимумы и максимумы'!G$3-'минимумы и максимумы'!G$2)*100)</f>
        <v>33.962264150943398</v>
      </c>
      <c r="J108" s="1">
        <f>IF('исходные данные'!J108&gt;'минимумы и максимумы'!H$3,100,('исходные данные'!J108-'минимумы и максимумы'!H$2)/('минимумы и максимумы'!H$3-'минимумы и максимумы'!H$2)*100)</f>
        <v>60</v>
      </c>
      <c r="K108" s="1">
        <f>IF('исходные данные'!K108&gt;'минимумы и максимумы'!I$3,100,('исходные данные'!K108-'минимумы и максимумы'!I$2)/('минимумы и максимумы'!I$3-'минимумы и максимумы'!I$2)*100)</f>
        <v>16.666666666666664</v>
      </c>
      <c r="L108" s="1">
        <f>IF('исходные данные'!L108&gt;'минимумы и максимумы'!J$3,100,('исходные данные'!L108-'минимумы и максимумы'!J$2)/('минимумы и максимумы'!J$3-'минимумы и максимумы'!J$2)*100)</f>
        <v>0</v>
      </c>
      <c r="M108" s="1">
        <f>IF('исходные данные'!M108&gt;'минимумы и максимумы'!K$3,100,('исходные данные'!M108-'минимумы и максимумы'!K$2)/('минимумы и максимумы'!K$3-'минимумы и максимумы'!K$2)*100)</f>
        <v>12.903225806451612</v>
      </c>
      <c r="N108" s="1">
        <f>IF('исходные данные'!N108&gt;'минимумы и максимумы'!L$3,100,('исходные данные'!N108-'минимумы и максимумы'!L$2)/('минимумы и максимумы'!L$3-'минимумы и максимумы'!L$2)*100)</f>
        <v>14.68476427456914</v>
      </c>
      <c r="O108" s="1">
        <f>IF('исходные данные'!O108&gt;'минимумы и максимумы'!M$3,100,('исходные данные'!O108-'минимумы и максимумы'!M$2)/('минимумы и максимумы'!M$3-'минимумы и максимумы'!M$2)*100)</f>
        <v>0</v>
      </c>
      <c r="P108" s="1">
        <f>IF('исходные данные'!P108&gt;'минимумы и максимумы'!N$3,100,('исходные данные'!P108-'минимумы и максимумы'!N$2)/('минимумы и максимумы'!N$3-'минимумы и максимумы'!N$2)*100)</f>
        <v>100</v>
      </c>
      <c r="Q108" s="1">
        <f>IF('исходные данные'!Q108&gt;'минимумы и максимумы'!O$3,100,('исходные данные'!Q108-'минимумы и максимумы'!O$2)/('минимумы и максимумы'!O$3-'минимумы и максимумы'!O$2)*100)</f>
        <v>100</v>
      </c>
      <c r="R108" s="1">
        <f>IF('исходные данные'!R108&gt;'минимумы и максимумы'!P$3,100,('исходные данные'!R108-'минимумы и максимумы'!P$2)/('минимумы и максимумы'!P$3-'минимумы и максимумы'!P$2)*100)</f>
        <v>100</v>
      </c>
      <c r="S108" s="1">
        <f>IF('исходные данные'!S108&gt;'минимумы и максимумы'!Q$3,100,('исходные данные'!S108-'минимумы и максимумы'!Q$2)/('минимумы и максимумы'!Q$3-'минимумы и максимумы'!Q$2)*100)</f>
        <v>66.666666666666657</v>
      </c>
      <c r="T108" s="1">
        <f>IF('исходные данные'!T108&gt;'минимумы и максимумы'!R$3,100,('исходные данные'!T108-'минимумы и максимумы'!R$2)/('минимумы и максимумы'!R$3-'минимумы и максимумы'!R$2)*100)</f>
        <v>19.621645402551692</v>
      </c>
      <c r="U108" s="1">
        <f>IF('исходные данные'!U108&gt;'минимумы и максимумы'!S$3,100,('исходные данные'!U108-'минимумы и максимумы'!S$2)/('минимумы и максимумы'!S$3-'минимумы и максимумы'!S$2)*100)</f>
        <v>33.333333333333329</v>
      </c>
    </row>
    <row r="109" spans="1:21" x14ac:dyDescent="0.45">
      <c r="A109" s="4">
        <v>173</v>
      </c>
      <c r="B109" s="4">
        <v>0</v>
      </c>
      <c r="C109" s="4">
        <v>0</v>
      </c>
      <c r="D109" s="1">
        <f>IF('исходные данные'!D109&gt;'минимумы и максимумы'!B$3,100,('исходные данные'!D109-'минимумы и максимумы'!B$2)/('минимумы и максимумы'!B$3-'минимумы и максимумы'!B$2)*100)</f>
        <v>60</v>
      </c>
      <c r="E109" s="1">
        <f>IF('исходные данные'!E109&gt;'минимумы и максимумы'!C$3,100,('исходные данные'!E109-'минимумы и максимумы'!C$2)/('минимумы и максимумы'!C$3-'минимумы и максимумы'!C$2)*100)</f>
        <v>40</v>
      </c>
      <c r="F109" s="1">
        <f>IF('исходные данные'!F109&gt;'минимумы и максимумы'!D$3,100,('исходные данные'!F109-'минимумы и максимумы'!D$2)/('минимумы и максимумы'!D$3-'минимумы и максимумы'!D$2)*100)</f>
        <v>0</v>
      </c>
      <c r="G109" s="1">
        <f>IF('исходные данные'!G109&gt;'минимумы и максимумы'!E$3,100,('исходные данные'!G109-'минимумы и максимумы'!E$2)/('минимумы и максимумы'!E$3-'минимумы и максимумы'!E$2)*100)</f>
        <v>25</v>
      </c>
      <c r="H109" s="1">
        <f>IF('исходные данные'!H109&gt;'минимумы и максимумы'!F$3,100,('исходные данные'!H109-'минимумы и максимумы'!F$2)/('минимумы и максимумы'!F$3-'минимумы и максимумы'!F$2)*100)</f>
        <v>40</v>
      </c>
      <c r="I109" s="1">
        <f>IF('исходные данные'!I109&gt;'минимумы и максимумы'!G$3,100,('исходные данные'!I109-'минимумы и максимумы'!G$2)/('минимумы и максимумы'!G$3-'минимумы и максимумы'!G$2)*100)</f>
        <v>33.962264150943398</v>
      </c>
      <c r="J109" s="1">
        <f>IF('исходные данные'!J109&gt;'минимумы и максимумы'!H$3,100,('исходные данные'!J109-'минимумы и максимумы'!H$2)/('минимумы и максимумы'!H$3-'минимумы и максимумы'!H$2)*100)</f>
        <v>60</v>
      </c>
      <c r="K109" s="1">
        <f>IF('исходные данные'!K109&gt;'минимумы и максимумы'!I$3,100,('исходные данные'!K109-'минимумы и максимумы'!I$2)/('минимумы и максимумы'!I$3-'минимумы и максимумы'!I$2)*100)</f>
        <v>16.666666666666664</v>
      </c>
      <c r="L109" s="1">
        <f>IF('исходные данные'!L109&gt;'минимумы и максимумы'!J$3,100,('исходные данные'!L109-'минимумы и максимумы'!J$2)/('минимумы и максимумы'!J$3-'минимумы и максимумы'!J$2)*100)</f>
        <v>0</v>
      </c>
      <c r="M109" s="1">
        <f>IF('исходные данные'!M109&gt;'минимумы и максимумы'!K$3,100,('исходные данные'!M109-'минимумы и максимумы'!K$2)/('минимумы и максимумы'!K$3-'минимумы и максимумы'!K$2)*100)</f>
        <v>12.903225806451612</v>
      </c>
      <c r="N109" s="1">
        <f>IF('исходные данные'!N109&gt;'минимумы и максимумы'!L$3,100,('исходные данные'!N109-'минимумы и максимумы'!L$2)/('минимумы и максимумы'!L$3-'минимумы и максимумы'!L$2)*100)</f>
        <v>15.091523380565</v>
      </c>
      <c r="O109" s="1">
        <f>IF('исходные данные'!O109&gt;'минимумы и максимумы'!M$3,100,('исходные данные'!O109-'минимумы и максимумы'!M$2)/('минимумы и максимумы'!M$3-'минимумы и максимумы'!M$2)*100)</f>
        <v>0</v>
      </c>
      <c r="P109" s="1">
        <f>IF('исходные данные'!P109&gt;'минимумы и максимумы'!N$3,100,('исходные данные'!P109-'минимумы и максимумы'!N$2)/('минимумы и максимумы'!N$3-'минимумы и максимумы'!N$2)*100)</f>
        <v>0</v>
      </c>
      <c r="Q109" s="1">
        <f>IF('исходные данные'!Q109&gt;'минимумы и максимумы'!O$3,100,('исходные данные'!Q109-'минимумы и максимумы'!O$2)/('минимумы и максимумы'!O$3-'минимумы и максимумы'!O$2)*100)</f>
        <v>100</v>
      </c>
      <c r="R109" s="1">
        <f>IF('исходные данные'!R109&gt;'минимумы и максимумы'!P$3,100,('исходные данные'!R109-'минимумы и максимумы'!P$2)/('минимумы и максимумы'!P$3-'минимумы и максимумы'!P$2)*100)</f>
        <v>100</v>
      </c>
      <c r="S109" s="1">
        <f>IF('исходные данные'!S109&gt;'минимумы и максимумы'!Q$3,100,('исходные данные'!S109-'минимумы и максимумы'!Q$2)/('минимумы и максимумы'!Q$3-'минимумы и максимумы'!Q$2)*100)</f>
        <v>66.666666666666657</v>
      </c>
      <c r="T109" s="1">
        <f>IF('исходные данные'!T109&gt;'минимумы и максимумы'!R$3,100,('исходные данные'!T109-'минимумы и максимумы'!R$2)/('минимумы и максимумы'!R$3-'минимумы и максимумы'!R$2)*100)</f>
        <v>26.132864056313242</v>
      </c>
      <c r="U109" s="1">
        <f>IF('исходные данные'!U109&gt;'минимумы и максимумы'!S$3,100,('исходные данные'!U109-'минимумы и максимумы'!S$2)/('минимумы и максимумы'!S$3-'минимумы и максимумы'!S$2)*100)</f>
        <v>33.333333333333329</v>
      </c>
    </row>
    <row r="110" spans="1:21" x14ac:dyDescent="0.45">
      <c r="A110" s="4">
        <v>174</v>
      </c>
      <c r="B110" s="4">
        <v>0</v>
      </c>
      <c r="C110" s="4">
        <v>1</v>
      </c>
      <c r="D110" s="1">
        <f>IF('исходные данные'!D110&gt;'минимумы и максимумы'!B$3,100,('исходные данные'!D110-'минимумы и максимумы'!B$2)/('минимумы и максимумы'!B$3-'минимумы и максимумы'!B$2)*100)</f>
        <v>60</v>
      </c>
      <c r="E110" s="1">
        <f>IF('исходные данные'!E110&gt;'минимумы и максимумы'!C$3,100,('исходные данные'!E110-'минимумы и максимумы'!C$2)/('минимумы и максимумы'!C$3-'минимумы и максимумы'!C$2)*100)</f>
        <v>40</v>
      </c>
      <c r="F110" s="1">
        <f>IF('исходные данные'!F110&gt;'минимумы и максимумы'!D$3,100,('исходные данные'!F110-'минимумы и максимумы'!D$2)/('минимумы и максимумы'!D$3-'минимумы и максимумы'!D$2)*100)</f>
        <v>0</v>
      </c>
      <c r="G110" s="1">
        <f>IF('исходные данные'!G110&gt;'минимумы и максимумы'!E$3,100,('исходные данные'!G110-'минимумы и максимумы'!E$2)/('минимумы и максимумы'!E$3-'минимумы и максимумы'!E$2)*100)</f>
        <v>25</v>
      </c>
      <c r="H110" s="1">
        <f>IF('исходные данные'!H110&gt;'минимумы и максимумы'!F$3,100,('исходные данные'!H110-'минимумы и максимумы'!F$2)/('минимумы и максимумы'!F$3-'минимумы и максимумы'!F$2)*100)</f>
        <v>40</v>
      </c>
      <c r="I110" s="1">
        <f>IF('исходные данные'!I110&gt;'минимумы и максимумы'!G$3,100,('исходные данные'!I110-'минимумы и максимумы'!G$2)/('минимумы и максимумы'!G$3-'минимумы и максимумы'!G$2)*100)</f>
        <v>33.962264150943398</v>
      </c>
      <c r="J110" s="1">
        <f>IF('исходные данные'!J110&gt;'минимумы и максимумы'!H$3,100,('исходные данные'!J110-'минимумы и максимумы'!H$2)/('минимумы и максимумы'!H$3-'минимумы и максимумы'!H$2)*100)</f>
        <v>60</v>
      </c>
      <c r="K110" s="1">
        <f>IF('исходные данные'!K110&gt;'минимумы и максимумы'!I$3,100,('исходные данные'!K110-'минимумы и максимумы'!I$2)/('минимумы и максимумы'!I$3-'минимумы и максимумы'!I$2)*100)</f>
        <v>16.666666666666664</v>
      </c>
      <c r="L110" s="1">
        <f>IF('исходные данные'!L110&gt;'минимумы и максимумы'!J$3,100,('исходные данные'!L110-'минимумы и максимумы'!J$2)/('минимумы и максимумы'!J$3-'минимумы и максимумы'!J$2)*100)</f>
        <v>0</v>
      </c>
      <c r="M110" s="1">
        <f>IF('исходные данные'!M110&gt;'минимумы и максимумы'!K$3,100,('исходные данные'!M110-'минимумы и максимумы'!K$2)/('минимумы и максимумы'!K$3-'минимумы и максимумы'!K$2)*100)</f>
        <v>12.903225806451612</v>
      </c>
      <c r="N110" s="1">
        <f>IF('исходные данные'!N110&gt;'минимумы и максимумы'!L$3,100,('исходные данные'!N110-'минимумы и максимумы'!L$2)/('минимумы и максимумы'!L$3-'минимумы и максимумы'!L$2)*100)</f>
        <v>14.958686424036911</v>
      </c>
      <c r="O110" s="1">
        <f>IF('исходные данные'!O110&gt;'минимумы и максимумы'!M$3,100,('исходные данные'!O110-'минимумы и максимумы'!M$2)/('минимумы и максимумы'!M$3-'минимумы и максимумы'!M$2)*100)</f>
        <v>0</v>
      </c>
      <c r="P110" s="1">
        <f>IF('исходные данные'!P110&gt;'минимумы и максимумы'!N$3,100,('исходные данные'!P110-'минимумы и максимумы'!N$2)/('минимумы и максимумы'!N$3-'минимумы и максимумы'!N$2)*100)</f>
        <v>0</v>
      </c>
      <c r="Q110" s="1">
        <f>IF('исходные данные'!Q110&gt;'минимумы и максимумы'!O$3,100,('исходные данные'!Q110-'минимумы и максимумы'!O$2)/('минимумы и максимумы'!O$3-'минимумы и максимумы'!O$2)*100)</f>
        <v>100</v>
      </c>
      <c r="R110" s="1">
        <f>IF('исходные данные'!R110&gt;'минимумы и максимумы'!P$3,100,('исходные данные'!R110-'минимумы и максимумы'!P$2)/('минимумы и максимумы'!P$3-'минимумы и максимумы'!P$2)*100)</f>
        <v>100</v>
      </c>
      <c r="S110" s="1">
        <f>IF('исходные данные'!S110&gt;'минимумы и максимумы'!Q$3,100,('исходные данные'!S110-'минимумы и максимумы'!Q$2)/('минимумы и максимумы'!Q$3-'минимумы и максимумы'!Q$2)*100)</f>
        <v>66.666666666666657</v>
      </c>
      <c r="T110" s="1">
        <f>IF('исходные данные'!T110&gt;'минимумы и максимумы'!R$3,100,('исходные данные'!T110-'минимумы и максимумы'!R$2)/('минимумы и максимумы'!R$3-'минимумы и максимумы'!R$2)*100)</f>
        <v>15.090189177298724</v>
      </c>
      <c r="U110" s="1">
        <f>IF('исходные данные'!U110&gt;'минимумы и максимумы'!S$3,100,('исходные данные'!U110-'минимумы и максимумы'!S$2)/('минимумы и максимумы'!S$3-'минимумы и максимумы'!S$2)*100)</f>
        <v>0</v>
      </c>
    </row>
    <row r="111" spans="1:21" x14ac:dyDescent="0.45">
      <c r="A111" s="4">
        <v>175</v>
      </c>
      <c r="B111" s="4">
        <v>0</v>
      </c>
      <c r="C111" s="4">
        <v>0</v>
      </c>
      <c r="D111" s="1">
        <f>IF('исходные данные'!D111&gt;'минимумы и максимумы'!B$3,100,('исходные данные'!D111-'минимумы и максимумы'!B$2)/('минимумы и максимумы'!B$3-'минимумы и максимумы'!B$2)*100)</f>
        <v>60</v>
      </c>
      <c r="E111" s="1">
        <f>IF('исходные данные'!E111&gt;'минимумы и максимумы'!C$3,100,('исходные данные'!E111-'минимумы и максимумы'!C$2)/('минимумы и максимумы'!C$3-'минимумы и максимумы'!C$2)*100)</f>
        <v>20</v>
      </c>
      <c r="F111" s="1">
        <f>IF('исходные данные'!F111&gt;'минимумы и максимумы'!D$3,100,('исходные данные'!F111-'минимумы и максимумы'!D$2)/('минимумы и максимумы'!D$3-'минимумы и максимумы'!D$2)*100)</f>
        <v>0</v>
      </c>
      <c r="G111" s="1">
        <f>IF('исходные данные'!G111&gt;'минимумы и максимумы'!E$3,100,('исходные данные'!G111-'минимумы и максимумы'!E$2)/('минимумы и максимумы'!E$3-'минимумы и максимумы'!E$2)*100)</f>
        <v>20.833333333333336</v>
      </c>
      <c r="H111" s="1">
        <f>IF('исходные данные'!H111&gt;'минимумы и максимумы'!F$3,100,('исходные данные'!H111-'минимумы и максимумы'!F$2)/('минимумы и максимумы'!F$3-'минимумы и максимумы'!F$2)*100)</f>
        <v>28.000000000000004</v>
      </c>
      <c r="I111" s="1">
        <f>IF('исходные данные'!I111&gt;'минимумы и максимумы'!G$3,100,('исходные данные'!I111-'минимумы и максимумы'!G$2)/('минимумы и максимумы'!G$3-'минимумы и максимумы'!G$2)*100)</f>
        <v>16.981132075471699</v>
      </c>
      <c r="J111" s="1">
        <f>IF('исходные данные'!J111&gt;'минимумы и максимумы'!H$3,100,('исходные данные'!J111-'минимумы и максимумы'!H$2)/('минимумы и максимумы'!H$3-'минимумы и максимумы'!H$2)*100)</f>
        <v>20</v>
      </c>
      <c r="K111" s="1">
        <f>IF('исходные данные'!K111&gt;'минимумы и максимумы'!I$3,100,('исходные данные'!K111-'минимумы и максимумы'!I$2)/('минимумы и максимумы'!I$3-'минимумы и максимумы'!I$2)*100)</f>
        <v>5.5555555555555554</v>
      </c>
      <c r="L111" s="1">
        <f>IF('исходные данные'!L111&gt;'минимумы и максимумы'!J$3,100,('исходные данные'!L111-'минимумы и максимумы'!J$2)/('минимумы и максимумы'!J$3-'минимумы и максимумы'!J$2)*100)</f>
        <v>0</v>
      </c>
      <c r="M111" s="1">
        <f>IF('исходные данные'!M111&gt;'минимумы и максимумы'!K$3,100,('исходные данные'!M111-'минимумы и максимумы'!K$2)/('минимумы и максимумы'!K$3-'минимумы и максимумы'!K$2)*100)</f>
        <v>12.903225806451612</v>
      </c>
      <c r="N111" s="1">
        <f>IF('исходные данные'!N111&gt;'минимумы и максимумы'!L$3,100,('исходные данные'!N111-'минимумы и максимумы'!L$2)/('минимумы и максимумы'!L$3-'минимумы и максимумы'!L$2)*100)</f>
        <v>15.091523380565</v>
      </c>
      <c r="O111" s="1">
        <f>IF('исходные данные'!O111&gt;'минимумы и максимумы'!M$3,100,('исходные данные'!O111-'минимумы и максимумы'!M$2)/('минимумы и максимумы'!M$3-'минимумы и максимумы'!M$2)*100)</f>
        <v>100</v>
      </c>
      <c r="P111" s="1">
        <f>IF('исходные данные'!P111&gt;'минимумы и максимумы'!N$3,100,('исходные данные'!P111-'минимумы и максимумы'!N$2)/('минимумы и максимумы'!N$3-'минимумы и максимумы'!N$2)*100)</f>
        <v>0</v>
      </c>
      <c r="Q111" s="1">
        <f>IF('исходные данные'!Q111&gt;'минимумы и максимумы'!O$3,100,('исходные данные'!Q111-'минимумы и максимумы'!O$2)/('минимумы и максимумы'!O$3-'минимумы и максимумы'!O$2)*100)</f>
        <v>100</v>
      </c>
      <c r="R111" s="1">
        <f>IF('исходные данные'!R111&gt;'минимумы и максимумы'!P$3,100,('исходные данные'!R111-'минимумы и максимумы'!P$2)/('минимумы и максимумы'!P$3-'минимумы и максимумы'!P$2)*100)</f>
        <v>100</v>
      </c>
      <c r="S111" s="1">
        <f>IF('исходные данные'!S111&gt;'минимумы и максимумы'!Q$3,100,('исходные данные'!S111-'минимумы и максимумы'!Q$2)/('минимумы и максимумы'!Q$3-'минимумы и максимумы'!Q$2)*100)</f>
        <v>33.333333333333329</v>
      </c>
      <c r="T111" s="1">
        <f>IF('исходные данные'!T111&gt;'минимумы и максимумы'!R$3,100,('исходные данные'!T111-'минимумы и максимумы'!R$2)/('минимумы и максимумы'!R$3-'минимумы и максимумы'!R$2)*100)</f>
        <v>18.917729872415308</v>
      </c>
      <c r="U111" s="1">
        <f>IF('исходные данные'!U111&gt;'минимумы и максимумы'!S$3,100,('исходные данные'!U111-'минимумы и максимумы'!S$2)/('минимумы и максимумы'!S$3-'минимумы и максимумы'!S$2)*100)</f>
        <v>33.333333333333329</v>
      </c>
    </row>
    <row r="112" spans="1:21" x14ac:dyDescent="0.45">
      <c r="A112" s="4">
        <v>176</v>
      </c>
      <c r="B112" s="4">
        <v>0</v>
      </c>
      <c r="C112" s="4">
        <v>0</v>
      </c>
      <c r="D112" s="1">
        <f>IF('исходные данные'!D112&gt;'минимумы и максимумы'!B$3,100,('исходные данные'!D112-'минимумы и максимумы'!B$2)/('минимумы и максимумы'!B$3-'минимумы и максимумы'!B$2)*100)</f>
        <v>60</v>
      </c>
      <c r="E112" s="1">
        <f>IF('исходные данные'!E112&gt;'минимумы и максимумы'!C$3,100,('исходные данные'!E112-'минимумы и максимумы'!C$2)/('минимумы и максимумы'!C$3-'минимумы и максимумы'!C$2)*100)</f>
        <v>30</v>
      </c>
      <c r="F112" s="1">
        <f>IF('исходные данные'!F112&gt;'минимумы и максимумы'!D$3,100,('исходные данные'!F112-'минимумы и максимумы'!D$2)/('минимумы и максимумы'!D$3-'минимумы и максимумы'!D$2)*100)</f>
        <v>100</v>
      </c>
      <c r="G112" s="1">
        <f>IF('исходные данные'!G112&gt;'минимумы и максимумы'!E$3,100,('исходные данные'!G112-'минимумы и максимумы'!E$2)/('минимумы и максимумы'!E$3-'минимумы и максимумы'!E$2)*100)</f>
        <v>20.833333333333336</v>
      </c>
      <c r="H112" s="1">
        <f>IF('исходные данные'!H112&gt;'минимумы и максимумы'!F$3,100,('исходные данные'!H112-'минимумы и максимумы'!F$2)/('минимумы и максимумы'!F$3-'минимумы и максимумы'!F$2)*100)</f>
        <v>24</v>
      </c>
      <c r="I112" s="1">
        <f>IF('исходные данные'!I112&gt;'минимумы и максимумы'!G$3,100,('исходные данные'!I112-'минимумы и максимумы'!G$2)/('минимумы и максимумы'!G$3-'минимумы и максимумы'!G$2)*100)</f>
        <v>20.754716981132077</v>
      </c>
      <c r="J112" s="1">
        <f>IF('исходные данные'!J112&gt;'минимумы и максимумы'!H$3,100,('исходные данные'!J112-'минимумы и максимумы'!H$2)/('минимумы и максимумы'!H$3-'минимумы и максимумы'!H$2)*100)</f>
        <v>60</v>
      </c>
      <c r="K112" s="1">
        <f>IF('исходные данные'!K112&gt;'минимумы и максимумы'!I$3,100,('исходные данные'!K112-'минимумы и максимумы'!I$2)/('минимумы и максимумы'!I$3-'минимумы и максимумы'!I$2)*100)</f>
        <v>11.111111111111111</v>
      </c>
      <c r="L112" s="1">
        <f>IF('исходные данные'!L112&gt;'минимумы и максимумы'!J$3,100,('исходные данные'!L112-'минимумы и максимумы'!J$2)/('минимумы и максимумы'!J$3-'минимумы и максимумы'!J$2)*100)</f>
        <v>0</v>
      </c>
      <c r="M112" s="1">
        <f>IF('исходные данные'!M112&gt;'минимумы и максимумы'!K$3,100,('исходные данные'!M112-'минимумы и максимумы'!K$2)/('минимумы и максимумы'!K$3-'минимумы и максимумы'!K$2)*100)</f>
        <v>48.387096774193552</v>
      </c>
      <c r="N112" s="1">
        <f>IF('исходные данные'!N112&gt;'минимумы и максимумы'!L$3,100,('исходные данные'!N112-'минимумы и максимумы'!L$2)/('минимумы и максимумы'!L$3-'минимумы и максимумы'!L$2)*100)</f>
        <v>15.821848483982116</v>
      </c>
      <c r="O112" s="1">
        <f>IF('исходные данные'!O112&gt;'минимумы и максимумы'!M$3,100,('исходные данные'!O112-'минимумы и максимумы'!M$2)/('минимумы и максимумы'!M$3-'минимумы и максимумы'!M$2)*100)</f>
        <v>100</v>
      </c>
      <c r="P112" s="1">
        <f>IF('исходные данные'!P112&gt;'минимумы и максимумы'!N$3,100,('исходные данные'!P112-'минимумы и максимумы'!N$2)/('минимумы и максимумы'!N$3-'минимумы и максимумы'!N$2)*100)</f>
        <v>0</v>
      </c>
      <c r="Q112" s="1">
        <f>IF('исходные данные'!Q112&gt;'минимумы и максимумы'!O$3,100,('исходные данные'!Q112-'минимумы и максимумы'!O$2)/('минимумы и максимумы'!O$3-'минимумы и максимумы'!O$2)*100)</f>
        <v>100</v>
      </c>
      <c r="R112" s="1">
        <f>IF('исходные данные'!R112&gt;'минимумы и максимумы'!P$3,100,('исходные данные'!R112-'минимумы и максимумы'!P$2)/('минимумы и максимумы'!P$3-'минимумы и максимумы'!P$2)*100)</f>
        <v>100</v>
      </c>
      <c r="S112" s="1">
        <f>IF('исходные данные'!S112&gt;'минимумы и максимумы'!Q$3,100,('исходные данные'!S112-'минимумы и максимумы'!Q$2)/('минимумы и максимумы'!Q$3-'минимумы и максимумы'!Q$2)*100)</f>
        <v>100</v>
      </c>
      <c r="T112" s="1">
        <f>IF('исходные данные'!T112&gt;'минимумы и максимумы'!R$3,100,('исходные данные'!T112-'минимумы и максимумы'!R$2)/('минимумы и максимумы'!R$3-'минимумы и максимумы'!R$2)*100)</f>
        <v>45.534535855697314</v>
      </c>
      <c r="U112" s="1">
        <f>IF('исходные данные'!U112&gt;'минимумы и максимумы'!S$3,100,('исходные данные'!U112-'минимумы и максимумы'!S$2)/('минимумы и максимумы'!S$3-'минимумы и максимумы'!S$2)*100)</f>
        <v>100</v>
      </c>
    </row>
    <row r="113" spans="1:21" x14ac:dyDescent="0.45">
      <c r="A113" s="4">
        <v>177</v>
      </c>
      <c r="B113" s="4">
        <v>1</v>
      </c>
      <c r="C113" s="4">
        <v>0</v>
      </c>
      <c r="D113" s="1">
        <f>IF('исходные данные'!D113&gt;'минимумы и максимумы'!B$3,100,('исходные данные'!D113-'минимумы и максимумы'!B$2)/('минимумы и максимумы'!B$3-'минимумы и максимумы'!B$2)*100)</f>
        <v>80</v>
      </c>
      <c r="E113" s="1">
        <f>IF('исходные данные'!E113&gt;'минимумы и максимумы'!C$3,100,('исходные данные'!E113-'минимумы и максимумы'!C$2)/('минимумы и максимумы'!C$3-'минимумы и максимумы'!C$2)*100)</f>
        <v>100</v>
      </c>
      <c r="F113" s="1">
        <f>IF('исходные данные'!F113&gt;'минимумы и максимумы'!D$3,100,('исходные данные'!F113-'минимумы и максимумы'!D$2)/('минимумы и максимумы'!D$3-'минимумы и максимумы'!D$2)*100)</f>
        <v>33.333333333333329</v>
      </c>
      <c r="G113" s="1">
        <f>IF('исходные данные'!G113&gt;'минимумы и максимумы'!E$3,100,('исходные данные'!G113-'минимумы и максимумы'!E$2)/('минимумы и максимумы'!E$3-'минимумы и максимумы'!E$2)*100)</f>
        <v>95.833333333333343</v>
      </c>
      <c r="H113" s="1">
        <f>IF('исходные данные'!H113&gt;'минимумы и максимумы'!F$3,100,('исходные данные'!H113-'минимумы и максимумы'!F$2)/('минимумы и максимумы'!F$3-'минимумы и максимумы'!F$2)*100)</f>
        <v>96</v>
      </c>
      <c r="I113" s="1">
        <f>IF('исходные данные'!I113&gt;'минимумы и максимумы'!G$3,100,('исходные данные'!I113-'минимумы и максимумы'!G$2)/('минимумы и максимумы'!G$3-'минимумы и максимумы'!G$2)*100)</f>
        <v>83.018867924528308</v>
      </c>
      <c r="J113" s="1">
        <f>IF('исходные данные'!J113&gt;'минимумы и максимумы'!H$3,100,('исходные данные'!J113-'минимумы и максимумы'!H$2)/('минимумы и максимумы'!H$3-'минимумы и максимумы'!H$2)*100)</f>
        <v>93.333333333333329</v>
      </c>
      <c r="K113" s="1">
        <f>IF('исходные данные'!K113&gt;'минимумы и максимумы'!I$3,100,('исходные данные'!K113-'минимумы и максимумы'!I$2)/('минимумы и максимумы'!I$3-'минимумы и максимумы'!I$2)*100)</f>
        <v>27.777777777777779</v>
      </c>
      <c r="L113" s="1">
        <f>IF('исходные данные'!L113&gt;'минимумы и максимумы'!J$3,100,('исходные данные'!L113-'минимумы и максимумы'!J$2)/('минимумы и максимумы'!J$3-'минимумы и максимумы'!J$2)*100)</f>
        <v>100</v>
      </c>
      <c r="M113" s="1">
        <f>IF('исходные данные'!M113&gt;'минимумы и максимумы'!K$3,100,('исходные данные'!M113-'минимумы и максимумы'!K$2)/('минимумы и максимумы'!K$3-'минимумы и максимумы'!K$2)*100)</f>
        <v>90.322580645161281</v>
      </c>
      <c r="N113" s="1">
        <f>IF('исходные данные'!N113&gt;'минимумы и максимумы'!L$3,100,('исходные данные'!N113-'минимумы и максимумы'!L$2)/('минимумы и максимумы'!L$3-'минимумы и максимумы'!L$2)*100)</f>
        <v>11.37934620478884</v>
      </c>
      <c r="O113" s="1">
        <f>IF('исходные данные'!O113&gt;'минимумы и максимумы'!M$3,100,('исходные данные'!O113-'минимумы и максимумы'!M$2)/('минимумы и максимумы'!M$3-'минимумы и максимумы'!M$2)*100)</f>
        <v>66.666666666666657</v>
      </c>
      <c r="P113" s="1">
        <f>IF('исходные данные'!P113&gt;'минимумы и максимумы'!N$3,100,('исходные данные'!P113-'минимумы и максимумы'!N$2)/('минимумы и максимумы'!N$3-'минимумы и максимумы'!N$2)*100)</f>
        <v>100</v>
      </c>
      <c r="Q113" s="1">
        <f>IF('исходные данные'!Q113&gt;'минимумы и максимумы'!O$3,100,('исходные данные'!Q113-'минимумы и максимумы'!O$2)/('минимумы и максимумы'!O$3-'минимумы и максимумы'!O$2)*100)</f>
        <v>100</v>
      </c>
      <c r="R113" s="1">
        <f>IF('исходные данные'!R113&gt;'минимумы и максимумы'!P$3,100,('исходные данные'!R113-'минимумы и максимумы'!P$2)/('минимумы и максимумы'!P$3-'минимумы и максимумы'!P$2)*100)</f>
        <v>75</v>
      </c>
      <c r="S113" s="1">
        <f>IF('исходные данные'!S113&gt;'минимумы и максимумы'!Q$3,100,('исходные данные'!S113-'минимумы и максимумы'!Q$2)/('минимумы и максимумы'!Q$3-'минимумы и максимумы'!Q$2)*100)</f>
        <v>66.666666666666657</v>
      </c>
      <c r="T113" s="1">
        <f>IF('исходные данные'!T113&gt;'минимумы и максимумы'!R$3,100,('исходные данные'!T113-'минимумы и максимумы'!R$2)/('минимумы и максимумы'!R$3-'минимумы и максимумы'!R$2)*100)</f>
        <v>100</v>
      </c>
      <c r="U113" s="1">
        <f>IF('исходные данные'!U113&gt;'минимумы и максимумы'!S$3,100,('исходные данные'!U113-'минимумы и максимумы'!S$2)/('минимумы и максимумы'!S$3-'минимумы и максимумы'!S$2)*100)</f>
        <v>33.333333333333329</v>
      </c>
    </row>
    <row r="114" spans="1:21" x14ac:dyDescent="0.45">
      <c r="A114" s="4">
        <v>178</v>
      </c>
      <c r="B114" s="4">
        <v>0</v>
      </c>
      <c r="C114" s="4">
        <v>0</v>
      </c>
      <c r="D114" s="1">
        <f>IF('исходные данные'!D114&gt;'минимумы и максимумы'!B$3,100,('исходные данные'!D114-'минимумы и максимумы'!B$2)/('минимумы и максимумы'!B$3-'минимумы и максимумы'!B$2)*100)</f>
        <v>100</v>
      </c>
      <c r="E114" s="1">
        <f>IF('исходные данные'!E114&gt;'минимумы и максимумы'!C$3,100,('исходные данные'!E114-'минимумы и максимумы'!C$2)/('минимумы и максимумы'!C$3-'минимумы и максимумы'!C$2)*100)</f>
        <v>50</v>
      </c>
      <c r="F114" s="1">
        <f>IF('исходные данные'!F114&gt;'минимумы и максимумы'!D$3,100,('исходные данные'!F114-'минимумы и максимумы'!D$2)/('минимумы и максимумы'!D$3-'минимумы и максимумы'!D$2)*100)</f>
        <v>100</v>
      </c>
      <c r="G114" s="1">
        <f>IF('исходные данные'!G114&gt;'минимумы и максимумы'!E$3,100,('исходные данные'!G114-'минимумы и максимумы'!E$2)/('минимумы и максимумы'!E$3-'минимумы и максимумы'!E$2)*100)</f>
        <v>58.333333333333336</v>
      </c>
      <c r="H114" s="1">
        <f>IF('исходные данные'!H114&gt;'минимумы и максимумы'!F$3,100,('исходные данные'!H114-'минимумы и максимумы'!F$2)/('минимумы и максимумы'!F$3-'минимумы и максимумы'!F$2)*100)</f>
        <v>56.000000000000007</v>
      </c>
      <c r="I114" s="1">
        <f>IF('исходные данные'!I114&gt;'минимумы и максимумы'!G$3,100,('исходные данные'!I114-'минимумы и максимумы'!G$2)/('минимумы и максимумы'!G$3-'минимумы и максимумы'!G$2)*100)</f>
        <v>35.849056603773583</v>
      </c>
      <c r="J114" s="1">
        <f>IF('исходные данные'!J114&gt;'минимумы и максимумы'!H$3,100,('исходные данные'!J114-'минимумы и максимумы'!H$2)/('минимумы и максимумы'!H$3-'минимумы и максимумы'!H$2)*100)</f>
        <v>53.333333333333336</v>
      </c>
      <c r="K114" s="1">
        <f>IF('исходные данные'!K114&gt;'минимумы и максимумы'!I$3,100,('исходные данные'!K114-'минимумы и максимумы'!I$2)/('минимумы и максимумы'!I$3-'минимумы и максимумы'!I$2)*100)</f>
        <v>11.111111111111111</v>
      </c>
      <c r="L114" s="1">
        <f>IF('исходные данные'!L114&gt;'минимумы и максимумы'!J$3,100,('исходные данные'!L114-'минимумы и максимумы'!J$2)/('минимумы и максимумы'!J$3-'минимумы и максимумы'!J$2)*100)</f>
        <v>20</v>
      </c>
      <c r="M114" s="1">
        <f>IF('исходные данные'!M114&gt;'минимумы и максимумы'!K$3,100,('исходные данные'!M114-'минимумы и максимумы'!K$2)/('минимумы и максимумы'!K$3-'минимумы и максимумы'!K$2)*100)</f>
        <v>67.741935483870961</v>
      </c>
      <c r="N114" s="1">
        <f>IF('исходные данные'!N114&gt;'минимумы и максимумы'!L$3,100,('исходные данные'!N114-'минимумы и максимумы'!L$2)/('минимумы и максимумы'!L$3-'минимумы и максимумы'!L$2)*100)</f>
        <v>15.061587591213296</v>
      </c>
      <c r="O114" s="1">
        <f>IF('исходные данные'!O114&gt;'минимумы и максимумы'!M$3,100,('исходные данные'!O114-'минимумы и максимумы'!M$2)/('минимумы и максимумы'!M$3-'минимумы и максимумы'!M$2)*100)</f>
        <v>100</v>
      </c>
      <c r="P114" s="1">
        <f>IF('исходные данные'!P114&gt;'минимумы и максимумы'!N$3,100,('исходные данные'!P114-'минимумы и максимумы'!N$2)/('минимумы и максимумы'!N$3-'минимумы и максимумы'!N$2)*100)</f>
        <v>0</v>
      </c>
      <c r="Q114" s="1">
        <f>IF('исходные данные'!Q114&gt;'минимумы и максимумы'!O$3,100,('исходные данные'!Q114-'минимумы и максимумы'!O$2)/('минимумы и максимумы'!O$3-'минимумы и максимумы'!O$2)*100)</f>
        <v>100</v>
      </c>
      <c r="R114" s="1">
        <f>IF('исходные данные'!R114&gt;'минимумы и максимумы'!P$3,100,('исходные данные'!R114-'минимумы и максимумы'!P$2)/('минимумы и максимумы'!P$3-'минимумы и максимумы'!P$2)*100)</f>
        <v>100</v>
      </c>
      <c r="S114" s="1">
        <f>IF('исходные данные'!S114&gt;'минимумы и максимумы'!Q$3,100,('исходные данные'!S114-'минимумы и максимумы'!Q$2)/('минимумы и максимумы'!Q$3-'минимумы и максимумы'!Q$2)*100)</f>
        <v>66.666666666666657</v>
      </c>
      <c r="T114" s="1">
        <f>IF('исходные данные'!T114&gt;'минимумы и максимумы'!R$3,100,('исходные данные'!T114-'минимумы и максимумы'!R$2)/('минимумы и максимумы'!R$3-'минимумы и максимумы'!R$2)*100)</f>
        <v>42.630884293884733</v>
      </c>
      <c r="U114" s="1">
        <f>IF('исходные данные'!U114&gt;'минимумы и максимумы'!S$3,100,('исходные данные'!U114-'минимумы и максимумы'!S$2)/('минимумы и максимумы'!S$3-'минимумы и максимумы'!S$2)*100)</f>
        <v>66.666666666666657</v>
      </c>
    </row>
    <row r="115" spans="1:21" x14ac:dyDescent="0.45">
      <c r="A115" s="4">
        <v>179</v>
      </c>
      <c r="B115" s="4">
        <v>0</v>
      </c>
      <c r="C115" s="4">
        <v>1</v>
      </c>
      <c r="D115" s="1">
        <f>IF('исходные данные'!D115&gt;'минимумы и максимумы'!B$3,100,('исходные данные'!D115-'минимумы и максимумы'!B$2)/('минимумы и максимумы'!B$3-'минимумы и максимумы'!B$2)*100)</f>
        <v>60</v>
      </c>
      <c r="E115" s="1">
        <f>IF('исходные данные'!E115&gt;'минимумы и максимумы'!C$3,100,('исходные данные'!E115-'минимумы и максимумы'!C$2)/('минимумы и максимумы'!C$3-'минимумы и максимумы'!C$2)*100)</f>
        <v>100</v>
      </c>
      <c r="F115" s="1">
        <f>IF('исходные данные'!F115&gt;'минимумы и максимумы'!D$3,100,('исходные данные'!F115-'минимумы и максимумы'!D$2)/('минимумы и максимумы'!D$3-'минимумы и максимумы'!D$2)*100)</f>
        <v>33.333333333333329</v>
      </c>
      <c r="G115" s="1">
        <f>IF('исходные данные'!G115&gt;'минимумы и максимумы'!E$3,100,('исходные данные'!G115-'минимумы и максимумы'!E$2)/('минимумы и максимумы'!E$3-'минимумы и максимумы'!E$2)*100)</f>
        <v>66.666666666666657</v>
      </c>
      <c r="H115" s="1">
        <f>IF('исходные данные'!H115&gt;'минимумы и максимумы'!F$3,100,('исходные данные'!H115-'минимумы и максимумы'!F$2)/('минимумы и максимумы'!F$3-'минимумы и максимумы'!F$2)*100)</f>
        <v>60</v>
      </c>
      <c r="I115" s="1">
        <f>IF('исходные данные'!I115&gt;'минимумы и максимумы'!G$3,100,('исходные данные'!I115-'минимумы и максимумы'!G$2)/('минимумы и максимумы'!G$3-'минимумы и максимумы'!G$2)*100)</f>
        <v>43.39622641509434</v>
      </c>
      <c r="J115" s="1">
        <f>IF('исходные данные'!J115&gt;'минимумы и максимумы'!H$3,100,('исходные данные'!J115-'минимумы и максимумы'!H$2)/('минимумы и максимумы'!H$3-'минимумы и максимумы'!H$2)*100)</f>
        <v>73.333333333333329</v>
      </c>
      <c r="K115" s="1">
        <f>IF('исходные данные'!K115&gt;'минимумы и максимумы'!I$3,100,('исходные данные'!K115-'минимумы и максимумы'!I$2)/('минимумы и максимумы'!I$3-'минимумы и максимумы'!I$2)*100)</f>
        <v>22.222222222222221</v>
      </c>
      <c r="L115" s="1">
        <f>IF('исходные данные'!L115&gt;'минимумы и максимумы'!J$3,100,('исходные данные'!L115-'минимумы и максимумы'!J$2)/('минимумы и максимумы'!J$3-'минимумы и максимумы'!J$2)*100)</f>
        <v>100</v>
      </c>
      <c r="M115" s="1">
        <f>IF('исходные данные'!M115&gt;'минимумы и максимумы'!K$3,100,('исходные данные'!M115-'минимумы и максимумы'!K$2)/('минимумы и максимумы'!K$3-'минимумы и максимумы'!K$2)*100)</f>
        <v>90.322580645161281</v>
      </c>
      <c r="N115" s="1">
        <f>IF('исходные данные'!N115&gt;'минимумы и максимумы'!L$3,100,('исходные данные'!N115-'минимумы и максимумы'!L$2)/('минимумы и максимумы'!L$3-'минимумы и максимумы'!L$2)*100)</f>
        <v>13.923273270813421</v>
      </c>
      <c r="O115" s="1">
        <f>IF('исходные данные'!O115&gt;'минимумы и максимумы'!M$3,100,('исходные данные'!O115-'минимумы и максимумы'!M$2)/('минимумы и максимумы'!M$3-'минимумы и максимумы'!M$2)*100)</f>
        <v>33.333333333333329</v>
      </c>
      <c r="P115" s="1">
        <f>IF('исходные данные'!P115&gt;'минимумы и максимумы'!N$3,100,('исходные данные'!P115-'минимумы и максимумы'!N$2)/('минимумы и максимумы'!N$3-'минимумы и максимумы'!N$2)*100)</f>
        <v>0</v>
      </c>
      <c r="Q115" s="1">
        <f>IF('исходные данные'!Q115&gt;'минимумы и максимумы'!O$3,100,('исходные данные'!Q115-'минимумы и максимумы'!O$2)/('минимумы и максимумы'!O$3-'минимумы и максимумы'!O$2)*100)</f>
        <v>0</v>
      </c>
      <c r="R115" s="1">
        <f>IF('исходные данные'!R115&gt;'минимумы и максимумы'!P$3,100,('исходные данные'!R115-'минимумы и максимумы'!P$2)/('минимумы и максимумы'!P$3-'минимумы и максимумы'!P$2)*100)</f>
        <v>100</v>
      </c>
      <c r="S115" s="1">
        <f>IF('исходные данные'!S115&gt;'минимумы и максимумы'!Q$3,100,('исходные данные'!S115-'минимумы и максимумы'!Q$2)/('минимумы и максимумы'!Q$3-'минимумы и максимумы'!Q$2)*100)</f>
        <v>33.333333333333329</v>
      </c>
      <c r="T115" s="1">
        <f>IF('исходные данные'!T115&gt;'минимумы и максимумы'!R$3,100,('исходные данные'!T115-'минимумы и максимумы'!R$2)/('минимумы и максимумы'!R$3-'минимумы и максимумы'!R$2)*100)</f>
        <v>4.8834139903211611</v>
      </c>
      <c r="U115" s="1">
        <f>IF('исходные данные'!U115&gt;'минимумы и максимумы'!S$3,100,('исходные данные'!U115-'минимумы и максимумы'!S$2)/('минимумы и максимумы'!S$3-'минимумы и максимумы'!S$2)*100)</f>
        <v>0</v>
      </c>
    </row>
    <row r="116" spans="1:21" x14ac:dyDescent="0.45">
      <c r="A116" s="4">
        <v>180</v>
      </c>
      <c r="B116" s="4">
        <v>0</v>
      </c>
      <c r="C116" s="4">
        <v>0</v>
      </c>
      <c r="D116" s="1">
        <f>IF('исходные данные'!D116&gt;'минимумы и максимумы'!B$3,100,('исходные данные'!D116-'минимумы и максимумы'!B$2)/('минимумы и максимумы'!B$3-'минимумы и максимумы'!B$2)*100)</f>
        <v>40</v>
      </c>
      <c r="E116" s="1">
        <f>IF('исходные данные'!E116&gt;'минимумы и максимумы'!C$3,100,('исходные данные'!E116-'минимумы и максимумы'!C$2)/('минимумы и максимумы'!C$3-'минимумы и максимумы'!C$2)*100)</f>
        <v>80</v>
      </c>
      <c r="F116" s="1">
        <f>IF('исходные данные'!F116&gt;'минимумы и максимумы'!D$3,100,('исходные данные'!F116-'минимумы и максимумы'!D$2)/('минимумы и максимумы'!D$3-'минимумы и максимумы'!D$2)*100)</f>
        <v>33.333333333333329</v>
      </c>
      <c r="G116" s="1">
        <f>IF('исходные данные'!G116&gt;'минимумы и максимумы'!E$3,100,('исходные данные'!G116-'минимумы и максимумы'!E$2)/('минимумы и максимумы'!E$3-'минимумы и максимумы'!E$2)*100)</f>
        <v>70.833333333333343</v>
      </c>
      <c r="H116" s="1">
        <f>IF('исходные данные'!H116&gt;'минимумы и максимумы'!F$3,100,('исходные данные'!H116-'минимумы и максимумы'!F$2)/('минимумы и максимумы'!F$3-'минимумы и максимумы'!F$2)*100)</f>
        <v>72</v>
      </c>
      <c r="I116" s="1">
        <f>IF('исходные данные'!I116&gt;'минимумы и максимумы'!G$3,100,('исходные данные'!I116-'минимумы и максимумы'!G$2)/('минимумы и максимумы'!G$3-'минимумы и максимумы'!G$2)*100)</f>
        <v>60.377358490566039</v>
      </c>
      <c r="J116" s="1">
        <f>IF('исходные данные'!J116&gt;'минимумы и максимумы'!H$3,100,('исходные данные'!J116-'минимумы и максимумы'!H$2)/('минимумы и максимумы'!H$3-'минимумы и максимумы'!H$2)*100)</f>
        <v>66.666666666666657</v>
      </c>
      <c r="K116" s="1">
        <f>IF('исходные данные'!K116&gt;'минимумы и максимумы'!I$3,100,('исходные данные'!K116-'минимумы и максимумы'!I$2)/('минимумы и максимумы'!I$3-'минимумы и максимумы'!I$2)*100)</f>
        <v>16.666666666666664</v>
      </c>
      <c r="L116" s="1">
        <f>IF('исходные данные'!L116&gt;'минимумы и максимумы'!J$3,100,('исходные данные'!L116-'минимумы и максимумы'!J$2)/('минимумы и максимумы'!J$3-'минимумы и максимумы'!J$2)*100)</f>
        <v>100</v>
      </c>
      <c r="M116" s="1">
        <f>IF('исходные данные'!M116&gt;'минимумы и максимумы'!K$3,100,('исходные данные'!M116-'минимумы и максимумы'!K$2)/('минимумы и максимумы'!K$3-'минимумы и максимумы'!K$2)*100)</f>
        <v>90.322580645161281</v>
      </c>
      <c r="N116" s="1">
        <f>IF('исходные данные'!N116&gt;'минимумы и максимумы'!L$3,100,('исходные данные'!N116-'минимумы и максимумы'!L$2)/('минимумы и максимумы'!L$3-'минимумы и максимумы'!L$2)*100)</f>
        <v>13.895179567499538</v>
      </c>
      <c r="O116" s="1">
        <f>IF('исходные данные'!O116&gt;'минимумы и максимумы'!M$3,100,('исходные данные'!O116-'минимумы и максимумы'!M$2)/('минимумы и максимумы'!M$3-'минимумы и максимумы'!M$2)*100)</f>
        <v>100</v>
      </c>
      <c r="P116" s="1">
        <f>IF('исходные данные'!P116&gt;'минимумы и максимумы'!N$3,100,('исходные данные'!P116-'минимумы и максимумы'!N$2)/('минимумы и максимумы'!N$3-'минимумы и максимумы'!N$2)*100)</f>
        <v>100</v>
      </c>
      <c r="Q116" s="1">
        <f>IF('исходные данные'!Q116&gt;'минимумы и максимумы'!O$3,100,('исходные данные'!Q116-'минимумы и максимумы'!O$2)/('минимумы и максимумы'!O$3-'минимумы и максимумы'!O$2)*100)</f>
        <v>100</v>
      </c>
      <c r="R116" s="1">
        <f>IF('исходные данные'!R116&gt;'минимумы и максимумы'!P$3,100,('исходные данные'!R116-'минимумы и максимумы'!P$2)/('минимумы и максимумы'!P$3-'минимумы и максимумы'!P$2)*100)</f>
        <v>100</v>
      </c>
      <c r="S116" s="1">
        <f>IF('исходные данные'!S116&gt;'минимумы и максимумы'!Q$3,100,('исходные данные'!S116-'минимумы и максимумы'!Q$2)/('минимумы и максимумы'!Q$3-'минимумы и максимумы'!Q$2)*100)</f>
        <v>50</v>
      </c>
      <c r="T116" s="1">
        <f>IF('исходные данные'!T116&gt;'минимумы и максимумы'!R$3,100,('исходные данные'!T116-'минимумы и максимумы'!R$2)/('минимумы и максимумы'!R$3-'минимумы и максимумы'!R$2)*100)</f>
        <v>41.970963484381876</v>
      </c>
      <c r="U116" s="1">
        <f>IF('исходные данные'!U116&gt;'минимумы и максимумы'!S$3,100,('исходные данные'!U116-'минимумы и максимумы'!S$2)/('минимумы и максимумы'!S$3-'минимумы и максимумы'!S$2)*100)</f>
        <v>66.666666666666657</v>
      </c>
    </row>
    <row r="117" spans="1:21" x14ac:dyDescent="0.45">
      <c r="A117" s="4">
        <v>181</v>
      </c>
      <c r="B117" s="4">
        <v>0</v>
      </c>
      <c r="C117" s="4">
        <v>0</v>
      </c>
      <c r="D117" s="1">
        <f>IF('исходные данные'!D117&gt;'минимумы и максимумы'!B$3,100,('исходные данные'!D117-'минимумы и максимумы'!B$2)/('минимумы и максимумы'!B$3-'минимумы и максимумы'!B$2)*100)</f>
        <v>40</v>
      </c>
      <c r="E117" s="1">
        <f>IF('исходные данные'!E117&gt;'минимумы и максимумы'!C$3,100,('исходные данные'!E117-'минимумы и максимумы'!C$2)/('минимумы и максимумы'!C$3-'минимумы и максимумы'!C$2)*100)</f>
        <v>100</v>
      </c>
      <c r="F117" s="1">
        <f>IF('исходные данные'!F117&gt;'минимумы и максимумы'!D$3,100,('исходные данные'!F117-'минимумы и максимумы'!D$2)/('минимумы и максимумы'!D$3-'минимумы и максимумы'!D$2)*100)</f>
        <v>0</v>
      </c>
      <c r="G117" s="1">
        <f>IF('исходные данные'!G117&gt;'минимумы и максимумы'!E$3,100,('исходные данные'!G117-'минимумы и максимумы'!E$2)/('минимумы и максимумы'!E$3-'минимумы и максимумы'!E$2)*100)</f>
        <v>70.833333333333343</v>
      </c>
      <c r="H117" s="1">
        <f>IF('исходные данные'!H117&gt;'минимумы и максимумы'!F$3,100,('исходные данные'!H117-'минимумы и максимумы'!F$2)/('минимумы и максимумы'!F$3-'минимумы и максимумы'!F$2)*100)</f>
        <v>52</v>
      </c>
      <c r="I117" s="1">
        <f>IF('исходные данные'!I117&gt;'минимумы и максимумы'!G$3,100,('исходные данные'!I117-'минимумы и максимумы'!G$2)/('минимумы и максимумы'!G$3-'минимумы и максимумы'!G$2)*100)</f>
        <v>60.377358490566039</v>
      </c>
      <c r="J117" s="1">
        <f>IF('исходные данные'!J117&gt;'минимумы и максимумы'!H$3,100,('исходные данные'!J117-'минимумы и максимумы'!H$2)/('минимумы и максимумы'!H$3-'минимумы и максимумы'!H$2)*100)</f>
        <v>100</v>
      </c>
      <c r="K117" s="1">
        <f>IF('исходные данные'!K117&gt;'минимумы и максимумы'!I$3,100,('исходные данные'!K117-'минимумы и максимумы'!I$2)/('минимумы и максимумы'!I$3-'минимумы и максимумы'!I$2)*100)</f>
        <v>33.333333333333329</v>
      </c>
      <c r="L117" s="1">
        <f>IF('исходные данные'!L117&gt;'минимумы и максимумы'!J$3,100,('исходные данные'!L117-'минимумы и максимумы'!J$2)/('минимумы и максимумы'!J$3-'минимумы и максимумы'!J$2)*100)</f>
        <v>100</v>
      </c>
      <c r="M117" s="1">
        <f>IF('исходные данные'!M117&gt;'минимумы и максимумы'!K$3,100,('исходные данные'!M117-'минимумы и максимумы'!K$2)/('минимумы и максимумы'!K$3-'минимумы и максимумы'!K$2)*100)</f>
        <v>80.645161290322577</v>
      </c>
      <c r="N117" s="1">
        <f>IF('исходные данные'!N117&gt;'минимумы и максимумы'!L$3,100,('исходные данные'!N117-'минимумы и максимумы'!L$2)/('минимумы и максимумы'!L$3-'минимумы и максимумы'!L$2)*100)</f>
        <v>12.450826568440437</v>
      </c>
      <c r="O117" s="1">
        <f>IF('исходные данные'!O117&gt;'минимумы и максимумы'!M$3,100,('исходные данные'!O117-'минимумы и максимумы'!M$2)/('минимумы и максимумы'!M$3-'минимумы и максимумы'!M$2)*100)</f>
        <v>0</v>
      </c>
      <c r="P117" s="1">
        <f>IF('исходные данные'!P117&gt;'минимумы и максимумы'!N$3,100,('исходные данные'!P117-'минимумы и максимумы'!N$2)/('минимумы и максимумы'!N$3-'минимумы и максимумы'!N$2)*100)</f>
        <v>100</v>
      </c>
      <c r="Q117" s="1">
        <f>IF('исходные данные'!Q117&gt;'минимумы и максимумы'!O$3,100,('исходные данные'!Q117-'минимумы и максимумы'!O$2)/('минимумы и максимумы'!O$3-'минимумы и максимумы'!O$2)*100)</f>
        <v>100</v>
      </c>
      <c r="R117" s="1">
        <f>IF('исходные данные'!R117&gt;'минимумы и максимумы'!P$3,100,('исходные данные'!R117-'минимумы и максимумы'!P$2)/('минимумы и максимумы'!P$3-'минимумы и максимумы'!P$2)*100)</f>
        <v>100</v>
      </c>
      <c r="S117" s="1">
        <f>IF('исходные данные'!S117&gt;'минимумы и максимумы'!Q$3,100,('исходные данные'!S117-'минимумы и максимумы'!Q$2)/('минимумы и максимумы'!Q$3-'минимумы и максимумы'!Q$2)*100)</f>
        <v>66.666666666666657</v>
      </c>
      <c r="T117" s="1">
        <f>IF('исходные данные'!T117&gt;'минимумы и максимумы'!R$3,100,('исходные данные'!T117-'минимумы и максимумы'!R$2)/('минимумы и максимумы'!R$3-'минимумы и максимумы'!R$2)*100)</f>
        <v>45.09458864936208</v>
      </c>
      <c r="U117" s="1">
        <f>IF('исходные данные'!U117&gt;'минимумы и максимумы'!S$3,100,('исходные данные'!U117-'минимумы и максимумы'!S$2)/('минимумы и максимумы'!S$3-'минимумы и максимумы'!S$2)*100)</f>
        <v>100</v>
      </c>
    </row>
    <row r="118" spans="1:21" x14ac:dyDescent="0.45">
      <c r="A118" s="4">
        <v>182</v>
      </c>
      <c r="B118" s="4">
        <v>0</v>
      </c>
      <c r="C118" s="4">
        <v>0</v>
      </c>
      <c r="D118" s="1">
        <f>IF('исходные данные'!D118&gt;'минимумы и максимумы'!B$3,100,('исходные данные'!D118-'минимумы и максимумы'!B$2)/('минимумы и максимумы'!B$3-'минимумы и максимумы'!B$2)*100)</f>
        <v>60</v>
      </c>
      <c r="E118" s="1">
        <f>IF('исходные данные'!E118&gt;'минимумы и максимумы'!C$3,100,('исходные данные'!E118-'минимумы и максимумы'!C$2)/('минимумы и максимумы'!C$3-'минимумы и максимумы'!C$2)*100)</f>
        <v>100</v>
      </c>
      <c r="F118" s="1">
        <f>IF('исходные данные'!F118&gt;'минимумы и максимумы'!D$3,100,('исходные данные'!F118-'минимумы и максимумы'!D$2)/('минимумы и максимумы'!D$3-'минимумы и максимумы'!D$2)*100)</f>
        <v>33.333333333333329</v>
      </c>
      <c r="G118" s="1">
        <f>IF('исходные данные'!G118&gt;'минимумы и максимумы'!E$3,100,('исходные данные'!G118-'минимумы и максимумы'!E$2)/('минимумы и максимумы'!E$3-'минимумы и максимумы'!E$2)*100)</f>
        <v>66.666666666666657</v>
      </c>
      <c r="H118" s="1">
        <f>IF('исходные данные'!H118&gt;'минимумы и максимумы'!F$3,100,('исходные данные'!H118-'минимумы и максимумы'!F$2)/('минимумы и максимумы'!F$3-'минимумы и максимумы'!F$2)*100)</f>
        <v>44</v>
      </c>
      <c r="I118" s="1">
        <f>IF('исходные данные'!I118&gt;'минимумы и максимумы'!G$3,100,('исходные данные'!I118-'минимумы и максимумы'!G$2)/('минимумы и максимумы'!G$3-'минимумы и максимумы'!G$2)*100)</f>
        <v>77.358490566037744</v>
      </c>
      <c r="J118" s="1">
        <f>IF('исходные данные'!J118&gt;'минимумы и максимумы'!H$3,100,('исходные данные'!J118-'минимумы и максимумы'!H$2)/('минимумы и максимумы'!H$3-'минимумы и максимумы'!H$2)*100)</f>
        <v>100</v>
      </c>
      <c r="K118" s="1">
        <f>IF('исходные данные'!K118&gt;'минимумы и максимумы'!I$3,100,('исходные данные'!K118-'минимумы и максимумы'!I$2)/('минимумы и максимумы'!I$3-'минимумы и максимумы'!I$2)*100)</f>
        <v>33.333333333333329</v>
      </c>
      <c r="L118" s="1">
        <f>IF('исходные данные'!L118&gt;'минимумы и максимумы'!J$3,100,('исходные данные'!L118-'минимумы и максимумы'!J$2)/('минимумы и максимумы'!J$3-'минимумы и максимумы'!J$2)*100)</f>
        <v>0</v>
      </c>
      <c r="M118" s="1">
        <f>IF('исходные данные'!M118&gt;'минимумы и максимумы'!K$3,100,('исходные данные'!M118-'минимумы и максимумы'!K$2)/('минимумы и максимумы'!K$3-'минимумы и максимумы'!K$2)*100)</f>
        <v>77.41935483870968</v>
      </c>
      <c r="N118" s="1">
        <f>IF('исходные данные'!N118&gt;'минимумы и максимумы'!L$3,100,('исходные данные'!N118-'минимумы и максимумы'!L$2)/('минимумы и максимумы'!L$3-'минимумы и максимумы'!L$2)*100)</f>
        <v>11.307333626756135</v>
      </c>
      <c r="O118" s="1">
        <f>IF('исходные данные'!O118&gt;'минимумы и максимумы'!M$3,100,('исходные данные'!O118-'минимумы и максимумы'!M$2)/('минимумы и максимумы'!M$3-'минимумы и максимумы'!M$2)*100)</f>
        <v>66.666666666666657</v>
      </c>
      <c r="P118" s="1">
        <f>IF('исходные данные'!P118&gt;'минимумы и максимумы'!N$3,100,('исходные данные'!P118-'минимумы и максимумы'!N$2)/('минимумы и максимумы'!N$3-'минимумы и максимумы'!N$2)*100)</f>
        <v>100</v>
      </c>
      <c r="Q118" s="1">
        <f>IF('исходные данные'!Q118&gt;'минимумы и максимумы'!O$3,100,('исходные данные'!Q118-'минимумы и максимумы'!O$2)/('минимумы и максимумы'!O$3-'минимумы и максимумы'!O$2)*100)</f>
        <v>100</v>
      </c>
      <c r="R118" s="1">
        <f>IF('исходные данные'!R118&gt;'минимумы и максимумы'!P$3,100,('исходные данные'!R118-'минимумы и максимумы'!P$2)/('минимумы и максимумы'!P$3-'минимумы и максимумы'!P$2)*100)</f>
        <v>100</v>
      </c>
      <c r="S118" s="1">
        <f>IF('исходные данные'!S118&gt;'минимумы и максимумы'!Q$3,100,('исходные данные'!S118-'минимумы и максимумы'!Q$2)/('минимумы и максимумы'!Q$3-'минимумы и максимумы'!Q$2)*100)</f>
        <v>50</v>
      </c>
      <c r="T118" s="1">
        <f>IF('исходные данные'!T118&gt;'минимумы и максимумы'!R$3,100,('исходные данные'!T118-'минимумы и максимумы'!R$2)/('минимумы и максимумы'!R$3-'минимумы и максимумы'!R$2)*100)</f>
        <v>72.063352397712279</v>
      </c>
      <c r="U118" s="1">
        <f>IF('исходные данные'!U118&gt;'минимумы и максимумы'!S$3,100,('исходные данные'!U118-'минимумы и максимумы'!S$2)/('минимумы и максимумы'!S$3-'минимумы и максимумы'!S$2)*100)</f>
        <v>0</v>
      </c>
    </row>
    <row r="119" spans="1:21" x14ac:dyDescent="0.45">
      <c r="A119" s="4">
        <v>183</v>
      </c>
      <c r="B119" s="4">
        <v>0</v>
      </c>
      <c r="C119" s="4">
        <v>0</v>
      </c>
      <c r="D119" s="1">
        <f>IF('исходные данные'!D119&gt;'минимумы и максимумы'!B$3,100,('исходные данные'!D119-'минимумы и максимумы'!B$2)/('минимумы и максимумы'!B$3-'минимумы и максимумы'!B$2)*100)</f>
        <v>40</v>
      </c>
      <c r="E119" s="1">
        <f>IF('исходные данные'!E119&gt;'минимумы и максимумы'!C$3,100,('исходные данные'!E119-'минимумы и максимумы'!C$2)/('минимумы и максимумы'!C$3-'минимумы и максимумы'!C$2)*100)</f>
        <v>100</v>
      </c>
      <c r="F119" s="1">
        <f>IF('исходные данные'!F119&gt;'минимумы и максимумы'!D$3,100,('исходные данные'!F119-'минимумы и максимумы'!D$2)/('минимумы и максимумы'!D$3-'минимумы и максимумы'!D$2)*100)</f>
        <v>33.333333333333329</v>
      </c>
      <c r="G119" s="1">
        <f>IF('исходные данные'!G119&gt;'минимумы и максимумы'!E$3,100,('исходные данные'!G119-'минимумы и максимумы'!E$2)/('минимумы и максимумы'!E$3-'минимумы и максимумы'!E$2)*100)</f>
        <v>62.5</v>
      </c>
      <c r="H119" s="1">
        <f>IF('исходные данные'!H119&gt;'минимумы и максимумы'!F$3,100,('исходные данные'!H119-'минимумы и максимумы'!F$2)/('минимумы и максимумы'!F$3-'минимумы и максимумы'!F$2)*100)</f>
        <v>48</v>
      </c>
      <c r="I119" s="1">
        <f>IF('исходные данные'!I119&gt;'минимумы и максимумы'!G$3,100,('исходные данные'!I119-'минимумы и максимумы'!G$2)/('минимумы и максимумы'!G$3-'минимумы и максимумы'!G$2)*100)</f>
        <v>75.471698113207552</v>
      </c>
      <c r="J119" s="1">
        <f>IF('исходные данные'!J119&gt;'минимумы и максимумы'!H$3,100,('исходные данные'!J119-'минимумы и максимумы'!H$2)/('минимумы и максимумы'!H$3-'минимумы и максимумы'!H$2)*100)</f>
        <v>100</v>
      </c>
      <c r="K119" s="1">
        <f>IF('исходные данные'!K119&gt;'минимумы и максимумы'!I$3,100,('исходные данные'!K119-'минимумы и максимумы'!I$2)/('минимумы и максимумы'!I$3-'минимумы и максимумы'!I$2)*100)</f>
        <v>22.222222222222221</v>
      </c>
      <c r="L119" s="1">
        <f>IF('исходные данные'!L119&gt;'минимумы и максимумы'!J$3,100,('исходные данные'!L119-'минимумы и максимумы'!J$2)/('минимумы и максимумы'!J$3-'минимумы и максимумы'!J$2)*100)</f>
        <v>100</v>
      </c>
      <c r="M119" s="1">
        <f>IF('исходные данные'!M119&gt;'минимумы и максимумы'!K$3,100,('исходные данные'!M119-'минимумы и максимумы'!K$2)/('минимумы и максимумы'!K$3-'минимумы и максимумы'!K$2)*100)</f>
        <v>80.645161290322577</v>
      </c>
      <c r="N119" s="1">
        <f>IF('исходные данные'!N119&gt;'минимумы и максимумы'!L$3,100,('исходные данные'!N119-'минимумы и максимумы'!L$2)/('минимумы и максимумы'!L$3-'минимумы и максимумы'!L$2)*100)</f>
        <v>11.64480939958279</v>
      </c>
      <c r="O119" s="1">
        <f>IF('исходные данные'!O119&gt;'минимумы и максимумы'!M$3,100,('исходные данные'!O119-'минимумы и максимумы'!M$2)/('минимумы и максимумы'!M$3-'минимумы и максимумы'!M$2)*100)</f>
        <v>100</v>
      </c>
      <c r="P119" s="1">
        <f>IF('исходные данные'!P119&gt;'минимумы и максимумы'!N$3,100,('исходные данные'!P119-'минимумы и максимумы'!N$2)/('минимумы и максимумы'!N$3-'минимумы и максимумы'!N$2)*100)</f>
        <v>0</v>
      </c>
      <c r="Q119" s="1">
        <f>IF('исходные данные'!Q119&gt;'минимумы и максимумы'!O$3,100,('исходные данные'!Q119-'минимумы и максимумы'!O$2)/('минимумы и максимумы'!O$3-'минимумы и максимумы'!O$2)*100)</f>
        <v>100</v>
      </c>
      <c r="R119" s="1">
        <f>IF('исходные данные'!R119&gt;'минимумы и максимумы'!P$3,100,('исходные данные'!R119-'минимумы и максимумы'!P$2)/('минимумы и максимумы'!P$3-'минимумы и максимумы'!P$2)*100)</f>
        <v>100</v>
      </c>
      <c r="S119" s="1">
        <f>IF('исходные данные'!S119&gt;'минимумы и максимумы'!Q$3,100,('исходные данные'!S119-'минимумы и максимумы'!Q$2)/('минимумы и максимумы'!Q$3-'минимумы и максимумы'!Q$2)*100)</f>
        <v>66.666666666666657</v>
      </c>
      <c r="T119" s="1">
        <f>IF('исходные данные'!T119&gt;'минимумы и максимумы'!R$3,100,('исходные данные'!T119-'минимумы и максимумы'!R$2)/('минимумы и максимумы'!R$3-'минимумы и максимумы'!R$2)*100)</f>
        <v>40.123185217773866</v>
      </c>
      <c r="U119" s="1">
        <f>IF('исходные данные'!U119&gt;'минимумы и максимумы'!S$3,100,('исходные данные'!U119-'минимумы и максимумы'!S$2)/('минимумы и максимумы'!S$3-'минимумы и максимумы'!S$2)*100)</f>
        <v>66.666666666666657</v>
      </c>
    </row>
    <row r="120" spans="1:21" x14ac:dyDescent="0.45">
      <c r="A120" s="4">
        <v>184</v>
      </c>
      <c r="B120" s="4">
        <v>1</v>
      </c>
      <c r="C120" s="4">
        <v>0</v>
      </c>
      <c r="D120" s="1">
        <f>IF('исходные данные'!D120&gt;'минимумы и максимумы'!B$3,100,('исходные данные'!D120-'минимумы и максимумы'!B$2)/('минимумы и максимумы'!B$3-'минимумы и максимумы'!B$2)*100)</f>
        <v>40</v>
      </c>
      <c r="E120" s="1">
        <f>IF('исходные данные'!E120&gt;'минимумы и максимумы'!C$3,100,('исходные данные'!E120-'минимумы и максимумы'!C$2)/('минимумы и максимумы'!C$3-'минимумы и максимумы'!C$2)*100)</f>
        <v>100</v>
      </c>
      <c r="F120" s="1">
        <f>IF('исходные данные'!F120&gt;'минимумы и максимумы'!D$3,100,('исходные данные'!F120-'минимумы и максимумы'!D$2)/('минимумы и максимумы'!D$3-'минимумы и максимумы'!D$2)*100)</f>
        <v>0</v>
      </c>
      <c r="G120" s="1">
        <f>IF('исходные данные'!G120&gt;'минимумы и максимумы'!E$3,100,('исходные данные'!G120-'минимумы и максимумы'!E$2)/('минимумы и максимумы'!E$3-'минимумы и максимумы'!E$2)*100)</f>
        <v>75</v>
      </c>
      <c r="H120" s="1">
        <f>IF('исходные данные'!H120&gt;'минимумы и максимумы'!F$3,100,('исходные данные'!H120-'минимумы и максимумы'!F$2)/('минимумы и максимумы'!F$3-'минимумы и максимумы'!F$2)*100)</f>
        <v>44</v>
      </c>
      <c r="I120" s="1">
        <f>IF('исходные данные'!I120&gt;'минимумы и максимумы'!G$3,100,('исходные данные'!I120-'минимумы и максимумы'!G$2)/('минимумы и максимумы'!G$3-'минимумы и максимумы'!G$2)*100)</f>
        <v>66.037735849056602</v>
      </c>
      <c r="J120" s="1">
        <f>IF('исходные данные'!J120&gt;'минимумы и максимумы'!H$3,100,('исходные данные'!J120-'минимумы и максимумы'!H$2)/('минимумы и максимумы'!H$3-'минимумы и максимумы'!H$2)*100)</f>
        <v>93.333333333333329</v>
      </c>
      <c r="K120" s="1">
        <f>IF('исходные данные'!K120&gt;'минимумы и максимумы'!I$3,100,('исходные данные'!K120-'минимумы и максимумы'!I$2)/('минимумы и максимумы'!I$3-'минимумы и максимумы'!I$2)*100)</f>
        <v>38.888888888888893</v>
      </c>
      <c r="L120" s="1">
        <f>IF('исходные данные'!L120&gt;'минимумы и максимумы'!J$3,100,('исходные данные'!L120-'минимумы и максимумы'!J$2)/('минимумы и максимумы'!J$3-'минимумы и максимумы'!J$2)*100)</f>
        <v>100</v>
      </c>
      <c r="M120" s="1">
        <f>IF('исходные данные'!M120&gt;'минимумы и максимумы'!K$3,100,('исходные данные'!M120-'минимумы и максимумы'!K$2)/('минимумы и максимумы'!K$3-'минимумы и максимумы'!K$2)*100)</f>
        <v>83.870967741935488</v>
      </c>
      <c r="N120" s="1">
        <f>IF('исходные данные'!N120&gt;'минимумы и максимумы'!L$3,100,('исходные данные'!N120-'минимумы и максимумы'!L$2)/('минимумы и максимумы'!L$3-'минимумы и максимумы'!L$2)*100)</f>
        <v>11.787465495668368</v>
      </c>
      <c r="O120" s="1">
        <f>IF('исходные данные'!O120&gt;'минимумы и максимумы'!M$3,100,('исходные данные'!O120-'минимумы и максимумы'!M$2)/('минимумы и максимумы'!M$3-'минимумы и максимумы'!M$2)*100)</f>
        <v>0</v>
      </c>
      <c r="P120" s="1">
        <f>IF('исходные данные'!P120&gt;'минимумы и максимумы'!N$3,100,('исходные данные'!P120-'минимумы и максимумы'!N$2)/('минимумы и максимумы'!N$3-'минимумы и максимумы'!N$2)*100)</f>
        <v>0</v>
      </c>
      <c r="Q120" s="1">
        <f>IF('исходные данные'!Q120&gt;'минимумы и максимумы'!O$3,100,('исходные данные'!Q120-'минимумы и максимумы'!O$2)/('минимумы и максимумы'!O$3-'минимумы и максимумы'!O$2)*100)</f>
        <v>100</v>
      </c>
      <c r="R120" s="1">
        <f>IF('исходные данные'!R120&gt;'минимумы и максимумы'!P$3,100,('исходные данные'!R120-'минимумы и максимумы'!P$2)/('минимумы и максимумы'!P$3-'минимумы и максимумы'!P$2)*100)</f>
        <v>100</v>
      </c>
      <c r="S120" s="1">
        <f>IF('исходные данные'!S120&gt;'минимумы и максимумы'!Q$3,100,('исходные данные'!S120-'минимумы и максимумы'!Q$2)/('минимумы и максимумы'!Q$3-'минимумы и максимумы'!Q$2)*100)</f>
        <v>33.333333333333329</v>
      </c>
      <c r="T120" s="1">
        <f>IF('исходные данные'!T120&gt;'минимумы и максимумы'!R$3,100,('исходные данные'!T120-'минимумы и максимумы'!R$2)/('минимумы и максимумы'!R$3-'минимумы и максимумы'!R$2)*100)</f>
        <v>13.902331720193578</v>
      </c>
      <c r="U120" s="1">
        <f>IF('исходные данные'!U120&gt;'минимумы и максимумы'!S$3,100,('исходные данные'!U120-'минимумы и максимумы'!S$2)/('минимумы и максимумы'!S$3-'минимумы и максимумы'!S$2)*100)</f>
        <v>66.666666666666657</v>
      </c>
    </row>
    <row r="121" spans="1:21" x14ac:dyDescent="0.45">
      <c r="A121" s="4">
        <v>185</v>
      </c>
      <c r="B121" s="4">
        <v>0</v>
      </c>
      <c r="C121" s="4">
        <v>0</v>
      </c>
      <c r="D121" s="1">
        <f>IF('исходные данные'!D121&gt;'минимумы и максимумы'!B$3,100,('исходные данные'!D121-'минимумы и максимумы'!B$2)/('минимумы и максимумы'!B$3-'минимумы и максимумы'!B$2)*100)</f>
        <v>40</v>
      </c>
      <c r="E121" s="1">
        <f>IF('исходные данные'!E121&gt;'минимумы и максимумы'!C$3,100,('исходные данные'!E121-'минимумы и максимумы'!C$2)/('минимумы и максимумы'!C$3-'минимумы и максимумы'!C$2)*100)</f>
        <v>100</v>
      </c>
      <c r="F121" s="1">
        <f>IF('исходные данные'!F121&gt;'минимумы и максимумы'!D$3,100,('исходные данные'!F121-'минимумы и максимумы'!D$2)/('минимумы и максимумы'!D$3-'минимумы и максимумы'!D$2)*100)</f>
        <v>0</v>
      </c>
      <c r="G121" s="1">
        <f>IF('исходные данные'!G121&gt;'минимумы и максимумы'!E$3,100,('исходные данные'!G121-'минимумы и максимумы'!E$2)/('минимумы и максимумы'!E$3-'минимумы и максимумы'!E$2)*100)</f>
        <v>75</v>
      </c>
      <c r="H121" s="1">
        <f>IF('исходные данные'!H121&gt;'минимумы и максимумы'!F$3,100,('исходные данные'!H121-'минимумы и максимумы'!F$2)/('минимумы и максимумы'!F$3-'минимумы и максимумы'!F$2)*100)</f>
        <v>44</v>
      </c>
      <c r="I121" s="1">
        <f>IF('исходные данные'!I121&gt;'минимумы и максимумы'!G$3,100,('исходные данные'!I121-'минимумы и максимумы'!G$2)/('минимумы и максимумы'!G$3-'минимумы и максимумы'!G$2)*100)</f>
        <v>66.037735849056602</v>
      </c>
      <c r="J121" s="1">
        <f>IF('исходные данные'!J121&gt;'минимумы и максимумы'!H$3,100,('исходные данные'!J121-'минимумы и максимумы'!H$2)/('минимумы и максимумы'!H$3-'минимумы и максимумы'!H$2)*100)</f>
        <v>93.333333333333329</v>
      </c>
      <c r="K121" s="1">
        <f>IF('исходные данные'!K121&gt;'минимумы и максимумы'!I$3,100,('исходные данные'!K121-'минимумы и максимумы'!I$2)/('минимумы и максимумы'!I$3-'минимумы и максимумы'!I$2)*100)</f>
        <v>38.888888888888893</v>
      </c>
      <c r="L121" s="1">
        <f>IF('исходные данные'!L121&gt;'минимумы и максимумы'!J$3,100,('исходные данные'!L121-'минимумы и максимумы'!J$2)/('минимумы и максимумы'!J$3-'минимумы и максимумы'!J$2)*100)</f>
        <v>100</v>
      </c>
      <c r="M121" s="1">
        <f>IF('исходные данные'!M121&gt;'минимумы и максимумы'!K$3,100,('исходные данные'!M121-'минимумы и максимумы'!K$2)/('минимумы и максимумы'!K$3-'минимумы и максимумы'!K$2)*100)</f>
        <v>83.870967741935488</v>
      </c>
      <c r="N121" s="1">
        <f>IF('исходные данные'!N121&gt;'минимумы и максимумы'!L$3,100,('исходные данные'!N121-'минимумы и максимумы'!L$2)/('минимумы и максимумы'!L$3-'минимумы и максимумы'!L$2)*100)</f>
        <v>12.407587419547179</v>
      </c>
      <c r="O121" s="1">
        <f>IF('исходные данные'!O121&gt;'минимумы и максимумы'!M$3,100,('исходные данные'!O121-'минимумы и максимумы'!M$2)/('минимумы и максимумы'!M$3-'минимумы и максимумы'!M$2)*100)</f>
        <v>33.333333333333329</v>
      </c>
      <c r="P121" s="1">
        <f>IF('исходные данные'!P121&gt;'минимумы и максимумы'!N$3,100,('исходные данные'!P121-'минимумы и максимумы'!N$2)/('минимумы и максимумы'!N$3-'минимумы и максимумы'!N$2)*100)</f>
        <v>100</v>
      </c>
      <c r="Q121" s="1">
        <f>IF('исходные данные'!Q121&gt;'минимумы и максимумы'!O$3,100,('исходные данные'!Q121-'минимумы и максимумы'!O$2)/('минимумы и максимумы'!O$3-'минимумы и максимумы'!O$2)*100)</f>
        <v>100</v>
      </c>
      <c r="R121" s="1">
        <f>IF('исходные данные'!R121&gt;'минимумы и максимумы'!P$3,100,('исходные данные'!R121-'минимумы и максимумы'!P$2)/('минимумы и максимумы'!P$3-'минимумы и максимумы'!P$2)*100)</f>
        <v>100</v>
      </c>
      <c r="S121" s="1">
        <f>IF('исходные данные'!S121&gt;'минимумы и максимумы'!Q$3,100,('исходные данные'!S121-'минимумы и максимумы'!Q$2)/('минимумы и максимумы'!Q$3-'минимумы и максимумы'!Q$2)*100)</f>
        <v>50</v>
      </c>
      <c r="T121" s="1">
        <f>IF('исходные данные'!T121&gt;'минимумы и максимумы'!R$3,100,('исходные данные'!T121-'минимумы и максимумы'!R$2)/('минимумы и максимумы'!R$3-'минимумы и максимумы'!R$2)*100)</f>
        <v>22.12934447866256</v>
      </c>
      <c r="U121" s="1">
        <f>IF('исходные данные'!U121&gt;'минимумы и максимумы'!S$3,100,('исходные данные'!U121-'минимумы и максимумы'!S$2)/('минимумы и максимумы'!S$3-'минимумы и максимумы'!S$2)*100)</f>
        <v>66.666666666666657</v>
      </c>
    </row>
    <row r="122" spans="1:21" x14ac:dyDescent="0.45">
      <c r="A122" s="4">
        <v>186</v>
      </c>
      <c r="B122" s="4">
        <v>0</v>
      </c>
      <c r="C122" s="4">
        <v>0</v>
      </c>
      <c r="D122" s="1">
        <f>IF('исходные данные'!D122&gt;'минимумы и максимумы'!B$3,100,('исходные данные'!D122-'минимумы и максимумы'!B$2)/('минимумы и максимумы'!B$3-'минимумы и максимумы'!B$2)*100)</f>
        <v>40</v>
      </c>
      <c r="E122" s="1">
        <f>IF('исходные данные'!E122&gt;'минимумы и максимумы'!C$3,100,('исходные данные'!E122-'минимумы и максимумы'!C$2)/('минимумы и максимумы'!C$3-'минимумы и максимумы'!C$2)*100)</f>
        <v>40</v>
      </c>
      <c r="F122" s="1">
        <f>IF('исходные данные'!F122&gt;'минимумы и максимумы'!D$3,100,('исходные данные'!F122-'минимумы и максимумы'!D$2)/('минимумы и максимумы'!D$3-'минимумы и максимумы'!D$2)*100)</f>
        <v>0</v>
      </c>
      <c r="G122" s="1">
        <f>IF('исходные данные'!G122&gt;'минимумы и максимумы'!E$3,100,('исходные данные'!G122-'минимумы и максимумы'!E$2)/('минимумы и максимумы'!E$3-'минимумы и максимумы'!E$2)*100)</f>
        <v>91.666666666666657</v>
      </c>
      <c r="H122" s="1">
        <f>IF('исходные данные'!H122&gt;'минимумы и максимумы'!F$3,100,('исходные данные'!H122-'минимумы и максимумы'!F$2)/('минимумы и максимумы'!F$3-'минимумы и максимумы'!F$2)*100)</f>
        <v>88</v>
      </c>
      <c r="I122" s="1">
        <f>IF('исходные данные'!I122&gt;'минимумы и максимумы'!G$3,100,('исходные данные'!I122-'минимумы и максимумы'!G$2)/('минимумы и максимумы'!G$3-'минимумы и максимумы'!G$2)*100)</f>
        <v>100</v>
      </c>
      <c r="J122" s="1">
        <f>IF('исходные данные'!J122&gt;'минимумы и максимумы'!H$3,100,('исходные данные'!J122-'минимумы и максимумы'!H$2)/('минимумы и максимумы'!H$3-'минимумы и максимумы'!H$2)*100)</f>
        <v>100</v>
      </c>
      <c r="K122" s="1">
        <f>IF('исходные данные'!K122&gt;'минимумы и максимумы'!I$3,100,('исходные данные'!K122-'минимумы и максимумы'!I$2)/('минимумы и максимумы'!I$3-'минимумы и максимумы'!I$2)*100)</f>
        <v>100</v>
      </c>
      <c r="L122" s="1">
        <f>IF('исходные данные'!L122&gt;'минимумы и максимумы'!J$3,100,('исходные данные'!L122-'минимумы и максимумы'!J$2)/('минимумы и максимумы'!J$3-'минимумы и максимумы'!J$2)*100)</f>
        <v>100</v>
      </c>
      <c r="M122" s="1">
        <f>IF('исходные данные'!M122&gt;'минимумы и максимумы'!K$3,100,('исходные данные'!M122-'минимумы и максимумы'!K$2)/('минимумы и максимумы'!K$3-'минимумы и максимумы'!K$2)*100)</f>
        <v>54.838709677419352</v>
      </c>
      <c r="N122" s="1">
        <f>IF('исходные данные'!N122&gt;'минимумы и максимумы'!L$3,100,('исходные данные'!N122-'минимумы и максимумы'!L$2)/('минимумы и максимумы'!L$3-'минимумы и максимумы'!L$2)*100)</f>
        <v>7.7328557219250564</v>
      </c>
      <c r="O122" s="1">
        <f>IF('исходные данные'!O122&gt;'минимумы и максимумы'!M$3,100,('исходные данные'!O122-'минимумы и максимумы'!M$2)/('минимумы и максимумы'!M$3-'минимумы и максимумы'!M$2)*100)</f>
        <v>0</v>
      </c>
      <c r="P122" s="1">
        <f>IF('исходные данные'!P122&gt;'минимумы и максимумы'!N$3,100,('исходные данные'!P122-'минимумы и максимумы'!N$2)/('минимумы и максимумы'!N$3-'минимумы и максимумы'!N$2)*100)</f>
        <v>0</v>
      </c>
      <c r="Q122" s="1">
        <f>IF('исходные данные'!Q122&gt;'минимумы и максимумы'!O$3,100,('исходные данные'!Q122-'минимумы и максимумы'!O$2)/('минимумы и максимумы'!O$3-'минимумы и максимумы'!O$2)*100)</f>
        <v>100</v>
      </c>
      <c r="R122" s="1">
        <f>IF('исходные данные'!R122&gt;'минимумы и максимумы'!P$3,100,('исходные данные'!R122-'минимумы и максимумы'!P$2)/('минимумы и максимумы'!P$3-'минимумы и максимумы'!P$2)*100)</f>
        <v>75</v>
      </c>
      <c r="S122" s="1">
        <f>IF('исходные данные'!S122&gt;'минимумы и максимумы'!Q$3,100,('исходные данные'!S122-'минимумы и максимумы'!Q$2)/('минимумы и максимумы'!Q$3-'минимумы и максимумы'!Q$2)*100)</f>
        <v>33.333333333333329</v>
      </c>
      <c r="T122" s="1">
        <f>IF('исходные данные'!T122&gt;'минимумы и максимумы'!R$3,100,('исходные данные'!T122-'минимумы и максимумы'!R$2)/('минимумы и максимумы'!R$3-'минимумы и максимумы'!R$2)*100)</f>
        <v>34.579850417949849</v>
      </c>
      <c r="U122" s="1">
        <f>IF('исходные данные'!U122&gt;'минимумы и максимумы'!S$3,100,('исходные данные'!U122-'минимумы и максимумы'!S$2)/('минимумы и максимумы'!S$3-'минимумы и максимумы'!S$2)*100)</f>
        <v>66.666666666666657</v>
      </c>
    </row>
    <row r="123" spans="1:21" x14ac:dyDescent="0.45">
      <c r="A123" s="4">
        <v>187</v>
      </c>
      <c r="B123" s="4">
        <v>1</v>
      </c>
      <c r="C123" s="4">
        <v>0</v>
      </c>
      <c r="D123" s="1">
        <f>IF('исходные данные'!D123&gt;'минимумы и максимумы'!B$3,100,('исходные данные'!D123-'минимумы и максимумы'!B$2)/('минимумы и максимумы'!B$3-'минимумы и максимумы'!B$2)*100)</f>
        <v>80</v>
      </c>
      <c r="E123" s="1">
        <f>IF('исходные данные'!E123&gt;'минимумы и максимумы'!C$3,100,('исходные данные'!E123-'минимумы и максимумы'!C$2)/('минимумы и максимумы'!C$3-'минимумы и максимумы'!C$2)*100)</f>
        <v>40</v>
      </c>
      <c r="F123" s="1">
        <f>IF('исходные данные'!F123&gt;'минимумы и максимумы'!D$3,100,('исходные данные'!F123-'минимумы и максимумы'!D$2)/('минимумы и максимумы'!D$3-'минимумы и максимумы'!D$2)*100)</f>
        <v>0</v>
      </c>
      <c r="G123" s="1">
        <f>IF('исходные данные'!G123&gt;'минимумы и максимумы'!E$3,100,('исходные данные'!G123-'минимумы и максимумы'!E$2)/('минимумы и максимумы'!E$3-'минимумы и максимумы'!E$2)*100)</f>
        <v>20.833333333333336</v>
      </c>
      <c r="H123" s="1">
        <f>IF('исходные данные'!H123&gt;'минимумы и максимумы'!F$3,100,('исходные данные'!H123-'минимумы и максимумы'!F$2)/('минимумы и максимумы'!F$3-'минимумы и максимумы'!F$2)*100)</f>
        <v>24</v>
      </c>
      <c r="I123" s="1">
        <f>IF('исходные данные'!I123&gt;'минимумы и максимумы'!G$3,100,('исходные данные'!I123-'минимумы и максимумы'!G$2)/('минимумы и максимумы'!G$3-'минимумы и максимумы'!G$2)*100)</f>
        <v>43.39622641509434</v>
      </c>
      <c r="J123" s="1">
        <f>IF('исходные данные'!J123&gt;'минимумы и максимумы'!H$3,100,('исходные данные'!J123-'минимумы и максимумы'!H$2)/('минимумы и максимумы'!H$3-'минимумы и максимумы'!H$2)*100)</f>
        <v>53.333333333333336</v>
      </c>
      <c r="K123" s="1">
        <f>IF('исходные данные'!K123&gt;'минимумы и максимумы'!I$3,100,('исходные данные'!K123-'минимумы и максимумы'!I$2)/('минимумы и максимумы'!I$3-'минимумы и максимумы'!I$2)*100)</f>
        <v>61.111111111111114</v>
      </c>
      <c r="L123" s="1">
        <f>IF('исходные данные'!L123&gt;'минимумы и максимумы'!J$3,100,('исходные данные'!L123-'минимумы и максимумы'!J$2)/('минимумы и максимумы'!J$3-'минимумы и максимумы'!J$2)*100)</f>
        <v>0</v>
      </c>
      <c r="M123" s="1">
        <f>IF('исходные данные'!M123&gt;'минимумы и максимумы'!K$3,100,('исходные данные'!M123-'минимумы и максимумы'!K$2)/('минимумы и максимумы'!K$3-'минимумы и максимумы'!K$2)*100)</f>
        <v>51.612903225806448</v>
      </c>
      <c r="N123" s="1">
        <f>IF('исходные данные'!N123&gt;'минимумы и максимумы'!L$3,100,('исходные данные'!N123-'минимумы и максимумы'!L$2)/('минимумы и максимумы'!L$3-'минимумы и максимумы'!L$2)*100)</f>
        <v>18.870194083563494</v>
      </c>
      <c r="O123" s="1">
        <f>IF('исходные данные'!O123&gt;'минимумы и максимумы'!M$3,100,('исходные данные'!O123-'минимумы и максимумы'!M$2)/('минимумы и максимумы'!M$3-'минимумы и максимумы'!M$2)*100)</f>
        <v>100</v>
      </c>
      <c r="P123" s="1">
        <f>IF('исходные данные'!P123&gt;'минимумы и максимумы'!N$3,100,('исходные данные'!P123-'минимумы и максимумы'!N$2)/('минимумы и максимумы'!N$3-'минимумы и максимумы'!N$2)*100)</f>
        <v>0</v>
      </c>
      <c r="Q123" s="1">
        <f>IF('исходные данные'!Q123&gt;'минимумы и максимумы'!O$3,100,('исходные данные'!Q123-'минимумы и максимумы'!O$2)/('минимумы и максимумы'!O$3-'минимумы и максимумы'!O$2)*100)</f>
        <v>0</v>
      </c>
      <c r="R123" s="1">
        <f>IF('исходные данные'!R123&gt;'минимумы и максимумы'!P$3,100,('исходные данные'!R123-'минимумы и максимумы'!P$2)/('минимумы и максимумы'!P$3-'минимумы и максимумы'!P$2)*100)</f>
        <v>100</v>
      </c>
      <c r="S123" s="1">
        <f>IF('исходные данные'!S123&gt;'минимумы и максимумы'!Q$3,100,('исходные данные'!S123-'минимумы и максимумы'!Q$2)/('минимумы и максимумы'!Q$3-'минимумы и максимумы'!Q$2)*100)</f>
        <v>50</v>
      </c>
      <c r="T123" s="1">
        <f>IF('исходные данные'!T123&gt;'минимумы и максимумы'!R$3,100,('исходные данные'!T123-'минимумы и максимумы'!R$2)/('минимумы и максимумы'!R$3-'минимумы и максимумы'!R$2)*100)</f>
        <v>28.772547294324681</v>
      </c>
      <c r="U123" s="1">
        <f>IF('исходные данные'!U123&gt;'минимумы и максимумы'!S$3,100,('исходные данные'!U123-'минимумы и максимумы'!S$2)/('минимумы и максимумы'!S$3-'минимумы и максимумы'!S$2)*100)</f>
        <v>33.333333333333329</v>
      </c>
    </row>
    <row r="124" spans="1:21" x14ac:dyDescent="0.45">
      <c r="A124" s="4">
        <v>188</v>
      </c>
      <c r="B124" s="4">
        <v>0</v>
      </c>
      <c r="C124" s="4">
        <v>0</v>
      </c>
      <c r="D124" s="1">
        <f>IF('исходные данные'!D124&gt;'минимумы и максимумы'!B$3,100,('исходные данные'!D124-'минимумы и максимумы'!B$2)/('минимумы и максимумы'!B$3-'минимумы и максимумы'!B$2)*100)</f>
        <v>80</v>
      </c>
      <c r="E124" s="1">
        <f>IF('исходные данные'!E124&gt;'минимумы и максимумы'!C$3,100,('исходные данные'!E124-'минимумы и максимумы'!C$2)/('минимумы и максимумы'!C$3-'минимумы и максимумы'!C$2)*100)</f>
        <v>40</v>
      </c>
      <c r="F124" s="1">
        <f>IF('исходные данные'!F124&gt;'минимумы и максимумы'!D$3,100,('исходные данные'!F124-'минимумы и максимумы'!D$2)/('минимумы и максимумы'!D$3-'минимумы и максимумы'!D$2)*100)</f>
        <v>33.333333333333329</v>
      </c>
      <c r="G124" s="1">
        <f>IF('исходные данные'!G124&gt;'минимумы и максимумы'!E$3,100,('исходные данные'!G124-'минимумы и максимумы'!E$2)/('минимумы и максимумы'!E$3-'минимумы и максимумы'!E$2)*100)</f>
        <v>25</v>
      </c>
      <c r="H124" s="1">
        <f>IF('исходные данные'!H124&gt;'минимумы и максимумы'!F$3,100,('исходные данные'!H124-'минимумы и максимумы'!F$2)/('минимумы и максимумы'!F$3-'минимумы и максимумы'!F$2)*100)</f>
        <v>32</v>
      </c>
      <c r="I124" s="1">
        <f>IF('исходные данные'!I124&gt;'минимумы и максимумы'!G$3,100,('исходные данные'!I124-'минимумы и максимумы'!G$2)/('минимумы и максимумы'!G$3-'минимумы и максимумы'!G$2)*100)</f>
        <v>30.188679245283019</v>
      </c>
      <c r="J124" s="1">
        <f>IF('исходные данные'!J124&gt;'минимумы и максимумы'!H$3,100,('исходные данные'!J124-'минимумы и максимумы'!H$2)/('минимумы и максимумы'!H$3-'минимумы и максимумы'!H$2)*100)</f>
        <v>53.333333333333336</v>
      </c>
      <c r="K124" s="1">
        <f>IF('исходные данные'!K124&gt;'минимумы и максимумы'!I$3,100,('исходные данные'!K124-'минимумы и максимумы'!I$2)/('минимумы и максимумы'!I$3-'минимумы и максимумы'!I$2)*100)</f>
        <v>88.888888888888886</v>
      </c>
      <c r="L124" s="1">
        <f>IF('исходные данные'!L124&gt;'минимумы и максимумы'!J$3,100,('исходные данные'!L124-'минимумы и максимумы'!J$2)/('минимумы и максимумы'!J$3-'минимумы и максимумы'!J$2)*100)</f>
        <v>0</v>
      </c>
      <c r="M124" s="1">
        <f>IF('исходные данные'!M124&gt;'минимумы и максимумы'!K$3,100,('исходные данные'!M124-'минимумы и максимумы'!K$2)/('минимумы и максимумы'!K$3-'минимумы и максимумы'!K$2)*100)</f>
        <v>67.741935483870961</v>
      </c>
      <c r="N124" s="1">
        <f>IF('исходные данные'!N124&gt;'минимумы и максимумы'!L$3,100,('исходные данные'!N124-'минимумы и максимумы'!L$2)/('минимумы и максимумы'!L$3-'минимумы и максимумы'!L$2)*100)</f>
        <v>18.239614325737726</v>
      </c>
      <c r="O124" s="1">
        <f>IF('исходные данные'!O124&gt;'минимумы и максимумы'!M$3,100,('исходные данные'!O124-'минимумы и максимумы'!M$2)/('минимумы и максимумы'!M$3-'минимумы и максимумы'!M$2)*100)</f>
        <v>0</v>
      </c>
      <c r="P124" s="1">
        <f>IF('исходные данные'!P124&gt;'минимумы и максимумы'!N$3,100,('исходные данные'!P124-'минимумы и максимумы'!N$2)/('минимумы и максимумы'!N$3-'минимумы и максимумы'!N$2)*100)</f>
        <v>0</v>
      </c>
      <c r="Q124" s="1">
        <f>IF('исходные данные'!Q124&gt;'минимумы и максимумы'!O$3,100,('исходные данные'!Q124-'минимумы и максимумы'!O$2)/('минимумы и максимумы'!O$3-'минимумы и максимумы'!O$2)*100)</f>
        <v>0</v>
      </c>
      <c r="R124" s="1">
        <f>IF('исходные данные'!R124&gt;'минимумы и максимумы'!P$3,100,('исходные данные'!R124-'минимумы и максимумы'!P$2)/('минимумы и максимумы'!P$3-'минимумы и максимумы'!P$2)*100)</f>
        <v>100</v>
      </c>
      <c r="S124" s="1">
        <f>IF('исходные данные'!S124&gt;'минимумы и максимумы'!Q$3,100,('исходные данные'!S124-'минимумы и максимумы'!Q$2)/('минимумы и максимумы'!Q$3-'минимумы и максимумы'!Q$2)*100)</f>
        <v>33.333333333333329</v>
      </c>
      <c r="T124" s="1">
        <f>IF('исходные данные'!T124&gt;'минимумы и максимумы'!R$3,100,('исходные данные'!T124-'минимумы и максимумы'!R$2)/('минимумы и максимумы'!R$3-'минимумы и максимумы'!R$2)*100)</f>
        <v>16.893972723273208</v>
      </c>
      <c r="U124" s="1">
        <f>IF('исходные данные'!U124&gt;'минимумы и максимумы'!S$3,100,('исходные данные'!U124-'минимумы и максимумы'!S$2)/('минимумы и максимумы'!S$3-'минимумы и максимумы'!S$2)*100)</f>
        <v>0</v>
      </c>
    </row>
    <row r="125" spans="1:21" x14ac:dyDescent="0.45">
      <c r="A125" s="4">
        <v>189</v>
      </c>
      <c r="B125" s="4">
        <v>0</v>
      </c>
      <c r="C125" s="4">
        <v>0</v>
      </c>
      <c r="D125" s="1">
        <f>IF('исходные данные'!D125&gt;'минимумы и максимумы'!B$3,100,('исходные данные'!D125-'минимумы и максимумы'!B$2)/('минимумы и максимумы'!B$3-'минимумы и максимумы'!B$2)*100)</f>
        <v>80</v>
      </c>
      <c r="E125" s="1">
        <f>IF('исходные данные'!E125&gt;'минимумы и максимумы'!C$3,100,('исходные данные'!E125-'минимумы и максимумы'!C$2)/('минимумы и максимумы'!C$3-'минимумы и максимумы'!C$2)*100)</f>
        <v>10</v>
      </c>
      <c r="F125" s="1">
        <f>IF('исходные данные'!F125&gt;'минимумы и максимумы'!D$3,100,('исходные данные'!F125-'минимумы и максимумы'!D$2)/('минимумы и максимумы'!D$3-'минимумы и максимумы'!D$2)*100)</f>
        <v>0</v>
      </c>
      <c r="G125" s="1">
        <f>IF('исходные данные'!G125&gt;'минимумы и максимумы'!E$3,100,('исходные данные'!G125-'минимумы и максимумы'!E$2)/('минимумы и максимумы'!E$3-'минимумы и максимумы'!E$2)*100)</f>
        <v>37.5</v>
      </c>
      <c r="H125" s="1">
        <f>IF('исходные данные'!H125&gt;'минимумы и максимумы'!F$3,100,('исходные данные'!H125-'минимумы и максимумы'!F$2)/('минимумы и максимумы'!F$3-'минимумы и максимумы'!F$2)*100)</f>
        <v>40</v>
      </c>
      <c r="I125" s="1">
        <f>IF('исходные данные'!I125&gt;'минимумы и максимумы'!G$3,100,('исходные данные'!I125-'минимумы и максимумы'!G$2)/('минимумы и максимумы'!G$3-'минимумы и максимумы'!G$2)*100)</f>
        <v>43.39622641509434</v>
      </c>
      <c r="J125" s="1">
        <f>IF('исходные данные'!J125&gt;'минимумы и максимумы'!H$3,100,('исходные данные'!J125-'минимумы и максимумы'!H$2)/('минимумы и максимумы'!H$3-'минимумы и максимумы'!H$2)*100)</f>
        <v>40</v>
      </c>
      <c r="K125" s="1">
        <f>IF('исходные данные'!K125&gt;'минимумы и максимумы'!I$3,100,('исходные данные'!K125-'минимумы и максимумы'!I$2)/('минимумы и максимумы'!I$3-'минимумы и максимумы'!I$2)*100)</f>
        <v>83.333333333333343</v>
      </c>
      <c r="L125" s="1">
        <f>IF('исходные данные'!L125&gt;'минимумы и максимумы'!J$3,100,('исходные данные'!L125-'минимумы и максимумы'!J$2)/('минимумы и максимумы'!J$3-'минимумы и максимумы'!J$2)*100)</f>
        <v>20</v>
      </c>
      <c r="M125" s="1">
        <f>IF('исходные данные'!M125&gt;'минимумы и максимумы'!K$3,100,('исходные данные'!M125-'минимумы и максимумы'!K$2)/('минимумы и максимумы'!K$3-'минимумы и максимумы'!K$2)*100)</f>
        <v>16.129032258064516</v>
      </c>
      <c r="N125" s="1">
        <f>IF('исходные данные'!N125&gt;'минимумы и максимумы'!L$3,100,('исходные данные'!N125-'минимумы и максимумы'!L$2)/('минимумы и максимумы'!L$3-'минимумы и максимумы'!L$2)*100)</f>
        <v>23.526472544642179</v>
      </c>
      <c r="O125" s="1">
        <f>IF('исходные данные'!O125&gt;'минимумы и максимумы'!M$3,100,('исходные данные'!O125-'минимумы и максимумы'!M$2)/('минимумы и максимумы'!M$3-'минимумы и максимумы'!M$2)*100)</f>
        <v>66.666666666666657</v>
      </c>
      <c r="P125" s="1">
        <f>IF('исходные данные'!P125&gt;'минимумы и максимумы'!N$3,100,('исходные данные'!P125-'минимумы и максимумы'!N$2)/('минимумы и максимумы'!N$3-'минимумы и максимумы'!N$2)*100)</f>
        <v>0</v>
      </c>
      <c r="Q125" s="1">
        <f>IF('исходные данные'!Q125&gt;'минимумы и максимумы'!O$3,100,('исходные данные'!Q125-'минимумы и максимумы'!O$2)/('минимумы и максимумы'!O$3-'минимумы и максимумы'!O$2)*100)</f>
        <v>100</v>
      </c>
      <c r="R125" s="1">
        <f>IF('исходные данные'!R125&gt;'минимумы и максимумы'!P$3,100,('исходные данные'!R125-'минимумы и максимумы'!P$2)/('минимумы и максимумы'!P$3-'минимумы и максимумы'!P$2)*100)</f>
        <v>100</v>
      </c>
      <c r="S125" s="1">
        <f>IF('исходные данные'!S125&gt;'минимумы и максимумы'!Q$3,100,('исходные данные'!S125-'минимумы и максимумы'!Q$2)/('минимумы и максимумы'!Q$3-'минимумы и максимумы'!Q$2)*100)</f>
        <v>66.666666666666657</v>
      </c>
      <c r="T125" s="1">
        <f>IF('исходные данные'!T125&gt;'минимумы и максимумы'!R$3,100,('исходные данные'!T125-'минимумы и максимумы'!R$2)/('минимумы и максимумы'!R$3-'минимумы и максимумы'!R$2)*100)</f>
        <v>11.350637923449186</v>
      </c>
      <c r="U125" s="1">
        <f>IF('исходные данные'!U125&gt;'минимумы и максимумы'!S$3,100,('исходные данные'!U125-'минимумы и максимумы'!S$2)/('минимумы и максимумы'!S$3-'минимумы и максимумы'!S$2)*100)</f>
        <v>0</v>
      </c>
    </row>
    <row r="126" spans="1:21" x14ac:dyDescent="0.45">
      <c r="A126" s="4">
        <v>190</v>
      </c>
      <c r="B126" s="4">
        <v>0</v>
      </c>
      <c r="C126" s="4">
        <v>0</v>
      </c>
      <c r="D126" s="1">
        <f>IF('исходные данные'!D126&gt;'минимумы и максимумы'!B$3,100,('исходные данные'!D126-'минимумы и максимумы'!B$2)/('минимумы и максимумы'!B$3-'минимумы и максимумы'!B$2)*100)</f>
        <v>80</v>
      </c>
      <c r="E126" s="1">
        <f>IF('исходные данные'!E126&gt;'минимумы и максимумы'!C$3,100,('исходные данные'!E126-'минимумы и максимумы'!C$2)/('минимумы и максимумы'!C$3-'минимумы и максимумы'!C$2)*100)</f>
        <v>10</v>
      </c>
      <c r="F126" s="1">
        <f>IF('исходные данные'!F126&gt;'минимумы и максимумы'!D$3,100,('исходные данные'!F126-'минимумы и максимумы'!D$2)/('минимумы и максимумы'!D$3-'минимумы и максимумы'!D$2)*100)</f>
        <v>0</v>
      </c>
      <c r="G126" s="1">
        <f>IF('исходные данные'!G126&gt;'минимумы и максимумы'!E$3,100,('исходные данные'!G126-'минимумы и максимумы'!E$2)/('минимумы и максимумы'!E$3-'минимумы и максимумы'!E$2)*100)</f>
        <v>37.5</v>
      </c>
      <c r="H126" s="1">
        <f>IF('исходные данные'!H126&gt;'минимумы и максимумы'!F$3,100,('исходные данные'!H126-'минимумы и максимумы'!F$2)/('минимумы и максимумы'!F$3-'минимумы и максимумы'!F$2)*100)</f>
        <v>40</v>
      </c>
      <c r="I126" s="1">
        <f>IF('исходные данные'!I126&gt;'минимумы и максимумы'!G$3,100,('исходные данные'!I126-'минимумы и максимумы'!G$2)/('минимумы и максимумы'!G$3-'минимумы и максимумы'!G$2)*100)</f>
        <v>43.39622641509434</v>
      </c>
      <c r="J126" s="1">
        <f>IF('исходные данные'!J126&gt;'минимумы и максимумы'!H$3,100,('исходные данные'!J126-'минимумы и максимумы'!H$2)/('минимумы и максимумы'!H$3-'минимумы и максимумы'!H$2)*100)</f>
        <v>40</v>
      </c>
      <c r="K126" s="1">
        <f>IF('исходные данные'!K126&gt;'минимумы и максимумы'!I$3,100,('исходные данные'!K126-'минимумы и максимумы'!I$2)/('минимумы и максимумы'!I$3-'минимумы и максимумы'!I$2)*100)</f>
        <v>83.333333333333343</v>
      </c>
      <c r="L126" s="1">
        <f>IF('исходные данные'!L126&gt;'минимумы и максимумы'!J$3,100,('исходные данные'!L126-'минимумы и максимумы'!J$2)/('минимумы и максимумы'!J$3-'минимумы и максимумы'!J$2)*100)</f>
        <v>20</v>
      </c>
      <c r="M126" s="1">
        <f>IF('исходные данные'!M126&gt;'минимумы и максимумы'!K$3,100,('исходные данные'!M126-'минимумы и максимумы'!K$2)/('минимумы и максимумы'!K$3-'минимумы и максимумы'!K$2)*100)</f>
        <v>16.129032258064516</v>
      </c>
      <c r="N126" s="1">
        <f>IF('исходные данные'!N126&gt;'минимумы и максимумы'!L$3,100,('исходные данные'!N126-'минимумы и максимумы'!L$2)/('минимумы и максимумы'!L$3-'минимумы и максимумы'!L$2)*100)</f>
        <v>23.86594642427929</v>
      </c>
      <c r="O126" s="1">
        <f>IF('исходные данные'!O126&gt;'минимумы и максимумы'!M$3,100,('исходные данные'!O126-'минимумы и максимумы'!M$2)/('минимумы и максимумы'!M$3-'минимумы и максимумы'!M$2)*100)</f>
        <v>0</v>
      </c>
      <c r="P126" s="1">
        <f>IF('исходные данные'!P126&gt;'минимумы и максимумы'!N$3,100,('исходные данные'!P126-'минимумы и максимумы'!N$2)/('минимумы и максимумы'!N$3-'минимумы и максимумы'!N$2)*100)</f>
        <v>0</v>
      </c>
      <c r="Q126" s="1">
        <f>IF('исходные данные'!Q126&gt;'минимумы и максимумы'!O$3,100,('исходные данные'!Q126-'минимумы и максимумы'!O$2)/('минимумы и максимумы'!O$3-'минимумы и максимумы'!O$2)*100)</f>
        <v>0</v>
      </c>
      <c r="R126" s="1">
        <f>IF('исходные данные'!R126&gt;'минимумы и максимумы'!P$3,100,('исходные данные'!R126-'минимумы и максимумы'!P$2)/('минимумы и максимумы'!P$3-'минимумы и максимумы'!P$2)*100)</f>
        <v>100</v>
      </c>
      <c r="S126" s="1">
        <f>IF('исходные данные'!S126&gt;'минимумы и максимумы'!Q$3,100,('исходные данные'!S126-'минимумы и максимумы'!Q$2)/('минимумы и максимумы'!Q$3-'минимумы и максимумы'!Q$2)*100)</f>
        <v>16.666666666666664</v>
      </c>
      <c r="T126" s="1">
        <f>IF('исходные данные'!T126&gt;'минимумы и максимумы'!R$3,100,('исходные данные'!T126-'минимумы и максимумы'!R$2)/('минимумы и максимумы'!R$3-'минимумы и максимумы'!R$2)*100)</f>
        <v>35.06379234491861</v>
      </c>
      <c r="U126" s="1">
        <f>IF('исходные данные'!U126&gt;'минимумы и максимумы'!S$3,100,('исходные данные'!U126-'минимумы и максимумы'!S$2)/('минимумы и максимумы'!S$3-'минимумы и максимумы'!S$2)*100)</f>
        <v>100</v>
      </c>
    </row>
    <row r="127" spans="1:21" x14ac:dyDescent="0.45">
      <c r="A127" s="4">
        <v>191</v>
      </c>
      <c r="B127" s="4">
        <v>1</v>
      </c>
      <c r="C127" s="4">
        <v>0</v>
      </c>
      <c r="D127" s="1">
        <f>IF('исходные данные'!D127&gt;'минимумы и максимумы'!B$3,100,('исходные данные'!D127-'минимумы и максимумы'!B$2)/('минимумы и максимумы'!B$3-'минимумы и максимумы'!B$2)*100)</f>
        <v>80</v>
      </c>
      <c r="E127" s="1">
        <f>IF('исходные данные'!E127&gt;'минимумы и максимумы'!C$3,100,('исходные данные'!E127-'минимумы и максимумы'!C$2)/('минимумы и максимумы'!C$3-'минимумы и максимумы'!C$2)*100)</f>
        <v>10</v>
      </c>
      <c r="F127" s="1">
        <f>IF('исходные данные'!F127&gt;'минимумы и максимумы'!D$3,100,('исходные данные'!F127-'минимумы и максимумы'!D$2)/('минимумы и максимумы'!D$3-'минимумы и максимумы'!D$2)*100)</f>
        <v>0</v>
      </c>
      <c r="G127" s="1">
        <f>IF('исходные данные'!G127&gt;'минимумы и максимумы'!E$3,100,('исходные данные'!G127-'минимумы и максимумы'!E$2)/('минимумы и максимумы'!E$3-'минимумы и максимумы'!E$2)*100)</f>
        <v>41.666666666666671</v>
      </c>
      <c r="H127" s="1">
        <f>IF('исходные данные'!H127&gt;'минимумы и максимумы'!F$3,100,('исходные данные'!H127-'минимумы и максимумы'!F$2)/('минимумы и максимумы'!F$3-'минимумы и максимумы'!F$2)*100)</f>
        <v>44</v>
      </c>
      <c r="I127" s="1">
        <f>IF('исходные данные'!I127&gt;'минимумы и максимумы'!G$3,100,('исходные данные'!I127-'минимумы и максимумы'!G$2)/('минимумы и максимумы'!G$3-'минимумы и максимумы'!G$2)*100)</f>
        <v>64.15094339622641</v>
      </c>
      <c r="J127" s="1">
        <f>IF('исходные данные'!J127&gt;'минимумы и максимумы'!H$3,100,('исходные данные'!J127-'минимумы и максимумы'!H$2)/('минимумы и максимумы'!H$3-'минимумы и максимумы'!H$2)*100)</f>
        <v>60</v>
      </c>
      <c r="K127" s="1">
        <f>IF('исходные данные'!K127&gt;'минимумы и максимумы'!I$3,100,('исходные данные'!K127-'минимумы и максимумы'!I$2)/('минимумы и максимумы'!I$3-'минимумы и максимумы'!I$2)*100)</f>
        <v>61.111111111111114</v>
      </c>
      <c r="L127" s="1">
        <f>IF('исходные данные'!L127&gt;'минимумы и максимумы'!J$3,100,('исходные данные'!L127-'минимумы и максимумы'!J$2)/('минимумы и максимумы'!J$3-'минимумы и максимумы'!J$2)*100)</f>
        <v>20</v>
      </c>
      <c r="M127" s="1">
        <f>IF('исходные данные'!M127&gt;'минимумы и максимумы'!K$3,100,('исходные данные'!M127-'минимумы и максимумы'!K$2)/('минимумы и максимумы'!K$3-'минимумы и максимумы'!K$2)*100)</f>
        <v>35.483870967741936</v>
      </c>
      <c r="N127" s="1">
        <f>IF('исходные данные'!N127&gt;'минимумы и максимумы'!L$3,100,('исходные данные'!N127-'минимумы и максимумы'!L$2)/('минимумы и максимумы'!L$3-'минимумы и максимумы'!L$2)*100)</f>
        <v>24.132046514291002</v>
      </c>
      <c r="O127" s="1">
        <f>IF('исходные данные'!O127&gt;'минимумы и максимумы'!M$3,100,('исходные данные'!O127-'минимумы и максимумы'!M$2)/('минимумы и максимумы'!M$3-'минимумы и максимумы'!M$2)*100)</f>
        <v>33.333333333333329</v>
      </c>
      <c r="P127" s="1">
        <f>IF('исходные данные'!P127&gt;'минимумы и максимумы'!N$3,100,('исходные данные'!P127-'минимумы и максимумы'!N$2)/('минимумы и максимумы'!N$3-'минимумы и максимумы'!N$2)*100)</f>
        <v>0</v>
      </c>
      <c r="Q127" s="1">
        <f>IF('исходные данные'!Q127&gt;'минимумы и максимумы'!O$3,100,('исходные данные'!Q127-'минимумы и максимумы'!O$2)/('минимумы и максимумы'!O$3-'минимумы и максимумы'!O$2)*100)</f>
        <v>100</v>
      </c>
      <c r="R127" s="1">
        <f>IF('исходные данные'!R127&gt;'минимумы и максимумы'!P$3,100,('исходные данные'!R127-'минимумы и максимумы'!P$2)/('минимумы и максимумы'!P$3-'минимумы и максимумы'!P$2)*100)</f>
        <v>100</v>
      </c>
      <c r="S127" s="1">
        <f>IF('исходные данные'!S127&gt;'минимумы и максимумы'!Q$3,100,('исходные данные'!S127-'минимумы и максимумы'!Q$2)/('минимумы и максимумы'!Q$3-'минимумы и максимумы'!Q$2)*100)</f>
        <v>50</v>
      </c>
      <c r="T127" s="1">
        <f>IF('исходные данные'!T127&gt;'минимумы и максимумы'!R$3,100,('исходные данные'!T127-'минимумы и максимумы'!R$2)/('минимумы и максимумы'!R$3-'минимумы и максимумы'!R$2)*100)</f>
        <v>10.382754069511659</v>
      </c>
      <c r="U127" s="1">
        <f>IF('исходные данные'!U127&gt;'минимумы и максимумы'!S$3,100,('исходные данные'!U127-'минимумы и максимумы'!S$2)/('минимумы и максимумы'!S$3-'минимумы и максимумы'!S$2)*100)</f>
        <v>0</v>
      </c>
    </row>
    <row r="128" spans="1:21" x14ac:dyDescent="0.45">
      <c r="A128" s="4">
        <v>192</v>
      </c>
      <c r="B128" s="4">
        <v>0</v>
      </c>
      <c r="C128" s="4">
        <v>0</v>
      </c>
      <c r="D128" s="1">
        <f>IF('исходные данные'!D128&gt;'минимумы и максимумы'!B$3,100,('исходные данные'!D128-'минимумы и максимумы'!B$2)/('минимумы и максимумы'!B$3-'минимумы и максимумы'!B$2)*100)</f>
        <v>80</v>
      </c>
      <c r="E128" s="1">
        <f>IF('исходные данные'!E128&gt;'минимумы и максимумы'!C$3,100,('исходные данные'!E128-'минимумы и максимумы'!C$2)/('минимумы и максимумы'!C$3-'минимумы и максимумы'!C$2)*100)</f>
        <v>0</v>
      </c>
      <c r="F128" s="1">
        <f>IF('исходные данные'!F128&gt;'минимумы и максимумы'!D$3,100,('исходные данные'!F128-'минимумы и максимумы'!D$2)/('минимумы и максимумы'!D$3-'минимумы и максимумы'!D$2)*100)</f>
        <v>33.333333333333329</v>
      </c>
      <c r="G128" s="1">
        <f>IF('исходные данные'!G128&gt;'минимумы и максимумы'!E$3,100,('исходные данные'!G128-'минимумы и максимумы'!E$2)/('минимумы и максимумы'!E$3-'минимумы и максимумы'!E$2)*100)</f>
        <v>25</v>
      </c>
      <c r="H128" s="1">
        <f>IF('исходные данные'!H128&gt;'минимумы и максимумы'!F$3,100,('исходные данные'!H128-'минимумы и максимумы'!F$2)/('минимумы и максимумы'!F$3-'минимумы и максимумы'!F$2)*100)</f>
        <v>36</v>
      </c>
      <c r="I128" s="1">
        <f>IF('исходные данные'!I128&gt;'минимумы и максимумы'!G$3,100,('исходные данные'!I128-'минимумы и максимумы'!G$2)/('минимумы и максимумы'!G$3-'минимумы и максимумы'!G$2)*100)</f>
        <v>24.528301886792452</v>
      </c>
      <c r="J128" s="1">
        <f>IF('исходные данные'!J128&gt;'минимумы и максимумы'!H$3,100,('исходные данные'!J128-'минимумы и максимумы'!H$2)/('минимумы и максимумы'!H$3-'минимумы и максимумы'!H$2)*100)</f>
        <v>53.333333333333336</v>
      </c>
      <c r="K128" s="1">
        <f>IF('исходные данные'!K128&gt;'минимумы и максимумы'!I$3,100,('исходные данные'!K128-'минимумы и максимумы'!I$2)/('минимумы и максимумы'!I$3-'минимумы и максимумы'!I$2)*100)</f>
        <v>66.666666666666657</v>
      </c>
      <c r="L128" s="1">
        <f>IF('исходные данные'!L128&gt;'минимумы и максимумы'!J$3,100,('исходные данные'!L128-'минимумы и максимумы'!J$2)/('минимумы и максимумы'!J$3-'минимумы и максимумы'!J$2)*100)</f>
        <v>40</v>
      </c>
      <c r="M128" s="1">
        <f>IF('исходные данные'!M128&gt;'минимумы и максимумы'!K$3,100,('исходные данные'!M128-'минимумы и максимумы'!K$2)/('минимумы и максимумы'!K$3-'минимумы и максимумы'!K$2)*100)</f>
        <v>64.516129032258064</v>
      </c>
      <c r="N128" s="1">
        <f>IF('исходные данные'!N128&gt;'минимумы и максимумы'!L$3,100,('исходные данные'!N128-'минимумы и максимумы'!L$2)/('минимумы и максимумы'!L$3-'минимумы и максимумы'!L$2)*100)</f>
        <v>20.571543604765449</v>
      </c>
      <c r="O128" s="1">
        <f>IF('исходные данные'!O128&gt;'минимумы и максимумы'!M$3,100,('исходные данные'!O128-'минимумы и максимумы'!M$2)/('минимумы и максимумы'!M$3-'минимумы и максимумы'!M$2)*100)</f>
        <v>66.666666666666657</v>
      </c>
      <c r="P128" s="1">
        <f>IF('исходные данные'!P128&gt;'минимумы и максимумы'!N$3,100,('исходные данные'!P128-'минимумы и максимумы'!N$2)/('минимумы и максимумы'!N$3-'минимумы и максимумы'!N$2)*100)</f>
        <v>100</v>
      </c>
      <c r="Q128" s="1">
        <f>IF('исходные данные'!Q128&gt;'минимумы и максимумы'!O$3,100,('исходные данные'!Q128-'минимумы и максимумы'!O$2)/('минимумы и максимумы'!O$3-'минимумы и максимумы'!O$2)*100)</f>
        <v>0</v>
      </c>
      <c r="R128" s="1">
        <f>IF('исходные данные'!R128&gt;'минимумы и максимумы'!P$3,100,('исходные данные'!R128-'минимумы и максимумы'!P$2)/('минимумы и максимумы'!P$3-'минимумы и максимумы'!P$2)*100)</f>
        <v>75</v>
      </c>
      <c r="S128" s="1">
        <f>IF('исходные данные'!S128&gt;'минимумы и максимумы'!Q$3,100,('исходные данные'!S128-'минимумы и максимумы'!Q$2)/('минимумы и максимумы'!Q$3-'минимумы и максимумы'!Q$2)*100)</f>
        <v>16.666666666666664</v>
      </c>
      <c r="T128" s="1">
        <f>IF('исходные данные'!T128&gt;'минимумы и максимумы'!R$3,100,('исходные данные'!T128-'минимумы и максимумы'!R$2)/('минимумы и максимумы'!R$3-'минимумы и максимумы'!R$2)*100)</f>
        <v>7.5670919489661248</v>
      </c>
      <c r="U128" s="1">
        <f>IF('исходные данные'!U128&gt;'минимумы и максимумы'!S$3,100,('исходные данные'!U128-'минимумы и максимумы'!S$2)/('минимумы и максимумы'!S$3-'минимумы и максимумы'!S$2)*100)</f>
        <v>0</v>
      </c>
    </row>
    <row r="129" spans="1:21" x14ac:dyDescent="0.45">
      <c r="A129" s="4">
        <v>193</v>
      </c>
      <c r="B129" s="4">
        <v>0</v>
      </c>
      <c r="C129" s="4">
        <v>0</v>
      </c>
      <c r="D129" s="1">
        <f>IF('исходные данные'!D129&gt;'минимумы и максимумы'!B$3,100,('исходные данные'!D129-'минимумы и максимумы'!B$2)/('минимумы и максимумы'!B$3-'минимумы и максимумы'!B$2)*100)</f>
        <v>80</v>
      </c>
      <c r="E129" s="1">
        <f>IF('исходные данные'!E129&gt;'минимумы и максимумы'!C$3,100,('исходные данные'!E129-'минимумы и максимумы'!C$2)/('минимумы и максимумы'!C$3-'минимумы и максимумы'!C$2)*100)</f>
        <v>0</v>
      </c>
      <c r="F129" s="1">
        <f>IF('исходные данные'!F129&gt;'минимумы и максимумы'!D$3,100,('исходные данные'!F129-'минимумы и максимумы'!D$2)/('минимумы и максимумы'!D$3-'минимумы и максимумы'!D$2)*100)</f>
        <v>33.333333333333329</v>
      </c>
      <c r="G129" s="1">
        <f>IF('исходные данные'!G129&gt;'минимумы и максимумы'!E$3,100,('исходные данные'!G129-'минимумы и максимумы'!E$2)/('минимумы и максимумы'!E$3-'минимумы и максимумы'!E$2)*100)</f>
        <v>25</v>
      </c>
      <c r="H129" s="1">
        <f>IF('исходные данные'!H129&gt;'минимумы и максимумы'!F$3,100,('исходные данные'!H129-'минимумы и максимумы'!F$2)/('минимумы и максимумы'!F$3-'минимумы и максимумы'!F$2)*100)</f>
        <v>36</v>
      </c>
      <c r="I129" s="1">
        <f>IF('исходные данные'!I129&gt;'минимумы и максимумы'!G$3,100,('исходные данные'!I129-'минимумы и максимумы'!G$2)/('минимумы и максимумы'!G$3-'минимумы и максимумы'!G$2)*100)</f>
        <v>24.528301886792452</v>
      </c>
      <c r="J129" s="1">
        <f>IF('исходные данные'!J129&gt;'минимумы и максимумы'!H$3,100,('исходные данные'!J129-'минимумы и максимумы'!H$2)/('минимумы и максимумы'!H$3-'минимумы и максимумы'!H$2)*100)</f>
        <v>53.333333333333336</v>
      </c>
      <c r="K129" s="1">
        <f>IF('исходные данные'!K129&gt;'минимумы и максимумы'!I$3,100,('исходные данные'!K129-'минимумы и максимумы'!I$2)/('минимумы и максимумы'!I$3-'минимумы и максимумы'!I$2)*100)</f>
        <v>66.666666666666657</v>
      </c>
      <c r="L129" s="1">
        <f>IF('исходные данные'!L129&gt;'минимумы и максимумы'!J$3,100,('исходные данные'!L129-'минимумы и максимумы'!J$2)/('минимумы и максимумы'!J$3-'минимумы и максимумы'!J$2)*100)</f>
        <v>40</v>
      </c>
      <c r="M129" s="1">
        <f>IF('исходные данные'!M129&gt;'минимумы и максимумы'!K$3,100,('исходные данные'!M129-'минимумы и максимумы'!K$2)/('минимумы и максимумы'!K$3-'минимумы и максимумы'!K$2)*100)</f>
        <v>64.516129032258064</v>
      </c>
      <c r="N129" s="1">
        <f>IF('исходные данные'!N129&gt;'минимумы и максимумы'!L$3,100,('исходные данные'!N129-'минимумы и максимумы'!L$2)/('минимумы и максимумы'!L$3-'минимумы и максимумы'!L$2)*100)</f>
        <v>20.571543604765449</v>
      </c>
      <c r="O129" s="1">
        <f>IF('исходные данные'!O129&gt;'минимумы и максимумы'!M$3,100,('исходные данные'!O129-'минимумы и максимумы'!M$2)/('минимумы и максимумы'!M$3-'минимумы и максимумы'!M$2)*100)</f>
        <v>66.666666666666657</v>
      </c>
      <c r="P129" s="1">
        <f>IF('исходные данные'!P129&gt;'минимумы и максимумы'!N$3,100,('исходные данные'!P129-'минимумы и максимумы'!N$2)/('минимумы и максимумы'!N$3-'минимумы и максимумы'!N$2)*100)</f>
        <v>100</v>
      </c>
      <c r="Q129" s="1">
        <f>IF('исходные данные'!Q129&gt;'минимумы и максимумы'!O$3,100,('исходные данные'!Q129-'минимумы и максимумы'!O$2)/('минимумы и максимумы'!O$3-'минимумы и максимумы'!O$2)*100)</f>
        <v>0</v>
      </c>
      <c r="R129" s="1">
        <f>IF('исходные данные'!R129&gt;'минимумы и максимумы'!P$3,100,('исходные данные'!R129-'минимумы и максимумы'!P$2)/('минимумы и максимумы'!P$3-'минимумы и максимумы'!P$2)*100)</f>
        <v>75</v>
      </c>
      <c r="S129" s="1">
        <f>IF('исходные данные'!S129&gt;'минимумы и максимумы'!Q$3,100,('исходные данные'!S129-'минимумы и максимумы'!Q$2)/('минимумы и максимумы'!Q$3-'минимумы и максимумы'!Q$2)*100)</f>
        <v>16.666666666666664</v>
      </c>
      <c r="T129" s="1">
        <f>IF('исходные данные'!T129&gt;'минимумы и максимумы'!R$3,100,('исходные данные'!T129-'минимумы и максимумы'!R$2)/('минимумы и максимумы'!R$3-'минимумы и максимумы'!R$2)*100)</f>
        <v>8.8869335679718429</v>
      </c>
      <c r="U129" s="1">
        <f>IF('исходные данные'!U129&gt;'минимумы и максимумы'!S$3,100,('исходные данные'!U129-'минимумы и максимумы'!S$2)/('минимумы и максимумы'!S$3-'минимумы и максимумы'!S$2)*100)</f>
        <v>0</v>
      </c>
    </row>
    <row r="130" spans="1:21" x14ac:dyDescent="0.45">
      <c r="A130" s="4">
        <v>194</v>
      </c>
      <c r="B130" s="4">
        <v>0</v>
      </c>
      <c r="C130" s="4">
        <v>0</v>
      </c>
      <c r="D130" s="1">
        <f>IF('исходные данные'!D130&gt;'минимумы и максимумы'!B$3,100,('исходные данные'!D130-'минимумы и максимумы'!B$2)/('минимумы и максимумы'!B$3-'минимумы и максимумы'!B$2)*100)</f>
        <v>60</v>
      </c>
      <c r="E130" s="1">
        <f>IF('исходные данные'!E130&gt;'минимумы и максимумы'!C$3,100,('исходные данные'!E130-'минимумы и максимумы'!C$2)/('минимумы и максимумы'!C$3-'минимумы и максимумы'!C$2)*100)</f>
        <v>0</v>
      </c>
      <c r="F130" s="1">
        <f>IF('исходные данные'!F130&gt;'минимумы и максимумы'!D$3,100,('исходные данные'!F130-'минимумы и максимумы'!D$2)/('минимумы и максимумы'!D$3-'минимумы и максимумы'!D$2)*100)</f>
        <v>33.333333333333329</v>
      </c>
      <c r="G130" s="1">
        <f>IF('исходные данные'!G130&gt;'минимумы и максимумы'!E$3,100,('исходные данные'!G130-'минимумы и максимумы'!E$2)/('минимумы и максимумы'!E$3-'минимумы и максимумы'!E$2)*100)</f>
        <v>29.166666666666668</v>
      </c>
      <c r="H130" s="1">
        <f>IF('исходные данные'!H130&gt;'минимумы и максимумы'!F$3,100,('исходные данные'!H130-'минимумы и максимумы'!F$2)/('минимумы и максимумы'!F$3-'минимумы и максимумы'!F$2)*100)</f>
        <v>36</v>
      </c>
      <c r="I130" s="1">
        <f>IF('исходные данные'!I130&gt;'минимумы и максимумы'!G$3,100,('исходные данные'!I130-'минимумы и максимумы'!G$2)/('минимумы и максимумы'!G$3-'минимумы и максимумы'!G$2)*100)</f>
        <v>26.415094339622641</v>
      </c>
      <c r="J130" s="1">
        <f>IF('исходные данные'!J130&gt;'минимумы и максимумы'!H$3,100,('исходные данные'!J130-'минимумы и максимумы'!H$2)/('минимумы и максимумы'!H$3-'минимумы и максимумы'!H$2)*100)</f>
        <v>40</v>
      </c>
      <c r="K130" s="1">
        <f>IF('исходные данные'!K130&gt;'минимумы и максимумы'!I$3,100,('исходные данные'!K130-'минимумы и максимумы'!I$2)/('минимумы и максимумы'!I$3-'минимумы и максимумы'!I$2)*100)</f>
        <v>61.111111111111114</v>
      </c>
      <c r="L130" s="1">
        <f>IF('исходные данные'!L130&gt;'минимумы и максимумы'!J$3,100,('исходные данные'!L130-'минимумы и максимумы'!J$2)/('минимумы и максимумы'!J$3-'минимумы и максимумы'!J$2)*100)</f>
        <v>40</v>
      </c>
      <c r="M130" s="1">
        <f>IF('исходные данные'!M130&gt;'минимумы и максимумы'!K$3,100,('исходные данные'!M130-'минимумы и максимумы'!K$2)/('минимумы и максимумы'!K$3-'минимумы и максимумы'!K$2)*100)</f>
        <v>58.064516129032263</v>
      </c>
      <c r="N130" s="1">
        <f>IF('исходные данные'!N130&gt;'минимумы и максимумы'!L$3,100,('исходные данные'!N130-'минимумы и максимумы'!L$2)/('минимумы и максимумы'!L$3-'минимумы и максимумы'!L$2)*100)</f>
        <v>21.006373912434132</v>
      </c>
      <c r="O130" s="1">
        <f>IF('исходные данные'!O130&gt;'минимумы и максимумы'!M$3,100,('исходные данные'!O130-'минимумы и максимумы'!M$2)/('минимумы и максимумы'!M$3-'минимумы и максимумы'!M$2)*100)</f>
        <v>66.666666666666657</v>
      </c>
      <c r="P130" s="1">
        <f>IF('исходные данные'!P130&gt;'минимумы и максимумы'!N$3,100,('исходные данные'!P130-'минимумы и максимумы'!N$2)/('минимумы и максимумы'!N$3-'минимумы и максимумы'!N$2)*100)</f>
        <v>100</v>
      </c>
      <c r="Q130" s="1">
        <f>IF('исходные данные'!Q130&gt;'минимумы и максимумы'!O$3,100,('исходные данные'!Q130-'минимумы и максимумы'!O$2)/('минимумы и максимумы'!O$3-'минимумы и максимумы'!O$2)*100)</f>
        <v>100</v>
      </c>
      <c r="R130" s="1">
        <f>IF('исходные данные'!R130&gt;'минимумы и максимумы'!P$3,100,('исходные данные'!R130-'минимумы и максимумы'!P$2)/('минимумы и максимумы'!P$3-'минимумы и максимумы'!P$2)*100)</f>
        <v>75</v>
      </c>
      <c r="S130" s="1">
        <f>IF('исходные данные'!S130&gt;'минимумы и максимумы'!Q$3,100,('исходные данные'!S130-'минимумы и максимумы'!Q$2)/('минимумы и максимумы'!Q$3-'минимумы и максимумы'!Q$2)*100)</f>
        <v>50</v>
      </c>
      <c r="T130" s="1">
        <f>IF('исходные данные'!T130&gt;'минимумы и максимумы'!R$3,100,('исходные данные'!T130-'минимумы и максимумы'!R$2)/('минимумы и максимумы'!R$3-'минимумы и максимумы'!R$2)*100)</f>
        <v>11.834579850417949</v>
      </c>
      <c r="U130" s="1">
        <f>IF('исходные данные'!U130&gt;'минимумы и максимумы'!S$3,100,('исходные данные'!U130-'минимумы и максимумы'!S$2)/('минимумы и максимумы'!S$3-'минимумы и максимумы'!S$2)*100)</f>
        <v>33.333333333333329</v>
      </c>
    </row>
    <row r="131" spans="1:21" x14ac:dyDescent="0.45">
      <c r="A131" s="4">
        <v>195</v>
      </c>
      <c r="B131" s="4">
        <v>0</v>
      </c>
      <c r="C131" s="4">
        <v>0</v>
      </c>
      <c r="D131" s="1">
        <f>IF('исходные данные'!D131&gt;'минимумы и максимумы'!B$3,100,('исходные данные'!D131-'минимумы и максимумы'!B$2)/('минимумы и максимумы'!B$3-'минимумы и максимумы'!B$2)*100)</f>
        <v>60</v>
      </c>
      <c r="E131" s="1">
        <f>IF('исходные данные'!E131&gt;'минимумы и максимумы'!C$3,100,('исходные данные'!E131-'минимумы и максимумы'!C$2)/('минимумы и максимумы'!C$3-'минимумы и максимумы'!C$2)*100)</f>
        <v>10</v>
      </c>
      <c r="F131" s="1">
        <f>IF('исходные данные'!F131&gt;'минимумы и максимумы'!D$3,100,('исходные данные'!F131-'минимумы и максимумы'!D$2)/('минимумы и максимумы'!D$3-'минимумы и максимумы'!D$2)*100)</f>
        <v>33.333333333333329</v>
      </c>
      <c r="G131" s="1">
        <f>IF('исходные данные'!G131&gt;'минимумы и максимумы'!E$3,100,('исходные данные'!G131-'минимумы и максимумы'!E$2)/('минимумы и максимумы'!E$3-'минимумы и максимумы'!E$2)*100)</f>
        <v>20.833333333333336</v>
      </c>
      <c r="H131" s="1">
        <f>IF('исходные данные'!H131&gt;'минимумы и максимумы'!F$3,100,('исходные данные'!H131-'минимумы и максимумы'!F$2)/('минимумы и максимумы'!F$3-'минимумы и максимумы'!F$2)*100)</f>
        <v>16</v>
      </c>
      <c r="I131" s="1">
        <f>IF('исходные данные'!I131&gt;'минимумы и максимумы'!G$3,100,('исходные данные'!I131-'минимумы и максимумы'!G$2)/('минимумы и максимумы'!G$3-'минимумы и максимумы'!G$2)*100)</f>
        <v>28.30188679245283</v>
      </c>
      <c r="J131" s="1">
        <f>IF('исходные данные'!J131&gt;'минимумы и максимумы'!H$3,100,('исходные данные'!J131-'минимумы и максимумы'!H$2)/('минимумы и максимумы'!H$3-'минимумы и максимумы'!H$2)*100)</f>
        <v>26.666666666666668</v>
      </c>
      <c r="K131" s="1">
        <f>IF('исходные данные'!K131&gt;'минимумы и максимумы'!I$3,100,('исходные данные'!K131-'минимумы и максимумы'!I$2)/('минимумы и максимумы'!I$3-'минимумы и максимумы'!I$2)*100)</f>
        <v>100</v>
      </c>
      <c r="L131" s="1">
        <f>IF('исходные данные'!L131&gt;'минимумы и максимумы'!J$3,100,('исходные данные'!L131-'минимумы и максимумы'!J$2)/('минимумы и максимумы'!J$3-'минимумы и максимумы'!J$2)*100)</f>
        <v>20</v>
      </c>
      <c r="M131" s="1">
        <f>IF('исходные данные'!M131&gt;'минимумы и максимумы'!K$3,100,('исходные данные'!M131-'минимумы и максимумы'!K$2)/('минимумы и максимумы'!K$3-'минимумы и максимумы'!K$2)*100)</f>
        <v>25.806451612903224</v>
      </c>
      <c r="N131" s="1">
        <f>IF('исходные данные'!N131&gt;'минимумы и максимумы'!L$3,100,('исходные данные'!N131-'минимумы и максимумы'!L$2)/('минимумы и максимумы'!L$3-'минимумы и максимумы'!L$2)*100)</f>
        <v>19.747295315666683</v>
      </c>
      <c r="O131" s="1">
        <f>IF('исходные данные'!O131&gt;'минимумы и максимумы'!M$3,100,('исходные данные'!O131-'минимумы и максимумы'!M$2)/('минимумы и максимумы'!M$3-'минимумы и максимумы'!M$2)*100)</f>
        <v>33.333333333333329</v>
      </c>
      <c r="P131" s="1">
        <f>IF('исходные данные'!P131&gt;'минимумы и максимумы'!N$3,100,('исходные данные'!P131-'минимумы и максимумы'!N$2)/('минимумы и максимумы'!N$3-'минимумы и максимумы'!N$2)*100)</f>
        <v>100</v>
      </c>
      <c r="Q131" s="1">
        <f>IF('исходные данные'!Q131&gt;'минимумы и максимумы'!O$3,100,('исходные данные'!Q131-'минимумы и максимумы'!O$2)/('минимумы и максимумы'!O$3-'минимумы и максимумы'!O$2)*100)</f>
        <v>0</v>
      </c>
      <c r="R131" s="1">
        <f>IF('исходные данные'!R131&gt;'минимумы и максимумы'!P$3,100,('исходные данные'!R131-'минимумы и максимумы'!P$2)/('минимумы и максимумы'!P$3-'минимумы и максимумы'!P$2)*100)</f>
        <v>75</v>
      </c>
      <c r="S131" s="1">
        <f>IF('исходные данные'!S131&gt;'минимумы и максимумы'!Q$3,100,('исходные данные'!S131-'минимумы и максимумы'!Q$2)/('минимумы и максимумы'!Q$3-'минимумы и максимумы'!Q$2)*100)</f>
        <v>66.666666666666657</v>
      </c>
      <c r="T131" s="1">
        <f>IF('исходные данные'!T131&gt;'минимумы и максимумы'!R$3,100,('исходные данные'!T131-'минимумы и максимумы'!R$2)/('минимумы и максимумы'!R$3-'минимумы и максимумы'!R$2)*100)</f>
        <v>99.692036955565328</v>
      </c>
      <c r="U131" s="1">
        <f>IF('исходные данные'!U131&gt;'минимумы и максимумы'!S$3,100,('исходные данные'!U131-'минимумы и максимумы'!S$2)/('минимумы и максимумы'!S$3-'минимумы и максимумы'!S$2)*100)</f>
        <v>33.333333333333329</v>
      </c>
    </row>
    <row r="132" spans="1:21" x14ac:dyDescent="0.45">
      <c r="A132" s="4">
        <v>196</v>
      </c>
      <c r="B132" s="4">
        <v>0</v>
      </c>
      <c r="C132" s="4">
        <v>0</v>
      </c>
      <c r="D132" s="1">
        <f>IF('исходные данные'!D132&gt;'минимумы и максимумы'!B$3,100,('исходные данные'!D132-'минимумы и максимумы'!B$2)/('минимумы и максимумы'!B$3-'минимумы и максимумы'!B$2)*100)</f>
        <v>20</v>
      </c>
      <c r="E132" s="1">
        <f>IF('исходные данные'!E132&gt;'минимумы и максимумы'!C$3,100,('исходные данные'!E132-'минимумы и максимумы'!C$2)/('минимумы и максимумы'!C$3-'минимумы и максимумы'!C$2)*100)</f>
        <v>20</v>
      </c>
      <c r="F132" s="1">
        <f>IF('исходные данные'!F132&gt;'минимумы и максимумы'!D$3,100,('исходные данные'!F132-'минимумы и максимумы'!D$2)/('минимумы и максимумы'!D$3-'минимумы и максимумы'!D$2)*100)</f>
        <v>0</v>
      </c>
      <c r="G132" s="1">
        <f>IF('исходные данные'!G132&gt;'минимумы и максимумы'!E$3,100,('исходные данные'!G132-'минимумы и максимумы'!E$2)/('минимумы и максимумы'!E$3-'минимумы и максимумы'!E$2)*100)</f>
        <v>41.666666666666671</v>
      </c>
      <c r="H132" s="1">
        <f>IF('исходные данные'!H132&gt;'минимумы и максимумы'!F$3,100,('исходные данные'!H132-'минимумы и максимумы'!F$2)/('минимумы и максимумы'!F$3-'минимумы и максимумы'!F$2)*100)</f>
        <v>32</v>
      </c>
      <c r="I132" s="1">
        <f>IF('исходные данные'!I132&gt;'минимумы и максимумы'!G$3,100,('исходные данные'!I132-'минимумы и максимумы'!G$2)/('минимумы и максимумы'!G$3-'минимумы и максимумы'!G$2)*100)</f>
        <v>35.849056603773583</v>
      </c>
      <c r="J132" s="1">
        <f>IF('исходные данные'!J132&gt;'минимумы и максимумы'!H$3,100,('исходные данные'!J132-'минимумы и максимумы'!H$2)/('минимумы и максимумы'!H$3-'минимумы и максимумы'!H$2)*100)</f>
        <v>40</v>
      </c>
      <c r="K132" s="1">
        <f>IF('исходные данные'!K132&gt;'минимумы и максимумы'!I$3,100,('исходные данные'!K132-'минимумы и максимумы'!I$2)/('минимумы и максимумы'!I$3-'минимумы и максимумы'!I$2)*100)</f>
        <v>100</v>
      </c>
      <c r="L132" s="1">
        <f>IF('исходные данные'!L132&gt;'минимумы и максимумы'!J$3,100,('исходные данные'!L132-'минимумы и максимумы'!J$2)/('минимумы и максимумы'!J$3-'минимумы и максимумы'!J$2)*100)</f>
        <v>20</v>
      </c>
      <c r="M132" s="1">
        <f>IF('исходные данные'!M132&gt;'минимумы и максимумы'!K$3,100,('исходные данные'!M132-'минимумы и максимумы'!K$2)/('минимумы и максимумы'!K$3-'минимумы и максимумы'!K$2)*100)</f>
        <v>25.806451612903224</v>
      </c>
      <c r="N132" s="1">
        <f>IF('исходные данные'!N132&gt;'минимумы и максимумы'!L$3,100,('исходные данные'!N132-'минимумы и максимумы'!L$2)/('минимумы и максимумы'!L$3-'минимумы и максимумы'!L$2)*100)</f>
        <v>19.747295315666683</v>
      </c>
      <c r="O132" s="1">
        <f>IF('исходные данные'!O132&gt;'минимумы и максимумы'!M$3,100,('исходные данные'!O132-'минимумы и максимумы'!M$2)/('минимумы и максимумы'!M$3-'минимумы и максимумы'!M$2)*100)</f>
        <v>66.666666666666657</v>
      </c>
      <c r="P132" s="1">
        <f>IF('исходные данные'!P132&gt;'минимумы и максимумы'!N$3,100,('исходные данные'!P132-'минимумы и максимумы'!N$2)/('минимумы и максимумы'!N$3-'минимумы и максимумы'!N$2)*100)</f>
        <v>100</v>
      </c>
      <c r="Q132" s="1">
        <f>IF('исходные данные'!Q132&gt;'минимумы и максимумы'!O$3,100,('исходные данные'!Q132-'минимумы и максимумы'!O$2)/('минимумы и максимумы'!O$3-'минимумы и максимумы'!O$2)*100)</f>
        <v>0</v>
      </c>
      <c r="R132" s="1">
        <f>IF('исходные данные'!R132&gt;'минимумы и максимумы'!P$3,100,('исходные данные'!R132-'минимумы и максимумы'!P$2)/('минимумы и максимумы'!P$3-'минимумы и максимумы'!P$2)*100)</f>
        <v>75</v>
      </c>
      <c r="S132" s="1">
        <f>IF('исходные данные'!S132&gt;'минимумы и максимумы'!Q$3,100,('исходные данные'!S132-'минимумы и максимумы'!Q$2)/('минимумы и максимумы'!Q$3-'минимумы и максимумы'!Q$2)*100)</f>
        <v>33.333333333333329</v>
      </c>
      <c r="T132" s="1">
        <f>IF('исходные данные'!T132&gt;'минимумы и максимумы'!R$3,100,('исходные данные'!T132-'минимумы и максимумы'!R$2)/('минимумы и максимумы'!R$3-'минимумы и максимумы'!R$2)*100)</f>
        <v>25.604927408710953</v>
      </c>
      <c r="U132" s="1">
        <f>IF('исходные данные'!U132&gt;'минимумы и максимумы'!S$3,100,('исходные данные'!U132-'минимумы и максимумы'!S$2)/('минимумы и максимумы'!S$3-'минимумы и максимумы'!S$2)*100)</f>
        <v>0</v>
      </c>
    </row>
    <row r="133" spans="1:21" x14ac:dyDescent="0.45">
      <c r="A133" s="4">
        <v>197</v>
      </c>
      <c r="B133" s="4">
        <v>0</v>
      </c>
      <c r="C133" s="4">
        <v>0</v>
      </c>
      <c r="D133" s="1">
        <f>IF('исходные данные'!D133&gt;'минимумы и максимумы'!B$3,100,('исходные данные'!D133-'минимумы и максимумы'!B$2)/('минимумы и максимумы'!B$3-'минимумы и максимумы'!B$2)*100)</f>
        <v>0</v>
      </c>
      <c r="E133" s="1">
        <f>IF('исходные данные'!E133&gt;'минимумы и максимумы'!C$3,100,('исходные данные'!E133-'минимумы и максимумы'!C$2)/('минимумы и максимумы'!C$3-'минимумы и максимумы'!C$2)*100)</f>
        <v>10</v>
      </c>
      <c r="F133" s="1">
        <f>IF('исходные данные'!F133&gt;'минимумы и максимумы'!D$3,100,('исходные данные'!F133-'минимумы и максимумы'!D$2)/('минимумы и максимумы'!D$3-'минимумы и максимумы'!D$2)*100)</f>
        <v>0</v>
      </c>
      <c r="G133" s="1">
        <f>IF('исходные данные'!G133&gt;'минимумы и максимумы'!E$3,100,('исходные данные'!G133-'минимумы и максимумы'!E$2)/('минимумы и максимумы'!E$3-'минимумы и максимумы'!E$2)*100)</f>
        <v>16.666666666666664</v>
      </c>
      <c r="H133" s="1">
        <f>IF('исходные данные'!H133&gt;'минимумы и максимумы'!F$3,100,('исходные данные'!H133-'минимумы и максимумы'!F$2)/('минимумы и максимумы'!F$3-'минимумы и максимумы'!F$2)*100)</f>
        <v>12</v>
      </c>
      <c r="I133" s="1">
        <f>IF('исходные данные'!I133&gt;'минимумы и максимумы'!G$3,100,('исходные данные'!I133-'минимумы и максимумы'!G$2)/('минимумы и максимумы'!G$3-'минимумы и максимумы'!G$2)*100)</f>
        <v>24.528301886792452</v>
      </c>
      <c r="J133" s="1">
        <f>IF('исходные данные'!J133&gt;'минимумы и максимумы'!H$3,100,('исходные данные'!J133-'минимумы и максимумы'!H$2)/('минимумы и максимумы'!H$3-'минимумы и максимумы'!H$2)*100)</f>
        <v>20</v>
      </c>
      <c r="K133" s="1">
        <f>IF('исходные данные'!K133&gt;'минимумы и максимумы'!I$3,100,('исходные данные'!K133-'минимумы и максимумы'!I$2)/('минимумы и максимумы'!I$3-'минимумы и максимумы'!I$2)*100)</f>
        <v>50</v>
      </c>
      <c r="L133" s="1">
        <f>IF('исходные данные'!L133&gt;'минимумы и максимумы'!J$3,100,('исходные данные'!L133-'минимумы и максимумы'!J$2)/('минимумы и максимумы'!J$3-'минимумы и максимумы'!J$2)*100)</f>
        <v>40</v>
      </c>
      <c r="M133" s="1">
        <f>IF('исходные данные'!M133&gt;'минимумы и максимумы'!K$3,100,('исходные данные'!M133-'минимумы и максимумы'!K$2)/('минимумы и максимумы'!K$3-'минимумы и максимумы'!K$2)*100)</f>
        <v>9.67741935483871</v>
      </c>
      <c r="N133" s="1">
        <f>IF('исходные данные'!N133&gt;'минимумы и максимумы'!L$3,100,('исходные данные'!N133-'минимумы и максимумы'!L$2)/('минимумы и максимумы'!L$3-'минимумы и максимумы'!L$2)*100)</f>
        <v>21.406934447362801</v>
      </c>
      <c r="O133" s="1">
        <f>IF('исходные данные'!O133&gt;'минимумы и максимумы'!M$3,100,('исходные данные'!O133-'минимумы и максимумы'!M$2)/('минимумы и максимумы'!M$3-'минимумы и максимумы'!M$2)*100)</f>
        <v>0</v>
      </c>
      <c r="P133" s="1">
        <f>IF('исходные данные'!P133&gt;'минимумы и максимумы'!N$3,100,('исходные данные'!P133-'минимумы и максимумы'!N$2)/('минимумы и максимумы'!N$3-'минимумы и максимумы'!N$2)*100)</f>
        <v>0</v>
      </c>
      <c r="Q133" s="1">
        <f>IF('исходные данные'!Q133&gt;'минимумы и максимумы'!O$3,100,('исходные данные'!Q133-'минимумы и максимумы'!O$2)/('минимумы и максимумы'!O$3-'минимумы и максимумы'!O$2)*100)</f>
        <v>100</v>
      </c>
      <c r="R133" s="1">
        <f>IF('исходные данные'!R133&gt;'минимумы и максимумы'!P$3,100,('исходные данные'!R133-'минимумы и максимумы'!P$2)/('минимумы и максимумы'!P$3-'минимумы и максимумы'!P$2)*100)</f>
        <v>75</v>
      </c>
      <c r="S133" s="1">
        <f>IF('исходные данные'!S133&gt;'минимумы и максимумы'!Q$3,100,('исходные данные'!S133-'минимумы и максимумы'!Q$2)/('минимумы и максимумы'!Q$3-'минимумы и максимумы'!Q$2)*100)</f>
        <v>83.333333333333343</v>
      </c>
      <c r="T133" s="1">
        <f>IF('исходные данные'!T133&gt;'минимумы и максимумы'!R$3,100,('исходные данные'!T133-'минимумы и максимумы'!R$2)/('минимумы и максимумы'!R$3-'минимумы и максимумы'!R$2)*100)</f>
        <v>92.388913330400356</v>
      </c>
      <c r="U133" s="1">
        <f>IF('исходные данные'!U133&gt;'минимумы и максимумы'!S$3,100,('исходные данные'!U133-'минимумы и максимумы'!S$2)/('минимумы и максимумы'!S$3-'минимумы и максимумы'!S$2)*100)</f>
        <v>100</v>
      </c>
    </row>
    <row r="134" spans="1:21" x14ac:dyDescent="0.45">
      <c r="A134" s="4">
        <v>198</v>
      </c>
      <c r="B134" s="4">
        <v>0</v>
      </c>
      <c r="C134" s="4">
        <v>0</v>
      </c>
      <c r="D134" s="1">
        <f>IF('исходные данные'!D134&gt;'минимумы и максимумы'!B$3,100,('исходные данные'!D134-'минимумы и максимумы'!B$2)/('минимумы и максимумы'!B$3-'минимумы и максимумы'!B$2)*100)</f>
        <v>0</v>
      </c>
      <c r="E134" s="1">
        <f>IF('исходные данные'!E134&gt;'минимумы и максимумы'!C$3,100,('исходные данные'!E134-'минимумы и максимумы'!C$2)/('минимумы и максимумы'!C$3-'минимумы и максимумы'!C$2)*100)</f>
        <v>10</v>
      </c>
      <c r="F134" s="1">
        <f>IF('исходные данные'!F134&gt;'минимумы и максимумы'!D$3,100,('исходные данные'!F134-'минимумы и максимумы'!D$2)/('минимумы и максимумы'!D$3-'минимумы и максимумы'!D$2)*100)</f>
        <v>0</v>
      </c>
      <c r="G134" s="1">
        <f>IF('исходные данные'!G134&gt;'минимумы и максимумы'!E$3,100,('исходные данные'!G134-'минимумы и максимумы'!E$2)/('минимумы и максимумы'!E$3-'минимумы и максимумы'!E$2)*100)</f>
        <v>25</v>
      </c>
      <c r="H134" s="1">
        <f>IF('исходные данные'!H134&gt;'минимумы и максимумы'!F$3,100,('исходные данные'!H134-'минимумы и максимумы'!F$2)/('минимумы и максимумы'!F$3-'минимумы и максимумы'!F$2)*100)</f>
        <v>8</v>
      </c>
      <c r="I134" s="1">
        <f>IF('исходные данные'!I134&gt;'минимумы и максимумы'!G$3,100,('исходные данные'!I134-'минимумы и максимумы'!G$2)/('минимумы и максимумы'!G$3-'минимумы и максимумы'!G$2)*100)</f>
        <v>28.30188679245283</v>
      </c>
      <c r="J134" s="1">
        <f>IF('исходные данные'!J134&gt;'минимумы и максимумы'!H$3,100,('исходные данные'!J134-'минимумы и максимумы'!H$2)/('минимумы и максимумы'!H$3-'минимумы и максимумы'!H$2)*100)</f>
        <v>20</v>
      </c>
      <c r="K134" s="1">
        <f>IF('исходные данные'!K134&gt;'минимумы и максимумы'!I$3,100,('исходные данные'!K134-'минимумы и максимумы'!I$2)/('минимумы и максимумы'!I$3-'минимумы и максимумы'!I$2)*100)</f>
        <v>77.777777777777786</v>
      </c>
      <c r="L134" s="1">
        <f>IF('исходные данные'!L134&gt;'минимумы и максимумы'!J$3,100,('исходные данные'!L134-'минимумы и максимумы'!J$2)/('минимумы и максимумы'!J$3-'минимумы и максимумы'!J$2)*100)</f>
        <v>20</v>
      </c>
      <c r="M134" s="1">
        <f>IF('исходные данные'!M134&gt;'минимумы и максимумы'!K$3,100,('исходные данные'!M134-'минимумы и максимумы'!K$2)/('минимумы и максимумы'!K$3-'минимумы и максимумы'!K$2)*100)</f>
        <v>22.58064516129032</v>
      </c>
      <c r="N134" s="1">
        <f>IF('исходные данные'!N134&gt;'минимумы и максимумы'!L$3,100,('исходные данные'!N134-'минимумы и максимумы'!L$2)/('минимумы и максимумы'!L$3-'минимумы и максимумы'!L$2)*100)</f>
        <v>19.747295315666683</v>
      </c>
      <c r="O134" s="1">
        <f>IF('исходные данные'!O134&gt;'минимумы и максимумы'!M$3,100,('исходные данные'!O134-'минимумы и максимумы'!M$2)/('минимумы и максимумы'!M$3-'минимумы и максимумы'!M$2)*100)</f>
        <v>66.666666666666657</v>
      </c>
      <c r="P134" s="1">
        <f>IF('исходные данные'!P134&gt;'минимумы и максимумы'!N$3,100,('исходные данные'!P134-'минимумы и максимумы'!N$2)/('минимумы и максимумы'!N$3-'минимумы и максимумы'!N$2)*100)</f>
        <v>100</v>
      </c>
      <c r="Q134" s="1">
        <f>IF('исходные данные'!Q134&gt;'минимумы и максимумы'!O$3,100,('исходные данные'!Q134-'минимумы и максимумы'!O$2)/('минимумы и максимумы'!O$3-'минимумы и максимумы'!O$2)*100)</f>
        <v>0</v>
      </c>
      <c r="R134" s="1">
        <f>IF('исходные данные'!R134&gt;'минимумы и максимумы'!P$3,100,('исходные данные'!R134-'минимумы и максимумы'!P$2)/('минимумы и максимумы'!P$3-'минимумы и максимумы'!P$2)*100)</f>
        <v>75</v>
      </c>
      <c r="S134" s="1">
        <f>IF('исходные данные'!S134&gt;'минимумы и максимумы'!Q$3,100,('исходные данные'!S134-'минимумы и максимумы'!Q$2)/('минимумы и максимумы'!Q$3-'минимумы и максимумы'!Q$2)*100)</f>
        <v>66.666666666666657</v>
      </c>
      <c r="T134" s="1">
        <f>IF('исходные данные'!T134&gt;'минимумы и максимумы'!R$3,100,('исходные данные'!T134-'минимумы и максимумы'!R$2)/('минимумы и максимумы'!R$3-'минимумы и максимумы'!R$2)*100)</f>
        <v>51.825780906291243</v>
      </c>
      <c r="U134" s="1">
        <f>IF('исходные данные'!U134&gt;'минимумы и максимумы'!S$3,100,('исходные данные'!U134-'минимумы и максимумы'!S$2)/('минимумы и максимумы'!S$3-'минимумы и максимумы'!S$2)*100)</f>
        <v>66.666666666666657</v>
      </c>
    </row>
    <row r="135" spans="1:21" x14ac:dyDescent="0.45">
      <c r="A135" s="4">
        <v>199</v>
      </c>
      <c r="B135" s="4">
        <v>0</v>
      </c>
      <c r="C135" s="4">
        <v>0</v>
      </c>
      <c r="D135" s="1">
        <f>IF('исходные данные'!D135&gt;'минимумы и максимумы'!B$3,100,('исходные данные'!D135-'минимумы и максимумы'!B$2)/('минимумы и максимумы'!B$3-'минимумы и максимумы'!B$2)*100)</f>
        <v>40</v>
      </c>
      <c r="E135" s="1">
        <f>IF('исходные данные'!E135&gt;'минимумы и максимумы'!C$3,100,('исходные данные'!E135-'минимумы и максимумы'!C$2)/('минимумы и максимумы'!C$3-'минимумы и максимумы'!C$2)*100)</f>
        <v>10</v>
      </c>
      <c r="F135" s="1">
        <f>IF('исходные данные'!F135&gt;'минимумы и максимумы'!D$3,100,('исходные данные'!F135-'минимумы и максимумы'!D$2)/('минимумы и максимумы'!D$3-'минимумы и максимумы'!D$2)*100)</f>
        <v>0</v>
      </c>
      <c r="G135" s="1">
        <f>IF('исходные данные'!G135&gt;'минимумы и максимумы'!E$3,100,('исходные данные'!G135-'минимумы и максимумы'!E$2)/('минимумы и максимумы'!E$3-'минимумы и максимумы'!E$2)*100)</f>
        <v>37.5</v>
      </c>
      <c r="H135" s="1">
        <f>IF('исходные данные'!H135&gt;'минимумы и максимумы'!F$3,100,('исходные данные'!H135-'минимумы и максимумы'!F$2)/('минимумы и максимумы'!F$3-'минимумы и максимумы'!F$2)*100)</f>
        <v>36</v>
      </c>
      <c r="I135" s="1">
        <f>IF('исходные данные'!I135&gt;'минимумы и максимумы'!G$3,100,('исходные данные'!I135-'минимумы и максимумы'!G$2)/('минимумы и максимумы'!G$3-'минимумы и максимумы'!G$2)*100)</f>
        <v>43.39622641509434</v>
      </c>
      <c r="J135" s="1">
        <f>IF('исходные данные'!J135&gt;'минимумы и максимумы'!H$3,100,('исходные данные'!J135-'минимумы и максимумы'!H$2)/('минимумы и максимумы'!H$3-'минимумы и максимумы'!H$2)*100)</f>
        <v>33.333333333333329</v>
      </c>
      <c r="K135" s="1">
        <f>IF('исходные данные'!K135&gt;'минимумы и максимумы'!I$3,100,('исходные данные'!K135-'минимумы и максимумы'!I$2)/('минимумы и максимумы'!I$3-'минимумы и максимумы'!I$2)*100)</f>
        <v>100</v>
      </c>
      <c r="L135" s="1">
        <f>IF('исходные данные'!L135&gt;'минимумы и максимумы'!J$3,100,('исходные данные'!L135-'минимумы и максимумы'!J$2)/('минимумы и максимумы'!J$3-'минимумы и максимумы'!J$2)*100)</f>
        <v>20</v>
      </c>
      <c r="M135" s="1">
        <f>IF('исходные данные'!M135&gt;'минимумы и максимумы'!K$3,100,('исходные данные'!M135-'минимумы и максимумы'!K$2)/('минимумы и максимумы'!K$3-'минимумы и максимумы'!K$2)*100)</f>
        <v>48.387096774193552</v>
      </c>
      <c r="N135" s="1">
        <f>IF('исходные данные'!N135&gt;'минимумы и максимумы'!L$3,100,('исходные данные'!N135-'минимумы и максимумы'!L$2)/('минимумы и максимумы'!L$3-'минимумы и максимумы'!L$2)*100)</f>
        <v>18.873729028308635</v>
      </c>
      <c r="O135" s="1">
        <f>IF('исходные данные'!O135&gt;'минимумы и максимумы'!M$3,100,('исходные данные'!O135-'минимумы и максимумы'!M$2)/('минимумы и максимумы'!M$3-'минимумы и максимумы'!M$2)*100)</f>
        <v>33.333333333333329</v>
      </c>
      <c r="P135" s="1">
        <f>IF('исходные данные'!P135&gt;'минимумы и максимумы'!N$3,100,('исходные данные'!P135-'минимумы и максимумы'!N$2)/('минимумы и максимумы'!N$3-'минимумы и максимумы'!N$2)*100)</f>
        <v>0</v>
      </c>
      <c r="Q135" s="1">
        <f>IF('исходные данные'!Q135&gt;'минимумы и максимумы'!O$3,100,('исходные данные'!Q135-'минимумы и максимумы'!O$2)/('минимумы и максимумы'!O$3-'минимумы и максимумы'!O$2)*100)</f>
        <v>100</v>
      </c>
      <c r="R135" s="1">
        <f>IF('исходные данные'!R135&gt;'минимумы и максимумы'!P$3,100,('исходные данные'!R135-'минимумы и максимумы'!P$2)/('минимумы и максимумы'!P$3-'минимумы и максимумы'!P$2)*100)</f>
        <v>75</v>
      </c>
      <c r="S135" s="1">
        <f>IF('исходные данные'!S135&gt;'минимумы и максимумы'!Q$3,100,('исходные данные'!S135-'минимумы и максимумы'!Q$2)/('минимумы и максимумы'!Q$3-'минимумы и максимумы'!Q$2)*100)</f>
        <v>33.333333333333329</v>
      </c>
      <c r="T135" s="1">
        <f>IF('исходные данные'!T135&gt;'минимумы и максимумы'!R$3,100,('исходные данные'!T135-'минимумы и максимумы'!R$2)/('минимумы и максимумы'!R$3-'минимумы и максимумы'!R$2)*100)</f>
        <v>22.745270567531897</v>
      </c>
      <c r="U135" s="1">
        <f>IF('исходные данные'!U135&gt;'минимумы и максимумы'!S$3,100,('исходные данные'!U135-'минимумы и максимумы'!S$2)/('минимумы и максимумы'!S$3-'минимумы и максимумы'!S$2)*100)</f>
        <v>0</v>
      </c>
    </row>
    <row r="136" spans="1:21" x14ac:dyDescent="0.45">
      <c r="A136" s="4">
        <v>201</v>
      </c>
      <c r="B136" s="4">
        <v>0</v>
      </c>
      <c r="C136" s="4">
        <v>0</v>
      </c>
      <c r="D136" s="1">
        <f>IF('исходные данные'!D136&gt;'минимумы и максимумы'!B$3,100,('исходные данные'!D136-'минимумы и максимумы'!B$2)/('минимумы и максимумы'!B$3-'минимумы и максимумы'!B$2)*100)</f>
        <v>40</v>
      </c>
      <c r="E136" s="1">
        <f>IF('исходные данные'!E136&gt;'минимумы и максимумы'!C$3,100,('исходные данные'!E136-'минимумы и максимумы'!C$2)/('минимумы и максимумы'!C$3-'минимумы и максимумы'!C$2)*100)</f>
        <v>10</v>
      </c>
      <c r="F136" s="1">
        <f>IF('исходные данные'!F136&gt;'минимумы и максимумы'!D$3,100,('исходные данные'!F136-'минимумы и максимумы'!D$2)/('минимумы и максимумы'!D$3-'минимумы и максимумы'!D$2)*100)</f>
        <v>0</v>
      </c>
      <c r="G136" s="1">
        <f>IF('исходные данные'!G136&gt;'минимумы и максимумы'!E$3,100,('исходные данные'!G136-'минимумы и максимумы'!E$2)/('минимумы и максимумы'!E$3-'минимумы и максимумы'!E$2)*100)</f>
        <v>41.666666666666671</v>
      </c>
      <c r="H136" s="1">
        <f>IF('исходные данные'!H136&gt;'минимумы и максимумы'!F$3,100,('исходные данные'!H136-'минимумы и максимумы'!F$2)/('минимумы и максимумы'!F$3-'минимумы и максимумы'!F$2)*100)</f>
        <v>36</v>
      </c>
      <c r="I136" s="1">
        <f>IF('исходные данные'!I136&gt;'минимумы и максимумы'!G$3,100,('исходные данные'!I136-'минимумы и максимумы'!G$2)/('минимумы и максимумы'!G$3-'минимумы и максимумы'!G$2)*100)</f>
        <v>43.39622641509434</v>
      </c>
      <c r="J136" s="1">
        <f>IF('исходные данные'!J136&gt;'минимумы и максимумы'!H$3,100,('исходные данные'!J136-'минимумы и максимумы'!H$2)/('минимумы и максимумы'!H$3-'минимумы и максимумы'!H$2)*100)</f>
        <v>33.333333333333329</v>
      </c>
      <c r="K136" s="1">
        <f>IF('исходные данные'!K136&gt;'минимумы и максимумы'!I$3,100,('исходные данные'!K136-'минимумы и максимумы'!I$2)/('минимумы и максимумы'!I$3-'минимумы и максимумы'!I$2)*100)</f>
        <v>50</v>
      </c>
      <c r="L136" s="1">
        <f>IF('исходные данные'!L136&gt;'минимумы и максимумы'!J$3,100,('исходные данные'!L136-'минимумы и максимумы'!J$2)/('минимумы и максимумы'!J$3-'минимумы и максимумы'!J$2)*100)</f>
        <v>20</v>
      </c>
      <c r="M136" s="1">
        <f>IF('исходные данные'!M136&gt;'минимумы и максимумы'!K$3,100,('исходные данные'!M136-'минимумы и максимумы'!K$2)/('минимумы и максимумы'!K$3-'минимумы и максимумы'!K$2)*100)</f>
        <v>51.612903225806448</v>
      </c>
      <c r="N136" s="1">
        <f>IF('исходные данные'!N136&gt;'минимумы и максимумы'!L$3,100,('исходные данные'!N136-'минимумы и максимумы'!L$2)/('минимумы и максимумы'!L$3-'минимумы и максимумы'!L$2)*100)</f>
        <v>17.920006574288859</v>
      </c>
      <c r="O136" s="1">
        <f>IF('исходные данные'!O136&gt;'минимумы и максимумы'!M$3,100,('исходные данные'!O136-'минимумы и максимумы'!M$2)/('минимумы и максимумы'!M$3-'минимумы и максимумы'!M$2)*100)</f>
        <v>66.666666666666657</v>
      </c>
      <c r="P136" s="1">
        <f>IF('исходные данные'!P136&gt;'минимумы и максимумы'!N$3,100,('исходные данные'!P136-'минимумы и максимумы'!N$2)/('минимумы и максимумы'!N$3-'минимумы и максимумы'!N$2)*100)</f>
        <v>100</v>
      </c>
      <c r="Q136" s="1">
        <f>IF('исходные данные'!Q136&gt;'минимумы и максимумы'!O$3,100,('исходные данные'!Q136-'минимумы и максимумы'!O$2)/('минимумы и максимумы'!O$3-'минимумы и максимумы'!O$2)*100)</f>
        <v>0</v>
      </c>
      <c r="R136" s="1">
        <f>IF('исходные данные'!R136&gt;'минимумы и максимумы'!P$3,100,('исходные данные'!R136-'минимумы и максимумы'!P$2)/('минимумы и максимумы'!P$3-'минимумы и максимумы'!P$2)*100)</f>
        <v>75</v>
      </c>
      <c r="S136" s="1">
        <f>IF('исходные данные'!S136&gt;'минимумы и максимумы'!Q$3,100,('исходные данные'!S136-'минимумы и максимумы'!Q$2)/('минимумы и максимумы'!Q$3-'минимумы и максимумы'!Q$2)*100)</f>
        <v>33.333333333333329</v>
      </c>
      <c r="T136" s="1">
        <f>IF('исходные данные'!T136&gt;'минимумы и максимумы'!R$3,100,('исходные данные'!T136-'минимумы и максимумы'!R$2)/('минимумы и максимумы'!R$3-'минимумы и максимумы'!R$2)*100)</f>
        <v>44.038715354157503</v>
      </c>
      <c r="U136" s="1">
        <f>IF('исходные данные'!U136&gt;'минимумы и максимумы'!S$3,100,('исходные данные'!U136-'минимумы и максимумы'!S$2)/('минимумы и максимумы'!S$3-'минимумы и максимумы'!S$2)*100)</f>
        <v>0</v>
      </c>
    </row>
    <row r="137" spans="1:21" x14ac:dyDescent="0.45">
      <c r="A137" s="4">
        <v>202</v>
      </c>
      <c r="B137" s="4">
        <v>0</v>
      </c>
      <c r="C137" s="4">
        <v>0</v>
      </c>
      <c r="D137" s="1">
        <f>IF('исходные данные'!D137&gt;'минимумы и максимумы'!B$3,100,('исходные данные'!D137-'минимумы и максимумы'!B$2)/('минимумы и максимумы'!B$3-'минимумы и максимумы'!B$2)*100)</f>
        <v>40</v>
      </c>
      <c r="E137" s="1">
        <f>IF('исходные данные'!E137&gt;'минимумы и максимумы'!C$3,100,('исходные данные'!E137-'минимумы и максимумы'!C$2)/('минимумы и максимумы'!C$3-'минимумы и максимумы'!C$2)*100)</f>
        <v>10</v>
      </c>
      <c r="F137" s="1">
        <f>IF('исходные данные'!F137&gt;'минимумы и максимумы'!D$3,100,('исходные данные'!F137-'минимумы и максимумы'!D$2)/('минимумы и максимумы'!D$3-'минимумы и максимумы'!D$2)*100)</f>
        <v>0</v>
      </c>
      <c r="G137" s="1">
        <f>IF('исходные данные'!G137&gt;'минимумы и максимумы'!E$3,100,('исходные данные'!G137-'минимумы и максимумы'!E$2)/('минимумы и максимумы'!E$3-'минимумы и максимумы'!E$2)*100)</f>
        <v>41.666666666666671</v>
      </c>
      <c r="H137" s="1">
        <f>IF('исходные данные'!H137&gt;'минимумы и максимумы'!F$3,100,('исходные данные'!H137-'минимумы и максимумы'!F$2)/('минимумы и максимумы'!F$3-'минимумы и максимумы'!F$2)*100)</f>
        <v>36</v>
      </c>
      <c r="I137" s="1">
        <f>IF('исходные данные'!I137&gt;'минимумы и максимумы'!G$3,100,('исходные данные'!I137-'минимумы и максимумы'!G$2)/('минимумы и максимумы'!G$3-'минимумы и максимумы'!G$2)*100)</f>
        <v>43.39622641509434</v>
      </c>
      <c r="J137" s="1">
        <f>IF('исходные данные'!J137&gt;'минимумы и максимумы'!H$3,100,('исходные данные'!J137-'минимумы и максимумы'!H$2)/('минимумы и максимумы'!H$3-'минимумы и максимумы'!H$2)*100)</f>
        <v>33.333333333333329</v>
      </c>
      <c r="K137" s="1">
        <f>IF('исходные данные'!K137&gt;'минимумы и максимумы'!I$3,100,('исходные данные'!K137-'минимумы и максимумы'!I$2)/('минимумы и максимумы'!I$3-'минимумы и максимумы'!I$2)*100)</f>
        <v>50</v>
      </c>
      <c r="L137" s="1">
        <f>IF('исходные данные'!L137&gt;'минимумы и максимумы'!J$3,100,('исходные данные'!L137-'минимумы и максимумы'!J$2)/('минимумы и максимумы'!J$3-'минимумы и максимумы'!J$2)*100)</f>
        <v>20</v>
      </c>
      <c r="M137" s="1">
        <f>IF('исходные данные'!M137&gt;'минимумы и максимумы'!K$3,100,('исходные данные'!M137-'минимумы и максимумы'!K$2)/('минимумы и максимумы'!K$3-'минимумы и максимумы'!K$2)*100)</f>
        <v>51.612903225806448</v>
      </c>
      <c r="N137" s="1">
        <f>IF('исходные данные'!N137&gt;'минимумы и максимумы'!L$3,100,('исходные данные'!N137-'минимумы и максимумы'!L$2)/('минимумы и максимумы'!L$3-'минимумы и максимумы'!L$2)*100)</f>
        <v>17.920006574288859</v>
      </c>
      <c r="O137" s="1">
        <f>IF('исходные данные'!O137&gt;'минимумы и максимумы'!M$3,100,('исходные данные'!O137-'минимумы и максимумы'!M$2)/('минимумы и максимумы'!M$3-'минимумы и максимумы'!M$2)*100)</f>
        <v>66.666666666666657</v>
      </c>
      <c r="P137" s="1">
        <f>IF('исходные данные'!P137&gt;'минимумы и максимумы'!N$3,100,('исходные данные'!P137-'минимумы и максимумы'!N$2)/('минимумы и максимумы'!N$3-'минимумы и максимумы'!N$2)*100)</f>
        <v>100</v>
      </c>
      <c r="Q137" s="1">
        <f>IF('исходные данные'!Q137&gt;'минимумы и максимумы'!O$3,100,('исходные данные'!Q137-'минимумы и максимумы'!O$2)/('минимумы и максимумы'!O$3-'минимумы и максимумы'!O$2)*100)</f>
        <v>0</v>
      </c>
      <c r="R137" s="1">
        <f>IF('исходные данные'!R137&gt;'минимумы и максимумы'!P$3,100,('исходные данные'!R137-'минимумы и максимумы'!P$2)/('минимумы и максимумы'!P$3-'минимумы и максимумы'!P$2)*100)</f>
        <v>75</v>
      </c>
      <c r="S137" s="1">
        <f>IF('исходные данные'!S137&gt;'минимумы и максимумы'!Q$3,100,('исходные данные'!S137-'минимумы и максимумы'!Q$2)/('минимумы и максимумы'!Q$3-'минимумы и максимумы'!Q$2)*100)</f>
        <v>33.333333333333329</v>
      </c>
      <c r="T137" s="1">
        <f>IF('исходные данные'!T137&gt;'минимумы и максимумы'!R$3,100,('исходные данные'!T137-'минимумы и максимумы'!R$2)/('минимумы и максимумы'!R$3-'минимумы и максимумы'!R$2)*100)</f>
        <v>43.994720633523976</v>
      </c>
      <c r="U137" s="1">
        <f>IF('исходные данные'!U137&gt;'минимумы и максимумы'!S$3,100,('исходные данные'!U137-'минимумы и максимумы'!S$2)/('минимумы и максимумы'!S$3-'минимумы и максимумы'!S$2)*100)</f>
        <v>0</v>
      </c>
    </row>
    <row r="138" spans="1:21" x14ac:dyDescent="0.45">
      <c r="A138" s="4">
        <v>204</v>
      </c>
      <c r="B138" s="4">
        <v>0</v>
      </c>
      <c r="C138" s="4">
        <v>0</v>
      </c>
      <c r="D138" s="1">
        <f>IF('исходные данные'!D138&gt;'минимумы и максимумы'!B$3,100,('исходные данные'!D138-'минимумы и максимумы'!B$2)/('минимумы и максимумы'!B$3-'минимумы и максимумы'!B$2)*100)</f>
        <v>20</v>
      </c>
      <c r="E138" s="1">
        <f>IF('исходные данные'!E138&gt;'минимумы и максимумы'!C$3,100,('исходные данные'!E138-'минимумы и максимумы'!C$2)/('минимумы и максимумы'!C$3-'минимумы и максимумы'!C$2)*100)</f>
        <v>80</v>
      </c>
      <c r="F138" s="1">
        <f>IF('исходные данные'!F138&gt;'минимумы и максимумы'!D$3,100,('исходные данные'!F138-'минимумы и максимумы'!D$2)/('минимумы и максимумы'!D$3-'минимумы и максимумы'!D$2)*100)</f>
        <v>0</v>
      </c>
      <c r="G138" s="1">
        <f>IF('исходные данные'!G138&gt;'минимумы и максимумы'!E$3,100,('исходные данные'!G138-'минимумы и максимумы'!E$2)/('минимумы и максимумы'!E$3-'минимумы и максимумы'!E$2)*100)</f>
        <v>37.5</v>
      </c>
      <c r="H138" s="1">
        <f>IF('исходные данные'!H138&gt;'минимумы и максимумы'!F$3,100,('исходные данные'!H138-'минимумы и максимумы'!F$2)/('минимумы и максимумы'!F$3-'минимумы и максимумы'!F$2)*100)</f>
        <v>32</v>
      </c>
      <c r="I138" s="1">
        <f>IF('исходные данные'!I138&gt;'минимумы и максимумы'!G$3,100,('исходные данные'!I138-'минимумы и максимумы'!G$2)/('минимумы и максимумы'!G$3-'минимумы и максимумы'!G$2)*100)</f>
        <v>58.490566037735846</v>
      </c>
      <c r="J138" s="1">
        <f>IF('исходные данные'!J138&gt;'минимумы и максимумы'!H$3,100,('исходные данные'!J138-'минимумы и максимумы'!H$2)/('минимумы и максимумы'!H$3-'минимумы и максимумы'!H$2)*100)</f>
        <v>40</v>
      </c>
      <c r="K138" s="1">
        <f>IF('исходные данные'!K138&gt;'минимумы и максимумы'!I$3,100,('исходные данные'!K138-'минимумы и максимумы'!I$2)/('минимумы и максимумы'!I$3-'минимумы и максимумы'!I$2)*100)</f>
        <v>44.444444444444443</v>
      </c>
      <c r="L138" s="1">
        <f>IF('исходные данные'!L138&gt;'минимумы и максимумы'!J$3,100,('исходные данные'!L138-'минимумы и максимумы'!J$2)/('минимумы и максимумы'!J$3-'минимумы и максимумы'!J$2)*100)</f>
        <v>40</v>
      </c>
      <c r="M138" s="1">
        <f>IF('исходные данные'!M138&gt;'минимумы и максимумы'!K$3,100,('исходные данные'!M138-'минимумы и максимумы'!K$2)/('минимумы и максимумы'!K$3-'минимумы и максимумы'!K$2)*100)</f>
        <v>58.064516129032263</v>
      </c>
      <c r="N138" s="1">
        <f>IF('исходные данные'!N138&gt;'минимумы и максимумы'!L$3,100,('исходные данные'!N138-'минимумы и максимумы'!L$2)/('минимумы и максимумы'!L$3-'минимумы и максимумы'!L$2)*100)</f>
        <v>12.083272860114009</v>
      </c>
      <c r="O138" s="1">
        <f>IF('исходные данные'!O138&gt;'минимумы и максимумы'!M$3,100,('исходные данные'!O138-'минимумы и максимумы'!M$2)/('минимумы и максимумы'!M$3-'минимумы и максимумы'!M$2)*100)</f>
        <v>0</v>
      </c>
      <c r="P138" s="1">
        <f>IF('исходные данные'!P138&gt;'минимумы и максимумы'!N$3,100,('исходные данные'!P138-'минимумы и максимумы'!N$2)/('минимумы и максимумы'!N$3-'минимумы и максимумы'!N$2)*100)</f>
        <v>0</v>
      </c>
      <c r="Q138" s="1">
        <f>IF('исходные данные'!Q138&gt;'минимумы и максимумы'!O$3,100,('исходные данные'!Q138-'минимумы и максимумы'!O$2)/('минимумы и максимумы'!O$3-'минимумы и максимумы'!O$2)*100)</f>
        <v>100</v>
      </c>
      <c r="R138" s="1">
        <f>IF('исходные данные'!R138&gt;'минимумы и максимумы'!P$3,100,('исходные данные'!R138-'минимумы и максимумы'!P$2)/('минимумы и максимумы'!P$3-'минимумы и максимумы'!P$2)*100)</f>
        <v>75</v>
      </c>
      <c r="S138" s="1">
        <f>IF('исходные данные'!S138&gt;'минимумы и максимумы'!Q$3,100,('исходные данные'!S138-'минимумы и максимумы'!Q$2)/('минимумы и максимумы'!Q$3-'минимумы и максимумы'!Q$2)*100)</f>
        <v>33.333333333333329</v>
      </c>
      <c r="T138" s="1">
        <f>IF('исходные данные'!T138&gt;'минимумы и максимумы'!R$3,100,('исходные данные'!T138-'минимумы и максимумы'!R$2)/('минимумы и максимумы'!R$3-'минимумы и максимумы'!R$2)*100)</f>
        <v>28.464584249890013</v>
      </c>
      <c r="U138" s="1">
        <f>IF('исходные данные'!U138&gt;'минимумы и максимумы'!S$3,100,('исходные данные'!U138-'минимумы и максимумы'!S$2)/('минимумы и максимумы'!S$3-'минимумы и максимумы'!S$2)*100)</f>
        <v>0</v>
      </c>
    </row>
    <row r="139" spans="1:21" x14ac:dyDescent="0.45">
      <c r="A139" s="4">
        <v>205</v>
      </c>
      <c r="B139" s="4">
        <v>0</v>
      </c>
      <c r="C139" s="4">
        <v>0</v>
      </c>
      <c r="D139" s="1">
        <f>IF('исходные данные'!D139&gt;'минимумы и максимумы'!B$3,100,('исходные данные'!D139-'минимумы и максимумы'!B$2)/('минимумы и максимумы'!B$3-'минимумы и максимумы'!B$2)*100)</f>
        <v>40</v>
      </c>
      <c r="E139" s="1">
        <f>IF('исходные данные'!E139&gt;'минимумы и максимумы'!C$3,100,('исходные данные'!E139-'минимумы и максимумы'!C$2)/('минимумы и максимумы'!C$3-'минимумы и максимумы'!C$2)*100)</f>
        <v>100</v>
      </c>
      <c r="F139" s="1">
        <f>IF('исходные данные'!F139&gt;'минимумы и максимумы'!D$3,100,('исходные данные'!F139-'минимумы и максимумы'!D$2)/('минимумы и максимумы'!D$3-'минимумы и максимумы'!D$2)*100)</f>
        <v>0</v>
      </c>
      <c r="G139" s="1">
        <f>IF('исходные данные'!G139&gt;'минимумы и максимумы'!E$3,100,('исходные данные'!G139-'минимумы и максимумы'!E$2)/('минимумы и максимумы'!E$3-'минимумы и максимумы'!E$2)*100)</f>
        <v>33.333333333333329</v>
      </c>
      <c r="H139" s="1">
        <f>IF('исходные данные'!H139&gt;'минимумы и максимумы'!F$3,100,('исходные данные'!H139-'минимумы и максимумы'!F$2)/('минимумы и максимумы'!F$3-'минимумы и максимумы'!F$2)*100)</f>
        <v>40</v>
      </c>
      <c r="I139" s="1">
        <f>IF('исходные данные'!I139&gt;'минимумы и максимумы'!G$3,100,('исходные данные'!I139-'минимумы и максимумы'!G$2)/('минимумы и максимумы'!G$3-'минимумы и максимумы'!G$2)*100)</f>
        <v>62.264150943396224</v>
      </c>
      <c r="J139" s="1">
        <f>IF('исходные данные'!J139&gt;'минимумы и максимумы'!H$3,100,('исходные данные'!J139-'минимумы и максимумы'!H$2)/('минимумы и максимумы'!H$3-'минимумы и максимумы'!H$2)*100)</f>
        <v>46.666666666666664</v>
      </c>
      <c r="K139" s="1">
        <f>IF('исходные данные'!K139&gt;'минимумы и максимумы'!I$3,100,('исходные данные'!K139-'минимумы и максимумы'!I$2)/('минимумы и максимумы'!I$3-'минимумы и максимумы'!I$2)*100)</f>
        <v>27.777777777777779</v>
      </c>
      <c r="L139" s="1">
        <f>IF('исходные данные'!L139&gt;'минимумы и максимумы'!J$3,100,('исходные данные'!L139-'минимумы и максимумы'!J$2)/('минимумы и максимумы'!J$3-'минимумы и максимумы'!J$2)*100)</f>
        <v>40</v>
      </c>
      <c r="M139" s="1">
        <f>IF('исходные данные'!M139&gt;'минимумы и максимумы'!K$3,100,('исходные данные'!M139-'минимумы и максимумы'!K$2)/('минимумы и максимумы'!K$3-'минимумы и максимумы'!K$2)*100)</f>
        <v>70.967741935483872</v>
      </c>
      <c r="N139" s="1">
        <f>IF('исходные данные'!N139&gt;'минимумы и максимумы'!L$3,100,('исходные данные'!N139-'минимумы и максимумы'!L$2)/('минимумы и максимумы'!L$3-'минимумы и максимумы'!L$2)*100)</f>
        <v>12.507172842516326</v>
      </c>
      <c r="O139" s="1">
        <f>IF('исходные данные'!O139&gt;'минимумы и максимумы'!M$3,100,('исходные данные'!O139-'минимумы и максимумы'!M$2)/('минимумы и максимумы'!M$3-'минимумы и максимумы'!M$2)*100)</f>
        <v>33.333333333333329</v>
      </c>
      <c r="P139" s="1">
        <f>IF('исходные данные'!P139&gt;'минимумы и максимумы'!N$3,100,('исходные данные'!P139-'минимумы и максимумы'!N$2)/('минимумы и максимумы'!N$3-'минимумы и максимумы'!N$2)*100)</f>
        <v>0</v>
      </c>
      <c r="Q139" s="1">
        <f>IF('исходные данные'!Q139&gt;'минимумы и максимумы'!O$3,100,('исходные данные'!Q139-'минимумы и максимумы'!O$2)/('минимумы и максимумы'!O$3-'минимумы и максимумы'!O$2)*100)</f>
        <v>100</v>
      </c>
      <c r="R139" s="1">
        <f>IF('исходные данные'!R139&gt;'минимумы и максимумы'!P$3,100,('исходные данные'!R139-'минимумы и максимумы'!P$2)/('минимумы и максимумы'!P$3-'минимумы и максимумы'!P$2)*100)</f>
        <v>75</v>
      </c>
      <c r="S139" s="1">
        <f>IF('исходные данные'!S139&gt;'минимумы и максимумы'!Q$3,100,('исходные данные'!S139-'минимумы и максимумы'!Q$2)/('минимумы и максимумы'!Q$3-'минимумы и максимумы'!Q$2)*100)</f>
        <v>33.333333333333329</v>
      </c>
      <c r="T139" s="1">
        <f>IF('исходные данные'!T139&gt;'минимумы и максимумы'!R$3,100,('исходные данные'!T139-'минимумы и максимумы'!R$2)/('минимумы и максимумы'!R$3-'минимумы и максимумы'!R$2)*100)</f>
        <v>58.424989001319837</v>
      </c>
      <c r="U139" s="1">
        <f>IF('исходные данные'!U139&gt;'минимумы и максимумы'!S$3,100,('исходные данные'!U139-'минимумы и максимумы'!S$2)/('минимумы и максимумы'!S$3-'минимумы и максимумы'!S$2)*100)</f>
        <v>100</v>
      </c>
    </row>
    <row r="140" spans="1:21" x14ac:dyDescent="0.45">
      <c r="A140" s="4">
        <v>207</v>
      </c>
      <c r="B140" s="4">
        <v>0</v>
      </c>
      <c r="C140" s="4">
        <v>1</v>
      </c>
      <c r="D140" s="1">
        <f>IF('исходные данные'!D140&gt;'минимумы и максимумы'!B$3,100,('исходные данные'!D140-'минимумы и максимумы'!B$2)/('минимумы и максимумы'!B$3-'минимумы и максимумы'!B$2)*100)</f>
        <v>40</v>
      </c>
      <c r="E140" s="1">
        <f>IF('исходные данные'!E140&gt;'минимумы и максимумы'!C$3,100,('исходные данные'!E140-'минимумы и максимумы'!C$2)/('минимумы и максимумы'!C$3-'минимумы и максимумы'!C$2)*100)</f>
        <v>70</v>
      </c>
      <c r="F140" s="1">
        <f>IF('исходные данные'!F140&gt;'минимумы и максимумы'!D$3,100,('исходные данные'!F140-'минимумы и максимумы'!D$2)/('минимумы и максимумы'!D$3-'минимумы и максимумы'!D$2)*100)</f>
        <v>33.333333333333329</v>
      </c>
      <c r="G140" s="1">
        <f>IF('исходные данные'!G140&gt;'минимумы и максимумы'!E$3,100,('исходные данные'!G140-'минимумы и максимумы'!E$2)/('минимумы и максимумы'!E$3-'минимумы и максимумы'!E$2)*100)</f>
        <v>62.5</v>
      </c>
      <c r="H140" s="1">
        <f>IF('исходные данные'!H140&gt;'минимумы и максимумы'!F$3,100,('исходные данные'!H140-'минимумы и максимумы'!F$2)/('минимумы и максимумы'!F$3-'минимумы и максимумы'!F$2)*100)</f>
        <v>80</v>
      </c>
      <c r="I140" s="1">
        <f>IF('исходные данные'!I140&gt;'минимумы и максимумы'!G$3,100,('исходные данные'!I140-'минимумы и максимумы'!G$2)/('минимумы и максимумы'!G$3-'минимумы и максимумы'!G$2)*100)</f>
        <v>100</v>
      </c>
      <c r="J140" s="1">
        <f>IF('исходные данные'!J140&gt;'минимумы и максимумы'!H$3,100,('исходные данные'!J140-'минимумы и максимумы'!H$2)/('минимумы и максимумы'!H$3-'минимумы и максимумы'!H$2)*100)</f>
        <v>13.333333333333334</v>
      </c>
      <c r="K140" s="1">
        <f>IF('исходные данные'!K140&gt;'минимумы и максимумы'!I$3,100,('исходные данные'!K140-'минимумы и максимумы'!I$2)/('минимумы и максимумы'!I$3-'минимумы и максимумы'!I$2)*100)</f>
        <v>5.5555555555555554</v>
      </c>
      <c r="L140" s="1">
        <f>IF('исходные данные'!L140&gt;'минимумы и максимумы'!J$3,100,('исходные данные'!L140-'минимумы и максимумы'!J$2)/('минимумы и максимумы'!J$3-'минимумы и максимумы'!J$2)*100)</f>
        <v>20</v>
      </c>
      <c r="M140" s="1">
        <f>IF('исходные данные'!M140&gt;'минимумы и максимумы'!K$3,100,('исходные данные'!M140-'минимумы и максимумы'!K$2)/('минимумы и максимумы'!K$3-'минимумы и максимумы'!K$2)*100)</f>
        <v>32.258064516129032</v>
      </c>
      <c r="N140" s="1">
        <f>IF('исходные данные'!N140&gt;'минимумы и максимумы'!L$3,100,('исходные данные'!N140-'минимумы и максимумы'!L$2)/('минимумы и максимумы'!L$3-'минимумы и максимумы'!L$2)*100)</f>
        <v>17.617915012503381</v>
      </c>
      <c r="O140" s="1">
        <f>IF('исходные данные'!O140&gt;'минимумы и максимумы'!M$3,100,('исходные данные'!O140-'минимумы и максимумы'!M$2)/('минимумы и максимумы'!M$3-'минимумы и максимумы'!M$2)*100)</f>
        <v>66.666666666666657</v>
      </c>
      <c r="P140" s="1">
        <f>IF('исходные данные'!P140&gt;'минимумы и максимумы'!N$3,100,('исходные данные'!P140-'минимумы и максимумы'!N$2)/('минимумы и максимумы'!N$3-'минимумы и максимумы'!N$2)*100)</f>
        <v>0</v>
      </c>
      <c r="Q140" s="1">
        <f>IF('исходные данные'!Q140&gt;'минимумы и максимумы'!O$3,100,('исходные данные'!Q140-'минимумы и максимумы'!O$2)/('минимумы и максимумы'!O$3-'минимумы и максимумы'!O$2)*100)</f>
        <v>100</v>
      </c>
      <c r="R140" s="1">
        <f>IF('исходные данные'!R140&gt;'минимумы и максимумы'!P$3,100,('исходные данные'!R140-'минимумы и максимумы'!P$2)/('минимумы и максимумы'!P$3-'минимумы и максимумы'!P$2)*100)</f>
        <v>75</v>
      </c>
      <c r="S140" s="1">
        <f>IF('исходные данные'!S140&gt;'минимумы и максимумы'!Q$3,100,('исходные данные'!S140-'минимумы и максимумы'!Q$2)/('минимумы и максимумы'!Q$3-'минимумы и максимумы'!Q$2)*100)</f>
        <v>33.333333333333329</v>
      </c>
      <c r="T140" s="1">
        <f>IF('исходные данные'!T140&gt;'минимумы и максимумы'!R$3,100,('исходные данные'!T140-'минимумы и максимумы'!R$2)/('минимумы и максимумы'!R$3-'минимумы и максимумы'!R$2)*100)</f>
        <v>12.626484821821382</v>
      </c>
      <c r="U140" s="1">
        <f>IF('исходные данные'!U140&gt;'минимумы и максимумы'!S$3,100,('исходные данные'!U140-'минимумы и максимумы'!S$2)/('минимумы и максимумы'!S$3-'минимумы и максимумы'!S$2)*100)</f>
        <v>0</v>
      </c>
    </row>
    <row r="141" spans="1:21" x14ac:dyDescent="0.45">
      <c r="A141" s="4">
        <v>208</v>
      </c>
      <c r="B141" s="4">
        <v>0</v>
      </c>
      <c r="C141" s="4">
        <v>0</v>
      </c>
      <c r="D141" s="1">
        <f>IF('исходные данные'!D141&gt;'минимумы и максимумы'!B$3,100,('исходные данные'!D141-'минимумы и максимумы'!B$2)/('минимумы и максимумы'!B$3-'минимумы и максимумы'!B$2)*100)</f>
        <v>0</v>
      </c>
      <c r="E141" s="1">
        <f>IF('исходные данные'!E141&gt;'минимумы и максимумы'!C$3,100,('исходные данные'!E141-'минимумы и максимумы'!C$2)/('минимумы и максимумы'!C$3-'минимумы и максимумы'!C$2)*100)</f>
        <v>10</v>
      </c>
      <c r="F141" s="1">
        <f>IF('исходные данные'!F141&gt;'минимумы и максимумы'!D$3,100,('исходные данные'!F141-'минимумы и максимумы'!D$2)/('минимумы и максимумы'!D$3-'минимумы и максимумы'!D$2)*100)</f>
        <v>0</v>
      </c>
      <c r="G141" s="1">
        <f>IF('исходные данные'!G141&gt;'минимумы и максимумы'!E$3,100,('исходные данные'!G141-'минимумы и максимумы'!E$2)/('минимумы и максимумы'!E$3-'минимумы и максимумы'!E$2)*100)</f>
        <v>8.3333333333333321</v>
      </c>
      <c r="H141" s="1">
        <f>IF('исходные данные'!H141&gt;'минимумы и максимумы'!F$3,100,('исходные данные'!H141-'минимумы и максимумы'!F$2)/('минимумы и максимумы'!F$3-'минимумы и максимумы'!F$2)*100)</f>
        <v>4</v>
      </c>
      <c r="I141" s="1">
        <f>IF('исходные данные'!I141&gt;'минимумы и максимумы'!G$3,100,('исходные данные'!I141-'минимумы и максимумы'!G$2)/('минимумы и максимумы'!G$3-'минимумы и максимумы'!G$2)*100)</f>
        <v>16.981132075471699</v>
      </c>
      <c r="J141" s="1">
        <f>IF('исходные данные'!J141&gt;'минимумы и максимумы'!H$3,100,('исходные данные'!J141-'минимумы и максимумы'!H$2)/('минимумы и максимумы'!H$3-'минимумы и максимумы'!H$2)*100)</f>
        <v>0</v>
      </c>
      <c r="K141" s="1">
        <f>IF('исходные данные'!K141&gt;'минимумы и максимумы'!I$3,100,('исходные данные'!K141-'минимумы и максимумы'!I$2)/('минимумы и максимумы'!I$3-'минимумы и максимумы'!I$2)*100)</f>
        <v>27.777777777777779</v>
      </c>
      <c r="L141" s="1">
        <f>IF('исходные данные'!L141&gt;'минимумы и максимумы'!J$3,100,('исходные данные'!L141-'минимумы и максимумы'!J$2)/('минимумы и максимумы'!J$3-'минимумы и максимумы'!J$2)*100)</f>
        <v>0</v>
      </c>
      <c r="M141" s="1">
        <f>IF('исходные данные'!M141&gt;'минимумы и максимумы'!K$3,100,('исходные данные'!M141-'минимумы и максимумы'!K$2)/('минимумы и максимумы'!K$3-'минимумы и максимумы'!K$2)*100)</f>
        <v>6.4516129032258061</v>
      </c>
      <c r="N141" s="1">
        <f>IF('исходные данные'!N141&gt;'минимумы и максимумы'!L$3,100,('исходные данные'!N141-'минимумы и максимумы'!L$2)/('минимумы и максимумы'!L$3-'минимумы и максимумы'!L$2)*100)</f>
        <v>20.968596073594686</v>
      </c>
      <c r="O141" s="1">
        <f>IF('исходные данные'!O141&gt;'минимумы и максимумы'!M$3,100,('исходные данные'!O141-'минимумы и максимумы'!M$2)/('минимумы и максимумы'!M$3-'минимумы и максимумы'!M$2)*100)</f>
        <v>33.333333333333329</v>
      </c>
      <c r="P141" s="1">
        <f>IF('исходные данные'!P141&gt;'минимумы и максимумы'!N$3,100,('исходные данные'!P141-'минимумы и максимумы'!N$2)/('минимумы и максимумы'!N$3-'минимумы и максимумы'!N$2)*100)</f>
        <v>0</v>
      </c>
      <c r="Q141" s="1">
        <f>IF('исходные данные'!Q141&gt;'минимумы и максимумы'!O$3,100,('исходные данные'!Q141-'минимумы и максимумы'!O$2)/('минимумы и максимумы'!O$3-'минимумы и максимумы'!O$2)*100)</f>
        <v>100</v>
      </c>
      <c r="R141" s="1">
        <f>IF('исходные данные'!R141&gt;'минимумы и максимумы'!P$3,100,('исходные данные'!R141-'минимумы и максимумы'!P$2)/('минимумы и максимумы'!P$3-'минимумы и максимумы'!P$2)*100)</f>
        <v>75</v>
      </c>
      <c r="S141" s="1">
        <f>IF('исходные данные'!S141&gt;'минимумы и максимумы'!Q$3,100,('исходные данные'!S141-'минимумы и максимумы'!Q$2)/('минимумы и максимумы'!Q$3-'минимумы и максимумы'!Q$2)*100)</f>
        <v>50</v>
      </c>
      <c r="T141" s="1">
        <f>IF('исходные данные'!T141&gt;'минимумы и максимумы'!R$3,100,('исходные данные'!T141-'минимумы и максимумы'!R$2)/('минимумы и максимумы'!R$3-'минимумы и максимумы'!R$2)*100)</f>
        <v>23.58117025956885</v>
      </c>
      <c r="U141" s="1">
        <f>IF('исходные данные'!U141&gt;'минимумы и максимумы'!S$3,100,('исходные данные'!U141-'минимумы и максимумы'!S$2)/('минимумы и максимумы'!S$3-'минимумы и максимумы'!S$2)*100)</f>
        <v>0</v>
      </c>
    </row>
    <row r="142" spans="1:21" x14ac:dyDescent="0.45">
      <c r="A142" s="4">
        <v>209</v>
      </c>
      <c r="B142" s="4">
        <v>0</v>
      </c>
      <c r="C142" s="4">
        <v>0</v>
      </c>
      <c r="D142" s="1">
        <f>IF('исходные данные'!D142&gt;'минимумы и максимумы'!B$3,100,('исходные данные'!D142-'минимумы и максимумы'!B$2)/('минимумы и максимумы'!B$3-'минимумы и максимумы'!B$2)*100)</f>
        <v>0</v>
      </c>
      <c r="E142" s="1">
        <f>IF('исходные данные'!E142&gt;'минимумы и максимумы'!C$3,100,('исходные данные'!E142-'минимумы и максимумы'!C$2)/('минимумы и максимумы'!C$3-'минимумы и максимумы'!C$2)*100)</f>
        <v>80</v>
      </c>
      <c r="F142" s="1">
        <f>IF('исходные данные'!F142&gt;'минимумы и максимумы'!D$3,100,('исходные данные'!F142-'минимумы и максимумы'!D$2)/('минимумы и максимумы'!D$3-'минимумы и максимумы'!D$2)*100)</f>
        <v>0</v>
      </c>
      <c r="G142" s="1">
        <f>IF('исходные данные'!G142&gt;'минимумы и максимумы'!E$3,100,('исходные данные'!G142-'минимумы и максимумы'!E$2)/('минимумы и максимумы'!E$3-'минимумы и максимумы'!E$2)*100)</f>
        <v>95.833333333333343</v>
      </c>
      <c r="H142" s="1">
        <f>IF('исходные данные'!H142&gt;'минимумы и максимумы'!F$3,100,('исходные данные'!H142-'минимумы и максимумы'!F$2)/('минимумы и максимумы'!F$3-'минимумы и максимумы'!F$2)*100)</f>
        <v>80</v>
      </c>
      <c r="I142" s="1">
        <f>IF('исходные данные'!I142&gt;'минимумы и максимумы'!G$3,100,('исходные данные'!I142-'минимумы и максимумы'!G$2)/('минимумы и максимумы'!G$3-'минимумы и максимумы'!G$2)*100)</f>
        <v>98.113207547169807</v>
      </c>
      <c r="J142" s="1">
        <f>IF('исходные данные'!J142&gt;'минимумы и максимумы'!H$3,100,('исходные данные'!J142-'минимумы и максимумы'!H$2)/('минимумы и максимумы'!H$3-'минимумы и максимумы'!H$2)*100)</f>
        <v>6.666666666666667</v>
      </c>
      <c r="K142" s="1">
        <f>IF('исходные данные'!K142&gt;'минимумы и максимумы'!I$3,100,('исходные данные'!K142-'минимумы и максимумы'!I$2)/('минимумы и максимумы'!I$3-'минимумы и максимумы'!I$2)*100)</f>
        <v>22.222222222222221</v>
      </c>
      <c r="L142" s="1">
        <f>IF('исходные данные'!L142&gt;'минимумы и максимумы'!J$3,100,('исходные данные'!L142-'минимумы и максимумы'!J$2)/('минимумы и максимумы'!J$3-'минимумы и максимумы'!J$2)*100)</f>
        <v>20</v>
      </c>
      <c r="M142" s="1">
        <f>IF('исходные данные'!M142&gt;'минимумы и максимумы'!K$3,100,('исходные данные'!M142-'минимумы и максимумы'!K$2)/('минимумы и максимумы'!K$3-'минимумы и максимумы'!K$2)*100)</f>
        <v>9.67741935483871</v>
      </c>
      <c r="N142" s="1">
        <f>IF('исходные данные'!N142&gt;'минимумы и максимумы'!L$3,100,('исходные данные'!N142-'минимумы и максимумы'!L$2)/('минимумы и максимумы'!L$3-'минимумы и максимумы'!L$2)*100)</f>
        <v>19.606451610581001</v>
      </c>
      <c r="O142" s="1">
        <f>IF('исходные данные'!O142&gt;'минимумы и максимумы'!M$3,100,('исходные данные'!O142-'минимумы и максимумы'!M$2)/('минимумы и максимумы'!M$3-'минимумы и максимумы'!M$2)*100)</f>
        <v>0</v>
      </c>
      <c r="P142" s="1">
        <f>IF('исходные данные'!P142&gt;'минимумы и максимумы'!N$3,100,('исходные данные'!P142-'минимумы и максимумы'!N$2)/('минимумы и максимумы'!N$3-'минимумы и максимумы'!N$2)*100)</f>
        <v>100</v>
      </c>
      <c r="Q142" s="1">
        <f>IF('исходные данные'!Q142&gt;'минимумы и максимумы'!O$3,100,('исходные данные'!Q142-'минимумы и максимумы'!O$2)/('минимумы и максимумы'!O$3-'минимумы и максимумы'!O$2)*100)</f>
        <v>0</v>
      </c>
      <c r="R142" s="1">
        <f>IF('исходные данные'!R142&gt;'минимумы и максимумы'!P$3,100,('исходные данные'!R142-'минимумы и максимумы'!P$2)/('минимумы и максимумы'!P$3-'минимумы и максимумы'!P$2)*100)</f>
        <v>75</v>
      </c>
      <c r="S142" s="1">
        <f>IF('исходные данные'!S142&gt;'минимумы и максимумы'!Q$3,100,('исходные данные'!S142-'минимумы и максимумы'!Q$2)/('минимумы и максимумы'!Q$3-'минимумы и максимумы'!Q$2)*100)</f>
        <v>16.666666666666664</v>
      </c>
      <c r="T142" s="1">
        <f>IF('исходные данные'!T142&gt;'минимумы и максимумы'!R$3,100,('исходные данные'!T142-'минимумы и максимумы'!R$2)/('минимумы и максимумы'!R$3-'минимумы и максимумы'!R$2)*100)</f>
        <v>100</v>
      </c>
      <c r="U142" s="1">
        <f>IF('исходные данные'!U142&gt;'минимумы и максимумы'!S$3,100,('исходные данные'!U142-'минимумы и максимумы'!S$2)/('минимумы и максимумы'!S$3-'минимумы и максимумы'!S$2)*100)</f>
        <v>33.333333333333329</v>
      </c>
    </row>
    <row r="143" spans="1:21" x14ac:dyDescent="0.45">
      <c r="A143" s="4">
        <v>210</v>
      </c>
      <c r="B143" s="4">
        <v>0</v>
      </c>
      <c r="C143" s="4">
        <v>0</v>
      </c>
      <c r="D143" s="1">
        <f>IF('исходные данные'!D143&gt;'минимумы и максимумы'!B$3,100,('исходные данные'!D143-'минимумы и максимумы'!B$2)/('минимумы и максимумы'!B$3-'минимумы и максимумы'!B$2)*100)</f>
        <v>0</v>
      </c>
      <c r="E143" s="1">
        <f>IF('исходные данные'!E143&gt;'минимумы и максимумы'!C$3,100,('исходные данные'!E143-'минимумы и максимумы'!C$2)/('минимумы и максимумы'!C$3-'минимумы и максимумы'!C$2)*100)</f>
        <v>20</v>
      </c>
      <c r="F143" s="1">
        <f>IF('исходные данные'!F143&gt;'минимумы и максимумы'!D$3,100,('исходные данные'!F143-'минимумы и максимумы'!D$2)/('минимумы и максимумы'!D$3-'минимумы и максимумы'!D$2)*100)</f>
        <v>66.666666666666657</v>
      </c>
      <c r="G143" s="1">
        <f>IF('исходные данные'!G143&gt;'минимумы и максимумы'!E$3,100,('исходные данные'!G143-'минимумы и максимумы'!E$2)/('минимумы и максимумы'!E$3-'минимумы и максимумы'!E$2)*100)</f>
        <v>41.666666666666671</v>
      </c>
      <c r="H143" s="1">
        <f>IF('исходные данные'!H143&gt;'минимумы и максимумы'!F$3,100,('исходные данные'!H143-'минимумы и максимумы'!F$2)/('минимумы и максимумы'!F$3-'минимумы и максимумы'!F$2)*100)</f>
        <v>16</v>
      </c>
      <c r="I143" s="1">
        <f>IF('исходные данные'!I143&gt;'минимумы и максимумы'!G$3,100,('исходные данные'!I143-'минимумы и максимумы'!G$2)/('минимумы и максимумы'!G$3-'минимумы и максимумы'!G$2)*100)</f>
        <v>100</v>
      </c>
      <c r="J143" s="1">
        <f>IF('исходные данные'!J143&gt;'минимумы и максимумы'!H$3,100,('исходные данные'!J143-'минимумы и максимумы'!H$2)/('минимумы и максимумы'!H$3-'минимумы и максимумы'!H$2)*100)</f>
        <v>100</v>
      </c>
      <c r="K143" s="1">
        <f>IF('исходные данные'!K143&gt;'минимумы и максимумы'!I$3,100,('исходные данные'!K143-'минимумы и максимумы'!I$2)/('минимумы и максимумы'!I$3-'минимумы и максимумы'!I$2)*100)</f>
        <v>61.111111111111114</v>
      </c>
      <c r="L143" s="1">
        <f>IF('исходные данные'!L143&gt;'минимумы и максимумы'!J$3,100,('исходные данные'!L143-'минимумы и максимумы'!J$2)/('минимумы и максимумы'!J$3-'минимумы и максимумы'!J$2)*100)</f>
        <v>80</v>
      </c>
      <c r="M143" s="1">
        <f>IF('исходные данные'!M143&gt;'минимумы и максимумы'!K$3,100,('исходные данные'!M143-'минимумы и максимумы'!K$2)/('минимумы и максимумы'!K$3-'минимумы и максимумы'!K$2)*100)</f>
        <v>35.483870967741936</v>
      </c>
      <c r="N143" s="1">
        <f>IF('исходные данные'!N143&gt;'минимумы и максимумы'!L$3,100,('исходные данные'!N143-'минимумы и максимумы'!L$2)/('минимумы и максимумы'!L$3-'минимумы и максимумы'!L$2)*100)</f>
        <v>10.087306687144613</v>
      </c>
      <c r="O143" s="1">
        <f>IF('исходные данные'!O143&gt;'минимумы и максимумы'!M$3,100,('исходные данные'!O143-'минимумы и максимумы'!M$2)/('минимумы и максимумы'!M$3-'минимумы и максимумы'!M$2)*100)</f>
        <v>100</v>
      </c>
      <c r="P143" s="1">
        <f>IF('исходные данные'!P143&gt;'минимумы и максимумы'!N$3,100,('исходные данные'!P143-'минимумы и максимумы'!N$2)/('минимумы и максимумы'!N$3-'минимумы и максимумы'!N$2)*100)</f>
        <v>100</v>
      </c>
      <c r="Q143" s="1">
        <f>IF('исходные данные'!Q143&gt;'минимумы и максимумы'!O$3,100,('исходные данные'!Q143-'минимумы и максимумы'!O$2)/('минимумы и максимумы'!O$3-'минимумы и максимумы'!O$2)*100)</f>
        <v>100</v>
      </c>
      <c r="R143" s="1">
        <f>IF('исходные данные'!R143&gt;'минимумы и максимумы'!P$3,100,('исходные данные'!R143-'минимумы и максимумы'!P$2)/('минимумы и максимумы'!P$3-'минимумы и максимумы'!P$2)*100)</f>
        <v>75</v>
      </c>
      <c r="S143" s="1">
        <f>IF('исходные данные'!S143&gt;'минимумы и максимумы'!Q$3,100,('исходные данные'!S143-'минимумы и максимумы'!Q$2)/('минимумы и максимумы'!Q$3-'минимумы и максимумы'!Q$2)*100)</f>
        <v>83.333333333333343</v>
      </c>
      <c r="T143" s="1">
        <f>IF('исходные данные'!T143&gt;'минимумы и максимумы'!R$3,100,('исходные данные'!T143-'минимумы и максимумы'!R$2)/('минимумы и максимумы'!R$3-'минимумы и максимумы'!R$2)*100)</f>
        <v>100</v>
      </c>
      <c r="U143" s="1">
        <f>IF('исходные данные'!U143&gt;'минимумы и максимумы'!S$3,100,('исходные данные'!U143-'минимумы и максимумы'!S$2)/('минимумы и максимумы'!S$3-'минимумы и максимумы'!S$2)*100)</f>
        <v>66.666666666666657</v>
      </c>
    </row>
    <row r="144" spans="1:21" x14ac:dyDescent="0.45">
      <c r="A144" s="4">
        <v>211</v>
      </c>
      <c r="B144" s="4">
        <v>0</v>
      </c>
      <c r="C144" s="4">
        <v>0</v>
      </c>
      <c r="D144" s="1">
        <f>IF('исходные данные'!D144&gt;'минимумы и максимумы'!B$3,100,('исходные данные'!D144-'минимумы и максимумы'!B$2)/('минимумы и максимумы'!B$3-'минимумы и максимумы'!B$2)*100)</f>
        <v>0</v>
      </c>
      <c r="E144" s="1">
        <f>IF('исходные данные'!E144&gt;'минимумы и максимумы'!C$3,100,('исходные данные'!E144-'минимумы и максимумы'!C$2)/('минимумы и максимумы'!C$3-'минимумы и максимумы'!C$2)*100)</f>
        <v>20</v>
      </c>
      <c r="F144" s="1">
        <f>IF('исходные данные'!F144&gt;'минимумы и максимумы'!D$3,100,('исходные данные'!F144-'минимумы и максимумы'!D$2)/('минимумы и максимумы'!D$3-'минимумы и максимумы'!D$2)*100)</f>
        <v>66.666666666666657</v>
      </c>
      <c r="G144" s="1">
        <f>IF('исходные данные'!G144&gt;'минимумы и максимумы'!E$3,100,('исходные данные'!G144-'минимумы и максимумы'!E$2)/('минимумы и максимумы'!E$3-'минимумы и максимумы'!E$2)*100)</f>
        <v>41.666666666666671</v>
      </c>
      <c r="H144" s="1">
        <f>IF('исходные данные'!H144&gt;'минимумы и максимумы'!F$3,100,('исходные данные'!H144-'минимумы и максимумы'!F$2)/('минимумы и максимумы'!F$3-'минимумы и максимумы'!F$2)*100)</f>
        <v>16</v>
      </c>
      <c r="I144" s="1">
        <f>IF('исходные данные'!I144&gt;'минимумы и максимумы'!G$3,100,('исходные данные'!I144-'минимумы и максимумы'!G$2)/('минимумы и максимумы'!G$3-'минимумы и максимумы'!G$2)*100)</f>
        <v>100</v>
      </c>
      <c r="J144" s="1">
        <f>IF('исходные данные'!J144&gt;'минимумы и максимумы'!H$3,100,('исходные данные'!J144-'минимумы и максимумы'!H$2)/('минимумы и максимумы'!H$3-'минимумы и максимумы'!H$2)*100)</f>
        <v>100</v>
      </c>
      <c r="K144" s="1">
        <f>IF('исходные данные'!K144&gt;'минимумы и максимумы'!I$3,100,('исходные данные'!K144-'минимумы и максимумы'!I$2)/('минимумы и максимумы'!I$3-'минимумы и максимумы'!I$2)*100)</f>
        <v>61.111111111111114</v>
      </c>
      <c r="L144" s="1">
        <f>IF('исходные данные'!L144&gt;'минимумы и максимумы'!J$3,100,('исходные данные'!L144-'минимумы и максимумы'!J$2)/('минимумы и максимумы'!J$3-'минимумы и максимумы'!J$2)*100)</f>
        <v>80</v>
      </c>
      <c r="M144" s="1">
        <f>IF('исходные данные'!M144&gt;'минимумы и максимумы'!K$3,100,('исходные данные'!M144-'минимумы и максимумы'!K$2)/('минимумы и максимумы'!K$3-'минимумы и максимумы'!K$2)*100)</f>
        <v>35.483870967741936</v>
      </c>
      <c r="N144" s="1">
        <f>IF('исходные данные'!N144&gt;'минимумы и максимумы'!L$3,100,('исходные данные'!N144-'минимумы и максимумы'!L$2)/('минимумы и максимумы'!L$3-'минимумы и максимумы'!L$2)*100)</f>
        <v>9.4785391661857545</v>
      </c>
      <c r="O144" s="1">
        <f>IF('исходные данные'!O144&gt;'минимумы и максимумы'!M$3,100,('исходные данные'!O144-'минимумы и максимумы'!M$2)/('минимумы и максимумы'!M$3-'минимумы и максимумы'!M$2)*100)</f>
        <v>100</v>
      </c>
      <c r="P144" s="1">
        <f>IF('исходные данные'!P144&gt;'минимумы и максимумы'!N$3,100,('исходные данные'!P144-'минимумы и максимумы'!N$2)/('минимумы и максимумы'!N$3-'минимумы и максимумы'!N$2)*100)</f>
        <v>100</v>
      </c>
      <c r="Q144" s="1">
        <f>IF('исходные данные'!Q144&gt;'минимумы и максимумы'!O$3,100,('исходные данные'!Q144-'минимумы и максимумы'!O$2)/('минимумы и максимумы'!O$3-'минимумы и максимумы'!O$2)*100)</f>
        <v>100</v>
      </c>
      <c r="R144" s="1">
        <f>IF('исходные данные'!R144&gt;'минимумы и максимумы'!P$3,100,('исходные данные'!R144-'минимумы и максимумы'!P$2)/('минимумы и максимумы'!P$3-'минимумы и максимумы'!P$2)*100)</f>
        <v>75</v>
      </c>
      <c r="S144" s="1">
        <f>IF('исходные данные'!S144&gt;'минимумы и максимумы'!Q$3,100,('исходные данные'!S144-'минимумы и максимумы'!Q$2)/('минимумы и максимумы'!Q$3-'минимумы и максимумы'!Q$2)*100)</f>
        <v>50</v>
      </c>
      <c r="T144" s="1">
        <f>IF('исходные данные'!T144&gt;'минимумы и максимумы'!R$3,100,('исходные данные'!T144-'минимумы и максимумы'!R$2)/('минимумы и максимумы'!R$3-'минимумы и максимумы'!R$2)*100)</f>
        <v>68.367795864496259</v>
      </c>
      <c r="U144" s="1">
        <f>IF('исходные данные'!U144&gt;'минимумы и максимумы'!S$3,100,('исходные данные'!U144-'минимумы и максимумы'!S$2)/('минимумы и максимумы'!S$3-'минимумы и максимумы'!S$2)*100)</f>
        <v>0</v>
      </c>
    </row>
    <row r="145" spans="1:21" x14ac:dyDescent="0.45">
      <c r="A145" s="4">
        <v>213</v>
      </c>
      <c r="B145" s="4">
        <v>0</v>
      </c>
      <c r="C145" s="4">
        <v>0</v>
      </c>
      <c r="D145" s="1">
        <f>IF('исходные данные'!D145&gt;'минимумы и максимумы'!B$3,100,('исходные данные'!D145-'минимумы и максимумы'!B$2)/('минимумы и максимумы'!B$3-'минимумы и максимумы'!B$2)*100)</f>
        <v>100</v>
      </c>
      <c r="E145" s="1">
        <f>IF('исходные данные'!E145&gt;'минимумы и максимумы'!C$3,100,('исходные данные'!E145-'минимумы и максимумы'!C$2)/('минимумы и максимумы'!C$3-'минимумы и максимумы'!C$2)*100)</f>
        <v>60</v>
      </c>
      <c r="F145" s="1">
        <f>IF('исходные данные'!F145&gt;'минимумы и максимумы'!D$3,100,('исходные данные'!F145-'минимумы и максимумы'!D$2)/('минимумы и максимумы'!D$3-'минимумы и максимумы'!D$2)*100)</f>
        <v>66.666666666666657</v>
      </c>
      <c r="G145" s="1">
        <f>IF('исходные данные'!G145&gt;'минимумы и максимумы'!E$3,100,('исходные данные'!G145-'минимумы и максимумы'!E$2)/('минимумы и максимумы'!E$3-'минимумы и максимумы'!E$2)*100)</f>
        <v>62.5</v>
      </c>
      <c r="H145" s="1">
        <f>IF('исходные данные'!H145&gt;'минимумы и максимумы'!F$3,100,('исходные данные'!H145-'минимумы и максимумы'!F$2)/('минимумы и максимумы'!F$3-'минимумы и максимумы'!F$2)*100)</f>
        <v>48</v>
      </c>
      <c r="I145" s="1">
        <f>IF('исходные данные'!I145&gt;'минимумы и максимумы'!G$3,100,('исходные данные'!I145-'минимумы и максимумы'!G$2)/('минимумы и максимумы'!G$3-'минимумы и максимумы'!G$2)*100)</f>
        <v>94.339622641509436</v>
      </c>
      <c r="J145" s="1">
        <f>IF('исходные данные'!J145&gt;'минимумы и максимумы'!H$3,100,('исходные данные'!J145-'минимумы и максимумы'!H$2)/('минимумы и максимумы'!H$3-'минимумы и максимумы'!H$2)*100)</f>
        <v>100</v>
      </c>
      <c r="K145" s="1">
        <f>IF('исходные данные'!K145&gt;'минимумы и максимумы'!I$3,100,('исходные данные'!K145-'минимумы и максимумы'!I$2)/('минимумы и максимумы'!I$3-'минимумы и максимумы'!I$2)*100)</f>
        <v>16.666666666666664</v>
      </c>
      <c r="L145" s="1">
        <f>IF('исходные данные'!L145&gt;'минимумы и максимумы'!J$3,100,('исходные данные'!L145-'минимумы и максимумы'!J$2)/('минимумы и максимумы'!J$3-'минимумы и максимумы'!J$2)*100)</f>
        <v>80</v>
      </c>
      <c r="M145" s="1">
        <f>IF('исходные данные'!M145&gt;'минимумы и максимумы'!K$3,100,('исходные данные'!M145-'минимумы и максимумы'!K$2)/('минимумы и максимумы'!K$3-'минимумы и максимумы'!K$2)*100)</f>
        <v>29.032258064516132</v>
      </c>
      <c r="N145" s="1">
        <f>IF('исходные данные'!N145&gt;'минимумы и максимумы'!L$3,100,('исходные данные'!N145-'минимумы и максимумы'!L$2)/('минимумы и максимумы'!L$3-'минимумы и максимумы'!L$2)*100)</f>
        <v>10.114722725830379</v>
      </c>
      <c r="O145" s="1">
        <f>IF('исходные данные'!O145&gt;'минимумы и максимумы'!M$3,100,('исходные данные'!O145-'минимумы и максимумы'!M$2)/('минимумы и максимумы'!M$3-'минимумы и максимумы'!M$2)*100)</f>
        <v>66.666666666666657</v>
      </c>
      <c r="P145" s="1">
        <f>IF('исходные данные'!P145&gt;'минимумы и максимумы'!N$3,100,('исходные данные'!P145-'минимумы и максимумы'!N$2)/('минимумы и максимумы'!N$3-'минимумы и максимумы'!N$2)*100)</f>
        <v>0</v>
      </c>
      <c r="Q145" s="1">
        <f>IF('исходные данные'!Q145&gt;'минимумы и максимумы'!O$3,100,('исходные данные'!Q145-'минимумы и максимумы'!O$2)/('минимумы и максимумы'!O$3-'минимумы и максимумы'!O$2)*100)</f>
        <v>100</v>
      </c>
      <c r="R145" s="1">
        <f>IF('исходные данные'!R145&gt;'минимумы и максимумы'!P$3,100,('исходные данные'!R145-'минимумы и максимумы'!P$2)/('минимумы и максимумы'!P$3-'минимумы и максимумы'!P$2)*100)</f>
        <v>100</v>
      </c>
      <c r="S145" s="1">
        <f>IF('исходные данные'!S145&gt;'минимумы и максимумы'!Q$3,100,('исходные данные'!S145-'минимумы и максимумы'!Q$2)/('минимумы и максимумы'!Q$3-'минимумы и максимумы'!Q$2)*100)</f>
        <v>33.333333333333329</v>
      </c>
      <c r="T145" s="1">
        <f>IF('исходные данные'!T145&gt;'минимумы и максимумы'!R$3,100,('исходные данные'!T145-'минимумы и максимумы'!R$2)/('минимумы и максимумы'!R$3-'минимумы и максимумы'!R$2)*100)</f>
        <v>100</v>
      </c>
      <c r="U145" s="1">
        <f>IF('исходные данные'!U145&gt;'минимумы и максимумы'!S$3,100,('исходные данные'!U145-'минимумы и максимумы'!S$2)/('минимумы и максимумы'!S$3-'минимумы и максимумы'!S$2)*100)</f>
        <v>100</v>
      </c>
    </row>
    <row r="146" spans="1:21" x14ac:dyDescent="0.45">
      <c r="A146" s="4">
        <v>214</v>
      </c>
      <c r="B146" s="4">
        <v>0</v>
      </c>
      <c r="C146" s="4">
        <v>0</v>
      </c>
      <c r="D146" s="1">
        <f>IF('исходные данные'!D146&gt;'минимумы и максимумы'!B$3,100,('исходные данные'!D146-'минимумы и максимумы'!B$2)/('минимумы и максимумы'!B$3-'минимумы и максимумы'!B$2)*100)</f>
        <v>80</v>
      </c>
      <c r="E146" s="1">
        <f>IF('исходные данные'!E146&gt;'минимумы и максимумы'!C$3,100,('исходные данные'!E146-'минимумы и максимумы'!C$2)/('минимумы и максимумы'!C$3-'минимумы и максимумы'!C$2)*100)</f>
        <v>50</v>
      </c>
      <c r="F146" s="1">
        <f>IF('исходные данные'!F146&gt;'минимумы и максимумы'!D$3,100,('исходные данные'!F146-'минимумы и максимумы'!D$2)/('минимумы и максимумы'!D$3-'минимумы и максимумы'!D$2)*100)</f>
        <v>66.666666666666657</v>
      </c>
      <c r="G146" s="1">
        <f>IF('исходные данные'!G146&gt;'минимумы и максимумы'!E$3,100,('исходные данные'!G146-'минимумы и максимумы'!E$2)/('минимумы и максимумы'!E$3-'минимумы и максимумы'!E$2)*100)</f>
        <v>62.5</v>
      </c>
      <c r="H146" s="1">
        <f>IF('исходные данные'!H146&gt;'минимумы и максимумы'!F$3,100,('исходные данные'!H146-'минимумы и максимумы'!F$2)/('минимумы и максимумы'!F$3-'минимумы и максимумы'!F$2)*100)</f>
        <v>52</v>
      </c>
      <c r="I146" s="1">
        <f>IF('исходные данные'!I146&gt;'минимумы и максимумы'!G$3,100,('исходные данные'!I146-'минимумы и максимумы'!G$2)/('минимумы и максимумы'!G$3-'минимумы и максимумы'!G$2)*100)</f>
        <v>96.226415094339629</v>
      </c>
      <c r="J146" s="1">
        <f>IF('исходные данные'!J146&gt;'минимумы и максимумы'!H$3,100,('исходные данные'!J146-'минимумы и максимумы'!H$2)/('минимумы и максимумы'!H$3-'минимумы и максимумы'!H$2)*100)</f>
        <v>100</v>
      </c>
      <c r="K146" s="1">
        <f>IF('исходные данные'!K146&gt;'минимумы и максимумы'!I$3,100,('исходные данные'!K146-'минимумы и максимумы'!I$2)/('минимумы и максимумы'!I$3-'минимумы и максимумы'!I$2)*100)</f>
        <v>22.222222222222221</v>
      </c>
      <c r="L146" s="1">
        <f>IF('исходные данные'!L146&gt;'минимумы и максимумы'!J$3,100,('исходные данные'!L146-'минимумы и максимумы'!J$2)/('минимумы и максимумы'!J$3-'минимумы и максимумы'!J$2)*100)</f>
        <v>40</v>
      </c>
      <c r="M146" s="1">
        <f>IF('исходные данные'!M146&gt;'минимумы и максимумы'!K$3,100,('исходные данные'!M146-'минимумы и максимумы'!K$2)/('минимумы и максимумы'!K$3-'минимумы и максимумы'!K$2)*100)</f>
        <v>32.258064516129032</v>
      </c>
      <c r="N146" s="1">
        <f>IF('исходные данные'!N146&gt;'минимумы и максимумы'!L$3,100,('исходные данные'!N146-'минимумы и максимумы'!L$2)/('минимумы и максимумы'!L$3-'минимумы и максимумы'!L$2)*100)</f>
        <v>9.5170608655139528</v>
      </c>
      <c r="O146" s="1">
        <f>IF('исходные данные'!O146&gt;'минимумы и максимумы'!M$3,100,('исходные данные'!O146-'минимумы и максимумы'!M$2)/('минимумы и максимумы'!M$3-'минимумы и максимумы'!M$2)*100)</f>
        <v>66.666666666666657</v>
      </c>
      <c r="P146" s="1">
        <f>IF('исходные данные'!P146&gt;'минимумы и максимумы'!N$3,100,('исходные данные'!P146-'минимумы и максимумы'!N$2)/('минимумы и максимумы'!N$3-'минимумы и максимумы'!N$2)*100)</f>
        <v>0</v>
      </c>
      <c r="Q146" s="1">
        <f>IF('исходные данные'!Q146&gt;'минимумы и максимумы'!O$3,100,('исходные данные'!Q146-'минимумы и максимумы'!O$2)/('минимумы и максимумы'!O$3-'минимумы и максимумы'!O$2)*100)</f>
        <v>100</v>
      </c>
      <c r="R146" s="1">
        <f>IF('исходные данные'!R146&gt;'минимумы и максимумы'!P$3,100,('исходные данные'!R146-'минимумы и максимумы'!P$2)/('минимумы и максимумы'!P$3-'минимумы и максимумы'!P$2)*100)</f>
        <v>100</v>
      </c>
      <c r="S146" s="1">
        <f>IF('исходные данные'!S146&gt;'минимумы и максимумы'!Q$3,100,('исходные данные'!S146-'минимумы и максимумы'!Q$2)/('минимумы и максимумы'!Q$3-'минимумы и максимумы'!Q$2)*100)</f>
        <v>33.333333333333329</v>
      </c>
      <c r="T146" s="1">
        <f>IF('исходные данные'!T146&gt;'минимумы и максимумы'!R$3,100,('исходные данные'!T146-'минимумы и максимумы'!R$2)/('минимумы и максимумы'!R$3-'минимумы и максимумы'!R$2)*100)</f>
        <v>91.42102947646282</v>
      </c>
      <c r="U146" s="1">
        <f>IF('исходные данные'!U146&gt;'минимумы и максимумы'!S$3,100,('исходные данные'!U146-'минимумы и максимумы'!S$2)/('минимумы и максимумы'!S$3-'минимумы и максимумы'!S$2)*100)</f>
        <v>100</v>
      </c>
    </row>
    <row r="147" spans="1:21" x14ac:dyDescent="0.45">
      <c r="A147" s="4">
        <v>215</v>
      </c>
      <c r="B147" s="4">
        <v>0</v>
      </c>
      <c r="C147" s="4">
        <v>0</v>
      </c>
      <c r="D147" s="1">
        <f>IF('исходные данные'!D147&gt;'минимумы и максимумы'!B$3,100,('исходные данные'!D147-'минимумы и максимумы'!B$2)/('минимумы и максимумы'!B$3-'минимумы и максимумы'!B$2)*100)</f>
        <v>80</v>
      </c>
      <c r="E147" s="1">
        <f>IF('исходные данные'!E147&gt;'минимумы и максимумы'!C$3,100,('исходные данные'!E147-'минимумы и максимумы'!C$2)/('минимумы и максимумы'!C$3-'минимумы и максимумы'!C$2)*100)</f>
        <v>40</v>
      </c>
      <c r="F147" s="1">
        <f>IF('исходные данные'!F147&gt;'минимумы и максимумы'!D$3,100,('исходные данные'!F147-'минимумы и максимумы'!D$2)/('минимумы и максимумы'!D$3-'минимумы и максимумы'!D$2)*100)</f>
        <v>100</v>
      </c>
      <c r="G147" s="1">
        <f>IF('исходные данные'!G147&gt;'минимумы и максимумы'!E$3,100,('исходные данные'!G147-'минимумы и максимумы'!E$2)/('минимумы и максимумы'!E$3-'минимумы и максимумы'!E$2)*100)</f>
        <v>50</v>
      </c>
      <c r="H147" s="1">
        <f>IF('исходные данные'!H147&gt;'минимумы и максимумы'!F$3,100,('исходные данные'!H147-'минимумы и максимумы'!F$2)/('минимумы и максимумы'!F$3-'минимумы и максимумы'!F$2)*100)</f>
        <v>48</v>
      </c>
      <c r="I147" s="1">
        <f>IF('исходные данные'!I147&gt;'минимумы и максимумы'!G$3,100,('исходные данные'!I147-'минимумы и максимумы'!G$2)/('минимумы и максимумы'!G$3-'минимумы и максимумы'!G$2)*100)</f>
        <v>73.584905660377359</v>
      </c>
      <c r="J147" s="1">
        <f>IF('исходные данные'!J147&gt;'минимумы и максимумы'!H$3,100,('исходные данные'!J147-'минимумы и максимумы'!H$2)/('минимумы и максимумы'!H$3-'минимумы и максимумы'!H$2)*100)</f>
        <v>100</v>
      </c>
      <c r="K147" s="1">
        <f>IF('исходные данные'!K147&gt;'минимумы и максимумы'!I$3,100,('исходные данные'!K147-'минимумы и максимумы'!I$2)/('минимумы и максимумы'!I$3-'минимумы и максимумы'!I$2)*100)</f>
        <v>16.666666666666664</v>
      </c>
      <c r="L147" s="1">
        <f>IF('исходные данные'!L147&gt;'минимумы и максимумы'!J$3,100,('исходные данные'!L147-'минимумы и максимумы'!J$2)/('минимумы и максимумы'!J$3-'минимумы и максимумы'!J$2)*100)</f>
        <v>100</v>
      </c>
      <c r="M147" s="1">
        <f>IF('исходные данные'!M147&gt;'минимумы и максимумы'!K$3,100,('исходные данные'!M147-'минимумы и максимумы'!K$2)/('минимумы и максимумы'!K$3-'минимумы и максимумы'!K$2)*100)</f>
        <v>64.516129032258064</v>
      </c>
      <c r="N147" s="1">
        <f>IF('исходные данные'!N147&gt;'минимумы и максимумы'!L$3,100,('исходные данные'!N147-'минимумы и максимумы'!L$2)/('минимумы и максимумы'!L$3-'минимумы и максимумы'!L$2)*100)</f>
        <v>10.931122604164271</v>
      </c>
      <c r="O147" s="1">
        <f>IF('исходные данные'!O147&gt;'минимумы и максимумы'!M$3,100,('исходные данные'!O147-'минимумы и максимумы'!M$2)/('минимумы и максимумы'!M$3-'минимумы и максимумы'!M$2)*100)</f>
        <v>100</v>
      </c>
      <c r="P147" s="1">
        <f>IF('исходные данные'!P147&gt;'минимумы и максимумы'!N$3,100,('исходные данные'!P147-'минимумы и максимумы'!N$2)/('минимумы и максимумы'!N$3-'минимумы и максимумы'!N$2)*100)</f>
        <v>100</v>
      </c>
      <c r="Q147" s="1">
        <f>IF('исходные данные'!Q147&gt;'минимумы и максимумы'!O$3,100,('исходные данные'!Q147-'минимумы и максимумы'!O$2)/('минимумы и максимумы'!O$3-'минимумы и максимумы'!O$2)*100)</f>
        <v>100</v>
      </c>
      <c r="R147" s="1">
        <f>IF('исходные данные'!R147&gt;'минимумы и максимумы'!P$3,100,('исходные данные'!R147-'минимумы и максимумы'!P$2)/('минимумы и максимумы'!P$3-'минимумы и максимумы'!P$2)*100)</f>
        <v>75</v>
      </c>
      <c r="S147" s="1">
        <f>IF('исходные данные'!S147&gt;'минимумы и максимумы'!Q$3,100,('исходные данные'!S147-'минимумы и максимумы'!Q$2)/('минимумы и максимумы'!Q$3-'минимумы и максимумы'!Q$2)*100)</f>
        <v>33.333333333333329</v>
      </c>
      <c r="T147" s="1">
        <f>IF('исходные данные'!T147&gt;'минимумы и максимумы'!R$3,100,('исходные данные'!T147-'минимумы и максимумы'!R$2)/('минимумы и максимумы'!R$3-'минимумы и максимумы'!R$2)*100)</f>
        <v>48.438187417509901</v>
      </c>
      <c r="U147" s="1">
        <f>IF('исходные данные'!U147&gt;'минимумы и максимумы'!S$3,100,('исходные данные'!U147-'минимумы и максимумы'!S$2)/('минимумы и максимумы'!S$3-'минимумы и максимумы'!S$2)*100)</f>
        <v>0</v>
      </c>
    </row>
    <row r="148" spans="1:21" x14ac:dyDescent="0.45">
      <c r="A148" s="4">
        <v>216</v>
      </c>
      <c r="B148" s="4">
        <v>1</v>
      </c>
      <c r="C148" s="4">
        <v>0</v>
      </c>
      <c r="D148" s="1">
        <f>IF('исходные данные'!D148&gt;'минимумы и максимумы'!B$3,100,('исходные данные'!D148-'минимумы и максимумы'!B$2)/('минимумы и максимумы'!B$3-'минимумы и максимумы'!B$2)*100)</f>
        <v>60</v>
      </c>
      <c r="E148" s="1">
        <f>IF('исходные данные'!E148&gt;'минимумы и максимумы'!C$3,100,('исходные данные'!E148-'минимумы и максимумы'!C$2)/('минимумы и максимумы'!C$3-'минимумы и максимумы'!C$2)*100)</f>
        <v>20</v>
      </c>
      <c r="F148" s="1">
        <f>IF('исходные данные'!F148&gt;'минимумы и максимумы'!D$3,100,('исходные данные'!F148-'минимумы и максимумы'!D$2)/('минимумы и максимумы'!D$3-'минимумы и максимумы'!D$2)*100)</f>
        <v>0</v>
      </c>
      <c r="G148" s="1">
        <f>IF('исходные данные'!G148&gt;'минимумы и максимумы'!E$3,100,('исходные данные'!G148-'минимумы и максимумы'!E$2)/('минимумы и максимумы'!E$3-'минимумы и максимумы'!E$2)*100)</f>
        <v>41.666666666666671</v>
      </c>
      <c r="H148" s="1">
        <f>IF('исходные данные'!H148&gt;'минимумы и максимумы'!F$3,100,('исходные данные'!H148-'минимумы и максимумы'!F$2)/('минимумы и максимумы'!F$3-'минимумы и максимумы'!F$2)*100)</f>
        <v>40</v>
      </c>
      <c r="I148" s="1">
        <f>IF('исходные данные'!I148&gt;'минимумы и максимумы'!G$3,100,('исходные данные'!I148-'минимумы и максимумы'!G$2)/('минимумы и максимумы'!G$3-'минимумы и максимумы'!G$2)*100)</f>
        <v>35.849056603773583</v>
      </c>
      <c r="J148" s="1">
        <f>IF('исходные данные'!J148&gt;'минимумы и максимумы'!H$3,100,('исходные данные'!J148-'минимумы и максимумы'!H$2)/('минимумы и максимумы'!H$3-'минимумы и максимумы'!H$2)*100)</f>
        <v>46.666666666666664</v>
      </c>
      <c r="K148" s="1">
        <f>IF('исходные данные'!K148&gt;'минимумы и максимумы'!I$3,100,('исходные данные'!K148-'минимумы и максимумы'!I$2)/('минимумы и максимумы'!I$3-'минимумы и максимумы'!I$2)*100)</f>
        <v>22.222222222222221</v>
      </c>
      <c r="L148" s="1">
        <f>IF('исходные данные'!L148&gt;'минимумы и максимумы'!J$3,100,('исходные данные'!L148-'минимумы и максимумы'!J$2)/('минимумы и максимумы'!J$3-'минимумы и максимумы'!J$2)*100)</f>
        <v>40</v>
      </c>
      <c r="M148" s="1">
        <f>IF('исходные данные'!M148&gt;'минимумы и максимумы'!K$3,100,('исходные данные'!M148-'минимумы и максимумы'!K$2)/('минимумы и максимумы'!K$3-'минимумы и максимумы'!K$2)*100)</f>
        <v>12.903225806451612</v>
      </c>
      <c r="N148" s="1">
        <f>IF('исходные данные'!N148&gt;'минимумы и максимумы'!L$3,100,('исходные данные'!N148-'минимумы и максимумы'!L$2)/('минимумы и максимумы'!L$3-'минимумы и максимумы'!L$2)*100)</f>
        <v>13.46490647469995</v>
      </c>
      <c r="O148" s="1">
        <f>IF('исходные данные'!O148&gt;'минимумы и максимумы'!M$3,100,('исходные данные'!O148-'минимумы и максимумы'!M$2)/('минимумы и максимумы'!M$3-'минимумы и максимумы'!M$2)*100)</f>
        <v>0</v>
      </c>
      <c r="P148" s="1">
        <f>IF('исходные данные'!P148&gt;'минимумы и максимумы'!N$3,100,('исходные данные'!P148-'минимумы и максимумы'!N$2)/('минимумы и максимумы'!N$3-'минимумы и максимумы'!N$2)*100)</f>
        <v>0</v>
      </c>
      <c r="Q148" s="1">
        <f>IF('исходные данные'!Q148&gt;'минимумы и максимумы'!O$3,100,('исходные данные'!Q148-'минимумы и максимумы'!O$2)/('минимумы и максимумы'!O$3-'минимумы и максимумы'!O$2)*100)</f>
        <v>100</v>
      </c>
      <c r="R148" s="1">
        <f>IF('исходные данные'!R148&gt;'минимумы и максимумы'!P$3,100,('исходные данные'!R148-'минимумы и максимумы'!P$2)/('минимумы и максимумы'!P$3-'минимумы и максимумы'!P$2)*100)</f>
        <v>100</v>
      </c>
      <c r="S148" s="1">
        <f>IF('исходные данные'!S148&gt;'минимумы и максимумы'!Q$3,100,('исходные данные'!S148-'минимумы и максимумы'!Q$2)/('минимумы и максимумы'!Q$3-'минимумы и максимумы'!Q$2)*100)</f>
        <v>16.666666666666664</v>
      </c>
      <c r="T148" s="1">
        <f>IF('исходные данные'!T148&gt;'минимумы и максимумы'!R$3,100,('исходные данные'!T148-'минимумы и максимумы'!R$2)/('минимумы и максимумы'!R$3-'минимумы и максимумы'!R$2)*100)</f>
        <v>20.413550373955125</v>
      </c>
      <c r="U148" s="1">
        <f>IF('исходные данные'!U148&gt;'минимумы и максимумы'!S$3,100,('исходные данные'!U148-'минимумы и максимумы'!S$2)/('минимумы и максимумы'!S$3-'минимумы и максимумы'!S$2)*100)</f>
        <v>0</v>
      </c>
    </row>
    <row r="149" spans="1:21" x14ac:dyDescent="0.45">
      <c r="A149" s="4">
        <v>217</v>
      </c>
      <c r="B149" s="4">
        <v>0</v>
      </c>
      <c r="C149" s="4">
        <v>0</v>
      </c>
      <c r="D149" s="1">
        <f>IF('исходные данные'!D149&gt;'минимумы и максимумы'!B$3,100,('исходные данные'!D149-'минимумы и максимумы'!B$2)/('минимумы и максимумы'!B$3-'минимумы и максимумы'!B$2)*100)</f>
        <v>100</v>
      </c>
      <c r="E149" s="1">
        <f>IF('исходные данные'!E149&gt;'минимумы и максимумы'!C$3,100,('исходные данные'!E149-'минимумы и максимумы'!C$2)/('минимумы и максимумы'!C$3-'минимумы и максимумы'!C$2)*100)</f>
        <v>60</v>
      </c>
      <c r="F149" s="1">
        <f>IF('исходные данные'!F149&gt;'минимумы и максимумы'!D$3,100,('исходные данные'!F149-'минимумы и максимумы'!D$2)/('минимумы и максимумы'!D$3-'минимумы и максимумы'!D$2)*100)</f>
        <v>33.333333333333329</v>
      </c>
      <c r="G149" s="1">
        <f>IF('исходные данные'!G149&gt;'минимумы и максимумы'!E$3,100,('исходные данные'!G149-'минимумы и максимумы'!E$2)/('минимумы и максимумы'!E$3-'минимумы и максимумы'!E$2)*100)</f>
        <v>66.666666666666657</v>
      </c>
      <c r="H149" s="1">
        <f>IF('исходные данные'!H149&gt;'минимумы и максимумы'!F$3,100,('исходные данные'!H149-'минимумы и максимумы'!F$2)/('минимумы и максимумы'!F$3-'минимумы и максимумы'!F$2)*100)</f>
        <v>48</v>
      </c>
      <c r="I149" s="1">
        <f>IF('исходные данные'!I149&gt;'минимумы и максимумы'!G$3,100,('исходные данные'!I149-'минимумы и максимумы'!G$2)/('минимумы и максимумы'!G$3-'минимумы и максимумы'!G$2)*100)</f>
        <v>50.943396226415096</v>
      </c>
      <c r="J149" s="1">
        <f>IF('исходные данные'!J149&gt;'минимумы и максимумы'!H$3,100,('исходные данные'!J149-'минимумы и максимумы'!H$2)/('минимумы и максимумы'!H$3-'минимумы и максимумы'!H$2)*100)</f>
        <v>40</v>
      </c>
      <c r="K149" s="1">
        <f>IF('исходные данные'!K149&gt;'минимумы и максимумы'!I$3,100,('исходные данные'!K149-'минимумы и максимумы'!I$2)/('минимумы и максимумы'!I$3-'минимумы и максимумы'!I$2)*100)</f>
        <v>11.111111111111111</v>
      </c>
      <c r="L149" s="1">
        <f>IF('исходные данные'!L149&gt;'минимумы и максимумы'!J$3,100,('исходные данные'!L149-'минимумы и максимумы'!J$2)/('минимумы и максимумы'!J$3-'минимумы и максимумы'!J$2)*100)</f>
        <v>20</v>
      </c>
      <c r="M149" s="1">
        <f>IF('исходные данные'!M149&gt;'минимумы и максимумы'!K$3,100,('исходные данные'!M149-'минимумы и максимумы'!K$2)/('минимумы и максимумы'!K$3-'минимумы и максимумы'!K$2)*100)</f>
        <v>29.032258064516132</v>
      </c>
      <c r="N149" s="1">
        <f>IF('исходные данные'!N149&gt;'минимумы и максимумы'!L$3,100,('исходные данные'!N149-'минимумы и максимумы'!L$2)/('минимумы и максимумы'!L$3-'минимумы и максимумы'!L$2)*100)</f>
        <v>14.987480058995059</v>
      </c>
      <c r="O149" s="1">
        <f>IF('исходные данные'!O149&gt;'минимумы и максимумы'!M$3,100,('исходные данные'!O149-'минимумы и максимумы'!M$2)/('минимумы и максимумы'!M$3-'минимумы и максимумы'!M$2)*100)</f>
        <v>33.333333333333329</v>
      </c>
      <c r="P149" s="1">
        <f>IF('исходные данные'!P149&gt;'минимумы и максимумы'!N$3,100,('исходные данные'!P149-'минимумы и максимумы'!N$2)/('минимумы и максимумы'!N$3-'минимумы и максимумы'!N$2)*100)</f>
        <v>0</v>
      </c>
      <c r="Q149" s="1">
        <f>IF('исходные данные'!Q149&gt;'минимумы и максимумы'!O$3,100,('исходные данные'!Q149-'минимумы и максимумы'!O$2)/('минимумы и максимумы'!O$3-'минимумы и максимумы'!O$2)*100)</f>
        <v>100</v>
      </c>
      <c r="R149" s="1">
        <f>IF('исходные данные'!R149&gt;'минимумы и максимумы'!P$3,100,('исходные данные'!R149-'минимумы и максимумы'!P$2)/('минимумы и максимумы'!P$3-'минимумы и максимумы'!P$2)*100)</f>
        <v>100</v>
      </c>
      <c r="S149" s="1">
        <f>IF('исходные данные'!S149&gt;'минимумы и максимумы'!Q$3,100,('исходные данные'!S149-'минимумы и максимумы'!Q$2)/('минимумы и максимумы'!Q$3-'минимумы и максимумы'!Q$2)*100)</f>
        <v>66.666666666666657</v>
      </c>
      <c r="T149" s="1">
        <f>IF('исходные данные'!T149&gt;'минимумы и максимумы'!R$3,100,('исходные данные'!T149-'минимумы и максимумы'!R$2)/('минимумы и максимумы'!R$3-'минимумы и максимумы'!R$2)*100)</f>
        <v>21.205455345358555</v>
      </c>
      <c r="U149" s="1">
        <f>IF('исходные данные'!U149&gt;'минимумы и максимумы'!S$3,100,('исходные данные'!U149-'минимумы и максимумы'!S$2)/('минимумы и максимумы'!S$3-'минимумы и максимумы'!S$2)*100)</f>
        <v>0</v>
      </c>
    </row>
    <row r="150" spans="1:21" x14ac:dyDescent="0.45">
      <c r="A150" s="4">
        <v>218</v>
      </c>
      <c r="B150" s="4">
        <v>0</v>
      </c>
      <c r="C150" s="4">
        <v>1</v>
      </c>
      <c r="D150" s="1">
        <f>IF('исходные данные'!D150&gt;'минимумы и максимумы'!B$3,100,('исходные данные'!D150-'минимумы и максимумы'!B$2)/('минимумы и максимумы'!B$3-'минимумы и максимумы'!B$2)*100)</f>
        <v>40</v>
      </c>
      <c r="E150" s="1">
        <f>IF('исходные данные'!E150&gt;'минимумы и максимумы'!C$3,100,('исходные данные'!E150-'минимумы и максимумы'!C$2)/('минимумы и максимумы'!C$3-'минимумы и максимумы'!C$2)*100)</f>
        <v>20</v>
      </c>
      <c r="F150" s="1">
        <f>IF('исходные данные'!F150&gt;'минимумы и максимумы'!D$3,100,('исходные данные'!F150-'минимумы и максимумы'!D$2)/('минимумы и максимумы'!D$3-'минимумы и максимумы'!D$2)*100)</f>
        <v>100</v>
      </c>
      <c r="G150" s="1">
        <f>IF('исходные данные'!G150&gt;'минимумы и максимумы'!E$3,100,('исходные данные'!G150-'минимумы и максимумы'!E$2)/('минимумы и максимумы'!E$3-'минимумы и максимумы'!E$2)*100)</f>
        <v>37.5</v>
      </c>
      <c r="H150" s="1">
        <f>IF('исходные данные'!H150&gt;'минимумы и максимумы'!F$3,100,('исходные данные'!H150-'минимумы и максимумы'!F$2)/('минимумы и максимумы'!F$3-'минимумы и максимумы'!F$2)*100)</f>
        <v>16</v>
      </c>
      <c r="I150" s="1">
        <f>IF('исходные данные'!I150&gt;'минимумы и максимумы'!G$3,100,('исходные данные'!I150-'минимумы и максимумы'!G$2)/('минимумы и максимумы'!G$3-'минимумы и максимумы'!G$2)*100)</f>
        <v>26.415094339622641</v>
      </c>
      <c r="J150" s="1">
        <f>IF('исходные данные'!J150&gt;'минимумы и максимумы'!H$3,100,('исходные данные'!J150-'минимумы и максимумы'!H$2)/('минимумы и максимумы'!H$3-'минимумы и максимумы'!H$2)*100)</f>
        <v>13.333333333333334</v>
      </c>
      <c r="K150" s="1">
        <f>IF('исходные данные'!K150&gt;'минимумы и максимумы'!I$3,100,('исходные данные'!K150-'минимумы и максимумы'!I$2)/('минимумы и максимумы'!I$3-'минимумы и максимумы'!I$2)*100)</f>
        <v>50</v>
      </c>
      <c r="L150" s="1">
        <f>IF('исходные данные'!L150&gt;'минимумы и максимумы'!J$3,100,('исходные данные'!L150-'минимумы и максимумы'!J$2)/('минимумы и максимумы'!J$3-'минимумы и максимумы'!J$2)*100)</f>
        <v>20</v>
      </c>
      <c r="M150" s="1">
        <f>IF('исходные данные'!M150&gt;'минимумы и максимумы'!K$3,100,('исходные данные'!M150-'минимумы и максимумы'!K$2)/('минимумы и максимумы'!K$3-'минимумы и максимумы'!K$2)*100)</f>
        <v>41.935483870967744</v>
      </c>
      <c r="N150" s="1">
        <f>IF('исходные данные'!N150&gt;'минимумы и максимумы'!L$3,100,('исходные данные'!N150-'минимумы и максимумы'!L$2)/('минимумы и максимумы'!L$3-'минимумы и максимумы'!L$2)*100)</f>
        <v>16.022127536956635</v>
      </c>
      <c r="O150" s="1">
        <f>IF('исходные данные'!O150&gt;'минимумы и максимумы'!M$3,100,('исходные данные'!O150-'минимумы и максимумы'!M$2)/('минимумы и максимумы'!M$3-'минимумы и максимумы'!M$2)*100)</f>
        <v>100</v>
      </c>
      <c r="P150" s="1">
        <f>IF('исходные данные'!P150&gt;'минимумы и максимумы'!N$3,100,('исходные данные'!P150-'минимумы и максимумы'!N$2)/('минимумы и максимумы'!N$3-'минимумы и максимумы'!N$2)*100)</f>
        <v>0</v>
      </c>
      <c r="Q150" s="1">
        <f>IF('исходные данные'!Q150&gt;'минимумы и максимумы'!O$3,100,('исходные данные'!Q150-'минимумы и максимумы'!O$2)/('минимумы и максимумы'!O$3-'минимумы и максимумы'!O$2)*100)</f>
        <v>100</v>
      </c>
      <c r="R150" s="1">
        <f>IF('исходные данные'!R150&gt;'минимумы и максимумы'!P$3,100,('исходные данные'!R150-'минимумы и максимумы'!P$2)/('минимумы и максимумы'!P$3-'минимумы и максимумы'!P$2)*100)</f>
        <v>75</v>
      </c>
      <c r="S150" s="1">
        <f>IF('исходные данные'!S150&gt;'минимумы и максимумы'!Q$3,100,('исходные данные'!S150-'минимумы и максимумы'!Q$2)/('минимумы и максимумы'!Q$3-'минимумы и максимумы'!Q$2)*100)</f>
        <v>83.333333333333343</v>
      </c>
      <c r="T150" s="1">
        <f>IF('исходные данные'!T150&gt;'минимумы и максимумы'!R$3,100,('исходные данные'!T150-'минимумы и максимумы'!R$2)/('минимумы и максимумы'!R$3-'минимумы и максимумы'!R$2)*100)</f>
        <v>53.805543334799822</v>
      </c>
      <c r="U150" s="1">
        <f>IF('исходные данные'!U150&gt;'минимумы и максимумы'!S$3,100,('исходные данные'!U150-'минимумы и максимумы'!S$2)/('минимумы и максимумы'!S$3-'минимумы и максимумы'!S$2)*100)</f>
        <v>0</v>
      </c>
    </row>
    <row r="151" spans="1:21" x14ac:dyDescent="0.45">
      <c r="A151" s="4">
        <v>219</v>
      </c>
      <c r="B151" s="4">
        <v>0</v>
      </c>
      <c r="C151" s="4">
        <v>0</v>
      </c>
      <c r="D151" s="1">
        <f>IF('исходные данные'!D151&gt;'минимумы и максимумы'!B$3,100,('исходные данные'!D151-'минимумы и максимумы'!B$2)/('минимумы и максимумы'!B$3-'минимумы и максимумы'!B$2)*100)</f>
        <v>40</v>
      </c>
      <c r="E151" s="1">
        <f>IF('исходные данные'!E151&gt;'минимумы и максимумы'!C$3,100,('исходные данные'!E151-'минимумы и максимумы'!C$2)/('минимумы и максимумы'!C$3-'минимумы и максимумы'!C$2)*100)</f>
        <v>0</v>
      </c>
      <c r="F151" s="1">
        <f>IF('исходные данные'!F151&gt;'минимумы и максимумы'!D$3,100,('исходные данные'!F151-'минимумы и максимумы'!D$2)/('минимумы и максимумы'!D$3-'минимумы и максимумы'!D$2)*100)</f>
        <v>33.333333333333329</v>
      </c>
      <c r="G151" s="1">
        <f>IF('исходные данные'!G151&gt;'минимумы и максимумы'!E$3,100,('исходные данные'!G151-'минимумы и максимумы'!E$2)/('минимумы и максимумы'!E$3-'минимумы и максимумы'!E$2)*100)</f>
        <v>25</v>
      </c>
      <c r="H151" s="1">
        <f>IF('исходные данные'!H151&gt;'минимумы и максимумы'!F$3,100,('исходные данные'!H151-'минимумы и максимумы'!F$2)/('минимумы и максимумы'!F$3-'минимумы и максимумы'!F$2)*100)</f>
        <v>8</v>
      </c>
      <c r="I151" s="1">
        <f>IF('исходные данные'!I151&gt;'минимумы и максимумы'!G$3,100,('исходные данные'!I151-'минимумы и максимумы'!G$2)/('минимумы и максимумы'!G$3-'минимумы и максимумы'!G$2)*100)</f>
        <v>11.320754716981133</v>
      </c>
      <c r="J151" s="1">
        <f>IF('исходные данные'!J151&gt;'минимумы и максимумы'!H$3,100,('исходные данные'!J151-'минимумы и максимумы'!H$2)/('минимумы и максимумы'!H$3-'минимумы и максимумы'!H$2)*100)</f>
        <v>13.333333333333334</v>
      </c>
      <c r="K151" s="1">
        <f>IF('исходные данные'!K151&gt;'минимумы и максимумы'!I$3,100,('исходные данные'!K151-'минимумы и максимумы'!I$2)/('минимумы и максимумы'!I$3-'минимумы и максимумы'!I$2)*100)</f>
        <v>38.888888888888893</v>
      </c>
      <c r="L151" s="1">
        <f>IF('исходные данные'!L151&gt;'минимумы и максимумы'!J$3,100,('исходные данные'!L151-'минимумы и максимумы'!J$2)/('минимумы и максимумы'!J$3-'минимумы и максимумы'!J$2)*100)</f>
        <v>0</v>
      </c>
      <c r="M151" s="1">
        <f>IF('исходные данные'!M151&gt;'минимумы и максимумы'!K$3,100,('исходные данные'!M151-'минимумы и максимумы'!K$2)/('минимумы и максимумы'!K$3-'минимумы и максимумы'!K$2)*100)</f>
        <v>16.129032258064516</v>
      </c>
      <c r="N151" s="1">
        <f>IF('исходные данные'!N151&gt;'минимумы и максимумы'!L$3,100,('исходные данные'!N151-'минимумы и максимумы'!L$2)/('минимумы и максимумы'!L$3-'минимумы и максимумы'!L$2)*100)</f>
        <v>17.321437301310887</v>
      </c>
      <c r="O151" s="1">
        <f>IF('исходные данные'!O151&gt;'минимумы и максимумы'!M$3,100,('исходные данные'!O151-'минимумы и максимумы'!M$2)/('минимумы и максимумы'!M$3-'минимумы и максимумы'!M$2)*100)</f>
        <v>100</v>
      </c>
      <c r="P151" s="1">
        <f>IF('исходные данные'!P151&gt;'минимумы и максимумы'!N$3,100,('исходные данные'!P151-'минимумы и максимумы'!N$2)/('минимумы и максимумы'!N$3-'минимумы и максимумы'!N$2)*100)</f>
        <v>100</v>
      </c>
      <c r="Q151" s="1">
        <f>IF('исходные данные'!Q151&gt;'минимумы и максимумы'!O$3,100,('исходные данные'!Q151-'минимумы и максимумы'!O$2)/('минимумы и максимумы'!O$3-'минимумы и максимумы'!O$2)*100)</f>
        <v>100</v>
      </c>
      <c r="R151" s="1">
        <f>IF('исходные данные'!R151&gt;'минимумы и максимумы'!P$3,100,('исходные данные'!R151-'минимумы и максимумы'!P$2)/('минимумы и максимумы'!P$3-'минимумы и максимумы'!P$2)*100)</f>
        <v>75</v>
      </c>
      <c r="S151" s="1">
        <f>IF('исходные данные'!S151&gt;'минимумы и максимумы'!Q$3,100,('исходные данные'!S151-'минимумы и максимумы'!Q$2)/('минимумы и максимумы'!Q$3-'минимумы и максимумы'!Q$2)*100)</f>
        <v>50</v>
      </c>
      <c r="T151" s="1">
        <f>IF('исходные данные'!T151&gt;'минимумы и максимумы'!R$3,100,('исходные данные'!T151-'минимумы и максимумы'!R$2)/('минимумы и максимумы'!R$3-'минимумы и максимумы'!R$2)*100)</f>
        <v>96.788385393752748</v>
      </c>
      <c r="U151" s="1">
        <f>IF('исходные данные'!U151&gt;'минимумы и максимумы'!S$3,100,('исходные данные'!U151-'минимумы и максимумы'!S$2)/('минимумы и максимумы'!S$3-'минимумы и максимумы'!S$2)*100)</f>
        <v>100</v>
      </c>
    </row>
    <row r="152" spans="1:21" x14ac:dyDescent="0.45">
      <c r="A152" s="4">
        <v>220</v>
      </c>
      <c r="B152" s="4">
        <v>0</v>
      </c>
      <c r="C152" s="4">
        <v>0</v>
      </c>
      <c r="D152" s="1">
        <f>IF('исходные данные'!D152&gt;'минимумы и максимумы'!B$3,100,('исходные данные'!D152-'минимумы и максимумы'!B$2)/('минимумы и максимумы'!B$3-'минимумы и максимумы'!B$2)*100)</f>
        <v>60</v>
      </c>
      <c r="E152" s="1">
        <f>IF('исходные данные'!E152&gt;'минимумы и максимумы'!C$3,100,('исходные данные'!E152-'минимумы и максимумы'!C$2)/('минимумы и максимумы'!C$3-'минимумы и максимумы'!C$2)*100)</f>
        <v>20</v>
      </c>
      <c r="F152" s="1">
        <f>IF('исходные данные'!F152&gt;'минимумы и максимумы'!D$3,100,('исходные данные'!F152-'минимумы и максимумы'!D$2)/('минимумы и максимумы'!D$3-'минимумы и максимумы'!D$2)*100)</f>
        <v>33.333333333333329</v>
      </c>
      <c r="G152" s="1">
        <f>IF('исходные данные'!G152&gt;'минимумы и максимумы'!E$3,100,('исходные данные'!G152-'минимумы и максимумы'!E$2)/('минимумы и максимумы'!E$3-'минимумы и максимумы'!E$2)*100)</f>
        <v>25</v>
      </c>
      <c r="H152" s="1">
        <f>IF('исходные данные'!H152&gt;'минимумы и максимумы'!F$3,100,('исходные данные'!H152-'минимумы и максимумы'!F$2)/('минимумы и максимумы'!F$3-'минимумы и максимумы'!F$2)*100)</f>
        <v>28.000000000000004</v>
      </c>
      <c r="I152" s="1">
        <f>IF('исходные данные'!I152&gt;'минимумы и максимумы'!G$3,100,('исходные данные'!I152-'минимумы и максимумы'!G$2)/('минимумы и максимумы'!G$3-'минимумы и максимумы'!G$2)*100)</f>
        <v>24.528301886792452</v>
      </c>
      <c r="J152" s="1">
        <f>IF('исходные данные'!J152&gt;'минимумы и максимумы'!H$3,100,('исходные данные'!J152-'минимумы и максимумы'!H$2)/('минимумы и максимумы'!H$3-'минимумы и максимумы'!H$2)*100)</f>
        <v>33.333333333333329</v>
      </c>
      <c r="K152" s="1">
        <f>IF('исходные данные'!K152&gt;'минимумы и максимумы'!I$3,100,('исходные данные'!K152-'минимумы и максимумы'!I$2)/('минимумы и максимумы'!I$3-'минимумы и максимумы'!I$2)*100)</f>
        <v>55.555555555555557</v>
      </c>
      <c r="L152" s="1">
        <f>IF('исходные данные'!L152&gt;'минимумы и максимумы'!J$3,100,('исходные данные'!L152-'минимумы и максимумы'!J$2)/('минимумы и максимумы'!J$3-'минимумы и максимумы'!J$2)*100)</f>
        <v>20</v>
      </c>
      <c r="M152" s="1">
        <f>IF('исходные данные'!M152&gt;'минимумы и максимумы'!K$3,100,('исходные данные'!M152-'минимумы и максимумы'!K$2)/('минимумы и максимумы'!K$3-'минимумы и максимумы'!K$2)*100)</f>
        <v>54.838709677419352</v>
      </c>
      <c r="N152" s="1">
        <f>IF('исходные данные'!N152&gt;'минимумы и максимумы'!L$3,100,('исходные данные'!N152-'минимумы и максимумы'!L$2)/('минимумы и максимумы'!L$3-'минимумы и максимумы'!L$2)*100)</f>
        <v>18.385326876764491</v>
      </c>
      <c r="O152" s="1">
        <f>IF('исходные данные'!O152&gt;'минимумы и максимумы'!M$3,100,('исходные данные'!O152-'минимумы и максимумы'!M$2)/('минимумы и максимумы'!M$3-'минимумы и максимумы'!M$2)*100)</f>
        <v>0</v>
      </c>
      <c r="P152" s="1">
        <f>IF('исходные данные'!P152&gt;'минимумы и максимумы'!N$3,100,('исходные данные'!P152-'минимумы и максимумы'!N$2)/('минимумы и максимумы'!N$3-'минимумы и максимумы'!N$2)*100)</f>
        <v>100</v>
      </c>
      <c r="Q152" s="1">
        <f>IF('исходные данные'!Q152&gt;'минимумы и максимумы'!O$3,100,('исходные данные'!Q152-'минимумы и максимумы'!O$2)/('минимумы и максимумы'!O$3-'минимумы и максимумы'!O$2)*100)</f>
        <v>0</v>
      </c>
      <c r="R152" s="1">
        <f>IF('исходные данные'!R152&gt;'минимумы и максимумы'!P$3,100,('исходные данные'!R152-'минимумы и максимумы'!P$2)/('минимумы и максимумы'!P$3-'минимумы и максимумы'!P$2)*100)</f>
        <v>75</v>
      </c>
      <c r="S152" s="1">
        <f>IF('исходные данные'!S152&gt;'минимумы и максимумы'!Q$3,100,('исходные данные'!S152-'минимумы и максимумы'!Q$2)/('минимумы и максимумы'!Q$3-'минимумы и максимумы'!Q$2)*100)</f>
        <v>50</v>
      </c>
      <c r="T152" s="1">
        <f>IF('исходные данные'!T152&gt;'минимумы и максимумы'!R$3,100,('исходные данные'!T152-'минимумы и максимумы'!R$2)/('минимумы и максимумы'!R$3-'минимумы и максимумы'!R$2)*100)</f>
        <v>100</v>
      </c>
      <c r="U152" s="1">
        <f>IF('исходные данные'!U152&gt;'минимумы и максимумы'!S$3,100,('исходные данные'!U152-'минимумы и максимумы'!S$2)/('минимумы и максимумы'!S$3-'минимумы и максимумы'!S$2)*100)</f>
        <v>0</v>
      </c>
    </row>
    <row r="153" spans="1:21" x14ac:dyDescent="0.45">
      <c r="A153" s="4">
        <v>221</v>
      </c>
      <c r="B153" s="4">
        <v>0</v>
      </c>
      <c r="C153" s="4">
        <v>0</v>
      </c>
      <c r="D153" s="1">
        <f>IF('исходные данные'!D153&gt;'минимумы и максимумы'!B$3,100,('исходные данные'!D153-'минимумы и максимумы'!B$2)/('минимумы и максимумы'!B$3-'минимумы и максимумы'!B$2)*100)</f>
        <v>40</v>
      </c>
      <c r="E153" s="1">
        <f>IF('исходные данные'!E153&gt;'минимумы и максимумы'!C$3,100,('исходные данные'!E153-'минимумы и максимумы'!C$2)/('минимумы и максимумы'!C$3-'минимумы и максимумы'!C$2)*100)</f>
        <v>20</v>
      </c>
      <c r="F153" s="1">
        <f>IF('исходные данные'!F153&gt;'минимумы и максимумы'!D$3,100,('исходные данные'!F153-'минимумы и максимумы'!D$2)/('минимумы и максимумы'!D$3-'минимумы и максимумы'!D$2)*100)</f>
        <v>33.333333333333329</v>
      </c>
      <c r="G153" s="1">
        <f>IF('исходные данные'!G153&gt;'минимумы и максимумы'!E$3,100,('исходные данные'!G153-'минимумы и максимумы'!E$2)/('минимумы и максимумы'!E$3-'минимумы и максимумы'!E$2)*100)</f>
        <v>45.833333333333329</v>
      </c>
      <c r="H153" s="1">
        <f>IF('исходные данные'!H153&gt;'минимумы и максимумы'!F$3,100,('исходные данные'!H153-'минимумы и максимумы'!F$2)/('минимумы и максимумы'!F$3-'минимумы и максимумы'!F$2)*100)</f>
        <v>36</v>
      </c>
      <c r="I153" s="1">
        <f>IF('исходные данные'!I153&gt;'минимумы и максимумы'!G$3,100,('исходные данные'!I153-'минимумы и максимумы'!G$2)/('минимумы и максимумы'!G$3-'минимумы и максимумы'!G$2)*100)</f>
        <v>37.735849056603776</v>
      </c>
      <c r="J153" s="1">
        <f>IF('исходные данные'!J153&gt;'минимумы и максимумы'!H$3,100,('исходные данные'!J153-'минимумы и максимумы'!H$2)/('минимумы и максимумы'!H$3-'минимумы и максимумы'!H$2)*100)</f>
        <v>33.333333333333329</v>
      </c>
      <c r="K153" s="1">
        <f>IF('исходные данные'!K153&gt;'минимумы и максимумы'!I$3,100,('исходные данные'!K153-'минимумы и максимумы'!I$2)/('минимумы и максимумы'!I$3-'минимумы и максимумы'!I$2)*100)</f>
        <v>72.222222222222214</v>
      </c>
      <c r="L153" s="1">
        <f>IF('исходные данные'!L153&gt;'минимумы и максимумы'!J$3,100,('исходные данные'!L153-'минимумы и максимумы'!J$2)/('минимумы и максимумы'!J$3-'минимумы и максимумы'!J$2)*100)</f>
        <v>40</v>
      </c>
      <c r="M153" s="1">
        <f>IF('исходные данные'!M153&gt;'минимумы и максимумы'!K$3,100,('исходные данные'!M153-'минимумы и максимумы'!K$2)/('минимумы и максимумы'!K$3-'минимумы и максимумы'!K$2)*100)</f>
        <v>48.387096774193552</v>
      </c>
      <c r="N153" s="1">
        <f>IF('исходные данные'!N153&gt;'минимумы и максимумы'!L$3,100,('исходные данные'!N153-'минимумы и максимумы'!L$2)/('минимумы и максимумы'!L$3-'минимумы и максимумы'!L$2)*100)</f>
        <v>18.695858327356294</v>
      </c>
      <c r="O153" s="1">
        <f>IF('исходные данные'!O153&gt;'минимумы и максимумы'!M$3,100,('исходные данные'!O153-'минимумы и максимумы'!M$2)/('минимумы и максимумы'!M$3-'минимумы и максимумы'!M$2)*100)</f>
        <v>33.333333333333329</v>
      </c>
      <c r="P153" s="1">
        <f>IF('исходные данные'!P153&gt;'минимумы и максимумы'!N$3,100,('исходные данные'!P153-'минимумы и максимумы'!N$2)/('минимумы и максимумы'!N$3-'минимумы и максимумы'!N$2)*100)</f>
        <v>0</v>
      </c>
      <c r="Q153" s="1">
        <f>IF('исходные данные'!Q153&gt;'минимумы и максимумы'!O$3,100,('исходные данные'!Q153-'минимумы и максимумы'!O$2)/('минимумы и максимумы'!O$3-'минимумы и максимумы'!O$2)*100)</f>
        <v>100</v>
      </c>
      <c r="R153" s="1">
        <f>IF('исходные данные'!R153&gt;'минимумы и максимумы'!P$3,100,('исходные данные'!R153-'минимумы и максимумы'!P$2)/('минимумы и максимумы'!P$3-'минимумы и максимумы'!P$2)*100)</f>
        <v>75</v>
      </c>
      <c r="S153" s="1">
        <f>IF('исходные данные'!S153&gt;'минимумы и максимумы'!Q$3,100,('исходные данные'!S153-'минимумы и максимумы'!Q$2)/('минимумы и максимумы'!Q$3-'минимумы и максимумы'!Q$2)*100)</f>
        <v>50</v>
      </c>
      <c r="T153" s="1">
        <f>IF('исходные данные'!T153&gt;'минимумы и максимумы'!R$3,100,('исходные данные'!T153-'минимумы и максимумы'!R$2)/('минимумы и максимумы'!R$3-'минимумы и максимумы'!R$2)*100)</f>
        <v>59.348878134623853</v>
      </c>
      <c r="U153" s="1">
        <f>IF('исходные данные'!U153&gt;'минимумы и максимумы'!S$3,100,('исходные данные'!U153-'минимумы и максимумы'!S$2)/('минимумы и максимумы'!S$3-'минимумы и максимумы'!S$2)*100)</f>
        <v>66.666666666666657</v>
      </c>
    </row>
    <row r="154" spans="1:21" x14ac:dyDescent="0.45">
      <c r="A154" s="4">
        <v>222</v>
      </c>
      <c r="B154" s="4">
        <v>0</v>
      </c>
      <c r="C154" s="4">
        <v>0</v>
      </c>
      <c r="D154" s="1">
        <f>IF('исходные данные'!D154&gt;'минимумы и максимумы'!B$3,100,('исходные данные'!D154-'минимумы и максимумы'!B$2)/('минимумы и максимумы'!B$3-'минимумы и максимумы'!B$2)*100)</f>
        <v>60</v>
      </c>
      <c r="E154" s="1">
        <f>IF('исходные данные'!E154&gt;'минимумы и максимумы'!C$3,100,('исходные данные'!E154-'минимумы и максимумы'!C$2)/('минимумы и максимумы'!C$3-'минимумы и максимумы'!C$2)*100)</f>
        <v>20</v>
      </c>
      <c r="F154" s="1">
        <f>IF('исходные данные'!F154&gt;'минимумы и максимумы'!D$3,100,('исходные данные'!F154-'минимумы и максимумы'!D$2)/('минимумы и максимумы'!D$3-'минимумы и максимумы'!D$2)*100)</f>
        <v>33.333333333333329</v>
      </c>
      <c r="G154" s="1">
        <f>IF('исходные данные'!G154&gt;'минимумы и максимумы'!E$3,100,('исходные данные'!G154-'минимумы и максимумы'!E$2)/('минимумы и максимумы'!E$3-'минимумы и максимумы'!E$2)*100)</f>
        <v>25</v>
      </c>
      <c r="H154" s="1">
        <f>IF('исходные данные'!H154&gt;'минимумы и максимумы'!F$3,100,('исходные данные'!H154-'минимумы и максимумы'!F$2)/('минимумы и максимумы'!F$3-'минимумы и максимумы'!F$2)*100)</f>
        <v>24</v>
      </c>
      <c r="I154" s="1">
        <f>IF('исходные данные'!I154&gt;'минимумы и максимумы'!G$3,100,('исходные данные'!I154-'минимумы и максимумы'!G$2)/('минимумы и максимумы'!G$3-'минимумы и максимумы'!G$2)*100)</f>
        <v>13.20754716981132</v>
      </c>
      <c r="J154" s="1">
        <f>IF('исходные данные'!J154&gt;'минимумы и максимумы'!H$3,100,('исходные данные'!J154-'минимумы и максимумы'!H$2)/('минимумы и максимумы'!H$3-'минимумы и максимумы'!H$2)*100)</f>
        <v>26.666666666666668</v>
      </c>
      <c r="K154" s="1">
        <f>IF('исходные данные'!K154&gt;'минимумы и максимумы'!I$3,100,('исходные данные'!K154-'минимумы и максимумы'!I$2)/('минимумы и максимумы'!I$3-'минимумы и максимумы'!I$2)*100)</f>
        <v>33.333333333333329</v>
      </c>
      <c r="L154" s="1">
        <f>IF('исходные данные'!L154&gt;'минимумы и максимумы'!J$3,100,('исходные данные'!L154-'минимумы и максимумы'!J$2)/('минимумы и максимумы'!J$3-'минимумы и максимумы'!J$2)*100)</f>
        <v>0</v>
      </c>
      <c r="M154" s="1">
        <f>IF('исходные данные'!M154&gt;'минимумы и максимумы'!K$3,100,('исходные данные'!M154-'минимумы и максимумы'!K$2)/('минимумы и максимумы'!K$3-'минимумы и максимумы'!K$2)*100)</f>
        <v>9.67741935483871</v>
      </c>
      <c r="N154" s="1">
        <f>IF('исходные данные'!N154&gt;'минимумы и максимумы'!L$3,100,('исходные данные'!N154-'минимумы и максимумы'!L$2)/('минимумы и максимумы'!L$3-'минимумы и максимумы'!L$2)*100)</f>
        <v>17.748641113056063</v>
      </c>
      <c r="O154" s="1">
        <f>IF('исходные данные'!O154&gt;'минимумы и максимумы'!M$3,100,('исходные данные'!O154-'минимумы и максимумы'!M$2)/('минимумы и максимумы'!M$3-'минимумы и максимумы'!M$2)*100)</f>
        <v>66.666666666666657</v>
      </c>
      <c r="P154" s="1">
        <f>IF('исходные данные'!P154&gt;'минимумы и максимумы'!N$3,100,('исходные данные'!P154-'минимумы и максимумы'!N$2)/('минимумы и максимумы'!N$3-'минимумы и максимумы'!N$2)*100)</f>
        <v>0</v>
      </c>
      <c r="Q154" s="1">
        <f>IF('исходные данные'!Q154&gt;'минимумы и максимумы'!O$3,100,('исходные данные'!Q154-'минимумы и максимумы'!O$2)/('минимумы и максимумы'!O$3-'минимумы и максимумы'!O$2)*100)</f>
        <v>100</v>
      </c>
      <c r="R154" s="1">
        <f>IF('исходные данные'!R154&gt;'минимумы и максимумы'!P$3,100,('исходные данные'!R154-'минимумы и максимумы'!P$2)/('минимумы и максимумы'!P$3-'минимумы и максимумы'!P$2)*100)</f>
        <v>100</v>
      </c>
      <c r="S154" s="1">
        <f>IF('исходные данные'!S154&gt;'минимумы и максимумы'!Q$3,100,('исходные данные'!S154-'минимумы и максимумы'!Q$2)/('минимумы и максимумы'!Q$3-'минимумы и максимумы'!Q$2)*100)</f>
        <v>100</v>
      </c>
      <c r="T154" s="1">
        <f>IF('исходные данные'!T154&gt;'минимумы и максимумы'!R$3,100,('исходные данные'!T154-'минимумы и максимумы'!R$2)/('минимумы и максимумы'!R$3-'минимумы и максимумы'!R$2)*100)</f>
        <v>100</v>
      </c>
      <c r="U154" s="1">
        <f>IF('исходные данные'!U154&gt;'минимумы и максимумы'!S$3,100,('исходные данные'!U154-'минимумы и максимумы'!S$2)/('минимумы и максимумы'!S$3-'минимумы и максимумы'!S$2)*100)</f>
        <v>100</v>
      </c>
    </row>
    <row r="155" spans="1:21" x14ac:dyDescent="0.45">
      <c r="A155" s="4">
        <v>223</v>
      </c>
      <c r="B155" s="4">
        <v>0</v>
      </c>
      <c r="C155" s="4">
        <v>0</v>
      </c>
      <c r="D155" s="1">
        <f>IF('исходные данные'!D155&gt;'минимумы и максимумы'!B$3,100,('исходные данные'!D155-'минимумы и максимумы'!B$2)/('минимумы и максимумы'!B$3-'минимумы и максимумы'!B$2)*100)</f>
        <v>0</v>
      </c>
      <c r="E155" s="1">
        <f>IF('исходные данные'!E155&gt;'минимумы и максимумы'!C$3,100,('исходные данные'!E155-'минимумы и максимумы'!C$2)/('минимумы и максимумы'!C$3-'минимумы и максимумы'!C$2)*100)</f>
        <v>20</v>
      </c>
      <c r="F155" s="1">
        <f>IF('исходные данные'!F155&gt;'минимумы и максимумы'!D$3,100,('исходные данные'!F155-'минимумы и максимумы'!D$2)/('минимумы и максимумы'!D$3-'минимумы и максимумы'!D$2)*100)</f>
        <v>0</v>
      </c>
      <c r="G155" s="1">
        <f>IF('исходные данные'!G155&gt;'минимумы и максимумы'!E$3,100,('исходные данные'!G155-'минимумы и максимумы'!E$2)/('минимумы и максимумы'!E$3-'минимумы и максимумы'!E$2)*100)</f>
        <v>37.5</v>
      </c>
      <c r="H155" s="1">
        <f>IF('исходные данные'!H155&gt;'минимумы и максимумы'!F$3,100,('исходные данные'!H155-'минимумы и максимумы'!F$2)/('минимумы и максимумы'!F$3-'минимумы и максимумы'!F$2)*100)</f>
        <v>20</v>
      </c>
      <c r="I155" s="1">
        <f>IF('исходные данные'!I155&gt;'минимумы и максимумы'!G$3,100,('исходные данные'!I155-'минимумы и максимумы'!G$2)/('минимумы и максимумы'!G$3-'минимумы и максимумы'!G$2)*100)</f>
        <v>26.415094339622641</v>
      </c>
      <c r="J155" s="1">
        <f>IF('исходные данные'!J155&gt;'минимумы и максимумы'!H$3,100,('исходные данные'!J155-'минимумы и максимумы'!H$2)/('минимумы и максимумы'!H$3-'минимумы и максимумы'!H$2)*100)</f>
        <v>0</v>
      </c>
      <c r="K155" s="1">
        <f>IF('исходные данные'!K155&gt;'минимумы и максимумы'!I$3,100,('исходные данные'!K155-'минимумы и максимумы'!I$2)/('минимумы и максимумы'!I$3-'минимумы и максимумы'!I$2)*100)</f>
        <v>50</v>
      </c>
      <c r="L155" s="1">
        <f>IF('исходные данные'!L155&gt;'минимумы и максимумы'!J$3,100,('исходные данные'!L155-'минимумы и максимумы'!J$2)/('минимумы и максимумы'!J$3-'минимумы и максимумы'!J$2)*100)</f>
        <v>0</v>
      </c>
      <c r="M155" s="1">
        <f>IF('исходные данные'!M155&gt;'минимумы и максимумы'!K$3,100,('исходные данные'!M155-'минимумы и максимумы'!K$2)/('минимумы и максимумы'!K$3-'минимумы и максимумы'!K$2)*100)</f>
        <v>6.4516129032258061</v>
      </c>
      <c r="N155" s="1">
        <f>IF('исходные данные'!N155&gt;'минимумы и максимумы'!L$3,100,('исходные данные'!N155-'минимумы и максимумы'!L$2)/('минимумы и максимумы'!L$3-'минимумы и максимумы'!L$2)*100)</f>
        <v>23.706333964100725</v>
      </c>
      <c r="O155" s="1">
        <f>IF('исходные данные'!O155&gt;'минимумы и максимумы'!M$3,100,('исходные данные'!O155-'минимумы и максимумы'!M$2)/('минимумы и максимумы'!M$3-'минимумы и максимумы'!M$2)*100)</f>
        <v>66.666666666666657</v>
      </c>
      <c r="P155" s="1">
        <f>IF('исходные данные'!P155&gt;'минимумы и максимумы'!N$3,100,('исходные данные'!P155-'минимумы и максимумы'!N$2)/('минимумы и максимумы'!N$3-'минимумы и максимумы'!N$2)*100)</f>
        <v>0</v>
      </c>
      <c r="Q155" s="1">
        <f>IF('исходные данные'!Q155&gt;'минимумы и максимумы'!O$3,100,('исходные данные'!Q155-'минимумы и максимумы'!O$2)/('минимумы и максимумы'!O$3-'минимумы и максимумы'!O$2)*100)</f>
        <v>100</v>
      </c>
      <c r="R155" s="1">
        <f>IF('исходные данные'!R155&gt;'минимумы и максимумы'!P$3,100,('исходные данные'!R155-'минимумы и максимумы'!P$2)/('минимумы и максимумы'!P$3-'минимумы и максимумы'!P$2)*100)</f>
        <v>75</v>
      </c>
      <c r="S155" s="1">
        <f>IF('исходные данные'!S155&gt;'минимумы и максимумы'!Q$3,100,('исходные данные'!S155-'минимумы и максимумы'!Q$2)/('минимумы и максимумы'!Q$3-'минимумы и максимумы'!Q$2)*100)</f>
        <v>83.333333333333343</v>
      </c>
      <c r="T155" s="1">
        <f>IF('исходные данные'!T155&gt;'минимумы и максимумы'!R$3,100,('исходные данные'!T155-'минимумы и максимумы'!R$2)/('минимумы и максимумы'!R$3-'минимумы и максимумы'!R$2)*100)</f>
        <v>27.100747910250771</v>
      </c>
      <c r="U155" s="1">
        <f>IF('исходные данные'!U155&gt;'минимумы и максимумы'!S$3,100,('исходные данные'!U155-'минимумы и максимумы'!S$2)/('минимумы и максимумы'!S$3-'минимумы и максимумы'!S$2)*100)</f>
        <v>66.666666666666657</v>
      </c>
    </row>
    <row r="156" spans="1:21" x14ac:dyDescent="0.45">
      <c r="A156" s="4">
        <v>224</v>
      </c>
      <c r="B156" s="4">
        <v>0</v>
      </c>
      <c r="C156" s="4">
        <v>0</v>
      </c>
      <c r="D156" s="1">
        <f>IF('исходные данные'!D156&gt;'минимумы и максимумы'!B$3,100,('исходные данные'!D156-'минимумы и максимумы'!B$2)/('минимумы и максимумы'!B$3-'минимумы и максимумы'!B$2)*100)</f>
        <v>20</v>
      </c>
      <c r="E156" s="1">
        <f>IF('исходные данные'!E156&gt;'минимумы и максимумы'!C$3,100,('исходные данные'!E156-'минимумы и максимумы'!C$2)/('минимумы и максимумы'!C$3-'минимумы и максимумы'!C$2)*100)</f>
        <v>30</v>
      </c>
      <c r="F156" s="1">
        <f>IF('исходные данные'!F156&gt;'минимумы и максимумы'!D$3,100,('исходные данные'!F156-'минимумы и максимумы'!D$2)/('минимумы и максимумы'!D$3-'минимумы и максимумы'!D$2)*100)</f>
        <v>0</v>
      </c>
      <c r="G156" s="1">
        <f>IF('исходные данные'!G156&gt;'минимумы и максимумы'!E$3,100,('исходные данные'!G156-'минимумы и максимумы'!E$2)/('минимумы и максимумы'!E$3-'минимумы и максимумы'!E$2)*100)</f>
        <v>29.166666666666668</v>
      </c>
      <c r="H156" s="1">
        <f>IF('исходные данные'!H156&gt;'минимумы и максимумы'!F$3,100,('исходные данные'!H156-'минимумы и максимумы'!F$2)/('минимумы и максимумы'!F$3-'минимумы и максимумы'!F$2)*100)</f>
        <v>16</v>
      </c>
      <c r="I156" s="1">
        <f>IF('исходные данные'!I156&gt;'минимумы и максимумы'!G$3,100,('исходные данные'!I156-'минимумы и максимумы'!G$2)/('минимумы и максимумы'!G$3-'минимумы и максимумы'!G$2)*100)</f>
        <v>7.5471698113207548</v>
      </c>
      <c r="J156" s="1">
        <f>IF('исходные данные'!J156&gt;'минимумы и максимумы'!H$3,100,('исходные данные'!J156-'минимумы и максимумы'!H$2)/('минимумы и максимумы'!H$3-'минимумы и максимумы'!H$2)*100)</f>
        <v>0</v>
      </c>
      <c r="K156" s="1">
        <f>IF('исходные данные'!K156&gt;'минимумы и максимумы'!I$3,100,('исходные данные'!K156-'минимумы и максимумы'!I$2)/('минимумы и максимумы'!I$3-'минимумы и максимумы'!I$2)*100)</f>
        <v>0</v>
      </c>
      <c r="L156" s="1">
        <f>IF('исходные данные'!L156&gt;'минимумы и максимумы'!J$3,100,('исходные данные'!L156-'минимумы и максимумы'!J$2)/('минимумы и максимумы'!J$3-'минимумы и максимумы'!J$2)*100)</f>
        <v>0</v>
      </c>
      <c r="M156" s="1">
        <f>IF('исходные данные'!M156&gt;'минимумы и максимумы'!K$3,100,('исходные данные'!M156-'минимумы и максимумы'!K$2)/('минимумы и максимумы'!K$3-'минимумы и максимумы'!K$2)*100)</f>
        <v>41.935483870967744</v>
      </c>
      <c r="N156" s="1">
        <f>IF('исходные данные'!N156&gt;'минимумы и максимумы'!L$3,100,('исходные данные'!N156-'минимумы и максимумы'!L$2)/('минимумы и максимумы'!L$3-'минимумы и максимумы'!L$2)*100)</f>
        <v>25.111858664121627</v>
      </c>
      <c r="O156" s="1">
        <f>IF('исходные данные'!O156&gt;'минимумы и максимумы'!M$3,100,('исходные данные'!O156-'минимумы и максимумы'!M$2)/('минимумы и максимумы'!M$3-'минимумы и максимумы'!M$2)*100)</f>
        <v>33.333333333333329</v>
      </c>
      <c r="P156" s="1">
        <f>IF('исходные данные'!P156&gt;'минимумы и максимумы'!N$3,100,('исходные данные'!P156-'минимумы и максимумы'!N$2)/('минимумы и максимумы'!N$3-'минимумы и максимумы'!N$2)*100)</f>
        <v>100</v>
      </c>
      <c r="Q156" s="1">
        <f>IF('исходные данные'!Q156&gt;'минимумы и максимумы'!O$3,100,('исходные данные'!Q156-'минимумы и максимумы'!O$2)/('минимумы и максимумы'!O$3-'минимумы и максимумы'!O$2)*100)</f>
        <v>100</v>
      </c>
      <c r="R156" s="1">
        <f>IF('исходные данные'!R156&gt;'минимумы и максимумы'!P$3,100,('исходные данные'!R156-'минимумы и максимумы'!P$2)/('минимумы и максимумы'!P$3-'минимумы и максимумы'!P$2)*100)</f>
        <v>100</v>
      </c>
      <c r="S156" s="1">
        <f>IF('исходные данные'!S156&gt;'минимумы и максимумы'!Q$3,100,('исходные данные'!S156-'минимумы и максимумы'!Q$2)/('минимумы и максимумы'!Q$3-'минимумы и максимумы'!Q$2)*100)</f>
        <v>33.333333333333329</v>
      </c>
      <c r="T156" s="1">
        <f>IF('исходные данные'!T156&gt;'минимумы и максимумы'!R$3,100,('исходные данные'!T156-'минимумы и максимумы'!R$2)/('минимумы и максимумы'!R$3-'минимумы и максимумы'!R$2)*100)</f>
        <v>18.521777386713595</v>
      </c>
      <c r="U156" s="1">
        <f>IF('исходные данные'!U156&gt;'минимумы и максимумы'!S$3,100,('исходные данные'!U156-'минимумы и максимумы'!S$2)/('минимумы и максимумы'!S$3-'минимумы и максимумы'!S$2)*100)</f>
        <v>0</v>
      </c>
    </row>
    <row r="157" spans="1:21" x14ac:dyDescent="0.45">
      <c r="A157" s="4">
        <v>225</v>
      </c>
      <c r="B157" s="4">
        <v>0</v>
      </c>
      <c r="C157" s="4">
        <v>0</v>
      </c>
      <c r="D157" s="1">
        <f>IF('исходные данные'!D157&gt;'минимумы и максимумы'!B$3,100,('исходные данные'!D157-'минимумы и максимумы'!B$2)/('минимумы и максимумы'!B$3-'минимумы и максимумы'!B$2)*100)</f>
        <v>0</v>
      </c>
      <c r="E157" s="1">
        <f>IF('исходные данные'!E157&gt;'минимумы и максимумы'!C$3,100,('исходные данные'!E157-'минимумы и максимумы'!C$2)/('минимумы и максимумы'!C$3-'минимумы и максимумы'!C$2)*100)</f>
        <v>10</v>
      </c>
      <c r="F157" s="1">
        <f>IF('исходные данные'!F157&gt;'минимумы и максимумы'!D$3,100,('исходные данные'!F157-'минимумы и максимумы'!D$2)/('минимумы и максимумы'!D$3-'минимумы и максимумы'!D$2)*100)</f>
        <v>0</v>
      </c>
      <c r="G157" s="1">
        <f>IF('исходные данные'!G157&gt;'минимумы и максимумы'!E$3,100,('исходные данные'!G157-'минимумы и максимумы'!E$2)/('минимумы и максимумы'!E$3-'минимумы и максимумы'!E$2)*100)</f>
        <v>8.3333333333333321</v>
      </c>
      <c r="H157" s="1">
        <f>IF('исходные данные'!H157&gt;'минимумы и максимумы'!F$3,100,('исходные данные'!H157-'минимумы и максимумы'!F$2)/('минимумы и максимумы'!F$3-'минимумы и максимумы'!F$2)*100)</f>
        <v>16</v>
      </c>
      <c r="I157" s="1">
        <f>IF('исходные данные'!I157&gt;'минимумы и максимумы'!G$3,100,('исходные данные'!I157-'минимумы и максимумы'!G$2)/('минимумы и максимумы'!G$3-'минимумы и максимумы'!G$2)*100)</f>
        <v>20.754716981132077</v>
      </c>
      <c r="J157" s="1">
        <f>IF('исходные данные'!J157&gt;'минимумы и максимумы'!H$3,100,('исходные данные'!J157-'минимумы и максимумы'!H$2)/('минимумы и максимумы'!H$3-'минимумы и максимумы'!H$2)*100)</f>
        <v>13.333333333333334</v>
      </c>
      <c r="K157" s="1">
        <f>IF('исходные данные'!K157&gt;'минимумы и максимумы'!I$3,100,('исходные данные'!K157-'минимумы и максимумы'!I$2)/('минимумы и максимумы'!I$3-'минимумы и максимумы'!I$2)*100)</f>
        <v>5.5555555555555554</v>
      </c>
      <c r="L157" s="1">
        <f>IF('исходные данные'!L157&gt;'минимумы и максимумы'!J$3,100,('исходные данные'!L157-'минимумы и максимумы'!J$2)/('минимумы и максимумы'!J$3-'минимумы и максимумы'!J$2)*100)</f>
        <v>0</v>
      </c>
      <c r="M157" s="1">
        <f>IF('исходные данные'!M157&gt;'минимумы и максимумы'!K$3,100,('исходные данные'!M157-'минимумы и максимумы'!K$2)/('минимумы и максимумы'!K$3-'минимумы и максимумы'!K$2)*100)</f>
        <v>45.161290322580641</v>
      </c>
      <c r="N157" s="1">
        <f>IF('исходные данные'!N157&gt;'минимумы и максимумы'!L$3,100,('исходные данные'!N157-'минимумы и максимумы'!L$2)/('минимумы и максимумы'!L$3-'минимумы и максимумы'!L$2)*100)</f>
        <v>32.718394629960287</v>
      </c>
      <c r="O157" s="1">
        <f>IF('исходные данные'!O157&gt;'минимумы и максимумы'!M$3,100,('исходные данные'!O157-'минимумы и максимумы'!M$2)/('минимумы и максимумы'!M$3-'минимумы и максимумы'!M$2)*100)</f>
        <v>66.666666666666657</v>
      </c>
      <c r="P157" s="1">
        <f>IF('исходные данные'!P157&gt;'минимумы и максимумы'!N$3,100,('исходные данные'!P157-'минимумы и максимумы'!N$2)/('минимумы и максимумы'!N$3-'минимумы и максимумы'!N$2)*100)</f>
        <v>100</v>
      </c>
      <c r="Q157" s="1">
        <f>IF('исходные данные'!Q157&gt;'минимумы и максимумы'!O$3,100,('исходные данные'!Q157-'минимумы и максимумы'!O$2)/('минимумы и максимумы'!O$3-'минимумы и максимумы'!O$2)*100)</f>
        <v>100</v>
      </c>
      <c r="R157" s="1">
        <f>IF('исходные данные'!R157&gt;'минимумы и максимумы'!P$3,100,('исходные данные'!R157-'минимумы и максимумы'!P$2)/('минимумы и максимумы'!P$3-'минимумы и максимумы'!P$2)*100)</f>
        <v>50</v>
      </c>
      <c r="S157" s="1">
        <f>IF('исходные данные'!S157&gt;'минимумы и максимумы'!Q$3,100,('исходные данные'!S157-'минимумы и максимумы'!Q$2)/('минимумы и максимумы'!Q$3-'минимумы и максимумы'!Q$2)*100)</f>
        <v>100</v>
      </c>
      <c r="T157" s="1">
        <f>IF('исходные данные'!T157&gt;'минимумы и максимумы'!R$3,100,('исходные данные'!T157-'минимумы и максимумы'!R$2)/('минимумы и максимумы'!R$3-'минимумы и максимумы'!R$2)*100)</f>
        <v>7.2151341838979324</v>
      </c>
      <c r="U157" s="1">
        <f>IF('исходные данные'!U157&gt;'минимумы и максимумы'!S$3,100,('исходные данные'!U157-'минимумы и максимумы'!S$2)/('минимумы и максимумы'!S$3-'минимумы и максимумы'!S$2)*100)</f>
        <v>0</v>
      </c>
    </row>
    <row r="158" spans="1:21" x14ac:dyDescent="0.45">
      <c r="A158" s="4">
        <v>226</v>
      </c>
      <c r="B158" s="4">
        <v>0</v>
      </c>
      <c r="C158" s="4">
        <v>0</v>
      </c>
      <c r="D158" s="1">
        <f>IF('исходные данные'!D158&gt;'минимумы и максимумы'!B$3,100,('исходные данные'!D158-'минимумы и максимумы'!B$2)/('минимумы и максимумы'!B$3-'минимумы и максимумы'!B$2)*100)</f>
        <v>80</v>
      </c>
      <c r="E158" s="1">
        <f>IF('исходные данные'!E158&gt;'минимумы и максимумы'!C$3,100,('исходные данные'!E158-'минимумы и максимумы'!C$2)/('минимумы и максимумы'!C$3-'минимумы и максимумы'!C$2)*100)</f>
        <v>20</v>
      </c>
      <c r="F158" s="1">
        <f>IF('исходные данные'!F158&gt;'минимумы и максимумы'!D$3,100,('исходные данные'!F158-'минимумы и максимумы'!D$2)/('минимумы и максимумы'!D$3-'минимумы и максимумы'!D$2)*100)</f>
        <v>0</v>
      </c>
      <c r="G158" s="1">
        <f>IF('исходные данные'!G158&gt;'минимумы и максимумы'!E$3,100,('исходные данные'!G158-'минимумы и максимумы'!E$2)/('минимумы и максимумы'!E$3-'минимумы и максимумы'!E$2)*100)</f>
        <v>16.666666666666664</v>
      </c>
      <c r="H158" s="1">
        <f>IF('исходные данные'!H158&gt;'минимумы и максимумы'!F$3,100,('исходные данные'!H158-'минимумы и максимумы'!F$2)/('минимумы и максимумы'!F$3-'минимумы и максимумы'!F$2)*100)</f>
        <v>24</v>
      </c>
      <c r="I158" s="1">
        <f>IF('исходные данные'!I158&gt;'минимумы и максимумы'!G$3,100,('исходные данные'!I158-'минимумы и максимумы'!G$2)/('минимумы и максимумы'!G$3-'минимумы и максимумы'!G$2)*100)</f>
        <v>5.6603773584905666</v>
      </c>
      <c r="J158" s="1">
        <f>IF('исходные данные'!J158&gt;'минимумы и максимумы'!H$3,100,('исходные данные'!J158-'минимумы и максимумы'!H$2)/('минимумы и максимумы'!H$3-'минимумы и максимумы'!H$2)*100)</f>
        <v>6.666666666666667</v>
      </c>
      <c r="K158" s="1">
        <f>IF('исходные данные'!K158&gt;'минимумы и максимумы'!I$3,100,('исходные данные'!K158-'минимумы и максимумы'!I$2)/('минимумы и максимумы'!I$3-'минимумы и максимумы'!I$2)*100)</f>
        <v>16.666666666666664</v>
      </c>
      <c r="L158" s="1">
        <f>IF('исходные данные'!L158&gt;'минимумы и максимумы'!J$3,100,('исходные данные'!L158-'минимумы и максимумы'!J$2)/('минимумы и максимумы'!J$3-'минимумы и максимумы'!J$2)*100)</f>
        <v>0</v>
      </c>
      <c r="M158" s="1">
        <f>IF('исходные данные'!M158&gt;'минимумы и максимумы'!K$3,100,('исходные данные'!M158-'минимумы и максимумы'!K$2)/('минимумы и максимумы'!K$3-'минимумы и максимумы'!K$2)*100)</f>
        <v>61.29032258064516</v>
      </c>
      <c r="N158" s="1">
        <f>IF('исходные данные'!N158&gt;'минимумы и максимумы'!L$3,100,('исходные данные'!N158-'минимумы и максимумы'!L$2)/('минимумы и максимумы'!L$3-'минимумы и максимумы'!L$2)*100)</f>
        <v>33.787388027463976</v>
      </c>
      <c r="O158" s="1">
        <f>IF('исходные данные'!O158&gt;'минимумы и максимумы'!M$3,100,('исходные данные'!O158-'минимумы и максимумы'!M$2)/('минимумы и максимумы'!M$3-'минимумы и максимумы'!M$2)*100)</f>
        <v>33.333333333333329</v>
      </c>
      <c r="P158" s="1">
        <f>IF('исходные данные'!P158&gt;'минимумы и максимумы'!N$3,100,('исходные данные'!P158-'минимумы и максимумы'!N$2)/('минимумы и максимумы'!N$3-'минимумы и максимумы'!N$2)*100)</f>
        <v>100</v>
      </c>
      <c r="Q158" s="1">
        <f>IF('исходные данные'!Q158&gt;'минимумы и максимумы'!O$3,100,('исходные данные'!Q158-'минимумы и максимумы'!O$2)/('минимумы и максимумы'!O$3-'минимумы и максимумы'!O$2)*100)</f>
        <v>100</v>
      </c>
      <c r="R158" s="1">
        <f>IF('исходные данные'!R158&gt;'минимумы и максимумы'!P$3,100,('исходные данные'!R158-'минимумы и максимумы'!P$2)/('минимумы и максимумы'!P$3-'минимумы и максимумы'!P$2)*100)</f>
        <v>75</v>
      </c>
      <c r="S158" s="1">
        <f>IF('исходные данные'!S158&gt;'минимумы и максимумы'!Q$3,100,('исходные данные'!S158-'минимумы и максимумы'!Q$2)/('минимумы и максимумы'!Q$3-'минимумы и максимумы'!Q$2)*100)</f>
        <v>33.333333333333329</v>
      </c>
      <c r="T158" s="1">
        <f>IF('исходные данные'!T158&gt;'минимумы и максимумы'!R$3,100,('исходные данные'!T158-'минимумы и максимумы'!R$2)/('минимумы и максимумы'!R$3-'минимумы и максимумы'!R$2)*100)</f>
        <v>16.761988561372636</v>
      </c>
      <c r="U158" s="1">
        <f>IF('исходные данные'!U158&gt;'минимумы и максимумы'!S$3,100,('исходные данные'!U158-'минимумы и максимумы'!S$2)/('минимумы и максимумы'!S$3-'минимумы и максимумы'!S$2)*100)</f>
        <v>66.666666666666657</v>
      </c>
    </row>
    <row r="159" spans="1:21" x14ac:dyDescent="0.45">
      <c r="A159" s="4">
        <v>227</v>
      </c>
      <c r="B159" s="4">
        <v>1</v>
      </c>
      <c r="C159" s="4">
        <v>0</v>
      </c>
      <c r="D159" s="1">
        <f>IF('исходные данные'!D159&gt;'минимумы и максимумы'!B$3,100,('исходные данные'!D159-'минимумы и максимумы'!B$2)/('минимумы и максимумы'!B$3-'минимумы и максимумы'!B$2)*100)</f>
        <v>20</v>
      </c>
      <c r="E159" s="1">
        <f>IF('исходные данные'!E159&gt;'минимумы и максимумы'!C$3,100,('исходные данные'!E159-'минимумы и максимумы'!C$2)/('минимумы и максимумы'!C$3-'минимумы и максимумы'!C$2)*100)</f>
        <v>10</v>
      </c>
      <c r="F159" s="1">
        <f>IF('исходные данные'!F159&gt;'минимумы и максимумы'!D$3,100,('исходные данные'!F159-'минимумы и максимумы'!D$2)/('минимумы и максимумы'!D$3-'минимумы и максимумы'!D$2)*100)</f>
        <v>33.333333333333329</v>
      </c>
      <c r="G159" s="1">
        <f>IF('исходные данные'!G159&gt;'минимумы и максимумы'!E$3,100,('исходные данные'!G159-'минимумы и максимумы'!E$2)/('минимумы и максимумы'!E$3-'минимумы и максимумы'!E$2)*100)</f>
        <v>8.3333333333333321</v>
      </c>
      <c r="H159" s="1">
        <f>IF('исходные данные'!H159&gt;'минимумы и максимумы'!F$3,100,('исходные данные'!H159-'минимумы и максимумы'!F$2)/('минимумы и максимумы'!F$3-'минимумы и максимумы'!F$2)*100)</f>
        <v>20</v>
      </c>
      <c r="I159" s="1">
        <f>IF('исходные данные'!I159&gt;'минимумы и максимумы'!G$3,100,('исходные данные'!I159-'минимумы и максимумы'!G$2)/('минимумы и максимумы'!G$3-'минимумы и максимумы'!G$2)*100)</f>
        <v>13.20754716981132</v>
      </c>
      <c r="J159" s="1">
        <f>IF('исходные данные'!J159&gt;'минимумы и максимумы'!H$3,100,('исходные данные'!J159-'минимумы и максимумы'!H$2)/('минимумы и максимумы'!H$3-'минимумы и максимумы'!H$2)*100)</f>
        <v>20</v>
      </c>
      <c r="K159" s="1">
        <f>IF('исходные данные'!K159&gt;'минимумы и максимумы'!I$3,100,('исходные данные'!K159-'минимумы и максимумы'!I$2)/('минимумы и максимумы'!I$3-'минимумы и максимумы'!I$2)*100)</f>
        <v>5.5555555555555554</v>
      </c>
      <c r="L159" s="1">
        <f>IF('исходные данные'!L159&gt;'минимумы и максимумы'!J$3,100,('исходные данные'!L159-'минимумы и максимумы'!J$2)/('минимумы и максимумы'!J$3-'минимумы и максимумы'!J$2)*100)</f>
        <v>0</v>
      </c>
      <c r="M159" s="1">
        <f>IF('исходные данные'!M159&gt;'минимумы и максимумы'!K$3,100,('исходные данные'!M159-'минимумы и максимумы'!K$2)/('минимумы и максимумы'!K$3-'минимумы и максимумы'!K$2)*100)</f>
        <v>25.806451612903224</v>
      </c>
      <c r="N159" s="1">
        <f>IF('исходные данные'!N159&gt;'минимумы и максимумы'!L$3,100,('исходные данные'!N159-'минимумы и максимумы'!L$2)/('минимумы и максимумы'!L$3-'минимумы и максимумы'!L$2)*100)</f>
        <v>33.407244924439382</v>
      </c>
      <c r="O159" s="1">
        <f>IF('исходные данные'!O159&gt;'минимумы и максимумы'!M$3,100,('исходные данные'!O159-'минимумы и максимумы'!M$2)/('минимумы и максимумы'!M$3-'минимумы и максимумы'!M$2)*100)</f>
        <v>100</v>
      </c>
      <c r="P159" s="1">
        <f>IF('исходные данные'!P159&gt;'минимумы и максимумы'!N$3,100,('исходные данные'!P159-'минимумы и максимумы'!N$2)/('минимумы и максимумы'!N$3-'минимумы и максимумы'!N$2)*100)</f>
        <v>0</v>
      </c>
      <c r="Q159" s="1">
        <f>IF('исходные данные'!Q159&gt;'минимумы и максимумы'!O$3,100,('исходные данные'!Q159-'минимумы и максимумы'!O$2)/('минимумы и максимумы'!O$3-'минимумы и максимумы'!O$2)*100)</f>
        <v>100</v>
      </c>
      <c r="R159" s="1">
        <f>IF('исходные данные'!R159&gt;'минимумы и максимумы'!P$3,100,('исходные данные'!R159-'минимумы и максимумы'!P$2)/('минимумы и максимумы'!P$3-'минимумы и максимумы'!P$2)*100)</f>
        <v>100</v>
      </c>
      <c r="S159" s="1">
        <f>IF('исходные данные'!S159&gt;'минимумы и максимумы'!Q$3,100,('исходные данные'!S159-'минимумы и максимумы'!Q$2)/('минимумы и максимумы'!Q$3-'минимумы и максимумы'!Q$2)*100)</f>
        <v>33.333333333333329</v>
      </c>
      <c r="T159" s="1">
        <f>IF('исходные данные'!T159&gt;'минимумы и максимумы'!R$3,100,('исходные данные'!T159-'минимумы и максимумы'!R$2)/('минимумы и максимумы'!R$3-'минимумы и максимумы'!R$2)*100)</f>
        <v>43.114826220853494</v>
      </c>
      <c r="U159" s="1">
        <f>IF('исходные данные'!U159&gt;'минимумы и максимумы'!S$3,100,('исходные данные'!U159-'минимумы и максимумы'!S$2)/('минимумы и максимумы'!S$3-'минимумы и максимумы'!S$2)*100)</f>
        <v>33.333333333333329</v>
      </c>
    </row>
    <row r="160" spans="1:21" x14ac:dyDescent="0.45">
      <c r="A160" s="4">
        <v>230</v>
      </c>
      <c r="B160" s="4">
        <v>0</v>
      </c>
      <c r="C160" s="4">
        <v>0</v>
      </c>
      <c r="D160" s="1">
        <f>IF('исходные данные'!D160&gt;'минимумы и максимумы'!B$3,100,('исходные данные'!D160-'минимумы и максимумы'!B$2)/('минимумы и максимумы'!B$3-'минимумы и максимумы'!B$2)*100)</f>
        <v>40</v>
      </c>
      <c r="E160" s="1">
        <f>IF('исходные данные'!E160&gt;'минимумы и максимумы'!C$3,100,('исходные данные'!E160-'минимумы и максимумы'!C$2)/('минимумы и максимумы'!C$3-'минимумы и максимумы'!C$2)*100)</f>
        <v>30</v>
      </c>
      <c r="F160" s="1">
        <f>IF('исходные данные'!F160&gt;'минимумы и максимумы'!D$3,100,('исходные данные'!F160-'минимумы и максимумы'!D$2)/('минимумы и максимумы'!D$3-'минимумы и максимумы'!D$2)*100)</f>
        <v>0</v>
      </c>
      <c r="G160" s="1">
        <f>IF('исходные данные'!G160&gt;'минимумы и максимумы'!E$3,100,('исходные данные'!G160-'минимумы и максимумы'!E$2)/('минимумы и максимумы'!E$3-'минимумы и максимумы'!E$2)*100)</f>
        <v>8.3333333333333321</v>
      </c>
      <c r="H160" s="1">
        <f>IF('исходные данные'!H160&gt;'минимумы и максимумы'!F$3,100,('исходные данные'!H160-'минимумы и максимумы'!F$2)/('минимумы и максимумы'!F$3-'минимумы и максимумы'!F$2)*100)</f>
        <v>16</v>
      </c>
      <c r="I160" s="1">
        <f>IF('исходные данные'!I160&gt;'минимумы и максимумы'!G$3,100,('исходные данные'!I160-'минимумы и максимумы'!G$2)/('минимумы и максимумы'!G$3-'минимумы и максимумы'!G$2)*100)</f>
        <v>5.6603773584905666</v>
      </c>
      <c r="J160" s="1">
        <f>IF('исходные данные'!J160&gt;'минимумы и максимумы'!H$3,100,('исходные данные'!J160-'минимумы и максимумы'!H$2)/('минимумы и максимумы'!H$3-'минимумы и максимумы'!H$2)*100)</f>
        <v>0</v>
      </c>
      <c r="K160" s="1">
        <f>IF('исходные данные'!K160&gt;'минимумы и максимумы'!I$3,100,('исходные данные'!K160-'минимумы и максимумы'!I$2)/('минимумы и максимумы'!I$3-'минимумы и максимумы'!I$2)*100)</f>
        <v>22.222222222222221</v>
      </c>
      <c r="L160" s="1">
        <f>IF('исходные данные'!L160&gt;'минимумы и максимумы'!J$3,100,('исходные данные'!L160-'минимумы и максимумы'!J$2)/('минимумы и максимумы'!J$3-'минимумы и максимумы'!J$2)*100)</f>
        <v>20</v>
      </c>
      <c r="M160" s="1">
        <f>IF('исходные данные'!M160&gt;'минимумы и максимумы'!K$3,100,('исходные данные'!M160-'минимумы и максимумы'!K$2)/('минимумы и максимумы'!K$3-'минимумы и максимумы'!K$2)*100)</f>
        <v>45.161290322580641</v>
      </c>
      <c r="N160" s="1">
        <f>IF('исходные данные'!N160&gt;'минимумы и максимумы'!L$3,100,('исходные данные'!N160-'минимумы и максимумы'!L$2)/('минимумы и максимумы'!L$3-'минимумы и максимумы'!L$2)*100)</f>
        <v>38.637266382443748</v>
      </c>
      <c r="O160" s="1">
        <f>IF('исходные данные'!O160&gt;'минимумы и максимумы'!M$3,100,('исходные данные'!O160-'минимумы и максимумы'!M$2)/('минимумы и максимумы'!M$3-'минимумы и максимумы'!M$2)*100)</f>
        <v>33.333333333333329</v>
      </c>
      <c r="P160" s="1">
        <f>IF('исходные данные'!P160&gt;'минимумы и максимумы'!N$3,100,('исходные данные'!P160-'минимумы и максимумы'!N$2)/('минимумы и максимумы'!N$3-'минимумы и максимумы'!N$2)*100)</f>
        <v>0</v>
      </c>
      <c r="Q160" s="1">
        <f>IF('исходные данные'!Q160&gt;'минимумы и максимумы'!O$3,100,('исходные данные'!Q160-'минимумы и максимумы'!O$2)/('минимумы и максимумы'!O$3-'минимумы и максимумы'!O$2)*100)</f>
        <v>100</v>
      </c>
      <c r="R160" s="1">
        <f>IF('исходные данные'!R160&gt;'минимумы и максимумы'!P$3,100,('исходные данные'!R160-'минимумы и максимумы'!P$2)/('минимумы и максимумы'!P$3-'минимумы и максимумы'!P$2)*100)</f>
        <v>50</v>
      </c>
      <c r="S160" s="1">
        <f>IF('исходные данные'!S160&gt;'минимумы и максимумы'!Q$3,100,('исходные данные'!S160-'минимумы и максимумы'!Q$2)/('минимумы и максимумы'!Q$3-'минимумы и максимумы'!Q$2)*100)</f>
        <v>33.333333333333329</v>
      </c>
      <c r="T160" s="1">
        <f>IF('исходные данные'!T160&gt;'минимумы и максимумы'!R$3,100,('исходные данные'!T160-'минимумы и максимумы'!R$2)/('минимумы и максимумы'!R$3-'минимумы и максимумы'!R$2)*100)</f>
        <v>34.051913770347561</v>
      </c>
      <c r="U160" s="1">
        <f>IF('исходные данные'!U160&gt;'минимумы и максимумы'!S$3,100,('исходные данные'!U160-'минимумы и максимумы'!S$2)/('минимумы и максимумы'!S$3-'минимумы и максимумы'!S$2)*100)</f>
        <v>33.333333333333329</v>
      </c>
    </row>
    <row r="161" spans="1:21" x14ac:dyDescent="0.45">
      <c r="A161" s="4">
        <v>231</v>
      </c>
      <c r="B161" s="4">
        <v>1</v>
      </c>
      <c r="C161" s="4">
        <v>0</v>
      </c>
      <c r="D161" s="1">
        <f>IF('исходные данные'!D161&gt;'минимумы и максимумы'!B$3,100,('исходные данные'!D161-'минимумы и максимумы'!B$2)/('минимумы и максимумы'!B$3-'минимумы и максимумы'!B$2)*100)</f>
        <v>20</v>
      </c>
      <c r="E161" s="1">
        <f>IF('исходные данные'!E161&gt;'минимумы и максимумы'!C$3,100,('исходные данные'!E161-'минимумы и максимумы'!C$2)/('минимумы и максимумы'!C$3-'минимумы и максимумы'!C$2)*100)</f>
        <v>20</v>
      </c>
      <c r="F161" s="1">
        <f>IF('исходные данные'!F161&gt;'минимумы и максимумы'!D$3,100,('исходные данные'!F161-'минимумы и максимумы'!D$2)/('минимумы и максимумы'!D$3-'минимумы и максимумы'!D$2)*100)</f>
        <v>0</v>
      </c>
      <c r="G161" s="1">
        <f>IF('исходные данные'!G161&gt;'минимумы и максимумы'!E$3,100,('исходные данные'!G161-'минимумы и максимумы'!E$2)/('минимумы и максимумы'!E$3-'минимумы и максимумы'!E$2)*100)</f>
        <v>16.666666666666664</v>
      </c>
      <c r="H161" s="1">
        <f>IF('исходные данные'!H161&gt;'минимумы и максимумы'!F$3,100,('исходные данные'!H161-'минимумы и максимумы'!F$2)/('минимумы и максимумы'!F$3-'минимумы и максимумы'!F$2)*100)</f>
        <v>24</v>
      </c>
      <c r="I161" s="1">
        <f>IF('исходные данные'!I161&gt;'минимумы и максимумы'!G$3,100,('исходные данные'!I161-'минимумы и максимумы'!G$2)/('минимумы и максимумы'!G$3-'минимумы и максимумы'!G$2)*100)</f>
        <v>7.5471698113207548</v>
      </c>
      <c r="J161" s="1">
        <f>IF('исходные данные'!J161&gt;'минимумы и максимумы'!H$3,100,('исходные данные'!J161-'минимумы и максимумы'!H$2)/('минимумы и максимумы'!H$3-'минимумы и максимумы'!H$2)*100)</f>
        <v>0</v>
      </c>
      <c r="K161" s="1">
        <f>IF('исходные данные'!K161&gt;'минимумы и максимумы'!I$3,100,('исходные данные'!K161-'минимумы и максимумы'!I$2)/('минимумы и максимумы'!I$3-'минимумы и максимумы'!I$2)*100)</f>
        <v>5.5555555555555554</v>
      </c>
      <c r="L161" s="1">
        <f>IF('исходные данные'!L161&gt;'минимумы и максимумы'!J$3,100,('исходные данные'!L161-'минимумы и максимумы'!J$2)/('минимумы и максимумы'!J$3-'минимумы и максимумы'!J$2)*100)</f>
        <v>40</v>
      </c>
      <c r="M161" s="1">
        <f>IF('исходные данные'!M161&gt;'минимумы и максимумы'!K$3,100,('исходные данные'!M161-'минимумы и максимумы'!K$2)/('минимумы и максимумы'!K$3-'минимумы и максимумы'!K$2)*100)</f>
        <v>12.903225806451612</v>
      </c>
      <c r="N161" s="1">
        <f>IF('исходные данные'!N161&gt;'минимумы и максимумы'!L$3,100,('исходные данные'!N161-'минимумы и максимумы'!L$2)/('минимумы и максимумы'!L$3-'минимумы и максимумы'!L$2)*100)</f>
        <v>38.497762057352617</v>
      </c>
      <c r="O161" s="1">
        <f>IF('исходные данные'!O161&gt;'минимумы и максимумы'!M$3,100,('исходные данные'!O161-'минимумы и максимумы'!M$2)/('минимумы и максимумы'!M$3-'минимумы и максимумы'!M$2)*100)</f>
        <v>100</v>
      </c>
      <c r="P161" s="1">
        <f>IF('исходные данные'!P161&gt;'минимумы и максимумы'!N$3,100,('исходные данные'!P161-'минимумы и максимумы'!N$2)/('минимумы и максимумы'!N$3-'минимумы и максимумы'!N$2)*100)</f>
        <v>0</v>
      </c>
      <c r="Q161" s="1">
        <f>IF('исходные данные'!Q161&gt;'минимумы и максимумы'!O$3,100,('исходные данные'!Q161-'минимумы и максимумы'!O$2)/('минимумы и максимумы'!O$3-'минимумы и максимумы'!O$2)*100)</f>
        <v>100</v>
      </c>
      <c r="R161" s="1">
        <f>IF('исходные данные'!R161&gt;'минимумы и максимумы'!P$3,100,('исходные данные'!R161-'минимумы и максимумы'!P$2)/('минимумы и максимумы'!P$3-'минимумы и максимумы'!P$2)*100)</f>
        <v>100</v>
      </c>
      <c r="S161" s="1">
        <f>IF('исходные данные'!S161&gt;'минимумы и максимумы'!Q$3,100,('исходные данные'!S161-'минимумы и максимумы'!Q$2)/('минимумы и максимумы'!Q$3-'минимумы и максимумы'!Q$2)*100)</f>
        <v>50</v>
      </c>
      <c r="T161" s="1">
        <f>IF('исходные данные'!T161&gt;'минимумы и максимумы'!R$3,100,('исходные данные'!T161-'минимумы и максимумы'!R$2)/('минимумы и максимумы'!R$3-'минимумы и максимумы'!R$2)*100)</f>
        <v>27.012758468983723</v>
      </c>
      <c r="U161" s="1">
        <f>IF('исходные данные'!U161&gt;'минимумы и максимумы'!S$3,100,('исходные данные'!U161-'минимумы и максимумы'!S$2)/('минимумы и максимумы'!S$3-'минимумы и максимумы'!S$2)*100)</f>
        <v>33.333333333333329</v>
      </c>
    </row>
    <row r="162" spans="1:21" x14ac:dyDescent="0.45">
      <c r="A162" s="4">
        <v>234</v>
      </c>
      <c r="B162" s="4">
        <v>0</v>
      </c>
      <c r="C162" s="4">
        <v>0</v>
      </c>
      <c r="D162" s="1">
        <f>IF('исходные данные'!D162&gt;'минимумы и максимумы'!B$3,100,('исходные данные'!D162-'минимумы и максимумы'!B$2)/('минимумы и максимумы'!B$3-'минимумы и максимумы'!B$2)*100)</f>
        <v>0</v>
      </c>
      <c r="E162" s="1">
        <f>IF('исходные данные'!E162&gt;'минимумы и максимумы'!C$3,100,('исходные данные'!E162-'минимумы и максимумы'!C$2)/('минимумы и максимумы'!C$3-'минимумы и максимумы'!C$2)*100)</f>
        <v>30</v>
      </c>
      <c r="F162" s="1">
        <f>IF('исходные данные'!F162&gt;'минимумы и максимумы'!D$3,100,('исходные данные'!F162-'минимумы и максимумы'!D$2)/('минимумы и максимумы'!D$3-'минимумы и максимумы'!D$2)*100)</f>
        <v>0</v>
      </c>
      <c r="G162" s="1">
        <f>IF('исходные данные'!G162&gt;'минимумы и максимумы'!E$3,100,('исходные данные'!G162-'минимумы и максимумы'!E$2)/('минимумы и максимумы'!E$3-'минимумы и максимумы'!E$2)*100)</f>
        <v>41.666666666666671</v>
      </c>
      <c r="H162" s="1">
        <f>IF('исходные данные'!H162&gt;'минимумы и максимумы'!F$3,100,('исходные данные'!H162-'минимумы и максимумы'!F$2)/('минимумы и максимумы'!F$3-'минимумы и максимумы'!F$2)*100)</f>
        <v>64</v>
      </c>
      <c r="I162" s="1">
        <f>IF('исходные данные'!I162&gt;'минимумы и максимумы'!G$3,100,('исходные данные'!I162-'минимумы и максимумы'!G$2)/('минимумы и максимумы'!G$3-'минимумы и максимумы'!G$2)*100)</f>
        <v>7.5471698113207548</v>
      </c>
      <c r="J162" s="1">
        <f>IF('исходные данные'!J162&gt;'минимумы и максимумы'!H$3,100,('исходные данные'!J162-'минимумы и максимумы'!H$2)/('минимумы и максимумы'!H$3-'минимумы и максимумы'!H$2)*100)</f>
        <v>0</v>
      </c>
      <c r="K162" s="1">
        <f>IF('исходные данные'!K162&gt;'минимумы и максимумы'!I$3,100,('исходные данные'!K162-'минимумы и максимумы'!I$2)/('минимумы и максимумы'!I$3-'минимумы и максимумы'!I$2)*100)</f>
        <v>5.5555555555555554</v>
      </c>
      <c r="L162" s="1">
        <f>IF('исходные данные'!L162&gt;'минимумы и максимумы'!J$3,100,('исходные данные'!L162-'минимумы и максимумы'!J$2)/('минимумы и максимумы'!J$3-'минимумы и максимумы'!J$2)*100)</f>
        <v>20</v>
      </c>
      <c r="M162" s="1">
        <f>IF('исходные данные'!M162&gt;'минимумы и максимумы'!K$3,100,('исходные данные'!M162-'минимумы и максимумы'!K$2)/('минимумы и максимумы'!K$3-'минимумы и максимумы'!K$2)*100)</f>
        <v>22.58064516129032</v>
      </c>
      <c r="N162" s="1">
        <f>IF('исходные данные'!N162&gt;'минимумы и максимумы'!L$3,100,('исходные данные'!N162-'минимумы и максимумы'!L$2)/('минимумы и максимумы'!L$3-'минимумы и максимумы'!L$2)*100)</f>
        <v>48.295789645486693</v>
      </c>
      <c r="O162" s="1">
        <f>IF('исходные данные'!O162&gt;'минимумы и максимумы'!M$3,100,('исходные данные'!O162-'минимумы и максимумы'!M$2)/('минимумы и максимумы'!M$3-'минимумы и максимумы'!M$2)*100)</f>
        <v>66.666666666666657</v>
      </c>
      <c r="P162" s="1">
        <f>IF('исходные данные'!P162&gt;'минимумы и максимумы'!N$3,100,('исходные данные'!P162-'минимумы и максимумы'!N$2)/('минимумы и максимумы'!N$3-'минимумы и максимумы'!N$2)*100)</f>
        <v>0</v>
      </c>
      <c r="Q162" s="1">
        <f>IF('исходные данные'!Q162&gt;'минимумы и максимумы'!O$3,100,('исходные данные'!Q162-'минимумы и максимумы'!O$2)/('минимумы и максимумы'!O$3-'минимумы и максимумы'!O$2)*100)</f>
        <v>0</v>
      </c>
      <c r="R162" s="1">
        <f>IF('исходные данные'!R162&gt;'минимумы и максимумы'!P$3,100,('исходные данные'!R162-'минимумы и максимумы'!P$2)/('минимумы и максимумы'!P$3-'минимумы и максимумы'!P$2)*100)</f>
        <v>50</v>
      </c>
      <c r="S162" s="1">
        <f>IF('исходные данные'!S162&gt;'минимумы и максимумы'!Q$3,100,('исходные данные'!S162-'минимумы и максимумы'!Q$2)/('минимумы и максимумы'!Q$3-'минимумы и максимумы'!Q$2)*100)</f>
        <v>16.666666666666664</v>
      </c>
      <c r="T162" s="1">
        <f>IF('исходные данные'!T162&gt;'минимумы и максимумы'!R$3,100,('исходные данные'!T162-'минимумы и максимумы'!R$2)/('минимумы и максимумы'!R$3-'минимумы и максимумы'!R$2)*100)</f>
        <v>100</v>
      </c>
      <c r="U162" s="1">
        <f>IF('исходные данные'!U162&gt;'минимумы и максимумы'!S$3,100,('исходные данные'!U162-'минимумы и максимумы'!S$2)/('минимумы и максимумы'!S$3-'минимумы и максимумы'!S$2)*100)</f>
        <v>66.666666666666657</v>
      </c>
    </row>
    <row r="163" spans="1:21" x14ac:dyDescent="0.45">
      <c r="A163" s="4">
        <v>237</v>
      </c>
      <c r="B163" s="4">
        <v>0</v>
      </c>
      <c r="C163" s="4">
        <v>0</v>
      </c>
      <c r="D163" s="1">
        <f>IF('исходные данные'!D163&gt;'минимумы и максимумы'!B$3,100,('исходные данные'!D163-'минимумы и максимумы'!B$2)/('минимумы и максимумы'!B$3-'минимумы и максимумы'!B$2)*100)</f>
        <v>20</v>
      </c>
      <c r="E163" s="1">
        <f>IF('исходные данные'!E163&gt;'минимумы и максимумы'!C$3,100,('исходные данные'!E163-'минимумы и максимумы'!C$2)/('минимумы и максимумы'!C$3-'минимумы и максимумы'!C$2)*100)</f>
        <v>10</v>
      </c>
      <c r="F163" s="1">
        <f>IF('исходные данные'!F163&gt;'минимумы и максимумы'!D$3,100,('исходные данные'!F163-'минимумы и максимумы'!D$2)/('минимумы и максимумы'!D$3-'минимумы и максимумы'!D$2)*100)</f>
        <v>0</v>
      </c>
      <c r="G163" s="1">
        <f>IF('исходные данные'!G163&gt;'минимумы и максимумы'!E$3,100,('исходные данные'!G163-'минимумы и максимумы'!E$2)/('минимумы и максимумы'!E$3-'минимумы и максимумы'!E$2)*100)</f>
        <v>4.1666666666666661</v>
      </c>
      <c r="H163" s="1">
        <f>IF('исходные данные'!H163&gt;'минимумы и максимумы'!F$3,100,('исходные данные'!H163-'минимумы и максимумы'!F$2)/('минимумы и максимумы'!F$3-'минимумы и максимумы'!F$2)*100)</f>
        <v>4</v>
      </c>
      <c r="I163" s="1">
        <f>IF('исходные данные'!I163&gt;'минимумы и максимумы'!G$3,100,('исходные данные'!I163-'минимумы и максимумы'!G$2)/('минимумы и максимумы'!G$3-'минимумы и максимумы'!G$2)*100)</f>
        <v>3.7735849056603774</v>
      </c>
      <c r="J163" s="1">
        <f>IF('исходные данные'!J163&gt;'минимумы и максимумы'!H$3,100,('исходные данные'!J163-'минимумы и максимумы'!H$2)/('минимумы и максимумы'!H$3-'минимумы и максимумы'!H$2)*100)</f>
        <v>6.666666666666667</v>
      </c>
      <c r="K163" s="1">
        <f>IF('исходные данные'!K163&gt;'минимумы и максимумы'!I$3,100,('исходные данные'!K163-'минимумы и максимумы'!I$2)/('минимумы и максимумы'!I$3-'минимумы и максимумы'!I$2)*100)</f>
        <v>0</v>
      </c>
      <c r="L163" s="1">
        <f>IF('исходные данные'!L163&gt;'минимумы и максимумы'!J$3,100,('исходные данные'!L163-'минимумы и максимумы'!J$2)/('минимумы и максимумы'!J$3-'минимумы и максимумы'!J$2)*100)</f>
        <v>0</v>
      </c>
      <c r="M163" s="1">
        <f>IF('исходные данные'!M163&gt;'минимумы и максимумы'!K$3,100,('исходные данные'!M163-'минимумы и максимумы'!K$2)/('минимумы и максимумы'!K$3-'минимумы и максимумы'!K$2)*100)</f>
        <v>6.4516129032258061</v>
      </c>
      <c r="N163" s="1">
        <f>IF('исходные данные'!N163&gt;'минимумы и максимумы'!L$3,100,('исходные данные'!N163-'минимумы и максимумы'!L$2)/('минимумы и максимумы'!L$3-'минимумы и максимумы'!L$2)*100)</f>
        <v>59.515062270556783</v>
      </c>
      <c r="O163" s="1">
        <f>IF('исходные данные'!O163&gt;'минимумы и максимумы'!M$3,100,('исходные данные'!O163-'минимумы и максимумы'!M$2)/('минимумы и максимумы'!M$3-'минимумы и максимумы'!M$2)*100)</f>
        <v>66.666666666666657</v>
      </c>
      <c r="P163" s="1">
        <f>IF('исходные данные'!P163&gt;'минимумы и максимумы'!N$3,100,('исходные данные'!P163-'минимумы и максимумы'!N$2)/('минимумы и максимумы'!N$3-'минимумы и максимумы'!N$2)*100)</f>
        <v>0</v>
      </c>
      <c r="Q163" s="1">
        <f>IF('исходные данные'!Q163&gt;'минимумы и максимумы'!O$3,100,('исходные данные'!Q163-'минимумы и максимумы'!O$2)/('минимумы и максимумы'!O$3-'минимумы и максимумы'!O$2)*100)</f>
        <v>100</v>
      </c>
      <c r="R163" s="1">
        <f>IF('исходные данные'!R163&gt;'минимумы и максимумы'!P$3,100,('исходные данные'!R163-'минимумы и максимумы'!P$2)/('минимумы и максимумы'!P$3-'минимумы и максимумы'!P$2)*100)</f>
        <v>100</v>
      </c>
      <c r="S163" s="1">
        <f>IF('исходные данные'!S163&gt;'минимумы и максимумы'!Q$3,100,('исходные данные'!S163-'минимумы и максимумы'!Q$2)/('минимумы и максимумы'!Q$3-'минимумы и максимумы'!Q$2)*100)</f>
        <v>33.333333333333329</v>
      </c>
      <c r="T163" s="1">
        <f>IF('исходные данные'!T163&gt;'минимумы и максимумы'!R$3,100,('исходные данные'!T163-'минимумы и максимумы'!R$2)/('минимумы и максимумы'!R$3-'минимумы и максимумы'!R$2)*100)</f>
        <v>2.0237571491421029</v>
      </c>
      <c r="U163" s="1">
        <f>IF('исходные данные'!U163&gt;'минимумы и максимумы'!S$3,100,('исходные данные'!U163-'минимумы и максимумы'!S$2)/('минимумы и максимумы'!S$3-'минимумы и максимумы'!S$2)*100)</f>
        <v>0</v>
      </c>
    </row>
    <row r="164" spans="1:21" x14ac:dyDescent="0.45">
      <c r="A164" s="4">
        <v>238</v>
      </c>
      <c r="B164" s="4">
        <v>0</v>
      </c>
      <c r="C164" s="4">
        <v>0</v>
      </c>
      <c r="D164" s="1">
        <f>IF('исходные данные'!D164&gt;'минимумы и максимумы'!B$3,100,('исходные данные'!D164-'минимумы и максимумы'!B$2)/('минимумы и максимумы'!B$3-'минимумы и максимумы'!B$2)*100)</f>
        <v>40</v>
      </c>
      <c r="E164" s="1">
        <f>IF('исходные данные'!E164&gt;'минимумы и максимумы'!C$3,100,('исходные данные'!E164-'минимумы и максимумы'!C$2)/('минимумы и максимумы'!C$3-'минимумы и максимумы'!C$2)*100)</f>
        <v>20</v>
      </c>
      <c r="F164" s="1">
        <f>IF('исходные данные'!F164&gt;'минимумы и максимумы'!D$3,100,('исходные данные'!F164-'минимумы и максимумы'!D$2)/('минимумы и максимумы'!D$3-'минимумы и максимумы'!D$2)*100)</f>
        <v>0</v>
      </c>
      <c r="G164" s="1">
        <f>IF('исходные данные'!G164&gt;'минимумы и максимумы'!E$3,100,('исходные данные'!G164-'минимумы и максимумы'!E$2)/('минимумы и максимумы'!E$3-'минимумы и максимумы'!E$2)*100)</f>
        <v>4.1666666666666661</v>
      </c>
      <c r="H164" s="1">
        <f>IF('исходные данные'!H164&gt;'минимумы и максимумы'!F$3,100,('исходные данные'!H164-'минимумы и максимумы'!F$2)/('минимумы и максимумы'!F$3-'минимумы и максимумы'!F$2)*100)</f>
        <v>4</v>
      </c>
      <c r="I164" s="1">
        <f>IF('исходные данные'!I164&gt;'минимумы и максимумы'!G$3,100,('исходные данные'!I164-'минимумы и максимумы'!G$2)/('минимумы и максимумы'!G$3-'минимумы и максимумы'!G$2)*100)</f>
        <v>3.7735849056603774</v>
      </c>
      <c r="J164" s="1">
        <f>IF('исходные данные'!J164&gt;'минимумы и максимумы'!H$3,100,('исходные данные'!J164-'минимумы и максимумы'!H$2)/('минимумы и максимумы'!H$3-'минимумы и максимумы'!H$2)*100)</f>
        <v>6.666666666666667</v>
      </c>
      <c r="K164" s="1">
        <f>IF('исходные данные'!K164&gt;'минимумы и максимумы'!I$3,100,('исходные данные'!K164-'минимумы и максимумы'!I$2)/('минимумы и максимумы'!I$3-'минимумы и максимумы'!I$2)*100)</f>
        <v>0</v>
      </c>
      <c r="L164" s="1">
        <f>IF('исходные данные'!L164&gt;'минимумы и максимумы'!J$3,100,('исходные данные'!L164-'минимумы и максимумы'!J$2)/('минимумы и максимумы'!J$3-'минимумы и максимумы'!J$2)*100)</f>
        <v>0</v>
      </c>
      <c r="M164" s="1">
        <f>IF('исходные данные'!M164&gt;'минимумы и максимумы'!K$3,100,('исходные данные'!M164-'минимумы и максимумы'!K$2)/('минимумы и максимумы'!K$3-'минимумы и максимумы'!K$2)*100)</f>
        <v>6.4516129032258061</v>
      </c>
      <c r="N164" s="1">
        <f>IF('исходные данные'!N164&gt;'минимумы и максимумы'!L$3,100,('исходные данные'!N164-'минимумы и максимумы'!L$2)/('минимумы и максимумы'!L$3-'минимумы и максимумы'!L$2)*100)</f>
        <v>59.540671623176337</v>
      </c>
      <c r="O164" s="1">
        <f>IF('исходные данные'!O164&gt;'минимумы и максимумы'!M$3,100,('исходные данные'!O164-'минимумы и максимумы'!M$2)/('минимумы и максимумы'!M$3-'минимумы и максимумы'!M$2)*100)</f>
        <v>33.333333333333329</v>
      </c>
      <c r="P164" s="1">
        <f>IF('исходные данные'!P164&gt;'минимумы и максимумы'!N$3,100,('исходные данные'!P164-'минимумы и максимумы'!N$2)/('минимумы и максимумы'!N$3-'минимумы и максимумы'!N$2)*100)</f>
        <v>0</v>
      </c>
      <c r="Q164" s="1">
        <f>IF('исходные данные'!Q164&gt;'минимумы и максимумы'!O$3,100,('исходные данные'!Q164-'минимумы и максимумы'!O$2)/('минимумы и максимумы'!O$3-'минимумы и максимумы'!O$2)*100)</f>
        <v>100</v>
      </c>
      <c r="R164" s="1">
        <f>IF('исходные данные'!R164&gt;'минимумы и максимумы'!P$3,100,('исходные данные'!R164-'минимумы и максимумы'!P$2)/('минимумы и максимумы'!P$3-'минимумы и максимумы'!P$2)*100)</f>
        <v>100</v>
      </c>
      <c r="S164" s="1">
        <f>IF('исходные данные'!S164&gt;'минимумы и максимумы'!Q$3,100,('исходные данные'!S164-'минимумы и максимумы'!Q$2)/('минимумы и максимумы'!Q$3-'минимумы и максимумы'!Q$2)*100)</f>
        <v>33.333333333333329</v>
      </c>
      <c r="T164" s="1">
        <f>IF('исходные данные'!T164&gt;'минимумы и максимумы'!R$3,100,('исходные данные'!T164-'минимумы и максимумы'!R$2)/('минимумы и максимумы'!R$3-'минимумы и максимумы'!R$2)*100)</f>
        <v>4.7514298284205898</v>
      </c>
      <c r="U164" s="1">
        <f>IF('исходные данные'!U164&gt;'минимумы и максимумы'!S$3,100,('исходные данные'!U164-'минимумы и максимумы'!S$2)/('минимумы и максимумы'!S$3-'минимумы и максимумы'!S$2)*100)</f>
        <v>0</v>
      </c>
    </row>
    <row r="165" spans="1:21" x14ac:dyDescent="0.45">
      <c r="A165" s="4">
        <v>239</v>
      </c>
      <c r="B165" s="4">
        <v>1</v>
      </c>
      <c r="C165" s="4">
        <v>0</v>
      </c>
      <c r="D165" s="1">
        <f>IF('исходные данные'!D165&gt;'минимумы и максимумы'!B$3,100,('исходные данные'!D165-'минимумы и максимумы'!B$2)/('минимумы и максимумы'!B$3-'минимумы и максимумы'!B$2)*100)</f>
        <v>20</v>
      </c>
      <c r="E165" s="1">
        <f>IF('исходные данные'!E165&gt;'минимумы и максимумы'!C$3,100,('исходные данные'!E165-'минимумы и максимумы'!C$2)/('минимумы и максимумы'!C$3-'минимумы и максимумы'!C$2)*100)</f>
        <v>20</v>
      </c>
      <c r="F165" s="1">
        <f>IF('исходные данные'!F165&gt;'минимумы и максимумы'!D$3,100,('исходные данные'!F165-'минимумы и максимумы'!D$2)/('минимумы и максимумы'!D$3-'минимумы и максимумы'!D$2)*100)</f>
        <v>0</v>
      </c>
      <c r="G165" s="1">
        <f>IF('исходные данные'!G165&gt;'минимумы и максимумы'!E$3,100,('исходные данные'!G165-'минимумы и максимумы'!E$2)/('минимумы и максимумы'!E$3-'минимумы и максимумы'!E$2)*100)</f>
        <v>0</v>
      </c>
      <c r="H165" s="1">
        <f>IF('исходные данные'!H165&gt;'минимумы и максимумы'!F$3,100,('исходные данные'!H165-'минимумы и максимумы'!F$2)/('минимумы и максимумы'!F$3-'минимумы и максимумы'!F$2)*100)</f>
        <v>8</v>
      </c>
      <c r="I165" s="1">
        <f>IF('исходные данные'!I165&gt;'минимумы и максимумы'!G$3,100,('исходные данные'!I165-'минимумы и максимумы'!G$2)/('минимумы и максимумы'!G$3-'минимумы и максимумы'!G$2)*100)</f>
        <v>9.433962264150944</v>
      </c>
      <c r="J165" s="1">
        <f>IF('исходные данные'!J165&gt;'минимумы и максимумы'!H$3,100,('исходные данные'!J165-'минимумы и максимумы'!H$2)/('минимумы и максимумы'!H$3-'минимумы и максимумы'!H$2)*100)</f>
        <v>6.666666666666667</v>
      </c>
      <c r="K165" s="1">
        <f>IF('исходные данные'!K165&gt;'минимумы и максимумы'!I$3,100,('исходные данные'!K165-'минимумы и максимумы'!I$2)/('минимумы и максимумы'!I$3-'минимумы и максимумы'!I$2)*100)</f>
        <v>5.5555555555555554</v>
      </c>
      <c r="L165" s="1">
        <f>IF('исходные данные'!L165&gt;'минимумы и максимумы'!J$3,100,('исходные данные'!L165-'минимумы и максимумы'!J$2)/('минимумы и максимумы'!J$3-'минимумы и максимумы'!J$2)*100)</f>
        <v>0</v>
      </c>
      <c r="M165" s="1">
        <f>IF('исходные данные'!M165&gt;'минимумы и максимумы'!K$3,100,('исходные данные'!M165-'минимумы и максимумы'!K$2)/('минимумы и максимумы'!K$3-'минимумы и максимумы'!K$2)*100)</f>
        <v>16.129032258064516</v>
      </c>
      <c r="N165" s="1">
        <f>IF('исходные данные'!N165&gt;'минимумы и максимумы'!L$3,100,('исходные данные'!N165-'минимумы и максимумы'!L$2)/('минимумы и максимумы'!L$3-'минимумы и максимумы'!L$2)*100)</f>
        <v>68.155297418296797</v>
      </c>
      <c r="O165" s="1">
        <f>IF('исходные данные'!O165&gt;'минимумы и максимумы'!M$3,100,('исходные данные'!O165-'минимумы и максимумы'!M$2)/('минимумы и максимумы'!M$3-'минимумы и максимумы'!M$2)*100)</f>
        <v>100</v>
      </c>
      <c r="P165" s="1">
        <f>IF('исходные данные'!P165&gt;'минимумы и максимумы'!N$3,100,('исходные данные'!P165-'минимумы и максимумы'!N$2)/('минимумы и максимумы'!N$3-'минимумы и максимумы'!N$2)*100)</f>
        <v>0</v>
      </c>
      <c r="Q165" s="1">
        <f>IF('исходные данные'!Q165&gt;'минимумы и максимумы'!O$3,100,('исходные данные'!Q165-'минимумы и максимумы'!O$2)/('минимумы и максимумы'!O$3-'минимумы и максимумы'!O$2)*100)</f>
        <v>0</v>
      </c>
      <c r="R165" s="1">
        <f>IF('исходные данные'!R165&gt;'минимумы и максимумы'!P$3,100,('исходные данные'!R165-'минимумы и максимумы'!P$2)/('минимумы и максимумы'!P$3-'минимумы и максимумы'!P$2)*100)</f>
        <v>25</v>
      </c>
      <c r="S165" s="1">
        <f>IF('исходные данные'!S165&gt;'минимумы и максимумы'!Q$3,100,('исходные данные'!S165-'минимумы и максимумы'!Q$2)/('минимумы и максимумы'!Q$3-'минимумы и максимумы'!Q$2)*100)</f>
        <v>83.333333333333343</v>
      </c>
      <c r="T165" s="1">
        <f>IF('исходные данные'!T165&gt;'минимумы и максимумы'!R$3,100,('исходные данные'!T165-'минимумы и максимумы'!R$2)/('минимумы и максимумы'!R$3-'минимумы и максимумы'!R$2)*100)</f>
        <v>100</v>
      </c>
      <c r="U165" s="1">
        <f>IF('исходные данные'!U165&gt;'минимумы и максимумы'!S$3,100,('исходные данные'!U165-'минимумы и максимумы'!S$2)/('минимумы и максимумы'!S$3-'минимумы и максимумы'!S$2)*100)</f>
        <v>0</v>
      </c>
    </row>
    <row r="166" spans="1:21" x14ac:dyDescent="0.45">
      <c r="A166" s="4">
        <v>240</v>
      </c>
      <c r="B166" s="4">
        <v>1</v>
      </c>
      <c r="C166" s="4">
        <v>0</v>
      </c>
      <c r="D166" s="1">
        <f>IF('исходные данные'!D166&gt;'минимумы и максимумы'!B$3,100,('исходные данные'!D166-'минимумы и максимумы'!B$2)/('минимумы и максимумы'!B$3-'минимумы и максимумы'!B$2)*100)</f>
        <v>0</v>
      </c>
      <c r="E166" s="1">
        <f>IF('исходные данные'!E166&gt;'минимумы и максимумы'!C$3,100,('исходные данные'!E166-'минимумы и максимумы'!C$2)/('минимумы и максимумы'!C$3-'минимумы и максимумы'!C$2)*100)</f>
        <v>20</v>
      </c>
      <c r="F166" s="1">
        <f>IF('исходные данные'!F166&gt;'минимумы и максимумы'!D$3,100,('исходные данные'!F166-'минимумы и максимумы'!D$2)/('минимумы и максимумы'!D$3-'минимумы и максимумы'!D$2)*100)</f>
        <v>0</v>
      </c>
      <c r="G166" s="1">
        <f>IF('исходные данные'!G166&gt;'минимумы и максимумы'!E$3,100,('исходные данные'!G166-'минимумы и максимумы'!E$2)/('минимумы и максимумы'!E$3-'минимумы и максимумы'!E$2)*100)</f>
        <v>8.3333333333333321</v>
      </c>
      <c r="H166" s="1">
        <f>IF('исходные данные'!H166&gt;'минимумы и максимумы'!F$3,100,('исходные данные'!H166-'минимумы и максимумы'!F$2)/('минимумы и максимумы'!F$3-'минимумы и максимумы'!F$2)*100)</f>
        <v>8</v>
      </c>
      <c r="I166" s="1">
        <f>IF('исходные данные'!I166&gt;'минимумы и максимумы'!G$3,100,('исходные данные'!I166-'минимумы и максимумы'!G$2)/('минимумы и максимумы'!G$3-'минимумы и максимумы'!G$2)*100)</f>
        <v>5.6603773584905666</v>
      </c>
      <c r="J166" s="1">
        <f>IF('исходные данные'!J166&gt;'минимумы и максимумы'!H$3,100,('исходные данные'!J166-'минимумы и максимумы'!H$2)/('минимумы и максимумы'!H$3-'минимумы и максимумы'!H$2)*100)</f>
        <v>0</v>
      </c>
      <c r="K166" s="1">
        <f>IF('исходные данные'!K166&gt;'минимумы и максимумы'!I$3,100,('исходные данные'!K166-'минимумы и максимумы'!I$2)/('минимумы и максимумы'!I$3-'минимумы и максимумы'!I$2)*100)</f>
        <v>0</v>
      </c>
      <c r="L166" s="1">
        <f>IF('исходные данные'!L166&gt;'минимумы и максимумы'!J$3,100,('исходные данные'!L166-'минимумы и максимумы'!J$2)/('минимумы и максимумы'!J$3-'минимумы и максимумы'!J$2)*100)</f>
        <v>0</v>
      </c>
      <c r="M166" s="1">
        <f>IF('исходные данные'!M166&gt;'минимумы и максимумы'!K$3,100,('исходные данные'!M166-'минимумы и максимумы'!K$2)/('минимумы и максимумы'!K$3-'минимумы и максимумы'!K$2)*100)</f>
        <v>9.67741935483871</v>
      </c>
      <c r="N166" s="1">
        <f>IF('исходные данные'!N166&gt;'минимумы и максимумы'!L$3,100,('исходные данные'!N166-'минимумы и максимумы'!L$2)/('минимумы и максимумы'!L$3-'минимумы и максимумы'!L$2)*100)</f>
        <v>77.039203047143317</v>
      </c>
      <c r="O166" s="1">
        <f>IF('исходные данные'!O166&gt;'минимумы и максимумы'!M$3,100,('исходные данные'!O166-'минимумы и максимумы'!M$2)/('минимумы и максимумы'!M$3-'минимумы и максимумы'!M$2)*100)</f>
        <v>100</v>
      </c>
      <c r="P166" s="1">
        <f>IF('исходные данные'!P166&gt;'минимумы и максимумы'!N$3,100,('исходные данные'!P166-'минимумы и максимумы'!N$2)/('минимумы и максимумы'!N$3-'минимумы и максимумы'!N$2)*100)</f>
        <v>0</v>
      </c>
      <c r="Q166" s="1">
        <f>IF('исходные данные'!Q166&gt;'минимумы и максимумы'!O$3,100,('исходные данные'!Q166-'минимумы и максимумы'!O$2)/('минимумы и максимумы'!O$3-'минимумы и максимумы'!O$2)*100)</f>
        <v>100</v>
      </c>
      <c r="R166" s="1">
        <f>IF('исходные данные'!R166&gt;'минимумы и максимумы'!P$3,100,('исходные данные'!R166-'минимумы и максимумы'!P$2)/('минимумы и максимумы'!P$3-'минимумы и максимумы'!P$2)*100)</f>
        <v>50</v>
      </c>
      <c r="S166" s="1">
        <f>IF('исходные данные'!S166&gt;'минимумы и максимумы'!Q$3,100,('исходные данные'!S166-'минимумы и максимумы'!Q$2)/('минимумы и максимумы'!Q$3-'минимумы и максимумы'!Q$2)*100)</f>
        <v>16.666666666666664</v>
      </c>
      <c r="T166" s="1">
        <f>IF('исходные данные'!T166&gt;'минимумы и максимумы'!R$3,100,('исходные данные'!T166-'минимумы и максимумы'!R$2)/('минимумы и максимумы'!R$3-'минимумы и максимумы'!R$2)*100)</f>
        <v>29.872415310162779</v>
      </c>
      <c r="U166" s="1">
        <f>IF('исходные данные'!U166&gt;'минимумы и максимумы'!S$3,100,('исходные данные'!U166-'минимумы и максимумы'!S$2)/('минимумы и максимумы'!S$3-'минимумы и максимумы'!S$2)*100)</f>
        <v>66.666666666666657</v>
      </c>
    </row>
    <row r="167" spans="1:21" x14ac:dyDescent="0.45">
      <c r="A167" s="4">
        <v>241</v>
      </c>
      <c r="B167" s="4">
        <v>0</v>
      </c>
      <c r="C167" s="4">
        <v>0</v>
      </c>
      <c r="D167" s="1">
        <f>IF('исходные данные'!D167&gt;'минимумы и максимумы'!B$3,100,('исходные данные'!D167-'минимумы и максимумы'!B$2)/('минимумы и максимумы'!B$3-'минимумы и максимумы'!B$2)*100)</f>
        <v>20</v>
      </c>
      <c r="E167" s="1">
        <f>IF('исходные данные'!E167&gt;'минимумы и максимумы'!C$3,100,('исходные данные'!E167-'минимумы и максимумы'!C$2)/('минимумы и максимумы'!C$3-'минимумы и максимумы'!C$2)*100)</f>
        <v>60</v>
      </c>
      <c r="F167" s="1">
        <f>IF('исходные данные'!F167&gt;'минимумы и максимумы'!D$3,100,('исходные данные'!F167-'минимумы и максимумы'!D$2)/('минимумы и максимумы'!D$3-'минимумы и максимумы'!D$2)*100)</f>
        <v>33.333333333333329</v>
      </c>
      <c r="G167" s="1">
        <f>IF('исходные данные'!G167&gt;'минимумы и максимумы'!E$3,100,('исходные данные'!G167-'минимумы и максимумы'!E$2)/('минимумы и максимумы'!E$3-'минимумы и максимумы'!E$2)*100)</f>
        <v>75</v>
      </c>
      <c r="H167" s="1">
        <f>IF('исходные данные'!H167&gt;'минимумы и максимумы'!F$3,100,('исходные данные'!H167-'минимумы и максимумы'!F$2)/('минимумы и максимумы'!F$3-'минимумы и максимумы'!F$2)*100)</f>
        <v>68</v>
      </c>
      <c r="I167" s="1">
        <f>IF('исходные данные'!I167&gt;'минимумы и максимумы'!G$3,100,('исходные данные'!I167-'минимумы и максимумы'!G$2)/('минимумы и максимумы'!G$3-'минимумы и максимумы'!G$2)*100)</f>
        <v>13.20754716981132</v>
      </c>
      <c r="J167" s="1">
        <f>IF('исходные данные'!J167&gt;'минимумы и максимумы'!H$3,100,('исходные данные'!J167-'минимумы и максимумы'!H$2)/('минимумы и максимумы'!H$3-'минимумы и максимумы'!H$2)*100)</f>
        <v>0</v>
      </c>
      <c r="K167" s="1">
        <f>IF('исходные данные'!K167&gt;'минимумы и максимумы'!I$3,100,('исходные данные'!K167-'минимумы и максимумы'!I$2)/('минимумы и максимумы'!I$3-'минимумы и максимумы'!I$2)*100)</f>
        <v>0</v>
      </c>
      <c r="L167" s="1">
        <f>IF('исходные данные'!L167&gt;'минимумы и максимумы'!J$3,100,('исходные данные'!L167-'минимумы и максимумы'!J$2)/('минимумы и максимумы'!J$3-'минимумы и максимумы'!J$2)*100)</f>
        <v>0</v>
      </c>
      <c r="M167" s="1">
        <f>IF('исходные данные'!M167&gt;'минимумы и максимумы'!K$3,100,('исходные данные'!M167-'минимумы и максимумы'!K$2)/('минимумы и максимумы'!K$3-'минимумы и максимумы'!K$2)*100)</f>
        <v>12.903225806451612</v>
      </c>
      <c r="N167" s="1">
        <f>IF('исходные данные'!N167&gt;'минимумы и максимумы'!L$3,100,('исходные данные'!N167-'минимумы и максимумы'!L$2)/('минимумы и максимумы'!L$3-'минимумы и максимумы'!L$2)*100)</f>
        <v>75.027444908251013</v>
      </c>
      <c r="O167" s="1">
        <f>IF('исходные данные'!O167&gt;'минимумы и максимумы'!M$3,100,('исходные данные'!O167-'минимумы и максимумы'!M$2)/('минимумы и максимумы'!M$3-'минимумы и максимумы'!M$2)*100)</f>
        <v>33.333333333333329</v>
      </c>
      <c r="P167" s="1">
        <f>IF('исходные данные'!P167&gt;'минимумы и максимумы'!N$3,100,('исходные данные'!P167-'минимумы и максимумы'!N$2)/('минимумы и максимумы'!N$3-'минимумы и максимумы'!N$2)*100)</f>
        <v>0</v>
      </c>
      <c r="Q167" s="1">
        <f>IF('исходные данные'!Q167&gt;'минимумы и максимумы'!O$3,100,('исходные данные'!Q167-'минимумы и максимумы'!O$2)/('минимумы и максимумы'!O$3-'минимумы и максимумы'!O$2)*100)</f>
        <v>100</v>
      </c>
      <c r="R167" s="1">
        <f>IF('исходные данные'!R167&gt;'минимумы и максимумы'!P$3,100,('исходные данные'!R167-'минимумы и максимумы'!P$2)/('минимумы и максимумы'!P$3-'минимумы и максимумы'!P$2)*100)</f>
        <v>100</v>
      </c>
      <c r="S167" s="1">
        <f>IF('исходные данные'!S167&gt;'минимумы и максимумы'!Q$3,100,('исходные данные'!S167-'минимумы и максимумы'!Q$2)/('минимумы и максимумы'!Q$3-'минимумы и максимумы'!Q$2)*100)</f>
        <v>33.333333333333329</v>
      </c>
      <c r="T167" s="1">
        <f>IF('исходные данные'!T167&gt;'минимумы и максимумы'!R$3,100,('исходные данные'!T167-'минимумы и максимумы'!R$2)/('минимумы и максимумы'!R$3-'минимумы и максимумы'!R$2)*100)</f>
        <v>5.2793664760228776</v>
      </c>
      <c r="U167" s="1">
        <f>IF('исходные данные'!U167&gt;'минимумы и максимумы'!S$3,100,('исходные данные'!U167-'минимумы и максимумы'!S$2)/('минимумы и максимумы'!S$3-'минимумы и максимумы'!S$2)*100)</f>
        <v>0</v>
      </c>
    </row>
    <row r="168" spans="1:21" x14ac:dyDescent="0.45">
      <c r="A168" s="4">
        <v>242</v>
      </c>
      <c r="B168" s="4">
        <v>0</v>
      </c>
      <c r="C168" s="4">
        <v>0</v>
      </c>
      <c r="D168" s="1">
        <f>IF('исходные данные'!D168&gt;'минимумы и максимумы'!B$3,100,('исходные данные'!D168-'минимумы и максимумы'!B$2)/('минимумы и максимумы'!B$3-'минимумы и максимумы'!B$2)*100)</f>
        <v>20</v>
      </c>
      <c r="E168" s="1">
        <f>IF('исходные данные'!E168&gt;'минимумы и максимумы'!C$3,100,('исходные данные'!E168-'минимумы и максимумы'!C$2)/('минимумы и максимумы'!C$3-'минимумы и максимумы'!C$2)*100)</f>
        <v>60</v>
      </c>
      <c r="F168" s="1">
        <f>IF('исходные данные'!F168&gt;'минимумы и максимумы'!D$3,100,('исходные данные'!F168-'минимумы и максимумы'!D$2)/('минимумы и максимумы'!D$3-'минимумы и максимумы'!D$2)*100)</f>
        <v>33.333333333333329</v>
      </c>
      <c r="G168" s="1">
        <f>IF('исходные данные'!G168&gt;'минимумы и максимумы'!E$3,100,('исходные данные'!G168-'минимумы и максимумы'!E$2)/('минимумы и максимумы'!E$3-'минимумы и максимумы'!E$2)*100)</f>
        <v>75</v>
      </c>
      <c r="H168" s="1">
        <f>IF('исходные данные'!H168&gt;'минимумы и максимумы'!F$3,100,('исходные данные'!H168-'минимумы и максимумы'!F$2)/('минимумы и максимумы'!F$3-'минимумы и максимумы'!F$2)*100)</f>
        <v>68</v>
      </c>
      <c r="I168" s="1">
        <f>IF('исходные данные'!I168&gt;'минимумы и максимумы'!G$3,100,('исходные данные'!I168-'минимумы и максимумы'!G$2)/('минимумы и максимумы'!G$3-'минимумы и максимумы'!G$2)*100)</f>
        <v>13.20754716981132</v>
      </c>
      <c r="J168" s="1">
        <f>IF('исходные данные'!J168&gt;'минимумы и максимумы'!H$3,100,('исходные данные'!J168-'минимумы и максимумы'!H$2)/('минимумы и максимумы'!H$3-'минимумы и максимумы'!H$2)*100)</f>
        <v>0</v>
      </c>
      <c r="K168" s="1">
        <f>IF('исходные данные'!K168&gt;'минимумы и максимумы'!I$3,100,('исходные данные'!K168-'минимумы и максимумы'!I$2)/('минимумы и максимумы'!I$3-'минимумы и максимумы'!I$2)*100)</f>
        <v>0</v>
      </c>
      <c r="L168" s="1">
        <f>IF('исходные данные'!L168&gt;'минимумы и максимумы'!J$3,100,('исходные данные'!L168-'минимумы и максимумы'!J$2)/('минимумы и максимумы'!J$3-'минимумы и максимумы'!J$2)*100)</f>
        <v>0</v>
      </c>
      <c r="M168" s="1">
        <f>IF('исходные данные'!M168&gt;'минимумы и максимумы'!K$3,100,('исходные данные'!M168-'минимумы и максимумы'!K$2)/('минимумы и максимумы'!K$3-'минимумы и максимумы'!K$2)*100)</f>
        <v>12.903225806451612</v>
      </c>
      <c r="N168" s="1">
        <f>IF('исходные данные'!N168&gt;'минимумы и максимумы'!L$3,100,('исходные данные'!N168-'минимумы и максимумы'!L$2)/('минимумы и максимумы'!L$3-'минимумы и максимумы'!L$2)*100)</f>
        <v>75.304692993415017</v>
      </c>
      <c r="O168" s="1">
        <f>IF('исходные данные'!O168&gt;'минимумы и максимумы'!M$3,100,('исходные данные'!O168-'минимумы и максимумы'!M$2)/('минимумы и максимумы'!M$3-'минимумы и максимумы'!M$2)*100)</f>
        <v>100</v>
      </c>
      <c r="P168" s="1">
        <f>IF('исходные данные'!P168&gt;'минимумы и максимумы'!N$3,100,('исходные данные'!P168-'минимумы и максимумы'!N$2)/('минимумы и максимумы'!N$3-'минимумы и максимумы'!N$2)*100)</f>
        <v>0</v>
      </c>
      <c r="Q168" s="1">
        <f>IF('исходные данные'!Q168&gt;'минимумы и максимумы'!O$3,100,('исходные данные'!Q168-'минимумы и максимумы'!O$2)/('минимумы и максимумы'!O$3-'минимумы и максимумы'!O$2)*100)</f>
        <v>100</v>
      </c>
      <c r="R168" s="1">
        <f>IF('исходные данные'!R168&gt;'минимумы и максимумы'!P$3,100,('исходные данные'!R168-'минимумы и максимумы'!P$2)/('минимумы и максимумы'!P$3-'минимумы и максимумы'!P$2)*100)</f>
        <v>100</v>
      </c>
      <c r="S168" s="1">
        <f>IF('исходные данные'!S168&gt;'минимумы и максимумы'!Q$3,100,('исходные данные'!S168-'минимумы и максимумы'!Q$2)/('минимумы и максимумы'!Q$3-'минимумы и максимумы'!Q$2)*100)</f>
        <v>33.333333333333329</v>
      </c>
      <c r="T168" s="1">
        <f>IF('исходные данные'!T168&gt;'минимумы и максимумы'!R$3,100,('исходные данные'!T168-'минимумы и максимумы'!R$2)/('минимумы и максимумы'!R$3-'минимумы и максимумы'!R$2)*100)</f>
        <v>9.5028596568411796</v>
      </c>
      <c r="U168" s="1">
        <f>IF('исходные данные'!U168&gt;'минимумы и максимумы'!S$3,100,('исходные данные'!U168-'минимумы и максимумы'!S$2)/('минимумы и максимумы'!S$3-'минимумы и максимумы'!S$2)*100)</f>
        <v>33.333333333333329</v>
      </c>
    </row>
    <row r="169" spans="1:21" x14ac:dyDescent="0.45">
      <c r="A169" s="4">
        <v>244</v>
      </c>
      <c r="B169" s="4">
        <v>0</v>
      </c>
      <c r="C169" s="4">
        <v>0</v>
      </c>
      <c r="D169" s="1">
        <f>IF('исходные данные'!D169&gt;'минимумы и максимумы'!B$3,100,('исходные данные'!D169-'минимумы и максимумы'!B$2)/('минимумы и максимумы'!B$3-'минимумы и максимумы'!B$2)*100)</f>
        <v>0</v>
      </c>
      <c r="E169" s="1">
        <f>IF('исходные данные'!E169&gt;'минимумы и максимумы'!C$3,100,('исходные данные'!E169-'минимумы и максимумы'!C$2)/('минимумы и максимумы'!C$3-'минимумы и максимумы'!C$2)*100)</f>
        <v>0</v>
      </c>
      <c r="F169" s="1">
        <f>IF('исходные данные'!F169&gt;'минимумы и максимумы'!D$3,100,('исходные данные'!F169-'минимумы и максимумы'!D$2)/('минимумы и максимумы'!D$3-'минимумы и максимумы'!D$2)*100)</f>
        <v>0</v>
      </c>
      <c r="G169" s="1">
        <f>IF('исходные данные'!G169&gt;'минимумы и максимумы'!E$3,100,('исходные данные'!G169-'минимумы и максимумы'!E$2)/('минимумы и максимумы'!E$3-'минимумы и максимумы'!E$2)*100)</f>
        <v>0</v>
      </c>
      <c r="H169" s="1">
        <f>IF('исходные данные'!H169&gt;'минимумы и максимумы'!F$3,100,('исходные данные'!H169-'минимумы и максимумы'!F$2)/('минимумы и максимумы'!F$3-'минимумы и максимумы'!F$2)*100)</f>
        <v>0</v>
      </c>
      <c r="I169" s="1">
        <f>IF('исходные данные'!I169&gt;'минимумы и максимумы'!G$3,100,('исходные данные'!I169-'минимумы и максимумы'!G$2)/('минимумы и максимумы'!G$3-'минимумы и максимумы'!G$2)*100)</f>
        <v>0</v>
      </c>
      <c r="J169" s="1">
        <f>IF('исходные данные'!J169&gt;'минимумы и максимумы'!H$3,100,('исходные данные'!J169-'минимумы и максимумы'!H$2)/('минимумы и максимумы'!H$3-'минимумы и максимумы'!H$2)*100)</f>
        <v>0</v>
      </c>
      <c r="K169" s="1">
        <f>IF('исходные данные'!K169&gt;'минимумы и максимумы'!I$3,100,('исходные данные'!K169-'минимумы и максимумы'!I$2)/('минимумы и максимумы'!I$3-'минимумы и максимумы'!I$2)*100)</f>
        <v>0</v>
      </c>
      <c r="L169" s="1">
        <f>IF('исходные данные'!L169&gt;'минимумы и максимумы'!J$3,100,('исходные данные'!L169-'минимумы и максимумы'!J$2)/('минимумы и максимумы'!J$3-'минимумы и максимумы'!J$2)*100)</f>
        <v>0</v>
      </c>
      <c r="M169" s="1">
        <f>IF('исходные данные'!M169&gt;'минимумы и максимумы'!K$3,100,('исходные данные'!M169-'минимумы и максимумы'!K$2)/('минимумы и максимумы'!K$3-'минимумы и максимумы'!K$2)*100)</f>
        <v>0</v>
      </c>
      <c r="N169" s="1">
        <f>IF('исходные данные'!N169&gt;'минимумы и максимумы'!L$3,100,('исходные данные'!N169-'минимумы и максимумы'!L$2)/('минимумы и максимумы'!L$3-'минимумы и максимумы'!L$2)*100)</f>
        <v>75.913771728912721</v>
      </c>
      <c r="O169" s="1">
        <f>IF('исходные данные'!O169&gt;'минимумы и максимумы'!M$3,100,('исходные данные'!O169-'минимумы и максимумы'!M$2)/('минимумы и максимумы'!M$3-'минимумы и максимумы'!M$2)*100)</f>
        <v>66.666666666666657</v>
      </c>
      <c r="P169" s="1">
        <f>IF('исходные данные'!P169&gt;'минимумы и максимумы'!N$3,100,('исходные данные'!P169-'минимумы и максимумы'!N$2)/('минимумы и максимумы'!N$3-'минимумы и максимумы'!N$2)*100)</f>
        <v>0</v>
      </c>
      <c r="Q169" s="1">
        <f>IF('исходные данные'!Q169&gt;'минимумы и максимумы'!O$3,100,('исходные данные'!Q169-'минимумы и максимумы'!O$2)/('минимумы и максимумы'!O$3-'минимумы и максимумы'!O$2)*100)</f>
        <v>0</v>
      </c>
      <c r="R169" s="1">
        <f>IF('исходные данные'!R169&gt;'минимумы и максимумы'!P$3,100,('исходные данные'!R169-'минимумы и максимумы'!P$2)/('минимумы и максимумы'!P$3-'минимумы и максимумы'!P$2)*100)</f>
        <v>25</v>
      </c>
      <c r="S169" s="1">
        <f>IF('исходные данные'!S169&gt;'минимумы и максимумы'!Q$3,100,('исходные данные'!S169-'минимумы и максимумы'!Q$2)/('минимумы и максимумы'!Q$3-'минимумы и максимумы'!Q$2)*100)</f>
        <v>16.666666666666664</v>
      </c>
      <c r="T169" s="1">
        <f>IF('исходные данные'!T169&gt;'минимумы и максимумы'!R$3,100,('исходные данные'!T169-'минимумы и максимумы'!R$2)/('минимумы и максимумы'!R$3-'минимумы и максимумы'!R$2)*100)</f>
        <v>37.48350197976243</v>
      </c>
      <c r="U169" s="1">
        <f>IF('исходные данные'!U169&gt;'минимумы и максимумы'!S$3,100,('исходные данные'!U169-'минимумы и максимумы'!S$2)/('минимумы и максимумы'!S$3-'минимумы и максимумы'!S$2)*100)</f>
        <v>0</v>
      </c>
    </row>
    <row r="170" spans="1:21" x14ac:dyDescent="0.45">
      <c r="A170" s="4">
        <v>245</v>
      </c>
      <c r="B170" s="4">
        <v>0</v>
      </c>
      <c r="C170" s="4">
        <v>0</v>
      </c>
      <c r="D170" s="1">
        <f>IF('исходные данные'!D170&gt;'минимумы и максимумы'!B$3,100,('исходные данные'!D170-'минимумы и максимумы'!B$2)/('минимумы и максимумы'!B$3-'минимумы и максимумы'!B$2)*100)</f>
        <v>0</v>
      </c>
      <c r="E170" s="1">
        <f>IF('исходные данные'!E170&gt;'минимумы и максимумы'!C$3,100,('исходные данные'!E170-'минимумы и максимумы'!C$2)/('минимумы и максимумы'!C$3-'минимумы и максимумы'!C$2)*100)</f>
        <v>0</v>
      </c>
      <c r="F170" s="1">
        <f>IF('исходные данные'!F170&gt;'минимумы и максимумы'!D$3,100,('исходные данные'!F170-'минимумы и максимумы'!D$2)/('минимумы и максимумы'!D$3-'минимумы и максимумы'!D$2)*100)</f>
        <v>0</v>
      </c>
      <c r="G170" s="1">
        <f>IF('исходные данные'!G170&gt;'минимумы и максимумы'!E$3,100,('исходные данные'!G170-'минимумы и максимумы'!E$2)/('минимумы и максимумы'!E$3-'минимумы и максимумы'!E$2)*100)</f>
        <v>0</v>
      </c>
      <c r="H170" s="1">
        <f>IF('исходные данные'!H170&gt;'минимумы и максимумы'!F$3,100,('исходные данные'!H170-'минимумы и максимумы'!F$2)/('минимумы и максимумы'!F$3-'минимумы и максимумы'!F$2)*100)</f>
        <v>0</v>
      </c>
      <c r="I170" s="1">
        <f>IF('исходные данные'!I170&gt;'минимумы и максимумы'!G$3,100,('исходные данные'!I170-'минимумы и максимумы'!G$2)/('минимумы и максимумы'!G$3-'минимумы и максимумы'!G$2)*100)</f>
        <v>0</v>
      </c>
      <c r="J170" s="1">
        <f>IF('исходные данные'!J170&gt;'минимумы и максимумы'!H$3,100,('исходные данные'!J170-'минимумы и максимумы'!H$2)/('минимумы и максимумы'!H$3-'минимумы и максимумы'!H$2)*100)</f>
        <v>0</v>
      </c>
      <c r="K170" s="1">
        <f>IF('исходные данные'!K170&gt;'минимумы и максимумы'!I$3,100,('исходные данные'!K170-'минимумы и максимумы'!I$2)/('минимумы и максимумы'!I$3-'минимумы и максимумы'!I$2)*100)</f>
        <v>0</v>
      </c>
      <c r="L170" s="1">
        <f>IF('исходные данные'!L170&gt;'минимумы и максимумы'!J$3,100,('исходные данные'!L170-'минимумы и максимумы'!J$2)/('минимумы и максимумы'!J$3-'минимумы и максимумы'!J$2)*100)</f>
        <v>0</v>
      </c>
      <c r="M170" s="1">
        <f>IF('исходные данные'!M170&gt;'минимумы и максимумы'!K$3,100,('исходные данные'!M170-'минимумы и максимумы'!K$2)/('минимумы и максимумы'!K$3-'минимумы и максимумы'!K$2)*100)</f>
        <v>16.129032258064516</v>
      </c>
      <c r="N170" s="1">
        <f>IF('исходные данные'!N170&gt;'минимумы и максимумы'!L$3,100,('исходные данные'!N170-'минимумы и максимумы'!L$2)/('минимумы и максимумы'!L$3-'минимумы и максимумы'!L$2)*100)</f>
        <v>71.771662487088477</v>
      </c>
      <c r="O170" s="1">
        <f>IF('исходные данные'!O170&gt;'минимумы и максимумы'!M$3,100,('исходные данные'!O170-'минимумы и максимумы'!M$2)/('минимумы и максимумы'!M$3-'минимумы и максимумы'!M$2)*100)</f>
        <v>0</v>
      </c>
      <c r="P170" s="1">
        <f>IF('исходные данные'!P170&gt;'минимумы и максимумы'!N$3,100,('исходные данные'!P170-'минимумы и максимумы'!N$2)/('минимумы и максимумы'!N$3-'минимумы и максимумы'!N$2)*100)</f>
        <v>0</v>
      </c>
      <c r="Q170" s="1">
        <f>IF('исходные данные'!Q170&gt;'минимумы и максимумы'!O$3,100,('исходные данные'!Q170-'минимумы и максимумы'!O$2)/('минимумы и максимумы'!O$3-'минимумы и максимумы'!O$2)*100)</f>
        <v>0</v>
      </c>
      <c r="R170" s="1">
        <f>IF('исходные данные'!R170&gt;'минимумы и максимумы'!P$3,100,('исходные данные'!R170-'минимумы и максимумы'!P$2)/('минимумы и максимумы'!P$3-'минимумы и максимумы'!P$2)*100)</f>
        <v>25</v>
      </c>
      <c r="S170" s="1">
        <f>IF('исходные данные'!S170&gt;'минимумы и максимумы'!Q$3,100,('исходные данные'!S170-'минимумы и максимумы'!Q$2)/('минимумы и максимумы'!Q$3-'минимумы и максимумы'!Q$2)*100)</f>
        <v>16.666666666666664</v>
      </c>
      <c r="T170" s="1">
        <f>IF('исходные данные'!T170&gt;'минимумы и максимумы'!R$3,100,('исходные данные'!T170-'минимумы и максимумы'!R$2)/('минимумы и максимумы'!R$3-'минимумы и максимумы'!R$2)*100)</f>
        <v>4.0035195776506818</v>
      </c>
      <c r="U170" s="1">
        <f>IF('исходные данные'!U170&gt;'минимумы и максимумы'!S$3,100,('исходные данные'!U170-'минимумы и максимумы'!S$2)/('минимумы и максимумы'!S$3-'минимумы и максимумы'!S$2)*100)</f>
        <v>0</v>
      </c>
    </row>
    <row r="171" spans="1:21" x14ac:dyDescent="0.45">
      <c r="A171" s="4">
        <v>246</v>
      </c>
      <c r="B171" s="4">
        <v>0</v>
      </c>
      <c r="C171" s="4">
        <v>0</v>
      </c>
      <c r="D171" s="1">
        <f>IF('исходные данные'!D171&gt;'минимумы и максимумы'!B$3,100,('исходные данные'!D171-'минимумы и максимумы'!B$2)/('минимумы и максимумы'!B$3-'минимумы и максимумы'!B$2)*100)</f>
        <v>0</v>
      </c>
      <c r="E171" s="1">
        <f>IF('исходные данные'!E171&gt;'минимумы и максимумы'!C$3,100,('исходные данные'!E171-'минимумы и максимумы'!C$2)/('минимумы и максимумы'!C$3-'минимумы и максимумы'!C$2)*100)</f>
        <v>0</v>
      </c>
      <c r="F171" s="1">
        <f>IF('исходные данные'!F171&gt;'минимумы и максимумы'!D$3,100,('исходные данные'!F171-'минимумы и максимумы'!D$2)/('минимумы и максимумы'!D$3-'минимумы и максимумы'!D$2)*100)</f>
        <v>0</v>
      </c>
      <c r="G171" s="1">
        <f>IF('исходные данные'!G171&gt;'минимумы и максимумы'!E$3,100,('исходные данные'!G171-'минимумы и максимумы'!E$2)/('минимумы и максимумы'!E$3-'минимумы и максимумы'!E$2)*100)</f>
        <v>0</v>
      </c>
      <c r="H171" s="1">
        <f>IF('исходные данные'!H171&gt;'минимумы и максимумы'!F$3,100,('исходные данные'!H171-'минимумы и максимумы'!F$2)/('минимумы и максимумы'!F$3-'минимумы и максимумы'!F$2)*100)</f>
        <v>0</v>
      </c>
      <c r="I171" s="1">
        <f>IF('исходные данные'!I171&gt;'минимумы и максимумы'!G$3,100,('исходные данные'!I171-'минимумы и максимумы'!G$2)/('минимумы и максимумы'!G$3-'минимумы и максимумы'!G$2)*100)</f>
        <v>0</v>
      </c>
      <c r="J171" s="1">
        <f>IF('исходные данные'!J171&gt;'минимумы и максимумы'!H$3,100,('исходные данные'!J171-'минимумы и максимумы'!H$2)/('минимумы и максимумы'!H$3-'минимумы и максимумы'!H$2)*100)</f>
        <v>6.666666666666667</v>
      </c>
      <c r="K171" s="1">
        <f>IF('исходные данные'!K171&gt;'минимумы и максимумы'!I$3,100,('исходные данные'!K171-'минимумы и максимумы'!I$2)/('минимумы и максимумы'!I$3-'минимумы и максимумы'!I$2)*100)</f>
        <v>5.5555555555555554</v>
      </c>
      <c r="L171" s="1">
        <f>IF('исходные данные'!L171&gt;'минимумы и максимумы'!J$3,100,('исходные данные'!L171-'минимумы и максимумы'!J$2)/('минимумы и максимумы'!J$3-'минимумы и максимумы'!J$2)*100)</f>
        <v>0</v>
      </c>
      <c r="M171" s="1">
        <f>IF('исходные данные'!M171&gt;'минимумы и максимумы'!K$3,100,('исходные данные'!M171-'минимумы и максимумы'!K$2)/('минимумы и максимумы'!K$3-'минимумы и максимумы'!K$2)*100)</f>
        <v>0</v>
      </c>
      <c r="N171" s="1">
        <f>IF('исходные данные'!N171&gt;'минимумы и максимумы'!L$3,100,('исходные данные'!N171-'минимумы и максимумы'!L$2)/('минимумы и максимумы'!L$3-'минимумы и максимумы'!L$2)*100)</f>
        <v>82.329391620207787</v>
      </c>
      <c r="O171" s="1">
        <f>IF('исходные данные'!O171&gt;'минимумы и максимумы'!M$3,100,('исходные данные'!O171-'минимумы и максимумы'!M$2)/('минимумы и максимумы'!M$3-'минимумы и максимумы'!M$2)*100)</f>
        <v>33.333333333333329</v>
      </c>
      <c r="P171" s="1">
        <f>IF('исходные данные'!P171&gt;'минимумы и максимумы'!N$3,100,('исходные данные'!P171-'минимумы и максимумы'!N$2)/('минимумы и максимумы'!N$3-'минимумы и максимумы'!N$2)*100)</f>
        <v>0</v>
      </c>
      <c r="Q171" s="1">
        <f>IF('исходные данные'!Q171&gt;'минимумы и максимумы'!O$3,100,('исходные данные'!Q171-'минимумы и максимумы'!O$2)/('минимумы и максимумы'!O$3-'минимумы и максимумы'!O$2)*100)</f>
        <v>100</v>
      </c>
      <c r="R171" s="1">
        <f>IF('исходные данные'!R171&gt;'минимумы и максимумы'!P$3,100,('исходные данные'!R171-'минимумы и максимумы'!P$2)/('минимумы и максимумы'!P$3-'минимумы и максимумы'!P$2)*100)</f>
        <v>100</v>
      </c>
      <c r="S171" s="1">
        <f>IF('исходные данные'!S171&gt;'минимумы и максимумы'!Q$3,100,('исходные данные'!S171-'минимумы и максимумы'!Q$2)/('минимумы и максимумы'!Q$3-'минимумы и максимумы'!Q$2)*100)</f>
        <v>33.333333333333329</v>
      </c>
      <c r="T171" s="1">
        <f>IF('исходные данные'!T171&gt;'минимумы и максимумы'!R$3,100,('исходные данные'!T171-'минимумы и максимумы'!R$2)/('минимумы и максимумы'!R$3-'минимумы и максимумы'!R$2)*100)</f>
        <v>12.802463704355477</v>
      </c>
      <c r="U171" s="1">
        <f>IF('исходные данные'!U171&gt;'минимумы и максимумы'!S$3,100,('исходные данные'!U171-'минимумы и максимумы'!S$2)/('минимумы и максимумы'!S$3-'минимумы и максимумы'!S$2)*100)</f>
        <v>0</v>
      </c>
    </row>
    <row r="172" spans="1:21" x14ac:dyDescent="0.45">
      <c r="A172" s="4">
        <v>248</v>
      </c>
      <c r="B172" s="4">
        <v>0</v>
      </c>
      <c r="C172" s="4">
        <v>0</v>
      </c>
      <c r="D172" s="1">
        <f>IF('исходные данные'!D172&gt;'минимумы и максимумы'!B$3,100,('исходные данные'!D172-'минимумы и максимумы'!B$2)/('минимумы и максимумы'!B$3-'минимумы и максимумы'!B$2)*100)</f>
        <v>0</v>
      </c>
      <c r="E172" s="1">
        <f>IF('исходные данные'!E172&gt;'минимумы и максимумы'!C$3,100,('исходные данные'!E172-'минимумы и максимумы'!C$2)/('минимумы и максимумы'!C$3-'минимумы и максимумы'!C$2)*100)</f>
        <v>0</v>
      </c>
      <c r="F172" s="1">
        <f>IF('исходные данные'!F172&gt;'минимумы и максимумы'!D$3,100,('исходные данные'!F172-'минимумы и максимумы'!D$2)/('минимумы и максимумы'!D$3-'минимумы и максимумы'!D$2)*100)</f>
        <v>0</v>
      </c>
      <c r="G172" s="1">
        <f>IF('исходные данные'!G172&gt;'минимумы и максимумы'!E$3,100,('исходные данные'!G172-'минимумы и максимумы'!E$2)/('минимумы и максимумы'!E$3-'минимумы и максимумы'!E$2)*100)</f>
        <v>0</v>
      </c>
      <c r="H172" s="1">
        <f>IF('исходные данные'!H172&gt;'минимумы и максимумы'!F$3,100,('исходные данные'!H172-'минимумы и максимумы'!F$2)/('минимумы и максимумы'!F$3-'минимумы и максимумы'!F$2)*100)</f>
        <v>0</v>
      </c>
      <c r="I172" s="1">
        <f>IF('исходные данные'!I172&gt;'минимумы и максимумы'!G$3,100,('исходные данные'!I172-'минимумы и максимумы'!G$2)/('минимумы и максимумы'!G$3-'минимумы и максимумы'!G$2)*100)</f>
        <v>0</v>
      </c>
      <c r="J172" s="1">
        <f>IF('исходные данные'!J172&gt;'минимумы и максимумы'!H$3,100,('исходные данные'!J172-'минимумы и максимумы'!H$2)/('минимумы и максимумы'!H$3-'минимумы и максимумы'!H$2)*100)</f>
        <v>0</v>
      </c>
      <c r="K172" s="1">
        <f>IF('исходные данные'!K172&gt;'минимумы и максимумы'!I$3,100,('исходные данные'!K172-'минимумы и максимумы'!I$2)/('минимумы и максимумы'!I$3-'минимумы и максимумы'!I$2)*100)</f>
        <v>0</v>
      </c>
      <c r="L172" s="1">
        <f>IF('исходные данные'!L172&gt;'минимумы и максимумы'!J$3,100,('исходные данные'!L172-'минимумы и максимумы'!J$2)/('минимумы и максимумы'!J$3-'минимумы и максимумы'!J$2)*100)</f>
        <v>0</v>
      </c>
      <c r="M172" s="1">
        <f>IF('исходные данные'!M172&gt;'минимумы и максимумы'!K$3,100,('исходные данные'!M172-'минимумы и максимумы'!K$2)/('минимумы и максимумы'!K$3-'минимумы и максимумы'!K$2)*100)</f>
        <v>6.4516129032258061</v>
      </c>
      <c r="N172" s="1">
        <f>IF('исходные данные'!N172&gt;'минимумы и максимумы'!L$3,100,('исходные данные'!N172-'минимумы и максимумы'!L$2)/('минимумы и максимумы'!L$3-'минимумы и максимумы'!L$2)*100)</f>
        <v>73.798746988182145</v>
      </c>
      <c r="O172" s="1">
        <f>IF('исходные данные'!O172&gt;'минимумы и максимумы'!M$3,100,('исходные данные'!O172-'минимумы и максимумы'!M$2)/('минимумы и максимумы'!M$3-'минимумы и максимумы'!M$2)*100)</f>
        <v>33.333333333333329</v>
      </c>
      <c r="P172" s="1">
        <f>IF('исходные данные'!P172&gt;'минимумы и максимумы'!N$3,100,('исходные данные'!P172-'минимумы и максимумы'!N$2)/('минимумы и максимумы'!N$3-'минимумы и максимумы'!N$2)*100)</f>
        <v>0</v>
      </c>
      <c r="Q172" s="1">
        <f>IF('исходные данные'!Q172&gt;'минимумы и максимумы'!O$3,100,('исходные данные'!Q172-'минимумы и максимумы'!O$2)/('минимумы и максимумы'!O$3-'минимумы и максимумы'!O$2)*100)</f>
        <v>0</v>
      </c>
      <c r="R172" s="1">
        <f>IF('исходные данные'!R172&gt;'минимумы и максимумы'!P$3,100,('исходные данные'!R172-'минимумы и максимумы'!P$2)/('минимумы и максимумы'!P$3-'минимумы и максимумы'!P$2)*100)</f>
        <v>50</v>
      </c>
      <c r="S172" s="1">
        <f>IF('исходные данные'!S172&gt;'минимумы и максимумы'!Q$3,100,('исходные данные'!S172-'минимумы и максимумы'!Q$2)/('минимумы и максимумы'!Q$3-'минимумы и максимумы'!Q$2)*100)</f>
        <v>16.666666666666664</v>
      </c>
      <c r="T172" s="1">
        <f>IF('исходные данные'!T172&gt;'минимумы и максимумы'!R$3,100,('исходные данные'!T172-'минимумы и максимумы'!R$2)/('минимумы и максимумы'!R$3-'минимумы и максимумы'!R$2)*100)</f>
        <v>13.462384513858336</v>
      </c>
      <c r="U172" s="1">
        <f>IF('исходные данные'!U172&gt;'минимумы и максимумы'!S$3,100,('исходные данные'!U172-'минимумы и максимумы'!S$2)/('минимумы и максимумы'!S$3-'минимумы и максимумы'!S$2)*100)</f>
        <v>66.666666666666657</v>
      </c>
    </row>
    <row r="173" spans="1:21" x14ac:dyDescent="0.45">
      <c r="A173" s="4">
        <v>249</v>
      </c>
      <c r="B173" s="4">
        <v>0</v>
      </c>
      <c r="C173" s="4">
        <v>0</v>
      </c>
      <c r="D173" s="1">
        <f>IF('исходные данные'!D173&gt;'минимумы и максимумы'!B$3,100,('исходные данные'!D173-'минимумы и максимумы'!B$2)/('минимумы и максимумы'!B$3-'минимумы и максимумы'!B$2)*100)</f>
        <v>0</v>
      </c>
      <c r="E173" s="1">
        <f>IF('исходные данные'!E173&gt;'минимумы и максимумы'!C$3,100,('исходные данные'!E173-'минимумы и максимумы'!C$2)/('минимумы и максимумы'!C$3-'минимумы и максимумы'!C$2)*100)</f>
        <v>0</v>
      </c>
      <c r="F173" s="1">
        <f>IF('исходные данные'!F173&gt;'минимумы и максимумы'!D$3,100,('исходные данные'!F173-'минимумы и максимумы'!D$2)/('минимумы и максимумы'!D$3-'минимумы и максимумы'!D$2)*100)</f>
        <v>0</v>
      </c>
      <c r="G173" s="1">
        <f>IF('исходные данные'!G173&gt;'минимумы и максимумы'!E$3,100,('исходные данные'!G173-'минимумы и максимумы'!E$2)/('минимумы и максимумы'!E$3-'минимумы и максимумы'!E$2)*100)</f>
        <v>0</v>
      </c>
      <c r="H173" s="1">
        <f>IF('исходные данные'!H173&gt;'минимумы и максимумы'!F$3,100,('исходные данные'!H173-'минимумы и максимумы'!F$2)/('минимумы и максимумы'!F$3-'минимумы и максимумы'!F$2)*100)</f>
        <v>0</v>
      </c>
      <c r="I173" s="1">
        <f>IF('исходные данные'!I173&gt;'минимумы и максимумы'!G$3,100,('исходные данные'!I173-'минимумы и максимумы'!G$2)/('минимумы и максимумы'!G$3-'минимумы и максимумы'!G$2)*100)</f>
        <v>0</v>
      </c>
      <c r="J173" s="1">
        <f>IF('исходные данные'!J173&gt;'минимумы и максимумы'!H$3,100,('исходные данные'!J173-'минимумы и максимумы'!H$2)/('минимумы и максимумы'!H$3-'минимумы и максимумы'!H$2)*100)</f>
        <v>0</v>
      </c>
      <c r="K173" s="1">
        <f>IF('исходные данные'!K173&gt;'минимумы и максимумы'!I$3,100,('исходные данные'!K173-'минимумы и максимумы'!I$2)/('минимумы и максимумы'!I$3-'минимумы и максимумы'!I$2)*100)</f>
        <v>0</v>
      </c>
      <c r="L173" s="1">
        <f>IF('исходные данные'!L173&gt;'минимумы и максимумы'!J$3,100,('исходные данные'!L173-'минимумы и максимумы'!J$2)/('минимумы и максимумы'!J$3-'минимумы и максимумы'!J$2)*100)</f>
        <v>0</v>
      </c>
      <c r="M173" s="1">
        <f>IF('исходные данные'!M173&gt;'минимумы и максимумы'!K$3,100,('исходные данные'!M173-'минимумы и максимумы'!K$2)/('минимумы и максимумы'!K$3-'минимумы и максимумы'!K$2)*100)</f>
        <v>0</v>
      </c>
      <c r="N173" s="1">
        <f>IF('исходные данные'!N173&gt;'минимумы и максимумы'!L$3,100,('исходные данные'!N173-'минимумы и максимумы'!L$2)/('минимумы и максимумы'!L$3-'минимумы и максимумы'!L$2)*100)</f>
        <v>81.294214562955119</v>
      </c>
      <c r="O173" s="1">
        <f>IF('исходные данные'!O173&gt;'минимумы и максимумы'!M$3,100,('исходные данные'!O173-'минимумы и максимумы'!M$2)/('минимумы и максимумы'!M$3-'минимумы и максимумы'!M$2)*100)</f>
        <v>33.333333333333329</v>
      </c>
      <c r="P173" s="1">
        <f>IF('исходные данные'!P173&gt;'минимумы и максимумы'!N$3,100,('исходные данные'!P173-'минимумы и максимумы'!N$2)/('минимумы и максимумы'!N$3-'минимумы и максимумы'!N$2)*100)</f>
        <v>0</v>
      </c>
      <c r="Q173" s="1">
        <f>IF('исходные данные'!Q173&gt;'минимумы и максимумы'!O$3,100,('исходные данные'!Q173-'минимумы и максимумы'!O$2)/('минимумы и максимумы'!O$3-'минимумы и максимумы'!O$2)*100)</f>
        <v>100</v>
      </c>
      <c r="R173" s="1">
        <f>IF('исходные данные'!R173&gt;'минимумы и максимумы'!P$3,100,('исходные данные'!R173-'минимумы и максимумы'!P$2)/('минимумы и максимумы'!P$3-'минимумы и максимумы'!P$2)*100)</f>
        <v>100</v>
      </c>
      <c r="S173" s="1">
        <f>IF('исходные данные'!S173&gt;'минимумы и максимумы'!Q$3,100,('исходные данные'!S173-'минимумы и максимумы'!Q$2)/('минимумы и максимумы'!Q$3-'минимумы и максимумы'!Q$2)*100)</f>
        <v>33.333333333333329</v>
      </c>
      <c r="T173" s="1">
        <f>IF('исходные данные'!T173&gt;'минимумы и максимумы'!R$3,100,('исходные данные'!T173-'минимумы и максимумы'!R$2)/('минимумы и максимумы'!R$3-'минимумы и максимумы'!R$2)*100)</f>
        <v>15.0461944566652</v>
      </c>
      <c r="U173" s="1">
        <f>IF('исходные данные'!U173&gt;'минимумы и максимумы'!S$3,100,('исходные данные'!U173-'минимумы и максимумы'!S$2)/('минимумы и максимумы'!S$3-'минимумы и максимумы'!S$2)*100)</f>
        <v>33.333333333333329</v>
      </c>
    </row>
    <row r="174" spans="1:21" x14ac:dyDescent="0.45">
      <c r="A174" s="4">
        <v>250</v>
      </c>
      <c r="B174" s="4">
        <v>0</v>
      </c>
      <c r="C174" s="4">
        <v>1</v>
      </c>
      <c r="D174" s="1">
        <f>IF('исходные данные'!D174&gt;'минимумы и максимумы'!B$3,100,('исходные данные'!D174-'минимумы и максимумы'!B$2)/('минимумы и максимумы'!B$3-'минимумы и максимумы'!B$2)*100)</f>
        <v>0</v>
      </c>
      <c r="E174" s="1">
        <f>IF('исходные данные'!E174&gt;'минимумы и максимумы'!C$3,100,('исходные данные'!E174-'минимумы и максимумы'!C$2)/('минимумы и максимумы'!C$3-'минимумы и максимумы'!C$2)*100)</f>
        <v>10</v>
      </c>
      <c r="F174" s="1">
        <f>IF('исходные данные'!F174&gt;'минимумы и максимумы'!D$3,100,('исходные данные'!F174-'минимумы и максимумы'!D$2)/('минимумы и максимумы'!D$3-'минимумы и максимумы'!D$2)*100)</f>
        <v>0</v>
      </c>
      <c r="G174" s="1">
        <f>IF('исходные данные'!G174&gt;'минимумы и максимумы'!E$3,100,('исходные данные'!G174-'минимумы и максимумы'!E$2)/('минимумы и максимумы'!E$3-'минимумы и максимумы'!E$2)*100)</f>
        <v>0</v>
      </c>
      <c r="H174" s="1">
        <f>IF('исходные данные'!H174&gt;'минимумы и максимумы'!F$3,100,('исходные данные'!H174-'минимумы и максимумы'!F$2)/('минимумы и максимумы'!F$3-'минимумы и максимумы'!F$2)*100)</f>
        <v>16</v>
      </c>
      <c r="I174" s="1">
        <f>IF('исходные данные'!I174&gt;'минимумы и максимумы'!G$3,100,('исходные данные'!I174-'минимумы и максимумы'!G$2)/('минимумы и максимумы'!G$3-'минимумы и максимумы'!G$2)*100)</f>
        <v>30.188679245283019</v>
      </c>
      <c r="J174" s="1">
        <f>IF('исходные данные'!J174&gt;'минимумы и максимумы'!H$3,100,('исходные данные'!J174-'минимумы и максимумы'!H$2)/('минимумы и максимумы'!H$3-'минимумы и максимумы'!H$2)*100)</f>
        <v>0</v>
      </c>
      <c r="K174" s="1">
        <f>IF('исходные данные'!K174&gt;'минимумы и максимумы'!I$3,100,('исходные данные'!K174-'минимумы и максимумы'!I$2)/('минимумы и максимумы'!I$3-'минимумы и максимумы'!I$2)*100)</f>
        <v>22.222222222222221</v>
      </c>
      <c r="L174" s="1">
        <f>IF('исходные данные'!L174&gt;'минимумы и максимумы'!J$3,100,('исходные данные'!L174-'минимумы и максимумы'!J$2)/('минимумы и максимумы'!J$3-'минимумы и максимумы'!J$2)*100)</f>
        <v>20</v>
      </c>
      <c r="M174" s="1">
        <f>IF('исходные данные'!M174&gt;'минимумы и максимумы'!K$3,100,('исходные данные'!M174-'минимумы и максимумы'!K$2)/('минимумы и максимумы'!K$3-'минимумы и максимумы'!K$2)*100)</f>
        <v>38.70967741935484</v>
      </c>
      <c r="N174" s="1">
        <f>IF('исходные данные'!N174&gt;'минимумы и максимумы'!L$3,100,('исходные данные'!N174-'минимумы и максимумы'!L$2)/('минимумы и максимумы'!L$3-'минимумы и максимумы'!L$2)*100)</f>
        <v>28.068117395499076</v>
      </c>
      <c r="O174" s="1">
        <f>IF('исходные данные'!O174&gt;'минимумы и максимумы'!M$3,100,('исходные данные'!O174-'минимумы и максимумы'!M$2)/('минимумы и максимумы'!M$3-'минимумы и максимумы'!M$2)*100)</f>
        <v>100</v>
      </c>
      <c r="P174" s="1">
        <f>IF('исходные данные'!P174&gt;'минимумы и максимумы'!N$3,100,('исходные данные'!P174-'минимумы и максимумы'!N$2)/('минимумы и максимумы'!N$3-'минимумы и максимумы'!N$2)*100)</f>
        <v>100</v>
      </c>
      <c r="Q174" s="1">
        <f>IF('исходные данные'!Q174&gt;'минимумы и максимумы'!O$3,100,('исходные данные'!Q174-'минимумы и максимумы'!O$2)/('минимумы и максимумы'!O$3-'минимумы и максимумы'!O$2)*100)</f>
        <v>0</v>
      </c>
      <c r="R174" s="1">
        <f>IF('исходные данные'!R174&gt;'минимумы и максимумы'!P$3,100,('исходные данные'!R174-'минимумы и максимумы'!P$2)/('минимумы и максимумы'!P$3-'минимумы и максимумы'!P$2)*100)</f>
        <v>50</v>
      </c>
      <c r="S174" s="1">
        <f>IF('исходные данные'!S174&gt;'минимумы и максимумы'!Q$3,100,('исходные данные'!S174-'минимумы и максимумы'!Q$2)/('минимумы и максимумы'!Q$3-'минимумы и максимумы'!Q$2)*100)</f>
        <v>33.333333333333329</v>
      </c>
      <c r="T174" s="1">
        <f>IF('исходные данные'!T174&gt;'минимумы и максимумы'!R$3,100,('исходные данные'!T174-'минимумы и максимумы'!R$2)/('минимумы и максимумы'!R$3-'минимумы и максимумы'!R$2)*100)</f>
        <v>15.266168059832822</v>
      </c>
      <c r="U174" s="1">
        <f>IF('исходные данные'!U174&gt;'минимумы и максимумы'!S$3,100,('исходные данные'!U174-'минимумы и максимумы'!S$2)/('минимумы и максимумы'!S$3-'минимумы и максимумы'!S$2)*100)</f>
        <v>0</v>
      </c>
    </row>
    <row r="175" spans="1:21" x14ac:dyDescent="0.45">
      <c r="A175" s="4">
        <v>253</v>
      </c>
      <c r="B175" s="4">
        <v>0</v>
      </c>
      <c r="C175" s="4">
        <v>0</v>
      </c>
      <c r="D175" s="1">
        <f>IF('исходные данные'!D175&gt;'минимумы и максимумы'!B$3,100,('исходные данные'!D175-'минимумы и максимумы'!B$2)/('минимумы и максимумы'!B$3-'минимумы и максимумы'!B$2)*100)</f>
        <v>20</v>
      </c>
      <c r="E175" s="1">
        <f>IF('исходные данные'!E175&gt;'минимумы и максимумы'!C$3,100,('исходные данные'!E175-'минимумы и максимумы'!C$2)/('минимумы и максимумы'!C$3-'минимумы и максимумы'!C$2)*100)</f>
        <v>0</v>
      </c>
      <c r="F175" s="1">
        <f>IF('исходные данные'!F175&gt;'минимумы и максимумы'!D$3,100,('исходные данные'!F175-'минимумы и максимумы'!D$2)/('минимумы и максимумы'!D$3-'минимумы и максимумы'!D$2)*100)</f>
        <v>33.333333333333329</v>
      </c>
      <c r="G175" s="1">
        <f>IF('исходные данные'!G175&gt;'минимумы и максимумы'!E$3,100,('исходные данные'!G175-'минимумы и максимумы'!E$2)/('минимумы и максимумы'!E$3-'минимумы и максимумы'!E$2)*100)</f>
        <v>4.1666666666666661</v>
      </c>
      <c r="H175" s="1">
        <f>IF('исходные данные'!H175&gt;'минимумы и максимумы'!F$3,100,('исходные данные'!H175-'минимумы и максимумы'!F$2)/('минимумы и максимумы'!F$3-'минимумы и максимумы'!F$2)*100)</f>
        <v>4</v>
      </c>
      <c r="I175" s="1">
        <f>IF('исходные данные'!I175&gt;'минимумы и максимумы'!G$3,100,('исходные данные'!I175-'минимумы и максимумы'!G$2)/('минимумы и максимумы'!G$3-'минимумы и максимумы'!G$2)*100)</f>
        <v>9.433962264150944</v>
      </c>
      <c r="J175" s="1">
        <f>IF('исходные данные'!J175&gt;'минимумы и максимумы'!H$3,100,('исходные данные'!J175-'минимумы и максимумы'!H$2)/('минимумы и максимумы'!H$3-'минимумы и максимумы'!H$2)*100)</f>
        <v>13.333333333333334</v>
      </c>
      <c r="K175" s="1">
        <f>IF('исходные данные'!K175&gt;'минимумы и максимумы'!I$3,100,('исходные данные'!K175-'минимумы и максимумы'!I$2)/('минимумы и максимумы'!I$3-'минимумы и максимумы'!I$2)*100)</f>
        <v>22.222222222222221</v>
      </c>
      <c r="L175" s="1">
        <f>IF('исходные данные'!L175&gt;'минимумы и максимумы'!J$3,100,('исходные данные'!L175-'минимумы и максимумы'!J$2)/('минимумы и максимумы'!J$3-'минимумы и максимумы'!J$2)*100)</f>
        <v>0</v>
      </c>
      <c r="M175" s="1">
        <f>IF('исходные данные'!M175&gt;'минимумы и максимумы'!K$3,100,('исходные данные'!M175-'минимумы и максимумы'!K$2)/('минимумы и максимумы'!K$3-'минимумы и максимумы'!K$2)*100)</f>
        <v>25.806451612903224</v>
      </c>
      <c r="N175" s="1">
        <f>IF('исходные данные'!N175&gt;'минимумы и максимумы'!L$3,100,('исходные данные'!N175-'минимумы и максимумы'!L$2)/('минимумы и максимумы'!L$3-'минимумы и максимумы'!L$2)*100)</f>
        <v>42.2919818668855</v>
      </c>
      <c r="O175" s="1">
        <f>IF('исходные данные'!O175&gt;'минимумы и максимумы'!M$3,100,('исходные данные'!O175-'минимумы и максимумы'!M$2)/('минимумы и максимумы'!M$3-'минимумы и максимумы'!M$2)*100)</f>
        <v>33.333333333333329</v>
      </c>
      <c r="P175" s="1">
        <f>IF('исходные данные'!P175&gt;'минимумы и максимумы'!N$3,100,('исходные данные'!P175-'минимумы и максимумы'!N$2)/('минимумы и максимумы'!N$3-'минимумы и максимумы'!N$2)*100)</f>
        <v>0</v>
      </c>
      <c r="Q175" s="1">
        <f>IF('исходные данные'!Q175&gt;'минимумы и максимумы'!O$3,100,('исходные данные'!Q175-'минимумы и максимумы'!O$2)/('минимумы и максимумы'!O$3-'минимумы и максимумы'!O$2)*100)</f>
        <v>100</v>
      </c>
      <c r="R175" s="1">
        <f>IF('исходные данные'!R175&gt;'минимумы и максимумы'!P$3,100,('исходные данные'!R175-'минимумы и максимумы'!P$2)/('минимумы и максимумы'!P$3-'минимумы и максимумы'!P$2)*100)</f>
        <v>75</v>
      </c>
      <c r="S175" s="1">
        <f>IF('исходные данные'!S175&gt;'минимумы и максимумы'!Q$3,100,('исходные данные'!S175-'минимумы и максимумы'!Q$2)/('минимумы и максимумы'!Q$3-'минимумы и максимумы'!Q$2)*100)</f>
        <v>33.333333333333329</v>
      </c>
      <c r="T175" s="1">
        <f>IF('исходные данные'!T175&gt;'минимумы и максимумы'!R$3,100,('исходные данные'!T175-'минимумы и максимумы'!R$2)/('минимумы и максимумы'!R$3-'минимумы и максимумы'!R$2)*100)</f>
        <v>6.1592608886933569</v>
      </c>
      <c r="U175" s="1">
        <f>IF('исходные данные'!U175&gt;'минимумы и максимумы'!S$3,100,('исходные данные'!U175-'минимумы и максимумы'!S$2)/('минимумы и максимумы'!S$3-'минимумы и максимумы'!S$2)*100)</f>
        <v>0</v>
      </c>
    </row>
    <row r="176" spans="1:21" x14ac:dyDescent="0.45">
      <c r="A176" s="4">
        <v>255</v>
      </c>
      <c r="B176" s="4">
        <v>0</v>
      </c>
      <c r="C176" s="4">
        <v>0</v>
      </c>
      <c r="D176" s="1">
        <f>IF('исходные данные'!D176&gt;'минимумы и максимумы'!B$3,100,('исходные данные'!D176-'минимумы и максимумы'!B$2)/('минимумы и максимумы'!B$3-'минимумы и максимумы'!B$2)*100)</f>
        <v>40</v>
      </c>
      <c r="E176" s="1">
        <f>IF('исходные данные'!E176&gt;'минимумы и максимумы'!C$3,100,('исходные данные'!E176-'минимумы и максимумы'!C$2)/('минимумы и максимумы'!C$3-'минимумы и максимумы'!C$2)*100)</f>
        <v>20</v>
      </c>
      <c r="F176" s="1">
        <f>IF('исходные данные'!F176&gt;'минимумы и максимумы'!D$3,100,('исходные данные'!F176-'минимумы и максимумы'!D$2)/('минимумы и максимумы'!D$3-'минимумы и максимумы'!D$2)*100)</f>
        <v>66.666666666666657</v>
      </c>
      <c r="G176" s="1">
        <f>IF('исходные данные'!G176&gt;'минимумы и максимумы'!E$3,100,('исходные данные'!G176-'минимумы и максимумы'!E$2)/('минимумы и максимумы'!E$3-'минимумы и максимумы'!E$2)*100)</f>
        <v>41.666666666666671</v>
      </c>
      <c r="H176" s="1">
        <f>IF('исходные данные'!H176&gt;'минимумы и максимумы'!F$3,100,('исходные данные'!H176-'минимумы и максимумы'!F$2)/('минимумы и максимумы'!F$3-'минимумы и максимумы'!F$2)*100)</f>
        <v>48</v>
      </c>
      <c r="I176" s="1">
        <f>IF('исходные данные'!I176&gt;'минимумы и максимумы'!G$3,100,('исходные данные'!I176-'минимумы и максимумы'!G$2)/('минимумы и максимумы'!G$3-'минимумы и максимумы'!G$2)*100)</f>
        <v>33.962264150943398</v>
      </c>
      <c r="J176" s="1">
        <f>IF('исходные данные'!J176&gt;'минимумы и максимумы'!H$3,100,('исходные данные'!J176-'минимумы и максимумы'!H$2)/('минимумы и максимумы'!H$3-'минимумы и максимумы'!H$2)*100)</f>
        <v>20</v>
      </c>
      <c r="K176" s="1">
        <f>IF('исходные данные'!K176&gt;'минимумы и максимумы'!I$3,100,('исходные данные'!K176-'минимумы и максимумы'!I$2)/('минимумы и максимумы'!I$3-'минимумы и максимумы'!I$2)*100)</f>
        <v>44.444444444444443</v>
      </c>
      <c r="L176" s="1">
        <f>IF('исходные данные'!L176&gt;'минимумы и максимумы'!J$3,100,('исходные данные'!L176-'минимумы и максимумы'!J$2)/('минимумы и максимумы'!J$3-'минимумы и максимумы'!J$2)*100)</f>
        <v>0</v>
      </c>
      <c r="M176" s="1">
        <f>IF('исходные данные'!M176&gt;'минимумы и максимумы'!K$3,100,('исходные данные'!M176-'минимумы и максимумы'!K$2)/('минимумы и максимумы'!K$3-'минимумы и максимумы'!K$2)*100)</f>
        <v>45.161290322580641</v>
      </c>
      <c r="N176" s="1">
        <f>IF('исходные данные'!N176&gt;'минимумы и максимумы'!L$3,100,('исходные данные'!N176-'минимумы и максимумы'!L$2)/('минимумы и максимумы'!L$3-'минимумы и максимумы'!L$2)*100)</f>
        <v>44.289163291572784</v>
      </c>
      <c r="O176" s="1">
        <f>IF('исходные данные'!O176&gt;'минимумы и максимумы'!M$3,100,('исходные данные'!O176-'минимумы и максимумы'!M$2)/('минимумы и максимумы'!M$3-'минимумы и максимумы'!M$2)*100)</f>
        <v>0</v>
      </c>
      <c r="P176" s="1">
        <f>IF('исходные данные'!P176&gt;'минимумы и максимумы'!N$3,100,('исходные данные'!P176-'минимумы и максимумы'!N$2)/('минимумы и максимумы'!N$3-'минимумы и максимумы'!N$2)*100)</f>
        <v>0</v>
      </c>
      <c r="Q176" s="1">
        <f>IF('исходные данные'!Q176&gt;'минимумы и максимумы'!O$3,100,('исходные данные'!Q176-'минимумы и максимумы'!O$2)/('минимумы и максимумы'!O$3-'минимумы и максимумы'!O$2)*100)</f>
        <v>100</v>
      </c>
      <c r="R176" s="1">
        <f>IF('исходные данные'!R176&gt;'минимумы и максимумы'!P$3,100,('исходные данные'!R176-'минимумы и максимумы'!P$2)/('минимумы и максимумы'!P$3-'минимумы и максимумы'!P$2)*100)</f>
        <v>25</v>
      </c>
      <c r="S176" s="1">
        <f>IF('исходные данные'!S176&gt;'минимумы и максимумы'!Q$3,100,('исходные данные'!S176-'минимумы и максимумы'!Q$2)/('минимумы и максимумы'!Q$3-'минимумы и максимумы'!Q$2)*100)</f>
        <v>33.333333333333329</v>
      </c>
      <c r="T176" s="1">
        <f>IF('исходные данные'!T176&gt;'минимумы и максимумы'!R$3,100,('исходные данные'!T176-'минимумы и максимумы'!R$2)/('минимумы и максимумы'!R$3-'минимумы и максимумы'!R$2)*100)</f>
        <v>11.878574571051475</v>
      </c>
      <c r="U176" s="1">
        <f>IF('исходные данные'!U176&gt;'минимумы и максимумы'!S$3,100,('исходные данные'!U176-'минимумы и максимумы'!S$2)/('минимумы и максимумы'!S$3-'минимумы и максимумы'!S$2)*100)</f>
        <v>33.333333333333329</v>
      </c>
    </row>
    <row r="177" spans="1:21" x14ac:dyDescent="0.45">
      <c r="A177" s="4">
        <v>256</v>
      </c>
      <c r="B177" s="4">
        <v>0</v>
      </c>
      <c r="C177" s="4">
        <v>0</v>
      </c>
      <c r="D177" s="1">
        <f>IF('исходные данные'!D177&gt;'минимумы и максимумы'!B$3,100,('исходные данные'!D177-'минимумы и максимумы'!B$2)/('минимумы и максимумы'!B$3-'минимумы и максимумы'!B$2)*100)</f>
        <v>40</v>
      </c>
      <c r="E177" s="1">
        <f>IF('исходные данные'!E177&gt;'минимумы и максимумы'!C$3,100,('исходные данные'!E177-'минимумы и максимумы'!C$2)/('минимумы и максимумы'!C$3-'минимумы и максимумы'!C$2)*100)</f>
        <v>20</v>
      </c>
      <c r="F177" s="1">
        <f>IF('исходные данные'!F177&gt;'минимумы и максимумы'!D$3,100,('исходные данные'!F177-'минимумы и максимумы'!D$2)/('минимумы и максимумы'!D$3-'минимумы и максимумы'!D$2)*100)</f>
        <v>66.666666666666657</v>
      </c>
      <c r="G177" s="1">
        <f>IF('исходные данные'!G177&gt;'минимумы и максимумы'!E$3,100,('исходные данные'!G177-'минимумы и максимумы'!E$2)/('минимумы и максимумы'!E$3-'минимумы и максимумы'!E$2)*100)</f>
        <v>41.666666666666671</v>
      </c>
      <c r="H177" s="1">
        <f>IF('исходные данные'!H177&gt;'минимумы и максимумы'!F$3,100,('исходные данные'!H177-'минимумы и максимумы'!F$2)/('минимумы и максимумы'!F$3-'минимумы и максимумы'!F$2)*100)</f>
        <v>48</v>
      </c>
      <c r="I177" s="1">
        <f>IF('исходные данные'!I177&gt;'минимумы и максимумы'!G$3,100,('исходные данные'!I177-'минимумы и максимумы'!G$2)/('минимумы и максимумы'!G$3-'минимумы и максимумы'!G$2)*100)</f>
        <v>33.962264150943398</v>
      </c>
      <c r="J177" s="1">
        <f>IF('исходные данные'!J177&gt;'минимумы и максимумы'!H$3,100,('исходные данные'!J177-'минимумы и максимумы'!H$2)/('минимумы и максимумы'!H$3-'минимумы и максимумы'!H$2)*100)</f>
        <v>20</v>
      </c>
      <c r="K177" s="1">
        <f>IF('исходные данные'!K177&gt;'минимумы и максимумы'!I$3,100,('исходные данные'!K177-'минимумы и максимумы'!I$2)/('минимумы и максимумы'!I$3-'минимумы и максимумы'!I$2)*100)</f>
        <v>44.444444444444443</v>
      </c>
      <c r="L177" s="1">
        <f>IF('исходные данные'!L177&gt;'минимумы и максимумы'!J$3,100,('исходные данные'!L177-'минимумы и максимумы'!J$2)/('минимумы и максимумы'!J$3-'минимумы и максимумы'!J$2)*100)</f>
        <v>0</v>
      </c>
      <c r="M177" s="1">
        <f>IF('исходные данные'!M177&gt;'минимумы и максимумы'!K$3,100,('исходные данные'!M177-'минимумы и максимумы'!K$2)/('минимумы и максимумы'!K$3-'минимумы и максимумы'!K$2)*100)</f>
        <v>45.161290322580641</v>
      </c>
      <c r="N177" s="1">
        <f>IF('исходные данные'!N177&gt;'минимумы и максимумы'!L$3,100,('исходные данные'!N177-'минимумы и максимумы'!L$2)/('минимумы и максимумы'!L$3-'минимумы и максимумы'!L$2)*100)</f>
        <v>44.858777546591696</v>
      </c>
      <c r="O177" s="1">
        <f>IF('исходные данные'!O177&gt;'минимумы и максимумы'!M$3,100,('исходные данные'!O177-'минимумы и максимумы'!M$2)/('минимумы и максимумы'!M$3-'минимумы и максимумы'!M$2)*100)</f>
        <v>66.666666666666657</v>
      </c>
      <c r="P177" s="1">
        <f>IF('исходные данные'!P177&gt;'минимумы и максимумы'!N$3,100,('исходные данные'!P177-'минимумы и максимумы'!N$2)/('минимумы и максимумы'!N$3-'минимумы и максимумы'!N$2)*100)</f>
        <v>0</v>
      </c>
      <c r="Q177" s="1">
        <f>IF('исходные данные'!Q177&gt;'минимумы и максимумы'!O$3,100,('исходные данные'!Q177-'минимумы и максимумы'!O$2)/('минимумы и максимумы'!O$3-'минимумы и максимумы'!O$2)*100)</f>
        <v>100</v>
      </c>
      <c r="R177" s="1">
        <f>IF('исходные данные'!R177&gt;'минимумы и максимумы'!P$3,100,('исходные данные'!R177-'минимумы и максимумы'!P$2)/('минимумы и максимумы'!P$3-'минимумы и максимумы'!P$2)*100)</f>
        <v>100</v>
      </c>
      <c r="S177" s="1">
        <f>IF('исходные данные'!S177&gt;'минимумы и максимумы'!Q$3,100,('исходные данные'!S177-'минимумы и максимумы'!Q$2)/('минимумы и максимумы'!Q$3-'минимумы и максимумы'!Q$2)*100)</f>
        <v>16.666666666666664</v>
      </c>
      <c r="T177" s="1">
        <f>IF('исходные данные'!T177&gt;'минимумы и максимумы'!R$3,100,('исходные данные'!T177-'минимумы и максимумы'!R$2)/('минимумы и максимумы'!R$3-'минимумы и максимумы'!R$2)*100)</f>
        <v>23.36119665640123</v>
      </c>
      <c r="U177" s="1">
        <f>IF('исходные данные'!U177&gt;'минимумы и максимумы'!S$3,100,('исходные данные'!U177-'минимумы и максимумы'!S$2)/('минимумы и максимумы'!S$3-'минимумы и максимумы'!S$2)*100)</f>
        <v>0</v>
      </c>
    </row>
    <row r="178" spans="1:21" x14ac:dyDescent="0.45">
      <c r="A178" s="4">
        <v>260</v>
      </c>
      <c r="B178" s="4">
        <v>0</v>
      </c>
      <c r="C178" s="4">
        <v>0</v>
      </c>
      <c r="D178" s="1">
        <f>IF('исходные данные'!D178&gt;'минимумы и максимумы'!B$3,100,('исходные данные'!D178-'минимумы и максимумы'!B$2)/('минимумы и максимумы'!B$3-'минимумы и максимумы'!B$2)*100)</f>
        <v>0</v>
      </c>
      <c r="E178" s="1">
        <f>IF('исходные данные'!E178&gt;'минимумы и максимумы'!C$3,100,('исходные данные'!E178-'минимумы и максимумы'!C$2)/('минимумы и максимумы'!C$3-'минимумы и максимумы'!C$2)*100)</f>
        <v>10</v>
      </c>
      <c r="F178" s="1">
        <f>IF('исходные данные'!F178&gt;'минимумы и максимумы'!D$3,100,('исходные данные'!F178-'минимумы и максимумы'!D$2)/('минимумы и максимумы'!D$3-'минимумы и максимумы'!D$2)*100)</f>
        <v>0</v>
      </c>
      <c r="G178" s="1">
        <f>IF('исходные данные'!G178&gt;'минимумы и максимумы'!E$3,100,('исходные данные'!G178-'минимумы и максимумы'!E$2)/('минимумы и максимумы'!E$3-'минимумы и максимумы'!E$2)*100)</f>
        <v>8.3333333333333321</v>
      </c>
      <c r="H178" s="1">
        <f>IF('исходные данные'!H178&gt;'минимумы и максимумы'!F$3,100,('исходные данные'!H178-'минимумы и максимумы'!F$2)/('минимумы и максимумы'!F$3-'минимумы и максимумы'!F$2)*100)</f>
        <v>4</v>
      </c>
      <c r="I178" s="1">
        <f>IF('исходные данные'!I178&gt;'минимумы и максимумы'!G$3,100,('исходные данные'!I178-'минимумы и максимумы'!G$2)/('минимумы и максимумы'!G$3-'минимумы и максимумы'!G$2)*100)</f>
        <v>1.8867924528301887</v>
      </c>
      <c r="J178" s="1">
        <f>IF('исходные данные'!J178&gt;'минимумы и максимумы'!H$3,100,('исходные данные'!J178-'минимумы и максимумы'!H$2)/('минимумы и максимумы'!H$3-'минимумы и максимумы'!H$2)*100)</f>
        <v>0</v>
      </c>
      <c r="K178" s="1">
        <f>IF('исходные данные'!K178&gt;'минимумы и максимумы'!I$3,100,('исходные данные'!K178-'минимумы и максимумы'!I$2)/('минимумы и максимумы'!I$3-'минимумы и максимумы'!I$2)*100)</f>
        <v>11.111111111111111</v>
      </c>
      <c r="L178" s="1">
        <f>IF('исходные данные'!L178&gt;'минимумы и максимумы'!J$3,100,('исходные данные'!L178-'минимумы и максимумы'!J$2)/('минимумы и максимумы'!J$3-'минимумы и максимумы'!J$2)*100)</f>
        <v>0</v>
      </c>
      <c r="M178" s="1">
        <f>IF('исходные данные'!M178&gt;'минимумы и максимумы'!K$3,100,('исходные данные'!M178-'минимумы и максимумы'!K$2)/('минимумы и максимумы'!K$3-'минимумы и максимумы'!K$2)*100)</f>
        <v>22.58064516129032</v>
      </c>
      <c r="N178" s="1">
        <f>IF('исходные данные'!N178&gt;'минимумы и максимумы'!L$3,100,('исходные данные'!N178-'минимумы и максимумы'!L$2)/('минимумы и максимумы'!L$3-'минимумы и максимумы'!L$2)*100)</f>
        <v>46.821863309530343</v>
      </c>
      <c r="O178" s="1">
        <f>IF('исходные данные'!O178&gt;'минимумы и максимумы'!M$3,100,('исходные данные'!O178-'минимумы и максимумы'!M$2)/('минимумы и максимумы'!M$3-'минимумы и максимумы'!M$2)*100)</f>
        <v>66.666666666666657</v>
      </c>
      <c r="P178" s="1">
        <f>IF('исходные данные'!P178&gt;'минимумы и максимумы'!N$3,100,('исходные данные'!P178-'минимумы и максимумы'!N$2)/('минимумы и максимумы'!N$3-'минимумы и максимумы'!N$2)*100)</f>
        <v>0</v>
      </c>
      <c r="Q178" s="1">
        <f>IF('исходные данные'!Q178&gt;'минимумы и максимумы'!O$3,100,('исходные данные'!Q178-'минимумы и максимумы'!O$2)/('минимумы и максимумы'!O$3-'минимумы и максимумы'!O$2)*100)</f>
        <v>0</v>
      </c>
      <c r="R178" s="1">
        <f>IF('исходные данные'!R178&gt;'минимумы и максимумы'!P$3,100,('исходные данные'!R178-'минимумы и максимумы'!P$2)/('минимумы и максимумы'!P$3-'минимумы и максимумы'!P$2)*100)</f>
        <v>100</v>
      </c>
      <c r="S178" s="1">
        <f>IF('исходные данные'!S178&gt;'минимумы и максимумы'!Q$3,100,('исходные данные'!S178-'минимумы и максимумы'!Q$2)/('минимумы и максимумы'!Q$3-'минимумы и максимумы'!Q$2)*100)</f>
        <v>50</v>
      </c>
      <c r="T178" s="1">
        <f>IF('исходные данные'!T178&gt;'минимумы и максимумы'!R$3,100,('исходные данные'!T178-'минимумы и максимумы'!R$2)/('минимумы и максимумы'!R$3-'минимумы и максимумы'!R$2)*100)</f>
        <v>31.500219973603166</v>
      </c>
      <c r="U178" s="1">
        <f>IF('исходные данные'!U178&gt;'минимумы и максимумы'!S$3,100,('исходные данные'!U178-'минимумы и максимумы'!S$2)/('минимумы и максимумы'!S$3-'минимумы и максимумы'!S$2)*100)</f>
        <v>66.666666666666657</v>
      </c>
    </row>
    <row r="179" spans="1:21" x14ac:dyDescent="0.45">
      <c r="A179" s="4">
        <v>261</v>
      </c>
      <c r="B179" s="4">
        <v>0</v>
      </c>
      <c r="C179" s="4">
        <v>0</v>
      </c>
      <c r="D179" s="1">
        <f>IF('исходные данные'!D179&gt;'минимумы и максимумы'!B$3,100,('исходные данные'!D179-'минимумы и максимумы'!B$2)/('минимумы и максимумы'!B$3-'минимумы и максимумы'!B$2)*100)</f>
        <v>0</v>
      </c>
      <c r="E179" s="1">
        <f>IF('исходные данные'!E179&gt;'минимумы и максимумы'!C$3,100,('исходные данные'!E179-'минимумы и максимумы'!C$2)/('минимумы и максимумы'!C$3-'минимумы и максимумы'!C$2)*100)</f>
        <v>10</v>
      </c>
      <c r="F179" s="1">
        <f>IF('исходные данные'!F179&gt;'минимумы и максимумы'!D$3,100,('исходные данные'!F179-'минимумы и максимумы'!D$2)/('минимумы и максимумы'!D$3-'минимумы и максимумы'!D$2)*100)</f>
        <v>0</v>
      </c>
      <c r="G179" s="1">
        <f>IF('исходные данные'!G179&gt;'минимумы и максимумы'!E$3,100,('исходные данные'!G179-'минимумы и максимумы'!E$2)/('минимумы и максимумы'!E$3-'минимумы и максимумы'!E$2)*100)</f>
        <v>8.3333333333333321</v>
      </c>
      <c r="H179" s="1">
        <f>IF('исходные данные'!H179&gt;'минимумы и максимумы'!F$3,100,('исходные данные'!H179-'минимумы и максимумы'!F$2)/('минимумы и максимумы'!F$3-'минимумы и максимумы'!F$2)*100)</f>
        <v>4</v>
      </c>
      <c r="I179" s="1">
        <f>IF('исходные данные'!I179&gt;'минимумы и максимумы'!G$3,100,('исходные данные'!I179-'минимумы и максимумы'!G$2)/('минимумы и максимумы'!G$3-'минимумы и максимумы'!G$2)*100)</f>
        <v>1.8867924528301887</v>
      </c>
      <c r="J179" s="1">
        <f>IF('исходные данные'!J179&gt;'минимумы и максимумы'!H$3,100,('исходные данные'!J179-'минимумы и максимумы'!H$2)/('минимумы и максимумы'!H$3-'минимумы и максимумы'!H$2)*100)</f>
        <v>0</v>
      </c>
      <c r="K179" s="1">
        <f>IF('исходные данные'!K179&gt;'минимумы и максимумы'!I$3,100,('исходные данные'!K179-'минимумы и максимумы'!I$2)/('минимумы и максимумы'!I$3-'минимумы и максимумы'!I$2)*100)</f>
        <v>11.111111111111111</v>
      </c>
      <c r="L179" s="1">
        <f>IF('исходные данные'!L179&gt;'минимумы и максимумы'!J$3,100,('исходные данные'!L179-'минимумы и максимумы'!J$2)/('минимумы и максимумы'!J$3-'минимумы и максимумы'!J$2)*100)</f>
        <v>0</v>
      </c>
      <c r="M179" s="1">
        <f>IF('исходные данные'!M179&gt;'минимумы и максимумы'!K$3,100,('исходные данные'!M179-'минимумы и максимумы'!K$2)/('минимумы и максимумы'!K$3-'минимумы и максимумы'!K$2)*100)</f>
        <v>22.58064516129032</v>
      </c>
      <c r="N179" s="1">
        <f>IF('исходные данные'!N179&gt;'минимумы и максимумы'!L$3,100,('исходные данные'!N179-'минимумы и максимумы'!L$2)/('минимумы и максимумы'!L$3-'минимумы и максимумы'!L$2)*100)</f>
        <v>46.821863309530343</v>
      </c>
      <c r="O179" s="1">
        <f>IF('исходные данные'!O179&gt;'минимумы и максимумы'!M$3,100,('исходные данные'!O179-'минимумы и максимумы'!M$2)/('минимумы и максимумы'!M$3-'минимумы и максимумы'!M$2)*100)</f>
        <v>0</v>
      </c>
      <c r="P179" s="1">
        <f>IF('исходные данные'!P179&gt;'минимумы и максимумы'!N$3,100,('исходные данные'!P179-'минимумы и максимумы'!N$2)/('минимумы и максимумы'!N$3-'минимумы и максимумы'!N$2)*100)</f>
        <v>0</v>
      </c>
      <c r="Q179" s="1">
        <f>IF('исходные данные'!Q179&gt;'минимумы и максимумы'!O$3,100,('исходные данные'!Q179-'минимумы и максимумы'!O$2)/('минимумы и максимумы'!O$3-'минимумы и максимумы'!O$2)*100)</f>
        <v>100</v>
      </c>
      <c r="R179" s="1">
        <f>IF('исходные данные'!R179&gt;'минимумы и максимумы'!P$3,100,('исходные данные'!R179-'минимумы и максимумы'!P$2)/('минимумы и максимумы'!P$3-'минимумы и максимумы'!P$2)*100)</f>
        <v>100</v>
      </c>
      <c r="S179" s="1">
        <f>IF('исходные данные'!S179&gt;'минимумы и максимумы'!Q$3,100,('исходные данные'!S179-'минимумы и максимумы'!Q$2)/('минимумы и максимумы'!Q$3-'минимумы и максимумы'!Q$2)*100)</f>
        <v>16.666666666666664</v>
      </c>
      <c r="T179" s="1">
        <f>IF('исходные данные'!T179&gt;'минимумы и максимумы'!R$3,100,('исходные данные'!T179-'минимумы и максимумы'!R$2)/('минимумы и максимумы'!R$3-'минимумы и максимумы'!R$2)*100)</f>
        <v>4.4874615046194455</v>
      </c>
      <c r="U179" s="1">
        <f>IF('исходные данные'!U179&gt;'минимумы и максимумы'!S$3,100,('исходные данные'!U179-'минимумы и максимумы'!S$2)/('минимумы и максимумы'!S$3-'минимумы и максимумы'!S$2)*100)</f>
        <v>0</v>
      </c>
    </row>
    <row r="180" spans="1:21" x14ac:dyDescent="0.45">
      <c r="A180" s="4">
        <v>262</v>
      </c>
      <c r="B180" s="4">
        <v>0</v>
      </c>
      <c r="C180" s="4">
        <v>0</v>
      </c>
      <c r="D180" s="1">
        <f>IF('исходные данные'!D180&gt;'минимумы и максимумы'!B$3,100,('исходные данные'!D180-'минимумы и максимумы'!B$2)/('минимумы и максимумы'!B$3-'минимумы и максимумы'!B$2)*100)</f>
        <v>0</v>
      </c>
      <c r="E180" s="1">
        <f>IF('исходные данные'!E180&gt;'минимумы и максимумы'!C$3,100,('исходные данные'!E180-'минимумы и максимумы'!C$2)/('минимумы и максимумы'!C$3-'минимумы и максимумы'!C$2)*100)</f>
        <v>0</v>
      </c>
      <c r="F180" s="1">
        <f>IF('исходные данные'!F180&gt;'минимумы и максимумы'!D$3,100,('исходные данные'!F180-'минимумы и максимумы'!D$2)/('минимумы и максимумы'!D$3-'минимумы и максимумы'!D$2)*100)</f>
        <v>0</v>
      </c>
      <c r="G180" s="1">
        <f>IF('исходные данные'!G180&gt;'минимумы и максимумы'!E$3,100,('исходные данные'!G180-'минимумы и максимумы'!E$2)/('минимумы и максимумы'!E$3-'минимумы и максимумы'!E$2)*100)</f>
        <v>16.666666666666664</v>
      </c>
      <c r="H180" s="1">
        <f>IF('исходные данные'!H180&gt;'минимумы и максимумы'!F$3,100,('исходные данные'!H180-'минимумы и максимумы'!F$2)/('минимумы и максимумы'!F$3-'минимумы и максимумы'!F$2)*100)</f>
        <v>32</v>
      </c>
      <c r="I180" s="1">
        <f>IF('исходные данные'!I180&gt;'минимумы и максимумы'!G$3,100,('исходные данные'!I180-'минимумы и максимумы'!G$2)/('минимумы и максимумы'!G$3-'минимумы и максимумы'!G$2)*100)</f>
        <v>5.6603773584905666</v>
      </c>
      <c r="J180" s="1">
        <f>IF('исходные данные'!J180&gt;'минимумы и максимумы'!H$3,100,('исходные данные'!J180-'минимумы и максимумы'!H$2)/('минимумы и максимумы'!H$3-'минимумы и максимумы'!H$2)*100)</f>
        <v>0</v>
      </c>
      <c r="K180" s="1">
        <f>IF('исходные данные'!K180&gt;'минимумы и максимумы'!I$3,100,('исходные данные'!K180-'минимумы и максимумы'!I$2)/('минимумы и максимумы'!I$3-'минимумы и максимумы'!I$2)*100)</f>
        <v>0</v>
      </c>
      <c r="L180" s="1">
        <f>IF('исходные данные'!L180&gt;'минимумы и максимумы'!J$3,100,('исходные данные'!L180-'минимумы и максимумы'!J$2)/('минимумы и максимумы'!J$3-'минимумы и максимумы'!J$2)*100)</f>
        <v>0</v>
      </c>
      <c r="M180" s="1">
        <f>IF('исходные данные'!M180&gt;'минимумы и максимумы'!K$3,100,('исходные данные'!M180-'минимумы и максимумы'!K$2)/('минимумы и максимумы'!K$3-'минимумы и максимумы'!K$2)*100)</f>
        <v>22.58064516129032</v>
      </c>
      <c r="N180" s="1">
        <f>IF('исходные данные'!N180&gt;'минимумы и максимумы'!L$3,100,('исходные данные'!N180-'минимумы и максимумы'!L$2)/('минимумы и максимумы'!L$3-'минимумы и максимумы'!L$2)*100)</f>
        <v>44.785120387695514</v>
      </c>
      <c r="O180" s="1">
        <f>IF('исходные данные'!O180&gt;'минимумы и максимумы'!M$3,100,('исходные данные'!O180-'минимумы и максимумы'!M$2)/('минимумы и максимумы'!M$3-'минимумы и максимумы'!M$2)*100)</f>
        <v>33.333333333333329</v>
      </c>
      <c r="P180" s="1">
        <f>IF('исходные данные'!P180&gt;'минимумы и максимумы'!N$3,100,('исходные данные'!P180-'минимумы и максимумы'!N$2)/('минимумы и максимумы'!N$3-'минимумы и максимумы'!N$2)*100)</f>
        <v>0</v>
      </c>
      <c r="Q180" s="1">
        <f>IF('исходные данные'!Q180&gt;'минимумы и максимумы'!O$3,100,('исходные данные'!Q180-'минимумы и максимумы'!O$2)/('минимумы и максимумы'!O$3-'минимумы и максимумы'!O$2)*100)</f>
        <v>100</v>
      </c>
      <c r="R180" s="1">
        <f>IF('исходные данные'!R180&gt;'минимумы и максимумы'!P$3,100,('исходные данные'!R180-'минимумы и максимумы'!P$2)/('минимумы и максимумы'!P$3-'минимумы и максимумы'!P$2)*100)</f>
        <v>100</v>
      </c>
      <c r="S180" s="1">
        <f>IF('исходные данные'!S180&gt;'минимумы и максимумы'!Q$3,100,('исходные данные'!S180-'минимумы и максимумы'!Q$2)/('минимумы и максимумы'!Q$3-'минимумы и максимумы'!Q$2)*100)</f>
        <v>16.666666666666664</v>
      </c>
      <c r="T180" s="1">
        <f>IF('исходные данные'!T180&gt;'минимумы и максимумы'!R$3,100,('исходные данные'!T180-'минимумы и максимумы'!R$2)/('минимумы и максимумы'!R$3-'минимумы и максимумы'!R$2)*100)</f>
        <v>10.162780466344039</v>
      </c>
      <c r="U180" s="1">
        <f>IF('исходные данные'!U180&gt;'минимумы и максимумы'!S$3,100,('исходные данные'!U180-'минимумы и максимумы'!S$2)/('минимумы и максимумы'!S$3-'минимумы и максимумы'!S$2)*100)</f>
        <v>0</v>
      </c>
    </row>
    <row r="181" spans="1:21" x14ac:dyDescent="0.45">
      <c r="A181" s="4">
        <v>263</v>
      </c>
      <c r="B181" s="4">
        <v>0</v>
      </c>
      <c r="C181" s="4">
        <v>0</v>
      </c>
      <c r="D181" s="1">
        <f>IF('исходные данные'!D181&gt;'минимумы и максимумы'!B$3,100,('исходные данные'!D181-'минимумы и максимумы'!B$2)/('минимумы и максимумы'!B$3-'минимумы и максимумы'!B$2)*100)</f>
        <v>0</v>
      </c>
      <c r="E181" s="1">
        <f>IF('исходные данные'!E181&gt;'минимумы и максимумы'!C$3,100,('исходные данные'!E181-'минимумы и максимумы'!C$2)/('минимумы и максимумы'!C$3-'минимумы и максимумы'!C$2)*100)</f>
        <v>10</v>
      </c>
      <c r="F181" s="1">
        <f>IF('исходные данные'!F181&gt;'минимумы и максимумы'!D$3,100,('исходные данные'!F181-'минимумы и максимумы'!D$2)/('минимумы и максимумы'!D$3-'минимумы и максимумы'!D$2)*100)</f>
        <v>0</v>
      </c>
      <c r="G181" s="1">
        <f>IF('исходные данные'!G181&gt;'минимумы и максимумы'!E$3,100,('исходные данные'!G181-'минимумы и максимумы'!E$2)/('минимумы и максимумы'!E$3-'минимумы и максимумы'!E$2)*100)</f>
        <v>25</v>
      </c>
      <c r="H181" s="1">
        <f>IF('исходные данные'!H181&gt;'минимумы и максимумы'!F$3,100,('исходные данные'!H181-'минимумы и максимумы'!F$2)/('минимумы и максимумы'!F$3-'минимумы и максимумы'!F$2)*100)</f>
        <v>28.000000000000004</v>
      </c>
      <c r="I181" s="1">
        <f>IF('исходные данные'!I181&gt;'минимумы и максимумы'!G$3,100,('исходные данные'!I181-'минимумы и максимумы'!G$2)/('минимумы и максимумы'!G$3-'минимумы и максимумы'!G$2)*100)</f>
        <v>13.20754716981132</v>
      </c>
      <c r="J181" s="1">
        <f>IF('исходные данные'!J181&gt;'минимумы и максимумы'!H$3,100,('исходные данные'!J181-'минимумы и максимумы'!H$2)/('минимумы и максимумы'!H$3-'минимумы и максимумы'!H$2)*100)</f>
        <v>13.333333333333334</v>
      </c>
      <c r="K181" s="1">
        <f>IF('исходные данные'!K181&gt;'минимумы и максимумы'!I$3,100,('исходные данные'!K181-'минимумы и максимумы'!I$2)/('минимумы и максимумы'!I$3-'минимумы и максимумы'!I$2)*100)</f>
        <v>16.666666666666664</v>
      </c>
      <c r="L181" s="1">
        <f>IF('исходные данные'!L181&gt;'минимумы и максимумы'!J$3,100,('исходные данные'!L181-'минимумы и максимумы'!J$2)/('минимумы и максимумы'!J$3-'минимумы и максимумы'!J$2)*100)</f>
        <v>0</v>
      </c>
      <c r="M181" s="1">
        <f>IF('исходные данные'!M181&gt;'минимумы и максимумы'!K$3,100,('исходные данные'!M181-'минимумы и максимумы'!K$2)/('минимумы и максимумы'!K$3-'минимумы и максимумы'!K$2)*100)</f>
        <v>22.58064516129032</v>
      </c>
      <c r="N181" s="1">
        <f>IF('исходные данные'!N181&gt;'минимумы и максимумы'!L$3,100,('исходные данные'!N181-'минимумы и максимумы'!L$2)/('минимумы и максимумы'!L$3-'минимумы и максимумы'!L$2)*100)</f>
        <v>48.768539820777583</v>
      </c>
      <c r="O181" s="1">
        <f>IF('исходные данные'!O181&gt;'минимумы и максимумы'!M$3,100,('исходные данные'!O181-'минимумы и максимумы'!M$2)/('минимумы и максимумы'!M$3-'минимумы и максимумы'!M$2)*100)</f>
        <v>0</v>
      </c>
      <c r="P181" s="1">
        <f>IF('исходные данные'!P181&gt;'минимумы и максимумы'!N$3,100,('исходные данные'!P181-'минимумы и максимумы'!N$2)/('минимумы и максимумы'!N$3-'минимумы и максимумы'!N$2)*100)</f>
        <v>0</v>
      </c>
      <c r="Q181" s="1">
        <f>IF('исходные данные'!Q181&gt;'минимумы и максимумы'!O$3,100,('исходные данные'!Q181-'минимумы и максимумы'!O$2)/('минимумы и максимумы'!O$3-'минимумы и максимумы'!O$2)*100)</f>
        <v>100</v>
      </c>
      <c r="R181" s="1">
        <f>IF('исходные данные'!R181&gt;'минимумы и максимумы'!P$3,100,('исходные данные'!R181-'минимумы и максимумы'!P$2)/('минимумы и максимумы'!P$3-'минимумы и максимумы'!P$2)*100)</f>
        <v>100</v>
      </c>
      <c r="S181" s="1">
        <f>IF('исходные данные'!S181&gt;'минимумы и максимумы'!Q$3,100,('исходные данные'!S181-'минимумы и максимумы'!Q$2)/('минимумы и максимумы'!Q$3-'минимумы и максимумы'!Q$2)*100)</f>
        <v>33.333333333333329</v>
      </c>
      <c r="T181" s="1">
        <f>IF('исходные данные'!T181&gt;'минимумы и максимумы'!R$3,100,('исходные данные'!T181-'минимумы и максимумы'!R$2)/('минимумы и максимумы'!R$3-'минимумы и максимумы'!R$2)*100)</f>
        <v>49.934007919049719</v>
      </c>
      <c r="U181" s="1">
        <f>IF('исходные данные'!U181&gt;'минимумы и максимумы'!S$3,100,('исходные данные'!U181-'минимумы и максимумы'!S$2)/('минимумы и максимумы'!S$3-'минимумы и максимумы'!S$2)*100)</f>
        <v>66.666666666666657</v>
      </c>
    </row>
    <row r="182" spans="1:21" x14ac:dyDescent="0.45">
      <c r="A182" s="4">
        <v>264</v>
      </c>
      <c r="B182" s="4">
        <v>0</v>
      </c>
      <c r="C182" s="4">
        <v>0</v>
      </c>
      <c r="D182" s="1">
        <f>IF('исходные данные'!D182&gt;'минимумы и максимумы'!B$3,100,('исходные данные'!D182-'минимумы и максимумы'!B$2)/('минимумы и максимумы'!B$3-'минимумы и максимумы'!B$2)*100)</f>
        <v>20</v>
      </c>
      <c r="E182" s="1">
        <f>IF('исходные данные'!E182&gt;'минимумы и максимумы'!C$3,100,('исходные данные'!E182-'минимумы и максимумы'!C$2)/('минимумы и максимумы'!C$3-'минимумы и максимумы'!C$2)*100)</f>
        <v>0</v>
      </c>
      <c r="F182" s="1">
        <f>IF('исходные данные'!F182&gt;'минимумы и максимумы'!D$3,100,('исходные данные'!F182-'минимумы и максимумы'!D$2)/('минимумы и максимумы'!D$3-'минимумы и максимумы'!D$2)*100)</f>
        <v>0</v>
      </c>
      <c r="G182" s="1">
        <f>IF('исходные данные'!G182&gt;'минимумы и максимумы'!E$3,100,('исходные данные'!G182-'минимумы и максимумы'!E$2)/('минимумы и максимумы'!E$3-'минимумы и максимумы'!E$2)*100)</f>
        <v>4.1666666666666661</v>
      </c>
      <c r="H182" s="1">
        <f>IF('исходные данные'!H182&gt;'минимумы и максимумы'!F$3,100,('исходные данные'!H182-'минимумы и максимумы'!F$2)/('минимумы и максимумы'!F$3-'минимумы и максимумы'!F$2)*100)</f>
        <v>8</v>
      </c>
      <c r="I182" s="1">
        <f>IF('исходные данные'!I182&gt;'минимумы и максимумы'!G$3,100,('исходные данные'!I182-'минимумы и максимумы'!G$2)/('минимумы и максимумы'!G$3-'минимумы и максимумы'!G$2)*100)</f>
        <v>1.8867924528301887</v>
      </c>
      <c r="J182" s="1">
        <f>IF('исходные данные'!J182&gt;'минимумы и максимумы'!H$3,100,('исходные данные'!J182-'минимумы и максимумы'!H$2)/('минимумы и максимумы'!H$3-'минимумы и максимумы'!H$2)*100)</f>
        <v>0</v>
      </c>
      <c r="K182" s="1">
        <f>IF('исходные данные'!K182&gt;'минимумы и максимумы'!I$3,100,('исходные данные'!K182-'минимумы и максимумы'!I$2)/('минимумы и максимумы'!I$3-'минимумы и максимумы'!I$2)*100)</f>
        <v>0</v>
      </c>
      <c r="L182" s="1">
        <f>IF('исходные данные'!L182&gt;'минимумы и максимумы'!J$3,100,('исходные данные'!L182-'минимумы и максимумы'!J$2)/('минимумы и максимумы'!J$3-'минимумы и максимумы'!J$2)*100)</f>
        <v>0</v>
      </c>
      <c r="M182" s="1">
        <f>IF('исходные данные'!M182&gt;'минимумы и максимумы'!K$3,100,('исходные данные'!M182-'минимумы и максимумы'!K$2)/('минимумы и максимумы'!K$3-'минимумы и максимумы'!K$2)*100)</f>
        <v>19.35483870967742</v>
      </c>
      <c r="N182" s="1">
        <f>IF('исходные данные'!N182&gt;'минимумы и максимумы'!L$3,100,('исходные данные'!N182-'минимумы и максимумы'!L$2)/('минимумы и максимумы'!L$3-'минимумы и максимумы'!L$2)*100)</f>
        <v>50.012994587454799</v>
      </c>
      <c r="O182" s="1">
        <f>IF('исходные данные'!O182&gt;'минимумы и максимумы'!M$3,100,('исходные данные'!O182-'минимумы и максимумы'!M$2)/('минимумы и максимумы'!M$3-'минимумы и максимумы'!M$2)*100)</f>
        <v>0</v>
      </c>
      <c r="P182" s="1">
        <f>IF('исходные данные'!P182&gt;'минимумы и максимумы'!N$3,100,('исходные данные'!P182-'минимумы и максимумы'!N$2)/('минимумы и максимумы'!N$3-'минимумы и максимумы'!N$2)*100)</f>
        <v>0</v>
      </c>
      <c r="Q182" s="1">
        <f>IF('исходные данные'!Q182&gt;'минимумы и максимумы'!O$3,100,('исходные данные'!Q182-'минимумы и максимумы'!O$2)/('минимумы и максимумы'!O$3-'минимумы и максимумы'!O$2)*100)</f>
        <v>100</v>
      </c>
      <c r="R182" s="1">
        <f>IF('исходные данные'!R182&gt;'минимумы и максимумы'!P$3,100,('исходные данные'!R182-'минимумы и максимумы'!P$2)/('минимумы и максимумы'!P$3-'минимумы и максимумы'!P$2)*100)</f>
        <v>100</v>
      </c>
      <c r="S182" s="1">
        <f>IF('исходные данные'!S182&gt;'минимумы и максимумы'!Q$3,100,('исходные данные'!S182-'минимумы и максимумы'!Q$2)/('минимумы и максимумы'!Q$3-'минимумы и максимумы'!Q$2)*100)</f>
        <v>16.666666666666664</v>
      </c>
      <c r="T182" s="1">
        <f>IF('исходные данные'!T182&gt;'минимумы и максимумы'!R$3,100,('исходные данные'!T182-'минимумы и максимумы'!R$2)/('минимумы и максимумы'!R$3-'минимумы и максимумы'!R$2)*100)</f>
        <v>5.4113506379234488</v>
      </c>
      <c r="U182" s="1">
        <f>IF('исходные данные'!U182&gt;'минимумы и максимумы'!S$3,100,('исходные данные'!U182-'минимумы и максимумы'!S$2)/('минимумы и максимумы'!S$3-'минимумы и максимумы'!S$2)*100)</f>
        <v>0</v>
      </c>
    </row>
    <row r="183" spans="1:21" x14ac:dyDescent="0.45">
      <c r="A183" s="4">
        <v>265</v>
      </c>
      <c r="B183" s="4">
        <v>0</v>
      </c>
      <c r="C183" s="4">
        <v>0</v>
      </c>
      <c r="D183" s="1">
        <f>IF('исходные данные'!D183&gt;'минимумы и максимумы'!B$3,100,('исходные данные'!D183-'минимумы и максимумы'!B$2)/('минимумы и максимумы'!B$3-'минимумы и максимумы'!B$2)*100)</f>
        <v>20</v>
      </c>
      <c r="E183" s="1">
        <f>IF('исходные данные'!E183&gt;'минимумы и максимумы'!C$3,100,('исходные данные'!E183-'минимумы и максимумы'!C$2)/('минимумы и максимумы'!C$3-'минимумы и максимумы'!C$2)*100)</f>
        <v>0</v>
      </c>
      <c r="F183" s="1">
        <f>IF('исходные данные'!F183&gt;'минимумы и максимумы'!D$3,100,('исходные данные'!F183-'минимумы и максимумы'!D$2)/('минимумы и максимумы'!D$3-'минимумы и максимумы'!D$2)*100)</f>
        <v>0</v>
      </c>
      <c r="G183" s="1">
        <f>IF('исходные данные'!G183&gt;'минимумы и максимумы'!E$3,100,('исходные данные'!G183-'минимумы и максимумы'!E$2)/('минимумы и максимумы'!E$3-'минимумы и максимумы'!E$2)*100)</f>
        <v>4.1666666666666661</v>
      </c>
      <c r="H183" s="1">
        <f>IF('исходные данные'!H183&gt;'минимумы и максимумы'!F$3,100,('исходные данные'!H183-'минимумы и максимумы'!F$2)/('минимумы и максимумы'!F$3-'минимумы и максимумы'!F$2)*100)</f>
        <v>8</v>
      </c>
      <c r="I183" s="1">
        <f>IF('исходные данные'!I183&gt;'минимумы и максимумы'!G$3,100,('исходные данные'!I183-'минимумы и максимумы'!G$2)/('минимумы и максимумы'!G$3-'минимумы и максимумы'!G$2)*100)</f>
        <v>1.8867924528301887</v>
      </c>
      <c r="J183" s="1">
        <f>IF('исходные данные'!J183&gt;'минимумы и максимумы'!H$3,100,('исходные данные'!J183-'минимумы и максимумы'!H$2)/('минимумы и максимумы'!H$3-'минимумы и максимумы'!H$2)*100)</f>
        <v>0</v>
      </c>
      <c r="K183" s="1">
        <f>IF('исходные данные'!K183&gt;'минимумы и максимумы'!I$3,100,('исходные данные'!K183-'минимумы и максимумы'!I$2)/('минимумы и максимумы'!I$3-'минимумы и максимумы'!I$2)*100)</f>
        <v>0</v>
      </c>
      <c r="L183" s="1">
        <f>IF('исходные данные'!L183&gt;'минимумы и максимумы'!J$3,100,('исходные данные'!L183-'минимумы и максимумы'!J$2)/('минимумы и максимумы'!J$3-'минимумы и максимумы'!J$2)*100)</f>
        <v>0</v>
      </c>
      <c r="M183" s="1">
        <f>IF('исходные данные'!M183&gt;'минимумы и максимумы'!K$3,100,('исходные данные'!M183-'минимумы и максимумы'!K$2)/('минимумы и максимумы'!K$3-'минимумы и максимумы'!K$2)*100)</f>
        <v>19.35483870967742</v>
      </c>
      <c r="N183" s="1">
        <f>IF('исходные данные'!N183&gt;'минимумы и максимумы'!L$3,100,('исходные данные'!N183-'минимумы и максимумы'!L$2)/('минимумы и максимумы'!L$3-'минимумы и максимумы'!L$2)*100)</f>
        <v>49.880452034751684</v>
      </c>
      <c r="O183" s="1">
        <f>IF('исходные данные'!O183&gt;'минимумы и максимумы'!M$3,100,('исходные данные'!O183-'минимумы и максимумы'!M$2)/('минимумы и максимумы'!M$3-'минимумы и максимумы'!M$2)*100)</f>
        <v>0</v>
      </c>
      <c r="P183" s="1">
        <f>IF('исходные данные'!P183&gt;'минимумы и максимумы'!N$3,100,('исходные данные'!P183-'минимумы и максимумы'!N$2)/('минимумы и максимумы'!N$3-'минимумы и максимумы'!N$2)*100)</f>
        <v>0</v>
      </c>
      <c r="Q183" s="1">
        <f>IF('исходные данные'!Q183&gt;'минимумы и максимумы'!O$3,100,('исходные данные'!Q183-'минимумы и максимумы'!O$2)/('минимумы и максимумы'!O$3-'минимумы и максимумы'!O$2)*100)</f>
        <v>100</v>
      </c>
      <c r="R183" s="1">
        <f>IF('исходные данные'!R183&gt;'минимумы и максимумы'!P$3,100,('исходные данные'!R183-'минимумы и максимумы'!P$2)/('минимумы и максимумы'!P$3-'минимумы и максимумы'!P$2)*100)</f>
        <v>100</v>
      </c>
      <c r="S183" s="1">
        <f>IF('исходные данные'!S183&gt;'минимумы и максимумы'!Q$3,100,('исходные данные'!S183-'минимумы и максимумы'!Q$2)/('минимумы и максимумы'!Q$3-'минимумы и максимумы'!Q$2)*100)</f>
        <v>16.666666666666664</v>
      </c>
      <c r="T183" s="1">
        <f>IF('исходные данные'!T183&gt;'минимумы и максимумы'!R$3,100,('исходные данные'!T183-'минимумы и максимумы'!R$2)/('минимумы и максимумы'!R$3-'минимумы и максимумы'!R$2)*100)</f>
        <v>7.0831500219973602</v>
      </c>
      <c r="U183" s="1">
        <f>IF('исходные данные'!U183&gt;'минимумы и максимумы'!S$3,100,('исходные данные'!U183-'минимумы и максимумы'!S$2)/('минимумы и максимумы'!S$3-'минимумы и максимумы'!S$2)*100)</f>
        <v>0</v>
      </c>
    </row>
    <row r="184" spans="1:21" x14ac:dyDescent="0.45">
      <c r="A184" s="4">
        <v>266</v>
      </c>
      <c r="B184" s="4">
        <v>0</v>
      </c>
      <c r="C184" s="4">
        <v>0</v>
      </c>
      <c r="D184" s="1">
        <f>IF('исходные данные'!D184&gt;'минимумы и максимумы'!B$3,100,('исходные данные'!D184-'минимумы и максимумы'!B$2)/('минимумы и максимумы'!B$3-'минимумы и максимумы'!B$2)*100)</f>
        <v>0</v>
      </c>
      <c r="E184" s="1">
        <f>IF('исходные данные'!E184&gt;'минимумы и максимумы'!C$3,100,('исходные данные'!E184-'минимумы и максимумы'!C$2)/('минимумы и максимумы'!C$3-'минимумы и максимумы'!C$2)*100)</f>
        <v>30</v>
      </c>
      <c r="F184" s="1">
        <f>IF('исходные данные'!F184&gt;'минимумы и максимумы'!D$3,100,('исходные данные'!F184-'минимумы и максимумы'!D$2)/('минимумы и максимумы'!D$3-'минимумы и максимумы'!D$2)*100)</f>
        <v>33.333333333333329</v>
      </c>
      <c r="G184" s="1">
        <f>IF('исходные данные'!G184&gt;'минимумы и максимумы'!E$3,100,('исходные данные'!G184-'минимумы и максимумы'!E$2)/('минимумы и максимумы'!E$3-'минимумы и максимумы'!E$2)*100)</f>
        <v>20.833333333333336</v>
      </c>
      <c r="H184" s="1">
        <f>IF('исходные данные'!H184&gt;'минимумы и максимумы'!F$3,100,('исходные данные'!H184-'минимумы и максимумы'!F$2)/('минимумы и максимумы'!F$3-'минимумы и максимумы'!F$2)*100)</f>
        <v>24</v>
      </c>
      <c r="I184" s="1">
        <f>IF('исходные данные'!I184&gt;'минимумы и максимумы'!G$3,100,('исходные данные'!I184-'минимумы и максимумы'!G$2)/('минимумы и максимумы'!G$3-'минимумы и максимумы'!G$2)*100)</f>
        <v>7.5471698113207548</v>
      </c>
      <c r="J184" s="1">
        <f>IF('исходные данные'!J184&gt;'минимумы и максимумы'!H$3,100,('исходные данные'!J184-'минимумы и максимумы'!H$2)/('минимумы и максимумы'!H$3-'минимумы и максимумы'!H$2)*100)</f>
        <v>13.333333333333334</v>
      </c>
      <c r="K184" s="1">
        <f>IF('исходные данные'!K184&gt;'минимумы и максимумы'!I$3,100,('исходные данные'!K184-'минимумы и максимумы'!I$2)/('минимумы и максимумы'!I$3-'минимумы и максимумы'!I$2)*100)</f>
        <v>0</v>
      </c>
      <c r="L184" s="1">
        <f>IF('исходные данные'!L184&gt;'минимумы и максимумы'!J$3,100,('исходные данные'!L184-'минимумы и максимумы'!J$2)/('минимумы и максимумы'!J$3-'минимумы и максимумы'!J$2)*100)</f>
        <v>0</v>
      </c>
      <c r="M184" s="1">
        <f>IF('исходные данные'!M184&gt;'минимумы и максимумы'!K$3,100,('исходные данные'!M184-'минимумы и максимумы'!K$2)/('минимумы и максимумы'!K$3-'минимумы и максимумы'!K$2)*100)</f>
        <v>6.4516129032258061</v>
      </c>
      <c r="N184" s="1">
        <f>IF('исходные данные'!N184&gt;'минимумы и максимумы'!L$3,100,('исходные данные'!N184-'минимумы и максимумы'!L$2)/('минимумы и максимумы'!L$3-'минимумы и максимумы'!L$2)*100)</f>
        <v>54.779723541994365</v>
      </c>
      <c r="O184" s="1">
        <f>IF('исходные данные'!O184&gt;'минимумы и максимумы'!M$3,100,('исходные данные'!O184-'минимумы и максимумы'!M$2)/('минимумы и максимумы'!M$3-'минимумы и максимумы'!M$2)*100)</f>
        <v>0</v>
      </c>
      <c r="P184" s="1">
        <f>IF('исходные данные'!P184&gt;'минимумы и максимумы'!N$3,100,('исходные данные'!P184-'минимумы и максимумы'!N$2)/('минимумы и максимумы'!N$3-'минимумы и максимумы'!N$2)*100)</f>
        <v>0</v>
      </c>
      <c r="Q184" s="1">
        <f>IF('исходные данные'!Q184&gt;'минимумы и максимумы'!O$3,100,('исходные данные'!Q184-'минимумы и максимумы'!O$2)/('минимумы и максимумы'!O$3-'минимумы и максимумы'!O$2)*100)</f>
        <v>100</v>
      </c>
      <c r="R184" s="1">
        <f>IF('исходные данные'!R184&gt;'минимумы и максимумы'!P$3,100,('исходные данные'!R184-'минимумы и максимумы'!P$2)/('минимумы и максимумы'!P$3-'минимумы и максимумы'!P$2)*100)</f>
        <v>100</v>
      </c>
      <c r="S184" s="1">
        <f>IF('исходные данные'!S184&gt;'минимумы и максимумы'!Q$3,100,('исходные данные'!S184-'минимумы и максимумы'!Q$2)/('минимумы и максимумы'!Q$3-'минимумы и максимумы'!Q$2)*100)</f>
        <v>16.666666666666664</v>
      </c>
      <c r="T184" s="1">
        <f>IF('исходные данные'!T184&gt;'минимумы и максимумы'!R$3,100,('исходные данные'!T184-'минимумы и максимумы'!R$2)/('минимумы и максимумы'!R$3-'минимумы и максимумы'!R$2)*100)</f>
        <v>4.7954245490541139</v>
      </c>
      <c r="U184" s="1">
        <f>IF('исходные данные'!U184&gt;'минимумы и максимумы'!S$3,100,('исходные данные'!U184-'минимумы и максимумы'!S$2)/('минимумы и максимумы'!S$3-'минимумы и максимумы'!S$2)*100)</f>
        <v>0</v>
      </c>
    </row>
    <row r="185" spans="1:21" x14ac:dyDescent="0.45">
      <c r="A185" s="4">
        <v>269</v>
      </c>
      <c r="B185" s="4">
        <v>0</v>
      </c>
      <c r="C185" s="4">
        <v>0</v>
      </c>
      <c r="D185" s="1">
        <f>IF('исходные данные'!D185&gt;'минимумы и максимумы'!B$3,100,('исходные данные'!D185-'минимумы и максимумы'!B$2)/('минимумы и максимумы'!B$3-'минимумы и максимумы'!B$2)*100)</f>
        <v>20</v>
      </c>
      <c r="E185" s="1">
        <f>IF('исходные данные'!E185&gt;'минимумы и максимумы'!C$3,100,('исходные данные'!E185-'минимумы и максимумы'!C$2)/('минимумы и максимумы'!C$3-'минимумы и максимумы'!C$2)*100)</f>
        <v>10</v>
      </c>
      <c r="F185" s="1">
        <f>IF('исходные данные'!F185&gt;'минимумы и максимумы'!D$3,100,('исходные данные'!F185-'минимумы и максимумы'!D$2)/('минимумы и максимумы'!D$3-'минимумы и максимумы'!D$2)*100)</f>
        <v>0</v>
      </c>
      <c r="G185" s="1">
        <f>IF('исходные данные'!G185&gt;'минимумы и максимумы'!E$3,100,('исходные данные'!G185-'минимумы и максимумы'!E$2)/('минимумы и максимумы'!E$3-'минимумы и максимумы'!E$2)*100)</f>
        <v>0</v>
      </c>
      <c r="H185" s="1">
        <f>IF('исходные данные'!H185&gt;'минимумы и максимумы'!F$3,100,('исходные данные'!H185-'минимумы и максимумы'!F$2)/('минимумы и максимумы'!F$3-'минимумы и максимумы'!F$2)*100)</f>
        <v>0</v>
      </c>
      <c r="I185" s="1">
        <f>IF('исходные данные'!I185&gt;'минимумы и максимумы'!G$3,100,('исходные данные'!I185-'минимумы и максимумы'!G$2)/('минимумы и максимумы'!G$3-'минимумы и максимумы'!G$2)*100)</f>
        <v>1.8867924528301887</v>
      </c>
      <c r="J185" s="1">
        <f>IF('исходные данные'!J185&gt;'минимумы и максимумы'!H$3,100,('исходные данные'!J185-'минимумы и максимумы'!H$2)/('минимумы и максимумы'!H$3-'минимумы и максимумы'!H$2)*100)</f>
        <v>6.666666666666667</v>
      </c>
      <c r="K185" s="1">
        <f>IF('исходные данные'!K185&gt;'минимумы и максимумы'!I$3,100,('исходные данные'!K185-'минимумы и максимумы'!I$2)/('минимумы и максимумы'!I$3-'минимумы и максимумы'!I$2)*100)</f>
        <v>0</v>
      </c>
      <c r="L185" s="1">
        <f>IF('исходные данные'!L185&gt;'минимумы и максимумы'!J$3,100,('исходные данные'!L185-'минимумы и максимумы'!J$2)/('минимумы и максимумы'!J$3-'минимумы и максимумы'!J$2)*100)</f>
        <v>0</v>
      </c>
      <c r="M185" s="1">
        <f>IF('исходные данные'!M185&gt;'минимумы и максимумы'!K$3,100,('исходные данные'!M185-'минимумы и максимумы'!K$2)/('минимумы и максимумы'!K$3-'минимумы и максимумы'!K$2)*100)</f>
        <v>9.67741935483871</v>
      </c>
      <c r="N185" s="1">
        <f>IF('исходные данные'!N185&gt;'минимумы и максимумы'!L$3,100,('исходные данные'!N185-'минимумы и максимумы'!L$2)/('минимумы и максимумы'!L$3-'минимумы и максимумы'!L$2)*100)</f>
        <v>57.243590639893185</v>
      </c>
      <c r="O185" s="1">
        <f>IF('исходные данные'!O185&gt;'минимумы и максимумы'!M$3,100,('исходные данные'!O185-'минимумы и максимумы'!M$2)/('минимумы и максимумы'!M$3-'минимумы и максимумы'!M$2)*100)</f>
        <v>0</v>
      </c>
      <c r="P185" s="1">
        <f>IF('исходные данные'!P185&gt;'минимумы и максимумы'!N$3,100,('исходные данные'!P185-'минимумы и максимумы'!N$2)/('минимумы и максимумы'!N$3-'минимумы и максимумы'!N$2)*100)</f>
        <v>0</v>
      </c>
      <c r="Q185" s="1">
        <f>IF('исходные данные'!Q185&gt;'минимумы и максимумы'!O$3,100,('исходные данные'!Q185-'минимумы и максимумы'!O$2)/('минимумы и максимумы'!O$3-'минимумы и максимумы'!O$2)*100)</f>
        <v>100</v>
      </c>
      <c r="R185" s="1">
        <f>IF('исходные данные'!R185&gt;'минимумы и максимумы'!P$3,100,('исходные данные'!R185-'минимумы и максимумы'!P$2)/('минимумы и максимумы'!P$3-'минимумы и максимумы'!P$2)*100)</f>
        <v>100</v>
      </c>
      <c r="S185" s="1">
        <f>IF('исходные данные'!S185&gt;'минимумы и максимумы'!Q$3,100,('исходные данные'!S185-'минимумы и максимумы'!Q$2)/('минимумы и максимумы'!Q$3-'минимумы и максимумы'!Q$2)*100)</f>
        <v>16.666666666666664</v>
      </c>
      <c r="T185" s="1">
        <f>IF('исходные данные'!T185&gt;'минимумы и максимумы'!R$3,100,('исходные данные'!T185-'минимумы и максимумы'!R$2)/('минимумы и максимумы'!R$3-'минимумы и максимумы'!R$2)*100)</f>
        <v>43.334799824021118</v>
      </c>
      <c r="U185" s="1">
        <f>IF('исходные данные'!U185&gt;'минимумы и максимумы'!S$3,100,('исходные данные'!U185-'минимумы и максимумы'!S$2)/('минимумы и максимумы'!S$3-'минимумы и максимумы'!S$2)*100)</f>
        <v>66.666666666666657</v>
      </c>
    </row>
    <row r="186" spans="1:21" x14ac:dyDescent="0.45">
      <c r="A186" s="4">
        <v>271</v>
      </c>
      <c r="B186" s="4">
        <v>0</v>
      </c>
      <c r="C186" s="4">
        <v>0</v>
      </c>
      <c r="D186" s="1">
        <f>IF('исходные данные'!D186&gt;'минимумы и максимумы'!B$3,100,('исходные данные'!D186-'минимумы и максимумы'!B$2)/('минимумы и максимумы'!B$3-'минимумы и максимумы'!B$2)*100)</f>
        <v>0</v>
      </c>
      <c r="E186" s="1">
        <f>IF('исходные данные'!E186&gt;'минимумы и максимумы'!C$3,100,('исходные данные'!E186-'минимумы и максимумы'!C$2)/('минимумы и максимумы'!C$3-'минимумы и максимумы'!C$2)*100)</f>
        <v>0</v>
      </c>
      <c r="F186" s="1">
        <f>IF('исходные данные'!F186&gt;'минимумы и максимумы'!D$3,100,('исходные данные'!F186-'минимумы и максимумы'!D$2)/('минимумы и максимумы'!D$3-'минимумы и максимумы'!D$2)*100)</f>
        <v>0</v>
      </c>
      <c r="G186" s="1">
        <f>IF('исходные данные'!G186&gt;'минимумы и максимумы'!E$3,100,('исходные данные'!G186-'минимумы и максимумы'!E$2)/('минимумы и максимумы'!E$3-'минимумы и максимумы'!E$2)*100)</f>
        <v>0</v>
      </c>
      <c r="H186" s="1">
        <f>IF('исходные данные'!H186&gt;'минимумы и максимумы'!F$3,100,('исходные данные'!H186-'минимумы и максимумы'!F$2)/('минимумы и максимумы'!F$3-'минимумы и максимумы'!F$2)*100)</f>
        <v>0</v>
      </c>
      <c r="I186" s="1">
        <f>IF('исходные данные'!I186&gt;'минимумы и максимумы'!G$3,100,('исходные данные'!I186-'минимумы и максимумы'!G$2)/('минимумы и максимумы'!G$3-'минимумы и максимумы'!G$2)*100)</f>
        <v>0</v>
      </c>
      <c r="J186" s="1">
        <f>IF('исходные данные'!J186&gt;'минимумы и максимумы'!H$3,100,('исходные данные'!J186-'минимумы и максимумы'!H$2)/('минимумы и максимумы'!H$3-'минимумы и максимумы'!H$2)*100)</f>
        <v>0</v>
      </c>
      <c r="K186" s="1">
        <f>IF('исходные данные'!K186&gt;'минимумы и максимумы'!I$3,100,('исходные данные'!K186-'минимумы и максимумы'!I$2)/('минимумы и максимумы'!I$3-'минимумы и максимумы'!I$2)*100)</f>
        <v>0</v>
      </c>
      <c r="L186" s="1">
        <f>IF('исходные данные'!L186&gt;'минимумы и максимумы'!J$3,100,('исходные данные'!L186-'минимумы и максимумы'!J$2)/('минимумы и максимумы'!J$3-'минимумы и максимумы'!J$2)*100)</f>
        <v>0</v>
      </c>
      <c r="M186" s="1">
        <f>IF('исходные данные'!M186&gt;'минимумы и максимумы'!K$3,100,('исходные данные'!M186-'минимумы и максимумы'!K$2)/('минимумы и максимумы'!K$3-'минимумы и максимумы'!K$2)*100)</f>
        <v>0</v>
      </c>
      <c r="N186" s="1">
        <f>IF('исходные данные'!N186&gt;'минимумы и максимумы'!L$3,100,('исходные данные'!N186-'минимумы и максимумы'!L$2)/('минимумы и максимумы'!L$3-'минимумы и максимумы'!L$2)*100)</f>
        <v>67.975371533547019</v>
      </c>
      <c r="O186" s="1">
        <f>IF('исходные данные'!O186&gt;'минимумы и максимумы'!M$3,100,('исходные данные'!O186-'минимумы и максимумы'!M$2)/('минимумы и максимумы'!M$3-'минимумы и максимумы'!M$2)*100)</f>
        <v>66.666666666666657</v>
      </c>
      <c r="P186" s="1">
        <f>IF('исходные данные'!P186&gt;'минимумы и максимумы'!N$3,100,('исходные данные'!P186-'минимумы и максимумы'!N$2)/('минимумы и максимумы'!N$3-'минимумы и максимумы'!N$2)*100)</f>
        <v>0</v>
      </c>
      <c r="Q186" s="1">
        <f>IF('исходные данные'!Q186&gt;'минимумы и максимумы'!O$3,100,('исходные данные'!Q186-'минимумы и максимумы'!O$2)/('минимумы и максимумы'!O$3-'минимумы и максимумы'!O$2)*100)</f>
        <v>0</v>
      </c>
      <c r="R186" s="1">
        <f>IF('исходные данные'!R186&gt;'минимумы и максимумы'!P$3,100,('исходные данные'!R186-'минимумы и максимумы'!P$2)/('минимумы и максимумы'!P$3-'минимумы и максимумы'!P$2)*100)</f>
        <v>50</v>
      </c>
      <c r="S186" s="1">
        <f>IF('исходные данные'!S186&gt;'минимумы и максимумы'!Q$3,100,('исходные данные'!S186-'минимумы и максимумы'!Q$2)/('минимумы и максимумы'!Q$3-'минимумы и максимумы'!Q$2)*100)</f>
        <v>66.666666666666657</v>
      </c>
      <c r="T186" s="1">
        <f>IF('исходные данные'!T186&gt;'минимумы и максимумы'!R$3,100,('исходные данные'!T186-'минимумы и максимумы'!R$2)/('минимумы и максимумы'!R$3-'минимумы и максимумы'!R$2)*100)</f>
        <v>1.6717993840739112</v>
      </c>
      <c r="U186" s="1">
        <f>IF('исходные данные'!U186&gt;'минимумы и максимумы'!S$3,100,('исходные данные'!U186-'минимумы и максимумы'!S$2)/('минимумы и максимумы'!S$3-'минимумы и максимумы'!S$2)*100)</f>
        <v>33.333333333333329</v>
      </c>
    </row>
    <row r="187" spans="1:21" x14ac:dyDescent="0.45">
      <c r="A187" s="4">
        <v>273</v>
      </c>
      <c r="B187" s="4">
        <v>0</v>
      </c>
      <c r="C187" s="4">
        <v>1</v>
      </c>
      <c r="D187" s="1">
        <f>IF('исходные данные'!D187&gt;'минимумы и максимумы'!B$3,100,('исходные данные'!D187-'минимумы и максимумы'!B$2)/('минимумы и максимумы'!B$3-'минимумы и максимумы'!B$2)*100)</f>
        <v>0</v>
      </c>
      <c r="E187" s="1">
        <f>IF('исходные данные'!E187&gt;'минимумы и максимумы'!C$3,100,('исходные данные'!E187-'минимумы и максимумы'!C$2)/('минимумы и максимумы'!C$3-'минимумы и максимумы'!C$2)*100)</f>
        <v>10</v>
      </c>
      <c r="F187" s="1">
        <f>IF('исходные данные'!F187&gt;'минимумы и максимумы'!D$3,100,('исходные данные'!F187-'минимумы и максимумы'!D$2)/('минимумы и максимумы'!D$3-'минимумы и максимумы'!D$2)*100)</f>
        <v>33.333333333333329</v>
      </c>
      <c r="G187" s="1">
        <f>IF('исходные данные'!G187&gt;'минимумы и максимумы'!E$3,100,('исходные данные'!G187-'минимумы и максимумы'!E$2)/('минимумы и максимумы'!E$3-'минимумы и максимумы'!E$2)*100)</f>
        <v>20.833333333333336</v>
      </c>
      <c r="H187" s="1">
        <f>IF('исходные данные'!H187&gt;'минимумы и максимумы'!F$3,100,('исходные данные'!H187-'минимумы и максимумы'!F$2)/('минимумы и максимумы'!F$3-'минимумы и максимумы'!F$2)*100)</f>
        <v>20</v>
      </c>
      <c r="I187" s="1">
        <f>IF('исходные данные'!I187&gt;'минимумы и максимумы'!G$3,100,('исходные данные'!I187-'минимумы и максимумы'!G$2)/('минимумы и максимумы'!G$3-'минимумы и максимумы'!G$2)*100)</f>
        <v>11.320754716981133</v>
      </c>
      <c r="J187" s="1">
        <f>IF('исходные данные'!J187&gt;'минимумы и максимумы'!H$3,100,('исходные данные'!J187-'минимумы и максимумы'!H$2)/('минимумы и максимумы'!H$3-'минимумы и максимумы'!H$2)*100)</f>
        <v>0</v>
      </c>
      <c r="K187" s="1">
        <f>IF('исходные данные'!K187&gt;'минимумы и максимумы'!I$3,100,('исходные данные'!K187-'минимумы и максимумы'!I$2)/('минимумы и максимумы'!I$3-'минимумы и максимумы'!I$2)*100)</f>
        <v>5.5555555555555554</v>
      </c>
      <c r="L187" s="1">
        <f>IF('исходные данные'!L187&gt;'минимумы и максимумы'!J$3,100,('исходные данные'!L187-'минимумы и максимумы'!J$2)/('минимумы и максимумы'!J$3-'минимумы и максимумы'!J$2)*100)</f>
        <v>20</v>
      </c>
      <c r="M187" s="1">
        <f>IF('исходные данные'!M187&gt;'минимумы и максимумы'!K$3,100,('исходные данные'!M187-'минимумы и максимумы'!K$2)/('минимумы и максимумы'!K$3-'минимумы и максимумы'!K$2)*100)</f>
        <v>6.4516129032258061</v>
      </c>
      <c r="N187" s="1">
        <f>IF('исходные данные'!N187&gt;'минимумы и максимумы'!L$3,100,('исходные данные'!N187-'минимумы и максимумы'!L$2)/('минимумы и максимумы'!L$3-'минимумы и максимумы'!L$2)*100)</f>
        <v>36.101242414896305</v>
      </c>
      <c r="O187" s="1">
        <f>IF('исходные данные'!O187&gt;'минимумы и максимумы'!M$3,100,('исходные данные'!O187-'минимумы и максимумы'!M$2)/('минимумы и максимумы'!M$3-'минимумы и максимумы'!M$2)*100)</f>
        <v>66.666666666666657</v>
      </c>
      <c r="P187" s="1">
        <f>IF('исходные данные'!P187&gt;'минимумы и максимумы'!N$3,100,('исходные данные'!P187-'минимумы и максимумы'!N$2)/('минимумы и максимумы'!N$3-'минимумы и максимумы'!N$2)*100)</f>
        <v>0</v>
      </c>
      <c r="Q187" s="1">
        <f>IF('исходные данные'!Q187&gt;'минимумы и максимумы'!O$3,100,('исходные данные'!Q187-'минимумы и максимумы'!O$2)/('минимумы и максимумы'!O$3-'минимумы и максимумы'!O$2)*100)</f>
        <v>0</v>
      </c>
      <c r="R187" s="1">
        <f>IF('исходные данные'!R187&gt;'минимумы и максимумы'!P$3,100,('исходные данные'!R187-'минимумы и максимумы'!P$2)/('минимумы и максимумы'!P$3-'минимумы и максимумы'!P$2)*100)</f>
        <v>25</v>
      </c>
      <c r="S187" s="1">
        <f>IF('исходные данные'!S187&gt;'минимумы и максимумы'!Q$3,100,('исходные данные'!S187-'минимумы и максимумы'!Q$2)/('минимумы и максимумы'!Q$3-'минимумы и максимумы'!Q$2)*100)</f>
        <v>16.666666666666664</v>
      </c>
      <c r="T187" s="1">
        <f>IF('исходные данные'!T187&gt;'минимумы и максимумы'!R$3,100,('исходные данные'!T187-'минимумы и максимумы'!R$2)/('минимумы и максимумы'!R$3-'минимумы и максимумы'!R$2)*100)</f>
        <v>46.502419709634843</v>
      </c>
      <c r="U187" s="1">
        <f>IF('исходные данные'!U187&gt;'минимумы и максимумы'!S$3,100,('исходные данные'!U187-'минимумы и максимумы'!S$2)/('минимумы и максимумы'!S$3-'минимумы и максимумы'!S$2)*100)</f>
        <v>33.333333333333329</v>
      </c>
    </row>
    <row r="188" spans="1:21" x14ac:dyDescent="0.45">
      <c r="A188" s="4">
        <v>274</v>
      </c>
      <c r="B188" s="4">
        <v>0</v>
      </c>
      <c r="C188" s="4">
        <v>0</v>
      </c>
      <c r="D188" s="1">
        <f>IF('исходные данные'!D188&gt;'минимумы и максимумы'!B$3,100,('исходные данные'!D188-'минимумы и максимумы'!B$2)/('минимумы и максимумы'!B$3-'минимумы и максимумы'!B$2)*100)</f>
        <v>0</v>
      </c>
      <c r="E188" s="1">
        <f>IF('исходные данные'!E188&gt;'минимумы и максимумы'!C$3,100,('исходные данные'!E188-'минимумы и максимумы'!C$2)/('минимумы и максимумы'!C$3-'минимумы и максимумы'!C$2)*100)</f>
        <v>10</v>
      </c>
      <c r="F188" s="1">
        <f>IF('исходные данные'!F188&gt;'минимумы и максимумы'!D$3,100,('исходные данные'!F188-'минимумы и максимумы'!D$2)/('минимумы и максимумы'!D$3-'минимумы и максимумы'!D$2)*100)</f>
        <v>33.333333333333329</v>
      </c>
      <c r="G188" s="1">
        <f>IF('исходные данные'!G188&gt;'минимумы и максимумы'!E$3,100,('исходные данные'!G188-'минимумы и максимумы'!E$2)/('минимумы и максимумы'!E$3-'минимумы и максимумы'!E$2)*100)</f>
        <v>20.833333333333336</v>
      </c>
      <c r="H188" s="1">
        <f>IF('исходные данные'!H188&gt;'минимумы и максимумы'!F$3,100,('исходные данные'!H188-'минимумы и максимумы'!F$2)/('минимумы и максимумы'!F$3-'минимумы и максимумы'!F$2)*100)</f>
        <v>12</v>
      </c>
      <c r="I188" s="1">
        <f>IF('исходные данные'!I188&gt;'минимумы и максимумы'!G$3,100,('исходные данные'!I188-'минимумы и максимумы'!G$2)/('минимумы и максимумы'!G$3-'минимумы и максимумы'!G$2)*100)</f>
        <v>3.7735849056603774</v>
      </c>
      <c r="J188" s="1">
        <f>IF('исходные данные'!J188&gt;'минимумы и максимумы'!H$3,100,('исходные данные'!J188-'минимумы и максимумы'!H$2)/('минимумы и максимумы'!H$3-'минимумы и максимумы'!H$2)*100)</f>
        <v>0</v>
      </c>
      <c r="K188" s="1">
        <f>IF('исходные данные'!K188&gt;'минимумы и максимумы'!I$3,100,('исходные данные'!K188-'минимумы и максимумы'!I$2)/('минимумы и максимумы'!I$3-'минимумы и максимумы'!I$2)*100)</f>
        <v>0</v>
      </c>
      <c r="L188" s="1">
        <f>IF('исходные данные'!L188&gt;'минимумы и максимумы'!J$3,100,('исходные данные'!L188-'минимумы и максимумы'!J$2)/('минимумы и максимумы'!J$3-'минимумы и максимумы'!J$2)*100)</f>
        <v>0</v>
      </c>
      <c r="M188" s="1">
        <f>IF('исходные данные'!M188&gt;'минимумы и максимумы'!K$3,100,('исходные данные'!M188-'минимумы и максимумы'!K$2)/('минимумы и максимумы'!K$3-'минимумы и максимумы'!K$2)*100)</f>
        <v>3.225806451612903</v>
      </c>
      <c r="N188" s="1">
        <f>IF('исходные данные'!N188&gt;'минимумы и максимумы'!L$3,100,('исходные данные'!N188-'минимумы и максимумы'!L$2)/('минимумы и максимумы'!L$3-'минимумы и максимумы'!L$2)*100)</f>
        <v>34.794562704722551</v>
      </c>
      <c r="O188" s="1">
        <f>IF('исходные данные'!O188&gt;'минимумы и максимумы'!M$3,100,('исходные данные'!O188-'минимумы и максимумы'!M$2)/('минимумы и максимумы'!M$3-'минимумы и максимумы'!M$2)*100)</f>
        <v>33.333333333333329</v>
      </c>
      <c r="P188" s="1">
        <f>IF('исходные данные'!P188&gt;'минимумы и максимумы'!N$3,100,('исходные данные'!P188-'минимумы и максимумы'!N$2)/('минимумы и максимумы'!N$3-'минимумы и максимумы'!N$2)*100)</f>
        <v>0</v>
      </c>
      <c r="Q188" s="1">
        <f>IF('исходные данные'!Q188&gt;'минимумы и максимумы'!O$3,100,('исходные данные'!Q188-'минимумы и максимумы'!O$2)/('минимумы и максимумы'!O$3-'минимумы и максимумы'!O$2)*100)</f>
        <v>0</v>
      </c>
      <c r="R188" s="1">
        <f>IF('исходные данные'!R188&gt;'минимумы и максимумы'!P$3,100,('исходные данные'!R188-'минимумы и максимумы'!P$2)/('минимумы и максимумы'!P$3-'минимумы и максимумы'!P$2)*100)</f>
        <v>75</v>
      </c>
      <c r="S188" s="1">
        <f>IF('исходные данные'!S188&gt;'минимумы и максимумы'!Q$3,100,('исходные данные'!S188-'минимумы и максимумы'!Q$2)/('минимумы и максимумы'!Q$3-'минимумы и максимумы'!Q$2)*100)</f>
        <v>16.666666666666664</v>
      </c>
      <c r="T188" s="1">
        <f>IF('исходные данные'!T188&gt;'минимумы и максимумы'!R$3,100,('исходные данные'!T188-'минимумы и максимумы'!R$2)/('минимумы и максимумы'!R$3-'минимумы и максимумы'!R$2)*100)</f>
        <v>5.2353717553893535</v>
      </c>
      <c r="U188" s="1">
        <f>IF('исходные данные'!U188&gt;'минимумы и максимумы'!S$3,100,('исходные данные'!U188-'минимумы и максимумы'!S$2)/('минимумы и максимумы'!S$3-'минимумы и максимумы'!S$2)*100)</f>
        <v>0</v>
      </c>
    </row>
    <row r="189" spans="1:21" x14ac:dyDescent="0.45">
      <c r="A189" s="4">
        <v>275</v>
      </c>
      <c r="B189" s="4">
        <v>0</v>
      </c>
      <c r="C189" s="4">
        <v>0</v>
      </c>
      <c r="D189" s="1">
        <f>IF('исходные данные'!D189&gt;'минимумы и максимумы'!B$3,100,('исходные данные'!D189-'минимумы и максимумы'!B$2)/('минимумы и максимумы'!B$3-'минимумы и максимумы'!B$2)*100)</f>
        <v>20</v>
      </c>
      <c r="E189" s="1">
        <f>IF('исходные данные'!E189&gt;'минимумы и максимумы'!C$3,100,('исходные данные'!E189-'минимумы и максимумы'!C$2)/('минимумы и максимумы'!C$3-'минимумы и максимумы'!C$2)*100)</f>
        <v>0</v>
      </c>
      <c r="F189" s="1">
        <f>IF('исходные данные'!F189&gt;'минимумы и максимумы'!D$3,100,('исходные данные'!F189-'минимумы и максимумы'!D$2)/('минимумы и максимумы'!D$3-'минимумы и максимумы'!D$2)*100)</f>
        <v>0</v>
      </c>
      <c r="G189" s="1">
        <f>IF('исходные данные'!G189&gt;'минимумы и максимумы'!E$3,100,('исходные данные'!G189-'минимумы и максимумы'!E$2)/('минимумы и максимумы'!E$3-'минимумы и максимумы'!E$2)*100)</f>
        <v>0</v>
      </c>
      <c r="H189" s="1">
        <f>IF('исходные данные'!H189&gt;'минимумы и максимумы'!F$3,100,('исходные данные'!H189-'минимумы и максимумы'!F$2)/('минимумы и максимумы'!F$3-'минимумы и максимумы'!F$2)*100)</f>
        <v>8</v>
      </c>
      <c r="I189" s="1">
        <f>IF('исходные данные'!I189&gt;'минимумы и максимумы'!G$3,100,('исходные данные'!I189-'минимумы и максимумы'!G$2)/('минимумы и максимумы'!G$3-'минимумы и максимумы'!G$2)*100)</f>
        <v>18.867924528301888</v>
      </c>
      <c r="J189" s="1">
        <f>IF('исходные данные'!J189&gt;'минимумы и максимумы'!H$3,100,('исходные данные'!J189-'минимумы и максимумы'!H$2)/('минимумы и максимумы'!H$3-'минимумы и максимумы'!H$2)*100)</f>
        <v>6.666666666666667</v>
      </c>
      <c r="K189" s="1">
        <f>IF('исходные данные'!K189&gt;'минимумы и максимумы'!I$3,100,('исходные данные'!K189-'минимумы и максимумы'!I$2)/('минимумы и максимумы'!I$3-'минимумы и максимумы'!I$2)*100)</f>
        <v>22.222222222222221</v>
      </c>
      <c r="L189" s="1">
        <f>IF('исходные данные'!L189&gt;'минимумы и максимумы'!J$3,100,('исходные данные'!L189-'минимумы и максимумы'!J$2)/('минимумы и максимумы'!J$3-'минимумы и максимумы'!J$2)*100)</f>
        <v>20</v>
      </c>
      <c r="M189" s="1">
        <f>IF('исходные данные'!M189&gt;'минимумы и максимумы'!K$3,100,('исходные данные'!M189-'минимумы и максимумы'!K$2)/('минимумы и максимумы'!K$3-'минимумы и максимумы'!K$2)*100)</f>
        <v>16.129032258064516</v>
      </c>
      <c r="N189" s="1">
        <f>IF('исходные данные'!N189&gt;'минимумы и максимумы'!L$3,100,('исходные данные'!N189-'минимумы и максимумы'!L$2)/('минимумы и максимумы'!L$3-'минимумы и максимумы'!L$2)*100)</f>
        <v>40.340947132814023</v>
      </c>
      <c r="O189" s="1">
        <f>IF('исходные данные'!O189&gt;'минимумы и максимумы'!M$3,100,('исходные данные'!O189-'минимумы и максимумы'!M$2)/('минимумы и максимумы'!M$3-'минимумы и максимумы'!M$2)*100)</f>
        <v>100</v>
      </c>
      <c r="P189" s="1">
        <f>IF('исходные данные'!P189&gt;'минимумы и максимумы'!N$3,100,('исходные данные'!P189-'минимумы и максимумы'!N$2)/('минимумы и максимумы'!N$3-'минимумы и максимумы'!N$2)*100)</f>
        <v>0</v>
      </c>
      <c r="Q189" s="1">
        <f>IF('исходные данные'!Q189&gt;'минимумы и максимумы'!O$3,100,('исходные данные'!Q189-'минимумы и максимумы'!O$2)/('минимумы и максимумы'!O$3-'минимумы и максимумы'!O$2)*100)</f>
        <v>100</v>
      </c>
      <c r="R189" s="1">
        <f>IF('исходные данные'!R189&gt;'минимумы и максимумы'!P$3,100,('исходные данные'!R189-'минимумы и максимумы'!P$2)/('минимумы и максимумы'!P$3-'минимумы и максимумы'!P$2)*100)</f>
        <v>0</v>
      </c>
      <c r="S189" s="1">
        <f>IF('исходные данные'!S189&gt;'минимумы и максимумы'!Q$3,100,('исходные данные'!S189-'минимумы и максимумы'!Q$2)/('минимумы и максимумы'!Q$3-'минимумы и максимумы'!Q$2)*100)</f>
        <v>16.666666666666664</v>
      </c>
      <c r="T189" s="1">
        <f>IF('исходные данные'!T189&gt;'минимумы и максимумы'!R$3,100,('исходные данные'!T189-'минимумы и максимумы'!R$2)/('минимумы и максимумы'!R$3-'минимумы и максимумы'!R$2)*100)</f>
        <v>24.857017157941048</v>
      </c>
      <c r="U189" s="1">
        <f>IF('исходные данные'!U189&gt;'минимумы и максимумы'!S$3,100,('исходные данные'!U189-'минимумы и максимумы'!S$2)/('минимумы и максимумы'!S$3-'минимумы и максимумы'!S$2)*100)</f>
        <v>33.333333333333329</v>
      </c>
    </row>
    <row r="190" spans="1:21" x14ac:dyDescent="0.45">
      <c r="A190" s="4">
        <v>276</v>
      </c>
      <c r="B190" s="4">
        <v>0</v>
      </c>
      <c r="C190" s="4">
        <v>0</v>
      </c>
      <c r="D190" s="1">
        <f>IF('исходные данные'!D190&gt;'минимумы и максимумы'!B$3,100,('исходные данные'!D190-'минимумы и максимумы'!B$2)/('минимумы и максимумы'!B$3-'минимумы и максимумы'!B$2)*100)</f>
        <v>40</v>
      </c>
      <c r="E190" s="1">
        <f>IF('исходные данные'!E190&gt;'минимумы и максимумы'!C$3,100,('исходные данные'!E190-'минимумы и максимумы'!C$2)/('минимумы и максимумы'!C$3-'минимумы и максимумы'!C$2)*100)</f>
        <v>30</v>
      </c>
      <c r="F190" s="1">
        <f>IF('исходные данные'!F190&gt;'минимумы и максимумы'!D$3,100,('исходные данные'!F190-'минимумы и максимумы'!D$2)/('минимумы и максимумы'!D$3-'минимумы и максимумы'!D$2)*100)</f>
        <v>100</v>
      </c>
      <c r="G190" s="1">
        <f>IF('исходные данные'!G190&gt;'минимумы и максимумы'!E$3,100,('исходные данные'!G190-'минимумы и максимумы'!E$2)/('минимумы и максимумы'!E$3-'минимумы и максимумы'!E$2)*100)</f>
        <v>29.166666666666668</v>
      </c>
      <c r="H190" s="1">
        <f>IF('исходные данные'!H190&gt;'минимумы и максимумы'!F$3,100,('исходные данные'!H190-'минимумы и максимумы'!F$2)/('минимумы и максимумы'!F$3-'минимумы и максимумы'!F$2)*100)</f>
        <v>16</v>
      </c>
      <c r="I190" s="1">
        <f>IF('исходные данные'!I190&gt;'минимумы и максимумы'!G$3,100,('исходные данные'!I190-'минимумы и максимумы'!G$2)/('минимумы и максимумы'!G$3-'минимумы и максимумы'!G$2)*100)</f>
        <v>11.320754716981133</v>
      </c>
      <c r="J190" s="1">
        <f>IF('исходные данные'!J190&gt;'минимумы и максимумы'!H$3,100,('исходные данные'!J190-'минимумы и максимумы'!H$2)/('минимумы и максимумы'!H$3-'минимумы и максимумы'!H$2)*100)</f>
        <v>13.333333333333334</v>
      </c>
      <c r="K190" s="1">
        <f>IF('исходные данные'!K190&gt;'минимумы и максимумы'!I$3,100,('исходные данные'!K190-'минимумы и максимумы'!I$2)/('минимумы и максимумы'!I$3-'минимумы и максимумы'!I$2)*100)</f>
        <v>0</v>
      </c>
      <c r="L190" s="1">
        <f>IF('исходные данные'!L190&gt;'минимумы и максимумы'!J$3,100,('исходные данные'!L190-'минимумы и максимумы'!J$2)/('минимумы и максимумы'!J$3-'минимумы и максимумы'!J$2)*100)</f>
        <v>0</v>
      </c>
      <c r="M190" s="1">
        <f>IF('исходные данные'!M190&gt;'минимумы и максимумы'!K$3,100,('исходные данные'!M190-'минимумы и максимумы'!K$2)/('минимумы и максимумы'!K$3-'минимумы и максимумы'!K$2)*100)</f>
        <v>38.70967741935484</v>
      </c>
      <c r="N190" s="1">
        <f>IF('исходные данные'!N190&gt;'минимумы и максимумы'!L$3,100,('исходные данные'!N190-'минимумы и максимумы'!L$2)/('минимумы и максимумы'!L$3-'минимумы и максимумы'!L$2)*100)</f>
        <v>30.643840384935807</v>
      </c>
      <c r="O190" s="1">
        <f>IF('исходные данные'!O190&gt;'минимумы и максимумы'!M$3,100,('исходные данные'!O190-'минимумы и максимумы'!M$2)/('минимумы и максимумы'!M$3-'минимумы и максимумы'!M$2)*100)</f>
        <v>0</v>
      </c>
      <c r="P190" s="1">
        <f>IF('исходные данные'!P190&gt;'минимумы и максимумы'!N$3,100,('исходные данные'!P190-'минимумы и максимумы'!N$2)/('минимумы и максимумы'!N$3-'минимумы и максимумы'!N$2)*100)</f>
        <v>0</v>
      </c>
      <c r="Q190" s="1">
        <f>IF('исходные данные'!Q190&gt;'минимумы и максимумы'!O$3,100,('исходные данные'!Q190-'минимумы и максимумы'!O$2)/('минимумы и максимумы'!O$3-'минимумы и максимумы'!O$2)*100)</f>
        <v>0</v>
      </c>
      <c r="R190" s="1">
        <f>IF('исходные данные'!R190&gt;'минимумы и максимумы'!P$3,100,('исходные данные'!R190-'минимумы и максимумы'!P$2)/('минимумы и максимумы'!P$3-'минимумы и максимумы'!P$2)*100)</f>
        <v>50</v>
      </c>
      <c r="S190" s="1">
        <f>IF('исходные данные'!S190&gt;'минимумы и максимумы'!Q$3,100,('исходные данные'!S190-'минимумы и максимумы'!Q$2)/('минимумы и максимумы'!Q$3-'минимумы и максимумы'!Q$2)*100)</f>
        <v>16.666666666666664</v>
      </c>
      <c r="T190" s="1">
        <f>IF('исходные данные'!T190&gt;'минимумы и максимумы'!R$3,100,('исходные данные'!T190-'минимумы и максимумы'!R$2)/('минимумы и максимумы'!R$3-'минимумы и максимумы'!R$2)*100)</f>
        <v>1.9357677078750553</v>
      </c>
      <c r="U190" s="1">
        <f>IF('исходные данные'!U190&gt;'минимумы и максимумы'!S$3,100,('исходные данные'!U190-'минимумы и максимумы'!S$2)/('минимумы и максимумы'!S$3-'минимумы и максимумы'!S$2)*100)</f>
        <v>0</v>
      </c>
    </row>
    <row r="191" spans="1:21" x14ac:dyDescent="0.45">
      <c r="A191" s="4">
        <v>277</v>
      </c>
      <c r="B191" s="4">
        <v>0</v>
      </c>
      <c r="C191" s="4">
        <v>0</v>
      </c>
      <c r="D191" s="1">
        <f>IF('исходные данные'!D191&gt;'минимумы и максимумы'!B$3,100,('исходные данные'!D191-'минимумы и максимумы'!B$2)/('минимумы и максимумы'!B$3-'минимумы и максимумы'!B$2)*100)</f>
        <v>0</v>
      </c>
      <c r="E191" s="1">
        <f>IF('исходные данные'!E191&gt;'минимумы и максимумы'!C$3,100,('исходные данные'!E191-'минимумы и максимумы'!C$2)/('минимумы и максимумы'!C$3-'минимумы и максимумы'!C$2)*100)</f>
        <v>0</v>
      </c>
      <c r="F191" s="1">
        <f>IF('исходные данные'!F191&gt;'минимумы и максимумы'!D$3,100,('исходные данные'!F191-'минимумы и максимумы'!D$2)/('минимумы и максимумы'!D$3-'минимумы и максимумы'!D$2)*100)</f>
        <v>0</v>
      </c>
      <c r="G191" s="1">
        <f>IF('исходные данные'!G191&gt;'минимумы и максимумы'!E$3,100,('исходные данные'!G191-'минимумы и максимумы'!E$2)/('минимумы и максимумы'!E$3-'минимумы и максимумы'!E$2)*100)</f>
        <v>0</v>
      </c>
      <c r="H191" s="1">
        <f>IF('исходные данные'!H191&gt;'минимумы и максимумы'!F$3,100,('исходные данные'!H191-'минимумы и максимумы'!F$2)/('минимумы и максимумы'!F$3-'минимумы и максимумы'!F$2)*100)</f>
        <v>12</v>
      </c>
      <c r="I191" s="1">
        <f>IF('исходные данные'!I191&gt;'минимумы и максимумы'!G$3,100,('исходные данные'!I191-'минимумы и максимумы'!G$2)/('минимумы и максимумы'!G$3-'минимумы и максимумы'!G$2)*100)</f>
        <v>16.981132075471699</v>
      </c>
      <c r="J191" s="1">
        <f>IF('исходные данные'!J191&gt;'минимумы и максимумы'!H$3,100,('исходные данные'!J191-'минимумы и максимумы'!H$2)/('минимумы и максимумы'!H$3-'минимумы и максимумы'!H$2)*100)</f>
        <v>0</v>
      </c>
      <c r="K191" s="1">
        <f>IF('исходные данные'!K191&gt;'минимумы и максимумы'!I$3,100,('исходные данные'!K191-'минимумы и максимумы'!I$2)/('минимумы и максимумы'!I$3-'минимумы и максимумы'!I$2)*100)</f>
        <v>11.111111111111111</v>
      </c>
      <c r="L191" s="1">
        <f>IF('исходные данные'!L191&gt;'минимумы и максимумы'!J$3,100,('исходные данные'!L191-'минимумы и максимумы'!J$2)/('минимумы и максимумы'!J$3-'минимумы и максимумы'!J$2)*100)</f>
        <v>0</v>
      </c>
      <c r="M191" s="1">
        <f>IF('исходные данные'!M191&gt;'минимумы и максимумы'!K$3,100,('исходные данные'!M191-'минимумы и максимумы'!K$2)/('минимумы и максимумы'!K$3-'минимумы и максимумы'!K$2)*100)</f>
        <v>16.129032258064516</v>
      </c>
      <c r="N191" s="1">
        <f>IF('исходные данные'!N191&gt;'минимумы и максимумы'!L$3,100,('исходные данные'!N191-'минимумы и максимумы'!L$2)/('минимумы и максимумы'!L$3-'минимумы и максимумы'!L$2)*100)</f>
        <v>36.466070520601704</v>
      </c>
      <c r="O191" s="1">
        <f>IF('исходные данные'!O191&gt;'минимумы и максимумы'!M$3,100,('исходные данные'!O191-'минимумы и максимумы'!M$2)/('минимумы и максимумы'!M$3-'минимумы и максимумы'!M$2)*100)</f>
        <v>66.666666666666657</v>
      </c>
      <c r="P191" s="1">
        <f>IF('исходные данные'!P191&gt;'минимумы и максимумы'!N$3,100,('исходные данные'!P191-'минимумы и максимумы'!N$2)/('минимумы и максимумы'!N$3-'минимумы и максимумы'!N$2)*100)</f>
        <v>0</v>
      </c>
      <c r="Q191" s="1">
        <f>IF('исходные данные'!Q191&gt;'минимумы и максимумы'!O$3,100,('исходные данные'!Q191-'минимумы и максимумы'!O$2)/('минимумы и максимумы'!O$3-'минимумы и максимумы'!O$2)*100)</f>
        <v>0</v>
      </c>
      <c r="R191" s="1">
        <f>IF('исходные данные'!R191&gt;'минимумы и максимумы'!P$3,100,('исходные данные'!R191-'минимумы и максимумы'!P$2)/('минимумы и максимумы'!P$3-'минимумы и максимумы'!P$2)*100)</f>
        <v>25</v>
      </c>
      <c r="S191" s="1">
        <f>IF('исходные данные'!S191&gt;'минимумы и максимумы'!Q$3,100,('исходные данные'!S191-'минимумы и максимумы'!Q$2)/('минимумы и максимумы'!Q$3-'минимумы и максимумы'!Q$2)*100)</f>
        <v>33.333333333333329</v>
      </c>
      <c r="T191" s="1">
        <f>IF('исходные данные'!T191&gt;'минимумы и максимумы'!R$3,100,('исходные данные'!T191-'минимумы и максимумы'!R$2)/('минимумы и максимумы'!R$3-'минимумы и максимумы'!R$2)*100)</f>
        <v>74.96700395952486</v>
      </c>
      <c r="U191" s="1">
        <f>IF('исходные данные'!U191&gt;'минимумы и максимумы'!S$3,100,('исходные данные'!U191-'минимумы и максимумы'!S$2)/('минимумы и максимумы'!S$3-'минимумы и максимумы'!S$2)*100)</f>
        <v>66.666666666666657</v>
      </c>
    </row>
    <row r="192" spans="1:21" x14ac:dyDescent="0.45">
      <c r="A192" s="4">
        <v>278</v>
      </c>
      <c r="B192" s="4">
        <v>0</v>
      </c>
      <c r="C192" s="4">
        <v>0</v>
      </c>
      <c r="D192" s="1">
        <f>IF('исходные данные'!D192&gt;'минимумы и максимумы'!B$3,100,('исходные данные'!D192-'минимумы и максимумы'!B$2)/('минимумы и максимумы'!B$3-'минимумы и максимумы'!B$2)*100)</f>
        <v>0</v>
      </c>
      <c r="E192" s="1">
        <f>IF('исходные данные'!E192&gt;'минимумы и максимумы'!C$3,100,('исходные данные'!E192-'минимумы и максимумы'!C$2)/('минимумы и максимумы'!C$3-'минимумы и максимумы'!C$2)*100)</f>
        <v>0</v>
      </c>
      <c r="F192" s="1">
        <f>IF('исходные данные'!F192&gt;'минимумы и максимумы'!D$3,100,('исходные данные'!F192-'минимумы и максимумы'!D$2)/('минимумы и максимумы'!D$3-'минимумы и максимумы'!D$2)*100)</f>
        <v>0</v>
      </c>
      <c r="G192" s="1">
        <f>IF('исходные данные'!G192&gt;'минимумы и максимумы'!E$3,100,('исходные данные'!G192-'минимумы и максимумы'!E$2)/('минимумы и максимумы'!E$3-'минимумы и максимумы'!E$2)*100)</f>
        <v>8.3333333333333321</v>
      </c>
      <c r="H192" s="1">
        <f>IF('исходные данные'!H192&gt;'минимумы и максимумы'!F$3,100,('исходные данные'!H192-'минимумы и максимумы'!F$2)/('минимумы и максимумы'!F$3-'минимумы и максимумы'!F$2)*100)</f>
        <v>16</v>
      </c>
      <c r="I192" s="1">
        <f>IF('исходные данные'!I192&gt;'минимумы и максимумы'!G$3,100,('исходные данные'!I192-'минимумы и максимумы'!G$2)/('минимумы и максимумы'!G$3-'минимумы и максимумы'!G$2)*100)</f>
        <v>15.09433962264151</v>
      </c>
      <c r="J192" s="1">
        <f>IF('исходные данные'!J192&gt;'минимумы и максимумы'!H$3,100,('исходные данные'!J192-'минимумы и максимумы'!H$2)/('минимумы и максимумы'!H$3-'минимумы и максимумы'!H$2)*100)</f>
        <v>0</v>
      </c>
      <c r="K192" s="1">
        <f>IF('исходные данные'!K192&gt;'минимумы и максимумы'!I$3,100,('исходные данные'!K192-'минимумы и максимумы'!I$2)/('минимумы и максимумы'!I$3-'минимумы и максимумы'!I$2)*100)</f>
        <v>5.5555555555555554</v>
      </c>
      <c r="L192" s="1">
        <f>IF('исходные данные'!L192&gt;'минимумы и максимумы'!J$3,100,('исходные данные'!L192-'минимумы и максимумы'!J$2)/('минимумы и максимумы'!J$3-'минимумы и максимумы'!J$2)*100)</f>
        <v>0</v>
      </c>
      <c r="M192" s="1">
        <f>IF('исходные данные'!M192&gt;'минимумы и максимумы'!K$3,100,('исходные данные'!M192-'минимумы и максимумы'!K$2)/('минимумы и максимумы'!K$3-'минимумы и максимумы'!K$2)*100)</f>
        <v>19.35483870967742</v>
      </c>
      <c r="N192" s="1">
        <f>IF('исходные данные'!N192&gt;'минимумы и максимумы'!L$3,100,('исходные данные'!N192-'минимумы и максимумы'!L$2)/('минимумы и максимумы'!L$3-'минимумы и максимумы'!L$2)*100)</f>
        <v>36.004693455082112</v>
      </c>
      <c r="O192" s="1">
        <f>IF('исходные данные'!O192&gt;'минимумы и максимумы'!M$3,100,('исходные данные'!O192-'минимумы и максимумы'!M$2)/('минимумы и максимумы'!M$3-'минимумы и максимумы'!M$2)*100)</f>
        <v>66.666666666666657</v>
      </c>
      <c r="P192" s="1">
        <f>IF('исходные данные'!P192&gt;'минимумы и максимумы'!N$3,100,('исходные данные'!P192-'минимумы и максимумы'!N$2)/('минимумы и максимумы'!N$3-'минимумы и максимумы'!N$2)*100)</f>
        <v>0</v>
      </c>
      <c r="Q192" s="1">
        <f>IF('исходные данные'!Q192&gt;'минимумы и максимумы'!O$3,100,('исходные данные'!Q192-'минимумы и максимумы'!O$2)/('минимумы и максимумы'!O$3-'минимумы и максимумы'!O$2)*100)</f>
        <v>0</v>
      </c>
      <c r="R192" s="1">
        <f>IF('исходные данные'!R192&gt;'минимумы и максимумы'!P$3,100,('исходные данные'!R192-'минимумы и максимумы'!P$2)/('минимумы и максимумы'!P$3-'минимумы и максимумы'!P$2)*100)</f>
        <v>25</v>
      </c>
      <c r="S192" s="1">
        <f>IF('исходные данные'!S192&gt;'минимумы и максимумы'!Q$3,100,('исходные данные'!S192-'минимумы и максимумы'!Q$2)/('минимумы и максимумы'!Q$3-'минимумы и максимумы'!Q$2)*100)</f>
        <v>66.666666666666657</v>
      </c>
      <c r="T192" s="1">
        <f>IF('исходные данные'!T192&gt;'минимумы и максимумы'!R$3,100,('исходные данные'!T192-'минимумы и максимумы'!R$2)/('минимумы и максимумы'!R$3-'минимумы и максимумы'!R$2)*100)</f>
        <v>76.46282446106467</v>
      </c>
      <c r="U192" s="1">
        <f>IF('исходные данные'!U192&gt;'минимумы и максимумы'!S$3,100,('исходные данные'!U192-'минимумы и максимумы'!S$2)/('минимумы и максимумы'!S$3-'минимумы и максимумы'!S$2)*100)</f>
        <v>66.666666666666657</v>
      </c>
    </row>
    <row r="193" spans="1:21" x14ac:dyDescent="0.45">
      <c r="A193" s="4">
        <v>279</v>
      </c>
      <c r="B193" s="4">
        <v>0</v>
      </c>
      <c r="C193" s="4">
        <v>0</v>
      </c>
      <c r="D193" s="1">
        <f>IF('исходные данные'!D193&gt;'минимумы и максимумы'!B$3,100,('исходные данные'!D193-'минимумы и максимумы'!B$2)/('минимумы и максимумы'!B$3-'минимумы и максимумы'!B$2)*100)</f>
        <v>0</v>
      </c>
      <c r="E193" s="1">
        <f>IF('исходные данные'!E193&gt;'минимумы и максимумы'!C$3,100,('исходные данные'!E193-'минимумы и максимумы'!C$2)/('минимумы и максимумы'!C$3-'минимумы и максимумы'!C$2)*100)</f>
        <v>30</v>
      </c>
      <c r="F193" s="1">
        <f>IF('исходные данные'!F193&gt;'минимумы и максимумы'!D$3,100,('исходные данные'!F193-'минимумы и максимумы'!D$2)/('минимумы и максимумы'!D$3-'минимумы и максимумы'!D$2)*100)</f>
        <v>66.666666666666657</v>
      </c>
      <c r="G193" s="1">
        <f>IF('исходные данные'!G193&gt;'минимумы и максимумы'!E$3,100,('исходные данные'!G193-'минимумы и максимумы'!E$2)/('минимумы и максимумы'!E$3-'минимумы и максимумы'!E$2)*100)</f>
        <v>16.666666666666664</v>
      </c>
      <c r="H193" s="1">
        <f>IF('исходные данные'!H193&gt;'минимумы и максимумы'!F$3,100,('исходные данные'!H193-'минимумы и максимумы'!F$2)/('минимумы и максимумы'!F$3-'минимумы и максимумы'!F$2)*100)</f>
        <v>20</v>
      </c>
      <c r="I193" s="1">
        <f>IF('исходные данные'!I193&gt;'минимумы и максимумы'!G$3,100,('исходные данные'!I193-'минимумы и максимумы'!G$2)/('минимумы и максимумы'!G$3-'минимумы и максимумы'!G$2)*100)</f>
        <v>35.849056603773583</v>
      </c>
      <c r="J193" s="1">
        <f>IF('исходные данные'!J193&gt;'минимумы и максимумы'!H$3,100,('исходные данные'!J193-'минимумы и максимумы'!H$2)/('минимумы и максимумы'!H$3-'минимумы и максимумы'!H$2)*100)</f>
        <v>6.666666666666667</v>
      </c>
      <c r="K193" s="1">
        <f>IF('исходные данные'!K193&gt;'минимумы и максимумы'!I$3,100,('исходные данные'!K193-'минимумы и максимумы'!I$2)/('минимумы и максимумы'!I$3-'минимумы и максимумы'!I$2)*100)</f>
        <v>33.333333333333329</v>
      </c>
      <c r="L193" s="1">
        <f>IF('исходные данные'!L193&gt;'минимумы и максимумы'!J$3,100,('исходные данные'!L193-'минимумы и максимумы'!J$2)/('минимумы и максимумы'!J$3-'минимумы и максимумы'!J$2)*100)</f>
        <v>40</v>
      </c>
      <c r="M193" s="1">
        <f>IF('исходные данные'!M193&gt;'минимумы и максимумы'!K$3,100,('исходные данные'!M193-'минимумы и максимумы'!K$2)/('минимумы и максимумы'!K$3-'минимумы и максимумы'!K$2)*100)</f>
        <v>51.612903225806448</v>
      </c>
      <c r="N193" s="1">
        <f>IF('исходные данные'!N193&gt;'минимумы и максимумы'!L$3,100,('исходные данные'!N193-'минимумы и максимумы'!L$2)/('минимумы и максимумы'!L$3-'минимумы и максимумы'!L$2)*100)</f>
        <v>15.228538324498977</v>
      </c>
      <c r="O193" s="1">
        <f>IF('исходные данные'!O193&gt;'минимумы и максимумы'!M$3,100,('исходные данные'!O193-'минимумы и максимумы'!M$2)/('минимумы и максимумы'!M$3-'минимумы и максимумы'!M$2)*100)</f>
        <v>33.333333333333329</v>
      </c>
      <c r="P193" s="1">
        <f>IF('исходные данные'!P193&gt;'минимумы и максимумы'!N$3,100,('исходные данные'!P193-'минимумы и максимумы'!N$2)/('минимумы и максимумы'!N$3-'минимумы и максимумы'!N$2)*100)</f>
        <v>0</v>
      </c>
      <c r="Q193" s="1">
        <f>IF('исходные данные'!Q193&gt;'минимумы и максимумы'!O$3,100,('исходные данные'!Q193-'минимумы и максимумы'!O$2)/('минимумы и максимумы'!O$3-'минимумы и максимумы'!O$2)*100)</f>
        <v>0</v>
      </c>
      <c r="R193" s="1">
        <f>IF('исходные данные'!R193&gt;'минимумы и максимумы'!P$3,100,('исходные данные'!R193-'минимумы и максимумы'!P$2)/('минимумы и максимумы'!P$3-'минимумы и максимумы'!P$2)*100)</f>
        <v>75</v>
      </c>
      <c r="S193" s="1">
        <f>IF('исходные данные'!S193&gt;'минимумы и максимумы'!Q$3,100,('исходные данные'!S193-'минимумы и максимумы'!Q$2)/('минимумы и максимумы'!Q$3-'минимумы и максимумы'!Q$2)*100)</f>
        <v>33.333333333333329</v>
      </c>
      <c r="T193" s="1">
        <f>IF('исходные данные'!T193&gt;'минимумы и максимумы'!R$3,100,('исходные данные'!T193-'минимумы и максимумы'!R$2)/('минимумы и максимумы'!R$3-'минимумы и максимумы'!R$2)*100)</f>
        <v>26.880774307083151</v>
      </c>
      <c r="U193" s="1">
        <f>IF('исходные данные'!U193&gt;'минимумы и максимумы'!S$3,100,('исходные данные'!U193-'минимумы и максимумы'!S$2)/('минимумы и максимумы'!S$3-'минимумы и максимумы'!S$2)*100)</f>
        <v>0</v>
      </c>
    </row>
    <row r="194" spans="1:21" x14ac:dyDescent="0.45">
      <c r="A194" s="4">
        <v>280</v>
      </c>
      <c r="B194" s="4">
        <v>0</v>
      </c>
      <c r="C194" s="4">
        <v>0</v>
      </c>
      <c r="D194" s="1">
        <f>IF('исходные данные'!D194&gt;'минимумы и максимумы'!B$3,100,('исходные данные'!D194-'минимумы и максимумы'!B$2)/('минимумы и максимумы'!B$3-'минимумы и максимумы'!B$2)*100)</f>
        <v>0</v>
      </c>
      <c r="E194" s="1">
        <f>IF('исходные данные'!E194&gt;'минимумы и максимумы'!C$3,100,('исходные данные'!E194-'минимумы и максимумы'!C$2)/('минимумы и максимумы'!C$3-'минимумы и максимумы'!C$2)*100)</f>
        <v>30</v>
      </c>
      <c r="F194" s="1">
        <f>IF('исходные данные'!F194&gt;'минимумы и максимумы'!D$3,100,('исходные данные'!F194-'минимумы и максимумы'!D$2)/('минимумы и максимумы'!D$3-'минимумы и максимумы'!D$2)*100)</f>
        <v>66.666666666666657</v>
      </c>
      <c r="G194" s="1">
        <f>IF('исходные данные'!G194&gt;'минимумы и максимумы'!E$3,100,('исходные данные'!G194-'минимумы и максимумы'!E$2)/('минимумы и максимумы'!E$3-'минимумы и максимумы'!E$2)*100)</f>
        <v>16.666666666666664</v>
      </c>
      <c r="H194" s="1">
        <f>IF('исходные данные'!H194&gt;'минимумы и максимумы'!F$3,100,('исходные данные'!H194-'минимумы и максимумы'!F$2)/('минимумы и максимумы'!F$3-'минимумы и максимумы'!F$2)*100)</f>
        <v>20</v>
      </c>
      <c r="I194" s="1">
        <f>IF('исходные данные'!I194&gt;'минимумы и максимумы'!G$3,100,('исходные данные'!I194-'минимумы и максимумы'!G$2)/('минимумы и максимумы'!G$3-'минимумы и максимумы'!G$2)*100)</f>
        <v>35.849056603773583</v>
      </c>
      <c r="J194" s="1">
        <f>IF('исходные данные'!J194&gt;'минимумы и максимумы'!H$3,100,('исходные данные'!J194-'минимумы и максимумы'!H$2)/('минимумы и максимумы'!H$3-'минимумы и максимумы'!H$2)*100)</f>
        <v>6.666666666666667</v>
      </c>
      <c r="K194" s="1">
        <f>IF('исходные данные'!K194&gt;'минимумы и максимумы'!I$3,100,('исходные данные'!K194-'минимумы и максимумы'!I$2)/('минимумы и максимумы'!I$3-'минимумы и максимумы'!I$2)*100)</f>
        <v>33.333333333333329</v>
      </c>
      <c r="L194" s="1">
        <f>IF('исходные данные'!L194&gt;'минимумы и максимумы'!J$3,100,('исходные данные'!L194-'минимумы и максимумы'!J$2)/('минимумы и максимумы'!J$3-'минимумы и максимумы'!J$2)*100)</f>
        <v>40</v>
      </c>
      <c r="M194" s="1">
        <f>IF('исходные данные'!M194&gt;'минимумы и максимумы'!K$3,100,('исходные данные'!M194-'минимумы и максимумы'!K$2)/('минимумы и максимумы'!K$3-'минимумы и максимумы'!K$2)*100)</f>
        <v>51.612903225806448</v>
      </c>
      <c r="N194" s="1">
        <f>IF('исходные данные'!N194&gt;'минимумы и максимумы'!L$3,100,('исходные данные'!N194-'минимумы и максимумы'!L$2)/('минимумы и максимумы'!L$3-'минимумы и максимумы'!L$2)*100)</f>
        <v>15.667118176928316</v>
      </c>
      <c r="O194" s="1">
        <f>IF('исходные данные'!O194&gt;'минимумы и максимумы'!M$3,100,('исходные данные'!O194-'минимумы и максимумы'!M$2)/('минимумы и максимумы'!M$3-'минимумы и максимумы'!M$2)*100)</f>
        <v>66.666666666666657</v>
      </c>
      <c r="P194" s="1">
        <f>IF('исходные данные'!P194&gt;'минимумы и максимумы'!N$3,100,('исходные данные'!P194-'минимумы и максимумы'!N$2)/('минимумы и максимумы'!N$3-'минимумы и максимумы'!N$2)*100)</f>
        <v>100</v>
      </c>
      <c r="Q194" s="1">
        <f>IF('исходные данные'!Q194&gt;'минимумы и максимумы'!O$3,100,('исходные данные'!Q194-'минимумы и максимумы'!O$2)/('минимумы и максимумы'!O$3-'минимумы и максимумы'!O$2)*100)</f>
        <v>100</v>
      </c>
      <c r="R194" s="1">
        <f>IF('исходные данные'!R194&gt;'минимумы и максимумы'!P$3,100,('исходные данные'!R194-'минимумы и максимумы'!P$2)/('минимумы и максимумы'!P$3-'минимумы и максимумы'!P$2)*100)</f>
        <v>75</v>
      </c>
      <c r="S194" s="1">
        <f>IF('исходные данные'!S194&gt;'минимумы и максимумы'!Q$3,100,('исходные данные'!S194-'минимумы и максимумы'!Q$2)/('минимумы и максимумы'!Q$3-'минимумы и максимумы'!Q$2)*100)</f>
        <v>100</v>
      </c>
      <c r="T194" s="1">
        <f>IF('исходные данные'!T194&gt;'минимумы и максимумы'!R$3,100,('исходные данные'!T194-'минимумы и максимумы'!R$2)/('минимумы и максимумы'!R$3-'минимумы и максимумы'!R$2)*100)</f>
        <v>100</v>
      </c>
      <c r="U194" s="1">
        <f>IF('исходные данные'!U194&gt;'минимумы и максимумы'!S$3,100,('исходные данные'!U194-'минимумы и максимумы'!S$2)/('минимумы и максимумы'!S$3-'минимумы и максимумы'!S$2)*100)</f>
        <v>100</v>
      </c>
    </row>
    <row r="195" spans="1:21" x14ac:dyDescent="0.45">
      <c r="A195" s="4">
        <v>281</v>
      </c>
      <c r="B195" s="4">
        <v>0</v>
      </c>
      <c r="C195" s="4">
        <v>0</v>
      </c>
      <c r="D195" s="1">
        <f>IF('исходные данные'!D195&gt;'минимумы и максимумы'!B$3,100,('исходные данные'!D195-'минимумы и максимумы'!B$2)/('минимумы и максимумы'!B$3-'минимумы и максимумы'!B$2)*100)</f>
        <v>0</v>
      </c>
      <c r="E195" s="1">
        <f>IF('исходные данные'!E195&gt;'минимумы и максимумы'!C$3,100,('исходные данные'!E195-'минимумы и максимумы'!C$2)/('минимумы и максимумы'!C$3-'минимумы и максимумы'!C$2)*100)</f>
        <v>30</v>
      </c>
      <c r="F195" s="1">
        <f>IF('исходные данные'!F195&gt;'минимумы и максимумы'!D$3,100,('исходные данные'!F195-'минимумы и максимумы'!D$2)/('минимумы и максимумы'!D$3-'минимумы и максимумы'!D$2)*100)</f>
        <v>66.666666666666657</v>
      </c>
      <c r="G195" s="1">
        <f>IF('исходные данные'!G195&gt;'минимумы и максимумы'!E$3,100,('исходные данные'!G195-'минимумы и максимумы'!E$2)/('минимумы и максимумы'!E$3-'минимумы и максимумы'!E$2)*100)</f>
        <v>16.666666666666664</v>
      </c>
      <c r="H195" s="1">
        <f>IF('исходные данные'!H195&gt;'минимумы и максимумы'!F$3,100,('исходные данные'!H195-'минимумы и максимумы'!F$2)/('минимумы и максимумы'!F$3-'минимумы и максимумы'!F$2)*100)</f>
        <v>20</v>
      </c>
      <c r="I195" s="1">
        <f>IF('исходные данные'!I195&gt;'минимумы и максимумы'!G$3,100,('исходные данные'!I195-'минимумы и максимумы'!G$2)/('минимумы и максимумы'!G$3-'минимумы и максимумы'!G$2)*100)</f>
        <v>35.849056603773583</v>
      </c>
      <c r="J195" s="1">
        <f>IF('исходные данные'!J195&gt;'минимумы и максимумы'!H$3,100,('исходные данные'!J195-'минимумы и максимумы'!H$2)/('минимумы и максимумы'!H$3-'минимумы и максимумы'!H$2)*100)</f>
        <v>6.666666666666667</v>
      </c>
      <c r="K195" s="1">
        <f>IF('исходные данные'!K195&gt;'минимумы и максимумы'!I$3,100,('исходные данные'!K195-'минимумы и максимумы'!I$2)/('минимумы и максимумы'!I$3-'минимумы и максимумы'!I$2)*100)</f>
        <v>33.333333333333329</v>
      </c>
      <c r="L195" s="1">
        <f>IF('исходные данные'!L195&gt;'минимумы и максимумы'!J$3,100,('исходные данные'!L195-'минимумы и максимумы'!J$2)/('минимумы и максимумы'!J$3-'минимумы и максимумы'!J$2)*100)</f>
        <v>40</v>
      </c>
      <c r="M195" s="1">
        <f>IF('исходные данные'!M195&gt;'минимумы и максимумы'!K$3,100,('исходные данные'!M195-'минимумы и максимумы'!K$2)/('минимумы и максимумы'!K$3-'минимумы и максимумы'!K$2)*100)</f>
        <v>51.612903225806448</v>
      </c>
      <c r="N195" s="1">
        <f>IF('исходные данные'!N195&gt;'минимумы и максимумы'!L$3,100,('исходные данные'!N195-'минимумы и максимумы'!L$2)/('минимумы и максимумы'!L$3-'минимумы и максимумы'!L$2)*100)</f>
        <v>15.667118176928316</v>
      </c>
      <c r="O195" s="1">
        <f>IF('исходные данные'!O195&gt;'минимумы и максимумы'!M$3,100,('исходные данные'!O195-'минимумы и максимумы'!M$2)/('минимумы и максимумы'!M$3-'минимумы и максимумы'!M$2)*100)</f>
        <v>66.666666666666657</v>
      </c>
      <c r="P195" s="1">
        <f>IF('исходные данные'!P195&gt;'минимумы и максимумы'!N$3,100,('исходные данные'!P195-'минимумы и максимумы'!N$2)/('минимумы и максимумы'!N$3-'минимумы и максимумы'!N$2)*100)</f>
        <v>0</v>
      </c>
      <c r="Q195" s="1">
        <f>IF('исходные данные'!Q195&gt;'минимумы и максимумы'!O$3,100,('исходные данные'!Q195-'минимумы и максимумы'!O$2)/('минимумы и максимумы'!O$3-'минимумы и максимумы'!O$2)*100)</f>
        <v>100</v>
      </c>
      <c r="R195" s="1">
        <f>IF('исходные данные'!R195&gt;'минимумы и максимумы'!P$3,100,('исходные данные'!R195-'минимумы и максимумы'!P$2)/('минимумы и максимумы'!P$3-'минимумы и максимумы'!P$2)*100)</f>
        <v>75</v>
      </c>
      <c r="S195" s="1">
        <f>IF('исходные данные'!S195&gt;'минимумы и максимумы'!Q$3,100,('исходные данные'!S195-'минимумы и максимумы'!Q$2)/('минимумы и максимумы'!Q$3-'минимумы и максимумы'!Q$2)*100)</f>
        <v>33.333333333333329</v>
      </c>
      <c r="T195" s="1">
        <f>IF('исходные данные'!T195&gt;'минимумы и максимумы'!R$3,100,('исходные данные'!T195-'минимумы и максимумы'!R$2)/('минимумы и максимумы'!R$3-'минимумы и максимумы'!R$2)*100)</f>
        <v>11.130664320281566</v>
      </c>
      <c r="U195" s="1">
        <f>IF('исходные данные'!U195&gt;'минимумы и максимумы'!S$3,100,('исходные данные'!U195-'минимумы и максимумы'!S$2)/('минимумы и максимумы'!S$3-'минимумы и максимумы'!S$2)*100)</f>
        <v>0</v>
      </c>
    </row>
    <row r="196" spans="1:21" x14ac:dyDescent="0.45">
      <c r="A196" s="4">
        <v>282</v>
      </c>
      <c r="B196" s="4">
        <v>0</v>
      </c>
      <c r="C196" s="4">
        <v>0</v>
      </c>
      <c r="D196" s="1">
        <f>IF('исходные данные'!D196&gt;'минимумы и максимумы'!B$3,100,('исходные данные'!D196-'минимумы и максимумы'!B$2)/('минимумы и максимумы'!B$3-'минимумы и максимумы'!B$2)*100)</f>
        <v>0</v>
      </c>
      <c r="E196" s="1">
        <f>IF('исходные данные'!E196&gt;'минимумы и максимумы'!C$3,100,('исходные данные'!E196-'минимумы и максимумы'!C$2)/('минимумы и максимумы'!C$3-'минимумы и максимумы'!C$2)*100)</f>
        <v>30</v>
      </c>
      <c r="F196" s="1">
        <f>IF('исходные данные'!F196&gt;'минимумы и максимумы'!D$3,100,('исходные данные'!F196-'минимумы и максимумы'!D$2)/('минимумы и максимумы'!D$3-'минимумы и максимумы'!D$2)*100)</f>
        <v>66.666666666666657</v>
      </c>
      <c r="G196" s="1">
        <f>IF('исходные данные'!G196&gt;'минимумы и максимумы'!E$3,100,('исходные данные'!G196-'минимумы и максимумы'!E$2)/('минимумы и максимумы'!E$3-'минимумы и максимумы'!E$2)*100)</f>
        <v>12.5</v>
      </c>
      <c r="H196" s="1">
        <f>IF('исходные данные'!H196&gt;'минимумы и максимумы'!F$3,100,('исходные данные'!H196-'минимумы и максимумы'!F$2)/('минимумы и максимумы'!F$3-'минимумы и максимумы'!F$2)*100)</f>
        <v>16</v>
      </c>
      <c r="I196" s="1">
        <f>IF('исходные данные'!I196&gt;'минимумы и максимумы'!G$3,100,('исходные данные'!I196-'минимумы и максимумы'!G$2)/('минимумы и максимумы'!G$3-'минимумы и максимумы'!G$2)*100)</f>
        <v>28.30188679245283</v>
      </c>
      <c r="J196" s="1">
        <f>IF('исходные данные'!J196&gt;'минимумы и максимумы'!H$3,100,('исходные данные'!J196-'минимумы и максимумы'!H$2)/('минимумы и максимумы'!H$3-'минимумы и максимумы'!H$2)*100)</f>
        <v>0</v>
      </c>
      <c r="K196" s="1">
        <f>IF('исходные данные'!K196&gt;'минимумы и максимумы'!I$3,100,('исходные данные'!K196-'минимумы и максимумы'!I$2)/('минимумы и максимумы'!I$3-'минимумы и максимумы'!I$2)*100)</f>
        <v>33.333333333333329</v>
      </c>
      <c r="L196" s="1">
        <f>IF('исходные данные'!L196&gt;'минимумы и максимумы'!J$3,100,('исходные данные'!L196-'минимумы и максимумы'!J$2)/('минимумы и максимумы'!J$3-'минимумы и максимумы'!J$2)*100)</f>
        <v>40</v>
      </c>
      <c r="M196" s="1">
        <f>IF('исходные данные'!M196&gt;'минимумы и максимумы'!K$3,100,('исходные данные'!M196-'минимумы и максимумы'!K$2)/('минимумы и максимумы'!K$3-'минимумы и максимумы'!K$2)*100)</f>
        <v>41.935483870967744</v>
      </c>
      <c r="N196" s="1">
        <f>IF('исходные данные'!N196&gt;'минимумы и максимумы'!L$3,100,('исходные данные'!N196-'минимумы и максимумы'!L$2)/('минимумы и максимумы'!L$3-'минимумы и максимумы'!L$2)*100)</f>
        <v>15.667118176928316</v>
      </c>
      <c r="O196" s="1">
        <f>IF('исходные данные'!O196&gt;'минимумы и максимумы'!M$3,100,('исходные данные'!O196-'минимумы и максимумы'!M$2)/('минимумы и максимумы'!M$3-'минимумы и максимумы'!M$2)*100)</f>
        <v>66.666666666666657</v>
      </c>
      <c r="P196" s="1">
        <f>IF('исходные данные'!P196&gt;'минимумы и максимумы'!N$3,100,('исходные данные'!P196-'минимумы и максимумы'!N$2)/('минимумы и максимумы'!N$3-'минимумы и максимумы'!N$2)*100)</f>
        <v>100</v>
      </c>
      <c r="Q196" s="1">
        <f>IF('исходные данные'!Q196&gt;'минимумы и максимумы'!O$3,100,('исходные данные'!Q196-'минимумы и максимумы'!O$2)/('минимумы и максимумы'!O$3-'минимумы и максимумы'!O$2)*100)</f>
        <v>100</v>
      </c>
      <c r="R196" s="1">
        <f>IF('исходные данные'!R196&gt;'минимумы и максимумы'!P$3,100,('исходные данные'!R196-'минимумы и максимумы'!P$2)/('минимумы и максимумы'!P$3-'минимумы и максимумы'!P$2)*100)</f>
        <v>75</v>
      </c>
      <c r="S196" s="1">
        <f>IF('исходные данные'!S196&gt;'минимумы и максимумы'!Q$3,100,('исходные данные'!S196-'минимумы и максимумы'!Q$2)/('минимумы и максимумы'!Q$3-'минимумы и максимумы'!Q$2)*100)</f>
        <v>33.333333333333329</v>
      </c>
      <c r="T196" s="1">
        <f>IF('исходные данные'!T196&gt;'минимумы и максимумы'!R$3,100,('исходные данные'!T196-'минимумы и максимумы'!R$2)/('минимумы и максимумы'!R$3-'минимумы и максимумы'!R$2)*100)</f>
        <v>20.149582050153981</v>
      </c>
      <c r="U196" s="1">
        <f>IF('исходные данные'!U196&gt;'минимумы и максимумы'!S$3,100,('исходные данные'!U196-'минимумы и максимумы'!S$2)/('минимумы и максимумы'!S$3-'минимумы и максимумы'!S$2)*100)</f>
        <v>33.333333333333329</v>
      </c>
    </row>
    <row r="197" spans="1:21" x14ac:dyDescent="0.45">
      <c r="A197" s="4">
        <v>283</v>
      </c>
      <c r="B197" s="4">
        <v>0</v>
      </c>
      <c r="C197" s="4">
        <v>0</v>
      </c>
      <c r="D197" s="1">
        <f>IF('исходные данные'!D197&gt;'минимумы и максимумы'!B$3,100,('исходные данные'!D197-'минимумы и максимумы'!B$2)/('минимумы и максимумы'!B$3-'минимумы и максимумы'!B$2)*100)</f>
        <v>0</v>
      </c>
      <c r="E197" s="1">
        <f>IF('исходные данные'!E197&gt;'минимумы и максимумы'!C$3,100,('исходные данные'!E197-'минимумы и максимумы'!C$2)/('минимумы и максимумы'!C$3-'минимумы и максимумы'!C$2)*100)</f>
        <v>30</v>
      </c>
      <c r="F197" s="1">
        <f>IF('исходные данные'!F197&gt;'минимумы и максимумы'!D$3,100,('исходные данные'!F197-'минимумы и максимумы'!D$2)/('минимумы и максимумы'!D$3-'минимумы и максимумы'!D$2)*100)</f>
        <v>66.666666666666657</v>
      </c>
      <c r="G197" s="1">
        <f>IF('исходные данные'!G197&gt;'минимумы и максимумы'!E$3,100,('исходные данные'!G197-'минимумы и максимумы'!E$2)/('минимумы и максимумы'!E$3-'минимумы и максимумы'!E$2)*100)</f>
        <v>8.3333333333333321</v>
      </c>
      <c r="H197" s="1">
        <f>IF('исходные данные'!H197&gt;'минимумы и максимумы'!F$3,100,('исходные данные'!H197-'минимумы и максимумы'!F$2)/('минимумы и максимумы'!F$3-'минимумы и максимумы'!F$2)*100)</f>
        <v>16</v>
      </c>
      <c r="I197" s="1">
        <f>IF('исходные данные'!I197&gt;'минимумы и максимумы'!G$3,100,('исходные данные'!I197-'минимумы и максимумы'!G$2)/('минимумы и максимумы'!G$3-'минимумы и максимумы'!G$2)*100)</f>
        <v>28.30188679245283</v>
      </c>
      <c r="J197" s="1">
        <f>IF('исходные данные'!J197&gt;'минимумы и максимумы'!H$3,100,('исходные данные'!J197-'минимумы и максимумы'!H$2)/('минимумы и максимумы'!H$3-'минимумы и максимумы'!H$2)*100)</f>
        <v>0</v>
      </c>
      <c r="K197" s="1">
        <f>IF('исходные данные'!K197&gt;'минимумы и максимумы'!I$3,100,('исходные данные'!K197-'минимумы и максимумы'!I$2)/('минимумы и максимумы'!I$3-'минимумы и максимумы'!I$2)*100)</f>
        <v>16.666666666666664</v>
      </c>
      <c r="L197" s="1">
        <f>IF('исходные данные'!L197&gt;'минимумы и максимумы'!J$3,100,('исходные данные'!L197-'минимумы и максимумы'!J$2)/('минимумы и максимумы'!J$3-'минимумы и максимумы'!J$2)*100)</f>
        <v>20</v>
      </c>
      <c r="M197" s="1">
        <f>IF('исходные данные'!M197&gt;'минимумы и максимумы'!K$3,100,('исходные данные'!M197-'минимумы и максимумы'!K$2)/('минимумы и максимумы'!K$3-'минимумы и максимумы'!K$2)*100)</f>
        <v>45.161290322580641</v>
      </c>
      <c r="N197" s="1">
        <f>IF('исходные данные'!N197&gt;'минимумы и максимумы'!L$3,100,('исходные данные'!N197-'минимумы и максимумы'!L$2)/('минимумы и максимумы'!L$3-'минимумы и максимумы'!L$2)*100)</f>
        <v>16.203623111502679</v>
      </c>
      <c r="O197" s="1">
        <f>IF('исходные данные'!O197&gt;'минимумы и максимумы'!M$3,100,('исходные данные'!O197-'минимумы и максимумы'!M$2)/('минимумы и максимумы'!M$3-'минимумы и максимумы'!M$2)*100)</f>
        <v>66.666666666666657</v>
      </c>
      <c r="P197" s="1">
        <f>IF('исходные данные'!P197&gt;'минимумы и максимумы'!N$3,100,('исходные данные'!P197-'минимумы и максимумы'!N$2)/('минимумы и максимумы'!N$3-'минимумы и максимумы'!N$2)*100)</f>
        <v>100</v>
      </c>
      <c r="Q197" s="1">
        <f>IF('исходные данные'!Q197&gt;'минимумы и максимумы'!O$3,100,('исходные данные'!Q197-'минимумы и максимумы'!O$2)/('минимумы и максимумы'!O$3-'минимумы и максимумы'!O$2)*100)</f>
        <v>100</v>
      </c>
      <c r="R197" s="1">
        <f>IF('исходные данные'!R197&gt;'минимумы и максимумы'!P$3,100,('исходные данные'!R197-'минимумы и максимумы'!P$2)/('минимумы и максимумы'!P$3-'минимумы и максимумы'!P$2)*100)</f>
        <v>75</v>
      </c>
      <c r="S197" s="1">
        <f>IF('исходные данные'!S197&gt;'минимумы и максимумы'!Q$3,100,('исходные данные'!S197-'минимумы и максимумы'!Q$2)/('минимумы и максимумы'!Q$3-'минимумы и максимумы'!Q$2)*100)</f>
        <v>33.333333333333329</v>
      </c>
      <c r="T197" s="1">
        <f>IF('исходные данные'!T197&gt;'минимумы и максимумы'!R$3,100,('исходные данные'!T197-'минимумы и максимумы'!R$2)/('минимумы и максимумы'!R$3-'минимумы и максимумы'!R$2)*100)</f>
        <v>34.403871535415746</v>
      </c>
      <c r="U197" s="1">
        <f>IF('исходные данные'!U197&gt;'минимумы и максимумы'!S$3,100,('исходные данные'!U197-'минимумы и максимумы'!S$2)/('минимумы и максимумы'!S$3-'минимумы и максимумы'!S$2)*100)</f>
        <v>33.333333333333329</v>
      </c>
    </row>
    <row r="198" spans="1:21" x14ac:dyDescent="0.45">
      <c r="A198" s="4">
        <v>284</v>
      </c>
      <c r="B198" s="4">
        <v>0</v>
      </c>
      <c r="C198" s="4">
        <v>0</v>
      </c>
      <c r="D198" s="1">
        <f>IF('исходные данные'!D198&gt;'минимумы и максимумы'!B$3,100,('исходные данные'!D198-'минимумы и максимумы'!B$2)/('минимумы и максимумы'!B$3-'минимумы и максимумы'!B$2)*100)</f>
        <v>0</v>
      </c>
      <c r="E198" s="1">
        <f>IF('исходные данные'!E198&gt;'минимумы и максимумы'!C$3,100,('исходные данные'!E198-'минимумы и максимумы'!C$2)/('минимумы и максимумы'!C$3-'минимумы и максимумы'!C$2)*100)</f>
        <v>30</v>
      </c>
      <c r="F198" s="1">
        <f>IF('исходные данные'!F198&gt;'минимумы и максимумы'!D$3,100,('исходные данные'!F198-'минимумы и максимумы'!D$2)/('минимумы и максимумы'!D$3-'минимумы и максимумы'!D$2)*100)</f>
        <v>66.666666666666657</v>
      </c>
      <c r="G198" s="1">
        <f>IF('исходные данные'!G198&gt;'минимумы и максимумы'!E$3,100,('исходные данные'!G198-'минимумы и максимумы'!E$2)/('минимумы и максимумы'!E$3-'минимумы и максимумы'!E$2)*100)</f>
        <v>12.5</v>
      </c>
      <c r="H198" s="1">
        <f>IF('исходные данные'!H198&gt;'минимумы и максимумы'!F$3,100,('исходные данные'!H198-'минимумы и максимумы'!F$2)/('минимумы и максимумы'!F$3-'минимумы и максимумы'!F$2)*100)</f>
        <v>16</v>
      </c>
      <c r="I198" s="1">
        <f>IF('исходные данные'!I198&gt;'минимумы и максимумы'!G$3,100,('исходные данные'!I198-'минимумы и максимумы'!G$2)/('минимумы и максимумы'!G$3-'минимумы и максимумы'!G$2)*100)</f>
        <v>28.30188679245283</v>
      </c>
      <c r="J198" s="1">
        <f>IF('исходные данные'!J198&gt;'минимумы и максимумы'!H$3,100,('исходные данные'!J198-'минимумы и максимумы'!H$2)/('минимумы и максимумы'!H$3-'минимумы и максимумы'!H$2)*100)</f>
        <v>0</v>
      </c>
      <c r="K198" s="1">
        <f>IF('исходные данные'!K198&gt;'минимумы и максимумы'!I$3,100,('исходные данные'!K198-'минимумы и максимумы'!I$2)/('минимумы и максимумы'!I$3-'минимумы и максимумы'!I$2)*100)</f>
        <v>33.333333333333329</v>
      </c>
      <c r="L198" s="1">
        <f>IF('исходные данные'!L198&gt;'минимумы и максимумы'!J$3,100,('исходные данные'!L198-'минимумы и максимумы'!J$2)/('минимумы и максимумы'!J$3-'минимумы и максимумы'!J$2)*100)</f>
        <v>40</v>
      </c>
      <c r="M198" s="1">
        <f>IF('исходные данные'!M198&gt;'минимумы и максимумы'!K$3,100,('исходные данные'!M198-'минимумы и максимумы'!K$2)/('минимумы и максимумы'!K$3-'минимумы и максимумы'!K$2)*100)</f>
        <v>41.935483870967744</v>
      </c>
      <c r="N198" s="1">
        <f>IF('исходные данные'!N198&gt;'минимумы и максимумы'!L$3,100,('исходные данные'!N198-'минимумы и максимумы'!L$2)/('минимумы и максимумы'!L$3-'минимумы и максимумы'!L$2)*100)</f>
        <v>15.907097546251547</v>
      </c>
      <c r="O198" s="1">
        <f>IF('исходные данные'!O198&gt;'минимумы и максимумы'!M$3,100,('исходные данные'!O198-'минимумы и максимумы'!M$2)/('минимумы и максимумы'!M$3-'минимумы и максимумы'!M$2)*100)</f>
        <v>66.666666666666657</v>
      </c>
      <c r="P198" s="1">
        <f>IF('исходные данные'!P198&gt;'минимумы и максимумы'!N$3,100,('исходные данные'!P198-'минимумы и максимумы'!N$2)/('минимумы и максимумы'!N$3-'минимумы и максимумы'!N$2)*100)</f>
        <v>100</v>
      </c>
      <c r="Q198" s="1">
        <f>IF('исходные данные'!Q198&gt;'минимумы и максимумы'!O$3,100,('исходные данные'!Q198-'минимумы и максимумы'!O$2)/('минимумы и максимумы'!O$3-'минимумы и максимумы'!O$2)*100)</f>
        <v>100</v>
      </c>
      <c r="R198" s="1">
        <f>IF('исходные данные'!R198&gt;'минимумы и максимумы'!P$3,100,('исходные данные'!R198-'минимумы и максимумы'!P$2)/('минимумы и максимумы'!P$3-'минимумы и максимумы'!P$2)*100)</f>
        <v>75</v>
      </c>
      <c r="S198" s="1">
        <f>IF('исходные данные'!S198&gt;'минимумы и максимумы'!Q$3,100,('исходные данные'!S198-'минимумы и максимумы'!Q$2)/('минимумы и максимумы'!Q$3-'минимумы и максимумы'!Q$2)*100)</f>
        <v>50</v>
      </c>
      <c r="T198" s="1">
        <f>IF('исходные данные'!T198&gt;'минимумы и максимумы'!R$3,100,('исходные данные'!T198-'минимумы и максимумы'!R$2)/('минимумы и максимумы'!R$3-'минимумы и максимумы'!R$2)*100)</f>
        <v>15.0461944566652</v>
      </c>
      <c r="U198" s="1">
        <f>IF('исходные данные'!U198&gt;'минимумы и максимумы'!S$3,100,('исходные данные'!U198-'минимумы и максимумы'!S$2)/('минимумы и максимумы'!S$3-'минимумы и максимумы'!S$2)*100)</f>
        <v>0</v>
      </c>
    </row>
    <row r="199" spans="1:21" x14ac:dyDescent="0.45">
      <c r="A199" s="4">
        <v>285</v>
      </c>
      <c r="B199" s="4">
        <v>0</v>
      </c>
      <c r="C199" s="4">
        <v>0</v>
      </c>
      <c r="D199" s="1">
        <f>IF('исходные данные'!D199&gt;'минимумы и максимумы'!B$3,100,('исходные данные'!D199-'минимумы и максимумы'!B$2)/('минимумы и максимумы'!B$3-'минимумы и максимумы'!B$2)*100)</f>
        <v>0</v>
      </c>
      <c r="E199" s="1">
        <f>IF('исходные данные'!E199&gt;'минимумы и максимумы'!C$3,100,('исходные данные'!E199-'минимумы и максимумы'!C$2)/('минимумы и максимумы'!C$3-'минимумы и максимумы'!C$2)*100)</f>
        <v>30</v>
      </c>
      <c r="F199" s="1">
        <f>IF('исходные данные'!F199&gt;'минимумы и максимумы'!D$3,100,('исходные данные'!F199-'минимумы и максимумы'!D$2)/('минимумы и максимумы'!D$3-'минимумы и максимумы'!D$2)*100)</f>
        <v>66.666666666666657</v>
      </c>
      <c r="G199" s="1">
        <f>IF('исходные данные'!G199&gt;'минимумы и максимумы'!E$3,100,('исходные данные'!G199-'минимумы и максимумы'!E$2)/('минимумы и максимумы'!E$3-'минимумы и максимумы'!E$2)*100)</f>
        <v>12.5</v>
      </c>
      <c r="H199" s="1">
        <f>IF('исходные данные'!H199&gt;'минимумы и максимумы'!F$3,100,('исходные данные'!H199-'минимумы и максимумы'!F$2)/('минимумы и максимумы'!F$3-'минимумы и максимумы'!F$2)*100)</f>
        <v>16</v>
      </c>
      <c r="I199" s="1">
        <f>IF('исходные данные'!I199&gt;'минимумы и максимумы'!G$3,100,('исходные данные'!I199-'минимумы и максимумы'!G$2)/('минимумы и максимумы'!G$3-'минимумы и максимумы'!G$2)*100)</f>
        <v>28.30188679245283</v>
      </c>
      <c r="J199" s="1">
        <f>IF('исходные данные'!J199&gt;'минимумы и максимумы'!H$3,100,('исходные данные'!J199-'минимумы и максимумы'!H$2)/('минимумы и максимумы'!H$3-'минимумы и максимумы'!H$2)*100)</f>
        <v>0</v>
      </c>
      <c r="K199" s="1">
        <f>IF('исходные данные'!K199&gt;'минимумы и максимумы'!I$3,100,('исходные данные'!K199-'минимумы и максимумы'!I$2)/('минимумы и максимумы'!I$3-'минимумы и максимумы'!I$2)*100)</f>
        <v>33.333333333333329</v>
      </c>
      <c r="L199" s="1">
        <f>IF('исходные данные'!L199&gt;'минимумы и максимумы'!J$3,100,('исходные данные'!L199-'минимумы и максимумы'!J$2)/('минимумы и максимумы'!J$3-'минимумы и максимумы'!J$2)*100)</f>
        <v>40</v>
      </c>
      <c r="M199" s="1">
        <f>IF('исходные данные'!M199&gt;'минимумы и максимумы'!K$3,100,('исходные данные'!M199-'минимумы и максимумы'!K$2)/('минимумы и максимумы'!K$3-'минимумы и максимумы'!K$2)*100)</f>
        <v>41.935483870967744</v>
      </c>
      <c r="N199" s="1">
        <f>IF('исходные данные'!N199&gt;'минимумы и максимумы'!L$3,100,('исходные данные'!N199-'минимумы и максимумы'!L$2)/('минимумы и максимумы'!L$3-'минимумы и максимумы'!L$2)*100)</f>
        <v>15.667118176928316</v>
      </c>
      <c r="O199" s="1">
        <f>IF('исходные данные'!O199&gt;'минимумы и максимумы'!M$3,100,('исходные данные'!O199-'минимумы и максимумы'!M$2)/('минимумы и максимумы'!M$3-'минимумы и максимумы'!M$2)*100)</f>
        <v>66.666666666666657</v>
      </c>
      <c r="P199" s="1">
        <f>IF('исходные данные'!P199&gt;'минимумы и максимумы'!N$3,100,('исходные данные'!P199-'минимумы и максимумы'!N$2)/('минимумы и максимумы'!N$3-'минимумы и максимумы'!N$2)*100)</f>
        <v>100</v>
      </c>
      <c r="Q199" s="1">
        <f>IF('исходные данные'!Q199&gt;'минимумы и максимумы'!O$3,100,('исходные данные'!Q199-'минимумы и максимумы'!O$2)/('минимумы и максимумы'!O$3-'минимумы и максимумы'!O$2)*100)</f>
        <v>100</v>
      </c>
      <c r="R199" s="1">
        <f>IF('исходные данные'!R199&gt;'минимумы и максимумы'!P$3,100,('исходные данные'!R199-'минимумы и максимумы'!P$2)/('минимумы и максимумы'!P$3-'минимумы и максимумы'!P$2)*100)</f>
        <v>75</v>
      </c>
      <c r="S199" s="1">
        <f>IF('исходные данные'!S199&gt;'минимумы и максимумы'!Q$3,100,('исходные данные'!S199-'минимумы и максимумы'!Q$2)/('минимумы и максимумы'!Q$3-'минимумы и максимумы'!Q$2)*100)</f>
        <v>33.333333333333329</v>
      </c>
      <c r="T199" s="1">
        <f>IF('исходные данные'!T199&gt;'минимумы и максимумы'!R$3,100,('исходные данные'!T199-'минимумы и максимумы'!R$2)/('минимумы и максимумы'!R$3-'минимумы и максимумы'!R$2)*100)</f>
        <v>8.974923009238891</v>
      </c>
      <c r="U199" s="1">
        <f>IF('исходные данные'!U199&gt;'минимумы и максимумы'!S$3,100,('исходные данные'!U199-'минимумы и максимумы'!S$2)/('минимумы и максимумы'!S$3-'минимумы и максимумы'!S$2)*100)</f>
        <v>0</v>
      </c>
    </row>
    <row r="200" spans="1:21" x14ac:dyDescent="0.45">
      <c r="A200" s="4">
        <v>286</v>
      </c>
      <c r="B200" s="4">
        <v>0</v>
      </c>
      <c r="C200" s="4">
        <v>0</v>
      </c>
      <c r="D200" s="1">
        <f>IF('исходные данные'!D200&gt;'минимумы и максимумы'!B$3,100,('исходные данные'!D200-'минимумы и максимумы'!B$2)/('минимумы и максимумы'!B$3-'минимумы и максимумы'!B$2)*100)</f>
        <v>0</v>
      </c>
      <c r="E200" s="1">
        <f>IF('исходные данные'!E200&gt;'минимумы и максимумы'!C$3,100,('исходные данные'!E200-'минимумы и максимумы'!C$2)/('минимумы и максимумы'!C$3-'минимумы и максимумы'!C$2)*100)</f>
        <v>30</v>
      </c>
      <c r="F200" s="1">
        <f>IF('исходные данные'!F200&gt;'минимумы и максимумы'!D$3,100,('исходные данные'!F200-'минимумы и максимумы'!D$2)/('минимумы и максимумы'!D$3-'минимумы и максимумы'!D$2)*100)</f>
        <v>66.666666666666657</v>
      </c>
      <c r="G200" s="1">
        <f>IF('исходные данные'!G200&gt;'минимумы и максимумы'!E$3,100,('исходные данные'!G200-'минимумы и максимумы'!E$2)/('минимумы и максимумы'!E$3-'минимумы и максимумы'!E$2)*100)</f>
        <v>8.3333333333333321</v>
      </c>
      <c r="H200" s="1">
        <f>IF('исходные данные'!H200&gt;'минимумы и максимумы'!F$3,100,('исходные данные'!H200-'минимумы и максимумы'!F$2)/('минимумы и максимумы'!F$3-'минимумы и максимумы'!F$2)*100)</f>
        <v>16</v>
      </c>
      <c r="I200" s="1">
        <f>IF('исходные данные'!I200&gt;'минимумы и максимумы'!G$3,100,('исходные данные'!I200-'минимумы и максимумы'!G$2)/('минимумы и максимумы'!G$3-'минимумы и максимумы'!G$2)*100)</f>
        <v>28.30188679245283</v>
      </c>
      <c r="J200" s="1">
        <f>IF('исходные данные'!J200&gt;'минимумы и максимумы'!H$3,100,('исходные данные'!J200-'минимумы и максимумы'!H$2)/('минимумы и максимумы'!H$3-'минимумы и максимумы'!H$2)*100)</f>
        <v>0</v>
      </c>
      <c r="K200" s="1">
        <f>IF('исходные данные'!K200&gt;'минимумы и максимумы'!I$3,100,('исходные данные'!K200-'минимумы и максимумы'!I$2)/('минимумы и максимумы'!I$3-'минимумы и максимумы'!I$2)*100)</f>
        <v>16.666666666666664</v>
      </c>
      <c r="L200" s="1">
        <f>IF('исходные данные'!L200&gt;'минимумы и максимумы'!J$3,100,('исходные данные'!L200-'минимумы и максимумы'!J$2)/('минимумы и максимумы'!J$3-'минимумы и максимумы'!J$2)*100)</f>
        <v>20</v>
      </c>
      <c r="M200" s="1">
        <f>IF('исходные данные'!M200&gt;'минимумы и максимумы'!K$3,100,('исходные данные'!M200-'минимумы и максимумы'!K$2)/('минимумы и максимумы'!K$3-'минимумы и максимумы'!K$2)*100)</f>
        <v>45.161290322580641</v>
      </c>
      <c r="N200" s="1">
        <f>IF('исходные данные'!N200&gt;'минимумы и максимумы'!L$3,100,('исходные данные'!N200-'минимумы и максимумы'!L$2)/('минимумы и максимумы'!L$3-'минимумы и максимумы'!L$2)*100)</f>
        <v>16.203623111502679</v>
      </c>
      <c r="O200" s="1">
        <f>IF('исходные данные'!O200&gt;'минимумы и максимумы'!M$3,100,('исходные данные'!O200-'минимумы и максимумы'!M$2)/('минимумы и максимумы'!M$3-'минимумы и максимумы'!M$2)*100)</f>
        <v>66.666666666666657</v>
      </c>
      <c r="P200" s="1">
        <f>IF('исходные данные'!P200&gt;'минимумы и максимумы'!N$3,100,('исходные данные'!P200-'минимумы и максимумы'!N$2)/('минимумы и максимумы'!N$3-'минимумы и максимумы'!N$2)*100)</f>
        <v>100</v>
      </c>
      <c r="Q200" s="1">
        <f>IF('исходные данные'!Q200&gt;'минимумы и максимумы'!O$3,100,('исходные данные'!Q200-'минимумы и максимумы'!O$2)/('минимумы и максимумы'!O$3-'минимумы и максимумы'!O$2)*100)</f>
        <v>100</v>
      </c>
      <c r="R200" s="1">
        <f>IF('исходные данные'!R200&gt;'минимумы и максимумы'!P$3,100,('исходные данные'!R200-'минимумы и максимумы'!P$2)/('минимумы и максимумы'!P$3-'минимумы и максимумы'!P$2)*100)</f>
        <v>75</v>
      </c>
      <c r="S200" s="1">
        <f>IF('исходные данные'!S200&gt;'минимумы и максимумы'!Q$3,100,('исходные данные'!S200-'минимумы и максимумы'!Q$2)/('минимумы и максимумы'!Q$3-'минимумы и максимумы'!Q$2)*100)</f>
        <v>16.666666666666664</v>
      </c>
      <c r="T200" s="1">
        <f>IF('исходные данные'!T200&gt;'минимумы и максимумы'!R$3,100,('исходные данные'!T200-'минимумы и максимумы'!R$2)/('минимумы и максимумы'!R$3-'минимумы и максимумы'!R$2)*100)</f>
        <v>13.682358117025956</v>
      </c>
      <c r="U200" s="1">
        <f>IF('исходные данные'!U200&gt;'минимумы и максимумы'!S$3,100,('исходные данные'!U200-'минимумы и максимумы'!S$2)/('минимумы и максимумы'!S$3-'минимумы и максимумы'!S$2)*100)</f>
        <v>0</v>
      </c>
    </row>
    <row r="201" spans="1:21" x14ac:dyDescent="0.45">
      <c r="A201" s="4">
        <v>287</v>
      </c>
      <c r="B201" s="4">
        <v>0</v>
      </c>
      <c r="C201" s="4">
        <v>0</v>
      </c>
      <c r="D201" s="1">
        <f>IF('исходные данные'!D201&gt;'минимумы и максимумы'!B$3,100,('исходные данные'!D201-'минимумы и максимумы'!B$2)/('минимумы и максимумы'!B$3-'минимумы и максимумы'!B$2)*100)</f>
        <v>0</v>
      </c>
      <c r="E201" s="1">
        <f>IF('исходные данные'!E201&gt;'минимумы и максимумы'!C$3,100,('исходные данные'!E201-'минимумы и максимумы'!C$2)/('минимумы и максимумы'!C$3-'минимумы и максимумы'!C$2)*100)</f>
        <v>30</v>
      </c>
      <c r="F201" s="1">
        <f>IF('исходные данные'!F201&gt;'минимумы и максимумы'!D$3,100,('исходные данные'!F201-'минимумы и максимумы'!D$2)/('минимумы и максимумы'!D$3-'минимумы и максимумы'!D$2)*100)</f>
        <v>66.666666666666657</v>
      </c>
      <c r="G201" s="1">
        <f>IF('исходные данные'!G201&gt;'минимумы и максимумы'!E$3,100,('исходные данные'!G201-'минимумы и максимумы'!E$2)/('минимумы и максимумы'!E$3-'минимумы и максимумы'!E$2)*100)</f>
        <v>8.3333333333333321</v>
      </c>
      <c r="H201" s="1">
        <f>IF('исходные данные'!H201&gt;'минимумы и максимумы'!F$3,100,('исходные данные'!H201-'минимумы и максимумы'!F$2)/('минимумы и максимумы'!F$3-'минимумы и максимумы'!F$2)*100)</f>
        <v>16</v>
      </c>
      <c r="I201" s="1">
        <f>IF('исходные данные'!I201&gt;'минимумы и максимумы'!G$3,100,('исходные данные'!I201-'минимумы и максимумы'!G$2)/('минимумы и максимумы'!G$3-'минимумы и максимумы'!G$2)*100)</f>
        <v>28.30188679245283</v>
      </c>
      <c r="J201" s="1">
        <f>IF('исходные данные'!J201&gt;'минимумы и максимумы'!H$3,100,('исходные данные'!J201-'минимумы и максимумы'!H$2)/('минимумы и максимумы'!H$3-'минимумы и максимумы'!H$2)*100)</f>
        <v>0</v>
      </c>
      <c r="K201" s="1">
        <f>IF('исходные данные'!K201&gt;'минимумы и максимумы'!I$3,100,('исходные данные'!K201-'минимумы и максимумы'!I$2)/('минимумы и максимумы'!I$3-'минимумы и максимумы'!I$2)*100)</f>
        <v>16.666666666666664</v>
      </c>
      <c r="L201" s="1">
        <f>IF('исходные данные'!L201&gt;'минимумы и максимумы'!J$3,100,('исходные данные'!L201-'минимумы и максимумы'!J$2)/('минимумы и максимумы'!J$3-'минимумы и максимумы'!J$2)*100)</f>
        <v>20</v>
      </c>
      <c r="M201" s="1">
        <f>IF('исходные данные'!M201&gt;'минимумы и максимумы'!K$3,100,('исходные данные'!M201-'минимумы и максимумы'!K$2)/('минимумы и максимумы'!K$3-'минимумы и максимумы'!K$2)*100)</f>
        <v>45.161290322580641</v>
      </c>
      <c r="N201" s="1">
        <f>IF('исходные данные'!N201&gt;'минимумы и максимумы'!L$3,100,('исходные данные'!N201-'минимумы и максимумы'!L$2)/('минимумы и максимумы'!L$3-'минимумы и максимумы'!L$2)*100)</f>
        <v>17.667065670964284</v>
      </c>
      <c r="O201" s="1">
        <f>IF('исходные данные'!O201&gt;'минимумы и максимумы'!M$3,100,('исходные данные'!O201-'минимумы и максимумы'!M$2)/('минимумы и максимумы'!M$3-'минимумы и максимумы'!M$2)*100)</f>
        <v>66.666666666666657</v>
      </c>
      <c r="P201" s="1">
        <f>IF('исходные данные'!P201&gt;'минимумы и максимумы'!N$3,100,('исходные данные'!P201-'минимумы и максимумы'!N$2)/('минимумы и максимумы'!N$3-'минимумы и максимумы'!N$2)*100)</f>
        <v>0</v>
      </c>
      <c r="Q201" s="1">
        <f>IF('исходные данные'!Q201&gt;'минимумы и максимумы'!O$3,100,('исходные данные'!Q201-'минимумы и максимумы'!O$2)/('минимумы и максимумы'!O$3-'минимумы и максимумы'!O$2)*100)</f>
        <v>100</v>
      </c>
      <c r="R201" s="1">
        <f>IF('исходные данные'!R201&gt;'минимумы и максимумы'!P$3,100,('исходные данные'!R201-'минимумы и максимумы'!P$2)/('минимумы и максимумы'!P$3-'минимумы и максимумы'!P$2)*100)</f>
        <v>75</v>
      </c>
      <c r="S201" s="1">
        <f>IF('исходные данные'!S201&gt;'минимумы и максимумы'!Q$3,100,('исходные данные'!S201-'минимумы и максимумы'!Q$2)/('минимумы и максимумы'!Q$3-'минимумы и максимумы'!Q$2)*100)</f>
        <v>33.333333333333329</v>
      </c>
      <c r="T201" s="1">
        <f>IF('исходные данные'!T201&gt;'минимумы и максимумы'!R$3,100,('исходные данные'!T201-'минимумы и максимумы'!R$2)/('минимумы и максимумы'!R$3-'минимумы и максимумы'!R$2)*100)</f>
        <v>25.604927408710953</v>
      </c>
      <c r="U201" s="1">
        <f>IF('исходные данные'!U201&gt;'минимумы и максимумы'!S$3,100,('исходные данные'!U201-'минимумы и максимумы'!S$2)/('минимумы и максимумы'!S$3-'минимумы и максимумы'!S$2)*100)</f>
        <v>0</v>
      </c>
    </row>
    <row r="202" spans="1:21" x14ac:dyDescent="0.45">
      <c r="A202" s="4">
        <v>288</v>
      </c>
      <c r="B202" s="4">
        <v>0</v>
      </c>
      <c r="C202" s="4">
        <v>0</v>
      </c>
      <c r="D202" s="1">
        <f>IF('исходные данные'!D202&gt;'минимумы и максимумы'!B$3,100,('исходные данные'!D202-'минимумы и максимумы'!B$2)/('минимумы и максимумы'!B$3-'минимумы и максимумы'!B$2)*100)</f>
        <v>0</v>
      </c>
      <c r="E202" s="1">
        <f>IF('исходные данные'!E202&gt;'минимумы и максимумы'!C$3,100,('исходные данные'!E202-'минимумы и максимумы'!C$2)/('минимумы и максимумы'!C$3-'минимумы и максимумы'!C$2)*100)</f>
        <v>30</v>
      </c>
      <c r="F202" s="1">
        <f>IF('исходные данные'!F202&gt;'минимумы и максимумы'!D$3,100,('исходные данные'!F202-'минимумы и максимумы'!D$2)/('минимумы и максимумы'!D$3-'минимумы и максимумы'!D$2)*100)</f>
        <v>66.666666666666657</v>
      </c>
      <c r="G202" s="1">
        <f>IF('исходные данные'!G202&gt;'минимумы и максимумы'!E$3,100,('исходные данные'!G202-'минимумы и максимумы'!E$2)/('минимумы и максимумы'!E$3-'минимумы и максимумы'!E$2)*100)</f>
        <v>8.3333333333333321</v>
      </c>
      <c r="H202" s="1">
        <f>IF('исходные данные'!H202&gt;'минимумы и максимумы'!F$3,100,('исходные данные'!H202-'минимумы и максимумы'!F$2)/('минимумы и максимумы'!F$3-'минимумы и максимумы'!F$2)*100)</f>
        <v>16</v>
      </c>
      <c r="I202" s="1">
        <f>IF('исходные данные'!I202&gt;'минимумы и максимумы'!G$3,100,('исходные данные'!I202-'минимумы и максимумы'!G$2)/('минимумы и максимумы'!G$3-'минимумы и максимумы'!G$2)*100)</f>
        <v>28.30188679245283</v>
      </c>
      <c r="J202" s="1">
        <f>IF('исходные данные'!J202&gt;'минимумы и максимумы'!H$3,100,('исходные данные'!J202-'минимумы и максимумы'!H$2)/('минимумы и максимумы'!H$3-'минимумы и максимумы'!H$2)*100)</f>
        <v>0</v>
      </c>
      <c r="K202" s="1">
        <f>IF('исходные данные'!K202&gt;'минимумы и максимумы'!I$3,100,('исходные данные'!K202-'минимумы и максимумы'!I$2)/('минимумы и максимумы'!I$3-'минимумы и максимумы'!I$2)*100)</f>
        <v>16.666666666666664</v>
      </c>
      <c r="L202" s="1">
        <f>IF('исходные данные'!L202&gt;'минимумы и максимумы'!J$3,100,('исходные данные'!L202-'минимумы и максимумы'!J$2)/('минимумы и максимумы'!J$3-'минимумы и максимумы'!J$2)*100)</f>
        <v>20</v>
      </c>
      <c r="M202" s="1">
        <f>IF('исходные данные'!M202&gt;'минимумы и максимумы'!K$3,100,('исходные данные'!M202-'минимумы и максимумы'!K$2)/('минимумы и максимумы'!K$3-'минимумы и максимумы'!K$2)*100)</f>
        <v>45.161290322580641</v>
      </c>
      <c r="N202" s="1">
        <f>IF('исходные данные'!N202&gt;'минимумы и максимумы'!L$3,100,('исходные данные'!N202-'минимумы и максимумы'!L$2)/('минимумы и максимумы'!L$3-'минимумы и максимумы'!L$2)*100)</f>
        <v>16.53288410008475</v>
      </c>
      <c r="O202" s="1">
        <f>IF('исходные данные'!O202&gt;'минимумы и максимумы'!M$3,100,('исходные данные'!O202-'минимумы и максимумы'!M$2)/('минимумы и максимумы'!M$3-'минимумы и максимумы'!M$2)*100)</f>
        <v>66.666666666666657</v>
      </c>
      <c r="P202" s="1">
        <f>IF('исходные данные'!P202&gt;'минимумы и максимумы'!N$3,100,('исходные данные'!P202-'минимумы и максимумы'!N$2)/('минимумы и максимумы'!N$3-'минимумы и максимумы'!N$2)*100)</f>
        <v>0</v>
      </c>
      <c r="Q202" s="1">
        <f>IF('исходные данные'!Q202&gt;'минимумы и максимумы'!O$3,100,('исходные данные'!Q202-'минимумы и максимумы'!O$2)/('минимумы и максимумы'!O$3-'минимумы и максимумы'!O$2)*100)</f>
        <v>100</v>
      </c>
      <c r="R202" s="1">
        <f>IF('исходные данные'!R202&gt;'минимумы и максимумы'!P$3,100,('исходные данные'!R202-'минимумы и максимумы'!P$2)/('минимумы и максимумы'!P$3-'минимумы и максимумы'!P$2)*100)</f>
        <v>75</v>
      </c>
      <c r="S202" s="1">
        <f>IF('исходные данные'!S202&gt;'минимумы и максимумы'!Q$3,100,('исходные данные'!S202-'минимумы и максимумы'!Q$2)/('минимумы и максимумы'!Q$3-'минимумы и максимумы'!Q$2)*100)</f>
        <v>16.666666666666664</v>
      </c>
      <c r="T202" s="1">
        <f>IF('исходные данные'!T202&gt;'минимумы и максимумы'!R$3,100,('исходные данные'!T202-'минимумы и максимумы'!R$2)/('минимумы и максимумы'!R$3-'минимумы и максимумы'!R$2)*100)</f>
        <v>5.4553453585569738</v>
      </c>
      <c r="U202" s="1">
        <f>IF('исходные данные'!U202&gt;'минимумы и максимумы'!S$3,100,('исходные данные'!U202-'минимумы и максимумы'!S$2)/('минимумы и максимумы'!S$3-'минимумы и максимумы'!S$2)*100)</f>
        <v>33.333333333333329</v>
      </c>
    </row>
    <row r="203" spans="1:21" x14ac:dyDescent="0.45">
      <c r="A203" s="4">
        <v>289</v>
      </c>
      <c r="B203" s="4">
        <v>0</v>
      </c>
      <c r="C203" s="4">
        <v>0</v>
      </c>
      <c r="D203" s="1">
        <f>IF('исходные данные'!D203&gt;'минимумы и максимумы'!B$3,100,('исходные данные'!D203-'минимумы и максимумы'!B$2)/('минимумы и максимумы'!B$3-'минимумы и максимумы'!B$2)*100)</f>
        <v>0</v>
      </c>
      <c r="E203" s="1">
        <f>IF('исходные данные'!E203&gt;'минимумы и максимумы'!C$3,100,('исходные данные'!E203-'минимумы и максимумы'!C$2)/('минимумы и максимумы'!C$3-'минимумы и максимумы'!C$2)*100)</f>
        <v>0</v>
      </c>
      <c r="F203" s="1">
        <f>IF('исходные данные'!F203&gt;'минимумы и максимумы'!D$3,100,('исходные данные'!F203-'минимумы и максимумы'!D$2)/('минимумы и максимумы'!D$3-'минимумы и максимумы'!D$2)*100)</f>
        <v>0</v>
      </c>
      <c r="G203" s="1">
        <f>IF('исходные данные'!G203&gt;'минимумы и максимумы'!E$3,100,('исходные данные'!G203-'минимумы и максимумы'!E$2)/('минимумы и максимумы'!E$3-'минимумы и максимумы'!E$2)*100)</f>
        <v>4.1666666666666661</v>
      </c>
      <c r="H203" s="1">
        <f>IF('исходные данные'!H203&gt;'минимумы и максимумы'!F$3,100,('исходные данные'!H203-'минимумы и максимумы'!F$2)/('минимумы и максимумы'!F$3-'минимумы и максимумы'!F$2)*100)</f>
        <v>4</v>
      </c>
      <c r="I203" s="1">
        <f>IF('исходные данные'!I203&gt;'минимумы и максимумы'!G$3,100,('исходные данные'!I203-'минимумы и максимумы'!G$2)/('минимумы и максимумы'!G$3-'минимумы и максимумы'!G$2)*100)</f>
        <v>9.433962264150944</v>
      </c>
      <c r="J203" s="1">
        <f>IF('исходные данные'!J203&gt;'минимумы и максимумы'!H$3,100,('исходные данные'!J203-'минимумы и максимумы'!H$2)/('минимумы и максимумы'!H$3-'минимумы и максимумы'!H$2)*100)</f>
        <v>0</v>
      </c>
      <c r="K203" s="1">
        <f>IF('исходные данные'!K203&gt;'минимумы и максимумы'!I$3,100,('исходные данные'!K203-'минимумы и максимумы'!I$2)/('минимумы и максимумы'!I$3-'минимумы и максимумы'!I$2)*100)</f>
        <v>11.111111111111111</v>
      </c>
      <c r="L203" s="1">
        <f>IF('исходные данные'!L203&gt;'минимумы и максимумы'!J$3,100,('исходные данные'!L203-'минимумы и максимумы'!J$2)/('минимумы и максимумы'!J$3-'минимумы и максимумы'!J$2)*100)</f>
        <v>0</v>
      </c>
      <c r="M203" s="1">
        <f>IF('исходные данные'!M203&gt;'минимумы и максимумы'!K$3,100,('исходные данные'!M203-'минимумы и максимумы'!K$2)/('минимумы и максимумы'!K$3-'минимумы и максимумы'!K$2)*100)</f>
        <v>22.58064516129032</v>
      </c>
      <c r="N203" s="1">
        <f>IF('исходные данные'!N203&gt;'минимумы и максимумы'!L$3,100,('исходные данные'!N203-'минимумы и максимумы'!L$2)/('минимумы и максимумы'!L$3-'минимумы и максимумы'!L$2)*100)</f>
        <v>17.667065670964284</v>
      </c>
      <c r="O203" s="1">
        <f>IF('исходные данные'!O203&gt;'минимумы и максимумы'!M$3,100,('исходные данные'!O203-'минимумы и максимумы'!M$2)/('минимумы и максимумы'!M$3-'минимумы и максимумы'!M$2)*100)</f>
        <v>66.666666666666657</v>
      </c>
      <c r="P203" s="1">
        <f>IF('исходные данные'!P203&gt;'минимумы и максимумы'!N$3,100,('исходные данные'!P203-'минимумы и максимумы'!N$2)/('минимумы и максимумы'!N$3-'минимумы и максимумы'!N$2)*100)</f>
        <v>0</v>
      </c>
      <c r="Q203" s="1">
        <f>IF('исходные данные'!Q203&gt;'минимумы и максимумы'!O$3,100,('исходные данные'!Q203-'минимумы и максимумы'!O$2)/('минимумы и максимумы'!O$3-'минимумы и максимумы'!O$2)*100)</f>
        <v>100</v>
      </c>
      <c r="R203" s="1">
        <f>IF('исходные данные'!R203&gt;'минимумы и максимумы'!P$3,100,('исходные данные'!R203-'минимумы и максимумы'!P$2)/('минимумы и максимумы'!P$3-'минимумы и максимумы'!P$2)*100)</f>
        <v>75</v>
      </c>
      <c r="S203" s="1">
        <f>IF('исходные данные'!S203&gt;'минимумы и максимумы'!Q$3,100,('исходные данные'!S203-'минимумы и максимумы'!Q$2)/('минимумы и максимумы'!Q$3-'минимумы и максимумы'!Q$2)*100)</f>
        <v>16.666666666666664</v>
      </c>
      <c r="T203" s="1">
        <f>IF('исходные данные'!T203&gt;'минимумы и максимумы'!R$3,100,('исходные данные'!T203-'минимумы и максимумы'!R$2)/('минимумы и максимумы'!R$3-'минимумы и максимумы'!R$2)*100)</f>
        <v>19.66564012318522</v>
      </c>
      <c r="U203" s="1">
        <f>IF('исходные данные'!U203&gt;'минимумы и максимумы'!S$3,100,('исходные данные'!U203-'минимумы и максимумы'!S$2)/('минимумы и максимумы'!S$3-'минимумы и максимумы'!S$2)*100)</f>
        <v>0</v>
      </c>
    </row>
    <row r="204" spans="1:21" x14ac:dyDescent="0.45">
      <c r="A204" s="4">
        <v>290</v>
      </c>
      <c r="B204" s="4">
        <v>0</v>
      </c>
      <c r="C204" s="4">
        <v>0</v>
      </c>
      <c r="D204" s="1">
        <f>IF('исходные данные'!D204&gt;'минимумы и максимумы'!B$3,100,('исходные данные'!D204-'минимумы и максимумы'!B$2)/('минимумы и максимумы'!B$3-'минимумы и максимумы'!B$2)*100)</f>
        <v>0</v>
      </c>
      <c r="E204" s="1">
        <f>IF('исходные данные'!E204&gt;'минимумы и максимумы'!C$3,100,('исходные данные'!E204-'минимумы и максимумы'!C$2)/('минимумы и максимумы'!C$3-'минимумы и максимумы'!C$2)*100)</f>
        <v>30</v>
      </c>
      <c r="F204" s="1">
        <f>IF('исходные данные'!F204&gt;'минимумы и максимумы'!D$3,100,('исходные данные'!F204-'минимумы и максимумы'!D$2)/('минимумы и максимумы'!D$3-'минимумы и максимумы'!D$2)*100)</f>
        <v>66.666666666666657</v>
      </c>
      <c r="G204" s="1">
        <f>IF('исходные данные'!G204&gt;'минимумы и максимумы'!E$3,100,('исходные данные'!G204-'минимумы и максимумы'!E$2)/('минимумы и максимумы'!E$3-'минимумы и максимумы'!E$2)*100)</f>
        <v>8.3333333333333321</v>
      </c>
      <c r="H204" s="1">
        <f>IF('исходные данные'!H204&gt;'минимумы и максимумы'!F$3,100,('исходные данные'!H204-'минимумы и максимумы'!F$2)/('минимумы и максимумы'!F$3-'минимумы и максимумы'!F$2)*100)</f>
        <v>16</v>
      </c>
      <c r="I204" s="1">
        <f>IF('исходные данные'!I204&gt;'минимумы и максимумы'!G$3,100,('исходные данные'!I204-'минимумы и максимумы'!G$2)/('минимумы и максимумы'!G$3-'минимумы и максимумы'!G$2)*100)</f>
        <v>28.30188679245283</v>
      </c>
      <c r="J204" s="1">
        <f>IF('исходные данные'!J204&gt;'минимумы и максимумы'!H$3,100,('исходные данные'!J204-'минимумы и максимумы'!H$2)/('минимумы и максимумы'!H$3-'минимумы и максимумы'!H$2)*100)</f>
        <v>0</v>
      </c>
      <c r="K204" s="1">
        <f>IF('исходные данные'!K204&gt;'минимумы и максимумы'!I$3,100,('исходные данные'!K204-'минимумы и максимумы'!I$2)/('минимумы и максимумы'!I$3-'минимумы и максимумы'!I$2)*100)</f>
        <v>16.666666666666664</v>
      </c>
      <c r="L204" s="1">
        <f>IF('исходные данные'!L204&gt;'минимумы и максимумы'!J$3,100,('исходные данные'!L204-'минимумы и максимумы'!J$2)/('минимумы и максимумы'!J$3-'минимумы и максимумы'!J$2)*100)</f>
        <v>20</v>
      </c>
      <c r="M204" s="1">
        <f>IF('исходные данные'!M204&gt;'минимумы и максимумы'!K$3,100,('исходные данные'!M204-'минимумы и максимумы'!K$2)/('минимумы и максимумы'!K$3-'минимумы и максимумы'!K$2)*100)</f>
        <v>45.161290322580641</v>
      </c>
      <c r="N204" s="1">
        <f>IF('исходные данные'!N204&gt;'минимумы и максимумы'!L$3,100,('исходные данные'!N204-'минимумы и максимумы'!L$2)/('минимумы и максимумы'!L$3-'минимумы и максимумы'!L$2)*100)</f>
        <v>16.203623111502679</v>
      </c>
      <c r="O204" s="1">
        <f>IF('исходные данные'!O204&gt;'минимумы и максимумы'!M$3,100,('исходные данные'!O204-'минимумы и максимумы'!M$2)/('минимумы и максимумы'!M$3-'минимумы и максимумы'!M$2)*100)</f>
        <v>66.666666666666657</v>
      </c>
      <c r="P204" s="1">
        <f>IF('исходные данные'!P204&gt;'минимумы и максимумы'!N$3,100,('исходные данные'!P204-'минимумы и максимумы'!N$2)/('минимумы и максимумы'!N$3-'минимумы и максимумы'!N$2)*100)</f>
        <v>100</v>
      </c>
      <c r="Q204" s="1">
        <f>IF('исходные данные'!Q204&gt;'минимумы и максимумы'!O$3,100,('исходные данные'!Q204-'минимумы и максимумы'!O$2)/('минимумы и максимумы'!O$3-'минимумы и максимумы'!O$2)*100)</f>
        <v>100</v>
      </c>
      <c r="R204" s="1">
        <f>IF('исходные данные'!R204&gt;'минимумы и максимумы'!P$3,100,('исходные данные'!R204-'минимумы и максимумы'!P$2)/('минимумы и максимумы'!P$3-'минимумы и максимумы'!P$2)*100)</f>
        <v>75</v>
      </c>
      <c r="S204" s="1">
        <f>IF('исходные данные'!S204&gt;'минимумы и максимумы'!Q$3,100,('исходные данные'!S204-'минимумы и максимумы'!Q$2)/('минимумы и максимумы'!Q$3-'минимумы и максимумы'!Q$2)*100)</f>
        <v>33.333333333333329</v>
      </c>
      <c r="T204" s="1">
        <f>IF('исходные данные'!T204&gt;'минимумы и максимумы'!R$3,100,('исходные данные'!T204-'минимумы и максимумы'!R$2)/('минимумы и максимумы'!R$3-'минимумы и максимумы'!R$2)*100)</f>
        <v>47.030356357237132</v>
      </c>
      <c r="U204" s="1">
        <f>IF('исходные данные'!U204&gt;'минимумы и максимумы'!S$3,100,('исходные данные'!U204-'минимумы и максимумы'!S$2)/('минимумы и максимумы'!S$3-'минимумы и максимумы'!S$2)*100)</f>
        <v>66.666666666666657</v>
      </c>
    </row>
    <row r="205" spans="1:21" x14ac:dyDescent="0.45">
      <c r="A205" s="4">
        <v>291</v>
      </c>
      <c r="B205" s="4">
        <v>0</v>
      </c>
      <c r="C205" s="4">
        <v>0</v>
      </c>
      <c r="D205" s="1">
        <f>IF('исходные данные'!D205&gt;'минимумы и максимумы'!B$3,100,('исходные данные'!D205-'минимумы и максимумы'!B$2)/('минимумы и максимумы'!B$3-'минимумы и максимумы'!B$2)*100)</f>
        <v>0</v>
      </c>
      <c r="E205" s="1">
        <f>IF('исходные данные'!E205&gt;'минимумы и максимумы'!C$3,100,('исходные данные'!E205-'минимумы и максимумы'!C$2)/('минимумы и максимумы'!C$3-'минимумы и максимумы'!C$2)*100)</f>
        <v>20</v>
      </c>
      <c r="F205" s="1">
        <f>IF('исходные данные'!F205&gt;'минимумы и максимумы'!D$3,100,('исходные данные'!F205-'минимумы и максимумы'!D$2)/('минимумы и максимумы'!D$3-'минимумы и максимумы'!D$2)*100)</f>
        <v>66.666666666666657</v>
      </c>
      <c r="G205" s="1">
        <f>IF('исходные данные'!G205&gt;'минимумы и максимумы'!E$3,100,('исходные данные'!G205-'минимумы и максимумы'!E$2)/('минимумы и максимумы'!E$3-'минимумы и максимумы'!E$2)*100)</f>
        <v>4.1666666666666661</v>
      </c>
      <c r="H205" s="1">
        <f>IF('исходные данные'!H205&gt;'минимумы и максимумы'!F$3,100,('исходные данные'!H205-'минимумы и максимумы'!F$2)/('минимумы и максимумы'!F$3-'минимумы и максимумы'!F$2)*100)</f>
        <v>4</v>
      </c>
      <c r="I205" s="1">
        <f>IF('исходные данные'!I205&gt;'минимумы и максимумы'!G$3,100,('исходные данные'!I205-'минимумы и максимумы'!G$2)/('минимумы и максимумы'!G$3-'минимумы и максимумы'!G$2)*100)</f>
        <v>11.320754716981133</v>
      </c>
      <c r="J205" s="1">
        <f>IF('исходные данные'!J205&gt;'минимумы и максимумы'!H$3,100,('исходные данные'!J205-'минимумы и максимумы'!H$2)/('минимумы и максимумы'!H$3-'минимумы и максимумы'!H$2)*100)</f>
        <v>0</v>
      </c>
      <c r="K205" s="1">
        <f>IF('исходные данные'!K205&gt;'минимумы и максимумы'!I$3,100,('исходные данные'!K205-'минимумы и максимумы'!I$2)/('минимумы и максимумы'!I$3-'минимумы и максимумы'!I$2)*100)</f>
        <v>5.5555555555555554</v>
      </c>
      <c r="L205" s="1">
        <f>IF('исходные данные'!L205&gt;'минимумы и максимумы'!J$3,100,('исходные данные'!L205-'минимумы и максимумы'!J$2)/('минимумы и максимумы'!J$3-'минимумы и максимумы'!J$2)*100)</f>
        <v>20</v>
      </c>
      <c r="M205" s="1">
        <f>IF('исходные данные'!M205&gt;'минимумы и максимумы'!K$3,100,('исходные данные'!M205-'минимумы и максимумы'!K$2)/('минимумы и максимумы'!K$3-'минимумы и максимумы'!K$2)*100)</f>
        <v>29.032258064516132</v>
      </c>
      <c r="N205" s="1">
        <f>IF('исходные данные'!N205&gt;'минимумы и максимумы'!L$3,100,('исходные данные'!N205-'минимумы и максимумы'!L$2)/('минимумы и максимумы'!L$3-'минимумы и максимумы'!L$2)*100)</f>
        <v>16.248333545381673</v>
      </c>
      <c r="O205" s="1">
        <f>IF('исходные данные'!O205&gt;'минимумы и максимумы'!M$3,100,('исходные данные'!O205-'минимумы и максимумы'!M$2)/('минимумы и максимумы'!M$3-'минимумы и максимумы'!M$2)*100)</f>
        <v>66.666666666666657</v>
      </c>
      <c r="P205" s="1">
        <f>IF('исходные данные'!P205&gt;'минимумы и максимумы'!N$3,100,('исходные данные'!P205-'минимумы и максимумы'!N$2)/('минимумы и максимумы'!N$3-'минимумы и максимумы'!N$2)*100)</f>
        <v>0</v>
      </c>
      <c r="Q205" s="1">
        <f>IF('исходные данные'!Q205&gt;'минимумы и максимумы'!O$3,100,('исходные данные'!Q205-'минимумы и максимумы'!O$2)/('минимумы и максимумы'!O$3-'минимумы и максимумы'!O$2)*100)</f>
        <v>100</v>
      </c>
      <c r="R205" s="1">
        <f>IF('исходные данные'!R205&gt;'минимумы и максимумы'!P$3,100,('исходные данные'!R205-'минимумы и максимумы'!P$2)/('минимумы и максимумы'!P$3-'минимумы и максимумы'!P$2)*100)</f>
        <v>75</v>
      </c>
      <c r="S205" s="1">
        <f>IF('исходные данные'!S205&gt;'минимумы и максимумы'!Q$3,100,('исходные данные'!S205-'минимумы и максимумы'!Q$2)/('минимумы и максимумы'!Q$3-'минимумы и максимумы'!Q$2)*100)</f>
        <v>33.333333333333329</v>
      </c>
      <c r="T205" s="1">
        <f>IF('исходные данные'!T205&gt;'минимумы и максимумы'!R$3,100,('исходные данные'!T205-'минимумы и максимумы'!R$2)/('минимумы и максимумы'!R$3-'минимумы и максимумы'!R$2)*100)</f>
        <v>2.7716673999120105</v>
      </c>
      <c r="U205" s="1">
        <f>IF('исходные данные'!U205&gt;'минимумы и максимумы'!S$3,100,('исходные данные'!U205-'минимумы и максимумы'!S$2)/('минимумы и максимумы'!S$3-'минимумы и максимумы'!S$2)*100)</f>
        <v>0</v>
      </c>
    </row>
    <row r="206" spans="1:21" x14ac:dyDescent="0.45">
      <c r="A206" s="4">
        <v>292</v>
      </c>
      <c r="B206" s="4">
        <v>0</v>
      </c>
      <c r="C206" s="4">
        <v>0</v>
      </c>
      <c r="D206" s="1">
        <f>IF('исходные данные'!D206&gt;'минимумы и максимумы'!B$3,100,('исходные данные'!D206-'минимумы и максимумы'!B$2)/('минимумы и максимумы'!B$3-'минимумы и максимумы'!B$2)*100)</f>
        <v>0</v>
      </c>
      <c r="E206" s="1">
        <f>IF('исходные данные'!E206&gt;'минимумы и максимумы'!C$3,100,('исходные данные'!E206-'минимумы и максимумы'!C$2)/('минимумы и максимумы'!C$3-'минимумы и максимумы'!C$2)*100)</f>
        <v>20</v>
      </c>
      <c r="F206" s="1">
        <f>IF('исходные данные'!F206&gt;'минимумы и максимумы'!D$3,100,('исходные данные'!F206-'минимумы и максимумы'!D$2)/('минимумы и максимумы'!D$3-'минимумы и максимумы'!D$2)*100)</f>
        <v>66.666666666666657</v>
      </c>
      <c r="G206" s="1">
        <f>IF('исходные данные'!G206&gt;'минимумы и максимумы'!E$3,100,('исходные данные'!G206-'минимумы и максимумы'!E$2)/('минимумы и максимумы'!E$3-'минимумы и максимумы'!E$2)*100)</f>
        <v>4.1666666666666661</v>
      </c>
      <c r="H206" s="1">
        <f>IF('исходные данные'!H206&gt;'минимумы и максимумы'!F$3,100,('исходные данные'!H206-'минимумы и максимумы'!F$2)/('минимумы и максимумы'!F$3-'минимумы и максимумы'!F$2)*100)</f>
        <v>4</v>
      </c>
      <c r="I206" s="1">
        <f>IF('исходные данные'!I206&gt;'минимумы и максимумы'!G$3,100,('исходные данные'!I206-'минимумы и максимумы'!G$2)/('минимумы и максимумы'!G$3-'минимумы и максимумы'!G$2)*100)</f>
        <v>11.320754716981133</v>
      </c>
      <c r="J206" s="1">
        <f>IF('исходные данные'!J206&gt;'минимумы и максимумы'!H$3,100,('исходные данные'!J206-'минимумы и максимумы'!H$2)/('минимумы и максимумы'!H$3-'минимумы и максимумы'!H$2)*100)</f>
        <v>0</v>
      </c>
      <c r="K206" s="1">
        <f>IF('исходные данные'!K206&gt;'минимумы и максимумы'!I$3,100,('исходные данные'!K206-'минимумы и максимумы'!I$2)/('минимумы и максимумы'!I$3-'минимумы и максимумы'!I$2)*100)</f>
        <v>5.5555555555555554</v>
      </c>
      <c r="L206" s="1">
        <f>IF('исходные данные'!L206&gt;'минимумы и максимумы'!J$3,100,('исходные данные'!L206-'минимумы и максимумы'!J$2)/('минимумы и максимумы'!J$3-'минимумы и максимумы'!J$2)*100)</f>
        <v>20</v>
      </c>
      <c r="M206" s="1">
        <f>IF('исходные данные'!M206&gt;'минимумы и максимумы'!K$3,100,('исходные данные'!M206-'минимумы и максимумы'!K$2)/('минимумы и максимумы'!K$3-'минимумы и максимумы'!K$2)*100)</f>
        <v>29.032258064516132</v>
      </c>
      <c r="N206" s="1">
        <f>IF('исходные данные'!N206&gt;'минимумы и максимумы'!L$3,100,('исходные данные'!N206-'минимумы и максимумы'!L$2)/('минимумы и максимумы'!L$3-'минимумы и максимумы'!L$2)*100)</f>
        <v>17.92106845634952</v>
      </c>
      <c r="O206" s="1">
        <f>IF('исходные данные'!O206&gt;'минимумы и максимумы'!M$3,100,('исходные данные'!O206-'минимумы и максимумы'!M$2)/('минимумы и максимумы'!M$3-'минимумы и максимумы'!M$2)*100)</f>
        <v>66.666666666666657</v>
      </c>
      <c r="P206" s="1">
        <f>IF('исходные данные'!P206&gt;'минимумы и максимумы'!N$3,100,('исходные данные'!P206-'минимумы и максимумы'!N$2)/('минимумы и максимумы'!N$3-'минимумы и максимумы'!N$2)*100)</f>
        <v>100</v>
      </c>
      <c r="Q206" s="1">
        <f>IF('исходные данные'!Q206&gt;'минимумы и максимумы'!O$3,100,('исходные данные'!Q206-'минимумы и максимумы'!O$2)/('минимумы и максимумы'!O$3-'минимумы и максимумы'!O$2)*100)</f>
        <v>100</v>
      </c>
      <c r="R206" s="1">
        <f>IF('исходные данные'!R206&gt;'минимумы и максимумы'!P$3,100,('исходные данные'!R206-'минимумы и максимумы'!P$2)/('минимумы и максимумы'!P$3-'минимумы и максимумы'!P$2)*100)</f>
        <v>75</v>
      </c>
      <c r="S206" s="1">
        <f>IF('исходные данные'!S206&gt;'минимумы и максимумы'!Q$3,100,('исходные данные'!S206-'минимумы и максимумы'!Q$2)/('минимумы и максимумы'!Q$3-'минимумы и максимумы'!Q$2)*100)</f>
        <v>100</v>
      </c>
      <c r="T206" s="1">
        <f>IF('исходные данные'!T206&gt;'минимумы и максимумы'!R$3,100,('исходные данные'!T206-'минимумы и максимумы'!R$2)/('минимумы и максимумы'!R$3-'минимумы и максимумы'!R$2)*100)</f>
        <v>100</v>
      </c>
      <c r="U206" s="1">
        <f>IF('исходные данные'!U206&gt;'минимумы и максимумы'!S$3,100,('исходные данные'!U206-'минимумы и максимумы'!S$2)/('минимумы и максимумы'!S$3-'минимумы и максимумы'!S$2)*100)</f>
        <v>100</v>
      </c>
    </row>
    <row r="207" spans="1:21" x14ac:dyDescent="0.45">
      <c r="A207" s="4">
        <v>293</v>
      </c>
      <c r="B207" s="4">
        <v>0</v>
      </c>
      <c r="C207" s="4">
        <v>0</v>
      </c>
      <c r="D207" s="1">
        <f>IF('исходные данные'!D207&gt;'минимумы и максимумы'!B$3,100,('исходные данные'!D207-'минимумы и максимумы'!B$2)/('минимумы и максимумы'!B$3-'минимумы и максимумы'!B$2)*100)</f>
        <v>0</v>
      </c>
      <c r="E207" s="1">
        <f>IF('исходные данные'!E207&gt;'минимумы и максимумы'!C$3,100,('исходные данные'!E207-'минимумы и максимумы'!C$2)/('минимумы и максимумы'!C$3-'минимумы и максимумы'!C$2)*100)</f>
        <v>30</v>
      </c>
      <c r="F207" s="1">
        <f>IF('исходные данные'!F207&gt;'минимумы и максимумы'!D$3,100,('исходные данные'!F207-'минимумы и максимумы'!D$2)/('минимумы и максимумы'!D$3-'минимумы и максимумы'!D$2)*100)</f>
        <v>66.666666666666657</v>
      </c>
      <c r="G207" s="1">
        <f>IF('исходные данные'!G207&gt;'минимумы и максимумы'!E$3,100,('исходные данные'!G207-'минимумы и максимумы'!E$2)/('минимумы и максимумы'!E$3-'минимумы и максимумы'!E$2)*100)</f>
        <v>12.5</v>
      </c>
      <c r="H207" s="1">
        <f>IF('исходные данные'!H207&gt;'минимумы и максимумы'!F$3,100,('исходные данные'!H207-'минимумы и максимумы'!F$2)/('минимумы и максимумы'!F$3-'минимумы и максимумы'!F$2)*100)</f>
        <v>4</v>
      </c>
      <c r="I207" s="1">
        <f>IF('исходные данные'!I207&gt;'минимумы и максимумы'!G$3,100,('исходные данные'!I207-'минимумы и максимумы'!G$2)/('минимумы и максимумы'!G$3-'минимумы и максимумы'!G$2)*100)</f>
        <v>15.09433962264151</v>
      </c>
      <c r="J207" s="1">
        <f>IF('исходные данные'!J207&gt;'минимумы и максимумы'!H$3,100,('исходные данные'!J207-'минимумы и максимумы'!H$2)/('минимумы и максимумы'!H$3-'минимумы и максимумы'!H$2)*100)</f>
        <v>0</v>
      </c>
      <c r="K207" s="1">
        <f>IF('исходные данные'!K207&gt;'минимумы и максимумы'!I$3,100,('исходные данные'!K207-'минимумы и максимумы'!I$2)/('минимумы и максимумы'!I$3-'минимумы и максимумы'!I$2)*100)</f>
        <v>5.5555555555555554</v>
      </c>
      <c r="L207" s="1">
        <f>IF('исходные данные'!L207&gt;'минимумы и максимумы'!J$3,100,('исходные данные'!L207-'минимумы и максимумы'!J$2)/('минимумы и максимумы'!J$3-'минимумы и максимумы'!J$2)*100)</f>
        <v>20</v>
      </c>
      <c r="M207" s="1">
        <f>IF('исходные данные'!M207&gt;'минимумы и максимумы'!K$3,100,('исходные данные'!M207-'минимумы и максимумы'!K$2)/('минимумы и максимумы'!K$3-'минимумы и максимумы'!K$2)*100)</f>
        <v>32.258064516129032</v>
      </c>
      <c r="N207" s="1">
        <f>IF('исходные данные'!N207&gt;'минимумы и максимумы'!L$3,100,('исходные данные'!N207-'минимумы и максимумы'!L$2)/('минимумы и максимумы'!L$3-'минимумы и максимумы'!L$2)*100)</f>
        <v>15.636289038237702</v>
      </c>
      <c r="O207" s="1">
        <f>IF('исходные данные'!O207&gt;'минимумы и максимумы'!M$3,100,('исходные данные'!O207-'минимумы и максимумы'!M$2)/('минимумы и максимумы'!M$3-'минимумы и максимумы'!M$2)*100)</f>
        <v>66.666666666666657</v>
      </c>
      <c r="P207" s="1">
        <f>IF('исходные данные'!P207&gt;'минимумы и максимумы'!N$3,100,('исходные данные'!P207-'минимумы и максимумы'!N$2)/('минимумы и максимумы'!N$3-'минимумы и максимумы'!N$2)*100)</f>
        <v>100</v>
      </c>
      <c r="Q207" s="1">
        <f>IF('исходные данные'!Q207&gt;'минимумы и максимумы'!O$3,100,('исходные данные'!Q207-'минимумы и максимумы'!O$2)/('минимумы и максимумы'!O$3-'минимумы и максимумы'!O$2)*100)</f>
        <v>100</v>
      </c>
      <c r="R207" s="1">
        <f>IF('исходные данные'!R207&gt;'минимумы и максимумы'!P$3,100,('исходные данные'!R207-'минимумы и максимумы'!P$2)/('минимумы и максимумы'!P$3-'минимумы и максимумы'!P$2)*100)</f>
        <v>75</v>
      </c>
      <c r="S207" s="1">
        <f>IF('исходные данные'!S207&gt;'минимумы и максимумы'!Q$3,100,('исходные данные'!S207-'минимумы и максимумы'!Q$2)/('минимумы и максимумы'!Q$3-'минимумы и максимумы'!Q$2)*100)</f>
        <v>33.333333333333329</v>
      </c>
      <c r="T207" s="1">
        <f>IF('исходные данные'!T207&gt;'минимумы и максимумы'!R$3,100,('исходные данные'!T207-'минимумы и максимумы'!R$2)/('минимумы и максимумы'!R$3-'минимумы и максимумы'!R$2)*100)</f>
        <v>7.1271447426308834</v>
      </c>
      <c r="U207" s="1">
        <f>IF('исходные данные'!U207&gt;'минимумы и максимумы'!S$3,100,('исходные данные'!U207-'минимумы и максимумы'!S$2)/('минимумы и максимумы'!S$3-'минимумы и максимумы'!S$2)*100)</f>
        <v>33.333333333333329</v>
      </c>
    </row>
    <row r="208" spans="1:21" x14ac:dyDescent="0.45">
      <c r="A208" s="4">
        <v>294</v>
      </c>
      <c r="B208" s="4">
        <v>0</v>
      </c>
      <c r="C208" s="4">
        <v>0</v>
      </c>
      <c r="D208" s="1">
        <f>IF('исходные данные'!D208&gt;'минимумы и максимумы'!B$3,100,('исходные данные'!D208-'минимумы и максимумы'!B$2)/('минимумы и максимумы'!B$3-'минимумы и максимумы'!B$2)*100)</f>
        <v>0</v>
      </c>
      <c r="E208" s="1">
        <f>IF('исходные данные'!E208&gt;'минимумы и максимумы'!C$3,100,('исходные данные'!E208-'минимумы и максимумы'!C$2)/('минимумы и максимумы'!C$3-'минимумы и максимумы'!C$2)*100)</f>
        <v>30</v>
      </c>
      <c r="F208" s="1">
        <f>IF('исходные данные'!F208&gt;'минимумы и максимумы'!D$3,100,('исходные данные'!F208-'минимумы и максимумы'!D$2)/('минимумы и максимумы'!D$3-'минимумы и максимумы'!D$2)*100)</f>
        <v>66.666666666666657</v>
      </c>
      <c r="G208" s="1">
        <f>IF('исходные данные'!G208&gt;'минимумы и максимумы'!E$3,100,('исходные данные'!G208-'минимумы и максимумы'!E$2)/('минимумы и максимумы'!E$3-'минимумы и максимумы'!E$2)*100)</f>
        <v>12.5</v>
      </c>
      <c r="H208" s="1">
        <f>IF('исходные данные'!H208&gt;'минимумы и максимумы'!F$3,100,('исходные данные'!H208-'минимумы и максимумы'!F$2)/('минимумы и максимумы'!F$3-'минимумы и максимумы'!F$2)*100)</f>
        <v>4</v>
      </c>
      <c r="I208" s="1">
        <f>IF('исходные данные'!I208&gt;'минимумы и максимумы'!G$3,100,('исходные данные'!I208-'минимумы и максимумы'!G$2)/('минимумы и максимумы'!G$3-'минимумы и максимумы'!G$2)*100)</f>
        <v>15.09433962264151</v>
      </c>
      <c r="J208" s="1">
        <f>IF('исходные данные'!J208&gt;'минимумы и максимумы'!H$3,100,('исходные данные'!J208-'минимумы и максимумы'!H$2)/('минимумы и максимумы'!H$3-'минимумы и максимумы'!H$2)*100)</f>
        <v>0</v>
      </c>
      <c r="K208" s="1">
        <f>IF('исходные данные'!K208&gt;'минимумы и максимумы'!I$3,100,('исходные данные'!K208-'минимумы и максимумы'!I$2)/('минимумы и максимумы'!I$3-'минимумы и максимумы'!I$2)*100)</f>
        <v>5.5555555555555554</v>
      </c>
      <c r="L208" s="1">
        <f>IF('исходные данные'!L208&gt;'минимумы и максимумы'!J$3,100,('исходные данные'!L208-'минимумы и максимумы'!J$2)/('минимумы и максимумы'!J$3-'минимумы и максимумы'!J$2)*100)</f>
        <v>20</v>
      </c>
      <c r="M208" s="1">
        <f>IF('исходные данные'!M208&gt;'минимумы и максимумы'!K$3,100,('исходные данные'!M208-'минимумы и максимумы'!K$2)/('минимумы и максимумы'!K$3-'минимумы и максимумы'!K$2)*100)</f>
        <v>32.258064516129032</v>
      </c>
      <c r="N208" s="1">
        <f>IF('исходные данные'!N208&gt;'минимумы и максимумы'!L$3,100,('исходные данные'!N208-'минимумы и максимумы'!L$2)/('минимумы и максимумы'!L$3-'минимумы и максимумы'!L$2)*100)</f>
        <v>15.636289038237702</v>
      </c>
      <c r="O208" s="1">
        <f>IF('исходные данные'!O208&gt;'минимумы и максимумы'!M$3,100,('исходные данные'!O208-'минимумы и максимумы'!M$2)/('минимумы и максимумы'!M$3-'минимумы и максимумы'!M$2)*100)</f>
        <v>66.666666666666657</v>
      </c>
      <c r="P208" s="1">
        <f>IF('исходные данные'!P208&gt;'минимумы и максимумы'!N$3,100,('исходные данные'!P208-'минимумы и максимумы'!N$2)/('минимумы и максимумы'!N$3-'минимумы и максимумы'!N$2)*100)</f>
        <v>100</v>
      </c>
      <c r="Q208" s="1">
        <f>IF('исходные данные'!Q208&gt;'минимумы и максимумы'!O$3,100,('исходные данные'!Q208-'минимумы и максимумы'!O$2)/('минимумы и максимумы'!O$3-'минимумы и максимумы'!O$2)*100)</f>
        <v>100</v>
      </c>
      <c r="R208" s="1">
        <f>IF('исходные данные'!R208&gt;'минимумы и максимумы'!P$3,100,('исходные данные'!R208-'минимумы и максимумы'!P$2)/('минимумы и максимумы'!P$3-'минимумы и максимумы'!P$2)*100)</f>
        <v>75</v>
      </c>
      <c r="S208" s="1">
        <f>IF('исходные данные'!S208&gt;'минимумы и максимумы'!Q$3,100,('исходные данные'!S208-'минимумы и максимумы'!Q$2)/('минимумы и максимумы'!Q$3-'минимумы и максимумы'!Q$2)*100)</f>
        <v>16.666666666666664</v>
      </c>
      <c r="T208" s="1">
        <f>IF('исходные данные'!T208&gt;'минимумы и максимумы'!R$3,100,('исходные данные'!T208-'минимумы и максимумы'!R$2)/('минимумы и максимумы'!R$3-'минимумы и максимумы'!R$2)*100)</f>
        <v>5.1473823141223054</v>
      </c>
      <c r="U208" s="1">
        <f>IF('исходные данные'!U208&gt;'минимумы и максимумы'!S$3,100,('исходные данные'!U208-'минимумы и максимумы'!S$2)/('минимумы и максимумы'!S$3-'минимумы и максимумы'!S$2)*100)</f>
        <v>0</v>
      </c>
    </row>
    <row r="209" spans="1:21" x14ac:dyDescent="0.45">
      <c r="A209" s="4">
        <v>295</v>
      </c>
      <c r="B209" s="4">
        <v>0</v>
      </c>
      <c r="C209" s="4">
        <v>0</v>
      </c>
      <c r="D209" s="1">
        <f>IF('исходные данные'!D209&gt;'минимумы и максимумы'!B$3,100,('исходные данные'!D209-'минимумы и максимумы'!B$2)/('минимумы и максимумы'!B$3-'минимумы и максимумы'!B$2)*100)</f>
        <v>0</v>
      </c>
      <c r="E209" s="1">
        <f>IF('исходные данные'!E209&gt;'минимумы и максимумы'!C$3,100,('исходные данные'!E209-'минимумы и максимумы'!C$2)/('минимумы и максимумы'!C$3-'минимумы и максимумы'!C$2)*100)</f>
        <v>20</v>
      </c>
      <c r="F209" s="1">
        <f>IF('исходные данные'!F209&gt;'минимумы и максимумы'!D$3,100,('исходные данные'!F209-'минимумы и максимумы'!D$2)/('минимумы и максимумы'!D$3-'минимумы и максимумы'!D$2)*100)</f>
        <v>66.666666666666657</v>
      </c>
      <c r="G209" s="1">
        <f>IF('исходные данные'!G209&gt;'минимумы и максимумы'!E$3,100,('исходные данные'!G209-'минимумы и максимумы'!E$2)/('минимумы и максимумы'!E$3-'минимумы и максимумы'!E$2)*100)</f>
        <v>4.1666666666666661</v>
      </c>
      <c r="H209" s="1">
        <f>IF('исходные данные'!H209&gt;'минимумы и максимумы'!F$3,100,('исходные данные'!H209-'минимумы и максимумы'!F$2)/('минимумы и максимумы'!F$3-'минимумы и максимумы'!F$2)*100)</f>
        <v>4</v>
      </c>
      <c r="I209" s="1">
        <f>IF('исходные данные'!I209&gt;'минимумы и максимумы'!G$3,100,('исходные данные'!I209-'минимумы и максимумы'!G$2)/('минимумы и максимумы'!G$3-'минимумы и максимумы'!G$2)*100)</f>
        <v>11.320754716981133</v>
      </c>
      <c r="J209" s="1">
        <f>IF('исходные данные'!J209&gt;'минимумы и максимумы'!H$3,100,('исходные данные'!J209-'минимумы и максимумы'!H$2)/('минимумы и максимумы'!H$3-'минимумы и максимумы'!H$2)*100)</f>
        <v>0</v>
      </c>
      <c r="K209" s="1">
        <f>IF('исходные данные'!K209&gt;'минимумы и максимумы'!I$3,100,('исходные данные'!K209-'минимумы и максимумы'!I$2)/('минимумы и максимумы'!I$3-'минимумы и максимумы'!I$2)*100)</f>
        <v>5.5555555555555554</v>
      </c>
      <c r="L209" s="1">
        <f>IF('исходные данные'!L209&gt;'минимумы и максимумы'!J$3,100,('исходные данные'!L209-'минимумы и максимумы'!J$2)/('минимумы и максимумы'!J$3-'минимумы и максимумы'!J$2)*100)</f>
        <v>20</v>
      </c>
      <c r="M209" s="1">
        <f>IF('исходные данные'!M209&gt;'минимумы и максимумы'!K$3,100,('исходные данные'!M209-'минимумы и максимумы'!K$2)/('минимумы и максимумы'!K$3-'минимумы и максимумы'!K$2)*100)</f>
        <v>29.032258064516132</v>
      </c>
      <c r="N209" s="1">
        <f>IF('исходные данные'!N209&gt;'минимумы и максимумы'!L$3,100,('исходные данные'!N209-'минимумы и максимумы'!L$2)/('минимумы и максимумы'!L$3-'минимумы и максимумы'!L$2)*100)</f>
        <v>16.248333545381673</v>
      </c>
      <c r="O209" s="1">
        <f>IF('исходные данные'!O209&gt;'минимумы и максимумы'!M$3,100,('исходные данные'!O209-'минимумы и максимумы'!M$2)/('минимумы и максимумы'!M$3-'минимумы и максимумы'!M$2)*100)</f>
        <v>66.666666666666657</v>
      </c>
      <c r="P209" s="1">
        <f>IF('исходные данные'!P209&gt;'минимумы и максимумы'!N$3,100,('исходные данные'!P209-'минимумы и максимумы'!N$2)/('минимумы и максимумы'!N$3-'минимумы и максимумы'!N$2)*100)</f>
        <v>100</v>
      </c>
      <c r="Q209" s="1">
        <f>IF('исходные данные'!Q209&gt;'минимумы и максимумы'!O$3,100,('исходные данные'!Q209-'минимумы и максимумы'!O$2)/('минимумы и максимумы'!O$3-'минимумы и максимумы'!O$2)*100)</f>
        <v>100</v>
      </c>
      <c r="R209" s="1">
        <f>IF('исходные данные'!R209&gt;'минимумы и максимумы'!P$3,100,('исходные данные'!R209-'минимумы и максимумы'!P$2)/('минимумы и максимумы'!P$3-'минимумы и максимумы'!P$2)*100)</f>
        <v>75</v>
      </c>
      <c r="S209" s="1">
        <f>IF('исходные данные'!S209&gt;'минимумы и максимумы'!Q$3,100,('исходные данные'!S209-'минимумы и максимумы'!Q$2)/('минимумы и максимумы'!Q$3-'минимумы и максимумы'!Q$2)*100)</f>
        <v>33.333333333333329</v>
      </c>
      <c r="T209" s="1">
        <f>IF('исходные данные'!T209&gt;'минимумы и максимумы'!R$3,100,('исходные данные'!T209-'минимумы и максимумы'!R$2)/('минимумы и максимумы'!R$3-'минимумы и максимумы'!R$2)*100)</f>
        <v>7.743070831500221</v>
      </c>
      <c r="U209" s="1">
        <f>IF('исходные данные'!U209&gt;'минимумы и максимумы'!S$3,100,('исходные данные'!U209-'минимумы и максимумы'!S$2)/('минимумы и максимумы'!S$3-'минимумы и максимумы'!S$2)*100)</f>
        <v>66.666666666666657</v>
      </c>
    </row>
    <row r="210" spans="1:21" x14ac:dyDescent="0.45">
      <c r="A210" s="4">
        <v>297</v>
      </c>
      <c r="B210" s="4">
        <v>0</v>
      </c>
      <c r="C210" s="4">
        <v>0</v>
      </c>
      <c r="D210" s="1">
        <f>IF('исходные данные'!D210&gt;'минимумы и максимумы'!B$3,100,('исходные данные'!D210-'минимумы и максимумы'!B$2)/('минимумы и максимумы'!B$3-'минимумы и максимумы'!B$2)*100)</f>
        <v>0</v>
      </c>
      <c r="E210" s="1">
        <f>IF('исходные данные'!E210&gt;'минимумы и максимумы'!C$3,100,('исходные данные'!E210-'минимумы и максимумы'!C$2)/('минимумы и максимумы'!C$3-'минимумы и максимумы'!C$2)*100)</f>
        <v>0</v>
      </c>
      <c r="F210" s="1">
        <f>IF('исходные данные'!F210&gt;'минимумы и максимумы'!D$3,100,('исходные данные'!F210-'минимумы и максимумы'!D$2)/('минимумы и максимумы'!D$3-'минимумы и максимумы'!D$2)*100)</f>
        <v>0</v>
      </c>
      <c r="G210" s="1">
        <f>IF('исходные данные'!G210&gt;'минимумы и максимумы'!E$3,100,('исходные данные'!G210-'минимумы и максимумы'!E$2)/('минимумы и максимумы'!E$3-'минимумы и максимумы'!E$2)*100)</f>
        <v>0</v>
      </c>
      <c r="H210" s="1">
        <f>IF('исходные данные'!H210&gt;'минимумы и максимумы'!F$3,100,('исходные данные'!H210-'минимумы и максимумы'!F$2)/('минимумы и максимумы'!F$3-'минимумы и максимумы'!F$2)*100)</f>
        <v>0</v>
      </c>
      <c r="I210" s="1">
        <f>IF('исходные данные'!I210&gt;'минимумы и максимумы'!G$3,100,('исходные данные'!I210-'минимумы и максимумы'!G$2)/('минимумы и максимумы'!G$3-'минимумы и максимумы'!G$2)*100)</f>
        <v>1.8867924528301887</v>
      </c>
      <c r="J210" s="1">
        <f>IF('исходные данные'!J210&gt;'минимумы и максимумы'!H$3,100,('исходные данные'!J210-'минимумы и максимумы'!H$2)/('минимумы и максимумы'!H$3-'минимумы и максимумы'!H$2)*100)</f>
        <v>0</v>
      </c>
      <c r="K210" s="1">
        <f>IF('исходные данные'!K210&gt;'минимумы и максимумы'!I$3,100,('исходные данные'!K210-'минимумы и максимумы'!I$2)/('минимумы и максимумы'!I$3-'минимумы и максимумы'!I$2)*100)</f>
        <v>16.666666666666664</v>
      </c>
      <c r="L210" s="1">
        <f>IF('исходные данные'!L210&gt;'минимумы и максимумы'!J$3,100,('исходные данные'!L210-'минимумы и максимумы'!J$2)/('минимумы и максимумы'!J$3-'минимумы и максимумы'!J$2)*100)</f>
        <v>0</v>
      </c>
      <c r="M210" s="1">
        <f>IF('исходные данные'!M210&gt;'минимумы и максимумы'!K$3,100,('исходные данные'!M210-'минимумы и максимумы'!K$2)/('минимумы и максимумы'!K$3-'минимумы и максимумы'!K$2)*100)</f>
        <v>6.4516129032258061</v>
      </c>
      <c r="N210" s="1">
        <f>IF('исходные данные'!N210&gt;'минимумы и максимумы'!L$3,100,('исходные данные'!N210-'минимумы и максимумы'!L$2)/('минимумы и максимумы'!L$3-'минимумы и максимумы'!L$2)*100)</f>
        <v>21.593358203288517</v>
      </c>
      <c r="O210" s="1">
        <f>IF('исходные данные'!O210&gt;'минимумы и максимумы'!M$3,100,('исходные данные'!O210-'минимумы и максимумы'!M$2)/('минимумы и максимумы'!M$3-'минимумы и максимумы'!M$2)*100)</f>
        <v>66.666666666666657</v>
      </c>
      <c r="P210" s="1">
        <f>IF('исходные данные'!P210&gt;'минимумы и максимумы'!N$3,100,('исходные данные'!P210-'минимумы и максимумы'!N$2)/('минимумы и максимумы'!N$3-'минимумы и максимумы'!N$2)*100)</f>
        <v>100</v>
      </c>
      <c r="Q210" s="1">
        <f>IF('исходные данные'!Q210&gt;'минимумы и максимумы'!O$3,100,('исходные данные'!Q210-'минимумы и максимумы'!O$2)/('минимумы и максимумы'!O$3-'минимумы и максимумы'!O$2)*100)</f>
        <v>0</v>
      </c>
      <c r="R210" s="1">
        <f>IF('исходные данные'!R210&gt;'минимумы и максимумы'!P$3,100,('исходные данные'!R210-'минимумы и максимумы'!P$2)/('минимумы и максимумы'!P$3-'минимумы и максимумы'!P$2)*100)</f>
        <v>100</v>
      </c>
      <c r="S210" s="1">
        <f>IF('исходные данные'!S210&gt;'минимумы и максимумы'!Q$3,100,('исходные данные'!S210-'минимумы и максимумы'!Q$2)/('минимумы и максимумы'!Q$3-'минимумы и максимумы'!Q$2)*100)</f>
        <v>50</v>
      </c>
      <c r="T210" s="1">
        <f>IF('исходные данные'!T210&gt;'минимумы и максимумы'!R$3,100,('исходные данные'!T210-'минимумы и максимумы'!R$2)/('минимумы и максимумы'!R$3-'минимумы и максимумы'!R$2)*100)</f>
        <v>22.437307523097228</v>
      </c>
      <c r="U210" s="1">
        <f>IF('исходные данные'!U210&gt;'минимумы и максимумы'!S$3,100,('исходные данные'!U210-'минимумы и максимумы'!S$2)/('минимумы и максимумы'!S$3-'минимумы и максимумы'!S$2)*100)</f>
        <v>0</v>
      </c>
    </row>
    <row r="211" spans="1:21" x14ac:dyDescent="0.45">
      <c r="A211" s="4">
        <v>298</v>
      </c>
      <c r="B211" s="4">
        <v>0</v>
      </c>
      <c r="C211" s="4">
        <v>0</v>
      </c>
      <c r="D211" s="1">
        <f>IF('исходные данные'!D211&gt;'минимумы и максимумы'!B$3,100,('исходные данные'!D211-'минимумы и максимумы'!B$2)/('минимумы и максимумы'!B$3-'минимумы и максимумы'!B$2)*100)</f>
        <v>0</v>
      </c>
      <c r="E211" s="1">
        <f>IF('исходные данные'!E211&gt;'минимумы и максимумы'!C$3,100,('исходные данные'!E211-'минимумы и максимумы'!C$2)/('минимумы и максимумы'!C$3-'минимумы и максимумы'!C$2)*100)</f>
        <v>0</v>
      </c>
      <c r="F211" s="1">
        <f>IF('исходные данные'!F211&gt;'минимумы и максимумы'!D$3,100,('исходные данные'!F211-'минимумы и максимумы'!D$2)/('минимумы и максимумы'!D$3-'минимумы и максимумы'!D$2)*100)</f>
        <v>0</v>
      </c>
      <c r="G211" s="1">
        <f>IF('исходные данные'!G211&gt;'минимумы и максимумы'!E$3,100,('исходные данные'!G211-'минимумы и максимумы'!E$2)/('минимумы и максимумы'!E$3-'минимумы и максимумы'!E$2)*100)</f>
        <v>0</v>
      </c>
      <c r="H211" s="1">
        <f>IF('исходные данные'!H211&gt;'минимумы и максимумы'!F$3,100,('исходные данные'!H211-'минимумы и максимумы'!F$2)/('минимумы и максимумы'!F$3-'минимумы и максимумы'!F$2)*100)</f>
        <v>0</v>
      </c>
      <c r="I211" s="1">
        <f>IF('исходные данные'!I211&gt;'минимумы и максимумы'!G$3,100,('исходные данные'!I211-'минимумы и максимумы'!G$2)/('минимумы и максимумы'!G$3-'минимумы и максимумы'!G$2)*100)</f>
        <v>1.8867924528301887</v>
      </c>
      <c r="J211" s="1">
        <f>IF('исходные данные'!J211&gt;'минимумы и максимумы'!H$3,100,('исходные данные'!J211-'минимумы и максимумы'!H$2)/('минимумы и максимумы'!H$3-'минимумы и максимумы'!H$2)*100)</f>
        <v>0</v>
      </c>
      <c r="K211" s="1">
        <f>IF('исходные данные'!K211&gt;'минимумы и максимумы'!I$3,100,('исходные данные'!K211-'минимумы и максимумы'!I$2)/('минимумы и максимумы'!I$3-'минимумы и максимумы'!I$2)*100)</f>
        <v>16.666666666666664</v>
      </c>
      <c r="L211" s="1">
        <f>IF('исходные данные'!L211&gt;'минимумы и максимумы'!J$3,100,('исходные данные'!L211-'минимумы и максимумы'!J$2)/('минимумы и максимумы'!J$3-'минимумы и максимумы'!J$2)*100)</f>
        <v>0</v>
      </c>
      <c r="M211" s="1">
        <f>IF('исходные данные'!M211&gt;'минимумы и максимумы'!K$3,100,('исходные данные'!M211-'минимумы и максимумы'!K$2)/('минимумы и максимумы'!K$3-'минимумы и максимумы'!K$2)*100)</f>
        <v>6.4516129032258061</v>
      </c>
      <c r="N211" s="1">
        <f>IF('исходные данные'!N211&gt;'минимумы и максимумы'!L$3,100,('исходные данные'!N211-'минимумы и максимумы'!L$2)/('минимумы и максимумы'!L$3-'минимумы и максимумы'!L$2)*100)</f>
        <v>21.175507815169823</v>
      </c>
      <c r="O211" s="1">
        <f>IF('исходные данные'!O211&gt;'минимумы и максимумы'!M$3,100,('исходные данные'!O211-'минимумы и максимумы'!M$2)/('минимумы и максимумы'!M$3-'минимумы и максимумы'!M$2)*100)</f>
        <v>66.666666666666657</v>
      </c>
      <c r="P211" s="1">
        <f>IF('исходные данные'!P211&gt;'минимумы и максимумы'!N$3,100,('исходные данные'!P211-'минимумы и максимумы'!N$2)/('минимумы и максимумы'!N$3-'минимумы и максимумы'!N$2)*100)</f>
        <v>100</v>
      </c>
      <c r="Q211" s="1">
        <f>IF('исходные данные'!Q211&gt;'минимумы и максимумы'!O$3,100,('исходные данные'!Q211-'минимумы и максимумы'!O$2)/('минимумы и максимумы'!O$3-'минимумы и максимумы'!O$2)*100)</f>
        <v>0</v>
      </c>
      <c r="R211" s="1">
        <f>IF('исходные данные'!R211&gt;'минимумы и максимумы'!P$3,100,('исходные данные'!R211-'минимумы и максимумы'!P$2)/('минимумы и максимумы'!P$3-'минимумы и максимумы'!P$2)*100)</f>
        <v>100</v>
      </c>
      <c r="S211" s="1">
        <f>IF('исходные данные'!S211&gt;'минимумы и максимумы'!Q$3,100,('исходные данные'!S211-'минимумы и максимумы'!Q$2)/('минимумы и максимумы'!Q$3-'минимумы и максимумы'!Q$2)*100)</f>
        <v>50</v>
      </c>
      <c r="T211" s="1">
        <f>IF('исходные данные'!T211&gt;'минимумы и максимумы'!R$3,100,('исходные данные'!T211-'минимумы и максимумы'!R$2)/('минимумы и максимумы'!R$3-'минимумы и максимумы'!R$2)*100)</f>
        <v>76.374835019797629</v>
      </c>
      <c r="U211" s="1">
        <f>IF('исходные данные'!U211&gt;'минимумы и максимумы'!S$3,100,('исходные данные'!U211-'минимумы и максимумы'!S$2)/('минимумы и максимумы'!S$3-'минимумы и максимумы'!S$2)*100)</f>
        <v>33.333333333333329</v>
      </c>
    </row>
    <row r="212" spans="1:21" x14ac:dyDescent="0.45">
      <c r="A212" s="4">
        <v>299</v>
      </c>
      <c r="B212" s="4">
        <v>0</v>
      </c>
      <c r="C212" s="4">
        <v>0</v>
      </c>
      <c r="D212" s="1">
        <f>IF('исходные данные'!D212&gt;'минимумы и максимумы'!B$3,100,('исходные данные'!D212-'минимумы и максимумы'!B$2)/('минимумы и максимумы'!B$3-'минимумы и максимумы'!B$2)*100)</f>
        <v>40</v>
      </c>
      <c r="E212" s="1">
        <f>IF('исходные данные'!E212&gt;'минимумы и максимумы'!C$3,100,('исходные данные'!E212-'минимумы и максимумы'!C$2)/('минимумы и максимумы'!C$3-'минимумы и максимумы'!C$2)*100)</f>
        <v>20</v>
      </c>
      <c r="F212" s="1">
        <f>IF('исходные данные'!F212&gt;'минимумы и максимумы'!D$3,100,('исходные данные'!F212-'минимумы и максимумы'!D$2)/('минимумы и максимумы'!D$3-'минимумы и максимумы'!D$2)*100)</f>
        <v>0</v>
      </c>
      <c r="G212" s="1">
        <f>IF('исходные данные'!G212&gt;'минимумы и максимумы'!E$3,100,('исходные данные'!G212-'минимумы и максимумы'!E$2)/('минимумы и максимумы'!E$3-'минимумы и максимумы'!E$2)*100)</f>
        <v>4.1666666666666661</v>
      </c>
      <c r="H212" s="1">
        <f>IF('исходные данные'!H212&gt;'минимумы и максимумы'!F$3,100,('исходные данные'!H212-'минимумы и максимумы'!F$2)/('минимумы и максимумы'!F$3-'минимумы и максимумы'!F$2)*100)</f>
        <v>8</v>
      </c>
      <c r="I212" s="1">
        <f>IF('исходные данные'!I212&gt;'минимумы и максимумы'!G$3,100,('исходные данные'!I212-'минимумы и максимумы'!G$2)/('минимумы и максимумы'!G$3-'минимумы и максимумы'!G$2)*100)</f>
        <v>1.8867924528301887</v>
      </c>
      <c r="J212" s="1">
        <f>IF('исходные данные'!J212&gt;'минимумы и максимумы'!H$3,100,('исходные данные'!J212-'минимумы и максимумы'!H$2)/('минимумы и максимумы'!H$3-'минимумы и максимумы'!H$2)*100)</f>
        <v>0</v>
      </c>
      <c r="K212" s="1">
        <f>IF('исходные данные'!K212&gt;'минимумы и максимумы'!I$3,100,('исходные данные'!K212-'минимумы и максимумы'!I$2)/('минимумы и максимумы'!I$3-'минимумы и максимумы'!I$2)*100)</f>
        <v>5.5555555555555554</v>
      </c>
      <c r="L212" s="1">
        <f>IF('исходные данные'!L212&gt;'минимумы и максимумы'!J$3,100,('исходные данные'!L212-'минимумы и максимумы'!J$2)/('минимумы и максимумы'!J$3-'минимумы и максимумы'!J$2)*100)</f>
        <v>0</v>
      </c>
      <c r="M212" s="1">
        <f>IF('исходные данные'!M212&gt;'минимумы и максимумы'!K$3,100,('исходные данные'!M212-'минимумы и максимумы'!K$2)/('минимумы и максимумы'!K$3-'минимумы и максимумы'!K$2)*100)</f>
        <v>45.161290322580641</v>
      </c>
      <c r="N212" s="1">
        <f>IF('исходные данные'!N212&gt;'минимумы и максимумы'!L$3,100,('исходные данные'!N212-'минимумы и максимумы'!L$2)/('минимумы и максимумы'!L$3-'минимумы и максимумы'!L$2)*100)</f>
        <v>27.992546938726786</v>
      </c>
      <c r="O212" s="1">
        <f>IF('исходные данные'!O212&gt;'минимумы и максимумы'!M$3,100,('исходные данные'!O212-'минимумы и максимумы'!M$2)/('минимумы и максимумы'!M$3-'минимумы и максимумы'!M$2)*100)</f>
        <v>33.333333333333329</v>
      </c>
      <c r="P212" s="1">
        <f>IF('исходные данные'!P212&gt;'минимумы и максимумы'!N$3,100,('исходные данные'!P212-'минимумы и максимумы'!N$2)/('минимумы и максимумы'!N$3-'минимумы и максимумы'!N$2)*100)</f>
        <v>0</v>
      </c>
      <c r="Q212" s="1">
        <f>IF('исходные данные'!Q212&gt;'минимумы и максимумы'!O$3,100,('исходные данные'!Q212-'минимумы и максимумы'!O$2)/('минимумы и максимумы'!O$3-'минимумы и максимумы'!O$2)*100)</f>
        <v>0</v>
      </c>
      <c r="R212" s="1">
        <f>IF('исходные данные'!R212&gt;'минимумы и максимумы'!P$3,100,('исходные данные'!R212-'минимумы и максимумы'!P$2)/('минимумы и максимумы'!P$3-'минимумы и максимумы'!P$2)*100)</f>
        <v>25</v>
      </c>
      <c r="S212" s="1">
        <f>IF('исходные данные'!S212&gt;'минимумы и максимумы'!Q$3,100,('исходные данные'!S212-'минимумы и максимумы'!Q$2)/('минимумы и максимумы'!Q$3-'минимумы и максимумы'!Q$2)*100)</f>
        <v>16.666666666666664</v>
      </c>
      <c r="T212" s="1">
        <f>IF('исходные данные'!T212&gt;'минимумы и максимумы'!R$3,100,('исходные данные'!T212-'минимумы и максимумы'!R$2)/('минимумы и максимумы'!R$3-'минимумы и максимумы'!R$2)*100)</f>
        <v>16.761988561372636</v>
      </c>
      <c r="U212" s="1">
        <f>IF('исходные данные'!U212&gt;'минимумы и максимумы'!S$3,100,('исходные данные'!U212-'минимумы и максимумы'!S$2)/('минимумы и максимумы'!S$3-'минимумы и максимумы'!S$2)*100)</f>
        <v>0</v>
      </c>
    </row>
    <row r="213" spans="1:21" x14ac:dyDescent="0.45">
      <c r="A213" s="4">
        <v>300</v>
      </c>
      <c r="B213" s="4">
        <v>0</v>
      </c>
      <c r="C213" s="4">
        <v>0</v>
      </c>
      <c r="D213" s="1">
        <f>IF('исходные данные'!D213&gt;'минимумы и максимумы'!B$3,100,('исходные данные'!D213-'минимумы и максимумы'!B$2)/('минимумы и максимумы'!B$3-'минимумы и максимумы'!B$2)*100)</f>
        <v>40</v>
      </c>
      <c r="E213" s="1">
        <f>IF('исходные данные'!E213&gt;'минимумы и максимумы'!C$3,100,('исходные данные'!E213-'минимумы и максимумы'!C$2)/('минимумы и максимумы'!C$3-'минимумы и максимумы'!C$2)*100)</f>
        <v>30</v>
      </c>
      <c r="F213" s="1">
        <f>IF('исходные данные'!F213&gt;'минимумы и максимумы'!D$3,100,('исходные данные'!F213-'минимумы и максимумы'!D$2)/('минимумы и максимумы'!D$3-'минимумы и максимумы'!D$2)*100)</f>
        <v>0</v>
      </c>
      <c r="G213" s="1">
        <f>IF('исходные данные'!G213&gt;'минимумы и максимумы'!E$3,100,('исходные данные'!G213-'минимумы и максимумы'!E$2)/('минимумы и максимумы'!E$3-'минимумы и максимумы'!E$2)*100)</f>
        <v>4.1666666666666661</v>
      </c>
      <c r="H213" s="1">
        <f>IF('исходные данные'!H213&gt;'минимумы и максимумы'!F$3,100,('исходные данные'!H213-'минимумы и максимумы'!F$2)/('минимумы и максимумы'!F$3-'минимумы и максимумы'!F$2)*100)</f>
        <v>12</v>
      </c>
      <c r="I213" s="1">
        <f>IF('исходные данные'!I213&gt;'минимумы и максимумы'!G$3,100,('исходные данные'!I213-'минимумы и максимумы'!G$2)/('минимумы и максимумы'!G$3-'минимумы и максимумы'!G$2)*100)</f>
        <v>3.7735849056603774</v>
      </c>
      <c r="J213" s="1">
        <f>IF('исходные данные'!J213&gt;'минимумы и максимумы'!H$3,100,('исходные данные'!J213-'минимумы и максимумы'!H$2)/('минимумы и максимумы'!H$3-'минимумы и максимумы'!H$2)*100)</f>
        <v>0</v>
      </c>
      <c r="K213" s="1">
        <f>IF('исходные данные'!K213&gt;'минимумы и максимумы'!I$3,100,('исходные данные'!K213-'минимумы и максимумы'!I$2)/('минимумы и максимумы'!I$3-'минимумы и максимумы'!I$2)*100)</f>
        <v>50</v>
      </c>
      <c r="L213" s="1">
        <f>IF('исходные данные'!L213&gt;'минимумы и максимумы'!J$3,100,('исходные данные'!L213-'минимумы и максимумы'!J$2)/('минимумы и максимумы'!J$3-'минимумы и максимумы'!J$2)*100)</f>
        <v>0</v>
      </c>
      <c r="M213" s="1">
        <f>IF('исходные данные'!M213&gt;'минимумы и максимумы'!K$3,100,('исходные данные'!M213-'минимумы и максимумы'!K$2)/('минимумы и максимумы'!K$3-'минимумы и максимумы'!K$2)*100)</f>
        <v>35.483870967741936</v>
      </c>
      <c r="N213" s="1">
        <f>IF('исходные данные'!N213&gt;'минимумы и максимумы'!L$3,100,('исходные данные'!N213-'минимумы и максимумы'!L$2)/('минимумы и максимумы'!L$3-'минимумы и максимумы'!L$2)*100)</f>
        <v>27.155751683946161</v>
      </c>
      <c r="O213" s="1">
        <f>IF('исходные данные'!O213&gt;'минимумы и максимумы'!M$3,100,('исходные данные'!O213-'минимумы и максимумы'!M$2)/('минимумы и максимумы'!M$3-'минимумы и максимумы'!M$2)*100)</f>
        <v>33.333333333333329</v>
      </c>
      <c r="P213" s="1">
        <f>IF('исходные данные'!P213&gt;'минимумы и максимумы'!N$3,100,('исходные данные'!P213-'минимумы и максимумы'!N$2)/('минимумы и максимумы'!N$3-'минимумы и максимумы'!N$2)*100)</f>
        <v>0</v>
      </c>
      <c r="Q213" s="1">
        <f>IF('исходные данные'!Q213&gt;'минимумы и максимумы'!O$3,100,('исходные данные'!Q213-'минимумы и максимумы'!O$2)/('минимумы и максимумы'!O$3-'минимумы и максимумы'!O$2)*100)</f>
        <v>100</v>
      </c>
      <c r="R213" s="1">
        <f>IF('исходные данные'!R213&gt;'минимумы и максимумы'!P$3,100,('исходные данные'!R213-'минимумы и максимумы'!P$2)/('минимумы и максимумы'!P$3-'минимумы и максимумы'!P$2)*100)</f>
        <v>25</v>
      </c>
      <c r="S213" s="1">
        <f>IF('исходные данные'!S213&gt;'минимумы и максимумы'!Q$3,100,('исходные данные'!S213-'минимумы и максимумы'!Q$2)/('минимумы и максимумы'!Q$3-'минимумы и максимумы'!Q$2)*100)</f>
        <v>33.333333333333329</v>
      </c>
      <c r="T213" s="1">
        <f>IF('исходные данные'!T213&gt;'минимумы и максимумы'!R$3,100,('исходные данные'!T213-'минимумы и максимумы'!R$2)/('минимумы и максимумы'!R$3-'минимумы и максимумы'!R$2)*100)</f>
        <v>38.451385833699959</v>
      </c>
      <c r="U213" s="1">
        <f>IF('исходные данные'!U213&gt;'минимумы и максимумы'!S$3,100,('исходные данные'!U213-'минимумы и максимумы'!S$2)/('минимумы и максимумы'!S$3-'минимумы и максимумы'!S$2)*100)</f>
        <v>100</v>
      </c>
    </row>
    <row r="214" spans="1:21" x14ac:dyDescent="0.45">
      <c r="A214" s="4">
        <v>301</v>
      </c>
      <c r="B214" s="4">
        <v>0</v>
      </c>
      <c r="C214" s="4">
        <v>0</v>
      </c>
      <c r="D214" s="1">
        <f>IF('исходные данные'!D214&gt;'минимумы и максимумы'!B$3,100,('исходные данные'!D214-'минимумы и максимумы'!B$2)/('минимумы и максимумы'!B$3-'минимумы и максимумы'!B$2)*100)</f>
        <v>20</v>
      </c>
      <c r="E214" s="1">
        <f>IF('исходные данные'!E214&gt;'минимумы и максимумы'!C$3,100,('исходные данные'!E214-'минимумы и максимумы'!C$2)/('минимумы и максимумы'!C$3-'минимумы и максимумы'!C$2)*100)</f>
        <v>20</v>
      </c>
      <c r="F214" s="1">
        <f>IF('исходные данные'!F214&gt;'минимумы и максимумы'!D$3,100,('исходные данные'!F214-'минимумы и максимумы'!D$2)/('минимумы и максимумы'!D$3-'минимумы и максимумы'!D$2)*100)</f>
        <v>33.333333333333329</v>
      </c>
      <c r="G214" s="1">
        <f>IF('исходные данные'!G214&gt;'минимумы и максимумы'!E$3,100,('исходные данные'!G214-'минимумы и максимумы'!E$2)/('минимумы и максимумы'!E$3-'минимумы и максимумы'!E$2)*100)</f>
        <v>12.5</v>
      </c>
      <c r="H214" s="1">
        <f>IF('исходные данные'!H214&gt;'минимумы и максимумы'!F$3,100,('исходные данные'!H214-'минимумы и максимумы'!F$2)/('минимумы и максимумы'!F$3-'минимумы и максимумы'!F$2)*100)</f>
        <v>4</v>
      </c>
      <c r="I214" s="1">
        <f>IF('исходные данные'!I214&gt;'минимумы и максимумы'!G$3,100,('исходные данные'!I214-'минимумы и максимумы'!G$2)/('минимумы и максимумы'!G$3-'минимумы и максимумы'!G$2)*100)</f>
        <v>20.754716981132077</v>
      </c>
      <c r="J214" s="1">
        <f>IF('исходные данные'!J214&gt;'минимумы и максимумы'!H$3,100,('исходные данные'!J214-'минимумы и максимумы'!H$2)/('минимумы и максимумы'!H$3-'минимумы и максимумы'!H$2)*100)</f>
        <v>0</v>
      </c>
      <c r="K214" s="1">
        <f>IF('исходные данные'!K214&gt;'минимумы и максимумы'!I$3,100,('исходные данные'!K214-'минимумы и максимумы'!I$2)/('минимумы и максимумы'!I$3-'минимумы и максимумы'!I$2)*100)</f>
        <v>16.666666666666664</v>
      </c>
      <c r="L214" s="1">
        <f>IF('исходные данные'!L214&gt;'минимумы и максимумы'!J$3,100,('исходные данные'!L214-'минимумы и максимумы'!J$2)/('минимумы и максимумы'!J$3-'минимумы и максимумы'!J$2)*100)</f>
        <v>0</v>
      </c>
      <c r="M214" s="1">
        <f>IF('исходные данные'!M214&gt;'минимумы и максимумы'!K$3,100,('исходные данные'!M214-'минимумы и максимумы'!K$2)/('минимумы и максимумы'!K$3-'минимумы и максимумы'!K$2)*100)</f>
        <v>48.387096774193552</v>
      </c>
      <c r="N214" s="1">
        <f>IF('исходные данные'!N214&gt;'минимумы и максимумы'!L$3,100,('исходные данные'!N214-'минимумы и максимумы'!L$2)/('минимумы и максимумы'!L$3-'минимумы и максимумы'!L$2)*100)</f>
        <v>27.414405032046641</v>
      </c>
      <c r="O214" s="1">
        <f>IF('исходные данные'!O214&gt;'минимумы и максимумы'!M$3,100,('исходные данные'!O214-'минимумы и максимумы'!M$2)/('минимумы и максимумы'!M$3-'минимумы и максимумы'!M$2)*100)</f>
        <v>100</v>
      </c>
      <c r="P214" s="1">
        <f>IF('исходные данные'!P214&gt;'минимумы и максимумы'!N$3,100,('исходные данные'!P214-'минимумы и максимумы'!N$2)/('минимумы и максимумы'!N$3-'минимумы и максимумы'!N$2)*100)</f>
        <v>0</v>
      </c>
      <c r="Q214" s="1">
        <f>IF('исходные данные'!Q214&gt;'минимумы и максимумы'!O$3,100,('исходные данные'!Q214-'минимумы и максимумы'!O$2)/('минимумы и максимумы'!O$3-'минимумы и максимумы'!O$2)*100)</f>
        <v>100</v>
      </c>
      <c r="R214" s="1">
        <f>IF('исходные данные'!R214&gt;'минимумы и максимумы'!P$3,100,('исходные данные'!R214-'минимумы и максимумы'!P$2)/('минимумы и максимумы'!P$3-'минимумы и максимумы'!P$2)*100)</f>
        <v>75</v>
      </c>
      <c r="S214" s="1">
        <f>IF('исходные данные'!S214&gt;'минимумы и максимумы'!Q$3,100,('исходные данные'!S214-'минимумы и максимумы'!Q$2)/('минимумы и максимумы'!Q$3-'минимумы и максимумы'!Q$2)*100)</f>
        <v>83.333333333333343</v>
      </c>
      <c r="T214" s="1">
        <f>IF('исходные данные'!T214&gt;'минимумы и максимумы'!R$3,100,('исходные данные'!T214-'минимумы и максимумы'!R$2)/('минимумы и максимумы'!R$3-'минимумы и максимумы'!R$2)*100)</f>
        <v>31.368235811702593</v>
      </c>
      <c r="U214" s="1">
        <f>IF('исходные данные'!U214&gt;'минимумы и максимумы'!S$3,100,('исходные данные'!U214-'минимумы и максимумы'!S$2)/('минимумы и максимумы'!S$3-'минимумы и максимумы'!S$2)*100)</f>
        <v>0</v>
      </c>
    </row>
    <row r="215" spans="1:21" x14ac:dyDescent="0.45">
      <c r="A215" s="4">
        <v>302</v>
      </c>
      <c r="B215" s="4">
        <v>0</v>
      </c>
      <c r="C215" s="4">
        <v>0</v>
      </c>
      <c r="D215" s="1">
        <f>IF('исходные данные'!D215&gt;'минимумы и максимумы'!B$3,100,('исходные данные'!D215-'минимумы и максимумы'!B$2)/('минимумы и максимумы'!B$3-'минимумы и максимумы'!B$2)*100)</f>
        <v>60</v>
      </c>
      <c r="E215" s="1">
        <f>IF('исходные данные'!E215&gt;'минимумы и максимумы'!C$3,100,('исходные данные'!E215-'минимумы и максимумы'!C$2)/('минимумы и максимумы'!C$3-'минимумы и максимумы'!C$2)*100)</f>
        <v>40</v>
      </c>
      <c r="F215" s="1">
        <f>IF('исходные данные'!F215&gt;'минимумы и максимумы'!D$3,100,('исходные данные'!F215-'минимумы и максимумы'!D$2)/('минимумы и максимумы'!D$3-'минимумы и максимумы'!D$2)*100)</f>
        <v>0</v>
      </c>
      <c r="G215" s="1">
        <f>IF('исходные данные'!G215&gt;'минимумы и максимумы'!E$3,100,('исходные данные'!G215-'минимумы и максимумы'!E$2)/('минимумы и максимумы'!E$3-'минимумы и максимумы'!E$2)*100)</f>
        <v>25</v>
      </c>
      <c r="H215" s="1">
        <f>IF('исходные данные'!H215&gt;'минимумы и максимумы'!F$3,100,('исходные данные'!H215-'минимумы и максимумы'!F$2)/('минимумы и максимумы'!F$3-'минимумы и максимумы'!F$2)*100)</f>
        <v>36</v>
      </c>
      <c r="I215" s="1">
        <f>IF('исходные данные'!I215&gt;'минимумы и максимумы'!G$3,100,('исходные данные'!I215-'минимумы и максимумы'!G$2)/('минимумы и максимумы'!G$3-'минимумы и максимумы'!G$2)*100)</f>
        <v>13.20754716981132</v>
      </c>
      <c r="J215" s="1">
        <f>IF('исходные данные'!J215&gt;'минимумы и максимумы'!H$3,100,('исходные данные'!J215-'минимумы и максимумы'!H$2)/('минимумы и максимумы'!H$3-'минимумы и максимумы'!H$2)*100)</f>
        <v>0</v>
      </c>
      <c r="K215" s="1">
        <f>IF('исходные данные'!K215&gt;'минимумы и максимумы'!I$3,100,('исходные данные'!K215-'минимумы и максимумы'!I$2)/('минимумы и максимумы'!I$3-'минимумы и максимумы'!I$2)*100)</f>
        <v>66.666666666666657</v>
      </c>
      <c r="L215" s="1">
        <f>IF('исходные данные'!L215&gt;'минимумы и максимумы'!J$3,100,('исходные данные'!L215-'минимумы и максимумы'!J$2)/('минимумы и максимумы'!J$3-'минимумы и максимумы'!J$2)*100)</f>
        <v>0</v>
      </c>
      <c r="M215" s="1">
        <f>IF('исходные данные'!M215&gt;'минимумы и максимумы'!K$3,100,('исходные данные'!M215-'минимумы и максимумы'!K$2)/('минимумы и максимумы'!K$3-'минимумы и максимумы'!K$2)*100)</f>
        <v>45.161290322580641</v>
      </c>
      <c r="N215" s="1">
        <f>IF('исходные данные'!N215&gt;'минимумы и максимумы'!L$3,100,('исходные данные'!N215-'минимумы и максимумы'!L$2)/('минимумы и максимумы'!L$3-'минимумы и максимумы'!L$2)*100)</f>
        <v>28.021893314063711</v>
      </c>
      <c r="O215" s="1">
        <f>IF('исходные данные'!O215&gt;'минимумы и максимумы'!M$3,100,('исходные данные'!O215-'минимумы и максимумы'!M$2)/('минимумы и максимумы'!M$3-'минимумы и максимумы'!M$2)*100)</f>
        <v>66.666666666666657</v>
      </c>
      <c r="P215" s="1">
        <f>IF('исходные данные'!P215&gt;'минимумы и максимумы'!N$3,100,('исходные данные'!P215-'минимумы и максимумы'!N$2)/('минимумы и максимумы'!N$3-'минимумы и максимумы'!N$2)*100)</f>
        <v>0</v>
      </c>
      <c r="Q215" s="1">
        <f>IF('исходные данные'!Q215&gt;'минимумы и максимумы'!O$3,100,('исходные данные'!Q215-'минимумы и максимумы'!O$2)/('минимумы и максимумы'!O$3-'минимумы и максимумы'!O$2)*100)</f>
        <v>100</v>
      </c>
      <c r="R215" s="1">
        <f>IF('исходные данные'!R215&gt;'минимумы и максимумы'!P$3,100,('исходные данные'!R215-'минимумы и максимумы'!P$2)/('минимумы и максимумы'!P$3-'минимумы и максимумы'!P$2)*100)</f>
        <v>75</v>
      </c>
      <c r="S215" s="1">
        <f>IF('исходные данные'!S215&gt;'минимумы и максимумы'!Q$3,100,('исходные данные'!S215-'минимумы и максимумы'!Q$2)/('минимумы и максимумы'!Q$3-'минимумы и максимумы'!Q$2)*100)</f>
        <v>66.666666666666657</v>
      </c>
      <c r="T215" s="1">
        <f>IF('исходные данные'!T215&gt;'минимумы и максимумы'!R$3,100,('исходные данные'!T215-'минимумы и максимумы'!R$2)/('минимумы и максимумы'!R$3-'минимумы и максимумы'!R$2)*100)</f>
        <v>38.539375274967</v>
      </c>
      <c r="U215" s="1">
        <f>IF('исходные данные'!U215&gt;'минимумы и максимумы'!S$3,100,('исходные данные'!U215-'минимумы и максимумы'!S$2)/('минимумы и максимумы'!S$3-'минимумы и максимумы'!S$2)*100)</f>
        <v>66.666666666666657</v>
      </c>
    </row>
    <row r="216" spans="1:21" x14ac:dyDescent="0.45">
      <c r="A216" s="4">
        <v>303</v>
      </c>
      <c r="B216" s="4">
        <v>0</v>
      </c>
      <c r="C216" s="4">
        <v>0</v>
      </c>
      <c r="D216" s="1">
        <f>IF('исходные данные'!D216&gt;'минимумы и максимумы'!B$3,100,('исходные данные'!D216-'минимумы и максимумы'!B$2)/('минимумы и максимумы'!B$3-'минимумы и максимумы'!B$2)*100)</f>
        <v>0</v>
      </c>
      <c r="E216" s="1">
        <f>IF('исходные данные'!E216&gt;'минимумы и максимумы'!C$3,100,('исходные данные'!E216-'минимумы и максимумы'!C$2)/('минимумы и максимумы'!C$3-'минимумы и максимумы'!C$2)*100)</f>
        <v>0</v>
      </c>
      <c r="F216" s="1">
        <f>IF('исходные данные'!F216&gt;'минимумы и максимумы'!D$3,100,('исходные данные'!F216-'минимумы и максимумы'!D$2)/('минимумы и максимумы'!D$3-'минимумы и максимумы'!D$2)*100)</f>
        <v>0</v>
      </c>
      <c r="G216" s="1">
        <f>IF('исходные данные'!G216&gt;'минимумы и максимумы'!E$3,100,('исходные данные'!G216-'минимумы и максимумы'!E$2)/('минимумы и максимумы'!E$3-'минимумы и максимумы'!E$2)*100)</f>
        <v>0</v>
      </c>
      <c r="H216" s="1">
        <f>IF('исходные данные'!H216&gt;'минимумы и максимумы'!F$3,100,('исходные данные'!H216-'минимумы и максимумы'!F$2)/('минимумы и максимумы'!F$3-'минимумы и максимумы'!F$2)*100)</f>
        <v>0</v>
      </c>
      <c r="I216" s="1">
        <f>IF('исходные данные'!I216&gt;'минимумы и максимумы'!G$3,100,('исходные данные'!I216-'минимумы и максимумы'!G$2)/('минимумы и максимумы'!G$3-'минимумы и максимумы'!G$2)*100)</f>
        <v>5.6603773584905666</v>
      </c>
      <c r="J216" s="1">
        <f>IF('исходные данные'!J216&gt;'минимумы и максимумы'!H$3,100,('исходные данные'!J216-'минимумы и максимумы'!H$2)/('минимумы и максимумы'!H$3-'минимумы и максимумы'!H$2)*100)</f>
        <v>0</v>
      </c>
      <c r="K216" s="1">
        <f>IF('исходные данные'!K216&gt;'минимумы и максимумы'!I$3,100,('исходные данные'!K216-'минимумы и максимумы'!I$2)/('минимумы и максимумы'!I$3-'минимумы и максимумы'!I$2)*100)</f>
        <v>27.777777777777779</v>
      </c>
      <c r="L216" s="1">
        <f>IF('исходные данные'!L216&gt;'минимумы и максимумы'!J$3,100,('исходные данные'!L216-'минимумы и максимумы'!J$2)/('минимумы и максимумы'!J$3-'минимумы и максимумы'!J$2)*100)</f>
        <v>0</v>
      </c>
      <c r="M216" s="1">
        <f>IF('исходные данные'!M216&gt;'минимумы и максимумы'!K$3,100,('исходные данные'!M216-'минимумы и максимумы'!K$2)/('минимумы и максимумы'!K$3-'минимумы и максимумы'!K$2)*100)</f>
        <v>32.258064516129032</v>
      </c>
      <c r="N216" s="1">
        <f>IF('исходные данные'!N216&gt;'минимумы и максимумы'!L$3,100,('исходные данные'!N216-'минимумы и максимумы'!L$2)/('минимумы и максимумы'!L$3-'минимумы и максимумы'!L$2)*100)</f>
        <v>19.185715494275538</v>
      </c>
      <c r="O216" s="1">
        <f>IF('исходные данные'!O216&gt;'минимумы и максимумы'!M$3,100,('исходные данные'!O216-'минимумы и максимумы'!M$2)/('минимумы и максимумы'!M$3-'минимумы и максимумы'!M$2)*100)</f>
        <v>66.666666666666657</v>
      </c>
      <c r="P216" s="1">
        <f>IF('исходные данные'!P216&gt;'минимумы и максимумы'!N$3,100,('исходные данные'!P216-'минимумы и максимумы'!N$2)/('минимумы и максимумы'!N$3-'минимумы и максимумы'!N$2)*100)</f>
        <v>0</v>
      </c>
      <c r="Q216" s="1">
        <f>IF('исходные данные'!Q216&gt;'минимумы и максимумы'!O$3,100,('исходные данные'!Q216-'минимумы и максимумы'!O$2)/('минимумы и максимумы'!O$3-'минимумы и максимумы'!O$2)*100)</f>
        <v>0</v>
      </c>
      <c r="R216" s="1">
        <f>IF('исходные данные'!R216&gt;'минимумы и максимумы'!P$3,100,('исходные данные'!R216-'минимумы и максимумы'!P$2)/('минимумы и максимумы'!P$3-'минимумы и максимумы'!P$2)*100)</f>
        <v>25</v>
      </c>
      <c r="S216" s="1">
        <f>IF('исходные данные'!S216&gt;'минимумы и максимумы'!Q$3,100,('исходные данные'!S216-'минимумы и максимумы'!Q$2)/('минимумы и максимумы'!Q$3-'минимумы и максимумы'!Q$2)*100)</f>
        <v>16.666666666666664</v>
      </c>
      <c r="T216" s="1">
        <f>IF('исходные данные'!T216&gt;'минимумы и максимумы'!R$3,100,('исходные данные'!T216-'минимумы и максимумы'!R$2)/('минимумы и максимумы'!R$3-'минимумы и максимумы'!R$2)*100)</f>
        <v>17.59788825340959</v>
      </c>
      <c r="U216" s="1">
        <f>IF('исходные данные'!U216&gt;'минимумы и максимумы'!S$3,100,('исходные данные'!U216-'минимумы и максимумы'!S$2)/('минимумы и максимумы'!S$3-'минимумы и максимумы'!S$2)*100)</f>
        <v>100</v>
      </c>
    </row>
    <row r="217" spans="1:21" x14ac:dyDescent="0.45">
      <c r="A217" s="4">
        <v>304</v>
      </c>
      <c r="B217" s="4">
        <v>1</v>
      </c>
      <c r="C217" s="4">
        <v>0</v>
      </c>
      <c r="D217" s="1">
        <f>IF('исходные данные'!D217&gt;'минимумы и максимумы'!B$3,100,('исходные данные'!D217-'минимумы и максимумы'!B$2)/('минимумы и максимумы'!B$3-'минимумы и максимумы'!B$2)*100)</f>
        <v>0</v>
      </c>
      <c r="E217" s="1">
        <f>IF('исходные данные'!E217&gt;'минимумы и максимумы'!C$3,100,('исходные данные'!E217-'минимумы и максимумы'!C$2)/('минимумы и максимумы'!C$3-'минимумы и максимумы'!C$2)*100)</f>
        <v>0</v>
      </c>
      <c r="F217" s="1">
        <f>IF('исходные данные'!F217&gt;'минимумы и максимумы'!D$3,100,('исходные данные'!F217-'минимумы и максимумы'!D$2)/('минимумы и максимумы'!D$3-'минимумы и максимумы'!D$2)*100)</f>
        <v>0</v>
      </c>
      <c r="G217" s="1">
        <f>IF('исходные данные'!G217&gt;'минимумы и максимумы'!E$3,100,('исходные данные'!G217-'минимумы и максимумы'!E$2)/('минимумы и максимумы'!E$3-'минимумы и максимумы'!E$2)*100)</f>
        <v>8.3333333333333321</v>
      </c>
      <c r="H217" s="1">
        <f>IF('исходные данные'!H217&gt;'минимумы и максимумы'!F$3,100,('исходные данные'!H217-'минимумы и максимумы'!F$2)/('минимумы и максимумы'!F$3-'минимумы и максимумы'!F$2)*100)</f>
        <v>0</v>
      </c>
      <c r="I217" s="1">
        <f>IF('исходные данные'!I217&gt;'минимумы и максимумы'!G$3,100,('исходные данные'!I217-'минимумы и максимумы'!G$2)/('минимумы и максимумы'!G$3-'минимумы и максимумы'!G$2)*100)</f>
        <v>11.320754716981133</v>
      </c>
      <c r="J217" s="1">
        <f>IF('исходные данные'!J217&gt;'минимумы и максимумы'!H$3,100,('исходные данные'!J217-'минимумы и максимумы'!H$2)/('минимумы и максимумы'!H$3-'минимумы и максимумы'!H$2)*100)</f>
        <v>0</v>
      </c>
      <c r="K217" s="1">
        <f>IF('исходные данные'!K217&gt;'минимумы и максимумы'!I$3,100,('исходные данные'!K217-'минимумы и максимумы'!I$2)/('минимумы и максимумы'!I$3-'минимумы и максимумы'!I$2)*100)</f>
        <v>16.666666666666664</v>
      </c>
      <c r="L217" s="1">
        <f>IF('исходные данные'!L217&gt;'минимумы и максимумы'!J$3,100,('исходные данные'!L217-'минимумы и максимумы'!J$2)/('минимумы и максимумы'!J$3-'минимумы и максимумы'!J$2)*100)</f>
        <v>0</v>
      </c>
      <c r="M217" s="1">
        <f>IF('исходные данные'!M217&gt;'минимумы и максимумы'!K$3,100,('исходные данные'!M217-'минимумы и максимумы'!K$2)/('минимумы и максимумы'!K$3-'минимумы и максимумы'!K$2)*100)</f>
        <v>29.032258064516132</v>
      </c>
      <c r="N217" s="1">
        <f>IF('исходные данные'!N217&gt;'минимумы и максимумы'!L$3,100,('исходные данные'!N217-'минимумы и максимумы'!L$2)/('минимумы и максимумы'!L$3-'минимумы и максимумы'!L$2)*100)</f>
        <v>21.686006987975396</v>
      </c>
      <c r="O217" s="1">
        <f>IF('исходные данные'!O217&gt;'минимумы и максимумы'!M$3,100,('исходные данные'!O217-'минимумы и максимумы'!M$2)/('минимумы и максимумы'!M$3-'минимумы и максимумы'!M$2)*100)</f>
        <v>0</v>
      </c>
      <c r="P217" s="1">
        <f>IF('исходные данные'!P217&gt;'минимумы и максимумы'!N$3,100,('исходные данные'!P217-'минимумы и максимумы'!N$2)/('минимумы и максимумы'!N$3-'минимумы и максимумы'!N$2)*100)</f>
        <v>0</v>
      </c>
      <c r="Q217" s="1">
        <f>IF('исходные данные'!Q217&gt;'минимумы и максимумы'!O$3,100,('исходные данные'!Q217-'минимумы и максимумы'!O$2)/('минимумы и максимумы'!O$3-'минимумы и максимумы'!O$2)*100)</f>
        <v>0</v>
      </c>
      <c r="R217" s="1">
        <f>IF('исходные данные'!R217&gt;'минимумы и максимумы'!P$3,100,('исходные данные'!R217-'минимумы и максимумы'!P$2)/('минимумы и максимумы'!P$3-'минимумы и максимумы'!P$2)*100)</f>
        <v>25</v>
      </c>
      <c r="S217" s="1">
        <f>IF('исходные данные'!S217&gt;'минимумы и максимумы'!Q$3,100,('исходные данные'!S217-'минимумы и максимумы'!Q$2)/('минимумы и максимумы'!Q$3-'минимумы и максимумы'!Q$2)*100)</f>
        <v>16.666666666666664</v>
      </c>
      <c r="T217" s="1">
        <f>IF('исходные данные'!T217&gt;'минимумы и максимумы'!R$3,100,('исходные данные'!T217-'минимумы и максимумы'!R$2)/('минимумы и максимумы'!R$3-'минимумы и максимумы'!R$2)*100)</f>
        <v>18.169819621645402</v>
      </c>
      <c r="U217" s="1">
        <f>IF('исходные данные'!U217&gt;'минимумы и максимумы'!S$3,100,('исходные данные'!U217-'минимумы и максимумы'!S$2)/('минимумы и максимумы'!S$3-'минимумы и максимумы'!S$2)*100)</f>
        <v>0</v>
      </c>
    </row>
    <row r="218" spans="1:21" x14ac:dyDescent="0.45">
      <c r="A218" s="4">
        <v>305</v>
      </c>
      <c r="B218" s="4">
        <v>0</v>
      </c>
      <c r="C218" s="4">
        <v>1</v>
      </c>
      <c r="D218" s="1">
        <f>IF('исходные данные'!D218&gt;'минимумы и максимумы'!B$3,100,('исходные данные'!D218-'минимумы и максимумы'!B$2)/('минимумы и максимумы'!B$3-'минимумы и максимумы'!B$2)*100)</f>
        <v>0</v>
      </c>
      <c r="E218" s="1">
        <f>IF('исходные данные'!E218&gt;'минимумы и максимумы'!C$3,100,('исходные данные'!E218-'минимумы и максимумы'!C$2)/('минимумы и максимумы'!C$3-'минимумы и максимумы'!C$2)*100)</f>
        <v>0</v>
      </c>
      <c r="F218" s="1">
        <f>IF('исходные данные'!F218&gt;'минимумы и максимумы'!D$3,100,('исходные данные'!F218-'минимумы и максимумы'!D$2)/('минимумы и максимумы'!D$3-'минимумы и максимумы'!D$2)*100)</f>
        <v>33.333333333333329</v>
      </c>
      <c r="G218" s="1">
        <f>IF('исходные данные'!G218&gt;'минимумы и максимумы'!E$3,100,('исходные данные'!G218-'минимумы и максимумы'!E$2)/('минимумы и максимумы'!E$3-'минимумы и максимумы'!E$2)*100)</f>
        <v>4.1666666666666661</v>
      </c>
      <c r="H218" s="1">
        <f>IF('исходные данные'!H218&gt;'минимумы и максимумы'!F$3,100,('исходные данные'!H218-'минимумы и максимумы'!F$2)/('минимумы и максимумы'!F$3-'минимумы и максимумы'!F$2)*100)</f>
        <v>8</v>
      </c>
      <c r="I218" s="1">
        <f>IF('исходные данные'!I218&gt;'минимумы и максимумы'!G$3,100,('исходные данные'!I218-'минимумы и максимумы'!G$2)/('минимумы и максимумы'!G$3-'минимумы и максимумы'!G$2)*100)</f>
        <v>9.433962264150944</v>
      </c>
      <c r="J218" s="1">
        <f>IF('исходные данные'!J218&gt;'минимумы и максимумы'!H$3,100,('исходные данные'!J218-'минимумы и максимумы'!H$2)/('минимумы и максимумы'!H$3-'минимумы и максимумы'!H$2)*100)</f>
        <v>0</v>
      </c>
      <c r="K218" s="1">
        <f>IF('исходные данные'!K218&gt;'минимумы и максимумы'!I$3,100,('исходные данные'!K218-'минимумы и максимумы'!I$2)/('минимумы и максимумы'!I$3-'минимумы и максимумы'!I$2)*100)</f>
        <v>27.777777777777779</v>
      </c>
      <c r="L218" s="1">
        <f>IF('исходные данные'!L218&gt;'минимумы и максимумы'!J$3,100,('исходные данные'!L218-'минимумы и максимумы'!J$2)/('минимумы и максимумы'!J$3-'минимумы и максимумы'!J$2)*100)</f>
        <v>40</v>
      </c>
      <c r="M218" s="1">
        <f>IF('исходные данные'!M218&gt;'минимумы и максимумы'!K$3,100,('исходные данные'!M218-'минимумы и максимумы'!K$2)/('минимумы и максимумы'!K$3-'минимумы и максимумы'!K$2)*100)</f>
        <v>38.70967741935484</v>
      </c>
      <c r="N218" s="1">
        <f>IF('исходные данные'!N218&gt;'минимумы и максимумы'!L$3,100,('исходные данные'!N218-'минимумы и максимумы'!L$2)/('минимумы и максимумы'!L$3-'минимумы и максимумы'!L$2)*100)</f>
        <v>24.196273186033984</v>
      </c>
      <c r="O218" s="1">
        <f>IF('исходные данные'!O218&gt;'минимумы и максимумы'!M$3,100,('исходные данные'!O218-'минимумы и максимумы'!M$2)/('минимумы и максимумы'!M$3-'минимумы и максимумы'!M$2)*100)</f>
        <v>0</v>
      </c>
      <c r="P218" s="1">
        <f>IF('исходные данные'!P218&gt;'минимумы и максимумы'!N$3,100,('исходные данные'!P218-'минимумы и максимумы'!N$2)/('минимумы и максимумы'!N$3-'минимумы и максимумы'!N$2)*100)</f>
        <v>0</v>
      </c>
      <c r="Q218" s="1">
        <f>IF('исходные данные'!Q218&gt;'минимумы и максимумы'!O$3,100,('исходные данные'!Q218-'минимумы и максимумы'!O$2)/('минимумы и максимумы'!O$3-'минимумы и максимумы'!O$2)*100)</f>
        <v>0</v>
      </c>
      <c r="R218" s="1">
        <f>IF('исходные данные'!R218&gt;'минимумы и максимумы'!P$3,100,('исходные данные'!R218-'минимумы и максимумы'!P$2)/('минимумы и максимумы'!P$3-'минимумы и максимумы'!P$2)*100)</f>
        <v>25</v>
      </c>
      <c r="S218" s="1">
        <f>IF('исходные данные'!S218&gt;'минимумы и максимумы'!Q$3,100,('исходные данные'!S218-'минимумы и максимумы'!Q$2)/('минимумы и максимумы'!Q$3-'минимумы и максимумы'!Q$2)*100)</f>
        <v>16.666666666666664</v>
      </c>
      <c r="T218" s="1">
        <f>IF('исходные данные'!T218&gt;'минимумы и максимумы'!R$3,100,('исходные данные'!T218-'минимумы и максимумы'!R$2)/('минимумы и максимумы'!R$3-'минимумы и максимумы'!R$2)*100)</f>
        <v>17.377914650241973</v>
      </c>
      <c r="U218" s="1">
        <f>IF('исходные данные'!U218&gt;'минимумы и максимумы'!S$3,100,('исходные данные'!U218-'минимумы и максимумы'!S$2)/('минимумы и максимумы'!S$3-'минимумы и максимумы'!S$2)*100)</f>
        <v>0</v>
      </c>
    </row>
    <row r="219" spans="1:21" x14ac:dyDescent="0.45">
      <c r="A219" s="4">
        <v>306</v>
      </c>
      <c r="B219" s="4">
        <v>0</v>
      </c>
      <c r="C219" s="4">
        <v>0</v>
      </c>
      <c r="D219" s="1">
        <f>IF('исходные данные'!D219&gt;'минимумы и максимумы'!B$3,100,('исходные данные'!D219-'минимумы и максимумы'!B$2)/('минимумы и максимумы'!B$3-'минимумы и максимумы'!B$2)*100)</f>
        <v>0</v>
      </c>
      <c r="E219" s="1">
        <f>IF('исходные данные'!E219&gt;'минимумы и максимумы'!C$3,100,('исходные данные'!E219-'минимумы и максимумы'!C$2)/('минимумы и максимумы'!C$3-'минимумы и максимумы'!C$2)*100)</f>
        <v>10</v>
      </c>
      <c r="F219" s="1">
        <f>IF('исходные данные'!F219&gt;'минимумы и максимумы'!D$3,100,('исходные данные'!F219-'минимумы и максимумы'!D$2)/('минимумы и максимумы'!D$3-'минимумы и максимумы'!D$2)*100)</f>
        <v>0</v>
      </c>
      <c r="G219" s="1">
        <f>IF('исходные данные'!G219&gt;'минимумы и максимумы'!E$3,100,('исходные данные'!G219-'минимумы и максимумы'!E$2)/('минимумы и максимумы'!E$3-'минимумы и максимумы'!E$2)*100)</f>
        <v>29.166666666666668</v>
      </c>
      <c r="H219" s="1">
        <f>IF('исходные данные'!H219&gt;'минимумы и максимумы'!F$3,100,('исходные данные'!H219-'минимумы и максимумы'!F$2)/('минимумы и максимумы'!F$3-'минимумы и максимумы'!F$2)*100)</f>
        <v>28.000000000000004</v>
      </c>
      <c r="I219" s="1">
        <f>IF('исходные данные'!I219&gt;'минимумы и максимумы'!G$3,100,('исходные данные'!I219-'минимумы и максимумы'!G$2)/('минимумы и максимумы'!G$3-'минимумы и максимумы'!G$2)*100)</f>
        <v>32.075471698113205</v>
      </c>
      <c r="J219" s="1">
        <f>IF('исходные данные'!J219&gt;'минимумы и максимумы'!H$3,100,('исходные данные'!J219-'минимумы и максимумы'!H$2)/('минимумы и максимумы'!H$3-'минимумы и максимумы'!H$2)*100)</f>
        <v>0</v>
      </c>
      <c r="K219" s="1">
        <f>IF('исходные данные'!K219&gt;'минимумы и максимумы'!I$3,100,('исходные данные'!K219-'минимумы и максимумы'!I$2)/('минимумы и максимумы'!I$3-'минимумы и максимумы'!I$2)*100)</f>
        <v>44.444444444444443</v>
      </c>
      <c r="L219" s="1">
        <f>IF('исходные данные'!L219&gt;'минимумы и максимумы'!J$3,100,('исходные данные'!L219-'минимумы и максимумы'!J$2)/('минимумы и максимумы'!J$3-'минимумы и максимумы'!J$2)*100)</f>
        <v>0</v>
      </c>
      <c r="M219" s="1">
        <f>IF('исходные данные'!M219&gt;'минимумы и максимумы'!K$3,100,('исходные данные'!M219-'минимумы и максимумы'!K$2)/('минимумы и максимумы'!K$3-'минимумы и максимумы'!K$2)*100)</f>
        <v>48.387096774193552</v>
      </c>
      <c r="N219" s="1">
        <f>IF('исходные данные'!N219&gt;'минимумы и максимумы'!L$3,100,('исходные данные'!N219-'минимумы и максимумы'!L$2)/('минимумы и максимумы'!L$3-'минимумы и максимумы'!L$2)*100)</f>
        <v>26.583145758497256</v>
      </c>
      <c r="O219" s="1">
        <f>IF('исходные данные'!O219&gt;'минимумы и максимумы'!M$3,100,('исходные данные'!O219-'минимумы и максимумы'!M$2)/('минимумы и максимумы'!M$3-'минимумы и максимумы'!M$2)*100)</f>
        <v>0</v>
      </c>
      <c r="P219" s="1">
        <f>IF('исходные данные'!P219&gt;'минимумы и максимумы'!N$3,100,('исходные данные'!P219-'минимумы и максимумы'!N$2)/('минимумы и максимумы'!N$3-'минимумы и максимумы'!N$2)*100)</f>
        <v>100</v>
      </c>
      <c r="Q219" s="1">
        <f>IF('исходные данные'!Q219&gt;'минимумы и максимумы'!O$3,100,('исходные данные'!Q219-'минимумы и максимумы'!O$2)/('минимумы и максимумы'!O$3-'минимумы и максимумы'!O$2)*100)</f>
        <v>100</v>
      </c>
      <c r="R219" s="1">
        <f>IF('исходные данные'!R219&gt;'минимумы и максимумы'!P$3,100,('исходные данные'!R219-'минимумы и максимумы'!P$2)/('минимумы и максимумы'!P$3-'минимумы и максимумы'!P$2)*100)</f>
        <v>75</v>
      </c>
      <c r="S219" s="1">
        <f>IF('исходные данные'!S219&gt;'минимумы и максимумы'!Q$3,100,('исходные данные'!S219-'минимумы и максимумы'!Q$2)/('минимумы и максимумы'!Q$3-'минимумы и максимумы'!Q$2)*100)</f>
        <v>50</v>
      </c>
      <c r="T219" s="1">
        <f>IF('исходные данные'!T219&gt;'минимумы и максимумы'!R$3,100,('исходные данные'!T219-'минимумы и максимумы'!R$2)/('минимумы и максимумы'!R$3-'минимумы и максимумы'!R$2)*100)</f>
        <v>20.589529256489222</v>
      </c>
      <c r="U219" s="1">
        <f>IF('исходные данные'!U219&gt;'минимумы и максимумы'!S$3,100,('исходные данные'!U219-'минимумы и максимумы'!S$2)/('минимумы и максимумы'!S$3-'минимумы и максимумы'!S$2)*100)</f>
        <v>0</v>
      </c>
    </row>
    <row r="220" spans="1:21" x14ac:dyDescent="0.45">
      <c r="A220" s="4">
        <v>307</v>
      </c>
      <c r="B220" s="4">
        <v>0</v>
      </c>
      <c r="C220" s="4">
        <v>0</v>
      </c>
      <c r="D220" s="1">
        <f>IF('исходные данные'!D220&gt;'минимумы и максимумы'!B$3,100,('исходные данные'!D220-'минимумы и максимумы'!B$2)/('минимумы и максимумы'!B$3-'минимумы и максимумы'!B$2)*100)</f>
        <v>0</v>
      </c>
      <c r="E220" s="1">
        <f>IF('исходные данные'!E220&gt;'минимумы и максимумы'!C$3,100,('исходные данные'!E220-'минимумы и максимумы'!C$2)/('минимумы и максимумы'!C$3-'минимумы и максимумы'!C$2)*100)</f>
        <v>10</v>
      </c>
      <c r="F220" s="1">
        <f>IF('исходные данные'!F220&gt;'минимумы и максимумы'!D$3,100,('исходные данные'!F220-'минимумы и максимумы'!D$2)/('минимумы и максимумы'!D$3-'минимумы и максимумы'!D$2)*100)</f>
        <v>0</v>
      </c>
      <c r="G220" s="1">
        <f>IF('исходные данные'!G220&gt;'минимумы и максимумы'!E$3,100,('исходные данные'!G220-'минимумы и максимумы'!E$2)/('минимумы и максимумы'!E$3-'минимумы и максимумы'!E$2)*100)</f>
        <v>29.166666666666668</v>
      </c>
      <c r="H220" s="1">
        <f>IF('исходные данные'!H220&gt;'минимумы и максимумы'!F$3,100,('исходные данные'!H220-'минимумы и максимумы'!F$2)/('минимумы и максимумы'!F$3-'минимумы и максимумы'!F$2)*100)</f>
        <v>28.000000000000004</v>
      </c>
      <c r="I220" s="1">
        <f>IF('исходные данные'!I220&gt;'минимумы и максимумы'!G$3,100,('исходные данные'!I220-'минимумы и максимумы'!G$2)/('минимумы и максимумы'!G$3-'минимумы и максимумы'!G$2)*100)</f>
        <v>32.075471698113205</v>
      </c>
      <c r="J220" s="1">
        <f>IF('исходные данные'!J220&gt;'минимумы и максимумы'!H$3,100,('исходные данные'!J220-'минимумы и максимумы'!H$2)/('минимумы и максимумы'!H$3-'минимумы и максимумы'!H$2)*100)</f>
        <v>0</v>
      </c>
      <c r="K220" s="1">
        <f>IF('исходные данные'!K220&gt;'минимумы и максимумы'!I$3,100,('исходные данные'!K220-'минимумы и максимумы'!I$2)/('минимумы и максимумы'!I$3-'минимумы и максимумы'!I$2)*100)</f>
        <v>44.444444444444443</v>
      </c>
      <c r="L220" s="1">
        <f>IF('исходные данные'!L220&gt;'минимумы и максимумы'!J$3,100,('исходные данные'!L220-'минимумы и максимумы'!J$2)/('минимумы и максимумы'!J$3-'минимумы и максимумы'!J$2)*100)</f>
        <v>0</v>
      </c>
      <c r="M220" s="1">
        <f>IF('исходные данные'!M220&gt;'минимумы и максимумы'!K$3,100,('исходные данные'!M220-'минимумы и максимумы'!K$2)/('минимумы и максимумы'!K$3-'минимумы и максимумы'!K$2)*100)</f>
        <v>48.387096774193552</v>
      </c>
      <c r="N220" s="1">
        <f>IF('исходные данные'!N220&gt;'минимумы и максимумы'!L$3,100,('исходные данные'!N220-'минимумы и максимумы'!L$2)/('минимумы и максимумы'!L$3-'минимумы и максимумы'!L$2)*100)</f>
        <v>25.853062087139612</v>
      </c>
      <c r="O220" s="1">
        <f>IF('исходные данные'!O220&gt;'минимумы и максимумы'!M$3,100,('исходные данные'!O220-'минимумы и максимумы'!M$2)/('минимумы и максимумы'!M$3-'минимумы и максимумы'!M$2)*100)</f>
        <v>66.666666666666657</v>
      </c>
      <c r="P220" s="1">
        <f>IF('исходные данные'!P220&gt;'минимумы и максимумы'!N$3,100,('исходные данные'!P220-'минимумы и максимумы'!N$2)/('минимумы и максимумы'!N$3-'минимумы и максимумы'!N$2)*100)</f>
        <v>100</v>
      </c>
      <c r="Q220" s="1">
        <f>IF('исходные данные'!Q220&gt;'минимумы и максимумы'!O$3,100,('исходные данные'!Q220-'минимумы и максимумы'!O$2)/('минимумы и максимумы'!O$3-'минимумы и максимумы'!O$2)*100)</f>
        <v>100</v>
      </c>
      <c r="R220" s="1">
        <f>IF('исходные данные'!R220&gt;'минимумы и максимумы'!P$3,100,('исходные данные'!R220-'минимумы и максимумы'!P$2)/('минимумы и максимумы'!P$3-'минимумы и максимумы'!P$2)*100)</f>
        <v>75</v>
      </c>
      <c r="S220" s="1">
        <f>IF('исходные данные'!S220&gt;'минимумы и максимумы'!Q$3,100,('исходные данные'!S220-'минимумы и максимумы'!Q$2)/('минимумы и максимумы'!Q$3-'минимумы и максимумы'!Q$2)*100)</f>
        <v>83.333333333333343</v>
      </c>
      <c r="T220" s="1">
        <f>IF('исходные данные'!T220&gt;'минимумы и максимумы'!R$3,100,('исходные данные'!T220-'минимумы и максимумы'!R$2)/('минимумы и максимумы'!R$3-'минимумы и максимумы'!R$2)*100)</f>
        <v>65.59612846458424</v>
      </c>
      <c r="U220" s="1">
        <f>IF('исходные данные'!U220&gt;'минимумы и максимумы'!S$3,100,('исходные данные'!U220-'минимумы и максимумы'!S$2)/('минимумы и максимумы'!S$3-'минимумы и максимумы'!S$2)*100)</f>
        <v>33.333333333333329</v>
      </c>
    </row>
    <row r="221" spans="1:21" x14ac:dyDescent="0.45">
      <c r="A221" s="4">
        <v>308</v>
      </c>
      <c r="B221" s="4">
        <v>0</v>
      </c>
      <c r="C221" s="4">
        <v>0</v>
      </c>
      <c r="D221" s="1">
        <f>IF('исходные данные'!D221&gt;'минимумы и максимумы'!B$3,100,('исходные данные'!D221-'минимумы и максимумы'!B$2)/('минимумы и максимумы'!B$3-'минимумы и максимумы'!B$2)*100)</f>
        <v>0</v>
      </c>
      <c r="E221" s="1">
        <f>IF('исходные данные'!E221&gt;'минимумы и максимумы'!C$3,100,('исходные данные'!E221-'минимумы и максимумы'!C$2)/('минимумы и максимумы'!C$3-'минимумы и максимумы'!C$2)*100)</f>
        <v>0</v>
      </c>
      <c r="F221" s="1">
        <f>IF('исходные данные'!F221&gt;'минимумы и максимумы'!D$3,100,('исходные данные'!F221-'минимумы и максимумы'!D$2)/('минимумы и максимумы'!D$3-'минимумы и максимумы'!D$2)*100)</f>
        <v>0</v>
      </c>
      <c r="G221" s="1">
        <f>IF('исходные данные'!G221&gt;'минимумы и максимумы'!E$3,100,('исходные данные'!G221-'минимумы и максимумы'!E$2)/('минимумы и максимумы'!E$3-'минимумы и максимумы'!E$2)*100)</f>
        <v>0</v>
      </c>
      <c r="H221" s="1">
        <f>IF('исходные данные'!H221&gt;'минимумы и максимумы'!F$3,100,('исходные данные'!H221-'минимумы и максимумы'!F$2)/('минимумы и максимумы'!F$3-'минимумы и максимумы'!F$2)*100)</f>
        <v>0</v>
      </c>
      <c r="I221" s="1">
        <f>IF('исходные данные'!I221&gt;'минимумы и максимумы'!G$3,100,('исходные данные'!I221-'минимумы и максимумы'!G$2)/('минимумы и максимумы'!G$3-'минимумы и максимумы'!G$2)*100)</f>
        <v>1.8867924528301887</v>
      </c>
      <c r="J221" s="1">
        <f>IF('исходные данные'!J221&gt;'минимумы и максимумы'!H$3,100,('исходные данные'!J221-'минимумы и максимумы'!H$2)/('минимумы и максимумы'!H$3-'минимумы и максимумы'!H$2)*100)</f>
        <v>0</v>
      </c>
      <c r="K221" s="1">
        <f>IF('исходные данные'!K221&gt;'минимумы и максимумы'!I$3,100,('исходные данные'!K221-'минимумы и максимумы'!I$2)/('минимумы и максимумы'!I$3-'минимумы и максимумы'!I$2)*100)</f>
        <v>11.111111111111111</v>
      </c>
      <c r="L221" s="1">
        <f>IF('исходные данные'!L221&gt;'минимумы и максимумы'!J$3,100,('исходные данные'!L221-'минимумы и максимумы'!J$2)/('минимумы и максимумы'!J$3-'минимумы и максимумы'!J$2)*100)</f>
        <v>0</v>
      </c>
      <c r="M221" s="1">
        <f>IF('исходные данные'!M221&gt;'минимумы и максимумы'!K$3,100,('исходные данные'!M221-'минимумы и максимумы'!K$2)/('минимумы и максимумы'!K$3-'минимумы и максимумы'!K$2)*100)</f>
        <v>12.903225806451612</v>
      </c>
      <c r="N221" s="1">
        <f>IF('исходные данные'!N221&gt;'минимумы и максимумы'!L$3,100,('исходные данные'!N221-'минимумы и максимумы'!L$2)/('минимумы и максимумы'!L$3-'минимумы и максимумы'!L$2)*100)</f>
        <v>24.193009345060755</v>
      </c>
      <c r="O221" s="1">
        <f>IF('исходные данные'!O221&gt;'минимумы и максимумы'!M$3,100,('исходные данные'!O221-'минимумы и максимумы'!M$2)/('минимумы и максимумы'!M$3-'минимумы и максимумы'!M$2)*100)</f>
        <v>66.666666666666657</v>
      </c>
      <c r="P221" s="1">
        <f>IF('исходные данные'!P221&gt;'минимумы и максимумы'!N$3,100,('исходные данные'!P221-'минимумы и максимумы'!N$2)/('минимумы и максимумы'!N$3-'минимумы и максимумы'!N$2)*100)</f>
        <v>0</v>
      </c>
      <c r="Q221" s="1">
        <f>IF('исходные данные'!Q221&gt;'минимумы и максимумы'!O$3,100,('исходные данные'!Q221-'минимумы и максимумы'!O$2)/('минимумы и максимумы'!O$3-'минимумы и максимумы'!O$2)*100)</f>
        <v>100</v>
      </c>
      <c r="R221" s="1">
        <f>IF('исходные данные'!R221&gt;'минимумы и максимумы'!P$3,100,('исходные данные'!R221-'минимумы и максимумы'!P$2)/('минимумы и максимумы'!P$3-'минимумы и максимумы'!P$2)*100)</f>
        <v>75</v>
      </c>
      <c r="S221" s="1">
        <f>IF('исходные данные'!S221&gt;'минимумы и максимумы'!Q$3,100,('исходные данные'!S221-'минимумы и максимумы'!Q$2)/('минимумы и максимумы'!Q$3-'минимумы и максимумы'!Q$2)*100)</f>
        <v>83.333333333333343</v>
      </c>
      <c r="T221" s="1">
        <f>IF('исходные данные'!T221&gt;'минимумы и максимумы'!R$3,100,('исходные данные'!T221-'минимумы и максимумы'!R$2)/('минимумы и максимумы'!R$3-'минимумы и максимумы'!R$2)*100)</f>
        <v>20.369555653321601</v>
      </c>
      <c r="U221" s="1">
        <f>IF('исходные данные'!U221&gt;'минимумы и максимумы'!S$3,100,('исходные данные'!U221-'минимумы и максимумы'!S$2)/('минимумы и максимумы'!S$3-'минимумы и максимумы'!S$2)*100)</f>
        <v>0</v>
      </c>
    </row>
    <row r="222" spans="1:21" x14ac:dyDescent="0.45">
      <c r="A222" s="4">
        <v>309</v>
      </c>
      <c r="B222" s="4">
        <v>0</v>
      </c>
      <c r="C222" s="4">
        <v>1</v>
      </c>
      <c r="D222" s="1">
        <f>IF('исходные данные'!D222&gt;'минимумы и максимумы'!B$3,100,('исходные данные'!D222-'минимумы и максимумы'!B$2)/('минимумы и максимумы'!B$3-'минимумы и максимумы'!B$2)*100)</f>
        <v>40</v>
      </c>
      <c r="E222" s="1">
        <f>IF('исходные данные'!E222&gt;'минимумы и максимумы'!C$3,100,('исходные данные'!E222-'минимумы и максимумы'!C$2)/('минимумы и максимумы'!C$3-'минимумы и максимумы'!C$2)*100)</f>
        <v>20</v>
      </c>
      <c r="F222" s="1">
        <f>IF('исходные данные'!F222&gt;'минимумы и максимумы'!D$3,100,('исходные данные'!F222-'минимумы и максимумы'!D$2)/('минимумы и максимумы'!D$3-'минимумы и максимумы'!D$2)*100)</f>
        <v>0</v>
      </c>
      <c r="G222" s="1">
        <f>IF('исходные данные'!G222&gt;'минимумы и максимумы'!E$3,100,('исходные данные'!G222-'минимумы и максимумы'!E$2)/('минимумы и максимумы'!E$3-'минимумы и максимумы'!E$2)*100)</f>
        <v>16.666666666666664</v>
      </c>
      <c r="H222" s="1">
        <f>IF('исходные данные'!H222&gt;'минимумы и максимумы'!F$3,100,('исходные данные'!H222-'минимумы и максимумы'!F$2)/('минимумы и максимумы'!F$3-'минимумы и максимумы'!F$2)*100)</f>
        <v>20</v>
      </c>
      <c r="I222" s="1">
        <f>IF('исходные данные'!I222&gt;'минимумы и максимумы'!G$3,100,('исходные данные'!I222-'минимумы и максимумы'!G$2)/('минимумы и максимумы'!G$3-'минимумы и максимумы'!G$2)*100)</f>
        <v>11.320754716981133</v>
      </c>
      <c r="J222" s="1">
        <f>IF('исходные данные'!J222&gt;'минимумы и максимумы'!H$3,100,('исходные данные'!J222-'минимумы и максимумы'!H$2)/('минимумы и максимумы'!H$3-'минимумы и максимумы'!H$2)*100)</f>
        <v>0</v>
      </c>
      <c r="K222" s="1">
        <f>IF('исходные данные'!K222&gt;'минимумы и максимумы'!I$3,100,('исходные данные'!K222-'минимумы и максимумы'!I$2)/('минимумы и максимумы'!I$3-'минимумы и максимумы'!I$2)*100)</f>
        <v>5.5555555555555554</v>
      </c>
      <c r="L222" s="1">
        <f>IF('исходные данные'!L222&gt;'минимумы и максимумы'!J$3,100,('исходные данные'!L222-'минимумы и максимумы'!J$2)/('минимумы и максимумы'!J$3-'минимумы и максимумы'!J$2)*100)</f>
        <v>0</v>
      </c>
      <c r="M222" s="1">
        <f>IF('исходные данные'!M222&gt;'минимумы и максимумы'!K$3,100,('исходные данные'!M222-'минимумы и максимумы'!K$2)/('минимумы и максимумы'!K$3-'минимумы и максимумы'!K$2)*100)</f>
        <v>64.516129032258064</v>
      </c>
      <c r="N222" s="1">
        <f>IF('исходные данные'!N222&gt;'минимумы и максимумы'!L$3,100,('исходные данные'!N222-'минимумы и максимумы'!L$2)/('минимумы и максимумы'!L$3-'минимумы и максимумы'!L$2)*100)</f>
        <v>39.205225725069539</v>
      </c>
      <c r="O222" s="1">
        <f>IF('исходные данные'!O222&gt;'минимумы и максимумы'!M$3,100,('исходные данные'!O222-'минимумы и максимумы'!M$2)/('минимумы и максимумы'!M$3-'минимумы и максимумы'!M$2)*100)</f>
        <v>0</v>
      </c>
      <c r="P222" s="1">
        <f>IF('исходные данные'!P222&gt;'минимумы и максимумы'!N$3,100,('исходные данные'!P222-'минимумы и максимумы'!N$2)/('минимумы и максимумы'!N$3-'минимумы и максимумы'!N$2)*100)</f>
        <v>0</v>
      </c>
      <c r="Q222" s="1">
        <f>IF('исходные данные'!Q222&gt;'минимумы и максимумы'!O$3,100,('исходные данные'!Q222-'минимумы и максимумы'!O$2)/('минимумы и максимумы'!O$3-'минимумы и максимумы'!O$2)*100)</f>
        <v>100</v>
      </c>
      <c r="R222" s="1">
        <f>IF('исходные данные'!R222&gt;'минимумы и максимумы'!P$3,100,('исходные данные'!R222-'минимумы и максимумы'!P$2)/('минимумы и максимумы'!P$3-'минимумы и максимумы'!P$2)*100)</f>
        <v>100</v>
      </c>
      <c r="S222" s="1">
        <f>IF('исходные данные'!S222&gt;'минимумы и максимумы'!Q$3,100,('исходные данные'!S222-'минимумы и максимумы'!Q$2)/('минимумы и максимумы'!Q$3-'минимумы и максимумы'!Q$2)*100)</f>
        <v>33.333333333333329</v>
      </c>
      <c r="T222" s="1">
        <f>IF('исходные данные'!T222&gt;'минимумы и максимумы'!R$3,100,('исходные данные'!T222-'минимумы и максимумы'!R$2)/('минимумы и максимумы'!R$3-'минимумы и максимумы'!R$2)*100)</f>
        <v>6.3352397712274522</v>
      </c>
      <c r="U222" s="1">
        <f>IF('исходные данные'!U222&gt;'минимумы и максимумы'!S$3,100,('исходные данные'!U222-'минимумы и максимумы'!S$2)/('минимумы и максимумы'!S$3-'минимумы и максимумы'!S$2)*100)</f>
        <v>0</v>
      </c>
    </row>
    <row r="223" spans="1:21" x14ac:dyDescent="0.45">
      <c r="A223" s="4">
        <v>311</v>
      </c>
      <c r="B223" s="4">
        <v>0</v>
      </c>
      <c r="C223" s="4">
        <v>1</v>
      </c>
      <c r="D223" s="1">
        <f>IF('исходные данные'!D223&gt;'минимумы и максимумы'!B$3,100,('исходные данные'!D223-'минимумы и максимумы'!B$2)/('минимумы и максимумы'!B$3-'минимумы и максимумы'!B$2)*100)</f>
        <v>20</v>
      </c>
      <c r="E223" s="1">
        <f>IF('исходные данные'!E223&gt;'минимумы и максимумы'!C$3,100,('исходные данные'!E223-'минимумы и максимумы'!C$2)/('минимумы и максимумы'!C$3-'минимумы и максимумы'!C$2)*100)</f>
        <v>0</v>
      </c>
      <c r="F223" s="1">
        <f>IF('исходные данные'!F223&gt;'минимумы и максимумы'!D$3,100,('исходные данные'!F223-'минимумы и максимумы'!D$2)/('минимумы и максимумы'!D$3-'минимумы и максимумы'!D$2)*100)</f>
        <v>0</v>
      </c>
      <c r="G223" s="1">
        <f>IF('исходные данные'!G223&gt;'минимумы и максимумы'!E$3,100,('исходные данные'!G223-'минимумы и максимумы'!E$2)/('минимумы и максимумы'!E$3-'минимумы и максимумы'!E$2)*100)</f>
        <v>16.666666666666664</v>
      </c>
      <c r="H223" s="1">
        <f>IF('исходные данные'!H223&gt;'минимумы и максимумы'!F$3,100,('исходные данные'!H223-'минимумы и максимумы'!F$2)/('минимумы и максимумы'!F$3-'минимумы и максимумы'!F$2)*100)</f>
        <v>20</v>
      </c>
      <c r="I223" s="1">
        <f>IF('исходные данные'!I223&gt;'минимумы и максимумы'!G$3,100,('исходные данные'!I223-'минимумы и максимумы'!G$2)/('минимумы и максимумы'!G$3-'минимумы и максимумы'!G$2)*100)</f>
        <v>37.735849056603776</v>
      </c>
      <c r="J223" s="1">
        <f>IF('исходные данные'!J223&gt;'минимумы и максимумы'!H$3,100,('исходные данные'!J223-'минимумы и максимумы'!H$2)/('минимумы и максимумы'!H$3-'минимумы и максимумы'!H$2)*100)</f>
        <v>0</v>
      </c>
      <c r="K223" s="1">
        <f>IF('исходные данные'!K223&gt;'минимумы и максимумы'!I$3,100,('исходные данные'!K223-'минимумы и максимумы'!I$2)/('минимумы и максимумы'!I$3-'минимумы и максимумы'!I$2)*100)</f>
        <v>5.5555555555555554</v>
      </c>
      <c r="L223" s="1">
        <f>IF('исходные данные'!L223&gt;'минимумы и максимумы'!J$3,100,('исходные данные'!L223-'минимумы и максимумы'!J$2)/('минимумы и максимумы'!J$3-'минимумы и максимумы'!J$2)*100)</f>
        <v>20</v>
      </c>
      <c r="M223" s="1">
        <f>IF('исходные данные'!M223&gt;'минимумы и максимумы'!K$3,100,('исходные данные'!M223-'минимумы и максимумы'!K$2)/('минимумы и максимумы'!K$3-'минимумы и максимумы'!K$2)*100)</f>
        <v>25.806451612903224</v>
      </c>
      <c r="N223" s="1">
        <f>IF('исходные данные'!N223&gt;'минимумы и максимумы'!L$3,100,('исходные данные'!N223-'минимумы и максимумы'!L$2)/('минимумы и максимумы'!L$3-'минимумы и максимумы'!L$2)*100)</f>
        <v>30.754023998984565</v>
      </c>
      <c r="O223" s="1">
        <f>IF('исходные данные'!O223&gt;'минимумы и максимумы'!M$3,100,('исходные данные'!O223-'минимумы и максимумы'!M$2)/('минимумы и максимумы'!M$3-'минимумы и максимумы'!M$2)*100)</f>
        <v>0</v>
      </c>
      <c r="P223" s="1">
        <f>IF('исходные данные'!P223&gt;'минимумы и максимумы'!N$3,100,('исходные данные'!P223-'минимумы и максимумы'!N$2)/('минимумы и максимумы'!N$3-'минимумы и максимумы'!N$2)*100)</f>
        <v>0</v>
      </c>
      <c r="Q223" s="1">
        <f>IF('исходные данные'!Q223&gt;'минимумы и максимумы'!O$3,100,('исходные данные'!Q223-'минимумы и максимумы'!O$2)/('минимумы и максимумы'!O$3-'минимумы и максимумы'!O$2)*100)</f>
        <v>100</v>
      </c>
      <c r="R223" s="1">
        <f>IF('исходные данные'!R223&gt;'минимумы и максимумы'!P$3,100,('исходные данные'!R223-'минимумы и максимумы'!P$2)/('минимумы и максимумы'!P$3-'минимумы и максимумы'!P$2)*100)</f>
        <v>25</v>
      </c>
      <c r="S223" s="1">
        <f>IF('исходные данные'!S223&gt;'минимумы и максимумы'!Q$3,100,('исходные данные'!S223-'минимумы и максимумы'!Q$2)/('минимумы и максимумы'!Q$3-'минимумы и максимумы'!Q$2)*100)</f>
        <v>16.666666666666664</v>
      </c>
      <c r="T223" s="1">
        <f>IF('исходные данные'!T223&gt;'минимумы и максимумы'!R$3,100,('исходные данные'!T223-'минимумы и максимумы'!R$2)/('минимумы и максимумы'!R$3-'минимумы и максимумы'!R$2)*100)</f>
        <v>18.433787945446547</v>
      </c>
      <c r="U223" s="1">
        <f>IF('исходные данные'!U223&gt;'минимумы и максимумы'!S$3,100,('исходные данные'!U223-'минимумы и максимумы'!S$2)/('минимумы и максимумы'!S$3-'минимумы и максимумы'!S$2)*100)</f>
        <v>0</v>
      </c>
    </row>
    <row r="224" spans="1:21" x14ac:dyDescent="0.45">
      <c r="A224" s="4">
        <v>313</v>
      </c>
      <c r="B224" s="4">
        <v>0</v>
      </c>
      <c r="C224" s="4">
        <v>0</v>
      </c>
      <c r="D224" s="1">
        <f>IF('исходные данные'!D224&gt;'минимумы и максимумы'!B$3,100,('исходные данные'!D224-'минимумы и максимумы'!B$2)/('минимумы и максимумы'!B$3-'минимумы и максимумы'!B$2)*100)</f>
        <v>20</v>
      </c>
      <c r="E224" s="1">
        <f>IF('исходные данные'!E224&gt;'минимумы и максимумы'!C$3,100,('исходные данные'!E224-'минимумы и максимумы'!C$2)/('минимумы и максимумы'!C$3-'минимумы и максимумы'!C$2)*100)</f>
        <v>0</v>
      </c>
      <c r="F224" s="1">
        <f>IF('исходные данные'!F224&gt;'минимумы и максимумы'!D$3,100,('исходные данные'!F224-'минимумы и максимумы'!D$2)/('минимумы и максимумы'!D$3-'минимумы и максимумы'!D$2)*100)</f>
        <v>100</v>
      </c>
      <c r="G224" s="1">
        <f>IF('исходные данные'!G224&gt;'минимумы и максимумы'!E$3,100,('исходные данные'!G224-'минимумы и максимумы'!E$2)/('минимумы и максимумы'!E$3-'минимумы и максимумы'!E$2)*100)</f>
        <v>20.833333333333336</v>
      </c>
      <c r="H224" s="1">
        <f>IF('исходные данные'!H224&gt;'минимумы и максимумы'!F$3,100,('исходные данные'!H224-'минимумы и максимумы'!F$2)/('минимумы и максимумы'!F$3-'минимумы и максимумы'!F$2)*100)</f>
        <v>36</v>
      </c>
      <c r="I224" s="1">
        <f>IF('исходные данные'!I224&gt;'минимумы и максимумы'!G$3,100,('исходные данные'!I224-'минимумы и максимумы'!G$2)/('минимумы и максимумы'!G$3-'минимумы и максимумы'!G$2)*100)</f>
        <v>7.5471698113207548</v>
      </c>
      <c r="J224" s="1">
        <f>IF('исходные данные'!J224&gt;'минимумы и максимумы'!H$3,100,('исходные данные'!J224-'минимумы и максимумы'!H$2)/('минимумы и максимумы'!H$3-'минимумы и максимумы'!H$2)*100)</f>
        <v>6.666666666666667</v>
      </c>
      <c r="K224" s="1">
        <f>IF('исходные данные'!K224&gt;'минимумы и максимумы'!I$3,100,('исходные данные'!K224-'минимумы и максимумы'!I$2)/('минимумы и максимумы'!I$3-'минимумы и максимумы'!I$2)*100)</f>
        <v>11.111111111111111</v>
      </c>
      <c r="L224" s="1">
        <f>IF('исходные данные'!L224&gt;'минимумы и максимумы'!J$3,100,('исходные данные'!L224-'минимумы и максимумы'!J$2)/('минимумы и максимумы'!J$3-'минимумы и максимумы'!J$2)*100)</f>
        <v>20</v>
      </c>
      <c r="M224" s="1">
        <f>IF('исходные данные'!M224&gt;'минимумы и максимумы'!K$3,100,('исходные данные'!M224-'минимумы и максимумы'!K$2)/('минимумы и максимумы'!K$3-'минимумы и максимумы'!K$2)*100)</f>
        <v>19.35483870967742</v>
      </c>
      <c r="N224" s="1">
        <f>IF('исходные данные'!N224&gt;'минимумы и максимумы'!L$3,100,('исходные данные'!N224-'минимумы и максимумы'!L$2)/('минимумы и максимумы'!L$3-'минимумы и максимумы'!L$2)*100)</f>
        <v>37.494637716244789</v>
      </c>
      <c r="O224" s="1">
        <f>IF('исходные данные'!O224&gt;'минимумы и максимумы'!M$3,100,('исходные данные'!O224-'минимумы и максимумы'!M$2)/('минимумы и максимумы'!M$3-'минимумы и максимумы'!M$2)*100)</f>
        <v>0</v>
      </c>
      <c r="P224" s="1">
        <f>IF('исходные данные'!P224&gt;'минимумы и максимумы'!N$3,100,('исходные данные'!P224-'минимумы и максимумы'!N$2)/('минимумы и максимумы'!N$3-'минимумы и максимумы'!N$2)*100)</f>
        <v>0</v>
      </c>
      <c r="Q224" s="1">
        <f>IF('исходные данные'!Q224&gt;'минимумы и максимумы'!O$3,100,('исходные данные'!Q224-'минимумы и максимумы'!O$2)/('минимумы и максимумы'!O$3-'минимумы и максимумы'!O$2)*100)</f>
        <v>100</v>
      </c>
      <c r="R224" s="1">
        <f>IF('исходные данные'!R224&gt;'минимумы и максимумы'!P$3,100,('исходные данные'!R224-'минимумы и максимумы'!P$2)/('минимумы и максимумы'!P$3-'минимумы и максимумы'!P$2)*100)</f>
        <v>100</v>
      </c>
      <c r="S224" s="1">
        <f>IF('исходные данные'!S224&gt;'минимумы и максимумы'!Q$3,100,('исходные данные'!S224-'минимумы и максимумы'!Q$2)/('минимумы и максимумы'!Q$3-'минимумы и максимумы'!Q$2)*100)</f>
        <v>50</v>
      </c>
      <c r="T224" s="1">
        <f>IF('исходные данные'!T224&gt;'минимумы и максимумы'!R$3,100,('исходные данные'!T224-'минимумы и максимумы'!R$2)/('минимумы и максимумы'!R$3-'минимумы и максимумы'!R$2)*100)</f>
        <v>28.376594808622968</v>
      </c>
      <c r="U224" s="1">
        <f>IF('исходные данные'!U224&gt;'минимумы и максимумы'!S$3,100,('исходные данные'!U224-'минимумы и максимумы'!S$2)/('минимумы и максимумы'!S$3-'минимумы и максимумы'!S$2)*100)</f>
        <v>33.333333333333329</v>
      </c>
    </row>
    <row r="225" spans="1:21" x14ac:dyDescent="0.45">
      <c r="A225" s="4">
        <v>314</v>
      </c>
      <c r="B225" s="4">
        <v>0</v>
      </c>
      <c r="C225" s="4">
        <v>0</v>
      </c>
      <c r="D225" s="1">
        <f>IF('исходные данные'!D225&gt;'минимумы и максимумы'!B$3,100,('исходные данные'!D225-'минимумы и максимумы'!B$2)/('минимумы и максимумы'!B$3-'минимумы и максимумы'!B$2)*100)</f>
        <v>20</v>
      </c>
      <c r="E225" s="1">
        <f>IF('исходные данные'!E225&gt;'минимумы и максимумы'!C$3,100,('исходные данные'!E225-'минимумы и максимумы'!C$2)/('минимумы и максимумы'!C$3-'минимумы и максимумы'!C$2)*100)</f>
        <v>0</v>
      </c>
      <c r="F225" s="1">
        <f>IF('исходные данные'!F225&gt;'минимумы и максимумы'!D$3,100,('исходные данные'!F225-'минимумы и максимумы'!D$2)/('минимумы и максимумы'!D$3-'минимумы и максимумы'!D$2)*100)</f>
        <v>100</v>
      </c>
      <c r="G225" s="1">
        <f>IF('исходные данные'!G225&gt;'минимумы и максимумы'!E$3,100,('исходные данные'!G225-'минимумы и максимумы'!E$2)/('минимумы и максимумы'!E$3-'минимумы и максимумы'!E$2)*100)</f>
        <v>20.833333333333336</v>
      </c>
      <c r="H225" s="1">
        <f>IF('исходные данные'!H225&gt;'минимумы и максимумы'!F$3,100,('исходные данные'!H225-'минимумы и максимумы'!F$2)/('минимумы и максимумы'!F$3-'минимумы и максимумы'!F$2)*100)</f>
        <v>36</v>
      </c>
      <c r="I225" s="1">
        <f>IF('исходные данные'!I225&gt;'минимумы и максимумы'!G$3,100,('исходные данные'!I225-'минимумы и максимумы'!G$2)/('минимумы и максимумы'!G$3-'минимумы и максимумы'!G$2)*100)</f>
        <v>7.5471698113207548</v>
      </c>
      <c r="J225" s="1">
        <f>IF('исходные данные'!J225&gt;'минимумы и максимумы'!H$3,100,('исходные данные'!J225-'минимумы и максимумы'!H$2)/('минимумы и максимумы'!H$3-'минимумы и максимумы'!H$2)*100)</f>
        <v>6.666666666666667</v>
      </c>
      <c r="K225" s="1">
        <f>IF('исходные данные'!K225&gt;'минимумы и максимумы'!I$3,100,('исходные данные'!K225-'минимумы и максимумы'!I$2)/('минимумы и максимумы'!I$3-'минимумы и максимумы'!I$2)*100)</f>
        <v>11.111111111111111</v>
      </c>
      <c r="L225" s="1">
        <f>IF('исходные данные'!L225&gt;'минимумы и максимумы'!J$3,100,('исходные данные'!L225-'минимумы и максимумы'!J$2)/('минимумы и максимумы'!J$3-'минимумы и максимумы'!J$2)*100)</f>
        <v>20</v>
      </c>
      <c r="M225" s="1">
        <f>IF('исходные данные'!M225&gt;'минимумы и максимумы'!K$3,100,('исходные данные'!M225-'минимумы и максимумы'!K$2)/('минимумы и максимумы'!K$3-'минимумы и максимумы'!K$2)*100)</f>
        <v>19.35483870967742</v>
      </c>
      <c r="N225" s="1">
        <f>IF('исходные данные'!N225&gt;'минимумы и максимумы'!L$3,100,('исходные данные'!N225-'минимумы и максимумы'!L$2)/('минимумы и максимумы'!L$3-'минимумы и максимумы'!L$2)*100)</f>
        <v>37.800771950349372</v>
      </c>
      <c r="O225" s="1">
        <f>IF('исходные данные'!O225&gt;'минимумы и максимумы'!M$3,100,('исходные данные'!O225-'минимумы и максимумы'!M$2)/('минимумы и максимумы'!M$3-'минимумы и максимумы'!M$2)*100)</f>
        <v>66.666666666666657</v>
      </c>
      <c r="P225" s="1">
        <f>IF('исходные данные'!P225&gt;'минимумы и максимумы'!N$3,100,('исходные данные'!P225-'минимумы и максимумы'!N$2)/('минимумы и максимумы'!N$3-'минимумы и максимумы'!N$2)*100)</f>
        <v>0</v>
      </c>
      <c r="Q225" s="1">
        <f>IF('исходные данные'!Q225&gt;'минимумы и максимумы'!O$3,100,('исходные данные'!Q225-'минимумы и максимумы'!O$2)/('минимумы и максимумы'!O$3-'минимумы и максимумы'!O$2)*100)</f>
        <v>100</v>
      </c>
      <c r="R225" s="1">
        <f>IF('исходные данные'!R225&gt;'минимумы и максимумы'!P$3,100,('исходные данные'!R225-'минимумы и максимумы'!P$2)/('минимумы и максимумы'!P$3-'минимумы и максимумы'!P$2)*100)</f>
        <v>100</v>
      </c>
      <c r="S225" s="1">
        <f>IF('исходные данные'!S225&gt;'минимумы и максимумы'!Q$3,100,('исходные данные'!S225-'минимумы и максимумы'!Q$2)/('минимумы и максимумы'!Q$3-'минимумы и максимумы'!Q$2)*100)</f>
        <v>50</v>
      </c>
      <c r="T225" s="1">
        <f>IF('исходные данные'!T225&gt;'минимумы и максимумы'!R$3,100,('исходные данные'!T225-'минимумы и максимумы'!R$2)/('минимумы и максимумы'!R$3-'минимумы и максимумы'!R$2)*100)</f>
        <v>28.376594808622968</v>
      </c>
      <c r="U225" s="1">
        <f>IF('исходные данные'!U225&gt;'минимумы и максимумы'!S$3,100,('исходные данные'!U225-'минимумы и максимумы'!S$2)/('минимумы и максимумы'!S$3-'минимумы и максимумы'!S$2)*100)</f>
        <v>33.333333333333329</v>
      </c>
    </row>
    <row r="226" spans="1:21" x14ac:dyDescent="0.45">
      <c r="A226" s="4">
        <v>315</v>
      </c>
      <c r="B226" s="4">
        <v>0</v>
      </c>
      <c r="C226" s="4">
        <v>0</v>
      </c>
      <c r="D226" s="1">
        <f>IF('исходные данные'!D226&gt;'минимумы и максимумы'!B$3,100,('исходные данные'!D226-'минимумы и максимумы'!B$2)/('минимумы и максимумы'!B$3-'минимумы и максимумы'!B$2)*100)</f>
        <v>20</v>
      </c>
      <c r="E226" s="1">
        <f>IF('исходные данные'!E226&gt;'минимумы и максимумы'!C$3,100,('исходные данные'!E226-'минимумы и максимумы'!C$2)/('минимумы и максимумы'!C$3-'минимумы и максимумы'!C$2)*100)</f>
        <v>0</v>
      </c>
      <c r="F226" s="1">
        <f>IF('исходные данные'!F226&gt;'минимумы и максимумы'!D$3,100,('исходные данные'!F226-'минимумы и максимумы'!D$2)/('минимумы и максимумы'!D$3-'минимумы и максимумы'!D$2)*100)</f>
        <v>100</v>
      </c>
      <c r="G226" s="1">
        <f>IF('исходные данные'!G226&gt;'минимумы и максимумы'!E$3,100,('исходные данные'!G226-'минимумы и максимумы'!E$2)/('минимумы и максимумы'!E$3-'минимумы и максимумы'!E$2)*100)</f>
        <v>20.833333333333336</v>
      </c>
      <c r="H226" s="1">
        <f>IF('исходные данные'!H226&gt;'минимумы и максимумы'!F$3,100,('исходные данные'!H226-'минимумы и максимумы'!F$2)/('минимумы и максимумы'!F$3-'минимумы и максимумы'!F$2)*100)</f>
        <v>36</v>
      </c>
      <c r="I226" s="1">
        <f>IF('исходные данные'!I226&gt;'минимумы и максимумы'!G$3,100,('исходные данные'!I226-'минимумы и максимумы'!G$2)/('минимумы и максимумы'!G$3-'минимумы и максимумы'!G$2)*100)</f>
        <v>7.5471698113207548</v>
      </c>
      <c r="J226" s="1">
        <f>IF('исходные данные'!J226&gt;'минимумы и максимумы'!H$3,100,('исходные данные'!J226-'минимумы и максимумы'!H$2)/('минимумы и максимумы'!H$3-'минимумы и максимумы'!H$2)*100)</f>
        <v>6.666666666666667</v>
      </c>
      <c r="K226" s="1">
        <f>IF('исходные данные'!K226&gt;'минимумы и максимумы'!I$3,100,('исходные данные'!K226-'минимумы и максимумы'!I$2)/('минимумы и максимумы'!I$3-'минимумы и максимумы'!I$2)*100)</f>
        <v>11.111111111111111</v>
      </c>
      <c r="L226" s="1">
        <f>IF('исходные данные'!L226&gt;'минимумы и максимумы'!J$3,100,('исходные данные'!L226-'минимумы и максимумы'!J$2)/('минимумы и максимумы'!J$3-'минимумы и максимумы'!J$2)*100)</f>
        <v>20</v>
      </c>
      <c r="M226" s="1">
        <f>IF('исходные данные'!M226&gt;'минимумы и максимумы'!K$3,100,('исходные данные'!M226-'минимумы и максимумы'!K$2)/('минимумы и максимумы'!K$3-'минимумы и максимумы'!K$2)*100)</f>
        <v>19.35483870967742</v>
      </c>
      <c r="N226" s="1">
        <f>IF('исходные данные'!N226&gt;'минимумы и максимумы'!L$3,100,('исходные данные'!N226-'минимумы и максимумы'!L$2)/('минимумы и максимумы'!L$3-'минимумы и максимумы'!L$2)*100)</f>
        <v>37.764204897175908</v>
      </c>
      <c r="O226" s="1">
        <f>IF('исходные данные'!O226&gt;'минимумы и максимумы'!M$3,100,('исходные данные'!O226-'минимумы и максимумы'!M$2)/('минимумы и максимумы'!M$3-'минимумы и максимумы'!M$2)*100)</f>
        <v>66.666666666666657</v>
      </c>
      <c r="P226" s="1">
        <f>IF('исходные данные'!P226&gt;'минимумы и максимумы'!N$3,100,('исходные данные'!P226-'минимумы и максимумы'!N$2)/('минимумы и максимумы'!N$3-'минимумы и максимумы'!N$2)*100)</f>
        <v>0</v>
      </c>
      <c r="Q226" s="1">
        <f>IF('исходные данные'!Q226&gt;'минимумы и максимумы'!O$3,100,('исходные данные'!Q226-'минимумы и максимумы'!O$2)/('минимумы и максимумы'!O$3-'минимумы и максимумы'!O$2)*100)</f>
        <v>100</v>
      </c>
      <c r="R226" s="1">
        <f>IF('исходные данные'!R226&gt;'минимумы и максимумы'!P$3,100,('исходные данные'!R226-'минимумы и максимумы'!P$2)/('минимумы и максимумы'!P$3-'минимумы и максимумы'!P$2)*100)</f>
        <v>100</v>
      </c>
      <c r="S226" s="1">
        <f>IF('исходные данные'!S226&gt;'минимумы и максимумы'!Q$3,100,('исходные данные'!S226-'минимумы и максимумы'!Q$2)/('минимумы и максимумы'!Q$3-'минимумы и максимумы'!Q$2)*100)</f>
        <v>50</v>
      </c>
      <c r="T226" s="1">
        <f>IF('исходные данные'!T226&gt;'минимумы и максимумы'!R$3,100,('исходные данные'!T226-'минимумы и максимумы'!R$2)/('минимумы и максимумы'!R$3-'минимумы и максимумы'!R$2)*100)</f>
        <v>28.376594808622968</v>
      </c>
      <c r="U226" s="1">
        <f>IF('исходные данные'!U226&gt;'минимумы и максимумы'!S$3,100,('исходные данные'!U226-'минимумы и максимумы'!S$2)/('минимумы и максимумы'!S$3-'минимумы и максимумы'!S$2)*100)</f>
        <v>33.333333333333329</v>
      </c>
    </row>
    <row r="227" spans="1:21" x14ac:dyDescent="0.45">
      <c r="A227" s="4">
        <v>316</v>
      </c>
      <c r="B227" s="4">
        <v>0</v>
      </c>
      <c r="C227" s="4">
        <v>0</v>
      </c>
      <c r="D227" s="1">
        <f>IF('исходные данные'!D227&gt;'минимумы и максимумы'!B$3,100,('исходные данные'!D227-'минимумы и максимумы'!B$2)/('минимумы и максимумы'!B$3-'минимумы и максимумы'!B$2)*100)</f>
        <v>20</v>
      </c>
      <c r="E227" s="1">
        <f>IF('исходные данные'!E227&gt;'минимумы и максимумы'!C$3,100,('исходные данные'!E227-'минимумы и максимумы'!C$2)/('минимумы и максимумы'!C$3-'минимумы и максимумы'!C$2)*100)</f>
        <v>10</v>
      </c>
      <c r="F227" s="1">
        <f>IF('исходные данные'!F227&gt;'минимумы и максимумы'!D$3,100,('исходные данные'!F227-'минимумы и максимумы'!D$2)/('минимумы и максимумы'!D$3-'минимумы и максимумы'!D$2)*100)</f>
        <v>100</v>
      </c>
      <c r="G227" s="1">
        <f>IF('исходные данные'!G227&gt;'минимумы и максимумы'!E$3,100,('исходные данные'!G227-'минимумы и максимумы'!E$2)/('минимумы и максимумы'!E$3-'минимумы и максимумы'!E$2)*100)</f>
        <v>20.833333333333336</v>
      </c>
      <c r="H227" s="1">
        <f>IF('исходные данные'!H227&gt;'минимумы и максимумы'!F$3,100,('исходные данные'!H227-'минимумы и максимумы'!F$2)/('минимумы и максимумы'!F$3-'минимумы и максимумы'!F$2)*100)</f>
        <v>36</v>
      </c>
      <c r="I227" s="1">
        <f>IF('исходные данные'!I227&gt;'минимумы и максимумы'!G$3,100,('исходные данные'!I227-'минимумы и максимумы'!G$2)/('минимумы и максимумы'!G$3-'минимумы и максимумы'!G$2)*100)</f>
        <v>5.6603773584905666</v>
      </c>
      <c r="J227" s="1">
        <f>IF('исходные данные'!J227&gt;'минимумы и максимумы'!H$3,100,('исходные данные'!J227-'минимумы и максимумы'!H$2)/('минимумы и максимумы'!H$3-'минимумы и максимумы'!H$2)*100)</f>
        <v>0</v>
      </c>
      <c r="K227" s="1">
        <f>IF('исходные данные'!K227&gt;'минимумы и максимумы'!I$3,100,('исходные данные'!K227-'минимумы и максимумы'!I$2)/('минимумы и максимумы'!I$3-'минимумы и максимумы'!I$2)*100)</f>
        <v>0</v>
      </c>
      <c r="L227" s="1">
        <f>IF('исходные данные'!L227&gt;'минимумы и максимумы'!J$3,100,('исходные данные'!L227-'минимумы и максимумы'!J$2)/('минимумы и максимумы'!J$3-'минимумы и максимумы'!J$2)*100)</f>
        <v>20</v>
      </c>
      <c r="M227" s="1">
        <f>IF('исходные данные'!M227&gt;'минимумы и максимумы'!K$3,100,('исходные данные'!M227-'минимумы и максимумы'!K$2)/('минимумы и максимумы'!K$3-'минимумы и максимумы'!K$2)*100)</f>
        <v>12.903225806451612</v>
      </c>
      <c r="N227" s="1">
        <f>IF('исходные данные'!N227&gt;'минимумы и максимумы'!L$3,100,('исходные данные'!N227-'минимумы и максимумы'!L$2)/('минимумы и максимумы'!L$3-'минимумы и максимумы'!L$2)*100)</f>
        <v>40.671317355363058</v>
      </c>
      <c r="O227" s="1">
        <f>IF('исходные данные'!O227&gt;'минимумы и максимумы'!M$3,100,('исходные данные'!O227-'минимумы и максимумы'!M$2)/('минимумы и максимумы'!M$3-'минимумы и максимумы'!M$2)*100)</f>
        <v>66.666666666666657</v>
      </c>
      <c r="P227" s="1">
        <f>IF('исходные данные'!P227&gt;'минимумы и максимумы'!N$3,100,('исходные данные'!P227-'минимумы и максимумы'!N$2)/('минимумы и максимумы'!N$3-'минимумы и максимумы'!N$2)*100)</f>
        <v>0</v>
      </c>
      <c r="Q227" s="1">
        <f>IF('исходные данные'!Q227&gt;'минимумы и максимумы'!O$3,100,('исходные данные'!Q227-'минимумы и максимумы'!O$2)/('минимумы и максимумы'!O$3-'минимумы и максимумы'!O$2)*100)</f>
        <v>100</v>
      </c>
      <c r="R227" s="1">
        <f>IF('исходные данные'!R227&gt;'минимумы и максимумы'!P$3,100,('исходные данные'!R227-'минимумы и максимумы'!P$2)/('минимумы и максимумы'!P$3-'минимумы и максимумы'!P$2)*100)</f>
        <v>75</v>
      </c>
      <c r="S227" s="1">
        <f>IF('исходные данные'!S227&gt;'минимумы и максимумы'!Q$3,100,('исходные данные'!S227-'минимумы и максимумы'!Q$2)/('минимумы и максимумы'!Q$3-'минимумы и максимумы'!Q$2)*100)</f>
        <v>33.333333333333329</v>
      </c>
      <c r="T227" s="1">
        <f>IF('исходные данные'!T227&gt;'минимумы и максимумы'!R$3,100,('исходные данные'!T227-'минимумы и максимумы'!R$2)/('минимумы и максимумы'!R$3-'минимумы и максимумы'!R$2)*100)</f>
        <v>22.701275846898373</v>
      </c>
      <c r="U227" s="1">
        <f>IF('исходные данные'!U227&gt;'минимумы и максимумы'!S$3,100,('исходные данные'!U227-'минимумы и максимумы'!S$2)/('минимумы и максимумы'!S$3-'минимумы и максимумы'!S$2)*100)</f>
        <v>0</v>
      </c>
    </row>
    <row r="228" spans="1:21" x14ac:dyDescent="0.45">
      <c r="A228" s="4">
        <v>317</v>
      </c>
      <c r="B228" s="4">
        <v>0</v>
      </c>
      <c r="C228" s="4">
        <v>0</v>
      </c>
      <c r="D228" s="1">
        <f>IF('исходные данные'!D228&gt;'минимумы и максимумы'!B$3,100,('исходные данные'!D228-'минимумы и максимумы'!B$2)/('минимумы и максимумы'!B$3-'минимумы и максимумы'!B$2)*100)</f>
        <v>0</v>
      </c>
      <c r="E228" s="1">
        <f>IF('исходные данные'!E228&gt;'минимумы и максимумы'!C$3,100,('исходные данные'!E228-'минимумы и максимумы'!C$2)/('минимумы и максимумы'!C$3-'минимумы и максимумы'!C$2)*100)</f>
        <v>10</v>
      </c>
      <c r="F228" s="1">
        <f>IF('исходные данные'!F228&gt;'минимумы и максимумы'!D$3,100,('исходные данные'!F228-'минимумы и максимумы'!D$2)/('минимумы и максимумы'!D$3-'минимумы и максимумы'!D$2)*100)</f>
        <v>0</v>
      </c>
      <c r="G228" s="1">
        <f>IF('исходные данные'!G228&gt;'минимумы и максимумы'!E$3,100,('исходные данные'!G228-'минимумы и максимумы'!E$2)/('минимумы и максимумы'!E$3-'минимумы и максимумы'!E$2)*100)</f>
        <v>16.666666666666664</v>
      </c>
      <c r="H228" s="1">
        <f>IF('исходные данные'!H228&gt;'минимумы и максимумы'!F$3,100,('исходные данные'!H228-'минимумы и максимумы'!F$2)/('минимумы и максимумы'!F$3-'минимумы и максимумы'!F$2)*100)</f>
        <v>24</v>
      </c>
      <c r="I228" s="1">
        <f>IF('исходные данные'!I228&gt;'минимумы и максимумы'!G$3,100,('исходные данные'!I228-'минимумы и максимумы'!G$2)/('минимумы и максимумы'!G$3-'минимумы и максимумы'!G$2)*100)</f>
        <v>13.20754716981132</v>
      </c>
      <c r="J228" s="1">
        <f>IF('исходные данные'!J228&gt;'минимумы и максимумы'!H$3,100,('исходные данные'!J228-'минимумы и максимумы'!H$2)/('минимумы и максимумы'!H$3-'минимумы и максимумы'!H$2)*100)</f>
        <v>6.666666666666667</v>
      </c>
      <c r="K228" s="1">
        <f>IF('исходные данные'!K228&gt;'минимумы и максимумы'!I$3,100,('исходные данные'!K228-'минимумы и максимумы'!I$2)/('минимумы и максимумы'!I$3-'минимумы и максимумы'!I$2)*100)</f>
        <v>0</v>
      </c>
      <c r="L228" s="1">
        <f>IF('исходные данные'!L228&gt;'минимумы и максимумы'!J$3,100,('исходные данные'!L228-'минимумы и максимумы'!J$2)/('минимумы и максимумы'!J$3-'минимумы и максимумы'!J$2)*100)</f>
        <v>0</v>
      </c>
      <c r="M228" s="1">
        <f>IF('исходные данные'!M228&gt;'минимумы и максимумы'!K$3,100,('исходные данные'!M228-'минимумы и максимумы'!K$2)/('минимумы и максимумы'!K$3-'минимумы и максимумы'!K$2)*100)</f>
        <v>58.064516129032263</v>
      </c>
      <c r="N228" s="1">
        <f>IF('исходные данные'!N228&gt;'минимумы и максимумы'!L$3,100,('исходные данные'!N228-'минимумы и максимумы'!L$2)/('минимумы и максимумы'!L$3-'минимумы и максимумы'!L$2)*100)</f>
        <v>44.285813676826393</v>
      </c>
      <c r="O228" s="1">
        <f>IF('исходные данные'!O228&gt;'минимумы и максимумы'!M$3,100,('исходные данные'!O228-'минимумы и максимумы'!M$2)/('минимумы и максимумы'!M$3-'минимумы и максимумы'!M$2)*100)</f>
        <v>0</v>
      </c>
      <c r="P228" s="1">
        <f>IF('исходные данные'!P228&gt;'минимумы и максимумы'!N$3,100,('исходные данные'!P228-'минимумы и максимумы'!N$2)/('минимумы и максимумы'!N$3-'минимумы и максимумы'!N$2)*100)</f>
        <v>0</v>
      </c>
      <c r="Q228" s="1">
        <f>IF('исходные данные'!Q228&gt;'минимумы и максимумы'!O$3,100,('исходные данные'!Q228-'минимумы и максимумы'!O$2)/('минимумы и максимумы'!O$3-'минимумы и максимумы'!O$2)*100)</f>
        <v>100</v>
      </c>
      <c r="R228" s="1">
        <f>IF('исходные данные'!R228&gt;'минимумы и максимумы'!P$3,100,('исходные данные'!R228-'минимумы и максимумы'!P$2)/('минимумы и максимумы'!P$3-'минимумы и максимумы'!P$2)*100)</f>
        <v>100</v>
      </c>
      <c r="S228" s="1">
        <f>IF('исходные данные'!S228&gt;'минимумы и максимумы'!Q$3,100,('исходные данные'!S228-'минимумы и максимумы'!Q$2)/('минимумы и максимумы'!Q$3-'минимумы и максимумы'!Q$2)*100)</f>
        <v>83.333333333333343</v>
      </c>
      <c r="T228" s="1">
        <f>IF('исходные данные'!T228&gt;'минимумы и максимумы'!R$3,100,('исходные данные'!T228-'минимумы и максимумы'!R$2)/('минимумы и максимумы'!R$3-'минимумы и максимумы'!R$2)*100)</f>
        <v>33.523977122745272</v>
      </c>
      <c r="U228" s="1">
        <f>IF('исходные данные'!U228&gt;'минимумы и максимумы'!S$3,100,('исходные данные'!U228-'минимумы и максимумы'!S$2)/('минимумы и максимумы'!S$3-'минимумы и максимумы'!S$2)*100)</f>
        <v>0</v>
      </c>
    </row>
    <row r="229" spans="1:21" x14ac:dyDescent="0.45">
      <c r="A229" s="4">
        <v>318</v>
      </c>
      <c r="B229" s="4">
        <v>0</v>
      </c>
      <c r="C229" s="4">
        <v>0</v>
      </c>
      <c r="D229" s="1">
        <f>IF('исходные данные'!D229&gt;'минимумы и максимумы'!B$3,100,('исходные данные'!D229-'минимумы и максимумы'!B$2)/('минимумы и максимумы'!B$3-'минимумы и максимумы'!B$2)*100)</f>
        <v>20</v>
      </c>
      <c r="E229" s="1">
        <f>IF('исходные данные'!E229&gt;'минимумы и максимумы'!C$3,100,('исходные данные'!E229-'минимумы и максимумы'!C$2)/('минимумы и максимумы'!C$3-'минимумы и максимумы'!C$2)*100)</f>
        <v>20</v>
      </c>
      <c r="F229" s="1">
        <f>IF('исходные данные'!F229&gt;'минимумы и максимумы'!D$3,100,('исходные данные'!F229-'минимумы и максимумы'!D$2)/('минимумы и максимумы'!D$3-'минимумы и максимумы'!D$2)*100)</f>
        <v>33.333333333333329</v>
      </c>
      <c r="G229" s="1">
        <f>IF('исходные данные'!G229&gt;'минимумы и максимумы'!E$3,100,('исходные данные'!G229-'минимумы и максимумы'!E$2)/('минимумы и максимумы'!E$3-'минимумы и максимумы'!E$2)*100)</f>
        <v>25</v>
      </c>
      <c r="H229" s="1">
        <f>IF('исходные данные'!H229&gt;'минимумы и максимумы'!F$3,100,('исходные данные'!H229-'минимумы и максимумы'!F$2)/('минимумы и максимумы'!F$3-'минимумы и максимумы'!F$2)*100)</f>
        <v>20</v>
      </c>
      <c r="I229" s="1">
        <f>IF('исходные данные'!I229&gt;'минимумы и максимумы'!G$3,100,('исходные данные'!I229-'минимумы и максимумы'!G$2)/('минимумы и максимумы'!G$3-'минимумы и максимумы'!G$2)*100)</f>
        <v>1.8867924528301887</v>
      </c>
      <c r="J229" s="1">
        <f>IF('исходные данные'!J229&gt;'минимумы и максимумы'!H$3,100,('исходные данные'!J229-'минимумы и максимумы'!H$2)/('минимумы и максимумы'!H$3-'минимумы и максимумы'!H$2)*100)</f>
        <v>0</v>
      </c>
      <c r="K229" s="1">
        <f>IF('исходные данные'!K229&gt;'минимумы и максимумы'!I$3,100,('исходные данные'!K229-'минимумы и максимумы'!I$2)/('минимумы и максимумы'!I$3-'минимумы и максимумы'!I$2)*100)</f>
        <v>0</v>
      </c>
      <c r="L229" s="1">
        <f>IF('исходные данные'!L229&gt;'минимумы и максимумы'!J$3,100,('исходные данные'!L229-'минимумы и максимумы'!J$2)/('минимумы и максимумы'!J$3-'минимумы и максимумы'!J$2)*100)</f>
        <v>0</v>
      </c>
      <c r="M229" s="1">
        <f>IF('исходные данные'!M229&gt;'минимумы и максимумы'!K$3,100,('исходные данные'!M229-'минимумы и максимумы'!K$2)/('минимумы и максимумы'!K$3-'минимумы и максимумы'!K$2)*100)</f>
        <v>25.806451612903224</v>
      </c>
      <c r="N229" s="1">
        <f>IF('исходные данные'!N229&gt;'минимумы и максимумы'!L$3,100,('исходные данные'!N229-'минимумы и максимумы'!L$2)/('минимумы и максимумы'!L$3-'минимумы и максимумы'!L$2)*100)</f>
        <v>51.658638597760145</v>
      </c>
      <c r="O229" s="1">
        <f>IF('исходные данные'!O229&gt;'минимумы и максимумы'!M$3,100,('исходные данные'!O229-'минимумы и максимумы'!M$2)/('минимумы и максимумы'!M$3-'минимумы и максимумы'!M$2)*100)</f>
        <v>100</v>
      </c>
      <c r="P229" s="1">
        <f>IF('исходные данные'!P229&gt;'минимумы и максимумы'!N$3,100,('исходные данные'!P229-'минимумы и максимумы'!N$2)/('минимумы и максимумы'!N$3-'минимумы и максимумы'!N$2)*100)</f>
        <v>0</v>
      </c>
      <c r="Q229" s="1">
        <f>IF('исходные данные'!Q229&gt;'минимумы и максимумы'!O$3,100,('исходные данные'!Q229-'минимумы и максимумы'!O$2)/('минимумы и максимумы'!O$3-'минимумы и максимумы'!O$2)*100)</f>
        <v>100</v>
      </c>
      <c r="R229" s="1">
        <f>IF('исходные данные'!R229&gt;'минимумы и максимумы'!P$3,100,('исходные данные'!R229-'минимумы и максимумы'!P$2)/('минимумы и максимумы'!P$3-'минимумы и максимумы'!P$2)*100)</f>
        <v>75</v>
      </c>
      <c r="S229" s="1">
        <f>IF('исходные данные'!S229&gt;'минимумы и максимумы'!Q$3,100,('исходные данные'!S229-'минимумы и максимумы'!Q$2)/('минимумы и максимумы'!Q$3-'минимумы и максимумы'!Q$2)*100)</f>
        <v>66.666666666666657</v>
      </c>
      <c r="T229" s="1">
        <f>IF('исходные данные'!T229&gt;'минимумы и максимумы'!R$3,100,('исходные данные'!T229-'минимумы и максимумы'!R$2)/('минимумы и максимумы'!R$3-'минимумы и максимумы'!R$2)*100)</f>
        <v>100</v>
      </c>
      <c r="U229" s="1">
        <f>IF('исходные данные'!U229&gt;'минимумы и максимумы'!S$3,100,('исходные данные'!U229-'минимумы и максимумы'!S$2)/('минимумы и максимумы'!S$3-'минимумы и максимумы'!S$2)*100)</f>
        <v>100</v>
      </c>
    </row>
    <row r="230" spans="1:21" x14ac:dyDescent="0.45">
      <c r="A230" s="4">
        <v>319</v>
      </c>
      <c r="B230" s="4">
        <v>0</v>
      </c>
      <c r="C230" s="4">
        <v>0</v>
      </c>
      <c r="D230" s="1">
        <f>IF('исходные данные'!D230&gt;'минимумы и максимумы'!B$3,100,('исходные данные'!D230-'минимумы и максимумы'!B$2)/('минимумы и максимумы'!B$3-'минимумы и максимумы'!B$2)*100)</f>
        <v>60</v>
      </c>
      <c r="E230" s="1">
        <f>IF('исходные данные'!E230&gt;'минимумы и максимумы'!C$3,100,('исходные данные'!E230-'минимумы и максимумы'!C$2)/('минимумы и максимумы'!C$3-'минимумы и максимумы'!C$2)*100)</f>
        <v>40</v>
      </c>
      <c r="F230" s="1">
        <f>IF('исходные данные'!F230&gt;'минимумы и максимумы'!D$3,100,('исходные данные'!F230-'минимумы и максимумы'!D$2)/('минимумы и максимумы'!D$3-'минимумы и максимумы'!D$2)*100)</f>
        <v>100</v>
      </c>
      <c r="G230" s="1">
        <f>IF('исходные данные'!G230&gt;'минимумы и максимумы'!E$3,100,('исходные данные'!G230-'минимумы и максимумы'!E$2)/('минимумы и максимумы'!E$3-'минимумы и максимумы'!E$2)*100)</f>
        <v>16.666666666666664</v>
      </c>
      <c r="H230" s="1">
        <f>IF('исходные данные'!H230&gt;'минимумы и максимумы'!F$3,100,('исходные данные'!H230-'минимумы и максимумы'!F$2)/('минимумы и максимумы'!F$3-'минимумы и максимумы'!F$2)*100)</f>
        <v>16</v>
      </c>
      <c r="I230" s="1">
        <f>IF('исходные данные'!I230&gt;'минимумы и максимумы'!G$3,100,('исходные данные'!I230-'минимумы и максимумы'!G$2)/('минимумы и максимумы'!G$3-'минимумы и максимумы'!G$2)*100)</f>
        <v>3.7735849056603774</v>
      </c>
      <c r="J230" s="1">
        <f>IF('исходные данные'!J230&gt;'минимумы и максимумы'!H$3,100,('исходные данные'!J230-'минимумы и максимумы'!H$2)/('минимумы и максимумы'!H$3-'минимумы и максимумы'!H$2)*100)</f>
        <v>0</v>
      </c>
      <c r="K230" s="1">
        <f>IF('исходные данные'!K230&gt;'минимумы и максимумы'!I$3,100,('исходные данные'!K230-'минимумы и максимумы'!I$2)/('минимумы и максимумы'!I$3-'минимумы и максимумы'!I$2)*100)</f>
        <v>0</v>
      </c>
      <c r="L230" s="1">
        <f>IF('исходные данные'!L230&gt;'минимумы и максимумы'!J$3,100,('исходные данные'!L230-'минимумы и максимумы'!J$2)/('минимумы и максимумы'!J$3-'минимумы и максимумы'!J$2)*100)</f>
        <v>0</v>
      </c>
      <c r="M230" s="1">
        <f>IF('исходные данные'!M230&gt;'минимумы и максимумы'!K$3,100,('исходные данные'!M230-'минимумы и максимумы'!K$2)/('минимумы и максимумы'!K$3-'минимумы и максимумы'!K$2)*100)</f>
        <v>22.58064516129032</v>
      </c>
      <c r="N230" s="1">
        <f>IF('исходные данные'!N230&gt;'минимумы и максимумы'!L$3,100,('исходные данные'!N230-'минимумы и максимумы'!L$2)/('минимумы и максимумы'!L$3-'минимумы и максимумы'!L$2)*100)</f>
        <v>59.6566865274078</v>
      </c>
      <c r="O230" s="1">
        <f>IF('исходные данные'!O230&gt;'минимумы и максимумы'!M$3,100,('исходные данные'!O230-'минимумы и максимумы'!M$2)/('минимумы и максимумы'!M$3-'минимумы и максимумы'!M$2)*100)</f>
        <v>100</v>
      </c>
      <c r="P230" s="1">
        <f>IF('исходные данные'!P230&gt;'минимумы и максимумы'!N$3,100,('исходные данные'!P230-'минимумы и максимумы'!N$2)/('минимумы и максимумы'!N$3-'минимумы и максимумы'!N$2)*100)</f>
        <v>0</v>
      </c>
      <c r="Q230" s="1">
        <f>IF('исходные данные'!Q230&gt;'минимумы и максимумы'!O$3,100,('исходные данные'!Q230-'минимумы и максимумы'!O$2)/('минимумы и максимумы'!O$3-'минимумы и максимумы'!O$2)*100)</f>
        <v>100</v>
      </c>
      <c r="R230" s="1">
        <f>IF('исходные данные'!R230&gt;'минимумы и максимумы'!P$3,100,('исходные данные'!R230-'минимумы и максимумы'!P$2)/('минимумы и максимумы'!P$3-'минимумы и максимумы'!P$2)*100)</f>
        <v>100</v>
      </c>
      <c r="S230" s="1">
        <f>IF('исходные данные'!S230&gt;'минимумы и максимумы'!Q$3,100,('исходные данные'!S230-'минимумы и максимумы'!Q$2)/('минимумы и максимумы'!Q$3-'минимумы и максимумы'!Q$2)*100)</f>
        <v>33.333333333333329</v>
      </c>
      <c r="T230" s="1">
        <f>IF('исходные данные'!T230&gt;'минимумы и максимумы'!R$3,100,('исходные данные'!T230-'минимумы и максимумы'!R$2)/('минимумы и максимумы'!R$3-'минимумы и максимумы'!R$2)*100)</f>
        <v>46.238451385833699</v>
      </c>
      <c r="U230" s="1">
        <f>IF('исходные данные'!U230&gt;'минимумы и максимумы'!S$3,100,('исходные данные'!U230-'минимумы и максимумы'!S$2)/('минимумы и максимумы'!S$3-'минимумы и максимумы'!S$2)*100)</f>
        <v>66.666666666666657</v>
      </c>
    </row>
    <row r="231" spans="1:21" x14ac:dyDescent="0.45">
      <c r="A231" s="4">
        <v>320</v>
      </c>
      <c r="B231" s="4">
        <v>0</v>
      </c>
      <c r="C231" s="4">
        <v>0</v>
      </c>
      <c r="D231" s="1">
        <f>IF('исходные данные'!D231&gt;'минимумы и максимумы'!B$3,100,('исходные данные'!D231-'минимумы и максимумы'!B$2)/('минимумы и максимумы'!B$3-'минимумы и максимумы'!B$2)*100)</f>
        <v>40</v>
      </c>
      <c r="E231" s="1">
        <f>IF('исходные данные'!E231&gt;'минимумы и максимумы'!C$3,100,('исходные данные'!E231-'минимумы и максимумы'!C$2)/('минимумы и максимумы'!C$3-'минимумы и максимумы'!C$2)*100)</f>
        <v>40</v>
      </c>
      <c r="F231" s="1">
        <f>IF('исходные данные'!F231&gt;'минимумы и максимумы'!D$3,100,('исходные данные'!F231-'минимумы и максимумы'!D$2)/('минимумы и максимумы'!D$3-'минимумы и максимумы'!D$2)*100)</f>
        <v>33.333333333333329</v>
      </c>
      <c r="G231" s="1">
        <f>IF('исходные данные'!G231&gt;'минимумы и максимумы'!E$3,100,('исходные данные'!G231-'минимумы и максимумы'!E$2)/('минимумы и максимумы'!E$3-'минимумы и максимумы'!E$2)*100)</f>
        <v>50</v>
      </c>
      <c r="H231" s="1">
        <f>IF('исходные данные'!H231&gt;'минимумы и максимумы'!F$3,100,('исходные данные'!H231-'минимумы и максимумы'!F$2)/('минимумы и максимумы'!F$3-'минимумы и максимумы'!F$2)*100)</f>
        <v>40</v>
      </c>
      <c r="I231" s="1">
        <f>IF('исходные данные'!I231&gt;'минимумы и максимумы'!G$3,100,('исходные данные'!I231-'минимумы и максимумы'!G$2)/('минимумы и максимумы'!G$3-'минимумы и максимумы'!G$2)*100)</f>
        <v>11.320754716981133</v>
      </c>
      <c r="J231" s="1">
        <f>IF('исходные данные'!J231&gt;'минимумы и максимумы'!H$3,100,('исходные данные'!J231-'минимумы и максимумы'!H$2)/('минимумы и максимумы'!H$3-'минимумы и максимумы'!H$2)*100)</f>
        <v>6.666666666666667</v>
      </c>
      <c r="K231" s="1">
        <f>IF('исходные данные'!K231&gt;'минимумы и максимумы'!I$3,100,('исходные данные'!K231-'минимумы и максимумы'!I$2)/('минимумы и максимумы'!I$3-'минимумы и максимумы'!I$2)*100)</f>
        <v>5.5555555555555554</v>
      </c>
      <c r="L231" s="1">
        <f>IF('исходные данные'!L231&gt;'минимумы и максимумы'!J$3,100,('исходные данные'!L231-'минимумы и максимумы'!J$2)/('минимумы и максимумы'!J$3-'минимумы и максимумы'!J$2)*100)</f>
        <v>0</v>
      </c>
      <c r="M231" s="1">
        <f>IF('исходные данные'!M231&gt;'минимумы и максимумы'!K$3,100,('исходные данные'!M231-'минимумы и максимумы'!K$2)/('минимумы и максимумы'!K$3-'минимумы и максимумы'!K$2)*100)</f>
        <v>22.58064516129032</v>
      </c>
      <c r="N231" s="1">
        <f>IF('исходные данные'!N231&gt;'минимумы и максимумы'!L$3,100,('исходные данные'!N231-'минимумы и максимумы'!L$2)/('минимумы и максимумы'!L$3-'минимумы и максимумы'!L$2)*100)</f>
        <v>58.614428213809212</v>
      </c>
      <c r="O231" s="1">
        <f>IF('исходные данные'!O231&gt;'минимумы и максимумы'!M$3,100,('исходные данные'!O231-'минимумы и максимумы'!M$2)/('минимумы и максимумы'!M$3-'минимумы и максимумы'!M$2)*100)</f>
        <v>100</v>
      </c>
      <c r="P231" s="1">
        <f>IF('исходные данные'!P231&gt;'минимумы и максимумы'!N$3,100,('исходные данные'!P231-'минимумы и максимумы'!N$2)/('минимумы и максимумы'!N$3-'минимумы и максимумы'!N$2)*100)</f>
        <v>0</v>
      </c>
      <c r="Q231" s="1">
        <f>IF('исходные данные'!Q231&gt;'минимумы и максимумы'!O$3,100,('исходные данные'!Q231-'минимумы и максимумы'!O$2)/('минимумы и максимумы'!O$3-'минимумы и максимумы'!O$2)*100)</f>
        <v>100</v>
      </c>
      <c r="R231" s="1">
        <f>IF('исходные данные'!R231&gt;'минимумы и максимумы'!P$3,100,('исходные данные'!R231-'минимумы и максимумы'!P$2)/('минимумы и максимумы'!P$3-'минимумы и максимумы'!P$2)*100)</f>
        <v>75</v>
      </c>
      <c r="S231" s="1">
        <f>IF('исходные данные'!S231&gt;'минимумы и максимумы'!Q$3,100,('исходные данные'!S231-'минимумы и максимумы'!Q$2)/('минимумы и максимумы'!Q$3-'минимумы и максимумы'!Q$2)*100)</f>
        <v>50</v>
      </c>
      <c r="T231" s="1">
        <f>IF('исходные данные'!T231&gt;'минимумы и максимумы'!R$3,100,('исходные данные'!T231-'минимумы и максимумы'!R$2)/('минимумы и максимумы'!R$3-'минимумы и максимумы'!R$2)*100)</f>
        <v>21.293444786625603</v>
      </c>
      <c r="U231" s="1">
        <f>IF('исходные данные'!U231&gt;'минимумы и максимумы'!S$3,100,('исходные данные'!U231-'минимумы и максимумы'!S$2)/('минимумы и максимумы'!S$3-'минимумы и максимумы'!S$2)*100)</f>
        <v>33.333333333333329</v>
      </c>
    </row>
    <row r="232" spans="1:21" x14ac:dyDescent="0.45">
      <c r="A232" s="4">
        <v>324</v>
      </c>
      <c r="B232" s="4">
        <v>0</v>
      </c>
      <c r="C232" s="4">
        <v>1</v>
      </c>
      <c r="D232" s="1">
        <f>IF('исходные данные'!D232&gt;'минимумы и максимумы'!B$3,100,('исходные данные'!D232-'минимумы и максимумы'!B$2)/('минимумы и максимумы'!B$3-'минимумы и максимумы'!B$2)*100)</f>
        <v>0</v>
      </c>
      <c r="E232" s="1">
        <f>IF('исходные данные'!E232&gt;'минимумы и максимумы'!C$3,100,('исходные данные'!E232-'минимумы и максимумы'!C$2)/('минимумы и максимумы'!C$3-'минимумы и максимумы'!C$2)*100)</f>
        <v>0</v>
      </c>
      <c r="F232" s="1">
        <f>IF('исходные данные'!F232&gt;'минимумы и максимумы'!D$3,100,('исходные данные'!F232-'минимумы и максимумы'!D$2)/('минимумы и максимумы'!D$3-'минимумы и максимумы'!D$2)*100)</f>
        <v>0</v>
      </c>
      <c r="G232" s="1">
        <f>IF('исходные данные'!G232&gt;'минимумы и максимумы'!E$3,100,('исходные данные'!G232-'минимумы и максимумы'!E$2)/('минимумы и максимумы'!E$3-'минимумы и максимумы'!E$2)*100)</f>
        <v>0</v>
      </c>
      <c r="H232" s="1">
        <f>IF('исходные данные'!H232&gt;'минимумы и максимумы'!F$3,100,('исходные данные'!H232-'минимумы и максимумы'!F$2)/('минимумы и максимумы'!F$3-'минимумы и максимумы'!F$2)*100)</f>
        <v>4</v>
      </c>
      <c r="I232" s="1">
        <f>IF('исходные данные'!I232&gt;'минимумы и максимумы'!G$3,100,('исходные данные'!I232-'минимумы и максимумы'!G$2)/('минимумы и максимумы'!G$3-'минимумы и максимумы'!G$2)*100)</f>
        <v>0</v>
      </c>
      <c r="J232" s="1">
        <f>IF('исходные данные'!J232&gt;'минимумы и максимумы'!H$3,100,('исходные данные'!J232-'минимумы и максимумы'!H$2)/('минимумы и максимумы'!H$3-'минимумы и максимумы'!H$2)*100)</f>
        <v>0</v>
      </c>
      <c r="K232" s="1">
        <f>IF('исходные данные'!K232&gt;'минимумы и максимумы'!I$3,100,('исходные данные'!K232-'минимумы и максимумы'!I$2)/('минимумы и максимумы'!I$3-'минимумы и максимумы'!I$2)*100)</f>
        <v>0</v>
      </c>
      <c r="L232" s="1">
        <f>IF('исходные данные'!L232&gt;'минимумы и максимумы'!J$3,100,('исходные данные'!L232-'минимумы и максимумы'!J$2)/('минимумы и максимумы'!J$3-'минимумы и максимумы'!J$2)*100)</f>
        <v>0</v>
      </c>
      <c r="M232" s="1">
        <f>IF('исходные данные'!M232&gt;'минимумы и максимумы'!K$3,100,('исходные данные'!M232-'минимумы и максимумы'!K$2)/('минимумы и максимумы'!K$3-'минимумы и максимумы'!K$2)*100)</f>
        <v>6.4516129032258061</v>
      </c>
      <c r="N232" s="1">
        <f>IF('исходные данные'!N232&gt;'минимумы и максимумы'!L$3,100,('исходные данные'!N232-'минимумы и максимумы'!L$2)/('минимумы и максимумы'!L$3-'минимумы и максимумы'!L$2)*100)</f>
        <v>62.502191441639013</v>
      </c>
      <c r="O232" s="1">
        <f>IF('исходные данные'!O232&gt;'минимумы и максимумы'!M$3,100,('исходные данные'!O232-'минимумы и максимумы'!M$2)/('минимумы и максимумы'!M$3-'минимумы и максимумы'!M$2)*100)</f>
        <v>33.333333333333329</v>
      </c>
      <c r="P232" s="1">
        <f>IF('исходные данные'!P232&gt;'минимумы и максимумы'!N$3,100,('исходные данные'!P232-'минимумы и максимумы'!N$2)/('минимумы и максимумы'!N$3-'минимумы и максимумы'!N$2)*100)</f>
        <v>0</v>
      </c>
      <c r="Q232" s="1">
        <f>IF('исходные данные'!Q232&gt;'минимумы и максимумы'!O$3,100,('исходные данные'!Q232-'минимумы и максимумы'!O$2)/('минимумы и максимумы'!O$3-'минимумы и максимумы'!O$2)*100)</f>
        <v>100</v>
      </c>
      <c r="R232" s="1">
        <f>IF('исходные данные'!R232&gt;'минимумы и максимумы'!P$3,100,('исходные данные'!R232-'минимумы и максимумы'!P$2)/('минимумы и максимумы'!P$3-'минимумы и максимумы'!P$2)*100)</f>
        <v>100</v>
      </c>
      <c r="S232" s="1">
        <f>IF('исходные данные'!S232&gt;'минимумы и максимумы'!Q$3,100,('исходные данные'!S232-'минимумы и максимумы'!Q$2)/('минимумы и максимумы'!Q$3-'минимумы и максимумы'!Q$2)*100)</f>
        <v>33.333333333333329</v>
      </c>
      <c r="T232" s="1">
        <f>IF('исходные данные'!T232&gt;'минимумы и максимумы'!R$3,100,('исходные данные'!T232-'минимумы и максимумы'!R$2)/('минимумы и максимумы'!R$3-'минимумы и максимумы'!R$2)*100)</f>
        <v>17.553893532776065</v>
      </c>
      <c r="U232" s="1">
        <f>IF('исходные данные'!U232&gt;'минимумы и максимумы'!S$3,100,('исходные данные'!U232-'минимумы и максимумы'!S$2)/('минимумы и максимумы'!S$3-'минимумы и максимумы'!S$2)*100)</f>
        <v>33.333333333333329</v>
      </c>
    </row>
    <row r="233" spans="1:21" x14ac:dyDescent="0.45">
      <c r="A233" s="4">
        <v>325</v>
      </c>
      <c r="B233" s="4">
        <v>0</v>
      </c>
      <c r="C233" s="4">
        <v>0</v>
      </c>
      <c r="D233" s="1">
        <f>IF('исходные данные'!D233&gt;'минимумы и максимумы'!B$3,100,('исходные данные'!D233-'минимумы и максимумы'!B$2)/('минимумы и максимумы'!B$3-'минимумы и максимумы'!B$2)*100)</f>
        <v>0</v>
      </c>
      <c r="E233" s="1">
        <f>IF('исходные данные'!E233&gt;'минимумы и максимумы'!C$3,100,('исходные данные'!E233-'минимумы и максимумы'!C$2)/('минимумы и максимумы'!C$3-'минимумы и максимумы'!C$2)*100)</f>
        <v>0</v>
      </c>
      <c r="F233" s="1">
        <f>IF('исходные данные'!F233&gt;'минимумы и максимумы'!D$3,100,('исходные данные'!F233-'минимумы и максимумы'!D$2)/('минимумы и максимумы'!D$3-'минимумы и максимумы'!D$2)*100)</f>
        <v>0</v>
      </c>
      <c r="G233" s="1">
        <f>IF('исходные данные'!G233&gt;'минимумы и максимумы'!E$3,100,('исходные данные'!G233-'минимумы и максимумы'!E$2)/('минимумы и максимумы'!E$3-'минимумы и максимумы'!E$2)*100)</f>
        <v>8.3333333333333321</v>
      </c>
      <c r="H233" s="1">
        <f>IF('исходные данные'!H233&gt;'минимумы и максимумы'!F$3,100,('исходные данные'!H233-'минимумы и максимумы'!F$2)/('минимумы и максимумы'!F$3-'минимумы и максимумы'!F$2)*100)</f>
        <v>8</v>
      </c>
      <c r="I233" s="1">
        <f>IF('исходные данные'!I233&gt;'минимумы и максимумы'!G$3,100,('исходные данные'!I233-'минимумы и максимумы'!G$2)/('минимумы и максимумы'!G$3-'минимумы и максимумы'!G$2)*100)</f>
        <v>5.6603773584905666</v>
      </c>
      <c r="J233" s="1">
        <f>IF('исходные данные'!J233&gt;'минимумы и максимумы'!H$3,100,('исходные данные'!J233-'минимумы и максимумы'!H$2)/('минимумы и максимумы'!H$3-'минимумы и максимумы'!H$2)*100)</f>
        <v>0</v>
      </c>
      <c r="K233" s="1">
        <f>IF('исходные данные'!K233&gt;'минимумы и максимумы'!I$3,100,('исходные данные'!K233-'минимумы и максимумы'!I$2)/('минимумы и максимумы'!I$3-'минимумы и максимумы'!I$2)*100)</f>
        <v>0</v>
      </c>
      <c r="L233" s="1">
        <f>IF('исходные данные'!L233&gt;'минимумы и максимумы'!J$3,100,('исходные данные'!L233-'минимумы и максимумы'!J$2)/('минимумы и максимумы'!J$3-'минимумы и максимумы'!J$2)*100)</f>
        <v>0</v>
      </c>
      <c r="M233" s="1">
        <f>IF('исходные данные'!M233&gt;'минимумы и максимумы'!K$3,100,('исходные данные'!M233-'минимумы и максимумы'!K$2)/('минимумы и максимумы'!K$3-'минимумы и максимумы'!K$2)*100)</f>
        <v>12.903225806451612</v>
      </c>
      <c r="N233" s="1">
        <f>IF('исходные данные'!N233&gt;'минимумы и максимумы'!L$3,100,('исходные данные'!N233-'минимумы и максимумы'!L$2)/('минимумы и максимумы'!L$3-'минимумы и максимумы'!L$2)*100)</f>
        <v>59.513108337701759</v>
      </c>
      <c r="O233" s="1">
        <f>IF('исходные данные'!O233&gt;'минимумы и максимумы'!M$3,100,('исходные данные'!O233-'минимумы и максимумы'!M$2)/('минимумы и максимумы'!M$3-'минимумы и максимумы'!M$2)*100)</f>
        <v>0</v>
      </c>
      <c r="P233" s="1">
        <f>IF('исходные данные'!P233&gt;'минимумы и максимумы'!N$3,100,('исходные данные'!P233-'минимумы и максимумы'!N$2)/('минимумы и максимумы'!N$3-'минимумы и максимумы'!N$2)*100)</f>
        <v>0</v>
      </c>
      <c r="Q233" s="1">
        <f>IF('исходные данные'!Q233&gt;'минимумы и максимумы'!O$3,100,('исходные данные'!Q233-'минимумы и максимумы'!O$2)/('минимумы и максимумы'!O$3-'минимумы и максимумы'!O$2)*100)</f>
        <v>100</v>
      </c>
      <c r="R233" s="1">
        <f>IF('исходные данные'!R233&gt;'минимумы и максимумы'!P$3,100,('исходные данные'!R233-'минимумы и максимумы'!P$2)/('минимумы и максимумы'!P$3-'минимумы и максимумы'!P$2)*100)</f>
        <v>25</v>
      </c>
      <c r="S233" s="1">
        <f>IF('исходные данные'!S233&gt;'минимумы и максимумы'!Q$3,100,('исходные данные'!S233-'минимумы и максимумы'!Q$2)/('минимумы и максимумы'!Q$3-'минимумы и максимумы'!Q$2)*100)</f>
        <v>33.333333333333329</v>
      </c>
      <c r="T233" s="1">
        <f>IF('исходные данные'!T233&gt;'минимумы и максимумы'!R$3,100,('исходные данные'!T233-'минимумы и максимумы'!R$2)/('минимумы и максимумы'!R$3-'минимумы и максимумы'!R$2)*100)</f>
        <v>32.424109106907174</v>
      </c>
      <c r="U233" s="1">
        <f>IF('исходные данные'!U233&gt;'минимумы и максимумы'!S$3,100,('исходные данные'!U233-'минимумы и максимумы'!S$2)/('минимумы и максимумы'!S$3-'минимумы и максимумы'!S$2)*100)</f>
        <v>0</v>
      </c>
    </row>
    <row r="234" spans="1:21" x14ac:dyDescent="0.45">
      <c r="A234" s="4">
        <v>326</v>
      </c>
      <c r="B234" s="4">
        <v>0</v>
      </c>
      <c r="C234" s="4">
        <v>1</v>
      </c>
      <c r="D234" s="1">
        <f>IF('исходные данные'!D234&gt;'минимумы и максимумы'!B$3,100,('исходные данные'!D234-'минимумы и максимумы'!B$2)/('минимумы и максимумы'!B$3-'минимумы и максимумы'!B$2)*100)</f>
        <v>0</v>
      </c>
      <c r="E234" s="1">
        <f>IF('исходные данные'!E234&gt;'минимумы и максимумы'!C$3,100,('исходные данные'!E234-'минимумы и максимумы'!C$2)/('минимумы и максимумы'!C$3-'минимумы и максимумы'!C$2)*100)</f>
        <v>0</v>
      </c>
      <c r="F234" s="1">
        <f>IF('исходные данные'!F234&gt;'минимумы и максимумы'!D$3,100,('исходные данные'!F234-'минимумы и максимумы'!D$2)/('минимумы и максимумы'!D$3-'минимумы и максимумы'!D$2)*100)</f>
        <v>0</v>
      </c>
      <c r="G234" s="1">
        <f>IF('исходные данные'!G234&gt;'минимумы и максимумы'!E$3,100,('исходные данные'!G234-'минимумы и максимумы'!E$2)/('минимумы и максимумы'!E$3-'минимумы и максимумы'!E$2)*100)</f>
        <v>0</v>
      </c>
      <c r="H234" s="1">
        <f>IF('исходные данные'!H234&gt;'минимумы и максимумы'!F$3,100,('исходные данные'!H234-'минимумы и максимумы'!F$2)/('минимумы и максимумы'!F$3-'минимумы и максимумы'!F$2)*100)</f>
        <v>0</v>
      </c>
      <c r="I234" s="1">
        <f>IF('исходные данные'!I234&gt;'минимумы и максимумы'!G$3,100,('исходные данные'!I234-'минимумы и максимумы'!G$2)/('минимумы и максимумы'!G$3-'минимумы и максимумы'!G$2)*100)</f>
        <v>0</v>
      </c>
      <c r="J234" s="1">
        <f>IF('исходные данные'!J234&gt;'минимумы и максимумы'!H$3,100,('исходные данные'!J234-'минимумы и максимумы'!H$2)/('минимумы и максимумы'!H$3-'минимумы и максимумы'!H$2)*100)</f>
        <v>0</v>
      </c>
      <c r="K234" s="1">
        <f>IF('исходные данные'!K234&gt;'минимумы и максимумы'!I$3,100,('исходные данные'!K234-'минимумы и максимумы'!I$2)/('минимумы и максимумы'!I$3-'минимумы и максимумы'!I$2)*100)</f>
        <v>5.5555555555555554</v>
      </c>
      <c r="L234" s="1">
        <f>IF('исходные данные'!L234&gt;'минимумы и максимумы'!J$3,100,('исходные данные'!L234-'минимумы и максимумы'!J$2)/('минимумы и максимумы'!J$3-'минимумы и максимумы'!J$2)*100)</f>
        <v>0</v>
      </c>
      <c r="M234" s="1">
        <f>IF('исходные данные'!M234&gt;'минимумы и максимумы'!K$3,100,('исходные данные'!M234-'минимумы и максимумы'!K$2)/('минимумы и максимумы'!K$3-'минимумы и максимумы'!K$2)*100)</f>
        <v>9.67741935483871</v>
      </c>
      <c r="N234" s="1">
        <f>IF('исходные данные'!N234&gt;'минимумы и максимумы'!L$3,100,('исходные данные'!N234-'минимумы и максимумы'!L$2)/('минимумы и максимумы'!L$3-'минимумы и максимумы'!L$2)*100)</f>
        <v>61.104672583147988</v>
      </c>
      <c r="O234" s="1">
        <f>IF('исходные данные'!O234&gt;'минимумы и максимумы'!M$3,100,('исходные данные'!O234-'минимумы и максимумы'!M$2)/('минимумы и максимумы'!M$3-'минимумы и максимумы'!M$2)*100)</f>
        <v>0</v>
      </c>
      <c r="P234" s="1">
        <f>IF('исходные данные'!P234&gt;'минимумы и максимумы'!N$3,100,('исходные данные'!P234-'минимумы и максимумы'!N$2)/('минимумы и максимумы'!N$3-'минимумы и максимумы'!N$2)*100)</f>
        <v>0</v>
      </c>
      <c r="Q234" s="1">
        <f>IF('исходные данные'!Q234&gt;'минимумы и максимумы'!O$3,100,('исходные данные'!Q234-'минимумы и максимумы'!O$2)/('минимумы и максимумы'!O$3-'минимумы и максимумы'!O$2)*100)</f>
        <v>100</v>
      </c>
      <c r="R234" s="1">
        <f>IF('исходные данные'!R234&gt;'минимумы и максимумы'!P$3,100,('исходные данные'!R234-'минимумы и максимумы'!P$2)/('минимумы и максимумы'!P$3-'минимумы и максимумы'!P$2)*100)</f>
        <v>25</v>
      </c>
      <c r="S234" s="1">
        <f>IF('исходные данные'!S234&gt;'минимумы и максимумы'!Q$3,100,('исходные данные'!S234-'минимумы и максимумы'!Q$2)/('минимумы и максимумы'!Q$3-'минимумы и максимумы'!Q$2)*100)</f>
        <v>16.666666666666664</v>
      </c>
      <c r="T234" s="1">
        <f>IF('исходные данные'!T234&gt;'минимумы и максимумы'!R$3,100,('исходные данные'!T234-'минимумы и максимумы'!R$2)/('минимумы и максимумы'!R$3-'минимумы и максимумы'!R$2)*100)</f>
        <v>20.545534535855698</v>
      </c>
      <c r="U234" s="1">
        <f>IF('исходные данные'!U234&gt;'минимумы и максимумы'!S$3,100,('исходные данные'!U234-'минимумы и максимумы'!S$2)/('минимумы и максимумы'!S$3-'минимумы и максимумы'!S$2)*100)</f>
        <v>66.666666666666657</v>
      </c>
    </row>
    <row r="235" spans="1:21" x14ac:dyDescent="0.45">
      <c r="A235" s="4">
        <v>327</v>
      </c>
      <c r="B235" s="4">
        <v>0</v>
      </c>
      <c r="C235" s="4">
        <v>0</v>
      </c>
      <c r="D235" s="1">
        <f>IF('исходные данные'!D235&gt;'минимумы и максимумы'!B$3,100,('исходные данные'!D235-'минимумы и максимумы'!B$2)/('минимумы и максимумы'!B$3-'минимумы и максимумы'!B$2)*100)</f>
        <v>0</v>
      </c>
      <c r="E235" s="1">
        <f>IF('исходные данные'!E235&gt;'минимумы и максимумы'!C$3,100,('исходные данные'!E235-'минимумы и максимумы'!C$2)/('минимумы и максимумы'!C$3-'минимумы и максимумы'!C$2)*100)</f>
        <v>0</v>
      </c>
      <c r="F235" s="1">
        <f>IF('исходные данные'!F235&gt;'минимумы и максимумы'!D$3,100,('исходные данные'!F235-'минимумы и максимумы'!D$2)/('минимумы и максимумы'!D$3-'минимумы и максимумы'!D$2)*100)</f>
        <v>0</v>
      </c>
      <c r="G235" s="1">
        <f>IF('исходные данные'!G235&gt;'минимумы и максимумы'!E$3,100,('исходные данные'!G235-'минимумы и максимумы'!E$2)/('минимумы и максимумы'!E$3-'минимумы и максимумы'!E$2)*100)</f>
        <v>0</v>
      </c>
      <c r="H235" s="1">
        <f>IF('исходные данные'!H235&gt;'минимумы и максимумы'!F$3,100,('исходные данные'!H235-'минимумы и максимумы'!F$2)/('минимумы и максимумы'!F$3-'минимумы и максимумы'!F$2)*100)</f>
        <v>0</v>
      </c>
      <c r="I235" s="1">
        <f>IF('исходные данные'!I235&gt;'минимумы и максимумы'!G$3,100,('исходные данные'!I235-'минимумы и максимумы'!G$2)/('минимумы и максимумы'!G$3-'минимумы и максимумы'!G$2)*100)</f>
        <v>0</v>
      </c>
      <c r="J235" s="1">
        <f>IF('исходные данные'!J235&gt;'минимумы и максимумы'!H$3,100,('исходные данные'!J235-'минимумы и максимумы'!H$2)/('минимумы и максимумы'!H$3-'минимумы и максимумы'!H$2)*100)</f>
        <v>0</v>
      </c>
      <c r="K235" s="1">
        <f>IF('исходные данные'!K235&gt;'минимумы и максимумы'!I$3,100,('исходные данные'!K235-'минимумы и максимумы'!I$2)/('минимумы и максимумы'!I$3-'минимумы и максимумы'!I$2)*100)</f>
        <v>5.5555555555555554</v>
      </c>
      <c r="L235" s="1">
        <f>IF('исходные данные'!L235&gt;'минимумы и максимумы'!J$3,100,('исходные данные'!L235-'минимумы и максимумы'!J$2)/('минимумы и максимумы'!J$3-'минимумы и максимумы'!J$2)*100)</f>
        <v>0</v>
      </c>
      <c r="M235" s="1">
        <f>IF('исходные данные'!M235&gt;'минимумы и максимумы'!K$3,100,('исходные данные'!M235-'минимумы и максимумы'!K$2)/('минимумы и максимумы'!K$3-'минимумы и максимумы'!K$2)*100)</f>
        <v>12.903225806451612</v>
      </c>
      <c r="N235" s="1">
        <f>IF('исходные данные'!N235&gt;'минимумы и максимумы'!L$3,100,('исходные данные'!N235-'минимумы и максимумы'!L$2)/('минимумы и максимумы'!L$3-'минимумы и максимумы'!L$2)*100)</f>
        <v>60.231277875504752</v>
      </c>
      <c r="O235" s="1">
        <f>IF('исходные данные'!O235&gt;'минимумы и максимумы'!M$3,100,('исходные данные'!O235-'минимумы и максимумы'!M$2)/('минимумы и максимумы'!M$3-'минимумы и максимумы'!M$2)*100)</f>
        <v>0</v>
      </c>
      <c r="P235" s="1">
        <f>IF('исходные данные'!P235&gt;'минимумы и максимумы'!N$3,100,('исходные данные'!P235-'минимумы и максимумы'!N$2)/('минимумы и максимумы'!N$3-'минимумы и максимумы'!N$2)*100)</f>
        <v>0</v>
      </c>
      <c r="Q235" s="1">
        <f>IF('исходные данные'!Q235&gt;'минимумы и максимумы'!O$3,100,('исходные данные'!Q235-'минимумы и максимумы'!O$2)/('минимумы и максимумы'!O$3-'минимумы и максимумы'!O$2)*100)</f>
        <v>100</v>
      </c>
      <c r="R235" s="1">
        <f>IF('исходные данные'!R235&gt;'минимумы и максимумы'!P$3,100,('исходные данные'!R235-'минимумы и максимумы'!P$2)/('минимумы и максимумы'!P$3-'минимумы и максимумы'!P$2)*100)</f>
        <v>25</v>
      </c>
      <c r="S235" s="1">
        <f>IF('исходные данные'!S235&gt;'минимумы и максимумы'!Q$3,100,('исходные данные'!S235-'минимумы и максимумы'!Q$2)/('минимумы и максимумы'!Q$3-'минимумы и максимумы'!Q$2)*100)</f>
        <v>16.666666666666664</v>
      </c>
      <c r="T235" s="1">
        <f>IF('исходные данные'!T235&gt;'минимумы и максимумы'!R$3,100,('исходные данные'!T235-'минимумы и максимумы'!R$2)/('минимумы и максимумы'!R$3-'минимумы и максимумы'!R$2)*100)</f>
        <v>19.929608446986361</v>
      </c>
      <c r="U235" s="1">
        <f>IF('исходные данные'!U235&gt;'минимумы и максимумы'!S$3,100,('исходные данные'!U235-'минимумы и максимумы'!S$2)/('минимумы и максимумы'!S$3-'минимумы и максимумы'!S$2)*100)</f>
        <v>66.666666666666657</v>
      </c>
    </row>
    <row r="236" spans="1:21" x14ac:dyDescent="0.45">
      <c r="A236" s="4">
        <v>328</v>
      </c>
      <c r="B236" s="4">
        <v>0</v>
      </c>
      <c r="C236" s="4">
        <v>0</v>
      </c>
      <c r="D236" s="1">
        <f>IF('исходные данные'!D236&gt;'минимумы и максимумы'!B$3,100,('исходные данные'!D236-'минимумы и максимумы'!B$2)/('минимумы и максимумы'!B$3-'минимумы и максимумы'!B$2)*100)</f>
        <v>0</v>
      </c>
      <c r="E236" s="1">
        <f>IF('исходные данные'!E236&gt;'минимумы и максимумы'!C$3,100,('исходные данные'!E236-'минимумы и максимумы'!C$2)/('минимумы и максимумы'!C$3-'минимумы и максимумы'!C$2)*100)</f>
        <v>0</v>
      </c>
      <c r="F236" s="1">
        <f>IF('исходные данные'!F236&gt;'минимумы и максимумы'!D$3,100,('исходные данные'!F236-'минимумы и максимумы'!D$2)/('минимумы и максимумы'!D$3-'минимумы и максимумы'!D$2)*100)</f>
        <v>0</v>
      </c>
      <c r="G236" s="1">
        <f>IF('исходные данные'!G236&gt;'минимумы и максимумы'!E$3,100,('исходные данные'!G236-'минимумы и максимумы'!E$2)/('минимумы и максимумы'!E$3-'минимумы и максимумы'!E$2)*100)</f>
        <v>0</v>
      </c>
      <c r="H236" s="1">
        <f>IF('исходные данные'!H236&gt;'минимумы и максимумы'!F$3,100,('исходные данные'!H236-'минимумы и максимумы'!F$2)/('минимумы и максимумы'!F$3-'минимумы и максимумы'!F$2)*100)</f>
        <v>0</v>
      </c>
      <c r="I236" s="1">
        <f>IF('исходные данные'!I236&gt;'минимумы и максимумы'!G$3,100,('исходные данные'!I236-'минимумы и максимумы'!G$2)/('минимумы и максимумы'!G$3-'минимумы и максимумы'!G$2)*100)</f>
        <v>0</v>
      </c>
      <c r="J236" s="1">
        <f>IF('исходные данные'!J236&gt;'минимумы и максимумы'!H$3,100,('исходные данные'!J236-'минимумы и максимумы'!H$2)/('минимумы и максимумы'!H$3-'минимумы и максимумы'!H$2)*100)</f>
        <v>0</v>
      </c>
      <c r="K236" s="1">
        <f>IF('исходные данные'!K236&gt;'минимумы и максимумы'!I$3,100,('исходные данные'!K236-'минимумы и максимумы'!I$2)/('минимумы и максимумы'!I$3-'минимумы и максимумы'!I$2)*100)</f>
        <v>5.5555555555555554</v>
      </c>
      <c r="L236" s="1">
        <f>IF('исходные данные'!L236&gt;'минимумы и максимумы'!J$3,100,('исходные данные'!L236-'минимумы и максимумы'!J$2)/('минимумы и максимумы'!J$3-'минимумы и максимумы'!J$2)*100)</f>
        <v>0</v>
      </c>
      <c r="M236" s="1">
        <f>IF('исходные данные'!M236&gt;'минимумы и максимумы'!K$3,100,('исходные данные'!M236-'минимумы и максимумы'!K$2)/('минимумы и максимумы'!K$3-'минимумы и максимумы'!K$2)*100)</f>
        <v>12.903225806451612</v>
      </c>
      <c r="N236" s="1">
        <f>IF('исходные данные'!N236&gt;'минимумы и максимумы'!L$3,100,('исходные данные'!N236-'минимумы и максимумы'!L$2)/('минимумы и максимумы'!L$3-'минимумы и максимумы'!L$2)*100)</f>
        <v>60.169903884911925</v>
      </c>
      <c r="O236" s="1">
        <f>IF('исходные данные'!O236&gt;'минимумы и максимумы'!M$3,100,('исходные данные'!O236-'минимумы и максимумы'!M$2)/('минимумы и максимумы'!M$3-'минимумы и максимумы'!M$2)*100)</f>
        <v>0</v>
      </c>
      <c r="P236" s="1">
        <f>IF('исходные данные'!P236&gt;'минимумы и максимумы'!N$3,100,('исходные данные'!P236-'минимумы и максимумы'!N$2)/('минимумы и максимумы'!N$3-'минимумы и максимумы'!N$2)*100)</f>
        <v>0</v>
      </c>
      <c r="Q236" s="1">
        <f>IF('исходные данные'!Q236&gt;'минимумы и максимумы'!O$3,100,('исходные данные'!Q236-'минимумы и максимумы'!O$2)/('минимумы и максимумы'!O$3-'минимумы и максимумы'!O$2)*100)</f>
        <v>100</v>
      </c>
      <c r="R236" s="1">
        <f>IF('исходные данные'!R236&gt;'минимумы и максимумы'!P$3,100,('исходные данные'!R236-'минимумы и максимумы'!P$2)/('минимумы и максимумы'!P$3-'минимумы и максимумы'!P$2)*100)</f>
        <v>25</v>
      </c>
      <c r="S236" s="1">
        <f>IF('исходные данные'!S236&gt;'минимумы и максимумы'!Q$3,100,('исходные данные'!S236-'минимумы и максимумы'!Q$2)/('минимумы и максимумы'!Q$3-'минимумы и максимумы'!Q$2)*100)</f>
        <v>16.666666666666664</v>
      </c>
      <c r="T236" s="1">
        <f>IF('исходные данные'!T236&gt;'минимумы и максимумы'!R$3,100,('исходные данные'!T236-'минимумы и максимумы'!R$2)/('минимумы и максимумы'!R$3-'минимумы и максимумы'!R$2)*100)</f>
        <v>20.017597888253409</v>
      </c>
      <c r="U236" s="1">
        <f>IF('исходные данные'!U236&gt;'минимумы и максимумы'!S$3,100,('исходные данные'!U236-'минимумы и максимумы'!S$2)/('минимумы и максимумы'!S$3-'минимумы и максимумы'!S$2)*100)</f>
        <v>66.666666666666657</v>
      </c>
    </row>
    <row r="237" spans="1:21" x14ac:dyDescent="0.45">
      <c r="A237" s="4">
        <v>329</v>
      </c>
      <c r="B237" s="4">
        <v>0</v>
      </c>
      <c r="C237" s="4">
        <v>0</v>
      </c>
      <c r="D237" s="1">
        <f>IF('исходные данные'!D237&gt;'минимумы и максимумы'!B$3,100,('исходные данные'!D237-'минимумы и максимумы'!B$2)/('минимумы и максимумы'!B$3-'минимумы и максимумы'!B$2)*100)</f>
        <v>0</v>
      </c>
      <c r="E237" s="1">
        <f>IF('исходные данные'!E237&gt;'минимумы и максимумы'!C$3,100,('исходные данные'!E237-'минимумы и максимумы'!C$2)/('минимумы и максимумы'!C$3-'минимумы и максимумы'!C$2)*100)</f>
        <v>0</v>
      </c>
      <c r="F237" s="1">
        <f>IF('исходные данные'!F237&gt;'минимумы и максимумы'!D$3,100,('исходные данные'!F237-'минимумы и максимумы'!D$2)/('минимумы и максимумы'!D$3-'минимумы и максимумы'!D$2)*100)</f>
        <v>0</v>
      </c>
      <c r="G237" s="1">
        <f>IF('исходные данные'!G237&gt;'минимумы и максимумы'!E$3,100,('исходные данные'!G237-'минимумы и максимумы'!E$2)/('минимумы и максимумы'!E$3-'минимумы и максимумы'!E$2)*100)</f>
        <v>0</v>
      </c>
      <c r="H237" s="1">
        <f>IF('исходные данные'!H237&gt;'минимумы и максимумы'!F$3,100,('исходные данные'!H237-'минимумы и максимумы'!F$2)/('минимумы и максимумы'!F$3-'минимумы и максимумы'!F$2)*100)</f>
        <v>0</v>
      </c>
      <c r="I237" s="1">
        <f>IF('исходные данные'!I237&gt;'минимумы и максимумы'!G$3,100,('исходные данные'!I237-'минимумы и максимумы'!G$2)/('минимумы и максимумы'!G$3-'минимумы и максимумы'!G$2)*100)</f>
        <v>0</v>
      </c>
      <c r="J237" s="1">
        <f>IF('исходные данные'!J237&gt;'минимумы и максимумы'!H$3,100,('исходные данные'!J237-'минимумы и максимумы'!H$2)/('минимумы и максимумы'!H$3-'минимумы и максимумы'!H$2)*100)</f>
        <v>0</v>
      </c>
      <c r="K237" s="1">
        <f>IF('исходные данные'!K237&gt;'минимумы и максимумы'!I$3,100,('исходные данные'!K237-'минимумы и максимумы'!I$2)/('минимумы и максимумы'!I$3-'минимумы и максимумы'!I$2)*100)</f>
        <v>5.5555555555555554</v>
      </c>
      <c r="L237" s="1">
        <f>IF('исходные данные'!L237&gt;'минимумы и максимумы'!J$3,100,('исходные данные'!L237-'минимумы и максимумы'!J$2)/('минимумы и максимумы'!J$3-'минимумы и максимумы'!J$2)*100)</f>
        <v>0</v>
      </c>
      <c r="M237" s="1">
        <f>IF('исходные данные'!M237&gt;'минимумы и максимумы'!K$3,100,('исходные данные'!M237-'минимумы и максимумы'!K$2)/('минимумы и максимумы'!K$3-'минимумы и максимумы'!K$2)*100)</f>
        <v>12.903225806451612</v>
      </c>
      <c r="N237" s="1">
        <f>IF('исходные данные'!N237&gt;'минимумы и максимумы'!L$3,100,('исходные данные'!N237-'минимумы и максимумы'!L$2)/('минимумы и максимумы'!L$3-'минимумы и максимумы'!L$2)*100)</f>
        <v>59.881129399762358</v>
      </c>
      <c r="O237" s="1">
        <f>IF('исходные данные'!O237&gt;'минимумы и максимумы'!M$3,100,('исходные данные'!O237-'минимумы и максимумы'!M$2)/('минимумы и максимумы'!M$3-'минимумы и максимумы'!M$2)*100)</f>
        <v>0</v>
      </c>
      <c r="P237" s="1">
        <f>IF('исходные данные'!P237&gt;'минимумы и максимумы'!N$3,100,('исходные данные'!P237-'минимумы и максимумы'!N$2)/('минимумы и максимумы'!N$3-'минимумы и максимумы'!N$2)*100)</f>
        <v>0</v>
      </c>
      <c r="Q237" s="1">
        <f>IF('исходные данные'!Q237&gt;'минимумы и максимумы'!O$3,100,('исходные данные'!Q237-'минимумы и максимумы'!O$2)/('минимумы и максимумы'!O$3-'минимумы и максимумы'!O$2)*100)</f>
        <v>100</v>
      </c>
      <c r="R237" s="1">
        <f>IF('исходные данные'!R237&gt;'минимумы и максимумы'!P$3,100,('исходные данные'!R237-'минимумы и максимумы'!P$2)/('минимумы и максимумы'!P$3-'минимумы и максимумы'!P$2)*100)</f>
        <v>25</v>
      </c>
      <c r="S237" s="1">
        <f>IF('исходные данные'!S237&gt;'минимумы и максимумы'!Q$3,100,('исходные данные'!S237-'минимумы и максимумы'!Q$2)/('минимумы и максимумы'!Q$3-'минимумы и максимумы'!Q$2)*100)</f>
        <v>16.666666666666664</v>
      </c>
      <c r="T237" s="1">
        <f>IF('исходные данные'!T237&gt;'минимумы и максимумы'!R$3,100,('исходные данные'!T237-'минимумы и максимумы'!R$2)/('минимумы и максимумы'!R$3-'минимумы и максимумы'!R$2)*100)</f>
        <v>19.929608446986361</v>
      </c>
      <c r="U237" s="1">
        <f>IF('исходные данные'!U237&gt;'минимумы и максимумы'!S$3,100,('исходные данные'!U237-'минимумы и максимумы'!S$2)/('минимумы и максимумы'!S$3-'минимумы и максимумы'!S$2)*100)</f>
        <v>66.666666666666657</v>
      </c>
    </row>
    <row r="238" spans="1:21" x14ac:dyDescent="0.45">
      <c r="A238" s="4">
        <v>330</v>
      </c>
      <c r="B238" s="4">
        <v>0</v>
      </c>
      <c r="C238" s="4">
        <v>0</v>
      </c>
      <c r="D238" s="1">
        <f>IF('исходные данные'!D238&gt;'минимумы и максимумы'!B$3,100,('исходные данные'!D238-'минимумы и максимумы'!B$2)/('минимумы и максимумы'!B$3-'минимумы и максимумы'!B$2)*100)</f>
        <v>0</v>
      </c>
      <c r="E238" s="1">
        <f>IF('исходные данные'!E238&gt;'минимумы и максимумы'!C$3,100,('исходные данные'!E238-'минимумы и максимумы'!C$2)/('минимумы и максимумы'!C$3-'минимумы и максимумы'!C$2)*100)</f>
        <v>10</v>
      </c>
      <c r="F238" s="1">
        <f>IF('исходные данные'!F238&gt;'минимумы и максимумы'!D$3,100,('исходные данные'!F238-'минимумы и максимумы'!D$2)/('минимумы и максимумы'!D$3-'минимумы и максимумы'!D$2)*100)</f>
        <v>0</v>
      </c>
      <c r="G238" s="1">
        <f>IF('исходные данные'!G238&gt;'минимумы и максимумы'!E$3,100,('исходные данные'!G238-'минимумы и максимумы'!E$2)/('минимумы и максимумы'!E$3-'минимумы и максимумы'!E$2)*100)</f>
        <v>0</v>
      </c>
      <c r="H238" s="1">
        <f>IF('исходные данные'!H238&gt;'минимумы и максимумы'!F$3,100,('исходные данные'!H238-'минимумы и максимумы'!F$2)/('минимумы и максимумы'!F$3-'минимумы и максимумы'!F$2)*100)</f>
        <v>16</v>
      </c>
      <c r="I238" s="1">
        <f>IF('исходные данные'!I238&gt;'минимумы и максимумы'!G$3,100,('исходные данные'!I238-'минимумы и максимумы'!G$2)/('минимумы и максимумы'!G$3-'минимумы и максимумы'!G$2)*100)</f>
        <v>0</v>
      </c>
      <c r="J238" s="1">
        <f>IF('исходные данные'!J238&gt;'минимумы и максимумы'!H$3,100,('исходные данные'!J238-'минимумы и максимумы'!H$2)/('минимумы и максимумы'!H$3-'минимумы и максимумы'!H$2)*100)</f>
        <v>6.666666666666667</v>
      </c>
      <c r="K238" s="1">
        <f>IF('исходные данные'!K238&gt;'минимумы и максимумы'!I$3,100,('исходные данные'!K238-'минимумы и максимумы'!I$2)/('минимумы и максимумы'!I$3-'минимумы и максимумы'!I$2)*100)</f>
        <v>0</v>
      </c>
      <c r="L238" s="1">
        <f>IF('исходные данные'!L238&gt;'минимумы и максимумы'!J$3,100,('исходные данные'!L238-'минимумы и максимумы'!J$2)/('минимумы и максимумы'!J$3-'минимумы и максимумы'!J$2)*100)</f>
        <v>0</v>
      </c>
      <c r="M238" s="1">
        <f>IF('исходные данные'!M238&gt;'минимумы и максимумы'!K$3,100,('исходные данные'!M238-'минимумы и максимумы'!K$2)/('минимумы и максимумы'!K$3-'минимумы и максимумы'!K$2)*100)</f>
        <v>6.4516129032258061</v>
      </c>
      <c r="N238" s="1">
        <f>IF('исходные данные'!N238&gt;'минимумы и максимумы'!L$3,100,('исходные данные'!N238-'минимумы и максимумы'!L$2)/('минимумы и максимумы'!L$3-'минимумы и максимумы'!L$2)*100)</f>
        <v>51.6844934412212</v>
      </c>
      <c r="O238" s="1">
        <f>IF('исходные данные'!O238&gt;'минимумы и максимумы'!M$3,100,('исходные данные'!O238-'минимумы и максимумы'!M$2)/('минимумы и максимумы'!M$3-'минимумы и максимумы'!M$2)*100)</f>
        <v>0</v>
      </c>
      <c r="P238" s="1">
        <f>IF('исходные данные'!P238&gt;'минимумы и максимумы'!N$3,100,('исходные данные'!P238-'минимумы и максимумы'!N$2)/('минимумы и максимумы'!N$3-'минимумы и максимумы'!N$2)*100)</f>
        <v>0</v>
      </c>
      <c r="Q238" s="1">
        <f>IF('исходные данные'!Q238&gt;'минимумы и максимумы'!O$3,100,('исходные данные'!Q238-'минимумы и максимумы'!O$2)/('минимумы и максимумы'!O$3-'минимумы и максимумы'!O$2)*100)</f>
        <v>100</v>
      </c>
      <c r="R238" s="1">
        <f>IF('исходные данные'!R238&gt;'минимумы и максимумы'!P$3,100,('исходные данные'!R238-'минимумы и максимумы'!P$2)/('минимумы и максимумы'!P$3-'минимумы и максимумы'!P$2)*100)</f>
        <v>50</v>
      </c>
      <c r="S238" s="1">
        <f>IF('исходные данные'!S238&gt;'минимумы и максимумы'!Q$3,100,('исходные данные'!S238-'минимумы и максимумы'!Q$2)/('минимумы и максимумы'!Q$3-'минимумы и максимумы'!Q$2)*100)</f>
        <v>16.666666666666664</v>
      </c>
      <c r="T238" s="1">
        <f>IF('исходные данные'!T238&gt;'минимумы и максимумы'!R$3,100,('исходные данные'!T238-'минимумы и максимумы'!R$2)/('минимумы и максимумы'!R$3-'минимумы и максимумы'!R$2)*100)</f>
        <v>5.3673559172899257</v>
      </c>
      <c r="U238" s="1">
        <f>IF('исходные данные'!U238&gt;'минимумы и максимумы'!S$3,100,('исходные данные'!U238-'минимумы и максимумы'!S$2)/('минимумы и максимумы'!S$3-'минимумы и максимумы'!S$2)*100)</f>
        <v>0</v>
      </c>
    </row>
    <row r="239" spans="1:21" x14ac:dyDescent="0.45">
      <c r="A239" s="4">
        <v>331</v>
      </c>
      <c r="B239" s="4">
        <v>0</v>
      </c>
      <c r="C239" s="4">
        <v>0</v>
      </c>
      <c r="D239" s="1">
        <f>IF('исходные данные'!D239&gt;'минимумы и максимумы'!B$3,100,('исходные данные'!D239-'минимумы и максимумы'!B$2)/('минимумы и максимумы'!B$3-'минимумы и максимумы'!B$2)*100)</f>
        <v>0</v>
      </c>
      <c r="E239" s="1">
        <f>IF('исходные данные'!E239&gt;'минимумы и максимумы'!C$3,100,('исходные данные'!E239-'минимумы и максимумы'!C$2)/('минимумы и максимумы'!C$3-'минимумы и максимумы'!C$2)*100)</f>
        <v>0</v>
      </c>
      <c r="F239" s="1">
        <f>IF('исходные данные'!F239&gt;'минимумы и максимумы'!D$3,100,('исходные данные'!F239-'минимумы и максимумы'!D$2)/('минимумы и максимумы'!D$3-'минимумы и максимумы'!D$2)*100)</f>
        <v>0</v>
      </c>
      <c r="G239" s="1">
        <f>IF('исходные данные'!G239&gt;'минимумы и максимумы'!E$3,100,('исходные данные'!G239-'минимумы и максимумы'!E$2)/('минимумы и максимумы'!E$3-'минимумы и максимумы'!E$2)*100)</f>
        <v>0</v>
      </c>
      <c r="H239" s="1">
        <f>IF('исходные данные'!H239&gt;'минимумы и максимумы'!F$3,100,('исходные данные'!H239-'минимумы и максимумы'!F$2)/('минимумы и максимумы'!F$3-'минимумы и максимумы'!F$2)*100)</f>
        <v>0</v>
      </c>
      <c r="I239" s="1">
        <f>IF('исходные данные'!I239&gt;'минимумы и максимумы'!G$3,100,('исходные данные'!I239-'минимумы и максимумы'!G$2)/('минимумы и максимумы'!G$3-'минимумы и максимумы'!G$2)*100)</f>
        <v>0</v>
      </c>
      <c r="J239" s="1">
        <f>IF('исходные данные'!J239&gt;'минимумы и максимумы'!H$3,100,('исходные данные'!J239-'минимумы и максимумы'!H$2)/('минимумы и максимумы'!H$3-'минимумы и максимумы'!H$2)*100)</f>
        <v>0</v>
      </c>
      <c r="K239" s="1">
        <f>IF('исходные данные'!K239&gt;'минимумы и максимумы'!I$3,100,('исходные данные'!K239-'минимумы и максимумы'!I$2)/('минимумы и максимумы'!I$3-'минимумы и максимумы'!I$2)*100)</f>
        <v>0</v>
      </c>
      <c r="L239" s="1">
        <f>IF('исходные данные'!L239&gt;'минимумы и максимумы'!J$3,100,('исходные данные'!L239-'минимумы и максимумы'!J$2)/('минимумы и максимумы'!J$3-'минимумы и максимумы'!J$2)*100)</f>
        <v>0</v>
      </c>
      <c r="M239" s="1">
        <f>IF('исходные данные'!M239&gt;'минимумы и максимумы'!K$3,100,('исходные данные'!M239-'минимумы и максимумы'!K$2)/('минимумы и максимумы'!K$3-'минимумы и максимумы'!K$2)*100)</f>
        <v>3.225806451612903</v>
      </c>
      <c r="N239" s="1">
        <f>IF('исходные данные'!N239&gt;'минимумы и максимумы'!L$3,100,('исходные данные'!N239-'минимумы и максимумы'!L$2)/('минимумы и максимумы'!L$3-'минимумы и максимумы'!L$2)*100)</f>
        <v>53.639218580181961</v>
      </c>
      <c r="O239" s="1">
        <f>IF('исходные данные'!O239&gt;'минимумы и максимумы'!M$3,100,('исходные данные'!O239-'минимумы и максимумы'!M$2)/('минимумы и максимумы'!M$3-'минимумы и максимумы'!M$2)*100)</f>
        <v>0</v>
      </c>
      <c r="P239" s="1">
        <f>IF('исходные данные'!P239&gt;'минимумы и максимумы'!N$3,100,('исходные данные'!P239-'минимумы и максимумы'!N$2)/('минимумы и максимумы'!N$3-'минимумы и максимумы'!N$2)*100)</f>
        <v>0</v>
      </c>
      <c r="Q239" s="1">
        <f>IF('исходные данные'!Q239&gt;'минимумы и максимумы'!O$3,100,('исходные данные'!Q239-'минимумы и максимумы'!O$2)/('минимумы и максимумы'!O$3-'минимумы и максимумы'!O$2)*100)</f>
        <v>100</v>
      </c>
      <c r="R239" s="1">
        <f>IF('исходные данные'!R239&gt;'минимумы и максимумы'!P$3,100,('исходные данные'!R239-'минимумы и максимумы'!P$2)/('минимумы и максимумы'!P$3-'минимумы и максимумы'!P$2)*100)</f>
        <v>75</v>
      </c>
      <c r="S239" s="1">
        <f>IF('исходные данные'!S239&gt;'минимумы и максимумы'!Q$3,100,('исходные данные'!S239-'минимумы и максимумы'!Q$2)/('минимумы и максимумы'!Q$3-'минимумы и максимумы'!Q$2)*100)</f>
        <v>16.666666666666664</v>
      </c>
      <c r="T239" s="1">
        <f>IF('исходные данные'!T239&gt;'минимумы и максимумы'!R$3,100,('исходные данные'!T239-'минимумы и максимумы'!R$2)/('минимумы и максимумы'!R$3-'минимумы и максимумы'!R$2)*100)</f>
        <v>3.4755829300483945</v>
      </c>
      <c r="U239" s="1">
        <f>IF('исходные данные'!U239&gt;'минимумы и максимумы'!S$3,100,('исходные данные'!U239-'минимумы и максимумы'!S$2)/('минимумы и максимумы'!S$3-'минимумы и максимумы'!S$2)*100)</f>
        <v>0</v>
      </c>
    </row>
    <row r="240" spans="1:21" x14ac:dyDescent="0.45">
      <c r="A240" s="4">
        <v>332</v>
      </c>
      <c r="B240" s="4">
        <v>0</v>
      </c>
      <c r="C240" s="4">
        <v>0</v>
      </c>
      <c r="D240" s="1">
        <f>IF('исходные данные'!D240&gt;'минимумы и максимумы'!B$3,100,('исходные данные'!D240-'минимумы и максимумы'!B$2)/('минимумы и максимумы'!B$3-'минимумы и максимумы'!B$2)*100)</f>
        <v>0</v>
      </c>
      <c r="E240" s="1">
        <f>IF('исходные данные'!E240&gt;'минимумы и максимумы'!C$3,100,('исходные данные'!E240-'минимумы и максимумы'!C$2)/('минимумы и максимумы'!C$3-'минимумы и максимумы'!C$2)*100)</f>
        <v>0</v>
      </c>
      <c r="F240" s="1">
        <f>IF('исходные данные'!F240&gt;'минимумы и максимумы'!D$3,100,('исходные данные'!F240-'минимумы и максимумы'!D$2)/('минимумы и максимумы'!D$3-'минимумы и максимумы'!D$2)*100)</f>
        <v>0</v>
      </c>
      <c r="G240" s="1">
        <f>IF('исходные данные'!G240&gt;'минимумы и максимумы'!E$3,100,('исходные данные'!G240-'минимумы и максимумы'!E$2)/('минимумы и максимумы'!E$3-'минимумы и максимумы'!E$2)*100)</f>
        <v>0</v>
      </c>
      <c r="H240" s="1">
        <f>IF('исходные данные'!H240&gt;'минимумы и максимумы'!F$3,100,('исходные данные'!H240-'минимумы и максимумы'!F$2)/('минимумы и максимумы'!F$3-'минимумы и максимумы'!F$2)*100)</f>
        <v>0</v>
      </c>
      <c r="I240" s="1">
        <f>IF('исходные данные'!I240&gt;'минимумы и максимумы'!G$3,100,('исходные данные'!I240-'минимумы и максимумы'!G$2)/('минимумы и максимумы'!G$3-'минимумы и максимумы'!G$2)*100)</f>
        <v>0</v>
      </c>
      <c r="J240" s="1">
        <f>IF('исходные данные'!J240&gt;'минимумы и максимумы'!H$3,100,('исходные данные'!J240-'минимумы и максимумы'!H$2)/('минимумы и максимумы'!H$3-'минимумы и максимумы'!H$2)*100)</f>
        <v>0</v>
      </c>
      <c r="K240" s="1">
        <f>IF('исходные данные'!K240&gt;'минимумы и максимумы'!I$3,100,('исходные данные'!K240-'минимумы и максимумы'!I$2)/('минимумы и максимумы'!I$3-'минимумы и максимумы'!I$2)*100)</f>
        <v>0</v>
      </c>
      <c r="L240" s="1">
        <f>IF('исходные данные'!L240&gt;'минимумы и максимумы'!J$3,100,('исходные данные'!L240-'минимумы и максимумы'!J$2)/('минимумы и максимумы'!J$3-'минимумы и максимумы'!J$2)*100)</f>
        <v>0</v>
      </c>
      <c r="M240" s="1">
        <f>IF('исходные данные'!M240&gt;'минимумы и максимумы'!K$3,100,('исходные данные'!M240-'минимумы и максимумы'!K$2)/('минимумы и максимумы'!K$3-'минимумы и максимумы'!K$2)*100)</f>
        <v>0</v>
      </c>
      <c r="N240" s="1">
        <f>IF('исходные данные'!N240&gt;'минимумы и максимумы'!L$3,100,('исходные данные'!N240-'минимумы и максимумы'!L$2)/('минимумы и максимумы'!L$3-'минимумы и максимумы'!L$2)*100)</f>
        <v>58.413167516571384</v>
      </c>
      <c r="O240" s="1">
        <f>IF('исходные данные'!O240&gt;'минимумы и максимумы'!M$3,100,('исходные данные'!O240-'минимумы и максимумы'!M$2)/('минимумы и максимумы'!M$3-'минимумы и максимумы'!M$2)*100)</f>
        <v>0</v>
      </c>
      <c r="P240" s="1">
        <f>IF('исходные данные'!P240&gt;'минимумы и максимумы'!N$3,100,('исходные данные'!P240-'минимумы и максимумы'!N$2)/('минимумы и максимумы'!N$3-'минимумы и максимумы'!N$2)*100)</f>
        <v>0</v>
      </c>
      <c r="Q240" s="1">
        <f>IF('исходные данные'!Q240&gt;'минимумы и максимумы'!O$3,100,('исходные данные'!Q240-'минимумы и максимумы'!O$2)/('минимумы и максимумы'!O$3-'минимумы и максимумы'!O$2)*100)</f>
        <v>100</v>
      </c>
      <c r="R240" s="1">
        <f>IF('исходные данные'!R240&gt;'минимумы и максимумы'!P$3,100,('исходные данные'!R240-'минимумы и максимумы'!P$2)/('минимумы и максимумы'!P$3-'минимумы и максимумы'!P$2)*100)</f>
        <v>100</v>
      </c>
      <c r="S240" s="1">
        <f>IF('исходные данные'!S240&gt;'минимумы и максимумы'!Q$3,100,('исходные данные'!S240-'минимумы и максимумы'!Q$2)/('минимумы и максимумы'!Q$3-'минимумы и максимумы'!Q$2)*100)</f>
        <v>16.666666666666664</v>
      </c>
      <c r="T240" s="1">
        <f>IF('исходные данные'!T240&gt;'минимумы и максимумы'!R$3,100,('исходные данные'!T240-'минимумы и максимумы'!R$2)/('минимумы и максимумы'!R$3-'минимумы и максимумы'!R$2)*100)</f>
        <v>93.136823581170262</v>
      </c>
      <c r="U240" s="1">
        <f>IF('исходные данные'!U240&gt;'минимумы и максимумы'!S$3,100,('исходные данные'!U240-'минимумы и максимумы'!S$2)/('минимумы и максимумы'!S$3-'минимумы и максимумы'!S$2)*100)</f>
        <v>0</v>
      </c>
    </row>
    <row r="241" spans="1:21" x14ac:dyDescent="0.45">
      <c r="A241" s="4">
        <v>333</v>
      </c>
      <c r="B241" s="4">
        <v>0</v>
      </c>
      <c r="C241" s="4">
        <v>0</v>
      </c>
      <c r="D241" s="1">
        <f>IF('исходные данные'!D241&gt;'минимумы и максимумы'!B$3,100,('исходные данные'!D241-'минимумы и максимумы'!B$2)/('минимумы и максимумы'!B$3-'минимумы и максимумы'!B$2)*100)</f>
        <v>0</v>
      </c>
      <c r="E241" s="1">
        <f>IF('исходные данные'!E241&gt;'минимумы и максимумы'!C$3,100,('исходные данные'!E241-'минимумы и максимумы'!C$2)/('минимумы и максимумы'!C$3-'минимумы и максимумы'!C$2)*100)</f>
        <v>0</v>
      </c>
      <c r="F241" s="1">
        <f>IF('исходные данные'!F241&gt;'минимумы и максимумы'!D$3,100,('исходные данные'!F241-'минимумы и максимумы'!D$2)/('минимумы и максимумы'!D$3-'минимумы и максимумы'!D$2)*100)</f>
        <v>0</v>
      </c>
      <c r="G241" s="1">
        <f>IF('исходные данные'!G241&gt;'минимумы и максимумы'!E$3,100,('исходные данные'!G241-'минимумы и максимумы'!E$2)/('минимумы и максимумы'!E$3-'минимумы и максимумы'!E$2)*100)</f>
        <v>0</v>
      </c>
      <c r="H241" s="1">
        <f>IF('исходные данные'!H241&gt;'минимумы и максимумы'!F$3,100,('исходные данные'!H241-'минимумы и максимумы'!F$2)/('минимумы и максимумы'!F$3-'минимумы и максимумы'!F$2)*100)</f>
        <v>0</v>
      </c>
      <c r="I241" s="1">
        <f>IF('исходные данные'!I241&gt;'минимумы и максимумы'!G$3,100,('исходные данные'!I241-'минимумы и максимумы'!G$2)/('минимумы и максимумы'!G$3-'минимумы и максимумы'!G$2)*100)</f>
        <v>0</v>
      </c>
      <c r="J241" s="1">
        <f>IF('исходные данные'!J241&gt;'минимумы и максимумы'!H$3,100,('исходные данные'!J241-'минимумы и максимумы'!H$2)/('минимумы и максимумы'!H$3-'минимумы и максимумы'!H$2)*100)</f>
        <v>0</v>
      </c>
      <c r="K241" s="1">
        <f>IF('исходные данные'!K241&gt;'минимумы и максимумы'!I$3,100,('исходные данные'!K241-'минимумы и максимумы'!I$2)/('минимумы и максимумы'!I$3-'минимумы и максимумы'!I$2)*100)</f>
        <v>0</v>
      </c>
      <c r="L241" s="1">
        <f>IF('исходные данные'!L241&gt;'минимумы и максимумы'!J$3,100,('исходные данные'!L241-'минимумы и максимумы'!J$2)/('минимумы и максимумы'!J$3-'минимумы и максимумы'!J$2)*100)</f>
        <v>0</v>
      </c>
      <c r="M241" s="1">
        <f>IF('исходные данные'!M241&gt;'минимумы и максимумы'!K$3,100,('исходные данные'!M241-'минимумы и максимумы'!K$2)/('минимумы и максимумы'!K$3-'минимумы и максимумы'!K$2)*100)</f>
        <v>0</v>
      </c>
      <c r="N241" s="1">
        <f>IF('исходные данные'!N241&gt;'минимумы и максимумы'!L$3,100,('исходные данные'!N241-'минимумы и максимумы'!L$2)/('минимумы и максимумы'!L$3-'минимумы и максимумы'!L$2)*100)</f>
        <v>58.134073490619542</v>
      </c>
      <c r="O241" s="1">
        <f>IF('исходные данные'!O241&gt;'минимумы и максимумы'!M$3,100,('исходные данные'!O241-'минимумы и максимумы'!M$2)/('минимумы и максимумы'!M$3-'минимумы и максимумы'!M$2)*100)</f>
        <v>0</v>
      </c>
      <c r="P241" s="1">
        <f>IF('исходные данные'!P241&gt;'минимумы и максимумы'!N$3,100,('исходные данные'!P241-'минимумы и максимумы'!N$2)/('минимумы и максимумы'!N$3-'минимумы и максимумы'!N$2)*100)</f>
        <v>0</v>
      </c>
      <c r="Q241" s="1">
        <f>IF('исходные данные'!Q241&gt;'минимумы и максимумы'!O$3,100,('исходные данные'!Q241-'минимумы и максимумы'!O$2)/('минимумы и максимумы'!O$3-'минимумы и максимумы'!O$2)*100)</f>
        <v>100</v>
      </c>
      <c r="R241" s="1">
        <f>IF('исходные данные'!R241&gt;'минимумы и максимумы'!P$3,100,('исходные данные'!R241-'минимумы и максимумы'!P$2)/('минимумы и максимумы'!P$3-'минимумы и максимумы'!P$2)*100)</f>
        <v>100</v>
      </c>
      <c r="S241" s="1">
        <f>IF('исходные данные'!S241&gt;'минимумы и максимумы'!Q$3,100,('исходные данные'!S241-'минимумы и максимумы'!Q$2)/('минимумы и максимумы'!Q$3-'минимумы и максимумы'!Q$2)*100)</f>
        <v>16.666666666666664</v>
      </c>
      <c r="T241" s="1">
        <f>IF('исходные данные'!T241&gt;'минимумы и максимумы'!R$3,100,('исходные данные'!T241-'минимумы и максимумы'!R$2)/('минимумы и максимумы'!R$3-'минимумы и максимумы'!R$2)*100)</f>
        <v>53.453585569731629</v>
      </c>
      <c r="U241" s="1">
        <f>IF('исходные данные'!U241&gt;'минимумы и максимумы'!S$3,100,('исходные данные'!U241-'минимумы и максимумы'!S$2)/('минимумы и максимумы'!S$3-'минимумы и максимумы'!S$2)*100)</f>
        <v>0</v>
      </c>
    </row>
    <row r="242" spans="1:21" x14ac:dyDescent="0.45">
      <c r="A242" s="4">
        <v>334</v>
      </c>
      <c r="B242" s="4">
        <v>0</v>
      </c>
      <c r="C242" s="4">
        <v>0</v>
      </c>
      <c r="D242" s="1">
        <f>IF('исходные данные'!D242&gt;'минимумы и максимумы'!B$3,100,('исходные данные'!D242-'минимумы и максимумы'!B$2)/('минимумы и максимумы'!B$3-'минимумы и максимумы'!B$2)*100)</f>
        <v>0</v>
      </c>
      <c r="E242" s="1">
        <f>IF('исходные данные'!E242&gt;'минимумы и максимумы'!C$3,100,('исходные данные'!E242-'минимумы и максимумы'!C$2)/('минимумы и максимумы'!C$3-'минимумы и максимумы'!C$2)*100)</f>
        <v>0</v>
      </c>
      <c r="F242" s="1">
        <f>IF('исходные данные'!F242&gt;'минимумы и максимумы'!D$3,100,('исходные данные'!F242-'минимумы и максимумы'!D$2)/('минимумы и максимумы'!D$3-'минимумы и максимумы'!D$2)*100)</f>
        <v>0</v>
      </c>
      <c r="G242" s="1">
        <f>IF('исходные данные'!G242&gt;'минимумы и максимумы'!E$3,100,('исходные данные'!G242-'минимумы и максимумы'!E$2)/('минимумы и максимумы'!E$3-'минимумы и максимумы'!E$2)*100)</f>
        <v>0</v>
      </c>
      <c r="H242" s="1">
        <f>IF('исходные данные'!H242&gt;'минимумы и максимумы'!F$3,100,('исходные данные'!H242-'минимумы и максимумы'!F$2)/('минимумы и максимумы'!F$3-'минимумы и максимумы'!F$2)*100)</f>
        <v>0</v>
      </c>
      <c r="I242" s="1">
        <f>IF('исходные данные'!I242&gt;'минимумы и максимумы'!G$3,100,('исходные данные'!I242-'минимумы и максимумы'!G$2)/('минимумы и максимумы'!G$3-'минимумы и максимумы'!G$2)*100)</f>
        <v>0</v>
      </c>
      <c r="J242" s="1">
        <f>IF('исходные данные'!J242&gt;'минимумы и максимумы'!H$3,100,('исходные данные'!J242-'минимумы и максимумы'!H$2)/('минимумы и максимумы'!H$3-'минимумы и максимумы'!H$2)*100)</f>
        <v>0</v>
      </c>
      <c r="K242" s="1">
        <f>IF('исходные данные'!K242&gt;'минимумы и максимумы'!I$3,100,('исходные данные'!K242-'минимумы и максимумы'!I$2)/('минимумы и максимумы'!I$3-'минимумы и максимумы'!I$2)*100)</f>
        <v>0</v>
      </c>
      <c r="L242" s="1">
        <f>IF('исходные данные'!L242&gt;'минимумы и максимумы'!J$3,100,('исходные данные'!L242-'минимумы и максимумы'!J$2)/('минимумы и максимумы'!J$3-'минимумы и максимумы'!J$2)*100)</f>
        <v>0</v>
      </c>
      <c r="M242" s="1">
        <f>IF('исходные данные'!M242&gt;'минимумы и максимумы'!K$3,100,('исходные данные'!M242-'минимумы и максимумы'!K$2)/('минимумы и максимумы'!K$3-'минимумы и максимумы'!K$2)*100)</f>
        <v>0</v>
      </c>
      <c r="N242" s="1">
        <f>IF('исходные данные'!N242&gt;'минимумы и максимумы'!L$3,100,('исходные данные'!N242-'минимумы и максимумы'!L$2)/('минимумы и максимумы'!L$3-'минимумы и максимумы'!L$2)*100)</f>
        <v>58.59574275166446</v>
      </c>
      <c r="O242" s="1">
        <f>IF('исходные данные'!O242&gt;'минимумы и максимумы'!M$3,100,('исходные данные'!O242-'минимумы и максимумы'!M$2)/('минимумы и максимумы'!M$3-'минимумы и максимумы'!M$2)*100)</f>
        <v>0</v>
      </c>
      <c r="P242" s="1">
        <f>IF('исходные данные'!P242&gt;'минимумы и максимумы'!N$3,100,('исходные данные'!P242-'минимумы и максимумы'!N$2)/('минимумы и максимумы'!N$3-'минимумы и максимумы'!N$2)*100)</f>
        <v>0</v>
      </c>
      <c r="Q242" s="1">
        <f>IF('исходные данные'!Q242&gt;'минимумы и максимумы'!O$3,100,('исходные данные'!Q242-'минимумы и максимумы'!O$2)/('минимумы и максимумы'!O$3-'минимумы и максимумы'!O$2)*100)</f>
        <v>100</v>
      </c>
      <c r="R242" s="1">
        <f>IF('исходные данные'!R242&gt;'минимумы и максимумы'!P$3,100,('исходные данные'!R242-'минимумы и максимумы'!P$2)/('минимумы и максимумы'!P$3-'минимумы и максимумы'!P$2)*100)</f>
        <v>100</v>
      </c>
      <c r="S242" s="1">
        <f>IF('исходные данные'!S242&gt;'минимумы и максимумы'!Q$3,100,('исходные данные'!S242-'минимумы и максимумы'!Q$2)/('минимумы и максимумы'!Q$3-'минимумы и максимумы'!Q$2)*100)</f>
        <v>16.666666666666664</v>
      </c>
      <c r="T242" s="1">
        <f>IF('исходные данные'!T242&gt;'минимумы и максимумы'!R$3,100,('исходные данные'!T242-'минимумы и максимумы'!R$2)/('минимумы и максимумы'!R$3-'минимумы и максимумы'!R$2)*100)</f>
        <v>98.328200615926093</v>
      </c>
      <c r="U242" s="1">
        <f>IF('исходные данные'!U242&gt;'минимумы и максимумы'!S$3,100,('исходные данные'!U242-'минимумы и максимумы'!S$2)/('минимумы и максимумы'!S$3-'минимумы и максимумы'!S$2)*100)</f>
        <v>0</v>
      </c>
    </row>
    <row r="243" spans="1:21" x14ac:dyDescent="0.45">
      <c r="A243" s="4">
        <v>335</v>
      </c>
      <c r="B243" s="4">
        <v>0</v>
      </c>
      <c r="C243" s="4">
        <v>0</v>
      </c>
      <c r="D243" s="1">
        <f>IF('исходные данные'!D243&gt;'минимумы и максимумы'!B$3,100,('исходные данные'!D243-'минимумы и максимумы'!B$2)/('минимумы и максимумы'!B$3-'минимумы и максимумы'!B$2)*100)</f>
        <v>0</v>
      </c>
      <c r="E243" s="1">
        <f>IF('исходные данные'!E243&gt;'минимумы и максимумы'!C$3,100,('исходные данные'!E243-'минимумы и максимумы'!C$2)/('минимумы и максимумы'!C$3-'минимумы и максимумы'!C$2)*100)</f>
        <v>0</v>
      </c>
      <c r="F243" s="1">
        <f>IF('исходные данные'!F243&gt;'минимумы и максимумы'!D$3,100,('исходные данные'!F243-'минимумы и максимумы'!D$2)/('минимумы и максимумы'!D$3-'минимумы и максимумы'!D$2)*100)</f>
        <v>0</v>
      </c>
      <c r="G243" s="1">
        <f>IF('исходные данные'!G243&gt;'минимумы и максимумы'!E$3,100,('исходные данные'!G243-'минимумы и максимумы'!E$2)/('минимумы и максимумы'!E$3-'минимумы и максимумы'!E$2)*100)</f>
        <v>0</v>
      </c>
      <c r="H243" s="1">
        <f>IF('исходные данные'!H243&gt;'минимумы и максимумы'!F$3,100,('исходные данные'!H243-'минимумы и максимумы'!F$2)/('минимумы и максимумы'!F$3-'минимумы и максимумы'!F$2)*100)</f>
        <v>0</v>
      </c>
      <c r="I243" s="1">
        <f>IF('исходные данные'!I243&gt;'минимумы и максимумы'!G$3,100,('исходные данные'!I243-'минимумы и максимумы'!G$2)/('минимумы и максимумы'!G$3-'минимумы и максимумы'!G$2)*100)</f>
        <v>0</v>
      </c>
      <c r="J243" s="1">
        <f>IF('исходные данные'!J243&gt;'минимумы и максимумы'!H$3,100,('исходные данные'!J243-'минимумы и максимумы'!H$2)/('минимумы и максимумы'!H$3-'минимумы и максимумы'!H$2)*100)</f>
        <v>0</v>
      </c>
      <c r="K243" s="1">
        <f>IF('исходные данные'!K243&gt;'минимумы и максимумы'!I$3,100,('исходные данные'!K243-'минимумы и максимумы'!I$2)/('минимумы и максимумы'!I$3-'минимумы и максимумы'!I$2)*100)</f>
        <v>0</v>
      </c>
      <c r="L243" s="1">
        <f>IF('исходные данные'!L243&gt;'минимумы и максимумы'!J$3,100,('исходные данные'!L243-'минимумы и максимумы'!J$2)/('минимумы и максимумы'!J$3-'минимумы и максимумы'!J$2)*100)</f>
        <v>0</v>
      </c>
      <c r="M243" s="1">
        <f>IF('исходные данные'!M243&gt;'минимумы и максимумы'!K$3,100,('исходные данные'!M243-'минимумы и максимумы'!K$2)/('минимумы и максимумы'!K$3-'минимумы и максимумы'!K$2)*100)</f>
        <v>0</v>
      </c>
      <c r="N243" s="1">
        <f>IF('исходные данные'!N243&gt;'минимумы и максимумы'!L$3,100,('исходные данные'!N243-'минимумы и максимумы'!L$2)/('минимумы и максимумы'!L$3-'минимумы и максимумы'!L$2)*100)</f>
        <v>57.88422707529206</v>
      </c>
      <c r="O243" s="1">
        <f>IF('исходные данные'!O243&gt;'минимумы и максимумы'!M$3,100,('исходные данные'!O243-'минимумы и максимумы'!M$2)/('минимумы и максимумы'!M$3-'минимумы и максимумы'!M$2)*100)</f>
        <v>0</v>
      </c>
      <c r="P243" s="1">
        <f>IF('исходные данные'!P243&gt;'минимумы и максимумы'!N$3,100,('исходные данные'!P243-'минимумы и максимумы'!N$2)/('минимумы и максимумы'!N$3-'минимумы и максимумы'!N$2)*100)</f>
        <v>0</v>
      </c>
      <c r="Q243" s="1">
        <f>IF('исходные данные'!Q243&gt;'минимумы и максимумы'!O$3,100,('исходные данные'!Q243-'минимумы и максимумы'!O$2)/('минимумы и максимумы'!O$3-'минимумы и максимумы'!O$2)*100)</f>
        <v>100</v>
      </c>
      <c r="R243" s="1">
        <f>IF('исходные данные'!R243&gt;'минимумы и максимумы'!P$3,100,('исходные данные'!R243-'минимумы и максимумы'!P$2)/('минимумы и максимумы'!P$3-'минимумы и максимумы'!P$2)*100)</f>
        <v>100</v>
      </c>
      <c r="S243" s="1">
        <f>IF('исходные данные'!S243&gt;'минимумы и максимумы'!Q$3,100,('исходные данные'!S243-'минимумы и максимумы'!Q$2)/('минимумы и максимумы'!Q$3-'минимумы и максимумы'!Q$2)*100)</f>
        <v>16.666666666666664</v>
      </c>
      <c r="T243" s="1">
        <f>IF('исходные данные'!T243&gt;'минимумы и максимумы'!R$3,100,('исходные данные'!T243-'минимумы и максимумы'!R$2)/('минимумы и максимумы'!R$3-'минимумы и максимумы'!R$2)*100)</f>
        <v>60.66871975362956</v>
      </c>
      <c r="U243" s="1">
        <f>IF('исходные данные'!U243&gt;'минимумы и максимумы'!S$3,100,('исходные данные'!U243-'минимумы и максимумы'!S$2)/('минимумы и максимумы'!S$3-'минимумы и максимумы'!S$2)*100)</f>
        <v>0</v>
      </c>
    </row>
    <row r="244" spans="1:21" x14ac:dyDescent="0.45">
      <c r="A244" s="4">
        <v>338</v>
      </c>
      <c r="B244" s="4">
        <v>0</v>
      </c>
      <c r="C244" s="4">
        <v>0</v>
      </c>
      <c r="D244" s="1">
        <f>IF('исходные данные'!D244&gt;'минимумы и максимумы'!B$3,100,('исходные данные'!D244-'минимумы и максимумы'!B$2)/('минимумы и максимумы'!B$3-'минимумы и максимумы'!B$2)*100)</f>
        <v>80</v>
      </c>
      <c r="E244" s="1">
        <f>IF('исходные данные'!E244&gt;'минимумы и максимумы'!C$3,100,('исходные данные'!E244-'минимумы и максимумы'!C$2)/('минимумы и максимумы'!C$3-'минимумы и максимумы'!C$2)*100)</f>
        <v>50</v>
      </c>
      <c r="F244" s="1">
        <f>IF('исходные данные'!F244&gt;'минимумы и максимумы'!D$3,100,('исходные данные'!F244-'минимумы и максимумы'!D$2)/('минимумы и максимумы'!D$3-'минимумы и максимумы'!D$2)*100)</f>
        <v>33.333333333333329</v>
      </c>
      <c r="G244" s="1">
        <f>IF('исходные данные'!G244&gt;'минимумы и максимумы'!E$3,100,('исходные данные'!G244-'минимумы и максимумы'!E$2)/('минимумы и максимумы'!E$3-'минимумы и максимумы'!E$2)*100)</f>
        <v>25</v>
      </c>
      <c r="H244" s="1">
        <f>IF('исходные данные'!H244&gt;'минимумы и максимумы'!F$3,100,('исходные данные'!H244-'минимумы и максимумы'!F$2)/('минимумы и максимумы'!F$3-'минимумы и максимумы'!F$2)*100)</f>
        <v>100</v>
      </c>
      <c r="I244" s="1">
        <f>IF('исходные данные'!I244&gt;'минимумы и максимумы'!G$3,100,('исходные данные'!I244-'минимумы и максимумы'!G$2)/('минимумы и максимумы'!G$3-'минимумы и максимумы'!G$2)*100)</f>
        <v>26.415094339622641</v>
      </c>
      <c r="J244" s="1">
        <f>IF('исходные данные'!J244&gt;'минимумы и максимумы'!H$3,100,('исходные данные'!J244-'минимумы и максимумы'!H$2)/('минимумы и максимумы'!H$3-'минимумы и максимумы'!H$2)*100)</f>
        <v>0</v>
      </c>
      <c r="K244" s="1">
        <f>IF('исходные данные'!K244&gt;'минимумы и максимумы'!I$3,100,('исходные данные'!K244-'минимумы и максимумы'!I$2)/('минимумы и максимумы'!I$3-'минимумы и максимумы'!I$2)*100)</f>
        <v>0</v>
      </c>
      <c r="L244" s="1">
        <f>IF('исходные данные'!L244&gt;'минимумы и максимумы'!J$3,100,('исходные данные'!L244-'минимумы и максимумы'!J$2)/('минимумы и максимумы'!J$3-'минимумы и максимумы'!J$2)*100)</f>
        <v>100</v>
      </c>
      <c r="M244" s="1">
        <f>IF('исходные данные'!M244&gt;'минимумы и максимумы'!K$3,100,('исходные данные'!M244-'минимумы и максимумы'!K$2)/('минимумы и максимумы'!K$3-'минимумы и максимумы'!K$2)*100)</f>
        <v>48.387096774193552</v>
      </c>
      <c r="N244" s="1">
        <f>IF('исходные данные'!N244&gt;'минимумы и максимумы'!L$3,100,('исходные данные'!N244-'минимумы и максимумы'!L$2)/('минимумы и максимумы'!L$3-'минимумы и максимумы'!L$2)*100)</f>
        <v>46.379174126021262</v>
      </c>
      <c r="O244" s="1">
        <f>IF('исходные данные'!O244&gt;'минимумы и максимумы'!M$3,100,('исходные данные'!O244-'минимумы и максимумы'!M$2)/('минимумы и максимумы'!M$3-'минимумы и максимумы'!M$2)*100)</f>
        <v>66.666666666666657</v>
      </c>
      <c r="P244" s="1">
        <f>IF('исходные данные'!P244&gt;'минимумы и максимумы'!N$3,100,('исходные данные'!P244-'минимумы и максимумы'!N$2)/('минимумы и максимумы'!N$3-'минимумы и максимумы'!N$2)*100)</f>
        <v>0</v>
      </c>
      <c r="Q244" s="1">
        <f>IF('исходные данные'!Q244&gt;'минимумы и максимумы'!O$3,100,('исходные данные'!Q244-'минимумы и максимумы'!O$2)/('минимумы и максимумы'!O$3-'минимумы и максимумы'!O$2)*100)</f>
        <v>0</v>
      </c>
      <c r="R244" s="1">
        <f>IF('исходные данные'!R244&gt;'минимумы и максимумы'!P$3,100,('исходные данные'!R244-'минимумы и максимумы'!P$2)/('минимумы и максимумы'!P$3-'минимумы и максимумы'!P$2)*100)</f>
        <v>100</v>
      </c>
      <c r="S244" s="1">
        <f>IF('исходные данные'!S244&gt;'минимумы и максимумы'!Q$3,100,('исходные данные'!S244-'минимумы и максимумы'!Q$2)/('минимумы и максимумы'!Q$3-'минимумы и максимумы'!Q$2)*100)</f>
        <v>66.666666666666657</v>
      </c>
      <c r="T244" s="1">
        <f>IF('исходные данные'!T244&gt;'минимумы и максимумы'!R$3,100,('исходные данные'!T244-'минимумы и максимумы'!R$2)/('минимумы и максимумы'!R$3-'минимумы и максимумы'!R$2)*100)</f>
        <v>43.862736471623407</v>
      </c>
      <c r="U244" s="1">
        <f>IF('исходные данные'!U244&gt;'минимумы и максимумы'!S$3,100,('исходные данные'!U244-'минимумы и максимумы'!S$2)/('минимумы и максимумы'!S$3-'минимумы и максимумы'!S$2)*100)</f>
        <v>0</v>
      </c>
    </row>
    <row r="245" spans="1:21" x14ac:dyDescent="0.45">
      <c r="A245" s="4">
        <v>339</v>
      </c>
      <c r="B245" s="4">
        <v>0</v>
      </c>
      <c r="C245" s="4">
        <v>0</v>
      </c>
      <c r="D245" s="1">
        <f>IF('исходные данные'!D245&gt;'минимумы и максимумы'!B$3,100,('исходные данные'!D245-'минимумы и максимумы'!B$2)/('минимумы и максимумы'!B$3-'минимумы и максимумы'!B$2)*100)</f>
        <v>40</v>
      </c>
      <c r="E245" s="1">
        <f>IF('исходные данные'!E245&gt;'минимумы и максимумы'!C$3,100,('исходные данные'!E245-'минимумы и максимумы'!C$2)/('минимумы и максимумы'!C$3-'минимумы и максимумы'!C$2)*100)</f>
        <v>40</v>
      </c>
      <c r="F245" s="1">
        <f>IF('исходные данные'!F245&gt;'минимумы и максимумы'!D$3,100,('исходные данные'!F245-'минимумы и максимумы'!D$2)/('минимумы и максимумы'!D$3-'минимумы и максимумы'!D$2)*100)</f>
        <v>0</v>
      </c>
      <c r="G245" s="1">
        <f>IF('исходные данные'!G245&gt;'минимумы и максимумы'!E$3,100,('исходные данные'!G245-'минимумы и максимумы'!E$2)/('минимумы и максимумы'!E$3-'минимумы и максимумы'!E$2)*100)</f>
        <v>8.3333333333333321</v>
      </c>
      <c r="H245" s="1">
        <f>IF('исходные данные'!H245&gt;'минимумы и максимумы'!F$3,100,('исходные данные'!H245-'минимумы и максимумы'!F$2)/('минимумы и максимумы'!F$3-'минимумы и максимумы'!F$2)*100)</f>
        <v>12</v>
      </c>
      <c r="I245" s="1">
        <f>IF('исходные данные'!I245&gt;'минимумы и максимумы'!G$3,100,('исходные данные'!I245-'минимумы и максимумы'!G$2)/('минимумы и максимумы'!G$3-'минимумы и максимумы'!G$2)*100)</f>
        <v>3.7735849056603774</v>
      </c>
      <c r="J245" s="1">
        <f>IF('исходные данные'!J245&gt;'минимумы и максимумы'!H$3,100,('исходные данные'!J245-'минимумы и максимумы'!H$2)/('минимумы и максимумы'!H$3-'минимумы и максимумы'!H$2)*100)</f>
        <v>0</v>
      </c>
      <c r="K245" s="1">
        <f>IF('исходные данные'!K245&gt;'минимумы и максимумы'!I$3,100,('исходные данные'!K245-'минимумы и максимумы'!I$2)/('минимумы и максимумы'!I$3-'минимумы и максимумы'!I$2)*100)</f>
        <v>0</v>
      </c>
      <c r="L245" s="1">
        <f>IF('исходные данные'!L245&gt;'минимумы и максимумы'!J$3,100,('исходные данные'!L245-'минимумы и максимумы'!J$2)/('минимумы и максимумы'!J$3-'минимумы и максимумы'!J$2)*100)</f>
        <v>20</v>
      </c>
      <c r="M245" s="1">
        <f>IF('исходные данные'!M245&gt;'минимумы и максимумы'!K$3,100,('исходные данные'!M245-'минимумы и максимумы'!K$2)/('минимумы и максимумы'!K$3-'минимумы и максимумы'!K$2)*100)</f>
        <v>19.35483870967742</v>
      </c>
      <c r="N245" s="1">
        <f>IF('исходные данные'!N245&gt;'минимумы и максимумы'!L$3,100,('исходные данные'!N245-'минимумы и максимумы'!L$2)/('минимумы и максимумы'!L$3-'минимумы и максимумы'!L$2)*100)</f>
        <v>33.756682639737022</v>
      </c>
      <c r="O245" s="1">
        <f>IF('исходные данные'!O245&gt;'минимумы и максимумы'!M$3,100,('исходные данные'!O245-'минимумы и максимумы'!M$2)/('минимумы и максимумы'!M$3-'минимумы и максимумы'!M$2)*100)</f>
        <v>100</v>
      </c>
      <c r="P245" s="1">
        <f>IF('исходные данные'!P245&gt;'минимумы и максимумы'!N$3,100,('исходные данные'!P245-'минимумы и максимумы'!N$2)/('минимумы и максимумы'!N$3-'минимумы и максимумы'!N$2)*100)</f>
        <v>0</v>
      </c>
      <c r="Q245" s="1">
        <f>IF('исходные данные'!Q245&gt;'минимумы и максимумы'!O$3,100,('исходные данные'!Q245-'минимумы и максимумы'!O$2)/('минимумы и максимумы'!O$3-'минимумы и максимумы'!O$2)*100)</f>
        <v>0</v>
      </c>
      <c r="R245" s="1">
        <f>IF('исходные данные'!R245&gt;'минимумы и максимумы'!P$3,100,('исходные данные'!R245-'минимумы и максимумы'!P$2)/('минимумы и максимумы'!P$3-'минимумы и максимумы'!P$2)*100)</f>
        <v>25</v>
      </c>
      <c r="S245" s="1">
        <f>IF('исходные данные'!S245&gt;'минимумы и максимумы'!Q$3,100,('исходные данные'!S245-'минимумы и максимумы'!Q$2)/('минимумы и максимумы'!Q$3-'минимумы и максимумы'!Q$2)*100)</f>
        <v>50</v>
      </c>
      <c r="T245" s="1">
        <f>IF('исходные данные'!T245&gt;'минимумы и максимумы'!R$3,100,('исходные данные'!T245-'минимумы и максимумы'!R$2)/('минимумы и максимумы'!R$3-'минимумы и максимумы'!R$2)*100)</f>
        <v>43.026836779586446</v>
      </c>
      <c r="U245" s="1">
        <f>IF('исходные данные'!U245&gt;'минимумы и максимумы'!S$3,100,('исходные данные'!U245-'минимумы и максимумы'!S$2)/('минимумы и максимумы'!S$3-'минимумы и максимумы'!S$2)*100)</f>
        <v>0</v>
      </c>
    </row>
    <row r="246" spans="1:21" x14ac:dyDescent="0.45">
      <c r="A246" s="4">
        <v>340</v>
      </c>
      <c r="B246" s="4">
        <v>0</v>
      </c>
      <c r="C246" s="4">
        <v>0</v>
      </c>
      <c r="D246" s="1">
        <f>IF('исходные данные'!D246&gt;'минимумы и максимумы'!B$3,100,('исходные данные'!D246-'минимумы и максимумы'!B$2)/('минимумы и максимумы'!B$3-'минимумы и максимумы'!B$2)*100)</f>
        <v>0</v>
      </c>
      <c r="E246" s="1">
        <f>IF('исходные данные'!E246&gt;'минимумы и максимумы'!C$3,100,('исходные данные'!E246-'минимумы и максимумы'!C$2)/('минимумы и максимумы'!C$3-'минимумы и максимумы'!C$2)*100)</f>
        <v>0</v>
      </c>
      <c r="F246" s="1">
        <f>IF('исходные данные'!F246&gt;'минимумы и максимумы'!D$3,100,('исходные данные'!F246-'минимумы и максимумы'!D$2)/('минимумы и максимумы'!D$3-'минимумы и максимумы'!D$2)*100)</f>
        <v>0</v>
      </c>
      <c r="G246" s="1">
        <f>IF('исходные данные'!G246&gt;'минимумы и максимумы'!E$3,100,('исходные данные'!G246-'минимумы и максимумы'!E$2)/('минимумы и максимумы'!E$3-'минимумы и максимумы'!E$2)*100)</f>
        <v>0</v>
      </c>
      <c r="H246" s="1">
        <f>IF('исходные данные'!H246&gt;'минимумы и максимумы'!F$3,100,('исходные данные'!H246-'минимумы и максимумы'!F$2)/('минимумы и максимумы'!F$3-'минимумы и максимумы'!F$2)*100)</f>
        <v>0</v>
      </c>
      <c r="I246" s="1">
        <f>IF('исходные данные'!I246&gt;'минимумы и максимумы'!G$3,100,('исходные данные'!I246-'минимумы и максимумы'!G$2)/('минимумы и максимумы'!G$3-'минимумы и максимумы'!G$2)*100)</f>
        <v>0</v>
      </c>
      <c r="J246" s="1">
        <f>IF('исходные данные'!J246&gt;'минимумы и максимумы'!H$3,100,('исходные данные'!J246-'минимумы и максимумы'!H$2)/('минимумы и максимумы'!H$3-'минимумы и максимумы'!H$2)*100)</f>
        <v>0</v>
      </c>
      <c r="K246" s="1">
        <f>IF('исходные данные'!K246&gt;'минимумы и максимумы'!I$3,100,('исходные данные'!K246-'минимумы и максимумы'!I$2)/('минимумы и максимумы'!I$3-'минимумы и максимумы'!I$2)*100)</f>
        <v>0</v>
      </c>
      <c r="L246" s="1">
        <f>IF('исходные данные'!L246&gt;'минимумы и максимумы'!J$3,100,('исходные данные'!L246-'минимумы и максимумы'!J$2)/('минимумы и максимумы'!J$3-'минимумы и максимумы'!J$2)*100)</f>
        <v>0</v>
      </c>
      <c r="M246" s="1">
        <f>IF('исходные данные'!M246&gt;'минимумы и максимумы'!K$3,100,('исходные данные'!M246-'минимумы и максимумы'!K$2)/('минимумы и максимумы'!K$3-'минимумы и максимумы'!K$2)*100)</f>
        <v>0</v>
      </c>
      <c r="N246" s="1">
        <f>IF('исходные данные'!N246&gt;'минимумы и максимумы'!L$3,100,('исходные данные'!N246-'минимумы и максимумы'!L$2)/('минимумы и максимумы'!L$3-'минимумы и максимумы'!L$2)*100)</f>
        <v>54.235152926302156</v>
      </c>
      <c r="O246" s="1">
        <f>IF('исходные данные'!O246&gt;'минимумы и максимумы'!M$3,100,('исходные данные'!O246-'минимумы и максимумы'!M$2)/('минимумы и максимумы'!M$3-'минимумы и максимумы'!M$2)*100)</f>
        <v>0</v>
      </c>
      <c r="P246" s="1">
        <f>IF('исходные данные'!P246&gt;'минимумы и максимумы'!N$3,100,('исходные данные'!P246-'минимумы и максимумы'!N$2)/('минимумы и максимумы'!N$3-'минимумы и максимумы'!N$2)*100)</f>
        <v>0</v>
      </c>
      <c r="Q246" s="1">
        <f>IF('исходные данные'!Q246&gt;'минимумы и максимумы'!O$3,100,('исходные данные'!Q246-'минимумы и максимумы'!O$2)/('минимумы и максимумы'!O$3-'минимумы и максимумы'!O$2)*100)</f>
        <v>0</v>
      </c>
      <c r="R246" s="1">
        <f>IF('исходные данные'!R246&gt;'минимумы и максимумы'!P$3,100,('исходные данные'!R246-'минимумы и максимумы'!P$2)/('минимумы и максимумы'!P$3-'минимумы и максимумы'!P$2)*100)</f>
        <v>25</v>
      </c>
      <c r="S246" s="1">
        <f>IF('исходные данные'!S246&gt;'минимумы и максимумы'!Q$3,100,('исходные данные'!S246-'минимумы и максимумы'!Q$2)/('минимумы и максимумы'!Q$3-'минимумы и максимумы'!Q$2)*100)</f>
        <v>66.666666666666657</v>
      </c>
      <c r="T246" s="1">
        <f>IF('исходные данные'!T246&gt;'минимумы и максимумы'!R$3,100,('исходные данные'!T246-'минимумы и максимумы'!R$2)/('минимумы и максимумы'!R$3-'минимумы и максимумы'!R$2)*100)</f>
        <v>36.515618125824901</v>
      </c>
      <c r="U246" s="1">
        <f>IF('исходные данные'!U246&gt;'минимумы и максимумы'!S$3,100,('исходные данные'!U246-'минимумы и максимумы'!S$2)/('минимумы и максимумы'!S$3-'минимумы и максимумы'!S$2)*100)</f>
        <v>0</v>
      </c>
    </row>
    <row r="247" spans="1:21" x14ac:dyDescent="0.45">
      <c r="A247" s="4">
        <v>341</v>
      </c>
      <c r="B247" s="4">
        <v>0</v>
      </c>
      <c r="C247" s="4">
        <v>0</v>
      </c>
      <c r="D247" s="1">
        <f>IF('исходные данные'!D247&gt;'минимумы и максимумы'!B$3,100,('исходные данные'!D247-'минимумы и максимумы'!B$2)/('минимумы и максимумы'!B$3-'минимумы и максимумы'!B$2)*100)</f>
        <v>0</v>
      </c>
      <c r="E247" s="1">
        <f>IF('исходные данные'!E247&gt;'минимумы и максимумы'!C$3,100,('исходные данные'!E247-'минимумы и максимумы'!C$2)/('минимумы и максимумы'!C$3-'минимумы и максимумы'!C$2)*100)</f>
        <v>10</v>
      </c>
      <c r="F247" s="1">
        <f>IF('исходные данные'!F247&gt;'минимумы и максимумы'!D$3,100,('исходные данные'!F247-'минимумы и максимумы'!D$2)/('минимумы и максимумы'!D$3-'минимумы и максимумы'!D$2)*100)</f>
        <v>33.333333333333329</v>
      </c>
      <c r="G247" s="1">
        <f>IF('исходные данные'!G247&gt;'минимумы и максимумы'!E$3,100,('исходные данные'!G247-'минимумы и максимумы'!E$2)/('минимумы и максимумы'!E$3-'минимумы и максимумы'!E$2)*100)</f>
        <v>8.3333333333333321</v>
      </c>
      <c r="H247" s="1">
        <f>IF('исходные данные'!H247&gt;'минимумы и максимумы'!F$3,100,('исходные данные'!H247-'минимумы и максимумы'!F$2)/('минимумы и максимумы'!F$3-'минимумы и максимумы'!F$2)*100)</f>
        <v>8</v>
      </c>
      <c r="I247" s="1">
        <f>IF('исходные данные'!I247&gt;'минимумы и максимумы'!G$3,100,('исходные данные'!I247-'минимумы и максимумы'!G$2)/('минимумы и максимумы'!G$3-'минимумы и максимумы'!G$2)*100)</f>
        <v>1.8867924528301887</v>
      </c>
      <c r="J247" s="1">
        <f>IF('исходные данные'!J247&gt;'минимумы и максимумы'!H$3,100,('исходные данные'!J247-'минимумы и максимумы'!H$2)/('минимумы и максимумы'!H$3-'минимумы и максимумы'!H$2)*100)</f>
        <v>0</v>
      </c>
      <c r="K247" s="1">
        <f>IF('исходные данные'!K247&gt;'минимумы и максимумы'!I$3,100,('исходные данные'!K247-'минимумы и максимумы'!I$2)/('минимумы и максимумы'!I$3-'минимумы и максимумы'!I$2)*100)</f>
        <v>5.5555555555555554</v>
      </c>
      <c r="L247" s="1">
        <f>IF('исходные данные'!L247&gt;'минимумы и максимумы'!J$3,100,('исходные данные'!L247-'минимумы и максимумы'!J$2)/('минимумы и максимумы'!J$3-'минимумы и максимумы'!J$2)*100)</f>
        <v>0</v>
      </c>
      <c r="M247" s="1">
        <f>IF('исходные данные'!M247&gt;'минимумы и максимумы'!K$3,100,('исходные данные'!M247-'минимумы и максимумы'!K$2)/('минимумы и максимумы'!K$3-'минимумы и максимумы'!K$2)*100)</f>
        <v>9.67741935483871</v>
      </c>
      <c r="N247" s="1">
        <f>IF('исходные данные'!N247&gt;'минимумы и максимумы'!L$3,100,('исходные данные'!N247-'минимумы и максимумы'!L$2)/('минимумы и максимумы'!L$3-'минимумы и максимумы'!L$2)*100)</f>
        <v>49.975426345730007</v>
      </c>
      <c r="O247" s="1">
        <f>IF('исходные данные'!O247&gt;'минимумы и максимумы'!M$3,100,('исходные данные'!O247-'минимумы и максимумы'!M$2)/('минимумы и максимумы'!M$3-'минимумы и максимумы'!M$2)*100)</f>
        <v>66.666666666666657</v>
      </c>
      <c r="P247" s="1">
        <f>IF('исходные данные'!P247&gt;'минимумы и максимумы'!N$3,100,('исходные данные'!P247-'минимумы и максимумы'!N$2)/('минимумы и максимумы'!N$3-'минимумы и максимумы'!N$2)*100)</f>
        <v>100</v>
      </c>
      <c r="Q247" s="1">
        <f>IF('исходные данные'!Q247&gt;'минимумы и максимумы'!O$3,100,('исходные данные'!Q247-'минимумы и максимумы'!O$2)/('минимумы и максимумы'!O$3-'минимумы и максимумы'!O$2)*100)</f>
        <v>100</v>
      </c>
      <c r="R247" s="1">
        <f>IF('исходные данные'!R247&gt;'минимумы и максимумы'!P$3,100,('исходные данные'!R247-'минимумы и максимумы'!P$2)/('минимумы и максимумы'!P$3-'минимумы и максимумы'!P$2)*100)</f>
        <v>75</v>
      </c>
      <c r="S247" s="1">
        <f>IF('исходные данные'!S247&gt;'минимумы и максимумы'!Q$3,100,('исходные данные'!S247-'минимумы и максимумы'!Q$2)/('минимумы и максимумы'!Q$3-'минимумы и максимумы'!Q$2)*100)</f>
        <v>33.333333333333329</v>
      </c>
      <c r="T247" s="1">
        <f>IF('исходные данные'!T247&gt;'минимумы и максимумы'!R$3,100,('исходные данные'!T247-'минимумы и максимумы'!R$2)/('минимумы и максимумы'!R$3-'минимумы и максимумы'!R$2)*100)</f>
        <v>4.7074351077870658</v>
      </c>
      <c r="U247" s="1">
        <f>IF('исходные данные'!U247&gt;'минимумы и максимумы'!S$3,100,('исходные данные'!U247-'минимумы и максимумы'!S$2)/('минимумы и максимумы'!S$3-'минимумы и максимумы'!S$2)*100)</f>
        <v>0</v>
      </c>
    </row>
    <row r="248" spans="1:21" x14ac:dyDescent="0.45">
      <c r="A248" s="4">
        <v>342</v>
      </c>
      <c r="B248" s="4">
        <v>0</v>
      </c>
      <c r="C248" s="4">
        <v>0</v>
      </c>
      <c r="D248" s="1">
        <f>IF('исходные данные'!D248&gt;'минимумы и максимумы'!B$3,100,('исходные данные'!D248-'минимумы и максимумы'!B$2)/('минимумы и максимумы'!B$3-'минимумы и максимумы'!B$2)*100)</f>
        <v>20</v>
      </c>
      <c r="E248" s="1">
        <f>IF('исходные данные'!E248&gt;'минимумы и максимумы'!C$3,100,('исходные данные'!E248-'минимумы и максимумы'!C$2)/('минимумы и максимумы'!C$3-'минимумы и максимумы'!C$2)*100)</f>
        <v>20</v>
      </c>
      <c r="F248" s="1">
        <f>IF('исходные данные'!F248&gt;'минимумы и максимумы'!D$3,100,('исходные данные'!F248-'минимумы и максимумы'!D$2)/('минимумы и максимумы'!D$3-'минимумы и максимумы'!D$2)*100)</f>
        <v>0</v>
      </c>
      <c r="G248" s="1">
        <f>IF('исходные данные'!G248&gt;'минимумы и максимумы'!E$3,100,('исходные данные'!G248-'минимумы и максимумы'!E$2)/('минимумы и максимумы'!E$3-'минимумы и максимумы'!E$2)*100)</f>
        <v>20.833333333333336</v>
      </c>
      <c r="H248" s="1">
        <f>IF('исходные данные'!H248&gt;'минимумы и максимумы'!F$3,100,('исходные данные'!H248-'минимумы и максимумы'!F$2)/('минимумы и максимумы'!F$3-'минимумы и максимумы'!F$2)*100)</f>
        <v>36</v>
      </c>
      <c r="I248" s="1">
        <f>IF('исходные данные'!I248&gt;'минимумы и максимумы'!G$3,100,('исходные данные'!I248-'минимумы и максимумы'!G$2)/('минимумы и максимумы'!G$3-'минимумы и максимумы'!G$2)*100)</f>
        <v>11.320754716981133</v>
      </c>
      <c r="J248" s="1">
        <f>IF('исходные данные'!J248&gt;'минимумы и максимумы'!H$3,100,('исходные данные'!J248-'минимумы и максимумы'!H$2)/('минимумы и максимумы'!H$3-'минимумы и максимумы'!H$2)*100)</f>
        <v>13.333333333333334</v>
      </c>
      <c r="K248" s="1">
        <f>IF('исходные данные'!K248&gt;'минимумы и максимумы'!I$3,100,('исходные данные'!K248-'минимумы и максимумы'!I$2)/('минимумы и максимумы'!I$3-'минимумы и максимумы'!I$2)*100)</f>
        <v>0</v>
      </c>
      <c r="L248" s="1">
        <f>IF('исходные данные'!L248&gt;'минимумы и максимумы'!J$3,100,('исходные данные'!L248-'минимумы и максимумы'!J$2)/('минимумы и максимумы'!J$3-'минимумы и максимумы'!J$2)*100)</f>
        <v>20</v>
      </c>
      <c r="M248" s="1">
        <f>IF('исходные данные'!M248&gt;'минимумы и максимумы'!K$3,100,('исходные данные'!M248-'минимумы и максимумы'!K$2)/('минимумы и максимумы'!K$3-'минимумы и максимумы'!K$2)*100)</f>
        <v>32.258064516129032</v>
      </c>
      <c r="N248" s="1">
        <f>IF('исходные данные'!N248&gt;'минимумы и максимумы'!L$3,100,('исходные данные'!N248-'минимумы и максимумы'!L$2)/('минимумы и максимумы'!L$3-'минимумы и максимумы'!L$2)*100)</f>
        <v>50.742767991883817</v>
      </c>
      <c r="O248" s="1">
        <f>IF('исходные данные'!O248&gt;'минимумы и максимумы'!M$3,100,('исходные данные'!O248-'минимумы и максимумы'!M$2)/('минимумы и максимумы'!M$3-'минимумы и максимумы'!M$2)*100)</f>
        <v>0</v>
      </c>
      <c r="P248" s="1">
        <f>IF('исходные данные'!P248&gt;'минимумы и максимумы'!N$3,100,('исходные данные'!P248-'минимумы и максимумы'!N$2)/('минимумы и максимумы'!N$3-'минимумы и максимумы'!N$2)*100)</f>
        <v>0</v>
      </c>
      <c r="Q248" s="1">
        <f>IF('исходные данные'!Q248&gt;'минимумы и максимумы'!O$3,100,('исходные данные'!Q248-'минимумы и максимумы'!O$2)/('минимумы и максимумы'!O$3-'минимумы и максимумы'!O$2)*100)</f>
        <v>100</v>
      </c>
      <c r="R248" s="1">
        <f>IF('исходные данные'!R248&gt;'минимумы и максимумы'!P$3,100,('исходные данные'!R248-'минимумы и максимумы'!P$2)/('минимумы и максимумы'!P$3-'минимумы и максимумы'!P$2)*100)</f>
        <v>100</v>
      </c>
      <c r="S248" s="1">
        <f>IF('исходные данные'!S248&gt;'минимумы и максимумы'!Q$3,100,('исходные данные'!S248-'минимумы и максимумы'!Q$2)/('минимумы и максимумы'!Q$3-'минимумы и максимумы'!Q$2)*100)</f>
        <v>50</v>
      </c>
      <c r="T248" s="1">
        <f>IF('исходные данные'!T248&gt;'минимумы и максимумы'!R$3,100,('исходные данные'!T248-'минимумы и максимумы'!R$2)/('минимумы и максимумы'!R$3-'минимумы и максимумы'!R$2)*100)</f>
        <v>5.2353717553893535</v>
      </c>
      <c r="U248" s="1">
        <f>IF('исходные данные'!U248&gt;'минимумы и максимумы'!S$3,100,('исходные данные'!U248-'минимумы и максимумы'!S$2)/('минимумы и максимумы'!S$3-'минимумы и максимумы'!S$2)*100)</f>
        <v>0</v>
      </c>
    </row>
    <row r="249" spans="1:21" x14ac:dyDescent="0.45">
      <c r="A249" s="4">
        <v>343</v>
      </c>
      <c r="B249" s="4">
        <v>0</v>
      </c>
      <c r="C249" s="4">
        <v>0</v>
      </c>
      <c r="D249" s="1">
        <f>IF('исходные данные'!D249&gt;'минимумы и максимумы'!B$3,100,('исходные данные'!D249-'минимумы и максимумы'!B$2)/('минимумы и максимумы'!B$3-'минимумы и максимумы'!B$2)*100)</f>
        <v>20</v>
      </c>
      <c r="E249" s="1">
        <f>IF('исходные данные'!E249&gt;'минимумы и максимумы'!C$3,100,('исходные данные'!E249-'минимумы и максимумы'!C$2)/('минимумы и максимумы'!C$3-'минимумы и максимумы'!C$2)*100)</f>
        <v>20</v>
      </c>
      <c r="F249" s="1">
        <f>IF('исходные данные'!F249&gt;'минимумы и максимумы'!D$3,100,('исходные данные'!F249-'минимумы и максимумы'!D$2)/('минимумы и максимумы'!D$3-'минимумы и максимумы'!D$2)*100)</f>
        <v>33.333333333333329</v>
      </c>
      <c r="G249" s="1">
        <f>IF('исходные данные'!G249&gt;'минимумы и максимумы'!E$3,100,('исходные данные'!G249-'минимумы и максимумы'!E$2)/('минимумы и максимумы'!E$3-'минимумы и максимумы'!E$2)*100)</f>
        <v>20.833333333333336</v>
      </c>
      <c r="H249" s="1">
        <f>IF('исходные данные'!H249&gt;'минимумы и максимумы'!F$3,100,('исходные данные'!H249-'минимумы и максимумы'!F$2)/('минимумы и максимумы'!F$3-'минимумы и максимумы'!F$2)*100)</f>
        <v>36</v>
      </c>
      <c r="I249" s="1">
        <f>IF('исходные данные'!I249&gt;'минимумы и максимумы'!G$3,100,('исходные данные'!I249-'минимумы и максимумы'!G$2)/('минимумы и максимумы'!G$3-'минимумы и максимумы'!G$2)*100)</f>
        <v>11.320754716981133</v>
      </c>
      <c r="J249" s="1">
        <f>IF('исходные данные'!J249&gt;'минимумы и максимумы'!H$3,100,('исходные данные'!J249-'минимумы и максимумы'!H$2)/('минимумы и максимумы'!H$3-'минимумы и максимумы'!H$2)*100)</f>
        <v>13.333333333333334</v>
      </c>
      <c r="K249" s="1">
        <f>IF('исходные данные'!K249&gt;'минимумы и максимумы'!I$3,100,('исходные данные'!K249-'минимумы и максимумы'!I$2)/('минимумы и максимумы'!I$3-'минимумы и максимумы'!I$2)*100)</f>
        <v>0</v>
      </c>
      <c r="L249" s="1">
        <f>IF('исходные данные'!L249&gt;'минимумы и максимумы'!J$3,100,('исходные данные'!L249-'минимумы и максимумы'!J$2)/('минимумы и максимумы'!J$3-'минимумы и максимумы'!J$2)*100)</f>
        <v>0</v>
      </c>
      <c r="M249" s="1">
        <f>IF('исходные данные'!M249&gt;'минимумы и максимумы'!K$3,100,('исходные данные'!M249-'минимумы и максимумы'!K$2)/('минимумы и максимумы'!K$3-'минимумы и максимумы'!K$2)*100)</f>
        <v>32.258064516129032</v>
      </c>
      <c r="N249" s="1">
        <f>IF('исходные данные'!N249&gt;'минимумы и максимумы'!L$3,100,('исходные данные'!N249-'минимумы и максимумы'!L$2)/('минимумы и максимумы'!L$3-'минимумы и максимумы'!L$2)*100)</f>
        <v>49.621139859069871</v>
      </c>
      <c r="O249" s="1">
        <f>IF('исходные данные'!O249&gt;'минимумы и максимумы'!M$3,100,('исходные данные'!O249-'минимумы и максимумы'!M$2)/('минимумы и максимумы'!M$3-'минимумы и максимумы'!M$2)*100)</f>
        <v>66.666666666666657</v>
      </c>
      <c r="P249" s="1">
        <f>IF('исходные данные'!P249&gt;'минимумы и максимумы'!N$3,100,('исходные данные'!P249-'минимумы и максимумы'!N$2)/('минимумы и максимумы'!N$3-'минимумы и максимумы'!N$2)*100)</f>
        <v>0</v>
      </c>
      <c r="Q249" s="1">
        <f>IF('исходные данные'!Q249&gt;'минимумы и максимумы'!O$3,100,('исходные данные'!Q249-'минимумы и максимумы'!O$2)/('минимумы и максимумы'!O$3-'минимумы и максимумы'!O$2)*100)</f>
        <v>0</v>
      </c>
      <c r="R249" s="1">
        <f>IF('исходные данные'!R249&gt;'минимумы и максимумы'!P$3,100,('исходные данные'!R249-'минимумы и максимумы'!P$2)/('минимумы и максимумы'!P$3-'минимумы и максимумы'!P$2)*100)</f>
        <v>75</v>
      </c>
      <c r="S249" s="1">
        <f>IF('исходные данные'!S249&gt;'минимумы и максимумы'!Q$3,100,('исходные данные'!S249-'минимумы и максимумы'!Q$2)/('минимумы и максимумы'!Q$3-'минимумы и максимумы'!Q$2)*100)</f>
        <v>16.666666666666664</v>
      </c>
      <c r="T249" s="1">
        <f>IF('исходные данные'!T249&gt;'минимумы и максимумы'!R$3,100,('исходные данные'!T249-'минимумы и максимумы'!R$2)/('минимумы и максимумы'!R$3-'минимумы и максимумы'!R$2)*100)</f>
        <v>8.7109546854377484</v>
      </c>
      <c r="U249" s="1">
        <f>IF('исходные данные'!U249&gt;'минимумы и максимумы'!S$3,100,('исходные данные'!U249-'минимумы и максимумы'!S$2)/('минимумы и максимумы'!S$3-'минимумы и максимумы'!S$2)*100)</f>
        <v>0</v>
      </c>
    </row>
    <row r="250" spans="1:21" x14ac:dyDescent="0.45">
      <c r="A250" s="4">
        <v>344</v>
      </c>
      <c r="B250" s="4">
        <v>0</v>
      </c>
      <c r="C250" s="4">
        <v>0</v>
      </c>
      <c r="D250" s="1">
        <f>IF('исходные данные'!D250&gt;'минимумы и максимумы'!B$3,100,('исходные данные'!D250-'минимумы и максимумы'!B$2)/('минимумы и максимумы'!B$3-'минимумы и максимумы'!B$2)*100)</f>
        <v>60</v>
      </c>
      <c r="E250" s="1">
        <f>IF('исходные данные'!E250&gt;'минимумы и максимумы'!C$3,100,('исходные данные'!E250-'минимумы и максимумы'!C$2)/('минимумы и максимумы'!C$3-'минимумы и максимумы'!C$2)*100)</f>
        <v>20</v>
      </c>
      <c r="F250" s="1">
        <f>IF('исходные данные'!F250&gt;'минимумы и максимумы'!D$3,100,('исходные данные'!F250-'минимумы и максимумы'!D$2)/('минимумы и максимумы'!D$3-'минимумы и максимумы'!D$2)*100)</f>
        <v>0</v>
      </c>
      <c r="G250" s="1">
        <f>IF('исходные данные'!G250&gt;'минимумы и максимумы'!E$3,100,('исходные данные'!G250-'минимумы и максимумы'!E$2)/('минимумы и максимумы'!E$3-'минимумы и максимумы'!E$2)*100)</f>
        <v>33.333333333333329</v>
      </c>
      <c r="H250" s="1">
        <f>IF('исходные данные'!H250&gt;'минимумы и максимумы'!F$3,100,('исходные данные'!H250-'минимумы и максимумы'!F$2)/('минимумы и максимумы'!F$3-'минимумы и максимумы'!F$2)*100)</f>
        <v>40</v>
      </c>
      <c r="I250" s="1">
        <f>IF('исходные данные'!I250&gt;'минимумы и максимумы'!G$3,100,('исходные данные'!I250-'минимумы и максимумы'!G$2)/('минимумы и максимумы'!G$3-'минимумы и максимумы'!G$2)*100)</f>
        <v>13.20754716981132</v>
      </c>
      <c r="J250" s="1">
        <f>IF('исходные данные'!J250&gt;'минимумы и максимумы'!H$3,100,('исходные данные'!J250-'минимумы и максимумы'!H$2)/('минимумы и максимумы'!H$3-'минимумы и максимумы'!H$2)*100)</f>
        <v>13.333333333333334</v>
      </c>
      <c r="K250" s="1">
        <f>IF('исходные данные'!K250&gt;'минимумы и максимумы'!I$3,100,('исходные данные'!K250-'минимумы и максимумы'!I$2)/('минимумы и максимумы'!I$3-'минимумы и максимумы'!I$2)*100)</f>
        <v>0</v>
      </c>
      <c r="L250" s="1">
        <f>IF('исходные данные'!L250&gt;'минимумы и максимумы'!J$3,100,('исходные данные'!L250-'минимумы и максимумы'!J$2)/('минимумы и максимумы'!J$3-'минимумы и максимумы'!J$2)*100)</f>
        <v>20</v>
      </c>
      <c r="M250" s="1">
        <f>IF('исходные данные'!M250&gt;'минимумы и максимумы'!K$3,100,('исходные данные'!M250-'минимумы и максимумы'!K$2)/('минимумы и максимумы'!K$3-'минимумы и максимумы'!K$2)*100)</f>
        <v>38.70967741935484</v>
      </c>
      <c r="N250" s="1">
        <f>IF('исходные данные'!N250&gt;'минимумы и максимумы'!L$3,100,('исходные данные'!N250-'минимумы и максимумы'!L$2)/('минимумы и максимумы'!L$3-'минимумы и максимумы'!L$2)*100)</f>
        <v>49.134704533343196</v>
      </c>
      <c r="O250" s="1">
        <f>IF('исходные данные'!O250&gt;'минимумы и максимумы'!M$3,100,('исходные данные'!O250-'минимумы и максимумы'!M$2)/('минимумы и максимумы'!M$3-'минимумы и максимумы'!M$2)*100)</f>
        <v>100</v>
      </c>
      <c r="P250" s="1">
        <f>IF('исходные данные'!P250&gt;'минимумы и максимумы'!N$3,100,('исходные данные'!P250-'минимумы и максимумы'!N$2)/('минимумы и максимумы'!N$3-'минимумы и максимумы'!N$2)*100)</f>
        <v>0</v>
      </c>
      <c r="Q250" s="1">
        <f>IF('исходные данные'!Q250&gt;'минимумы и максимумы'!O$3,100,('исходные данные'!Q250-'минимумы и максимумы'!O$2)/('минимумы и максимумы'!O$3-'минимумы и максимумы'!O$2)*100)</f>
        <v>100</v>
      </c>
      <c r="R250" s="1">
        <f>IF('исходные данные'!R250&gt;'минимумы и максимумы'!P$3,100,('исходные данные'!R250-'минимумы и максимумы'!P$2)/('минимумы и максимумы'!P$3-'минимумы и максимумы'!P$2)*100)</f>
        <v>25</v>
      </c>
      <c r="S250" s="1">
        <f>IF('исходные данные'!S250&gt;'минимумы и максимумы'!Q$3,100,('исходные данные'!S250-'минимумы и максимумы'!Q$2)/('минимумы и максимумы'!Q$3-'минимумы и максимумы'!Q$2)*100)</f>
        <v>16.666666666666664</v>
      </c>
      <c r="T250" s="1">
        <f>IF('исходные данные'!T250&gt;'минимумы и максимумы'!R$3,100,('исходные данные'!T250-'минимумы и максимумы'!R$2)/('минимумы и максимумы'!R$3-'минимумы и максимумы'!R$2)*100)</f>
        <v>5.6313242410910691</v>
      </c>
      <c r="U250" s="1">
        <f>IF('исходные данные'!U250&gt;'минимумы и максимумы'!S$3,100,('исходные данные'!U250-'минимумы и максимумы'!S$2)/('минимумы и максимумы'!S$3-'минимумы и максимумы'!S$2)*100)</f>
        <v>0</v>
      </c>
    </row>
    <row r="251" spans="1:21" x14ac:dyDescent="0.45">
      <c r="A251" s="4">
        <v>345</v>
      </c>
      <c r="B251" s="4">
        <v>0</v>
      </c>
      <c r="C251" s="4">
        <v>1</v>
      </c>
      <c r="D251" s="1">
        <f>IF('исходные данные'!D251&gt;'минимумы и максимумы'!B$3,100,('исходные данные'!D251-'минимумы и максимумы'!B$2)/('минимумы и максимумы'!B$3-'минимумы и максимумы'!B$2)*100)</f>
        <v>60</v>
      </c>
      <c r="E251" s="1">
        <f>IF('исходные данные'!E251&gt;'минимумы и максимумы'!C$3,100,('исходные данные'!E251-'минимумы и максимумы'!C$2)/('минимумы и максимумы'!C$3-'минимумы и максимумы'!C$2)*100)</f>
        <v>20</v>
      </c>
      <c r="F251" s="1">
        <f>IF('исходные данные'!F251&gt;'минимумы и максимумы'!D$3,100,('исходные данные'!F251-'минимумы и максимумы'!D$2)/('минимумы и максимумы'!D$3-'минимумы и максимумы'!D$2)*100)</f>
        <v>0</v>
      </c>
      <c r="G251" s="1">
        <f>IF('исходные данные'!G251&gt;'минимумы и максимумы'!E$3,100,('исходные данные'!G251-'минимумы и максимумы'!E$2)/('минимумы и максимумы'!E$3-'минимумы и максимумы'!E$2)*100)</f>
        <v>33.333333333333329</v>
      </c>
      <c r="H251" s="1">
        <f>IF('исходные данные'!H251&gt;'минимумы и максимумы'!F$3,100,('исходные данные'!H251-'минимумы и максимумы'!F$2)/('минимумы и максимумы'!F$3-'минимумы и максимумы'!F$2)*100)</f>
        <v>40</v>
      </c>
      <c r="I251" s="1">
        <f>IF('исходные данные'!I251&gt;'минимумы и максимумы'!G$3,100,('исходные данные'!I251-'минимумы и максимумы'!G$2)/('минимумы и максимумы'!G$3-'минимумы и максимумы'!G$2)*100)</f>
        <v>13.20754716981132</v>
      </c>
      <c r="J251" s="1">
        <f>IF('исходные данные'!J251&gt;'минимумы и максимумы'!H$3,100,('исходные данные'!J251-'минимумы и максимумы'!H$2)/('минимумы и максимумы'!H$3-'минимумы и максимумы'!H$2)*100)</f>
        <v>13.333333333333334</v>
      </c>
      <c r="K251" s="1">
        <f>IF('исходные данные'!K251&gt;'минимумы и максимумы'!I$3,100,('исходные данные'!K251-'минимумы и максимумы'!I$2)/('минимумы и максимумы'!I$3-'минимумы и максимумы'!I$2)*100)</f>
        <v>0</v>
      </c>
      <c r="L251" s="1">
        <f>IF('исходные данные'!L251&gt;'минимумы и максимумы'!J$3,100,('исходные данные'!L251-'минимумы и максимумы'!J$2)/('минимумы и максимумы'!J$3-'минимумы и максимумы'!J$2)*100)</f>
        <v>20</v>
      </c>
      <c r="M251" s="1">
        <f>IF('исходные данные'!M251&gt;'минимумы и максимумы'!K$3,100,('исходные данные'!M251-'минимумы и максимумы'!K$2)/('минимумы и максимумы'!K$3-'минимумы и максимумы'!K$2)*100)</f>
        <v>38.70967741935484</v>
      </c>
      <c r="N251" s="1">
        <f>IF('исходные данные'!N251&gt;'минимумы и максимумы'!L$3,100,('исходные данные'!N251-'минимумы и максимумы'!L$2)/('минимумы и максимумы'!L$3-'минимумы и максимумы'!L$2)*100)</f>
        <v>49.544971952679688</v>
      </c>
      <c r="O251" s="1">
        <f>IF('исходные данные'!O251&gt;'минимумы и максимумы'!M$3,100,('исходные данные'!O251-'минимумы и максимумы'!M$2)/('минимумы и максимумы'!M$3-'минимумы и максимумы'!M$2)*100)</f>
        <v>0</v>
      </c>
      <c r="P251" s="1">
        <f>IF('исходные данные'!P251&gt;'минимумы и максимумы'!N$3,100,('исходные данные'!P251-'минимумы и максимумы'!N$2)/('минимумы и максимумы'!N$3-'минимумы и максимумы'!N$2)*100)</f>
        <v>0</v>
      </c>
      <c r="Q251" s="1">
        <f>IF('исходные данные'!Q251&gt;'минимумы и максимумы'!O$3,100,('исходные данные'!Q251-'минимумы и максимумы'!O$2)/('минимумы и максимумы'!O$3-'минимумы и максимумы'!O$2)*100)</f>
        <v>0</v>
      </c>
      <c r="R251" s="1">
        <f>IF('исходные данные'!R251&gt;'минимумы и максимумы'!P$3,100,('исходные данные'!R251-'минимумы и максимумы'!P$2)/('минимумы и максимумы'!P$3-'минимумы и максимумы'!P$2)*100)</f>
        <v>25</v>
      </c>
      <c r="S251" s="1">
        <f>IF('исходные данные'!S251&gt;'минимумы и максимумы'!Q$3,100,('исходные данные'!S251-'минимумы и максимумы'!Q$2)/('минимумы и максимумы'!Q$3-'минимумы и максимумы'!Q$2)*100)</f>
        <v>16.666666666666664</v>
      </c>
      <c r="T251" s="1">
        <f>IF('исходные данные'!T251&gt;'минимумы и максимумы'!R$3,100,('исходные данные'!T251-'минимумы и максимумы'!R$2)/('минимумы и максимумы'!R$3-'минимумы и максимумы'!R$2)*100)</f>
        <v>10.778706555213374</v>
      </c>
      <c r="U251" s="1">
        <f>IF('исходные данные'!U251&gt;'минимумы и максимумы'!S$3,100,('исходные данные'!U251-'минимумы и максимумы'!S$2)/('минимумы и максимумы'!S$3-'минимумы и максимумы'!S$2)*100)</f>
        <v>0</v>
      </c>
    </row>
    <row r="252" spans="1:21" x14ac:dyDescent="0.45">
      <c r="A252" s="4">
        <v>346</v>
      </c>
      <c r="B252" s="4">
        <v>0</v>
      </c>
      <c r="C252" s="4">
        <v>0</v>
      </c>
      <c r="D252" s="1">
        <f>IF('исходные данные'!D252&gt;'минимумы и максимумы'!B$3,100,('исходные данные'!D252-'минимумы и максимумы'!B$2)/('минимумы и максимумы'!B$3-'минимумы и максимумы'!B$2)*100)</f>
        <v>0</v>
      </c>
      <c r="E252" s="1">
        <f>IF('исходные данные'!E252&gt;'минимумы и максимумы'!C$3,100,('исходные данные'!E252-'минимумы и максимумы'!C$2)/('минимумы и максимумы'!C$3-'минимумы и максимумы'!C$2)*100)</f>
        <v>0</v>
      </c>
      <c r="F252" s="1">
        <f>IF('исходные данные'!F252&gt;'минимумы и максимумы'!D$3,100,('исходные данные'!F252-'минимумы и максимумы'!D$2)/('минимумы и максимумы'!D$3-'минимумы и максимумы'!D$2)*100)</f>
        <v>0</v>
      </c>
      <c r="G252" s="1">
        <f>IF('исходные данные'!G252&gt;'минимумы и максимумы'!E$3,100,('исходные данные'!G252-'минимумы и максимумы'!E$2)/('минимумы и максимумы'!E$3-'минимумы и максимумы'!E$2)*100)</f>
        <v>0</v>
      </c>
      <c r="H252" s="1">
        <f>IF('исходные данные'!H252&gt;'минимумы и максимумы'!F$3,100,('исходные данные'!H252-'минимумы и максимумы'!F$2)/('минимумы и максимумы'!F$3-'минимумы и максимумы'!F$2)*100)</f>
        <v>0</v>
      </c>
      <c r="I252" s="1">
        <f>IF('исходные данные'!I252&gt;'минимумы и максимумы'!G$3,100,('исходные данные'!I252-'минимумы и максимумы'!G$2)/('минимумы и максимумы'!G$3-'минимумы и максимумы'!G$2)*100)</f>
        <v>3.7735849056603774</v>
      </c>
      <c r="J252" s="1">
        <f>IF('исходные данные'!J252&gt;'минимумы и максимумы'!H$3,100,('исходные данные'!J252-'минимумы и максимумы'!H$2)/('минимумы и максимумы'!H$3-'минимумы и максимумы'!H$2)*100)</f>
        <v>0</v>
      </c>
      <c r="K252" s="1">
        <f>IF('исходные данные'!K252&gt;'минимумы и максимумы'!I$3,100,('исходные данные'!K252-'минимумы и максимумы'!I$2)/('минимумы и максимумы'!I$3-'минимумы и максимумы'!I$2)*100)</f>
        <v>0</v>
      </c>
      <c r="L252" s="1">
        <f>IF('исходные данные'!L252&gt;'минимумы и максимумы'!J$3,100,('исходные данные'!L252-'минимумы и максимумы'!J$2)/('минимумы и максимумы'!J$3-'минимумы и максимумы'!J$2)*100)</f>
        <v>0</v>
      </c>
      <c r="M252" s="1">
        <f>IF('исходные данные'!M252&gt;'минимумы и максимумы'!K$3,100,('исходные данные'!M252-'минимумы и максимумы'!K$2)/('минимумы и максимумы'!K$3-'минимумы и максимумы'!K$2)*100)</f>
        <v>9.67741935483871</v>
      </c>
      <c r="N252" s="1">
        <f>IF('исходные данные'!N252&gt;'минимумы и максимумы'!L$3,100,('исходные данные'!N252-'минимумы и максимумы'!L$2)/('минимумы и максимумы'!L$3-'минимумы и максимумы'!L$2)*100)</f>
        <v>45.839225385980939</v>
      </c>
      <c r="O252" s="1">
        <f>IF('исходные данные'!O252&gt;'минимумы и максимумы'!M$3,100,('исходные данные'!O252-'минимумы и максимумы'!M$2)/('минимумы и максимумы'!M$3-'минимумы и максимумы'!M$2)*100)</f>
        <v>33.333333333333329</v>
      </c>
      <c r="P252" s="1">
        <f>IF('исходные данные'!P252&gt;'минимумы и максимумы'!N$3,100,('исходные данные'!P252-'минимумы и максимумы'!N$2)/('минимумы и максимумы'!N$3-'минимумы и максимумы'!N$2)*100)</f>
        <v>100</v>
      </c>
      <c r="Q252" s="1">
        <f>IF('исходные данные'!Q252&gt;'минимумы и максимумы'!O$3,100,('исходные данные'!Q252-'минимумы и максимумы'!O$2)/('минимумы и максимумы'!O$3-'минимумы и максимумы'!O$2)*100)</f>
        <v>100</v>
      </c>
      <c r="R252" s="1">
        <f>IF('исходные данные'!R252&gt;'минимумы и максимумы'!P$3,100,('исходные данные'!R252-'минимумы и максимумы'!P$2)/('минимумы и максимумы'!P$3-'минимумы и максимумы'!P$2)*100)</f>
        <v>75</v>
      </c>
      <c r="S252" s="1">
        <f>IF('исходные данные'!S252&gt;'минимумы и максимумы'!Q$3,100,('исходные данные'!S252-'минимумы и максимумы'!Q$2)/('минимумы и максимумы'!Q$3-'минимумы и максимумы'!Q$2)*100)</f>
        <v>33.333333333333329</v>
      </c>
      <c r="T252" s="1">
        <f>IF('исходные данные'!T252&gt;'минимумы и максимумы'!R$3,100,('исходные данные'!T252-'минимумы и максимумы'!R$2)/('минимумы и максимумы'!R$3-'минимумы и максимумы'!R$2)*100)</f>
        <v>22.877254729432465</v>
      </c>
      <c r="U252" s="1">
        <f>IF('исходные данные'!U252&gt;'минимумы и максимумы'!S$3,100,('исходные данные'!U252-'минимумы и максимумы'!S$2)/('минимумы и максимумы'!S$3-'минимумы и максимумы'!S$2)*100)</f>
        <v>33.333333333333329</v>
      </c>
    </row>
    <row r="253" spans="1:21" x14ac:dyDescent="0.45">
      <c r="A253" s="4">
        <v>347</v>
      </c>
      <c r="B253" s="4">
        <v>0</v>
      </c>
      <c r="C253" s="4">
        <v>0</v>
      </c>
      <c r="D253" s="1">
        <f>IF('исходные данные'!D253&gt;'минимумы и максимумы'!B$3,100,('исходные данные'!D253-'минимумы и максимумы'!B$2)/('минимумы и максимумы'!B$3-'минимумы и максимумы'!B$2)*100)</f>
        <v>0</v>
      </c>
      <c r="E253" s="1">
        <f>IF('исходные данные'!E253&gt;'минимумы и максимумы'!C$3,100,('исходные данные'!E253-'минимумы и максимумы'!C$2)/('минимумы и максимумы'!C$3-'минимумы и максимумы'!C$2)*100)</f>
        <v>0</v>
      </c>
      <c r="F253" s="1">
        <f>IF('исходные данные'!F253&gt;'минимумы и максимумы'!D$3,100,('исходные данные'!F253-'минимумы и максимумы'!D$2)/('минимумы и максимумы'!D$3-'минимумы и максимумы'!D$2)*100)</f>
        <v>0</v>
      </c>
      <c r="G253" s="1">
        <f>IF('исходные данные'!G253&gt;'минимумы и максимумы'!E$3,100,('исходные данные'!G253-'минимумы и максимумы'!E$2)/('минимумы и максимумы'!E$3-'минимумы и максимумы'!E$2)*100)</f>
        <v>0</v>
      </c>
      <c r="H253" s="1">
        <f>IF('исходные данные'!H253&gt;'минимумы и максимумы'!F$3,100,('исходные данные'!H253-'минимумы и максимумы'!F$2)/('минимумы и максимумы'!F$3-'минимумы и максимумы'!F$2)*100)</f>
        <v>0</v>
      </c>
      <c r="I253" s="1">
        <f>IF('исходные данные'!I253&gt;'минимумы и максимумы'!G$3,100,('исходные данные'!I253-'минимумы и максимумы'!G$2)/('минимумы и максимумы'!G$3-'минимумы и максимумы'!G$2)*100)</f>
        <v>1.8867924528301887</v>
      </c>
      <c r="J253" s="1">
        <f>IF('исходные данные'!J253&gt;'минимумы и максимумы'!H$3,100,('исходные данные'!J253-'минимумы и максимумы'!H$2)/('минимумы и максимумы'!H$3-'минимумы и максимумы'!H$2)*100)</f>
        <v>0</v>
      </c>
      <c r="K253" s="1">
        <f>IF('исходные данные'!K253&gt;'минимумы и максимумы'!I$3,100,('исходные данные'!K253-'минимумы и максимумы'!I$2)/('минимумы и максимумы'!I$3-'минимумы и максимумы'!I$2)*100)</f>
        <v>0</v>
      </c>
      <c r="L253" s="1">
        <f>IF('исходные данные'!L253&gt;'минимумы и максимумы'!J$3,100,('исходные данные'!L253-'минимумы и максимумы'!J$2)/('минимумы и максимумы'!J$3-'минимумы и максимумы'!J$2)*100)</f>
        <v>0</v>
      </c>
      <c r="M253" s="1">
        <f>IF('исходные данные'!M253&gt;'минимумы и максимумы'!K$3,100,('исходные данные'!M253-'минимумы и максимумы'!K$2)/('минимумы и максимумы'!K$3-'минимумы и максимумы'!K$2)*100)</f>
        <v>0</v>
      </c>
      <c r="N253" s="1">
        <f>IF('исходные данные'!N253&gt;'минимумы и максимумы'!L$3,100,('исходные данные'!N253-'минимумы и максимумы'!L$2)/('минимумы и максимумы'!L$3-'минимумы и максимумы'!L$2)*100)</f>
        <v>55.13469760769415</v>
      </c>
      <c r="O253" s="1">
        <f>IF('исходные данные'!O253&gt;'минимумы и максимумы'!M$3,100,('исходные данные'!O253-'минимумы и максимумы'!M$2)/('минимумы и максимумы'!M$3-'минимумы и максимумы'!M$2)*100)</f>
        <v>100</v>
      </c>
      <c r="P253" s="1">
        <f>IF('исходные данные'!P253&gt;'минимумы и максимумы'!N$3,100,('исходные данные'!P253-'минимумы и максимумы'!N$2)/('минимумы и максимумы'!N$3-'минимумы и максимумы'!N$2)*100)</f>
        <v>100</v>
      </c>
      <c r="Q253" s="1">
        <f>IF('исходные данные'!Q253&gt;'минимумы и максимумы'!O$3,100,('исходные данные'!Q253-'минимумы и максимумы'!O$2)/('минимумы и максимумы'!O$3-'минимумы и максимумы'!O$2)*100)</f>
        <v>0</v>
      </c>
      <c r="R253" s="1">
        <f>IF('исходные данные'!R253&gt;'минимумы и максимумы'!P$3,100,('исходные данные'!R253-'минимумы и максимумы'!P$2)/('минимумы и максимумы'!P$3-'минимумы и максимумы'!P$2)*100)</f>
        <v>50</v>
      </c>
      <c r="S253" s="1">
        <f>IF('исходные данные'!S253&gt;'минимумы и максимумы'!Q$3,100,('исходные данные'!S253-'минимумы и максимумы'!Q$2)/('минимумы и максимумы'!Q$3-'минимумы и максимумы'!Q$2)*100)</f>
        <v>16.666666666666664</v>
      </c>
      <c r="T253" s="1">
        <f>IF('исходные данные'!T253&gt;'минимумы и максимумы'!R$3,100,('исходные данные'!T253-'минимумы и максимумы'!R$2)/('минимумы и максимумы'!R$3-'минимумы и максимумы'!R$2)*100)</f>
        <v>7.4351077870655518</v>
      </c>
      <c r="U253" s="1">
        <f>IF('исходные данные'!U253&gt;'минимумы и максимумы'!S$3,100,('исходные данные'!U253-'минимумы и максимумы'!S$2)/('минимумы и максимумы'!S$3-'минимумы и максимумы'!S$2)*100)</f>
        <v>0</v>
      </c>
    </row>
    <row r="254" spans="1:21" x14ac:dyDescent="0.45">
      <c r="A254" s="4">
        <v>348</v>
      </c>
      <c r="B254" s="4">
        <v>0</v>
      </c>
      <c r="C254" s="4">
        <v>0</v>
      </c>
      <c r="D254" s="1">
        <f>IF('исходные данные'!D254&gt;'минимумы и максимумы'!B$3,100,('исходные данные'!D254-'минимумы и максимумы'!B$2)/('минимумы и максимумы'!B$3-'минимумы и максимумы'!B$2)*100)</f>
        <v>0</v>
      </c>
      <c r="E254" s="1">
        <f>IF('исходные данные'!E254&gt;'минимумы и максимумы'!C$3,100,('исходные данные'!E254-'минимумы и максимумы'!C$2)/('минимумы и максимумы'!C$3-'минимумы и максимумы'!C$2)*100)</f>
        <v>0</v>
      </c>
      <c r="F254" s="1">
        <f>IF('исходные данные'!F254&gt;'минимумы и максимумы'!D$3,100,('исходные данные'!F254-'минимумы и максимумы'!D$2)/('минимумы и максимумы'!D$3-'минимумы и максимумы'!D$2)*100)</f>
        <v>0</v>
      </c>
      <c r="G254" s="1">
        <f>IF('исходные данные'!G254&gt;'минимумы и максимумы'!E$3,100,('исходные данные'!G254-'минимумы и максимумы'!E$2)/('минимумы и максимумы'!E$3-'минимумы и максимумы'!E$2)*100)</f>
        <v>4.1666666666666661</v>
      </c>
      <c r="H254" s="1">
        <f>IF('исходные данные'!H254&gt;'минимумы и максимумы'!F$3,100,('исходные данные'!H254-'минимумы и максимумы'!F$2)/('минимумы и максимумы'!F$3-'минимумы и максимумы'!F$2)*100)</f>
        <v>0</v>
      </c>
      <c r="I254" s="1">
        <f>IF('исходные данные'!I254&gt;'минимумы и максимумы'!G$3,100,('исходные данные'!I254-'минимумы и максимумы'!G$2)/('минимумы и максимумы'!G$3-'минимумы и максимумы'!G$2)*100)</f>
        <v>1.8867924528301887</v>
      </c>
      <c r="J254" s="1">
        <f>IF('исходные данные'!J254&gt;'минимумы и максимумы'!H$3,100,('исходные данные'!J254-'минимумы и максимумы'!H$2)/('минимумы и максимумы'!H$3-'минимумы и максимумы'!H$2)*100)</f>
        <v>0</v>
      </c>
      <c r="K254" s="1">
        <f>IF('исходные данные'!K254&gt;'минимумы и максимумы'!I$3,100,('исходные данные'!K254-'минимумы и максимумы'!I$2)/('минимумы и максимумы'!I$3-'минимумы и максимумы'!I$2)*100)</f>
        <v>0</v>
      </c>
      <c r="L254" s="1">
        <f>IF('исходные данные'!L254&gt;'минимумы и максимумы'!J$3,100,('исходные данные'!L254-'минимумы и максимумы'!J$2)/('минимумы и максимумы'!J$3-'минимумы и максимумы'!J$2)*100)</f>
        <v>0</v>
      </c>
      <c r="M254" s="1">
        <f>IF('исходные данные'!M254&gt;'минимумы и максимумы'!K$3,100,('исходные данные'!M254-'минимумы и максимумы'!K$2)/('минимумы и максимумы'!K$3-'минимумы и максимумы'!K$2)*100)</f>
        <v>0</v>
      </c>
      <c r="N254" s="1">
        <f>IF('исходные данные'!N254&gt;'минимумы и максимумы'!L$3,100,('исходные данные'!N254-'минимумы и максимумы'!L$2)/('минимумы и максимумы'!L$3-'минимумы и максимумы'!L$2)*100)</f>
        <v>54.614716602133626</v>
      </c>
      <c r="O254" s="1">
        <f>IF('исходные данные'!O254&gt;'минимумы и максимумы'!M$3,100,('исходные данные'!O254-'минимумы и максимумы'!M$2)/('минимумы и максимумы'!M$3-'минимумы и максимумы'!M$2)*100)</f>
        <v>100</v>
      </c>
      <c r="P254" s="1">
        <f>IF('исходные данные'!P254&gt;'минимумы и максимумы'!N$3,100,('исходные данные'!P254-'минимумы и максимумы'!N$2)/('минимумы и максимумы'!N$3-'минимумы и максимумы'!N$2)*100)</f>
        <v>100</v>
      </c>
      <c r="Q254" s="1">
        <f>IF('исходные данные'!Q254&gt;'минимумы и максимумы'!O$3,100,('исходные данные'!Q254-'минимумы и максимумы'!O$2)/('минимумы и максимумы'!O$3-'минимумы и максимумы'!O$2)*100)</f>
        <v>0</v>
      </c>
      <c r="R254" s="1">
        <f>IF('исходные данные'!R254&gt;'минимумы и максимумы'!P$3,100,('исходные данные'!R254-'минимумы и максимумы'!P$2)/('минимумы и максимумы'!P$3-'минимумы и максимумы'!P$2)*100)</f>
        <v>50</v>
      </c>
      <c r="S254" s="1">
        <f>IF('исходные данные'!S254&gt;'минимумы и максимумы'!Q$3,100,('исходные данные'!S254-'минимумы и максимумы'!Q$2)/('минимумы и максимумы'!Q$3-'минимумы и максимумы'!Q$2)*100)</f>
        <v>16.666666666666664</v>
      </c>
      <c r="T254" s="1">
        <f>IF('исходные данные'!T254&gt;'минимумы и максимумы'!R$3,100,('исходные данные'!T254-'минимумы и максимумы'!R$2)/('минимумы и максимумы'!R$3-'минимумы и максимумы'!R$2)*100)</f>
        <v>7.3911130664320286</v>
      </c>
      <c r="U254" s="1">
        <f>IF('исходные данные'!U254&gt;'минимумы и максимумы'!S$3,100,('исходные данные'!U254-'минимумы и максимумы'!S$2)/('минимумы и максимумы'!S$3-'минимумы и максимумы'!S$2)*100)</f>
        <v>0</v>
      </c>
    </row>
    <row r="255" spans="1:21" x14ac:dyDescent="0.45">
      <c r="A255" s="4">
        <v>349</v>
      </c>
      <c r="B255" s="4">
        <v>0</v>
      </c>
      <c r="C255" s="4">
        <v>0</v>
      </c>
      <c r="D255" s="1">
        <f>IF('исходные данные'!D255&gt;'минимумы и максимумы'!B$3,100,('исходные данные'!D255-'минимумы и максимумы'!B$2)/('минимумы и максимумы'!B$3-'минимумы и максимумы'!B$2)*100)</f>
        <v>0</v>
      </c>
      <c r="E255" s="1">
        <f>IF('исходные данные'!E255&gt;'минимумы и максимумы'!C$3,100,('исходные данные'!E255-'минимумы и максимумы'!C$2)/('минимумы и максимумы'!C$3-'минимумы и максимумы'!C$2)*100)</f>
        <v>0</v>
      </c>
      <c r="F255" s="1">
        <f>IF('исходные данные'!F255&gt;'минимумы и максимумы'!D$3,100,('исходные данные'!F255-'минимумы и максимумы'!D$2)/('минимумы и максимумы'!D$3-'минимумы и максимумы'!D$2)*100)</f>
        <v>0</v>
      </c>
      <c r="G255" s="1">
        <f>IF('исходные данные'!G255&gt;'минимумы и максимумы'!E$3,100,('исходные данные'!G255-'минимумы и максимумы'!E$2)/('минимумы и максимумы'!E$3-'минимумы и максимумы'!E$2)*100)</f>
        <v>4.1666666666666661</v>
      </c>
      <c r="H255" s="1">
        <f>IF('исходные данные'!H255&gt;'минимумы и максимумы'!F$3,100,('исходные данные'!H255-'минимумы и максимумы'!F$2)/('минимумы и максимумы'!F$3-'минимумы и максимумы'!F$2)*100)</f>
        <v>0</v>
      </c>
      <c r="I255" s="1">
        <f>IF('исходные данные'!I255&gt;'минимумы и максимумы'!G$3,100,('исходные данные'!I255-'минимумы и максимумы'!G$2)/('минимумы и максимумы'!G$3-'минимумы и максимумы'!G$2)*100)</f>
        <v>3.7735849056603774</v>
      </c>
      <c r="J255" s="1">
        <f>IF('исходные данные'!J255&gt;'минимумы и максимумы'!H$3,100,('исходные данные'!J255-'минимумы и максимумы'!H$2)/('минимумы и максимумы'!H$3-'минимумы и максимумы'!H$2)*100)</f>
        <v>0</v>
      </c>
      <c r="K255" s="1">
        <f>IF('исходные данные'!K255&gt;'минимумы и максимумы'!I$3,100,('исходные данные'!K255-'минимумы и максимумы'!I$2)/('минимумы и максимумы'!I$3-'минимумы и максимумы'!I$2)*100)</f>
        <v>5.5555555555555554</v>
      </c>
      <c r="L255" s="1">
        <f>IF('исходные данные'!L255&gt;'минимумы и максимумы'!J$3,100,('исходные данные'!L255-'минимумы и максимумы'!J$2)/('минимумы и максимумы'!J$3-'минимумы и максимумы'!J$2)*100)</f>
        <v>0</v>
      </c>
      <c r="M255" s="1">
        <f>IF('исходные данные'!M255&gt;'минимумы и максимумы'!K$3,100,('исходные данные'!M255-'минимумы и максимумы'!K$2)/('минимумы и максимумы'!K$3-'минимумы и максимумы'!K$2)*100)</f>
        <v>0</v>
      </c>
      <c r="N255" s="1">
        <f>IF('исходные данные'!N255&gt;'минимумы и максимумы'!L$3,100,('исходные данные'!N255-'минимумы и максимумы'!L$2)/('минимумы и максимумы'!L$3-'минимумы и максимумы'!L$2)*100)</f>
        <v>54.27397452091499</v>
      </c>
      <c r="O255" s="1">
        <f>IF('исходные данные'!O255&gt;'минимумы и максимумы'!M$3,100,('исходные данные'!O255-'минимумы и максимумы'!M$2)/('минимумы и максимумы'!M$3-'минимумы и максимумы'!M$2)*100)</f>
        <v>100</v>
      </c>
      <c r="P255" s="1">
        <f>IF('исходные данные'!P255&gt;'минимумы и максимумы'!N$3,100,('исходные данные'!P255-'минимумы и максимумы'!N$2)/('минимумы и максимумы'!N$3-'минимумы и максимумы'!N$2)*100)</f>
        <v>100</v>
      </c>
      <c r="Q255" s="1">
        <f>IF('исходные данные'!Q255&gt;'минимумы и максимумы'!O$3,100,('исходные данные'!Q255-'минимумы и максимумы'!O$2)/('минимумы и максимумы'!O$3-'минимумы и максимумы'!O$2)*100)</f>
        <v>0</v>
      </c>
      <c r="R255" s="1">
        <f>IF('исходные данные'!R255&gt;'минимумы и максимумы'!P$3,100,('исходные данные'!R255-'минимумы и максимумы'!P$2)/('минимумы и максимумы'!P$3-'минимумы и максимумы'!P$2)*100)</f>
        <v>50</v>
      </c>
      <c r="S255" s="1">
        <f>IF('исходные данные'!S255&gt;'минимумы и максимумы'!Q$3,100,('исходные данные'!S255-'минимумы и максимумы'!Q$2)/('минимумы и максимумы'!Q$3-'минимумы и максимумы'!Q$2)*100)</f>
        <v>16.666666666666664</v>
      </c>
      <c r="T255" s="1">
        <f>IF('исходные данные'!T255&gt;'минимумы и максимумы'!R$3,100,('исходные данные'!T255-'минимумы и максимумы'!R$2)/('минимумы и максимумы'!R$3-'минимумы и максимумы'!R$2)*100)</f>
        <v>16.498020237571492</v>
      </c>
      <c r="U255" s="1">
        <f>IF('исходные данные'!U255&gt;'минимумы и максимумы'!S$3,100,('исходные данные'!U255-'минимумы и максимумы'!S$2)/('минимумы и максимумы'!S$3-'минимумы и максимумы'!S$2)*100)</f>
        <v>0</v>
      </c>
    </row>
    <row r="256" spans="1:21" x14ac:dyDescent="0.45">
      <c r="A256" s="4">
        <v>350</v>
      </c>
      <c r="B256" s="4">
        <v>0</v>
      </c>
      <c r="C256" s="4">
        <v>0</v>
      </c>
      <c r="D256" s="1">
        <f>IF('исходные данные'!D256&gt;'минимумы и максимумы'!B$3,100,('исходные данные'!D256-'минимумы и максимумы'!B$2)/('минимумы и максимумы'!B$3-'минимумы и максимумы'!B$2)*100)</f>
        <v>0</v>
      </c>
      <c r="E256" s="1">
        <f>IF('исходные данные'!E256&gt;'минимумы и максимумы'!C$3,100,('исходные данные'!E256-'минимумы и максимумы'!C$2)/('минимумы и максимумы'!C$3-'минимумы и максимумы'!C$2)*100)</f>
        <v>0</v>
      </c>
      <c r="F256" s="1">
        <f>IF('исходные данные'!F256&gt;'минимумы и максимумы'!D$3,100,('исходные данные'!F256-'минимумы и максимумы'!D$2)/('минимумы и максимумы'!D$3-'минимумы и максимумы'!D$2)*100)</f>
        <v>0</v>
      </c>
      <c r="G256" s="1">
        <f>IF('исходные данные'!G256&gt;'минимумы и максимумы'!E$3,100,('исходные данные'!G256-'минимумы и максимумы'!E$2)/('минимумы и максимумы'!E$3-'минимумы и максимумы'!E$2)*100)</f>
        <v>4.1666666666666661</v>
      </c>
      <c r="H256" s="1">
        <f>IF('исходные данные'!H256&gt;'минимумы и максимумы'!F$3,100,('исходные данные'!H256-'минимумы и максимумы'!F$2)/('минимумы и максимумы'!F$3-'минимумы и максимумы'!F$2)*100)</f>
        <v>0</v>
      </c>
      <c r="I256" s="1">
        <f>IF('исходные данные'!I256&gt;'минимумы и максимумы'!G$3,100,('исходные данные'!I256-'минимумы и максимумы'!G$2)/('минимумы и максимумы'!G$3-'минимумы и максимумы'!G$2)*100)</f>
        <v>3.7735849056603774</v>
      </c>
      <c r="J256" s="1">
        <f>IF('исходные данные'!J256&gt;'минимумы и максимумы'!H$3,100,('исходные данные'!J256-'минимумы и максимумы'!H$2)/('минимумы и максимумы'!H$3-'минимумы и максимумы'!H$2)*100)</f>
        <v>0</v>
      </c>
      <c r="K256" s="1">
        <f>IF('исходные данные'!K256&gt;'минимумы и максимумы'!I$3,100,('исходные данные'!K256-'минимумы и максимумы'!I$2)/('минимумы и максимумы'!I$3-'минимумы и максимумы'!I$2)*100)</f>
        <v>5.5555555555555554</v>
      </c>
      <c r="L256" s="1">
        <f>IF('исходные данные'!L256&gt;'минимумы и максимумы'!J$3,100,('исходные данные'!L256-'минимумы и максимумы'!J$2)/('минимумы и максимумы'!J$3-'минимумы и максимумы'!J$2)*100)</f>
        <v>0</v>
      </c>
      <c r="M256" s="1">
        <f>IF('исходные данные'!M256&gt;'минимумы и максимумы'!K$3,100,('исходные данные'!M256-'минимумы и максимумы'!K$2)/('минимумы и максимумы'!K$3-'минимумы и максимумы'!K$2)*100)</f>
        <v>0</v>
      </c>
      <c r="N256" s="1">
        <f>IF('исходные данные'!N256&gt;'минимумы и максимумы'!L$3,100,('исходные данные'!N256-'минимумы и максимумы'!L$2)/('минимумы и максимумы'!L$3-'минимумы и максимумы'!L$2)*100)</f>
        <v>53.910947261615803</v>
      </c>
      <c r="O256" s="1">
        <f>IF('исходные данные'!O256&gt;'минимумы и максимумы'!M$3,100,('исходные данные'!O256-'минимумы и максимумы'!M$2)/('минимумы и максимумы'!M$3-'минимумы и максимумы'!M$2)*100)</f>
        <v>100</v>
      </c>
      <c r="P256" s="1">
        <f>IF('исходные данные'!P256&gt;'минимумы и максимумы'!N$3,100,('исходные данные'!P256-'минимумы и максимумы'!N$2)/('минимумы и максимумы'!N$3-'минимумы и максимумы'!N$2)*100)</f>
        <v>0</v>
      </c>
      <c r="Q256" s="1">
        <f>IF('исходные данные'!Q256&gt;'минимумы и максимумы'!O$3,100,('исходные данные'!Q256-'минимумы и максимумы'!O$2)/('минимумы и максимумы'!O$3-'минимумы и максимумы'!O$2)*100)</f>
        <v>0</v>
      </c>
      <c r="R256" s="1">
        <f>IF('исходные данные'!R256&gt;'минимумы и максимумы'!P$3,100,('исходные данные'!R256-'минимумы и максимумы'!P$2)/('минимумы и максимумы'!P$3-'минимумы и максимумы'!P$2)*100)</f>
        <v>50</v>
      </c>
      <c r="S256" s="1">
        <f>IF('исходные данные'!S256&gt;'минимумы и максимумы'!Q$3,100,('исходные данные'!S256-'минимумы и максимумы'!Q$2)/('минимумы и максимумы'!Q$3-'минимумы и максимумы'!Q$2)*100)</f>
        <v>16.666666666666664</v>
      </c>
      <c r="T256" s="1">
        <f>IF('исходные данные'!T256&gt;'минимумы и максимумы'!R$3,100,('исходные данные'!T256-'минимумы и максимумы'!R$2)/('минимумы и максимумы'!R$3-'минимумы и максимумы'!R$2)*100)</f>
        <v>12.27452705675319</v>
      </c>
      <c r="U256" s="1">
        <f>IF('исходные данные'!U256&gt;'минимумы и максимумы'!S$3,100,('исходные данные'!U256-'минимумы и максимумы'!S$2)/('минимумы и максимумы'!S$3-'минимумы и максимумы'!S$2)*100)</f>
        <v>0</v>
      </c>
    </row>
    <row r="257" spans="1:21" x14ac:dyDescent="0.45">
      <c r="A257" s="4">
        <v>351</v>
      </c>
      <c r="B257" s="4">
        <v>0</v>
      </c>
      <c r="C257" s="4">
        <v>0</v>
      </c>
      <c r="D257" s="1">
        <f>IF('исходные данные'!D257&gt;'минимумы и максимумы'!B$3,100,('исходные данные'!D257-'минимумы и максимумы'!B$2)/('минимумы и максимумы'!B$3-'минимумы и максимумы'!B$2)*100)</f>
        <v>0</v>
      </c>
      <c r="E257" s="1">
        <f>IF('исходные данные'!E257&gt;'минимумы и максимумы'!C$3,100,('исходные данные'!E257-'минимумы и максимумы'!C$2)/('минимумы и максимумы'!C$3-'минимумы и максимумы'!C$2)*100)</f>
        <v>0</v>
      </c>
      <c r="F257" s="1">
        <f>IF('исходные данные'!F257&gt;'минимумы и максимумы'!D$3,100,('исходные данные'!F257-'минимумы и максимумы'!D$2)/('минимумы и максимумы'!D$3-'минимумы и максимумы'!D$2)*100)</f>
        <v>0</v>
      </c>
      <c r="G257" s="1">
        <f>IF('исходные данные'!G257&gt;'минимумы и максимумы'!E$3,100,('исходные данные'!G257-'минимумы и максимумы'!E$2)/('минимумы и максимумы'!E$3-'минимумы и максимумы'!E$2)*100)</f>
        <v>4.1666666666666661</v>
      </c>
      <c r="H257" s="1">
        <f>IF('исходные данные'!H257&gt;'минимумы и максимумы'!F$3,100,('исходные данные'!H257-'минимумы и максимумы'!F$2)/('минимумы и максимумы'!F$3-'минимумы и максимумы'!F$2)*100)</f>
        <v>0</v>
      </c>
      <c r="I257" s="1">
        <f>IF('исходные данные'!I257&gt;'минимумы и максимумы'!G$3,100,('исходные данные'!I257-'минимумы и максимумы'!G$2)/('минимумы и максимумы'!G$3-'минимумы и максимумы'!G$2)*100)</f>
        <v>5.6603773584905666</v>
      </c>
      <c r="J257" s="1">
        <f>IF('исходные данные'!J257&gt;'минимумы и максимумы'!H$3,100,('исходные данные'!J257-'минимумы и максимумы'!H$2)/('минимумы и максимумы'!H$3-'минимумы и максимумы'!H$2)*100)</f>
        <v>0</v>
      </c>
      <c r="K257" s="1">
        <f>IF('исходные данные'!K257&gt;'минимумы и максимумы'!I$3,100,('исходные данные'!K257-'минимумы и максимумы'!I$2)/('минимумы и максимумы'!I$3-'минимумы и максимумы'!I$2)*100)</f>
        <v>11.111111111111111</v>
      </c>
      <c r="L257" s="1">
        <f>IF('исходные данные'!L257&gt;'минимумы и максимумы'!J$3,100,('исходные данные'!L257-'минимумы и максимумы'!J$2)/('минимумы и максимумы'!J$3-'минимумы и максимумы'!J$2)*100)</f>
        <v>0</v>
      </c>
      <c r="M257" s="1">
        <f>IF('исходные данные'!M257&gt;'минимумы и максимумы'!K$3,100,('исходные данные'!M257-'минимумы и максимумы'!K$2)/('минимумы и максимумы'!K$3-'минимумы и максимумы'!K$2)*100)</f>
        <v>9.67741935483871</v>
      </c>
      <c r="N257" s="1">
        <f>IF('исходные данные'!N257&gt;'минимумы и максимумы'!L$3,100,('исходные данные'!N257-'минимумы и максимумы'!L$2)/('минимумы и максимумы'!L$3-'минимумы и максимумы'!L$2)*100)</f>
        <v>50.416504793538628</v>
      </c>
      <c r="O257" s="1">
        <f>IF('исходные данные'!O257&gt;'минимумы и максимумы'!M$3,100,('исходные данные'!O257-'минимумы и максимумы'!M$2)/('минимумы и максимумы'!M$3-'минимумы и максимумы'!M$2)*100)</f>
        <v>33.333333333333329</v>
      </c>
      <c r="P257" s="1">
        <f>IF('исходные данные'!P257&gt;'минимумы и максимумы'!N$3,100,('исходные данные'!P257-'минимумы и максимумы'!N$2)/('минимумы и максимумы'!N$3-'минимумы и максимумы'!N$2)*100)</f>
        <v>0</v>
      </c>
      <c r="Q257" s="1">
        <f>IF('исходные данные'!Q257&gt;'минимумы и максимумы'!O$3,100,('исходные данные'!Q257-'минимумы и максимумы'!O$2)/('минимумы и максимумы'!O$3-'минимумы и максимумы'!O$2)*100)</f>
        <v>0</v>
      </c>
      <c r="R257" s="1">
        <f>IF('исходные данные'!R257&gt;'минимумы и максимумы'!P$3,100,('исходные данные'!R257-'минимумы и максимумы'!P$2)/('минимумы и максимумы'!P$3-'минимумы и максимумы'!P$2)*100)</f>
        <v>25</v>
      </c>
      <c r="S257" s="1">
        <f>IF('исходные данные'!S257&gt;'минимумы и максимумы'!Q$3,100,('исходные данные'!S257-'минимумы и максимумы'!Q$2)/('минимумы и максимумы'!Q$3-'минимумы и максимумы'!Q$2)*100)</f>
        <v>16.666666666666664</v>
      </c>
      <c r="T257" s="2">
        <f>IF('исходные данные'!T257&gt;'минимумы и максимумы'!R$3,100,('исходные данные'!T257-'минимумы и максимумы'!R$2)/('минимумы и максимумы'!R$3-'минимумы и максимумы'!R$2)*100)</f>
        <v>0.39595248570171576</v>
      </c>
      <c r="U257" s="1">
        <f>IF('исходные данные'!U257&gt;'минимумы и максимумы'!S$3,100,('исходные данные'!U257-'минимумы и максимумы'!S$2)/('минимумы и максимумы'!S$3-'минимумы и максимумы'!S$2)*100)</f>
        <v>0</v>
      </c>
    </row>
    <row r="258" spans="1:21" x14ac:dyDescent="0.45">
      <c r="A258" s="4">
        <v>352</v>
      </c>
      <c r="B258" s="4">
        <v>0</v>
      </c>
      <c r="C258" s="4">
        <v>0</v>
      </c>
      <c r="D258" s="1">
        <f>IF('исходные данные'!D258&gt;'минимумы и максимумы'!B$3,100,('исходные данные'!D258-'минимумы и максимумы'!B$2)/('минимумы и максимумы'!B$3-'минимумы и максимумы'!B$2)*100)</f>
        <v>0</v>
      </c>
      <c r="E258" s="1">
        <f>IF('исходные данные'!E258&gt;'минимумы и максимумы'!C$3,100,('исходные данные'!E258-'минимумы и максимумы'!C$2)/('минимумы и максимумы'!C$3-'минимумы и максимумы'!C$2)*100)</f>
        <v>0</v>
      </c>
      <c r="F258" s="1">
        <f>IF('исходные данные'!F258&gt;'минимумы и максимумы'!D$3,100,('исходные данные'!F258-'минимумы и максимумы'!D$2)/('минимумы и максимумы'!D$3-'минимумы и максимумы'!D$2)*100)</f>
        <v>0</v>
      </c>
      <c r="G258" s="1">
        <f>IF('исходные данные'!G258&gt;'минимумы и максимумы'!E$3,100,('исходные данные'!G258-'минимумы и максимумы'!E$2)/('минимумы и максимумы'!E$3-'минимумы и максимумы'!E$2)*100)</f>
        <v>0</v>
      </c>
      <c r="H258" s="1">
        <f>IF('исходные данные'!H258&gt;'минимумы и максимумы'!F$3,100,('исходные данные'!H258-'минимумы и максимумы'!F$2)/('минимумы и максимумы'!F$3-'минимумы и максимумы'!F$2)*100)</f>
        <v>0</v>
      </c>
      <c r="I258" s="1">
        <f>IF('исходные данные'!I258&gt;'минимумы и максимумы'!G$3,100,('исходные данные'!I258-'минимумы и максимумы'!G$2)/('минимумы и максимумы'!G$3-'минимумы и максимумы'!G$2)*100)</f>
        <v>0</v>
      </c>
      <c r="J258" s="1">
        <f>IF('исходные данные'!J258&gt;'минимумы и максимумы'!H$3,100,('исходные данные'!J258-'минимумы и максимумы'!H$2)/('минимумы и максимумы'!H$3-'минимумы и максимумы'!H$2)*100)</f>
        <v>0</v>
      </c>
      <c r="K258" s="1">
        <f>IF('исходные данные'!K258&gt;'минимумы и максимумы'!I$3,100,('исходные данные'!K258-'минимумы и максимумы'!I$2)/('минимумы и максимумы'!I$3-'минимумы и максимумы'!I$2)*100)</f>
        <v>0</v>
      </c>
      <c r="L258" s="1">
        <f>IF('исходные данные'!L258&gt;'минимумы и максимумы'!J$3,100,('исходные данные'!L258-'минимумы и максимумы'!J$2)/('минимумы и максимумы'!J$3-'минимумы и максимумы'!J$2)*100)</f>
        <v>0</v>
      </c>
      <c r="M258" s="1">
        <f>IF('исходные данные'!M258&gt;'минимумы и максимумы'!K$3,100,('исходные данные'!M258-'минимумы и максимумы'!K$2)/('минимумы и максимумы'!K$3-'минимумы и максимумы'!K$2)*100)</f>
        <v>0</v>
      </c>
      <c r="N258" s="1">
        <f>IF('исходные данные'!N258&gt;'минимумы и максимумы'!L$3,100,('исходные данные'!N258-'минимумы и максимумы'!L$2)/('минимумы и максимумы'!L$3-'минимумы и максимумы'!L$2)*100)</f>
        <v>56.850701390489931</v>
      </c>
      <c r="O258" s="1">
        <f>IF('исходные данные'!O258&gt;'минимумы и максимумы'!M$3,100,('исходные данные'!O258-'минимумы и максимумы'!M$2)/('минимумы и максимумы'!M$3-'минимумы и максимумы'!M$2)*100)</f>
        <v>66.666666666666657</v>
      </c>
      <c r="P258" s="1">
        <f>IF('исходные данные'!P258&gt;'минимумы и максимумы'!N$3,100,('исходные данные'!P258-'минимумы и максимумы'!N$2)/('минимумы и максимумы'!N$3-'минимумы и максимумы'!N$2)*100)</f>
        <v>0</v>
      </c>
      <c r="Q258" s="1">
        <f>IF('исходные данные'!Q258&gt;'минимумы и максимумы'!O$3,100,('исходные данные'!Q258-'минимумы и максимумы'!O$2)/('минимумы и максимумы'!O$3-'минимумы и максимумы'!O$2)*100)</f>
        <v>0</v>
      </c>
      <c r="R258" s="1">
        <f>IF('исходные данные'!R258&gt;'минимумы и максимумы'!P$3,100,('исходные данные'!R258-'минимумы и максимумы'!P$2)/('минимумы и максимумы'!P$3-'минимумы и максимумы'!P$2)*100)</f>
        <v>50</v>
      </c>
      <c r="S258" s="1">
        <f>IF('исходные данные'!S258&gt;'минимумы и максимумы'!Q$3,100,('исходные данные'!S258-'минимумы и максимумы'!Q$2)/('минимумы и максимумы'!Q$3-'минимумы и максимумы'!Q$2)*100)</f>
        <v>16.666666666666664</v>
      </c>
      <c r="T258" s="1">
        <f>IF('исходные данные'!T258&gt;'минимумы и максимумы'!R$3,100,('исходные данные'!T258-'минимумы и максимумы'!R$2)/('минимумы и максимумы'!R$3-'минимумы и максимумы'!R$2)*100)</f>
        <v>4.6634403871535417</v>
      </c>
      <c r="U258" s="1">
        <f>IF('исходные данные'!U258&gt;'минимумы и максимумы'!S$3,100,('исходные данные'!U258-'минимумы и максимумы'!S$2)/('минимумы и максимумы'!S$3-'минимумы и максимумы'!S$2)*100)</f>
        <v>0</v>
      </c>
    </row>
    <row r="259" spans="1:21" x14ac:dyDescent="0.45">
      <c r="A259" s="4">
        <v>353</v>
      </c>
      <c r="B259" s="4">
        <v>0</v>
      </c>
      <c r="C259" s="4">
        <v>0</v>
      </c>
      <c r="D259" s="1">
        <f>IF('исходные данные'!D259&gt;'минимумы и максимумы'!B$3,100,('исходные данные'!D259-'минимумы и максимумы'!B$2)/('минимумы и максимумы'!B$3-'минимумы и максимумы'!B$2)*100)</f>
        <v>0</v>
      </c>
      <c r="E259" s="1">
        <f>IF('исходные данные'!E259&gt;'минимумы и максимумы'!C$3,100,('исходные данные'!E259-'минимумы и максимумы'!C$2)/('минимумы и максимумы'!C$3-'минимумы и максимумы'!C$2)*100)</f>
        <v>0</v>
      </c>
      <c r="F259" s="1">
        <f>IF('исходные данные'!F259&gt;'минимумы и максимумы'!D$3,100,('исходные данные'!F259-'минимумы и максимумы'!D$2)/('минимумы и максимумы'!D$3-'минимумы и максимумы'!D$2)*100)</f>
        <v>0</v>
      </c>
      <c r="G259" s="1">
        <f>IF('исходные данные'!G259&gt;'минимумы и максимумы'!E$3,100,('исходные данные'!G259-'минимумы и максимумы'!E$2)/('минимумы и максимумы'!E$3-'минимумы и максимумы'!E$2)*100)</f>
        <v>0</v>
      </c>
      <c r="H259" s="1">
        <f>IF('исходные данные'!H259&gt;'минимумы и максимумы'!F$3,100,('исходные данные'!H259-'минимумы и максимумы'!F$2)/('минимумы и максимумы'!F$3-'минимумы и максимумы'!F$2)*100)</f>
        <v>0</v>
      </c>
      <c r="I259" s="1">
        <f>IF('исходные данные'!I259&gt;'минимумы и максимумы'!G$3,100,('исходные данные'!I259-'минимумы и максимумы'!G$2)/('минимумы и максимумы'!G$3-'минимумы и максимумы'!G$2)*100)</f>
        <v>0</v>
      </c>
      <c r="J259" s="1">
        <f>IF('исходные данные'!J259&gt;'минимумы и максимумы'!H$3,100,('исходные данные'!J259-'минимумы и максимумы'!H$2)/('минимумы и максимумы'!H$3-'минимумы и максимумы'!H$2)*100)</f>
        <v>0</v>
      </c>
      <c r="K259" s="1">
        <f>IF('исходные данные'!K259&gt;'минимумы и максимумы'!I$3,100,('исходные данные'!K259-'минимумы и максимумы'!I$2)/('минимумы и максимумы'!I$3-'минимумы и максимумы'!I$2)*100)</f>
        <v>0</v>
      </c>
      <c r="L259" s="1">
        <f>IF('исходные данные'!L259&gt;'минимумы и максимумы'!J$3,100,('исходные данные'!L259-'минимумы и максимумы'!J$2)/('минимумы и максимумы'!J$3-'минимумы и максимумы'!J$2)*100)</f>
        <v>0</v>
      </c>
      <c r="M259" s="1">
        <f>IF('исходные данные'!M259&gt;'минимумы и максимумы'!K$3,100,('исходные данные'!M259-'минимумы и максимумы'!K$2)/('минимумы и максимумы'!K$3-'минимумы и максимумы'!K$2)*100)</f>
        <v>0</v>
      </c>
      <c r="N259" s="1">
        <f>IF('исходные данные'!N259&gt;'минимумы и максимумы'!L$3,100,('исходные данные'!N259-'минимумы и максимумы'!L$2)/('минимумы и максимумы'!L$3-'минимумы и максимумы'!L$2)*100)</f>
        <v>54.088305422870434</v>
      </c>
      <c r="O259" s="1">
        <f>IF('исходные данные'!O259&gt;'минимумы и максимумы'!M$3,100,('исходные данные'!O259-'минимумы и максимумы'!M$2)/('минимумы и максимумы'!M$3-'минимумы и максимумы'!M$2)*100)</f>
        <v>0</v>
      </c>
      <c r="P259" s="1">
        <f>IF('исходные данные'!P259&gt;'минимумы и максимумы'!N$3,100,('исходные данные'!P259-'минимумы и максимумы'!N$2)/('минимумы и максимумы'!N$3-'минимумы и максимумы'!N$2)*100)</f>
        <v>0</v>
      </c>
      <c r="Q259" s="1">
        <f>IF('исходные данные'!Q259&gt;'минимумы и максимумы'!O$3,100,('исходные данные'!Q259-'минимумы и максимумы'!O$2)/('минимумы и максимумы'!O$3-'минимумы и максимумы'!O$2)*100)</f>
        <v>0</v>
      </c>
      <c r="R259" s="1">
        <f>IF('исходные данные'!R259&gt;'минимумы и максимумы'!P$3,100,('исходные данные'!R259-'минимумы и максимумы'!P$2)/('минимумы и максимумы'!P$3-'минимумы и максимумы'!P$2)*100)</f>
        <v>25</v>
      </c>
      <c r="S259" s="1">
        <f>IF('исходные данные'!S259&gt;'минимумы и максимумы'!Q$3,100,('исходные данные'!S259-'минимумы и максимумы'!Q$2)/('минимумы и максимумы'!Q$3-'минимумы и максимумы'!Q$2)*100)</f>
        <v>16.666666666666664</v>
      </c>
      <c r="T259" s="1">
        <f>IF('исходные данные'!T259&gt;'минимумы и максимумы'!R$3,100,('исходные данные'!T259-'минимумы и максимумы'!R$2)/('минимумы и максимумы'!R$3-'минимумы и максимумы'!R$2)*100)</f>
        <v>0.83589969203695558</v>
      </c>
      <c r="U259" s="1">
        <f>IF('исходные данные'!U259&gt;'минимумы и максимумы'!S$3,100,('исходные данные'!U259-'минимумы и максимумы'!S$2)/('минимумы и максимумы'!S$3-'минимумы и максимумы'!S$2)*100)</f>
        <v>0</v>
      </c>
    </row>
    <row r="260" spans="1:21" x14ac:dyDescent="0.45">
      <c r="A260" s="4">
        <v>355</v>
      </c>
      <c r="B260" s="4">
        <v>0</v>
      </c>
      <c r="C260" s="4">
        <v>0</v>
      </c>
      <c r="D260" s="1">
        <f>IF('исходные данные'!D260&gt;'минимумы и максимумы'!B$3,100,('исходные данные'!D260-'минимумы и максимумы'!B$2)/('минимумы и максимумы'!B$3-'минимумы и максимумы'!B$2)*100)</f>
        <v>20</v>
      </c>
      <c r="E260" s="1">
        <f>IF('исходные данные'!E260&gt;'минимумы и максимумы'!C$3,100,('исходные данные'!E260-'минимумы и максимумы'!C$2)/('минимумы и максимумы'!C$3-'минимумы и максимумы'!C$2)*100)</f>
        <v>10</v>
      </c>
      <c r="F260" s="1">
        <f>IF('исходные данные'!F260&gt;'минимумы и максимумы'!D$3,100,('исходные данные'!F260-'минимумы и максимумы'!D$2)/('минимумы и максимумы'!D$3-'минимумы и максимумы'!D$2)*100)</f>
        <v>0</v>
      </c>
      <c r="G260" s="1">
        <f>IF('исходные данные'!G260&gt;'минимумы и максимумы'!E$3,100,('исходные данные'!G260-'минимумы и максимумы'!E$2)/('минимумы и максимумы'!E$3-'минимумы и максимумы'!E$2)*100)</f>
        <v>16.666666666666664</v>
      </c>
      <c r="H260" s="1">
        <f>IF('исходные данные'!H260&gt;'минимумы и максимумы'!F$3,100,('исходные данные'!H260-'минимумы и максимумы'!F$2)/('минимумы и максимумы'!F$3-'минимумы и максимумы'!F$2)*100)</f>
        <v>24</v>
      </c>
      <c r="I260" s="1">
        <f>IF('исходные данные'!I260&gt;'минимумы и максимумы'!G$3,100,('исходные данные'!I260-'минимумы и максимумы'!G$2)/('минимумы и максимумы'!G$3-'минимумы и максимумы'!G$2)*100)</f>
        <v>24.528301886792452</v>
      </c>
      <c r="J260" s="1">
        <f>IF('исходные данные'!J260&gt;'минимумы и максимумы'!H$3,100,('исходные данные'!J260-'минимумы и максимумы'!H$2)/('минимумы и максимумы'!H$3-'минимумы и максимумы'!H$2)*100)</f>
        <v>0</v>
      </c>
      <c r="K260" s="1">
        <f>IF('исходные данные'!K260&gt;'минимумы и максимумы'!I$3,100,('исходные данные'!K260-'минимумы и максимумы'!I$2)/('минимумы и максимумы'!I$3-'минимумы и максимумы'!I$2)*100)</f>
        <v>33.333333333333329</v>
      </c>
      <c r="L260" s="1">
        <f>IF('исходные данные'!L260&gt;'минимумы и максимумы'!J$3,100,('исходные данные'!L260-'минимумы и максимумы'!J$2)/('минимумы и максимумы'!J$3-'минимумы и максимумы'!J$2)*100)</f>
        <v>0</v>
      </c>
      <c r="M260" s="1">
        <f>IF('исходные данные'!M260&gt;'минимумы и максимумы'!K$3,100,('исходные данные'!M260-'минимумы и максимумы'!K$2)/('минимумы и максимумы'!K$3-'минимумы и максимумы'!K$2)*100)</f>
        <v>22.58064516129032</v>
      </c>
      <c r="N260" s="1">
        <f>IF('исходные данные'!N260&gt;'минимумы и максимумы'!L$3,100,('исходные данные'!N260-'минимумы и максимумы'!L$2)/('минимумы и максимумы'!L$3-'минимумы и максимумы'!L$2)*100)</f>
        <v>32.744216940079191</v>
      </c>
      <c r="O260" s="1">
        <f>IF('исходные данные'!O260&gt;'минимумы и максимумы'!M$3,100,('исходные данные'!O260-'минимумы и максимумы'!M$2)/('минимумы и максимумы'!M$3-'минимумы и максимумы'!M$2)*100)</f>
        <v>66.666666666666657</v>
      </c>
      <c r="P260" s="1">
        <f>IF('исходные данные'!P260&gt;'минимумы и максимумы'!N$3,100,('исходные данные'!P260-'минимумы и максимумы'!N$2)/('минимумы и максимумы'!N$3-'минимумы и максимумы'!N$2)*100)</f>
        <v>0</v>
      </c>
      <c r="Q260" s="1">
        <f>IF('исходные данные'!Q260&gt;'минимумы и максимумы'!O$3,100,('исходные данные'!Q260-'минимумы и максимумы'!O$2)/('минимумы и максимумы'!O$3-'минимумы и максимумы'!O$2)*100)</f>
        <v>100</v>
      </c>
      <c r="R260" s="1">
        <f>IF('исходные данные'!R260&gt;'минимумы и максимумы'!P$3,100,('исходные данные'!R260-'минимумы и максимумы'!P$2)/('минимумы и максимумы'!P$3-'минимумы и максимумы'!P$2)*100)</f>
        <v>25</v>
      </c>
      <c r="S260" s="1">
        <f>IF('исходные данные'!S260&gt;'минимумы и максимумы'!Q$3,100,('исходные данные'!S260-'минимумы и максимумы'!Q$2)/('минимумы и максимумы'!Q$3-'минимумы и максимумы'!Q$2)*100)</f>
        <v>66.666666666666657</v>
      </c>
      <c r="T260" s="1">
        <f>IF('исходные данные'!T260&gt;'минимумы и максимумы'!R$3,100,('исходные данные'!T260-'минимумы и максимумы'!R$2)/('минимумы и максимумы'!R$3-'минимумы и максимумы'!R$2)*100)</f>
        <v>43.378794544654639</v>
      </c>
      <c r="U260" s="1">
        <f>IF('исходные данные'!U260&gt;'минимумы и максимумы'!S$3,100,('исходные данные'!U260-'минимумы и максимумы'!S$2)/('минимумы и максимумы'!S$3-'минимумы и максимумы'!S$2)*100)</f>
        <v>66.666666666666657</v>
      </c>
    </row>
    <row r="261" spans="1:21" x14ac:dyDescent="0.45">
      <c r="A261" s="4">
        <v>356</v>
      </c>
      <c r="B261" s="4">
        <v>0</v>
      </c>
      <c r="C261" s="4">
        <v>0</v>
      </c>
      <c r="D261" s="1">
        <f>IF('исходные данные'!D261&gt;'минимумы и максимумы'!B$3,100,('исходные данные'!D261-'минимумы и максимумы'!B$2)/('минимумы и максимумы'!B$3-'минимумы и максимумы'!B$2)*100)</f>
        <v>20</v>
      </c>
      <c r="E261" s="1">
        <f>IF('исходные данные'!E261&gt;'минимумы и максимумы'!C$3,100,('исходные данные'!E261-'минимумы и максимумы'!C$2)/('минимумы и максимумы'!C$3-'минимумы и максимумы'!C$2)*100)</f>
        <v>10</v>
      </c>
      <c r="F261" s="1">
        <f>IF('исходные данные'!F261&gt;'минимумы и максимумы'!D$3,100,('исходные данные'!F261-'минимумы и максимумы'!D$2)/('минимумы и максимумы'!D$3-'минимумы и максимумы'!D$2)*100)</f>
        <v>0</v>
      </c>
      <c r="G261" s="1">
        <f>IF('исходные данные'!G261&gt;'минимумы и максимумы'!E$3,100,('исходные данные'!G261-'минимумы и максимумы'!E$2)/('минимумы и максимумы'!E$3-'минимумы и максимумы'!E$2)*100)</f>
        <v>16.666666666666664</v>
      </c>
      <c r="H261" s="1">
        <f>IF('исходные данные'!H261&gt;'минимумы и максимумы'!F$3,100,('исходные данные'!H261-'минимумы и максимумы'!F$2)/('минимумы и максимумы'!F$3-'минимумы и максимумы'!F$2)*100)</f>
        <v>24</v>
      </c>
      <c r="I261" s="1">
        <f>IF('исходные данные'!I261&gt;'минимумы и максимумы'!G$3,100,('исходные данные'!I261-'минимумы и максимумы'!G$2)/('минимумы и максимумы'!G$3-'минимумы и максимумы'!G$2)*100)</f>
        <v>24.528301886792452</v>
      </c>
      <c r="J261" s="1">
        <f>IF('исходные данные'!J261&gt;'минимумы и максимумы'!H$3,100,('исходные данные'!J261-'минимумы и максимумы'!H$2)/('минимумы и максимумы'!H$3-'минимумы и максимумы'!H$2)*100)</f>
        <v>0</v>
      </c>
      <c r="K261" s="1">
        <f>IF('исходные данные'!K261&gt;'минимумы и максимумы'!I$3,100,('исходные данные'!K261-'минимумы и максимумы'!I$2)/('минимумы и максимумы'!I$3-'минимумы и максимумы'!I$2)*100)</f>
        <v>33.333333333333329</v>
      </c>
      <c r="L261" s="1">
        <f>IF('исходные данные'!L261&gt;'минимумы и максимумы'!J$3,100,('исходные данные'!L261-'минимумы и максимумы'!J$2)/('минимумы и максимумы'!J$3-'минимумы и максимумы'!J$2)*100)</f>
        <v>0</v>
      </c>
      <c r="M261" s="1">
        <f>IF('исходные данные'!M261&gt;'минимумы и максимумы'!K$3,100,('исходные данные'!M261-'минимумы и максимумы'!K$2)/('минимумы и максимумы'!K$3-'минимумы и максимумы'!K$2)*100)</f>
        <v>22.58064516129032</v>
      </c>
      <c r="N261" s="1">
        <f>IF('исходные данные'!N261&gt;'минимумы и максимумы'!L$3,100,('исходные данные'!N261-'минимумы и максимумы'!L$2)/('минимумы и максимумы'!L$3-'минимумы и максимумы'!L$2)*100)</f>
        <v>33.339323492538796</v>
      </c>
      <c r="O261" s="1">
        <f>IF('исходные данные'!O261&gt;'минимумы и максимумы'!M$3,100,('исходные данные'!O261-'минимумы и максимумы'!M$2)/('минимумы и максимумы'!M$3-'минимумы и максимумы'!M$2)*100)</f>
        <v>66.666666666666657</v>
      </c>
      <c r="P261" s="1">
        <f>IF('исходные данные'!P261&gt;'минимумы и максимумы'!N$3,100,('исходные данные'!P261-'минимумы и максимумы'!N$2)/('минимумы и максимумы'!N$3-'минимумы и максимумы'!N$2)*100)</f>
        <v>0</v>
      </c>
      <c r="Q261" s="1">
        <f>IF('исходные данные'!Q261&gt;'минимумы и максимумы'!O$3,100,('исходные данные'!Q261-'минимумы и максимумы'!O$2)/('минимумы и максимумы'!O$3-'минимумы и максимумы'!O$2)*100)</f>
        <v>100</v>
      </c>
      <c r="R261" s="1">
        <f>IF('исходные данные'!R261&gt;'минимумы и максимумы'!P$3,100,('исходные данные'!R261-'минимумы и максимумы'!P$2)/('минимумы и максимумы'!P$3-'минимумы и максимумы'!P$2)*100)</f>
        <v>25</v>
      </c>
      <c r="S261" s="1">
        <f>IF('исходные данные'!S261&gt;'минимумы и максимумы'!Q$3,100,('исходные данные'!S261-'минимумы и максимумы'!Q$2)/('минимумы и максимумы'!Q$3-'минимумы и максимумы'!Q$2)*100)</f>
        <v>16.666666666666664</v>
      </c>
      <c r="T261" s="1">
        <f>IF('исходные данные'!T261&gt;'минимумы и максимумы'!R$3,100,('исходные данные'!T261-'минимумы и максимумы'!R$2)/('минимумы и максимумы'!R$3-'минимумы и максимумы'!R$2)*100)</f>
        <v>13.154421469423669</v>
      </c>
      <c r="U261" s="1">
        <f>IF('исходные данные'!U261&gt;'минимумы и максимумы'!S$3,100,('исходные данные'!U261-'минимумы и максимумы'!S$2)/('минимумы и максимумы'!S$3-'минимумы и максимумы'!S$2)*100)</f>
        <v>0</v>
      </c>
    </row>
    <row r="262" spans="1:21" x14ac:dyDescent="0.45">
      <c r="A262" s="4">
        <v>357</v>
      </c>
      <c r="B262" s="4">
        <v>0</v>
      </c>
      <c r="C262" s="4">
        <v>0</v>
      </c>
      <c r="D262" s="1">
        <f>IF('исходные данные'!D262&gt;'минимумы и максимумы'!B$3,100,('исходные данные'!D262-'минимумы и максимумы'!B$2)/('минимумы и максимумы'!B$3-'минимумы и максимумы'!B$2)*100)</f>
        <v>20</v>
      </c>
      <c r="E262" s="1">
        <f>IF('исходные данные'!E262&gt;'минимумы и максимумы'!C$3,100,('исходные данные'!E262-'минимумы и максимумы'!C$2)/('минимумы и максимумы'!C$3-'минимумы и максимумы'!C$2)*100)</f>
        <v>10</v>
      </c>
      <c r="F262" s="1">
        <f>IF('исходные данные'!F262&gt;'минимумы и максимумы'!D$3,100,('исходные данные'!F262-'минимумы и максимумы'!D$2)/('минимумы и максимумы'!D$3-'минимумы и максимумы'!D$2)*100)</f>
        <v>0</v>
      </c>
      <c r="G262" s="1">
        <f>IF('исходные данные'!G262&gt;'минимумы и максимумы'!E$3,100,('исходные данные'!G262-'минимумы и максимумы'!E$2)/('минимумы и максимумы'!E$3-'минимумы и максимумы'!E$2)*100)</f>
        <v>16.666666666666664</v>
      </c>
      <c r="H262" s="1">
        <f>IF('исходные данные'!H262&gt;'минимумы и максимумы'!F$3,100,('исходные данные'!H262-'минимумы и максимумы'!F$2)/('минимумы и максимумы'!F$3-'минимумы и максимумы'!F$2)*100)</f>
        <v>24</v>
      </c>
      <c r="I262" s="1">
        <f>IF('исходные данные'!I262&gt;'минимумы и максимумы'!G$3,100,('исходные данные'!I262-'минимумы и максимумы'!G$2)/('минимумы и максимумы'!G$3-'минимумы и максимумы'!G$2)*100)</f>
        <v>24.528301886792452</v>
      </c>
      <c r="J262" s="1">
        <f>IF('исходные данные'!J262&gt;'минимумы и максимумы'!H$3,100,('исходные данные'!J262-'минимумы и максимумы'!H$2)/('минимумы и максимумы'!H$3-'минимумы и максимумы'!H$2)*100)</f>
        <v>0</v>
      </c>
      <c r="K262" s="1">
        <f>IF('исходные данные'!K262&gt;'минимумы и максимумы'!I$3,100,('исходные данные'!K262-'минимумы и максимумы'!I$2)/('минимумы и максимумы'!I$3-'минимумы и максимумы'!I$2)*100)</f>
        <v>33.333333333333329</v>
      </c>
      <c r="L262" s="1">
        <f>IF('исходные данные'!L262&gt;'минимумы и максимумы'!J$3,100,('исходные данные'!L262-'минимумы и максимумы'!J$2)/('минимумы и максимумы'!J$3-'минимумы и максимумы'!J$2)*100)</f>
        <v>0</v>
      </c>
      <c r="M262" s="1">
        <f>IF('исходные данные'!M262&gt;'минимумы и максимумы'!K$3,100,('исходные данные'!M262-'минимумы и максимумы'!K$2)/('минимумы и максимумы'!K$3-'минимумы и максимумы'!K$2)*100)</f>
        <v>22.58064516129032</v>
      </c>
      <c r="N262" s="1">
        <f>IF('исходные данные'!N262&gt;'минимумы и максимумы'!L$3,100,('исходные данные'!N262-'минимумы и максимумы'!L$2)/('минимумы и максимумы'!L$3-'минимумы и максимумы'!L$2)*100)</f>
        <v>33.02112848161903</v>
      </c>
      <c r="O262" s="1">
        <f>IF('исходные данные'!O262&gt;'минимумы и максимумы'!M$3,100,('исходные данные'!O262-'минимумы и максимумы'!M$2)/('минимумы и максимумы'!M$3-'минимумы и максимумы'!M$2)*100)</f>
        <v>66.666666666666657</v>
      </c>
      <c r="P262" s="1">
        <f>IF('исходные данные'!P262&gt;'минимумы и максимумы'!N$3,100,('исходные данные'!P262-'минимумы и максимумы'!N$2)/('минимумы и максимумы'!N$3-'минимумы и максимумы'!N$2)*100)</f>
        <v>0</v>
      </c>
      <c r="Q262" s="1">
        <f>IF('исходные данные'!Q262&gt;'минимумы и максимумы'!O$3,100,('исходные данные'!Q262-'минимумы и максимумы'!O$2)/('минимумы и максимумы'!O$3-'минимумы и максимумы'!O$2)*100)</f>
        <v>100</v>
      </c>
      <c r="R262" s="1">
        <f>IF('исходные данные'!R262&gt;'минимумы и максимумы'!P$3,100,('исходные данные'!R262-'минимумы и максимумы'!P$2)/('минимумы и максимумы'!P$3-'минимумы и максимумы'!P$2)*100)</f>
        <v>25</v>
      </c>
      <c r="S262" s="1">
        <f>IF('исходные данные'!S262&gt;'минимумы и максимумы'!Q$3,100,('исходные данные'!S262-'минимумы и максимумы'!Q$2)/('минимумы и максимумы'!Q$3-'минимумы и максимумы'!Q$2)*100)</f>
        <v>33.333333333333329</v>
      </c>
      <c r="T262" s="1">
        <f>IF('исходные данные'!T262&gt;'минимумы и максимумы'!R$3,100,('исходные данные'!T262-'минимумы и максимумы'!R$2)/('минимумы и максимумы'!R$3-'минимумы и максимумы'!R$2)*100)</f>
        <v>8.4469863616366041</v>
      </c>
      <c r="U262" s="1">
        <f>IF('исходные данные'!U262&gt;'минимумы и максимумы'!S$3,100,('исходные данные'!U262-'минимумы и максимумы'!S$2)/('минимумы и максимумы'!S$3-'минимумы и максимумы'!S$2)*100)</f>
        <v>0</v>
      </c>
    </row>
    <row r="263" spans="1:21" x14ac:dyDescent="0.45">
      <c r="A263" s="4">
        <v>358</v>
      </c>
      <c r="B263" s="4">
        <v>0</v>
      </c>
      <c r="C263" s="4">
        <v>0</v>
      </c>
      <c r="D263" s="1">
        <f>IF('исходные данные'!D263&gt;'минимумы и максимумы'!B$3,100,('исходные данные'!D263-'минимумы и максимумы'!B$2)/('минимумы и максимумы'!B$3-'минимумы и максимумы'!B$2)*100)</f>
        <v>20</v>
      </c>
      <c r="E263" s="1">
        <f>IF('исходные данные'!E263&gt;'минимумы и максимумы'!C$3,100,('исходные данные'!E263-'минимумы и максимумы'!C$2)/('минимумы и максимумы'!C$3-'минимумы и максимумы'!C$2)*100)</f>
        <v>10</v>
      </c>
      <c r="F263" s="1">
        <f>IF('исходные данные'!F263&gt;'минимумы и максимумы'!D$3,100,('исходные данные'!F263-'минимумы и максимумы'!D$2)/('минимумы и максимумы'!D$3-'минимумы и максимумы'!D$2)*100)</f>
        <v>0</v>
      </c>
      <c r="G263" s="1">
        <f>IF('исходные данные'!G263&gt;'минимумы и максимумы'!E$3,100,('исходные данные'!G263-'минимумы и максимумы'!E$2)/('минимумы и максимумы'!E$3-'минимумы и максимумы'!E$2)*100)</f>
        <v>16.666666666666664</v>
      </c>
      <c r="H263" s="1">
        <f>IF('исходные данные'!H263&gt;'минимумы и максимумы'!F$3,100,('исходные данные'!H263-'минимумы и максимумы'!F$2)/('минимумы и максимумы'!F$3-'минимумы и максимумы'!F$2)*100)</f>
        <v>24</v>
      </c>
      <c r="I263" s="1">
        <f>IF('исходные данные'!I263&gt;'минимумы и максимумы'!G$3,100,('исходные данные'!I263-'минимумы и максимумы'!G$2)/('минимумы и максимумы'!G$3-'минимумы и максимумы'!G$2)*100)</f>
        <v>24.528301886792452</v>
      </c>
      <c r="J263" s="1">
        <f>IF('исходные данные'!J263&gt;'минимумы и максимумы'!H$3,100,('исходные данные'!J263-'минимумы и максимумы'!H$2)/('минимумы и максимумы'!H$3-'минимумы и максимумы'!H$2)*100)</f>
        <v>0</v>
      </c>
      <c r="K263" s="1">
        <f>IF('исходные данные'!K263&gt;'минимумы и максимумы'!I$3,100,('исходные данные'!K263-'минимумы и максимумы'!I$2)/('минимумы и максимумы'!I$3-'минимумы и максимумы'!I$2)*100)</f>
        <v>33.333333333333329</v>
      </c>
      <c r="L263" s="1">
        <f>IF('исходные данные'!L263&gt;'минимумы и максимумы'!J$3,100,('исходные данные'!L263-'минимумы и максимумы'!J$2)/('минимумы и максимумы'!J$3-'минимумы и максимумы'!J$2)*100)</f>
        <v>0</v>
      </c>
      <c r="M263" s="1">
        <f>IF('исходные данные'!M263&gt;'минимумы и максимумы'!K$3,100,('исходные данные'!M263-'минимумы и максимумы'!K$2)/('минимумы и максимумы'!K$3-'минимумы и максимумы'!K$2)*100)</f>
        <v>22.58064516129032</v>
      </c>
      <c r="N263" s="1">
        <f>IF('исходные данные'!N263&gt;'минимумы и максимумы'!L$3,100,('исходные данные'!N263-'минимумы и максимумы'!L$2)/('минимумы и максимумы'!L$3-'минимумы и максимумы'!L$2)*100)</f>
        <v>33.02112848161903</v>
      </c>
      <c r="O263" s="1">
        <f>IF('исходные данные'!O263&gt;'минимумы и максимумы'!M$3,100,('исходные данные'!O263-'минимумы и максимумы'!M$2)/('минимумы и максимумы'!M$3-'минимумы и максимумы'!M$2)*100)</f>
        <v>66.666666666666657</v>
      </c>
      <c r="P263" s="1">
        <f>IF('исходные данные'!P263&gt;'минимумы и максимумы'!N$3,100,('исходные данные'!P263-'минимумы и максимумы'!N$2)/('минимумы и максимумы'!N$3-'минимумы и максимумы'!N$2)*100)</f>
        <v>0</v>
      </c>
      <c r="Q263" s="1">
        <f>IF('исходные данные'!Q263&gt;'минимумы и максимумы'!O$3,100,('исходные данные'!Q263-'минимумы и максимумы'!O$2)/('минимумы и максимумы'!O$3-'минимумы и максимумы'!O$2)*100)</f>
        <v>100</v>
      </c>
      <c r="R263" s="1">
        <f>IF('исходные данные'!R263&gt;'минимумы и максимумы'!P$3,100,('исходные данные'!R263-'минимумы и максимумы'!P$2)/('минимумы и максимумы'!P$3-'минимумы и максимумы'!P$2)*100)</f>
        <v>25</v>
      </c>
      <c r="S263" s="1">
        <f>IF('исходные данные'!S263&gt;'минимумы и максимумы'!Q$3,100,('исходные данные'!S263-'минимумы и максимумы'!Q$2)/('минимумы и максимумы'!Q$3-'минимумы и максимумы'!Q$2)*100)</f>
        <v>33.333333333333329</v>
      </c>
      <c r="T263" s="1">
        <f>IF('исходные данные'!T263&gt;'минимумы и максимумы'!R$3,100,('исходные данные'!T263-'минимумы и максимумы'!R$2)/('минимумы и максимумы'!R$3-'минимумы и максимумы'!R$2)*100)</f>
        <v>8.6669599648042226</v>
      </c>
      <c r="U263" s="1">
        <f>IF('исходные данные'!U263&gt;'минимумы и максимумы'!S$3,100,('исходные данные'!U263-'минимумы и максимумы'!S$2)/('минимумы и максимумы'!S$3-'минимумы и максимумы'!S$2)*100)</f>
        <v>0</v>
      </c>
    </row>
    <row r="264" spans="1:21" x14ac:dyDescent="0.45">
      <c r="A264" s="4">
        <v>359</v>
      </c>
      <c r="B264" s="4">
        <v>0</v>
      </c>
      <c r="C264" s="4">
        <v>0</v>
      </c>
      <c r="D264" s="1">
        <f>IF('исходные данные'!D264&gt;'минимумы и максимумы'!B$3,100,('исходные данные'!D264-'минимумы и максимумы'!B$2)/('минимумы и максимумы'!B$3-'минимумы и максимумы'!B$2)*100)</f>
        <v>20</v>
      </c>
      <c r="E264" s="1">
        <f>IF('исходные данные'!E264&gt;'минимумы и максимумы'!C$3,100,('исходные данные'!E264-'минимумы и максимумы'!C$2)/('минимумы и максимумы'!C$3-'минимумы и максимумы'!C$2)*100)</f>
        <v>10</v>
      </c>
      <c r="F264" s="1">
        <f>IF('исходные данные'!F264&gt;'минимумы и максимумы'!D$3,100,('исходные данные'!F264-'минимумы и максимумы'!D$2)/('минимумы и максимумы'!D$3-'минимумы и максимумы'!D$2)*100)</f>
        <v>0</v>
      </c>
      <c r="G264" s="1">
        <f>IF('исходные данные'!G264&gt;'минимумы и максимумы'!E$3,100,('исходные данные'!G264-'минимумы и максимумы'!E$2)/('минимумы и максимумы'!E$3-'минимумы и максимумы'!E$2)*100)</f>
        <v>16.666666666666664</v>
      </c>
      <c r="H264" s="1">
        <f>IF('исходные данные'!H264&gt;'минимумы и максимумы'!F$3,100,('исходные данные'!H264-'минимумы и максимумы'!F$2)/('минимумы и максимумы'!F$3-'минимумы и максимумы'!F$2)*100)</f>
        <v>24</v>
      </c>
      <c r="I264" s="1">
        <f>IF('исходные данные'!I264&gt;'минимумы и максимумы'!G$3,100,('исходные данные'!I264-'минимумы и максимумы'!G$2)/('минимумы и максимумы'!G$3-'минимумы и максимумы'!G$2)*100)</f>
        <v>24.528301886792452</v>
      </c>
      <c r="J264" s="1">
        <f>IF('исходные данные'!J264&gt;'минимумы и максимумы'!H$3,100,('исходные данные'!J264-'минимумы и максимумы'!H$2)/('минимумы и максимумы'!H$3-'минимумы и максимумы'!H$2)*100)</f>
        <v>0</v>
      </c>
      <c r="K264" s="1">
        <f>IF('исходные данные'!K264&gt;'минимумы и максимумы'!I$3,100,('исходные данные'!K264-'минимумы и максимумы'!I$2)/('минимумы и максимумы'!I$3-'минимумы и максимумы'!I$2)*100)</f>
        <v>33.333333333333329</v>
      </c>
      <c r="L264" s="1">
        <f>IF('исходные данные'!L264&gt;'минимумы и максимумы'!J$3,100,('исходные данные'!L264-'минимумы и максимумы'!J$2)/('минимумы и максимумы'!J$3-'минимумы и максимумы'!J$2)*100)</f>
        <v>0</v>
      </c>
      <c r="M264" s="1">
        <f>IF('исходные данные'!M264&gt;'минимумы и максимумы'!K$3,100,('исходные данные'!M264-'минимумы и максимумы'!K$2)/('минимумы и максимумы'!K$3-'минимумы и максимумы'!K$2)*100)</f>
        <v>22.58064516129032</v>
      </c>
      <c r="N264" s="1">
        <f>IF('исходные данные'!N264&gt;'минимумы и максимумы'!L$3,100,('исходные данные'!N264-'минимумы и максимумы'!L$2)/('минимумы и максимумы'!L$3-'минимумы и максимумы'!L$2)*100)</f>
        <v>33.259224751467222</v>
      </c>
      <c r="O264" s="1">
        <f>IF('исходные данные'!O264&gt;'минимумы и максимумы'!M$3,100,('исходные данные'!O264-'минимумы и максимумы'!M$2)/('минимумы и максимумы'!M$3-'минимумы и максимумы'!M$2)*100)</f>
        <v>66.666666666666657</v>
      </c>
      <c r="P264" s="1">
        <f>IF('исходные данные'!P264&gt;'минимумы и максимумы'!N$3,100,('исходные данные'!P264-'минимумы и максимумы'!N$2)/('минимумы и максимумы'!N$3-'минимумы и максимумы'!N$2)*100)</f>
        <v>0</v>
      </c>
      <c r="Q264" s="1">
        <f>IF('исходные данные'!Q264&gt;'минимумы и максимумы'!O$3,100,('исходные данные'!Q264-'минимумы и максимумы'!O$2)/('минимумы и максимумы'!O$3-'минимумы и максимумы'!O$2)*100)</f>
        <v>100</v>
      </c>
      <c r="R264" s="1">
        <f>IF('исходные данные'!R264&gt;'минимумы и максимумы'!P$3,100,('исходные данные'!R264-'минимумы и максимумы'!P$2)/('минимумы и максимумы'!P$3-'минимумы и максимумы'!P$2)*100)</f>
        <v>25</v>
      </c>
      <c r="S264" s="1">
        <f>IF('исходные данные'!S264&gt;'минимумы и максимумы'!Q$3,100,('исходные данные'!S264-'минимумы и максимумы'!Q$2)/('минимумы и максимумы'!Q$3-'минимумы и максимумы'!Q$2)*100)</f>
        <v>66.666666666666657</v>
      </c>
      <c r="T264" s="1">
        <f>IF('исходные данные'!T264&gt;'минимумы и максимумы'!R$3,100,('исходные данные'!T264-'минимумы и максимумы'!R$2)/('минимумы и максимумы'!R$3-'минимумы и максимумы'!R$2)*100)</f>
        <v>25.780906291245049</v>
      </c>
      <c r="U264" s="1">
        <f>IF('исходные данные'!U264&gt;'минимумы и максимумы'!S$3,100,('исходные данные'!U264-'минимумы и максимумы'!S$2)/('минимумы и максимумы'!S$3-'минимумы и максимумы'!S$2)*100)</f>
        <v>0</v>
      </c>
    </row>
    <row r="265" spans="1:21" x14ac:dyDescent="0.45">
      <c r="A265" s="4">
        <v>360</v>
      </c>
      <c r="B265" s="4">
        <v>0</v>
      </c>
      <c r="C265" s="4">
        <v>0</v>
      </c>
      <c r="D265" s="1">
        <f>IF('исходные данные'!D265&gt;'минимумы и максимумы'!B$3,100,('исходные данные'!D265-'минимумы и максимумы'!B$2)/('минимумы и максимумы'!B$3-'минимумы и максимумы'!B$2)*100)</f>
        <v>0</v>
      </c>
      <c r="E265" s="1">
        <f>IF('исходные данные'!E265&gt;'минимумы и максимумы'!C$3,100,('исходные данные'!E265-'минимумы и максимумы'!C$2)/('минимумы и максимумы'!C$3-'минимумы и максимумы'!C$2)*100)</f>
        <v>0</v>
      </c>
      <c r="F265" s="1">
        <f>IF('исходные данные'!F265&gt;'минимумы и максимумы'!D$3,100,('исходные данные'!F265-'минимумы и максимумы'!D$2)/('минимумы и максимумы'!D$3-'минимумы и максимумы'!D$2)*100)</f>
        <v>0</v>
      </c>
      <c r="G265" s="1">
        <f>IF('исходные данные'!G265&gt;'минимумы и максимумы'!E$3,100,('исходные данные'!G265-'минимумы и максимумы'!E$2)/('минимумы и максимумы'!E$3-'минимумы и максимумы'!E$2)*100)</f>
        <v>0</v>
      </c>
      <c r="H265" s="1">
        <f>IF('исходные данные'!H265&gt;'минимумы и максимумы'!F$3,100,('исходные данные'!H265-'минимумы и максимумы'!F$2)/('минимумы и максимумы'!F$3-'минимумы и максимумы'!F$2)*100)</f>
        <v>0</v>
      </c>
      <c r="I265" s="1">
        <f>IF('исходные данные'!I265&gt;'минимумы и максимумы'!G$3,100,('исходные данные'!I265-'минимумы и максимумы'!G$2)/('минимумы и максимумы'!G$3-'минимумы и максимумы'!G$2)*100)</f>
        <v>3.7735849056603774</v>
      </c>
      <c r="J265" s="1">
        <f>IF('исходные данные'!J265&gt;'минимумы и максимумы'!H$3,100,('исходные данные'!J265-'минимумы и максимумы'!H$2)/('минимумы и максимумы'!H$3-'минимумы и максимумы'!H$2)*100)</f>
        <v>0</v>
      </c>
      <c r="K265" s="1">
        <f>IF('исходные данные'!K265&gt;'минимумы и максимумы'!I$3,100,('исходные данные'!K265-'минимумы и максимумы'!I$2)/('минимумы и максимумы'!I$3-'минимумы и максимумы'!I$2)*100)</f>
        <v>0</v>
      </c>
      <c r="L265" s="1">
        <f>IF('исходные данные'!L265&gt;'минимумы и максимумы'!J$3,100,('исходные данные'!L265-'минимумы и максимумы'!J$2)/('минимумы и максимумы'!J$3-'минимумы и максимумы'!J$2)*100)</f>
        <v>0</v>
      </c>
      <c r="M265" s="1">
        <f>IF('исходные данные'!M265&gt;'минимумы и максимумы'!K$3,100,('исходные данные'!M265-'минимумы и максимумы'!K$2)/('минимумы и максимумы'!K$3-'минимумы и максимумы'!K$2)*100)</f>
        <v>9.67741935483871</v>
      </c>
      <c r="N265" s="1">
        <f>IF('исходные данные'!N265&gt;'минимумы и максимумы'!L$3,100,('исходные данные'!N265-'минимумы и максимумы'!L$2)/('минимумы и максимумы'!L$3-'минимумы и максимумы'!L$2)*100)</f>
        <v>41.93702237560678</v>
      </c>
      <c r="O265" s="1">
        <f>IF('исходные данные'!O265&gt;'минимумы и максимумы'!M$3,100,('исходные данные'!O265-'минимумы и максимумы'!M$2)/('минимумы и максимумы'!M$3-'минимумы и максимумы'!M$2)*100)</f>
        <v>0</v>
      </c>
      <c r="P265" s="1">
        <f>IF('исходные данные'!P265&gt;'минимумы и максимумы'!N$3,100,('исходные данные'!P265-'минимумы и максимумы'!N$2)/('минимумы и максимумы'!N$3-'минимумы и максимумы'!N$2)*100)</f>
        <v>100</v>
      </c>
      <c r="Q265" s="1">
        <f>IF('исходные данные'!Q265&gt;'минимумы и максимумы'!O$3,100,('исходные данные'!Q265-'минимумы и максимумы'!O$2)/('минимумы и максимумы'!O$3-'минимумы и максимумы'!O$2)*100)</f>
        <v>0</v>
      </c>
      <c r="R265" s="1">
        <f>IF('исходные данные'!R265&gt;'минимумы и максимумы'!P$3,100,('исходные данные'!R265-'минимумы и максимумы'!P$2)/('минимумы и максимумы'!P$3-'минимумы и максимумы'!P$2)*100)</f>
        <v>75</v>
      </c>
      <c r="S265" s="1">
        <f>IF('исходные данные'!S265&gt;'минимумы и максимумы'!Q$3,100,('исходные данные'!S265-'минимумы и максимумы'!Q$2)/('минимумы и максимумы'!Q$3-'минимумы и максимумы'!Q$2)*100)</f>
        <v>50</v>
      </c>
      <c r="T265" s="1">
        <f>IF('исходные данные'!T265&gt;'минимумы и максимумы'!R$3,100,('исходные данные'!T265-'минимумы и максимумы'!R$2)/('минимумы и максимумы'!R$3-'минимумы и максимумы'!R$2)*100)</f>
        <v>62.384513858337002</v>
      </c>
      <c r="U265" s="1">
        <f>IF('исходные данные'!U265&gt;'минимумы и максимумы'!S$3,100,('исходные данные'!U265-'минимумы и максимумы'!S$2)/('минимумы и максимумы'!S$3-'минимумы и максимумы'!S$2)*100)</f>
        <v>66.666666666666657</v>
      </c>
    </row>
    <row r="266" spans="1:21" x14ac:dyDescent="0.45">
      <c r="A266" s="4">
        <v>361</v>
      </c>
      <c r="B266" s="4">
        <v>0</v>
      </c>
      <c r="C266" s="4">
        <v>0</v>
      </c>
      <c r="D266" s="1">
        <f>IF('исходные данные'!D266&gt;'минимумы и максимумы'!B$3,100,('исходные данные'!D266-'минимумы и максимумы'!B$2)/('минимумы и максимумы'!B$3-'минимумы и максимумы'!B$2)*100)</f>
        <v>20</v>
      </c>
      <c r="E266" s="1">
        <f>IF('исходные данные'!E266&gt;'минимумы и максимумы'!C$3,100,('исходные данные'!E266-'минимумы и максимумы'!C$2)/('минимумы и максимумы'!C$3-'минимумы и максимумы'!C$2)*100)</f>
        <v>0</v>
      </c>
      <c r="F266" s="1">
        <f>IF('исходные данные'!F266&gt;'минимумы и максимумы'!D$3,100,('исходные данные'!F266-'минимумы и максимумы'!D$2)/('минимумы и максимумы'!D$3-'минимумы и максимумы'!D$2)*100)</f>
        <v>0</v>
      </c>
      <c r="G266" s="1">
        <f>IF('исходные данные'!G266&gt;'минимумы и максимумы'!E$3,100,('исходные данные'!G266-'минимумы и максимумы'!E$2)/('минимумы и максимумы'!E$3-'минимумы и максимумы'!E$2)*100)</f>
        <v>0</v>
      </c>
      <c r="H266" s="1">
        <f>IF('исходные данные'!H266&gt;'минимумы и максимумы'!F$3,100,('исходные данные'!H266-'минимумы и максимумы'!F$2)/('минимумы и максимумы'!F$3-'минимумы и максимумы'!F$2)*100)</f>
        <v>0</v>
      </c>
      <c r="I266" s="1">
        <f>IF('исходные данные'!I266&gt;'минимумы и максимумы'!G$3,100,('исходные данные'!I266-'минимумы и максимумы'!G$2)/('минимумы и максимумы'!G$3-'минимумы и максимумы'!G$2)*100)</f>
        <v>5.6603773584905666</v>
      </c>
      <c r="J266" s="1">
        <f>IF('исходные данные'!J266&gt;'минимумы и максимумы'!H$3,100,('исходные данные'!J266-'минимумы и максимумы'!H$2)/('минимумы и максимумы'!H$3-'минимумы и максимумы'!H$2)*100)</f>
        <v>0</v>
      </c>
      <c r="K266" s="1">
        <f>IF('исходные данные'!K266&gt;'минимумы и максимумы'!I$3,100,('исходные данные'!K266-'минимумы и максимумы'!I$2)/('минимумы и максимумы'!I$3-'минимумы и максимумы'!I$2)*100)</f>
        <v>0</v>
      </c>
      <c r="L266" s="1">
        <f>IF('исходные данные'!L266&gt;'минимумы и максимумы'!J$3,100,('исходные данные'!L266-'минимумы и максимумы'!J$2)/('минимумы и максимумы'!J$3-'минимумы и максимумы'!J$2)*100)</f>
        <v>0</v>
      </c>
      <c r="M266" s="1">
        <f>IF('исходные данные'!M266&gt;'минимумы и максимумы'!K$3,100,('исходные данные'!M266-'минимумы и максимумы'!K$2)/('минимумы и максимумы'!K$3-'минимумы и максимумы'!K$2)*100)</f>
        <v>0</v>
      </c>
      <c r="N266" s="1">
        <f>IF('исходные данные'!N266&gt;'минимумы и максимумы'!L$3,100,('исходные данные'!N266-'минимумы и максимумы'!L$2)/('минимумы и максимумы'!L$3-'минимумы и максимумы'!L$2)*100)</f>
        <v>41.788766609290391</v>
      </c>
      <c r="O266" s="1">
        <f>IF('исходные данные'!O266&gt;'минимумы и максимумы'!M$3,100,('исходные данные'!O266-'минимумы и максимумы'!M$2)/('минимумы и максимумы'!M$3-'минимумы и максимумы'!M$2)*100)</f>
        <v>33.333333333333329</v>
      </c>
      <c r="P266" s="1">
        <f>IF('исходные данные'!P266&gt;'минимумы и максимумы'!N$3,100,('исходные данные'!P266-'минимумы и максимумы'!N$2)/('минимумы и максимумы'!N$3-'минимумы и максимумы'!N$2)*100)</f>
        <v>100</v>
      </c>
      <c r="Q266" s="1">
        <f>IF('исходные данные'!Q266&gt;'минимумы и максимумы'!O$3,100,('исходные данные'!Q266-'минимумы и максимумы'!O$2)/('минимумы и максимумы'!O$3-'минимумы и максимумы'!O$2)*100)</f>
        <v>100</v>
      </c>
      <c r="R266" s="1">
        <f>IF('исходные данные'!R266&gt;'минимумы и максимумы'!P$3,100,('исходные данные'!R266-'минимумы и максимумы'!P$2)/('минимумы и максимумы'!P$3-'минимумы и максимумы'!P$2)*100)</f>
        <v>75</v>
      </c>
      <c r="S266" s="1">
        <f>IF('исходные данные'!S266&gt;'минимумы и максимумы'!Q$3,100,('исходные данные'!S266-'минимумы и максимумы'!Q$2)/('минимумы и максимумы'!Q$3-'минимумы и максимумы'!Q$2)*100)</f>
        <v>33.333333333333329</v>
      </c>
      <c r="T266" s="1">
        <f>IF('исходные данные'!T266&gt;'минимумы и максимумы'!R$3,100,('исходные данные'!T266-'минимумы и максимумы'!R$2)/('минимумы и максимумы'!R$3-'минимумы и максимумы'!R$2)*100)</f>
        <v>57.237131544214691</v>
      </c>
      <c r="U266" s="1">
        <f>IF('исходные данные'!U266&gt;'минимумы и максимумы'!S$3,100,('исходные данные'!U266-'минимумы и максимумы'!S$2)/('минимумы и максимумы'!S$3-'минимумы и максимумы'!S$2)*100)</f>
        <v>0</v>
      </c>
    </row>
    <row r="267" spans="1:21" x14ac:dyDescent="0.45">
      <c r="A267" s="4">
        <v>362</v>
      </c>
      <c r="B267" s="4">
        <v>0</v>
      </c>
      <c r="C267" s="4">
        <v>0</v>
      </c>
      <c r="D267" s="1">
        <f>IF('исходные данные'!D267&gt;'минимумы и максимумы'!B$3,100,('исходные данные'!D267-'минимумы и максимумы'!B$2)/('минимумы и максимумы'!B$3-'минимумы и максимумы'!B$2)*100)</f>
        <v>20</v>
      </c>
      <c r="E267" s="1">
        <f>IF('исходные данные'!E267&gt;'минимумы и максимумы'!C$3,100,('исходные данные'!E267-'минимумы и максимумы'!C$2)/('минимумы и максимумы'!C$3-'минимумы и максимумы'!C$2)*100)</f>
        <v>50</v>
      </c>
      <c r="F267" s="1">
        <f>IF('исходные данные'!F267&gt;'минимумы и максимумы'!D$3,100,('исходные данные'!F267-'минимумы и максимумы'!D$2)/('минимумы и максимумы'!D$3-'минимумы и максимумы'!D$2)*100)</f>
        <v>0</v>
      </c>
      <c r="G267" s="1">
        <f>IF('исходные данные'!G267&gt;'минимумы и максимумы'!E$3,100,('исходные данные'!G267-'минимумы и максимумы'!E$2)/('минимумы и максимумы'!E$3-'минимумы и максимумы'!E$2)*100)</f>
        <v>37.5</v>
      </c>
      <c r="H267" s="1">
        <f>IF('исходные данные'!H267&gt;'минимумы и максимумы'!F$3,100,('исходные данные'!H267-'минимумы и максимумы'!F$2)/('минимумы и максимумы'!F$3-'минимумы и максимумы'!F$2)*100)</f>
        <v>56.000000000000007</v>
      </c>
      <c r="I267" s="1">
        <f>IF('исходные данные'!I267&gt;'минимумы и максимумы'!G$3,100,('исходные данные'!I267-'минимумы и максимумы'!G$2)/('минимумы и максимумы'!G$3-'минимумы и максимумы'!G$2)*100)</f>
        <v>24.528301886792452</v>
      </c>
      <c r="J267" s="1">
        <f>IF('исходные данные'!J267&gt;'минимумы и максимумы'!H$3,100,('исходные данные'!J267-'минимумы и максимумы'!H$2)/('минимумы и максимумы'!H$3-'минимумы и максимумы'!H$2)*100)</f>
        <v>13.333333333333334</v>
      </c>
      <c r="K267" s="1">
        <f>IF('исходные данные'!K267&gt;'минимумы и максимумы'!I$3,100,('исходные данные'!K267-'минимумы и максимумы'!I$2)/('минимумы и максимумы'!I$3-'минимумы и максимумы'!I$2)*100)</f>
        <v>5.5555555555555554</v>
      </c>
      <c r="L267" s="1">
        <f>IF('исходные данные'!L267&gt;'минимумы и максимумы'!J$3,100,('исходные данные'!L267-'минимумы и максимумы'!J$2)/('минимумы и максимумы'!J$3-'минимумы и максимумы'!J$2)*100)</f>
        <v>20</v>
      </c>
      <c r="M267" s="1">
        <f>IF('исходные данные'!M267&gt;'минимумы и максимумы'!K$3,100,('исходные данные'!M267-'минимумы и максимумы'!K$2)/('минимумы и максимумы'!K$3-'минимумы и максимумы'!K$2)*100)</f>
        <v>61.29032258064516</v>
      </c>
      <c r="N267" s="1">
        <f>IF('исходные данные'!N267&gt;'минимумы и максимумы'!L$3,100,('исходные данные'!N267-'минимумы и максимумы'!L$2)/('минимумы и максимумы'!L$3-'минимумы и максимумы'!L$2)*100)</f>
        <v>28.848429288113238</v>
      </c>
      <c r="O267" s="1">
        <f>IF('исходные данные'!O267&gt;'минимумы и максимумы'!M$3,100,('исходные данные'!O267-'минимумы и максимумы'!M$2)/('минимумы и максимумы'!M$3-'минимумы и максимумы'!M$2)*100)</f>
        <v>66.666666666666657</v>
      </c>
      <c r="P267" s="1">
        <f>IF('исходные данные'!P267&gt;'минимумы и максимумы'!N$3,100,('исходные данные'!P267-'минимумы и максимумы'!N$2)/('минимумы и максимумы'!N$3-'минимумы и максимумы'!N$2)*100)</f>
        <v>0</v>
      </c>
      <c r="Q267" s="1">
        <f>IF('исходные данные'!Q267&gt;'минимумы и максимумы'!O$3,100,('исходные данные'!Q267-'минимумы и максимумы'!O$2)/('минимумы и максимумы'!O$3-'минимумы и максимумы'!O$2)*100)</f>
        <v>100</v>
      </c>
      <c r="R267" s="1">
        <f>IF('исходные данные'!R267&gt;'минимумы и максимумы'!P$3,100,('исходные данные'!R267-'минимумы и максимумы'!P$2)/('минимумы и максимумы'!P$3-'минимумы и максимумы'!P$2)*100)</f>
        <v>100</v>
      </c>
      <c r="S267" s="1">
        <f>IF('исходные данные'!S267&gt;'минимумы и максимумы'!Q$3,100,('исходные данные'!S267-'минимумы и максимумы'!Q$2)/('минимумы и максимумы'!Q$3-'минимумы и максимумы'!Q$2)*100)</f>
        <v>50</v>
      </c>
      <c r="T267" s="1">
        <f>IF('исходные данные'!T267&gt;'минимумы и максимумы'!R$3,100,('исходные данные'!T267-'минимумы и максимумы'!R$2)/('минимумы и максимумы'!R$3-'минимумы и максимумы'!R$2)*100)</f>
        <v>19.753629564452265</v>
      </c>
      <c r="U267" s="1">
        <f>IF('исходные данные'!U267&gt;'минимумы и максимумы'!S$3,100,('исходные данные'!U267-'минимумы и максимумы'!S$2)/('минимумы и максимумы'!S$3-'минимумы и максимумы'!S$2)*100)</f>
        <v>33.333333333333329</v>
      </c>
    </row>
    <row r="268" spans="1:21" x14ac:dyDescent="0.45">
      <c r="A268" s="4">
        <v>363</v>
      </c>
      <c r="B268" s="4">
        <v>0</v>
      </c>
      <c r="C268" s="4">
        <v>0</v>
      </c>
      <c r="D268" s="1">
        <f>IF('исходные данные'!D268&gt;'минимумы и максимумы'!B$3,100,('исходные данные'!D268-'минимумы и максимумы'!B$2)/('минимумы и максимумы'!B$3-'минимумы и максимумы'!B$2)*100)</f>
        <v>0</v>
      </c>
      <c r="E268" s="1">
        <f>IF('исходные данные'!E268&gt;'минимумы и максимумы'!C$3,100,('исходные данные'!E268-'минимумы и максимумы'!C$2)/('минимумы и максимумы'!C$3-'минимумы и максимумы'!C$2)*100)</f>
        <v>20</v>
      </c>
      <c r="F268" s="1">
        <f>IF('исходные данные'!F268&gt;'минимумы и максимумы'!D$3,100,('исходные данные'!F268-'минимумы и максимумы'!D$2)/('минимумы и максимумы'!D$3-'минимумы и максимумы'!D$2)*100)</f>
        <v>0</v>
      </c>
      <c r="G268" s="1">
        <f>IF('исходные данные'!G268&gt;'минимумы и максимумы'!E$3,100,('исходные данные'!G268-'минимумы и максимумы'!E$2)/('минимумы и максимумы'!E$3-'минимумы и максимумы'!E$2)*100)</f>
        <v>25</v>
      </c>
      <c r="H268" s="1">
        <f>IF('исходные данные'!H268&gt;'минимумы и максимумы'!F$3,100,('исходные данные'!H268-'минимумы и максимумы'!F$2)/('минимумы и максимумы'!F$3-'минимумы и максимумы'!F$2)*100)</f>
        <v>36</v>
      </c>
      <c r="I268" s="1">
        <f>IF('исходные данные'!I268&gt;'минимумы и максимумы'!G$3,100,('исходные данные'!I268-'минимумы и максимумы'!G$2)/('минимумы и максимумы'!G$3-'минимумы и максимумы'!G$2)*100)</f>
        <v>49.056603773584904</v>
      </c>
      <c r="J268" s="1">
        <f>IF('исходные данные'!J268&gt;'минимумы и максимумы'!H$3,100,('исходные данные'!J268-'минимумы и максимумы'!H$2)/('минимумы и максимумы'!H$3-'минимумы и максимумы'!H$2)*100)</f>
        <v>0</v>
      </c>
      <c r="K268" s="1">
        <f>IF('исходные данные'!K268&gt;'минимумы и максимумы'!I$3,100,('исходные данные'!K268-'минимумы и максимумы'!I$2)/('минимумы и максимумы'!I$3-'минимумы и максимумы'!I$2)*100)</f>
        <v>61.111111111111114</v>
      </c>
      <c r="L268" s="1">
        <f>IF('исходные данные'!L268&gt;'минимумы и максимумы'!J$3,100,('исходные данные'!L268-'минимумы и максимумы'!J$2)/('минимумы и максимумы'!J$3-'минимумы и максимумы'!J$2)*100)</f>
        <v>0</v>
      </c>
      <c r="M268" s="1">
        <f>IF('исходные данные'!M268&gt;'минимумы и максимумы'!K$3,100,('исходные данные'!M268-'минимумы и максимумы'!K$2)/('минимумы и максимумы'!K$3-'минимумы и максимумы'!K$2)*100)</f>
        <v>25.806451612903224</v>
      </c>
      <c r="N268" s="1">
        <f>IF('исходные данные'!N268&gt;'минимумы и максимумы'!L$3,100,('исходные данные'!N268-'минимумы и максимумы'!L$2)/('минимумы и максимумы'!L$3-'минимумы и максимумы'!L$2)*100)</f>
        <v>27.86347530654627</v>
      </c>
      <c r="O268" s="1">
        <f>IF('исходные данные'!O268&gt;'минимумы и максимумы'!M$3,100,('исходные данные'!O268-'минимумы и максимумы'!M$2)/('минимумы и максимумы'!M$3-'минимумы и максимумы'!M$2)*100)</f>
        <v>66.666666666666657</v>
      </c>
      <c r="P268" s="1">
        <f>IF('исходные данные'!P268&gt;'минимумы и максимумы'!N$3,100,('исходные данные'!P268-'минимумы и максимумы'!N$2)/('минимумы и максимумы'!N$3-'минимумы и максимумы'!N$2)*100)</f>
        <v>0</v>
      </c>
      <c r="Q268" s="1">
        <f>IF('исходные данные'!Q268&gt;'минимумы и максимумы'!O$3,100,('исходные данные'!Q268-'минимумы и максимумы'!O$2)/('минимумы и максимумы'!O$3-'минимумы и максимумы'!O$2)*100)</f>
        <v>100</v>
      </c>
      <c r="R268" s="1">
        <f>IF('исходные данные'!R268&gt;'минимумы и максимумы'!P$3,100,('исходные данные'!R268-'минимумы и максимумы'!P$2)/('минимумы и максимумы'!P$3-'минимумы и максимумы'!P$2)*100)</f>
        <v>25</v>
      </c>
      <c r="S268" s="1">
        <f>IF('исходные данные'!S268&gt;'минимумы и максимумы'!Q$3,100,('исходные данные'!S268-'минимумы и максимумы'!Q$2)/('минимумы и максимумы'!Q$3-'минимумы и максимумы'!Q$2)*100)</f>
        <v>33.333333333333329</v>
      </c>
      <c r="T268" s="1">
        <f>IF('исходные данные'!T268&gt;'минимумы и максимумы'!R$3,100,('исходные данные'!T268-'минимумы и максимумы'!R$2)/('минимумы и максимумы'!R$3-'минимумы и максимумы'!R$2)*100)</f>
        <v>8.2270127584689838</v>
      </c>
      <c r="U268" s="1">
        <f>IF('исходные данные'!U268&gt;'минимумы и максимумы'!S$3,100,('исходные данные'!U268-'минимумы и максимумы'!S$2)/('минимумы и максимумы'!S$3-'минимумы и максимумы'!S$2)*100)</f>
        <v>0</v>
      </c>
    </row>
    <row r="269" spans="1:21" x14ac:dyDescent="0.45">
      <c r="A269" s="4">
        <v>364</v>
      </c>
      <c r="B269" s="4">
        <v>0</v>
      </c>
      <c r="C269" s="4">
        <v>0</v>
      </c>
      <c r="D269" s="1">
        <f>IF('исходные данные'!D269&gt;'минимумы и максимумы'!B$3,100,('исходные данные'!D269-'минимумы и максимумы'!B$2)/('минимумы и максимумы'!B$3-'минимумы и максимумы'!B$2)*100)</f>
        <v>0</v>
      </c>
      <c r="E269" s="1">
        <f>IF('исходные данные'!E269&gt;'минимумы и максимумы'!C$3,100,('исходные данные'!E269-'минимумы и максимумы'!C$2)/('минимумы и максимумы'!C$3-'минимумы и максимумы'!C$2)*100)</f>
        <v>0</v>
      </c>
      <c r="F269" s="1">
        <f>IF('исходные данные'!F269&gt;'минимумы и максимумы'!D$3,100,('исходные данные'!F269-'минимумы и максимумы'!D$2)/('минимумы и максимумы'!D$3-'минимумы и максимумы'!D$2)*100)</f>
        <v>0</v>
      </c>
      <c r="G269" s="1">
        <f>IF('исходные данные'!G269&gt;'минимумы и максимумы'!E$3,100,('исходные данные'!G269-'минимумы и максимумы'!E$2)/('минимумы и максимумы'!E$3-'минимумы и максимумы'!E$2)*100)</f>
        <v>12.5</v>
      </c>
      <c r="H269" s="1">
        <f>IF('исходные данные'!H269&gt;'минимумы и максимумы'!F$3,100,('исходные данные'!H269-'минимумы и максимумы'!F$2)/('минимумы и максимумы'!F$3-'минимумы и максимумы'!F$2)*100)</f>
        <v>0</v>
      </c>
      <c r="I269" s="1">
        <f>IF('исходные данные'!I269&gt;'минимумы и максимумы'!G$3,100,('исходные данные'!I269-'минимумы и максимумы'!G$2)/('минимумы и максимумы'!G$3-'минимумы и максимумы'!G$2)*100)</f>
        <v>43.39622641509434</v>
      </c>
      <c r="J269" s="1">
        <f>IF('исходные данные'!J269&gt;'минимумы и максимумы'!H$3,100,('исходные данные'!J269-'минимумы и максимумы'!H$2)/('минимумы и максимумы'!H$3-'минимумы и максимумы'!H$2)*100)</f>
        <v>0</v>
      </c>
      <c r="K269" s="1">
        <f>IF('исходные данные'!K269&gt;'минимумы и максимумы'!I$3,100,('исходные данные'!K269-'минимумы и максимумы'!I$2)/('минимумы и максимумы'!I$3-'минимумы и максимумы'!I$2)*100)</f>
        <v>33.333333333333329</v>
      </c>
      <c r="L269" s="1">
        <f>IF('исходные данные'!L269&gt;'минимумы и максимумы'!J$3,100,('исходные данные'!L269-'минимумы и максимумы'!J$2)/('минимумы и максимумы'!J$3-'минимумы и максимумы'!J$2)*100)</f>
        <v>0</v>
      </c>
      <c r="M269" s="1">
        <f>IF('исходные данные'!M269&gt;'минимумы и максимумы'!K$3,100,('исходные данные'!M269-'минимумы и максимумы'!K$2)/('минимумы и максимумы'!K$3-'минимумы и максимумы'!K$2)*100)</f>
        <v>25.806451612903224</v>
      </c>
      <c r="N269" s="1">
        <f>IF('исходные данные'!N269&gt;'минимумы и максимумы'!L$3,100,('исходные данные'!N269-'минимумы и максимумы'!L$2)/('минимумы и максимумы'!L$3-'минимумы и максимумы'!L$2)*100)</f>
        <v>30.522067697602022</v>
      </c>
      <c r="O269" s="1">
        <f>IF('исходные данные'!O269&gt;'минимумы и максимумы'!M$3,100,('исходные данные'!O269-'минимумы и максимумы'!M$2)/('минимумы и максимумы'!M$3-'минимумы и максимумы'!M$2)*100)</f>
        <v>0</v>
      </c>
      <c r="P269" s="1">
        <f>IF('исходные данные'!P269&gt;'минимумы и максимумы'!N$3,100,('исходные данные'!P269-'минимумы и максимумы'!N$2)/('минимумы и максимумы'!N$3-'минимумы и максимумы'!N$2)*100)</f>
        <v>0</v>
      </c>
      <c r="Q269" s="1">
        <f>IF('исходные данные'!Q269&gt;'минимумы и максимумы'!O$3,100,('исходные данные'!Q269-'минимумы и максимумы'!O$2)/('минимумы и максимумы'!O$3-'минимумы и максимумы'!O$2)*100)</f>
        <v>0</v>
      </c>
      <c r="R269" s="1">
        <f>IF('исходные данные'!R269&gt;'минимумы и максимумы'!P$3,100,('исходные данные'!R269-'минимумы и максимумы'!P$2)/('минимумы и максимумы'!P$3-'минимумы и максимумы'!P$2)*100)</f>
        <v>25</v>
      </c>
      <c r="S269" s="1">
        <f>IF('исходные данные'!S269&gt;'минимумы и максимумы'!Q$3,100,('исходные данные'!S269-'минимумы и максимумы'!Q$2)/('минимумы и максимумы'!Q$3-'минимумы и максимумы'!Q$2)*100)</f>
        <v>16.666666666666664</v>
      </c>
      <c r="T269" s="1">
        <f>IF('исходные данные'!T269&gt;'минимумы и максимумы'!R$3,100,('исходные данные'!T269-'минимумы и максимумы'!R$2)/('минимумы и максимумы'!R$3-'минимумы и максимумы'!R$2)*100)</f>
        <v>52.529696436427628</v>
      </c>
      <c r="U269" s="1">
        <f>IF('исходные данные'!U269&gt;'минимумы и максимумы'!S$3,100,('исходные данные'!U269-'минимумы и максимумы'!S$2)/('минимумы и максимумы'!S$3-'минимумы и максимумы'!S$2)*100)</f>
        <v>0</v>
      </c>
    </row>
    <row r="270" spans="1:21" x14ac:dyDescent="0.45">
      <c r="A270" s="4">
        <v>365</v>
      </c>
      <c r="B270" s="4">
        <v>0</v>
      </c>
      <c r="C270" s="4">
        <v>0</v>
      </c>
      <c r="D270" s="1">
        <f>IF('исходные данные'!D270&gt;'минимумы и максимумы'!B$3,100,('исходные данные'!D270-'минимумы и максимумы'!B$2)/('минимумы и максимумы'!B$3-'минимумы и максимумы'!B$2)*100)</f>
        <v>20</v>
      </c>
      <c r="E270" s="1">
        <f>IF('исходные данные'!E270&gt;'минимумы и максимумы'!C$3,100,('исходные данные'!E270-'минимумы и максимумы'!C$2)/('минимумы и максимумы'!C$3-'минимумы и максимумы'!C$2)*100)</f>
        <v>20</v>
      </c>
      <c r="F270" s="1">
        <f>IF('исходные данные'!F270&gt;'минимумы и максимумы'!D$3,100,('исходные данные'!F270-'минимумы и максимумы'!D$2)/('минимумы и максимумы'!D$3-'минимумы и максимумы'!D$2)*100)</f>
        <v>33.333333333333329</v>
      </c>
      <c r="G270" s="1">
        <f>IF('исходные данные'!G270&gt;'минимумы и максимумы'!E$3,100,('исходные данные'!G270-'минимумы и максимумы'!E$2)/('минимумы и максимумы'!E$3-'минимумы и максимумы'!E$2)*100)</f>
        <v>16.666666666666664</v>
      </c>
      <c r="H270" s="1">
        <f>IF('исходные данные'!H270&gt;'минимумы и максимумы'!F$3,100,('исходные данные'!H270-'минимумы и максимумы'!F$2)/('минимумы и максимумы'!F$3-'минимумы и максимумы'!F$2)*100)</f>
        <v>20</v>
      </c>
      <c r="I270" s="1">
        <f>IF('исходные данные'!I270&gt;'минимумы и максимумы'!G$3,100,('исходные данные'!I270-'минимумы и максимумы'!G$2)/('минимумы и максимумы'!G$3-'минимумы и максимумы'!G$2)*100)</f>
        <v>9.433962264150944</v>
      </c>
      <c r="J270" s="1">
        <f>IF('исходные данные'!J270&gt;'минимумы и максимумы'!H$3,100,('исходные данные'!J270-'минимумы и максимумы'!H$2)/('минимумы и максимумы'!H$3-'минимумы и максимумы'!H$2)*100)</f>
        <v>0</v>
      </c>
      <c r="K270" s="1">
        <f>IF('исходные данные'!K270&gt;'минимумы и максимумы'!I$3,100,('исходные данные'!K270-'минимумы и максимумы'!I$2)/('минимумы и максимумы'!I$3-'минимумы и максимумы'!I$2)*100)</f>
        <v>5.5555555555555554</v>
      </c>
      <c r="L270" s="1">
        <f>IF('исходные данные'!L270&gt;'минимумы и максимумы'!J$3,100,('исходные данные'!L270-'минимумы и максимумы'!J$2)/('минимумы и максимумы'!J$3-'минимумы и максимумы'!J$2)*100)</f>
        <v>0</v>
      </c>
      <c r="M270" s="1">
        <f>IF('исходные данные'!M270&gt;'минимумы и максимумы'!K$3,100,('исходные данные'!M270-'минимумы и максимумы'!K$2)/('минимумы и максимумы'!K$3-'минимумы и максимумы'!K$2)*100)</f>
        <v>51.612903225806448</v>
      </c>
      <c r="N270" s="1">
        <f>IF('исходные данные'!N270&gt;'минимумы и максимумы'!L$3,100,('исходные данные'!N270-'минимумы и максимумы'!L$2)/('минимумы и максимумы'!L$3-'минимумы и максимумы'!L$2)*100)</f>
        <v>26.571629883539867</v>
      </c>
      <c r="O270" s="1">
        <f>IF('исходные данные'!O270&gt;'минимумы и максимумы'!M$3,100,('исходные данные'!O270-'минимумы и максимумы'!M$2)/('минимумы и максимумы'!M$3-'минимумы и максимумы'!M$2)*100)</f>
        <v>100</v>
      </c>
      <c r="P270" s="1">
        <f>IF('исходные данные'!P270&gt;'минимумы и максимумы'!N$3,100,('исходные данные'!P270-'минимумы и максимумы'!N$2)/('минимумы и максимумы'!N$3-'минимумы и максимумы'!N$2)*100)</f>
        <v>100</v>
      </c>
      <c r="Q270" s="1">
        <f>IF('исходные данные'!Q270&gt;'минимумы и максимумы'!O$3,100,('исходные данные'!Q270-'минимумы и максимумы'!O$2)/('минимумы и максимумы'!O$3-'минимумы и максимумы'!O$2)*100)</f>
        <v>100</v>
      </c>
      <c r="R270" s="1">
        <f>IF('исходные данные'!R270&gt;'минимумы и максимумы'!P$3,100,('исходные данные'!R270-'минимумы и максимумы'!P$2)/('минимумы и максимумы'!P$3-'минимумы и максимумы'!P$2)*100)</f>
        <v>75</v>
      </c>
      <c r="S270" s="1">
        <f>IF('исходные данные'!S270&gt;'минимумы и максимумы'!Q$3,100,('исходные данные'!S270-'минимумы и максимумы'!Q$2)/('минимумы и максимумы'!Q$3-'минимумы и максимумы'!Q$2)*100)</f>
        <v>66.666666666666657</v>
      </c>
      <c r="T270" s="1">
        <f>IF('исходные данные'!T270&gt;'минимумы и максимумы'!R$3,100,('исходные данные'!T270-'минимумы и максимумы'!R$2)/('минимумы и максимумы'!R$3-'минимумы и максимумы'!R$2)*100)</f>
        <v>100</v>
      </c>
      <c r="U270" s="1">
        <f>IF('исходные данные'!U270&gt;'минимумы и максимумы'!S$3,100,('исходные данные'!U270-'минимумы и максимумы'!S$2)/('минимумы и максимумы'!S$3-'минимумы и максимумы'!S$2)*100)</f>
        <v>0</v>
      </c>
    </row>
    <row r="271" spans="1:21" x14ac:dyDescent="0.45">
      <c r="A271" s="4">
        <v>366</v>
      </c>
      <c r="B271" s="4">
        <v>0</v>
      </c>
      <c r="C271" s="4">
        <v>0</v>
      </c>
      <c r="D271" s="1">
        <f>IF('исходные данные'!D271&gt;'минимумы и максимумы'!B$3,100,('исходные данные'!D271-'минимумы и максимумы'!B$2)/('минимумы и максимумы'!B$3-'минимумы и максимумы'!B$2)*100)</f>
        <v>20</v>
      </c>
      <c r="E271" s="1">
        <f>IF('исходные данные'!E271&gt;'минимумы и максимумы'!C$3,100,('исходные данные'!E271-'минимумы и максимумы'!C$2)/('минимумы и максимумы'!C$3-'минимумы и максимумы'!C$2)*100)</f>
        <v>20</v>
      </c>
      <c r="F271" s="1">
        <f>IF('исходные данные'!F271&gt;'минимумы и максимумы'!D$3,100,('исходные данные'!F271-'минимумы и максимумы'!D$2)/('минимумы и максимумы'!D$3-'минимумы и максимумы'!D$2)*100)</f>
        <v>33.333333333333329</v>
      </c>
      <c r="G271" s="1">
        <f>IF('исходные данные'!G271&gt;'минимумы и максимумы'!E$3,100,('исходные данные'!G271-'минимумы и максимумы'!E$2)/('минимумы и максимумы'!E$3-'минимумы и максимумы'!E$2)*100)</f>
        <v>16.666666666666664</v>
      </c>
      <c r="H271" s="1">
        <f>IF('исходные данные'!H271&gt;'минимумы и максимумы'!F$3,100,('исходные данные'!H271-'минимумы и максимумы'!F$2)/('минимумы и максимумы'!F$3-'минимумы и максимумы'!F$2)*100)</f>
        <v>20</v>
      </c>
      <c r="I271" s="1">
        <f>IF('исходные данные'!I271&gt;'минимумы и максимумы'!G$3,100,('исходные данные'!I271-'минимумы и максимумы'!G$2)/('минимумы и максимумы'!G$3-'минимумы и максимумы'!G$2)*100)</f>
        <v>9.433962264150944</v>
      </c>
      <c r="J271" s="1">
        <f>IF('исходные данные'!J271&gt;'минимумы и максимумы'!H$3,100,('исходные данные'!J271-'минимумы и максимумы'!H$2)/('минимумы и максимумы'!H$3-'минимумы и максимумы'!H$2)*100)</f>
        <v>0</v>
      </c>
      <c r="K271" s="1">
        <f>IF('исходные данные'!K271&gt;'минимумы и максимумы'!I$3,100,('исходные данные'!K271-'минимумы и максимумы'!I$2)/('минимумы и максимумы'!I$3-'минимумы и максимумы'!I$2)*100)</f>
        <v>5.5555555555555554</v>
      </c>
      <c r="L271" s="1">
        <f>IF('исходные данные'!L271&gt;'минимумы и максимумы'!J$3,100,('исходные данные'!L271-'минимумы и максимумы'!J$2)/('минимумы и максимумы'!J$3-'минимумы и максимумы'!J$2)*100)</f>
        <v>0</v>
      </c>
      <c r="M271" s="1">
        <f>IF('исходные данные'!M271&gt;'минимумы и максимумы'!K$3,100,('исходные данные'!M271-'минимумы и максимумы'!K$2)/('минимумы и максимумы'!K$3-'минимумы и максимумы'!K$2)*100)</f>
        <v>51.612903225806448</v>
      </c>
      <c r="N271" s="1">
        <f>IF('исходные данные'!N271&gt;'минимумы и максимумы'!L$3,100,('исходные данные'!N271-'минимумы и максимумы'!L$2)/('минимумы и максимумы'!L$3-'минимумы и максимумы'!L$2)*100)</f>
        <v>26.571629883539867</v>
      </c>
      <c r="O271" s="1">
        <f>IF('исходные данные'!O271&gt;'минимумы и максимумы'!M$3,100,('исходные данные'!O271-'минимумы и максимумы'!M$2)/('минимумы и максимумы'!M$3-'минимумы и максимумы'!M$2)*100)</f>
        <v>66.666666666666657</v>
      </c>
      <c r="P271" s="1">
        <f>IF('исходные данные'!P271&gt;'минимумы и максимумы'!N$3,100,('исходные данные'!P271-'минимумы и максимумы'!N$2)/('минимумы и максимумы'!N$3-'минимумы и максимумы'!N$2)*100)</f>
        <v>100</v>
      </c>
      <c r="Q271" s="1">
        <f>IF('исходные данные'!Q271&gt;'минимумы и максимумы'!O$3,100,('исходные данные'!Q271-'минимумы и максимумы'!O$2)/('минимумы и максимумы'!O$3-'минимумы и максимумы'!O$2)*100)</f>
        <v>100</v>
      </c>
      <c r="R271" s="1">
        <f>IF('исходные данные'!R271&gt;'минимумы и максимумы'!P$3,100,('исходные данные'!R271-'минимумы и максимумы'!P$2)/('минимумы и максимумы'!P$3-'минимумы и максимумы'!P$2)*100)</f>
        <v>75</v>
      </c>
      <c r="S271" s="1">
        <f>IF('исходные данные'!S271&gt;'минимумы и максимумы'!Q$3,100,('исходные данные'!S271-'минимумы и максимумы'!Q$2)/('минимумы и максимумы'!Q$3-'минимумы и максимумы'!Q$2)*100)</f>
        <v>50</v>
      </c>
      <c r="T271" s="1">
        <f>IF('исходные данные'!T271&gt;'минимумы и максимумы'!R$3,100,('исходные данные'!T271-'минимумы и максимумы'!R$2)/('минимумы и максимумы'!R$3-'минимумы и максимумы'!R$2)*100)</f>
        <v>71.755389353277607</v>
      </c>
      <c r="U271" s="1">
        <f>IF('исходные данные'!U271&gt;'минимумы и максимумы'!S$3,100,('исходные данные'!U271-'минимумы и максимумы'!S$2)/('минимумы и максимумы'!S$3-'минимумы и максимумы'!S$2)*100)</f>
        <v>0</v>
      </c>
    </row>
    <row r="272" spans="1:21" x14ac:dyDescent="0.45">
      <c r="A272" s="4">
        <v>367</v>
      </c>
      <c r="B272" s="4">
        <v>0</v>
      </c>
      <c r="C272" s="4">
        <v>0</v>
      </c>
      <c r="D272" s="1">
        <f>IF('исходные данные'!D272&gt;'минимумы и максимумы'!B$3,100,('исходные данные'!D272-'минимумы и максимумы'!B$2)/('минимумы и максимумы'!B$3-'минимумы и максимумы'!B$2)*100)</f>
        <v>20</v>
      </c>
      <c r="E272" s="1">
        <f>IF('исходные данные'!E272&gt;'минимумы и максимумы'!C$3,100,('исходные данные'!E272-'минимумы и максимумы'!C$2)/('минимумы и максимумы'!C$3-'минимумы и максимумы'!C$2)*100)</f>
        <v>30</v>
      </c>
      <c r="F272" s="1">
        <f>IF('исходные данные'!F272&gt;'минимумы и максимумы'!D$3,100,('исходные данные'!F272-'минимумы и максимумы'!D$2)/('минимумы и максимумы'!D$3-'минимумы и максимумы'!D$2)*100)</f>
        <v>33.333333333333329</v>
      </c>
      <c r="G272" s="1">
        <f>IF('исходные данные'!G272&gt;'минимумы и максимумы'!E$3,100,('исходные данные'!G272-'минимумы и максимумы'!E$2)/('минимумы и максимумы'!E$3-'минимумы и максимумы'!E$2)*100)</f>
        <v>20.833333333333336</v>
      </c>
      <c r="H272" s="1">
        <f>IF('исходные данные'!H272&gt;'минимумы и максимумы'!F$3,100,('исходные данные'!H272-'минимумы и максимумы'!F$2)/('минимумы и максимумы'!F$3-'минимумы и максимумы'!F$2)*100)</f>
        <v>24</v>
      </c>
      <c r="I272" s="1">
        <f>IF('исходные данные'!I272&gt;'минимумы и максимумы'!G$3,100,('исходные данные'!I272-'минимумы и максимумы'!G$2)/('минимумы и максимумы'!G$3-'минимумы и максимумы'!G$2)*100)</f>
        <v>9.433962264150944</v>
      </c>
      <c r="J272" s="1">
        <f>IF('исходные данные'!J272&gt;'минимумы и максимумы'!H$3,100,('исходные данные'!J272-'минимумы и максимумы'!H$2)/('минимумы и максимумы'!H$3-'минимумы и максимумы'!H$2)*100)</f>
        <v>0</v>
      </c>
      <c r="K272" s="1">
        <f>IF('исходные данные'!K272&gt;'минимумы и максимумы'!I$3,100,('исходные данные'!K272-'минимумы и максимумы'!I$2)/('минимумы и максимумы'!I$3-'минимумы и максимумы'!I$2)*100)</f>
        <v>11.111111111111111</v>
      </c>
      <c r="L272" s="1">
        <f>IF('исходные данные'!L272&gt;'минимумы и максимумы'!J$3,100,('исходные данные'!L272-'минимумы и максимумы'!J$2)/('минимумы и максимумы'!J$3-'минимумы и максимумы'!J$2)*100)</f>
        <v>0</v>
      </c>
      <c r="M272" s="1">
        <f>IF('исходные данные'!M272&gt;'минимумы и максимумы'!K$3,100,('исходные данные'!M272-'минимумы и максимумы'!K$2)/('минимумы и максимумы'!K$3-'минимумы и максимумы'!K$2)*100)</f>
        <v>58.064516129032263</v>
      </c>
      <c r="N272" s="1">
        <f>IF('исходные данные'!N272&gt;'минимумы и максимумы'!L$3,100,('исходные данные'!N272-'минимумы и максимумы'!L$2)/('минимумы и максимумы'!L$3-'минимумы и максимумы'!L$2)*100)</f>
        <v>26.571629883539867</v>
      </c>
      <c r="O272" s="1">
        <f>IF('исходные данные'!O272&gt;'минимумы и максимумы'!M$3,100,('исходные данные'!O272-'минимумы и максимумы'!M$2)/('минимумы и максимумы'!M$3-'минимумы и максимумы'!M$2)*100)</f>
        <v>66.666666666666657</v>
      </c>
      <c r="P272" s="1">
        <f>IF('исходные данные'!P272&gt;'минимумы и максимумы'!N$3,100,('исходные данные'!P272-'минимумы и максимумы'!N$2)/('минимумы и максимумы'!N$3-'минимумы и максимумы'!N$2)*100)</f>
        <v>100</v>
      </c>
      <c r="Q272" s="1">
        <f>IF('исходные данные'!Q272&gt;'минимумы и максимумы'!O$3,100,('исходные данные'!Q272-'минимумы и максимумы'!O$2)/('минимумы и максимумы'!O$3-'минимумы и максимумы'!O$2)*100)</f>
        <v>100</v>
      </c>
      <c r="R272" s="1">
        <f>IF('исходные данные'!R272&gt;'минимумы и максимумы'!P$3,100,('исходные данные'!R272-'минимумы и максимумы'!P$2)/('минимумы и максимумы'!P$3-'минимумы и максимумы'!P$2)*100)</f>
        <v>75</v>
      </c>
      <c r="S272" s="1">
        <f>IF('исходные данные'!S272&gt;'минимумы и максимумы'!Q$3,100,('исходные данные'!S272-'минимумы и максимумы'!Q$2)/('минимумы и максимумы'!Q$3-'минимумы и максимумы'!Q$2)*100)</f>
        <v>50</v>
      </c>
      <c r="T272" s="1">
        <f>IF('исходные данные'!T272&gt;'минимумы и максимумы'!R$3,100,('исходные данные'!T272-'минимумы и максимумы'!R$2)/('минимумы и максимумы'!R$3-'минимумы и максимумы'!R$2)*100)</f>
        <v>69.335679718433781</v>
      </c>
      <c r="U272" s="1">
        <f>IF('исходные данные'!U272&gt;'минимумы и максимумы'!S$3,100,('исходные данные'!U272-'минимумы и максимумы'!S$2)/('минимумы и максимумы'!S$3-'минимумы и максимумы'!S$2)*100)</f>
        <v>0</v>
      </c>
    </row>
    <row r="273" spans="1:21" x14ac:dyDescent="0.45">
      <c r="A273" s="4">
        <v>369</v>
      </c>
      <c r="B273" s="4">
        <v>0</v>
      </c>
      <c r="C273" s="4">
        <v>0</v>
      </c>
      <c r="D273" s="1">
        <f>IF('исходные данные'!D273&gt;'минимумы и максимумы'!B$3,100,('исходные данные'!D273-'минимумы и максимумы'!B$2)/('минимумы и максимумы'!B$3-'минимумы и максимумы'!B$2)*100)</f>
        <v>40</v>
      </c>
      <c r="E273" s="1">
        <f>IF('исходные данные'!E273&gt;'минимумы и максимумы'!C$3,100,('исходные данные'!E273-'минимумы и максимумы'!C$2)/('минимумы и максимумы'!C$3-'минимумы и максимумы'!C$2)*100)</f>
        <v>30</v>
      </c>
      <c r="F273" s="1">
        <f>IF('исходные данные'!F273&gt;'минимумы и максимумы'!D$3,100,('исходные данные'!F273-'минимумы и максимумы'!D$2)/('минимумы и максимумы'!D$3-'минимумы и максимумы'!D$2)*100)</f>
        <v>33.333333333333329</v>
      </c>
      <c r="G273" s="1">
        <f>IF('исходные данные'!G273&gt;'минимумы и максимумы'!E$3,100,('исходные данные'!G273-'минимумы и максимумы'!E$2)/('минимумы и максимумы'!E$3-'минимумы и максимумы'!E$2)*100)</f>
        <v>33.333333333333329</v>
      </c>
      <c r="H273" s="1">
        <f>IF('исходные данные'!H273&gt;'минимумы и максимумы'!F$3,100,('исходные данные'!H273-'минимумы и максимумы'!F$2)/('минимумы и максимумы'!F$3-'минимумы и максимумы'!F$2)*100)</f>
        <v>36</v>
      </c>
      <c r="I273" s="1">
        <f>IF('исходные данные'!I273&gt;'минимумы и максимумы'!G$3,100,('исходные данные'!I273-'минимумы и максимумы'!G$2)/('минимумы и максимумы'!G$3-'минимумы и максимумы'!G$2)*100)</f>
        <v>15.09433962264151</v>
      </c>
      <c r="J273" s="1">
        <f>IF('исходные данные'!J273&gt;'минимумы и максимумы'!H$3,100,('исходные данные'!J273-'минимумы и максимумы'!H$2)/('минимумы и максимумы'!H$3-'минимумы и максимумы'!H$2)*100)</f>
        <v>0</v>
      </c>
      <c r="K273" s="1">
        <f>IF('исходные данные'!K273&gt;'минимумы и максимумы'!I$3,100,('исходные данные'!K273-'минимумы и максимумы'!I$2)/('минимумы и максимумы'!I$3-'минимумы и максимумы'!I$2)*100)</f>
        <v>38.888888888888893</v>
      </c>
      <c r="L273" s="1">
        <f>IF('исходные данные'!L273&gt;'минимумы и максимумы'!J$3,100,('исходные данные'!L273-'минимумы и максимумы'!J$2)/('минимумы и максимумы'!J$3-'минимумы и максимумы'!J$2)*100)</f>
        <v>100</v>
      </c>
      <c r="M273" s="1">
        <f>IF('исходные данные'!M273&gt;'минимумы и максимумы'!K$3,100,('исходные данные'!M273-'минимумы и максимумы'!K$2)/('минимумы и максимумы'!K$3-'минимумы и максимумы'!K$2)*100)</f>
        <v>41.935483870967744</v>
      </c>
      <c r="N273" s="1">
        <f>IF('исходные данные'!N273&gt;'минимумы и максимумы'!L$3,100,('исходные данные'!N273-'минимумы и максимумы'!L$2)/('минимумы и максимумы'!L$3-'минимумы и максимумы'!L$2)*100)</f>
        <v>28.449994261661445</v>
      </c>
      <c r="O273" s="1">
        <f>IF('исходные данные'!O273&gt;'минимумы и максимумы'!M$3,100,('исходные данные'!O273-'минимумы и максимумы'!M$2)/('минимумы и максимумы'!M$3-'минимумы и максимумы'!M$2)*100)</f>
        <v>100</v>
      </c>
      <c r="P273" s="1">
        <f>IF('исходные данные'!P273&gt;'минимумы и максимумы'!N$3,100,('исходные данные'!P273-'минимумы и максимумы'!N$2)/('минимумы и максимумы'!N$3-'минимумы и максимумы'!N$2)*100)</f>
        <v>0</v>
      </c>
      <c r="Q273" s="1">
        <f>IF('исходные данные'!Q273&gt;'минимумы и максимумы'!O$3,100,('исходные данные'!Q273-'минимумы и максимумы'!O$2)/('минимумы и максимумы'!O$3-'минимумы и максимумы'!O$2)*100)</f>
        <v>100</v>
      </c>
      <c r="R273" s="1">
        <f>IF('исходные данные'!R273&gt;'минимумы и максимумы'!P$3,100,('исходные данные'!R273-'минимумы и максимумы'!P$2)/('минимумы и максимумы'!P$3-'минимумы и максимумы'!P$2)*100)</f>
        <v>50</v>
      </c>
      <c r="S273" s="1">
        <f>IF('исходные данные'!S273&gt;'минимумы и максимумы'!Q$3,100,('исходные данные'!S273-'минимумы и максимумы'!Q$2)/('минимумы и максимумы'!Q$3-'минимумы и максимумы'!Q$2)*100)</f>
        <v>33.333333333333329</v>
      </c>
      <c r="T273" s="1">
        <f>IF('исходные данные'!T273&gt;'минимумы и максимумы'!R$3,100,('исходные данные'!T273-'минимумы и максимумы'!R$2)/('минимумы и максимумы'!R$3-'минимумы и максимумы'!R$2)*100)</f>
        <v>21.11746590409151</v>
      </c>
      <c r="U273" s="1">
        <f>IF('исходные данные'!U273&gt;'минимумы и максимумы'!S$3,100,('исходные данные'!U273-'минимумы и максимумы'!S$2)/('минимумы и максимумы'!S$3-'минимумы и максимумы'!S$2)*100)</f>
        <v>0</v>
      </c>
    </row>
    <row r="274" spans="1:21" x14ac:dyDescent="0.45">
      <c r="A274" s="4">
        <v>370</v>
      </c>
      <c r="B274" s="4">
        <v>1</v>
      </c>
      <c r="C274" s="4">
        <v>0</v>
      </c>
      <c r="D274" s="1">
        <f>IF('исходные данные'!D274&gt;'минимумы и максимумы'!B$3,100,('исходные данные'!D274-'минимумы и максимумы'!B$2)/('минимумы и максимумы'!B$3-'минимумы и максимумы'!B$2)*100)</f>
        <v>0</v>
      </c>
      <c r="E274" s="1">
        <f>IF('исходные данные'!E274&gt;'минимумы и максимумы'!C$3,100,('исходные данные'!E274-'минимумы и максимумы'!C$2)/('минимумы и максимумы'!C$3-'минимумы и максимумы'!C$2)*100)</f>
        <v>0</v>
      </c>
      <c r="F274" s="1">
        <f>IF('исходные данные'!F274&gt;'минимумы и максимумы'!D$3,100,('исходные данные'!F274-'минимумы и максимумы'!D$2)/('минимумы и максимумы'!D$3-'минимумы и максимумы'!D$2)*100)</f>
        <v>0</v>
      </c>
      <c r="G274" s="1">
        <f>IF('исходные данные'!G274&gt;'минимумы и максимумы'!E$3,100,('исходные данные'!G274-'минимумы и максимумы'!E$2)/('минимумы и максимумы'!E$3-'минимумы и максимумы'!E$2)*100)</f>
        <v>0</v>
      </c>
      <c r="H274" s="1">
        <f>IF('исходные данные'!H274&gt;'минимумы и максимумы'!F$3,100,('исходные данные'!H274-'минимумы и максимумы'!F$2)/('минимумы и максимумы'!F$3-'минимумы и максимумы'!F$2)*100)</f>
        <v>0</v>
      </c>
      <c r="I274" s="1">
        <f>IF('исходные данные'!I274&gt;'минимумы и максимумы'!G$3,100,('исходные данные'!I274-'минимумы и максимумы'!G$2)/('минимумы и максимумы'!G$3-'минимумы и максимумы'!G$2)*100)</f>
        <v>3.7735849056603774</v>
      </c>
      <c r="J274" s="1">
        <f>IF('исходные данные'!J274&gt;'минимумы и максимумы'!H$3,100,('исходные данные'!J274-'минимумы и максимумы'!H$2)/('минимумы и максимумы'!H$3-'минимумы и максимумы'!H$2)*100)</f>
        <v>0</v>
      </c>
      <c r="K274" s="1">
        <f>IF('исходные данные'!K274&gt;'минимумы и максимумы'!I$3,100,('исходные данные'!K274-'минимумы и максимумы'!I$2)/('минимумы и максимумы'!I$3-'минимумы и максимумы'!I$2)*100)</f>
        <v>11.111111111111111</v>
      </c>
      <c r="L274" s="1">
        <f>IF('исходные данные'!L274&gt;'минимумы и максимумы'!J$3,100,('исходные данные'!L274-'минимумы и максимумы'!J$2)/('минимумы и максимумы'!J$3-'минимумы и максимумы'!J$2)*100)</f>
        <v>0</v>
      </c>
      <c r="M274" s="1">
        <f>IF('исходные данные'!M274&gt;'минимумы и максимумы'!K$3,100,('исходные данные'!M274-'минимумы и максимумы'!K$2)/('минимумы и максимумы'!K$3-'минимумы и максимумы'!K$2)*100)</f>
        <v>9.67741935483871</v>
      </c>
      <c r="N274" s="1">
        <f>IF('исходные данные'!N274&gt;'минимумы и максимумы'!L$3,100,('исходные данные'!N274-'минимумы и максимумы'!L$2)/('минимумы и максимумы'!L$3-'минимумы и максимумы'!L$2)*100)</f>
        <v>61.646141991194447</v>
      </c>
      <c r="O274" s="1">
        <f>IF('исходные данные'!O274&gt;'минимумы и максимумы'!M$3,100,('исходные данные'!O274-'минимумы и максимумы'!M$2)/('минимумы и максимумы'!M$3-'минимумы и максимумы'!M$2)*100)</f>
        <v>0</v>
      </c>
      <c r="P274" s="1">
        <f>IF('исходные данные'!P274&gt;'минимумы и максимумы'!N$3,100,('исходные данные'!P274-'минимумы и максимумы'!N$2)/('минимумы и максимумы'!N$3-'минимумы и максимумы'!N$2)*100)</f>
        <v>100</v>
      </c>
      <c r="Q274" s="1">
        <f>IF('исходные данные'!Q274&gt;'минимумы и максимумы'!O$3,100,('исходные данные'!Q274-'минимумы и максимумы'!O$2)/('минимумы и максимумы'!O$3-'минимумы и максимумы'!O$2)*100)</f>
        <v>0</v>
      </c>
      <c r="R274" s="1">
        <f>IF('исходные данные'!R274&gt;'минимумы и максимумы'!P$3,100,('исходные данные'!R274-'минимумы и максимумы'!P$2)/('минимумы и максимумы'!P$3-'минимумы и максимумы'!P$2)*100)</f>
        <v>25</v>
      </c>
      <c r="S274" s="1">
        <f>IF('исходные данные'!S274&gt;'минимумы и максимумы'!Q$3,100,('исходные данные'!S274-'минимумы и максимумы'!Q$2)/('минимумы и максимумы'!Q$3-'минимумы и максимумы'!Q$2)*100)</f>
        <v>33.333333333333329</v>
      </c>
      <c r="T274" s="1">
        <f>IF('исходные данные'!T274&gt;'минимумы и максимумы'!R$3,100,('исходные данные'!T274-'минимумы и максимумы'!R$2)/('минимумы и максимумы'!R$3-'минимумы и максимумы'!R$2)*100)</f>
        <v>19.181698196216455</v>
      </c>
      <c r="U274" s="1">
        <f>IF('исходные данные'!U274&gt;'минимумы и максимумы'!S$3,100,('исходные данные'!U274-'минимумы и максимумы'!S$2)/('минимумы и максимумы'!S$3-'минимумы и максимумы'!S$2)*100)</f>
        <v>66.666666666666657</v>
      </c>
    </row>
    <row r="275" spans="1:21" x14ac:dyDescent="0.45">
      <c r="A275" s="4">
        <v>371</v>
      </c>
      <c r="B275" s="4">
        <v>0</v>
      </c>
      <c r="C275" s="4">
        <v>0</v>
      </c>
      <c r="D275" s="1">
        <f>IF('исходные данные'!D275&gt;'минимумы и максимумы'!B$3,100,('исходные данные'!D275-'минимумы и максимумы'!B$2)/('минимумы и максимумы'!B$3-'минимумы и максимумы'!B$2)*100)</f>
        <v>0</v>
      </c>
      <c r="E275" s="1">
        <f>IF('исходные данные'!E275&gt;'минимумы и максимумы'!C$3,100,('исходные данные'!E275-'минимумы и максимумы'!C$2)/('минимумы и максимумы'!C$3-'минимумы и максимумы'!C$2)*100)</f>
        <v>0</v>
      </c>
      <c r="F275" s="1">
        <f>IF('исходные данные'!F275&gt;'минимумы и максимумы'!D$3,100,('исходные данные'!F275-'минимумы и максимумы'!D$2)/('минимумы и максимумы'!D$3-'минимумы и максимумы'!D$2)*100)</f>
        <v>0</v>
      </c>
      <c r="G275" s="1">
        <f>IF('исходные данные'!G275&gt;'минимумы и максимумы'!E$3,100,('исходные данные'!G275-'минимумы и максимумы'!E$2)/('минимумы и максимумы'!E$3-'минимумы и максимумы'!E$2)*100)</f>
        <v>0</v>
      </c>
      <c r="H275" s="1">
        <f>IF('исходные данные'!H275&gt;'минимумы и максимумы'!F$3,100,('исходные данные'!H275-'минимумы и максимумы'!F$2)/('минимумы и максимумы'!F$3-'минимумы и максимумы'!F$2)*100)</f>
        <v>0</v>
      </c>
      <c r="I275" s="1">
        <f>IF('исходные данные'!I275&gt;'минимумы и максимумы'!G$3,100,('исходные данные'!I275-'минимумы и максимумы'!G$2)/('минимумы и максимумы'!G$3-'минимумы и максимумы'!G$2)*100)</f>
        <v>3.7735849056603774</v>
      </c>
      <c r="J275" s="1">
        <f>IF('исходные данные'!J275&gt;'минимумы и максимумы'!H$3,100,('исходные данные'!J275-'минимумы и максимумы'!H$2)/('минимумы и максимумы'!H$3-'минимумы и максимумы'!H$2)*100)</f>
        <v>0</v>
      </c>
      <c r="K275" s="1">
        <f>IF('исходные данные'!K275&gt;'минимумы и максимумы'!I$3,100,('исходные данные'!K275-'минимумы и максимумы'!I$2)/('минимумы и максимумы'!I$3-'минимумы и максимумы'!I$2)*100)</f>
        <v>11.111111111111111</v>
      </c>
      <c r="L275" s="1">
        <f>IF('исходные данные'!L275&gt;'минимумы и максимумы'!J$3,100,('исходные данные'!L275-'минимумы и максимумы'!J$2)/('минимумы и максимумы'!J$3-'минимумы и максимумы'!J$2)*100)</f>
        <v>0</v>
      </c>
      <c r="M275" s="1">
        <f>IF('исходные данные'!M275&gt;'минимумы и максимумы'!K$3,100,('исходные данные'!M275-'минимумы и максимумы'!K$2)/('минимумы и максимумы'!K$3-'минимумы и максимумы'!K$2)*100)</f>
        <v>9.67741935483871</v>
      </c>
      <c r="N275" s="1">
        <f>IF('исходные данные'!N275&gt;'минимумы и максимумы'!L$3,100,('исходные данные'!N275-'минимумы и максимумы'!L$2)/('минимумы и максимумы'!L$3-'минимумы и максимумы'!L$2)*100)</f>
        <v>61.646141991194447</v>
      </c>
      <c r="O275" s="1">
        <f>IF('исходные данные'!O275&gt;'минимумы и максимумы'!M$3,100,('исходные данные'!O275-'минимумы и максимумы'!M$2)/('минимумы и максимумы'!M$3-'минимумы и максимумы'!M$2)*100)</f>
        <v>66.666666666666657</v>
      </c>
      <c r="P275" s="1">
        <f>IF('исходные данные'!P275&gt;'минимумы и максимумы'!N$3,100,('исходные данные'!P275-'минимумы и максимумы'!N$2)/('минимумы и максимумы'!N$3-'минимумы и максимумы'!N$2)*100)</f>
        <v>100</v>
      </c>
      <c r="Q275" s="1">
        <f>IF('исходные данные'!Q275&gt;'минимумы и максимумы'!O$3,100,('исходные данные'!Q275-'минимумы и максимумы'!O$2)/('минимумы и максимумы'!O$3-'минимумы и максимумы'!O$2)*100)</f>
        <v>0</v>
      </c>
      <c r="R275" s="1">
        <f>IF('исходные данные'!R275&gt;'минимумы и максимумы'!P$3,100,('исходные данные'!R275-'минимумы и максимумы'!P$2)/('минимумы и максимумы'!P$3-'минимумы и максимумы'!P$2)*100)</f>
        <v>25</v>
      </c>
      <c r="S275" s="1">
        <f>IF('исходные данные'!S275&gt;'минимумы и максимумы'!Q$3,100,('исходные данные'!S275-'минимумы и максимумы'!Q$2)/('минимумы и максимумы'!Q$3-'минимумы и максимумы'!Q$2)*100)</f>
        <v>33.333333333333329</v>
      </c>
      <c r="T275" s="1">
        <f>IF('исходные данные'!T275&gt;'минимумы и максимумы'!R$3,100,('исходные данные'!T275-'минимумы и максимумы'!R$2)/('минимумы и максимумы'!R$3-'минимумы и максимумы'!R$2)*100)</f>
        <v>3.7395512538495379</v>
      </c>
      <c r="U275" s="1">
        <f>IF('исходные данные'!U275&gt;'минимумы и максимумы'!S$3,100,('исходные данные'!U275-'минимумы и максимумы'!S$2)/('минимумы и максимумы'!S$3-'минимумы и максимумы'!S$2)*100)</f>
        <v>0</v>
      </c>
    </row>
    <row r="276" spans="1:21" x14ac:dyDescent="0.45">
      <c r="A276" s="4">
        <v>372</v>
      </c>
      <c r="B276" s="4">
        <v>0</v>
      </c>
      <c r="C276" s="4">
        <v>0</v>
      </c>
      <c r="D276" s="1">
        <f>IF('исходные данные'!D276&gt;'минимумы и максимумы'!B$3,100,('исходные данные'!D276-'минимумы и максимумы'!B$2)/('минимумы и максимумы'!B$3-'минимумы и максимумы'!B$2)*100)</f>
        <v>0</v>
      </c>
      <c r="E276" s="1">
        <f>IF('исходные данные'!E276&gt;'минимумы и максимумы'!C$3,100,('исходные данные'!E276-'минимумы и максимумы'!C$2)/('минимумы и максимумы'!C$3-'минимумы и максимумы'!C$2)*100)</f>
        <v>0</v>
      </c>
      <c r="F276" s="1">
        <f>IF('исходные данные'!F276&gt;'минимумы и максимумы'!D$3,100,('исходные данные'!F276-'минимумы и максимумы'!D$2)/('минимумы и максимумы'!D$3-'минимумы и максимумы'!D$2)*100)</f>
        <v>0</v>
      </c>
      <c r="G276" s="1">
        <f>IF('исходные данные'!G276&gt;'минимумы и максимумы'!E$3,100,('исходные данные'!G276-'минимумы и максимумы'!E$2)/('минимумы и максимумы'!E$3-'минимумы и максимумы'!E$2)*100)</f>
        <v>0</v>
      </c>
      <c r="H276" s="1">
        <f>IF('исходные данные'!H276&gt;'минимумы и максимумы'!F$3,100,('исходные данные'!H276-'минимумы и максимумы'!F$2)/('минимумы и максимумы'!F$3-'минимумы и максимумы'!F$2)*100)</f>
        <v>0</v>
      </c>
      <c r="I276" s="1">
        <f>IF('исходные данные'!I276&gt;'минимумы и максимумы'!G$3,100,('исходные данные'!I276-'минимумы и максимумы'!G$2)/('минимумы и максимумы'!G$3-'минимумы и максимумы'!G$2)*100)</f>
        <v>3.7735849056603774</v>
      </c>
      <c r="J276" s="1">
        <f>IF('исходные данные'!J276&gt;'минимумы и максимумы'!H$3,100,('исходные данные'!J276-'минимумы и максимумы'!H$2)/('минимумы и максимумы'!H$3-'минимумы и максимумы'!H$2)*100)</f>
        <v>0</v>
      </c>
      <c r="K276" s="1">
        <f>IF('исходные данные'!K276&gt;'минимумы и максимумы'!I$3,100,('исходные данные'!K276-'минимумы и максимумы'!I$2)/('минимумы и максимумы'!I$3-'минимумы и максимумы'!I$2)*100)</f>
        <v>11.111111111111111</v>
      </c>
      <c r="L276" s="1">
        <f>IF('исходные данные'!L276&gt;'минимумы и максимумы'!J$3,100,('исходные данные'!L276-'минимумы и максимумы'!J$2)/('минимумы и максимумы'!J$3-'минимумы и максимумы'!J$2)*100)</f>
        <v>0</v>
      </c>
      <c r="M276" s="1">
        <f>IF('исходные данные'!M276&gt;'минимумы и максимумы'!K$3,100,('исходные данные'!M276-'минимумы и максимумы'!K$2)/('минимумы и максимумы'!K$3-'минимумы и максимумы'!K$2)*100)</f>
        <v>9.67741935483871</v>
      </c>
      <c r="N276" s="1">
        <f>IF('исходные данные'!N276&gt;'минимумы и максимумы'!L$3,100,('исходные данные'!N276-'минимумы и максимумы'!L$2)/('минимумы и максимумы'!L$3-'минимумы и максимумы'!L$2)*100)</f>
        <v>62.390027612487145</v>
      </c>
      <c r="O276" s="1">
        <f>IF('исходные данные'!O276&gt;'минимумы и максимумы'!M$3,100,('исходные данные'!O276-'минимумы и максимумы'!M$2)/('минимумы и максимумы'!M$3-'минимумы и максимумы'!M$2)*100)</f>
        <v>0</v>
      </c>
      <c r="P276" s="1">
        <f>IF('исходные данные'!P276&gt;'минимумы и максимумы'!N$3,100,('исходные данные'!P276-'минимумы и максимумы'!N$2)/('минимумы и максимумы'!N$3-'минимумы и максимумы'!N$2)*100)</f>
        <v>100</v>
      </c>
      <c r="Q276" s="1">
        <f>IF('исходные данные'!Q276&gt;'минимумы и максимумы'!O$3,100,('исходные данные'!Q276-'минимумы и максимумы'!O$2)/('минимумы и максимумы'!O$3-'минимумы и максимумы'!O$2)*100)</f>
        <v>0</v>
      </c>
      <c r="R276" s="1">
        <f>IF('исходные данные'!R276&gt;'минимумы и максимумы'!P$3,100,('исходные данные'!R276-'минимумы и максимумы'!P$2)/('минимумы и максимумы'!P$3-'минимумы и максимумы'!P$2)*100)</f>
        <v>25</v>
      </c>
      <c r="S276" s="1">
        <f>IF('исходные данные'!S276&gt;'минимумы и максимумы'!Q$3,100,('исходные данные'!S276-'минимумы и максимумы'!Q$2)/('минимумы и максимумы'!Q$3-'минимумы и максимумы'!Q$2)*100)</f>
        <v>33.333333333333329</v>
      </c>
      <c r="T276" s="1">
        <f>IF('исходные данные'!T276&gt;'минимумы и максимумы'!R$3,100,('исходные данные'!T276-'минимумы и максимумы'!R$2)/('минимумы и максимумы'!R$3-'минимумы и максимумы'!R$2)*100)</f>
        <v>12.230532336119666</v>
      </c>
      <c r="U276" s="1">
        <f>IF('исходные данные'!U276&gt;'минимумы и максимумы'!S$3,100,('исходные данные'!U276-'минимумы и максимумы'!S$2)/('минимумы и максимумы'!S$3-'минимумы и максимумы'!S$2)*100)</f>
        <v>0</v>
      </c>
    </row>
    <row r="277" spans="1:21" x14ac:dyDescent="0.45">
      <c r="A277" s="4">
        <v>373</v>
      </c>
      <c r="B277" s="4">
        <v>0</v>
      </c>
      <c r="C277" s="4">
        <v>0</v>
      </c>
      <c r="D277" s="1">
        <f>IF('исходные данные'!D277&gt;'минимумы и максимумы'!B$3,100,('исходные данные'!D277-'минимумы и максимумы'!B$2)/('минимумы и максимумы'!B$3-'минимумы и максимумы'!B$2)*100)</f>
        <v>0</v>
      </c>
      <c r="E277" s="1">
        <f>IF('исходные данные'!E277&gt;'минимумы и максимумы'!C$3,100,('исходные данные'!E277-'минимумы и максимумы'!C$2)/('минимумы и максимумы'!C$3-'минимумы и максимумы'!C$2)*100)</f>
        <v>0</v>
      </c>
      <c r="F277" s="1">
        <f>IF('исходные данные'!F277&gt;'минимумы и максимумы'!D$3,100,('исходные данные'!F277-'минимумы и максимумы'!D$2)/('минимумы и максимумы'!D$3-'минимумы и максимумы'!D$2)*100)</f>
        <v>0</v>
      </c>
      <c r="G277" s="1">
        <f>IF('исходные данные'!G277&gt;'минимумы и максимумы'!E$3,100,('исходные данные'!G277-'минимумы и максимумы'!E$2)/('минимумы и максимумы'!E$3-'минимумы и максимумы'!E$2)*100)</f>
        <v>0</v>
      </c>
      <c r="H277" s="1">
        <f>IF('исходные данные'!H277&gt;'минимумы и максимумы'!F$3,100,('исходные данные'!H277-'минимумы и максимумы'!F$2)/('минимумы и максимумы'!F$3-'минимумы и максимумы'!F$2)*100)</f>
        <v>0</v>
      </c>
      <c r="I277" s="1">
        <f>IF('исходные данные'!I277&gt;'минимумы и максимумы'!G$3,100,('исходные данные'!I277-'минимумы и максимумы'!G$2)/('минимумы и максимумы'!G$3-'минимумы и максимумы'!G$2)*100)</f>
        <v>1.8867924528301887</v>
      </c>
      <c r="J277" s="1">
        <f>IF('исходные данные'!J277&gt;'минимумы и максимумы'!H$3,100,('исходные данные'!J277-'минимумы и максимумы'!H$2)/('минимумы и максимумы'!H$3-'минимумы и максимумы'!H$2)*100)</f>
        <v>0</v>
      </c>
      <c r="K277" s="1">
        <f>IF('исходные данные'!K277&gt;'минимумы и максимумы'!I$3,100,('исходные данные'!K277-'минимумы и максимумы'!I$2)/('минимумы и максимумы'!I$3-'минимумы и максимумы'!I$2)*100)</f>
        <v>11.111111111111111</v>
      </c>
      <c r="L277" s="1">
        <f>IF('исходные данные'!L277&gt;'минимумы и максимумы'!J$3,100,('исходные данные'!L277-'минимумы и максимумы'!J$2)/('минимумы и максимумы'!J$3-'минимумы и максимумы'!J$2)*100)</f>
        <v>0</v>
      </c>
      <c r="M277" s="1">
        <f>IF('исходные данные'!M277&gt;'минимумы и максимумы'!K$3,100,('исходные данные'!M277-'минимумы и максимумы'!K$2)/('минимумы и максимумы'!K$3-'минимумы и максимумы'!K$2)*100)</f>
        <v>6.4516129032258061</v>
      </c>
      <c r="N277" s="1">
        <f>IF('исходные данные'!N277&gt;'минимумы и максимумы'!L$3,100,('исходные данные'!N277-'минимумы и максимумы'!L$2)/('минимумы и максимумы'!L$3-'минимумы и максимумы'!L$2)*100)</f>
        <v>62.743892709313201</v>
      </c>
      <c r="O277" s="1">
        <f>IF('исходные данные'!O277&gt;'минимумы и максимумы'!M$3,100,('исходные данные'!O277-'минимумы и максимумы'!M$2)/('минимумы и максимумы'!M$3-'минимумы и максимумы'!M$2)*100)</f>
        <v>33.333333333333329</v>
      </c>
      <c r="P277" s="1">
        <f>IF('исходные данные'!P277&gt;'минимумы и максимумы'!N$3,100,('исходные данные'!P277-'минимумы и максимумы'!N$2)/('минимумы и максимумы'!N$3-'минимумы и максимумы'!N$2)*100)</f>
        <v>100</v>
      </c>
      <c r="Q277" s="1">
        <f>IF('исходные данные'!Q277&gt;'минимумы и максимумы'!O$3,100,('исходные данные'!Q277-'минимумы и максимумы'!O$2)/('минимумы и максимумы'!O$3-'минимумы и максимумы'!O$2)*100)</f>
        <v>0</v>
      </c>
      <c r="R277" s="1">
        <f>IF('исходные данные'!R277&gt;'минимумы и максимумы'!P$3,100,('исходные данные'!R277-'минимумы и максимумы'!P$2)/('минимумы и максимумы'!P$3-'минимумы и максимумы'!P$2)*100)</f>
        <v>25</v>
      </c>
      <c r="S277" s="1">
        <f>IF('исходные данные'!S277&gt;'минимумы и максимумы'!Q$3,100,('исходные данные'!S277-'минимумы и максимумы'!Q$2)/('минимумы и максимумы'!Q$3-'минимумы и максимумы'!Q$2)*100)</f>
        <v>33.333333333333329</v>
      </c>
      <c r="T277" s="1">
        <f>IF('исходные данные'!T277&gt;'минимумы и максимумы'!R$3,100,('исходные данные'!T277-'минимумы и максимумы'!R$2)/('минимумы и максимумы'!R$3-'минимумы и максимумы'!R$2)*100)</f>
        <v>11.878574571051475</v>
      </c>
      <c r="U277" s="1">
        <f>IF('исходные данные'!U277&gt;'минимумы и максимумы'!S$3,100,('исходные данные'!U277-'минимумы и максимумы'!S$2)/('минимумы и максимумы'!S$3-'минимумы и максимумы'!S$2)*100)</f>
        <v>0</v>
      </c>
    </row>
    <row r="278" spans="1:21" x14ac:dyDescent="0.45">
      <c r="A278" s="4">
        <v>374</v>
      </c>
      <c r="B278" s="4">
        <v>0</v>
      </c>
      <c r="C278" s="4">
        <v>0</v>
      </c>
      <c r="D278" s="1">
        <f>IF('исходные данные'!D278&gt;'минимумы и максимумы'!B$3,100,('исходные данные'!D278-'минимумы и максимумы'!B$2)/('минимумы и максимумы'!B$3-'минимумы и максимумы'!B$2)*100)</f>
        <v>0</v>
      </c>
      <c r="E278" s="1">
        <f>IF('исходные данные'!E278&gt;'минимумы и максимумы'!C$3,100,('исходные данные'!E278-'минимумы и максимумы'!C$2)/('минимумы и максимумы'!C$3-'минимумы и максимумы'!C$2)*100)</f>
        <v>0</v>
      </c>
      <c r="F278" s="1">
        <f>IF('исходные данные'!F278&gt;'минимумы и максимумы'!D$3,100,('исходные данные'!F278-'минимумы и максимумы'!D$2)/('минимумы и максимумы'!D$3-'минимумы и максимумы'!D$2)*100)</f>
        <v>0</v>
      </c>
      <c r="G278" s="1">
        <f>IF('исходные данные'!G278&gt;'минимумы и максимумы'!E$3,100,('исходные данные'!G278-'минимумы и максимумы'!E$2)/('минимумы и максимумы'!E$3-'минимумы и максимумы'!E$2)*100)</f>
        <v>0</v>
      </c>
      <c r="H278" s="1">
        <f>IF('исходные данные'!H278&gt;'минимумы и максимумы'!F$3,100,('исходные данные'!H278-'минимумы и максимумы'!F$2)/('минимумы и максимумы'!F$3-'минимумы и максимумы'!F$2)*100)</f>
        <v>0</v>
      </c>
      <c r="I278" s="1">
        <f>IF('исходные данные'!I278&gt;'минимумы и максимумы'!G$3,100,('исходные данные'!I278-'минимумы и максимумы'!G$2)/('минимумы и максимумы'!G$3-'минимумы и максимумы'!G$2)*100)</f>
        <v>3.7735849056603774</v>
      </c>
      <c r="J278" s="1">
        <f>IF('исходные данные'!J278&gt;'минимумы и максимумы'!H$3,100,('исходные данные'!J278-'минимумы и максимумы'!H$2)/('минимумы и максимумы'!H$3-'минимумы и максимумы'!H$2)*100)</f>
        <v>0</v>
      </c>
      <c r="K278" s="1">
        <f>IF('исходные данные'!K278&gt;'минимумы и максимумы'!I$3,100,('исходные данные'!K278-'минимумы и максимумы'!I$2)/('минимумы и максимумы'!I$3-'минимумы и максимумы'!I$2)*100)</f>
        <v>11.111111111111111</v>
      </c>
      <c r="L278" s="1">
        <f>IF('исходные данные'!L278&gt;'минимумы и максимумы'!J$3,100,('исходные данные'!L278-'минимумы и максимумы'!J$2)/('минимумы и максимумы'!J$3-'минимумы и максимумы'!J$2)*100)</f>
        <v>0</v>
      </c>
      <c r="M278" s="1">
        <f>IF('исходные данные'!M278&gt;'минимумы и максимумы'!K$3,100,('исходные данные'!M278-'минимумы и максимумы'!K$2)/('минимумы и максимумы'!K$3-'минимумы и максимумы'!K$2)*100)</f>
        <v>9.67741935483871</v>
      </c>
      <c r="N278" s="1">
        <f>IF('исходные данные'!N278&gt;'минимумы и максимумы'!L$3,100,('исходные данные'!N278-'минимумы и максимумы'!L$2)/('минимумы и максимумы'!L$3-'минимумы и максимумы'!L$2)*100)</f>
        <v>62.390027612487145</v>
      </c>
      <c r="O278" s="1">
        <f>IF('исходные данные'!O278&gt;'минимумы и максимумы'!M$3,100,('исходные данные'!O278-'минимумы и максимумы'!M$2)/('минимумы и максимумы'!M$3-'минимумы и максимумы'!M$2)*100)</f>
        <v>100</v>
      </c>
      <c r="P278" s="1">
        <f>IF('исходные данные'!P278&gt;'минимумы и максимумы'!N$3,100,('исходные данные'!P278-'минимумы и максимумы'!N$2)/('минимумы и максимумы'!N$3-'минимумы и максимумы'!N$2)*100)</f>
        <v>100</v>
      </c>
      <c r="Q278" s="1">
        <f>IF('исходные данные'!Q278&gt;'минимумы и максимумы'!O$3,100,('исходные данные'!Q278-'минимумы и максимумы'!O$2)/('минимумы и максимумы'!O$3-'минимумы и максимумы'!O$2)*100)</f>
        <v>0</v>
      </c>
      <c r="R278" s="1">
        <f>IF('исходные данные'!R278&gt;'минимумы и максимумы'!P$3,100,('исходные данные'!R278-'минимумы и максимумы'!P$2)/('минимумы и максимумы'!P$3-'минимумы и максимумы'!P$2)*100)</f>
        <v>25</v>
      </c>
      <c r="S278" s="1">
        <f>IF('исходные данные'!S278&gt;'минимумы и максимумы'!Q$3,100,('исходные данные'!S278-'минимумы и максимумы'!Q$2)/('минимумы и максимумы'!Q$3-'минимумы и максимумы'!Q$2)*100)</f>
        <v>33.333333333333329</v>
      </c>
      <c r="T278" s="1">
        <f>IF('исходные данные'!T278&gt;'минимумы и максимумы'!R$3,100,('исходные данные'!T278-'минимумы и максимумы'!R$2)/('минимумы и максимумы'!R$3-'минимумы и максимумы'!R$2)*100)</f>
        <v>31.544214694236693</v>
      </c>
      <c r="U278" s="1">
        <f>IF('исходные данные'!U278&gt;'минимумы и максимумы'!S$3,100,('исходные данные'!U278-'минимумы и максимумы'!S$2)/('минимумы и максимумы'!S$3-'минимумы и максимумы'!S$2)*100)</f>
        <v>33.333333333333329</v>
      </c>
    </row>
    <row r="279" spans="1:21" x14ac:dyDescent="0.45">
      <c r="A279" s="4">
        <v>375</v>
      </c>
      <c r="B279" s="4">
        <v>0</v>
      </c>
      <c r="C279" s="4">
        <v>0</v>
      </c>
      <c r="D279" s="1">
        <f>IF('исходные данные'!D279&gt;'минимумы и максимумы'!B$3,100,('исходные данные'!D279-'минимумы и максимумы'!B$2)/('минимумы и максимумы'!B$3-'минимумы и максимумы'!B$2)*100)</f>
        <v>0</v>
      </c>
      <c r="E279" s="1">
        <f>IF('исходные данные'!E279&gt;'минимумы и максимумы'!C$3,100,('исходные данные'!E279-'минимумы и максимумы'!C$2)/('минимумы и максимумы'!C$3-'минимумы и максимумы'!C$2)*100)</f>
        <v>0</v>
      </c>
      <c r="F279" s="1">
        <f>IF('исходные данные'!F279&gt;'минимумы и максимумы'!D$3,100,('исходные данные'!F279-'минимумы и максимумы'!D$2)/('минимумы и максимумы'!D$3-'минимумы и максимумы'!D$2)*100)</f>
        <v>0</v>
      </c>
      <c r="G279" s="1">
        <f>IF('исходные данные'!G279&gt;'минимумы и максимумы'!E$3,100,('исходные данные'!G279-'минимумы и максимумы'!E$2)/('минимумы и максимумы'!E$3-'минимумы и максимумы'!E$2)*100)</f>
        <v>4.1666666666666661</v>
      </c>
      <c r="H279" s="1">
        <f>IF('исходные данные'!H279&gt;'минимумы и максимумы'!F$3,100,('исходные данные'!H279-'минимумы и максимумы'!F$2)/('минимумы и максимумы'!F$3-'минимумы и максимумы'!F$2)*100)</f>
        <v>8</v>
      </c>
      <c r="I279" s="1">
        <f>IF('исходные данные'!I279&gt;'минимумы и максимумы'!G$3,100,('исходные данные'!I279-'минимумы и максимумы'!G$2)/('минимумы и максимумы'!G$3-'минимумы и максимумы'!G$2)*100)</f>
        <v>3.7735849056603774</v>
      </c>
      <c r="J279" s="1">
        <f>IF('исходные данные'!J279&gt;'минимумы и максимумы'!H$3,100,('исходные данные'!J279-'минимумы и максимумы'!H$2)/('минимумы и максимумы'!H$3-'минимумы и максимумы'!H$2)*100)</f>
        <v>0</v>
      </c>
      <c r="K279" s="1">
        <f>IF('исходные данные'!K279&gt;'минимумы и максимумы'!I$3,100,('исходные данные'!K279-'минимумы и максимумы'!I$2)/('минимумы и максимумы'!I$3-'минимумы и максимумы'!I$2)*100)</f>
        <v>11.111111111111111</v>
      </c>
      <c r="L279" s="1">
        <f>IF('исходные данные'!L279&gt;'минимумы и максимумы'!J$3,100,('исходные данные'!L279-'минимумы и максимумы'!J$2)/('минимумы и максимумы'!J$3-'минимумы и максимумы'!J$2)*100)</f>
        <v>0</v>
      </c>
      <c r="M279" s="1">
        <f>IF('исходные данные'!M279&gt;'минимумы и максимумы'!K$3,100,('исходные данные'!M279-'минимумы и максимумы'!K$2)/('минимумы и максимумы'!K$3-'минимумы и максимумы'!K$2)*100)</f>
        <v>6.4516129032258061</v>
      </c>
      <c r="N279" s="1">
        <f>IF('исходные данные'!N279&gt;'минимумы и максимумы'!L$3,100,('исходные данные'!N279-'минимумы и максимумы'!L$2)/('минимумы и максимумы'!L$3-'минимумы и максимумы'!L$2)*100)</f>
        <v>62.390897744534669</v>
      </c>
      <c r="O279" s="1">
        <f>IF('исходные данные'!O279&gt;'минимумы и максимумы'!M$3,100,('исходные данные'!O279-'минимумы и максимумы'!M$2)/('минимумы и максимумы'!M$3-'минимумы и максимумы'!M$2)*100)</f>
        <v>100</v>
      </c>
      <c r="P279" s="1">
        <f>IF('исходные данные'!P279&gt;'минимумы и максимумы'!N$3,100,('исходные данные'!P279-'минимумы и максимумы'!N$2)/('минимумы и максимумы'!N$3-'минимумы и максимумы'!N$2)*100)</f>
        <v>100</v>
      </c>
      <c r="Q279" s="1">
        <f>IF('исходные данные'!Q279&gt;'минимумы и максимумы'!O$3,100,('исходные данные'!Q279-'минимумы и максимумы'!O$2)/('минимумы и максимумы'!O$3-'минимумы и максимумы'!O$2)*100)</f>
        <v>0</v>
      </c>
      <c r="R279" s="1">
        <f>IF('исходные данные'!R279&gt;'минимумы и максимумы'!P$3,100,('исходные данные'!R279-'минимумы и максимумы'!P$2)/('минимумы и максимумы'!P$3-'минимумы и максимумы'!P$2)*100)</f>
        <v>25</v>
      </c>
      <c r="S279" s="1">
        <f>IF('исходные данные'!S279&gt;'минимумы и максимумы'!Q$3,100,('исходные данные'!S279-'минимумы и максимумы'!Q$2)/('минимумы и максимумы'!Q$3-'минимумы и максимумы'!Q$2)*100)</f>
        <v>66.666666666666657</v>
      </c>
      <c r="T279" s="1">
        <f>IF('исходные данные'!T279&gt;'минимумы и максимумы'!R$3,100,('исходные данные'!T279-'минимумы и максимумы'!R$2)/('минимумы и максимумы'!R$3-'минимумы и максимумы'!R$2)*100)</f>
        <v>42.014958205015397</v>
      </c>
      <c r="U279" s="1">
        <f>IF('исходные данные'!U279&gt;'минимумы и максимумы'!S$3,100,('исходные данные'!U279-'минимумы и максимумы'!S$2)/('минимумы и максимумы'!S$3-'минимумы и максимумы'!S$2)*100)</f>
        <v>66.666666666666657</v>
      </c>
    </row>
    <row r="280" spans="1:21" x14ac:dyDescent="0.45">
      <c r="A280" s="4">
        <v>376</v>
      </c>
      <c r="B280" s="4">
        <v>0</v>
      </c>
      <c r="C280" s="4">
        <v>0</v>
      </c>
      <c r="D280" s="1">
        <f>IF('исходные данные'!D280&gt;'минимумы и максимумы'!B$3,100,('исходные данные'!D280-'минимумы и максимумы'!B$2)/('минимумы и максимумы'!B$3-'минимумы и максимумы'!B$2)*100)</f>
        <v>0</v>
      </c>
      <c r="E280" s="1">
        <f>IF('исходные данные'!E280&gt;'минимумы и максимумы'!C$3,100,('исходные данные'!E280-'минимумы и максимумы'!C$2)/('минимумы и максимумы'!C$3-'минимумы и максимумы'!C$2)*100)</f>
        <v>10</v>
      </c>
      <c r="F280" s="1">
        <f>IF('исходные данные'!F280&gt;'минимумы и максимумы'!D$3,100,('исходные данные'!F280-'минимумы и максимумы'!D$2)/('минимумы и максимумы'!D$3-'минимумы и максимумы'!D$2)*100)</f>
        <v>0</v>
      </c>
      <c r="G280" s="1">
        <f>IF('исходные данные'!G280&gt;'минимумы и максимумы'!E$3,100,('исходные данные'!G280-'минимумы и максимумы'!E$2)/('минимумы и максимумы'!E$3-'минимумы и максимумы'!E$2)*100)</f>
        <v>20.833333333333336</v>
      </c>
      <c r="H280" s="1">
        <f>IF('исходные данные'!H280&gt;'минимумы и максимумы'!F$3,100,('исходные данные'!H280-'минимумы и максимумы'!F$2)/('минимумы и максимумы'!F$3-'минимумы и максимумы'!F$2)*100)</f>
        <v>24</v>
      </c>
      <c r="I280" s="1">
        <f>IF('исходные данные'!I280&gt;'минимумы и максимумы'!G$3,100,('исходные данные'!I280-'минимумы и максимумы'!G$2)/('минимумы и максимумы'!G$3-'минимумы и максимумы'!G$2)*100)</f>
        <v>3.7735849056603774</v>
      </c>
      <c r="J280" s="1">
        <f>IF('исходные данные'!J280&gt;'минимумы и максимумы'!H$3,100,('исходные данные'!J280-'минимумы и максимумы'!H$2)/('минимумы и максимумы'!H$3-'минимумы и максимумы'!H$2)*100)</f>
        <v>0</v>
      </c>
      <c r="K280" s="1">
        <f>IF('исходные данные'!K280&gt;'минимумы и максимумы'!I$3,100,('исходные данные'!K280-'минимумы и максимумы'!I$2)/('минимумы и максимумы'!I$3-'минимумы и максимумы'!I$2)*100)</f>
        <v>5.5555555555555554</v>
      </c>
      <c r="L280" s="1">
        <f>IF('исходные данные'!L280&gt;'минимумы и максимумы'!J$3,100,('исходные данные'!L280-'минимумы и максимумы'!J$2)/('минимумы и максимумы'!J$3-'минимумы и максимумы'!J$2)*100)</f>
        <v>0</v>
      </c>
      <c r="M280" s="1">
        <f>IF('исходные данные'!M280&gt;'минимумы и максимумы'!K$3,100,('исходные данные'!M280-'минимумы и максимумы'!K$2)/('минимумы и максимумы'!K$3-'минимумы и максимумы'!K$2)*100)</f>
        <v>9.67741935483871</v>
      </c>
      <c r="N280" s="1">
        <f>IF('исходные данные'!N280&gt;'минимумы и максимумы'!L$3,100,('исходные данные'!N280-'минимумы и максимумы'!L$2)/('минимумы и максимумы'!L$3-'минимумы и максимумы'!L$2)*100)</f>
        <v>41.052612550562131</v>
      </c>
      <c r="O280" s="1">
        <f>IF('исходные данные'!O280&gt;'минимумы и максимумы'!M$3,100,('исходные данные'!O280-'минимумы и максимумы'!M$2)/('минимумы и максимумы'!M$3-'минимумы и максимумы'!M$2)*100)</f>
        <v>66.666666666666657</v>
      </c>
      <c r="P280" s="1">
        <f>IF('исходные данные'!P280&gt;'минимумы и максимумы'!N$3,100,('исходные данные'!P280-'минимумы и максимумы'!N$2)/('минимумы и максимумы'!N$3-'минимумы и максимумы'!N$2)*100)</f>
        <v>100</v>
      </c>
      <c r="Q280" s="1">
        <f>IF('исходные данные'!Q280&gt;'минимумы и максимумы'!O$3,100,('исходные данные'!Q280-'минимумы и максимумы'!O$2)/('минимумы и максимумы'!O$3-'минимумы и максимумы'!O$2)*100)</f>
        <v>100</v>
      </c>
      <c r="R280" s="1">
        <f>IF('исходные данные'!R280&gt;'минимумы и максимумы'!P$3,100,('исходные данные'!R280-'минимумы и максимумы'!P$2)/('минимумы и максимумы'!P$3-'минимумы и максимумы'!P$2)*100)</f>
        <v>100</v>
      </c>
      <c r="S280" s="1">
        <f>IF('исходные данные'!S280&gt;'минимумы и максимумы'!Q$3,100,('исходные данные'!S280-'минимумы и максимумы'!Q$2)/('минимумы и максимумы'!Q$3-'минимумы и максимумы'!Q$2)*100)</f>
        <v>50</v>
      </c>
      <c r="T280" s="1">
        <f>IF('исходные данные'!T280&gt;'минимумы и максимумы'!R$3,100,('исходные данные'!T280-'минимумы и максимумы'!R$2)/('минимумы и максимумы'!R$3-'минимумы и максимумы'!R$2)*100)</f>
        <v>21.821381434227895</v>
      </c>
      <c r="U280" s="1">
        <f>IF('исходные данные'!U280&gt;'минимумы и максимумы'!S$3,100,('исходные данные'!U280-'минимумы и максимумы'!S$2)/('минимумы и максимумы'!S$3-'минимумы и максимумы'!S$2)*100)</f>
        <v>66.666666666666657</v>
      </c>
    </row>
    <row r="281" spans="1:21" x14ac:dyDescent="0.45">
      <c r="A281" s="4">
        <v>377</v>
      </c>
      <c r="B281" s="4">
        <v>0</v>
      </c>
      <c r="C281" s="4">
        <v>0</v>
      </c>
      <c r="D281" s="1">
        <f>IF('исходные данные'!D281&gt;'минимумы и максимумы'!B$3,100,('исходные данные'!D281-'минимумы и максимумы'!B$2)/('минимумы и максимумы'!B$3-'минимумы и максимумы'!B$2)*100)</f>
        <v>20</v>
      </c>
      <c r="E281" s="1">
        <f>IF('исходные данные'!E281&gt;'минимумы и максимумы'!C$3,100,('исходные данные'!E281-'минимумы и максимумы'!C$2)/('минимумы и максимумы'!C$3-'минимумы и максимумы'!C$2)*100)</f>
        <v>0</v>
      </c>
      <c r="F281" s="1">
        <f>IF('исходные данные'!F281&gt;'минимумы и максимумы'!D$3,100,('исходные данные'!F281-'минимумы и максимумы'!D$2)/('минимумы и максимумы'!D$3-'минимумы и максимумы'!D$2)*100)</f>
        <v>0</v>
      </c>
      <c r="G281" s="1">
        <f>IF('исходные данные'!G281&gt;'минимумы и максимумы'!E$3,100,('исходные данные'!G281-'минимумы и максимумы'!E$2)/('минимумы и максимумы'!E$3-'минимумы и максимумы'!E$2)*100)</f>
        <v>12.5</v>
      </c>
      <c r="H281" s="1">
        <f>IF('исходные данные'!H281&gt;'минимумы и максимумы'!F$3,100,('исходные данные'!H281-'минимумы и максимумы'!F$2)/('минимумы и максимумы'!F$3-'минимумы и максимумы'!F$2)*100)</f>
        <v>24</v>
      </c>
      <c r="I281" s="1">
        <f>IF('исходные данные'!I281&gt;'минимумы и максимумы'!G$3,100,('исходные данные'!I281-'минимумы и максимумы'!G$2)/('минимумы и максимумы'!G$3-'минимумы и максимумы'!G$2)*100)</f>
        <v>9.433962264150944</v>
      </c>
      <c r="J281" s="1">
        <f>IF('исходные данные'!J281&gt;'минимумы и максимумы'!H$3,100,('исходные данные'!J281-'минимумы и максимумы'!H$2)/('минимумы и максимумы'!H$3-'минимумы и максимумы'!H$2)*100)</f>
        <v>0</v>
      </c>
      <c r="K281" s="1">
        <f>IF('исходные данные'!K281&gt;'минимумы и максимумы'!I$3,100,('исходные данные'!K281-'минимумы и максимумы'!I$2)/('минимумы и максимумы'!I$3-'минимумы и максимумы'!I$2)*100)</f>
        <v>0</v>
      </c>
      <c r="L281" s="1">
        <f>IF('исходные данные'!L281&gt;'минимумы и максимумы'!J$3,100,('исходные данные'!L281-'минимумы и максимумы'!J$2)/('минимумы и максимумы'!J$3-'минимумы и максимумы'!J$2)*100)</f>
        <v>0</v>
      </c>
      <c r="M281" s="1">
        <f>IF('исходные данные'!M281&gt;'минимумы и максимумы'!K$3,100,('исходные данные'!M281-'минимумы и максимумы'!K$2)/('минимумы и максимумы'!K$3-'минимумы и максимумы'!K$2)*100)</f>
        <v>9.67741935483871</v>
      </c>
      <c r="N281" s="1">
        <f>IF('исходные данные'!N281&gt;'минимумы и максимумы'!L$3,100,('исходные данные'!N281-'минимумы и максимумы'!L$2)/('минимумы и максимумы'!L$3-'минимумы и максимумы'!L$2)*100)</f>
        <v>49.299456668764925</v>
      </c>
      <c r="O281" s="1">
        <f>IF('исходные данные'!O281&gt;'минимумы и максимумы'!M$3,100,('исходные данные'!O281-'минимумы и максимумы'!M$2)/('минимумы и максимумы'!M$3-'минимумы и максимумы'!M$2)*100)</f>
        <v>0</v>
      </c>
      <c r="P281" s="1">
        <f>IF('исходные данные'!P281&gt;'минимумы и максимумы'!N$3,100,('исходные данные'!P281-'минимумы и максимумы'!N$2)/('минимумы и максимумы'!N$3-'минимумы и максимумы'!N$2)*100)</f>
        <v>0</v>
      </c>
      <c r="Q281" s="1">
        <f>IF('исходные данные'!Q281&gt;'минимумы и максимумы'!O$3,100,('исходные данные'!Q281-'минимумы и максимумы'!O$2)/('минимумы и максимумы'!O$3-'минимумы и максимумы'!O$2)*100)</f>
        <v>100</v>
      </c>
      <c r="R281" s="1">
        <f>IF('исходные данные'!R281&gt;'минимумы и максимумы'!P$3,100,('исходные данные'!R281-'минимумы и максимумы'!P$2)/('минимумы и максимумы'!P$3-'минимумы и максимумы'!P$2)*100)</f>
        <v>100</v>
      </c>
      <c r="S281" s="1">
        <f>IF('исходные данные'!S281&gt;'минимумы и максимумы'!Q$3,100,('исходные данные'!S281-'минимумы и максимумы'!Q$2)/('минимумы и максимумы'!Q$3-'минимумы и максимумы'!Q$2)*100)</f>
        <v>33.333333333333329</v>
      </c>
      <c r="T281" s="1">
        <f>IF('исходные данные'!T281&gt;'минимумы и максимумы'!R$3,100,('исходные данные'!T281-'минимумы и максимумы'!R$2)/('минимумы и максимумы'!R$3-'минимумы и максимумы'!R$2)*100)</f>
        <v>38.671359436867576</v>
      </c>
      <c r="U281" s="1">
        <f>IF('исходные данные'!U281&gt;'минимумы и максимумы'!S$3,100,('исходные данные'!U281-'минимумы и максимумы'!S$2)/('минимумы и максимумы'!S$3-'минимумы и максимумы'!S$2)*100)</f>
        <v>66.666666666666657</v>
      </c>
    </row>
    <row r="282" spans="1:21" x14ac:dyDescent="0.45">
      <c r="A282" s="4">
        <v>378</v>
      </c>
      <c r="B282" s="4">
        <v>0</v>
      </c>
      <c r="C282" s="4">
        <v>0</v>
      </c>
      <c r="D282" s="1">
        <f>IF('исходные данные'!D282&gt;'минимумы и максимумы'!B$3,100,('исходные данные'!D282-'минимумы и максимумы'!B$2)/('минимумы и максимумы'!B$3-'минимумы и максимумы'!B$2)*100)</f>
        <v>0</v>
      </c>
      <c r="E282" s="1">
        <f>IF('исходные данные'!E282&gt;'минимумы и максимумы'!C$3,100,('исходные данные'!E282-'минимумы и максимумы'!C$2)/('минимумы и максимумы'!C$3-'минимумы и максимумы'!C$2)*100)</f>
        <v>0</v>
      </c>
      <c r="F282" s="1">
        <f>IF('исходные данные'!F282&gt;'минимумы и максимумы'!D$3,100,('исходные данные'!F282-'минимумы и максимумы'!D$2)/('минимумы и максимумы'!D$3-'минимумы и максимумы'!D$2)*100)</f>
        <v>0</v>
      </c>
      <c r="G282" s="1">
        <f>IF('исходные данные'!G282&gt;'минимумы и максимумы'!E$3,100,('исходные данные'!G282-'минимумы и максимумы'!E$2)/('минимумы и максимумы'!E$3-'минимумы и максимумы'!E$2)*100)</f>
        <v>0</v>
      </c>
      <c r="H282" s="1">
        <f>IF('исходные данные'!H282&gt;'минимумы и максимумы'!F$3,100,('исходные данные'!H282-'минимумы и максимумы'!F$2)/('минимумы и максимумы'!F$3-'минимумы и максимумы'!F$2)*100)</f>
        <v>0</v>
      </c>
      <c r="I282" s="1">
        <f>IF('исходные данные'!I282&gt;'минимумы и максимумы'!G$3,100,('исходные данные'!I282-'минимумы и максимумы'!G$2)/('минимумы и максимумы'!G$3-'минимумы и максимумы'!G$2)*100)</f>
        <v>1.8867924528301887</v>
      </c>
      <c r="J282" s="1">
        <f>IF('исходные данные'!J282&gt;'минимумы и максимумы'!H$3,100,('исходные данные'!J282-'минимумы и максимумы'!H$2)/('минимумы и максимумы'!H$3-'минимумы и максимумы'!H$2)*100)</f>
        <v>6.666666666666667</v>
      </c>
      <c r="K282" s="1">
        <f>IF('исходные данные'!K282&gt;'минимумы и максимумы'!I$3,100,('исходные данные'!K282-'минимумы и максимумы'!I$2)/('минимумы и максимумы'!I$3-'минимумы и максимумы'!I$2)*100)</f>
        <v>0</v>
      </c>
      <c r="L282" s="1">
        <f>IF('исходные данные'!L282&gt;'минимумы и максимумы'!J$3,100,('исходные данные'!L282-'минимумы и максимумы'!J$2)/('минимумы и максимумы'!J$3-'минимумы и максимумы'!J$2)*100)</f>
        <v>0</v>
      </c>
      <c r="M282" s="1">
        <f>IF('исходные данные'!M282&gt;'минимумы и максимумы'!K$3,100,('исходные данные'!M282-'минимумы и максимумы'!K$2)/('минимумы и максимумы'!K$3-'минимумы и максимумы'!K$2)*100)</f>
        <v>6.4516129032258061</v>
      </c>
      <c r="N282" s="1">
        <f>IF('исходные данные'!N282&gt;'минимумы и максимумы'!L$3,100,('исходные данные'!N282-'минимумы и максимумы'!L$2)/('минимумы и максимумы'!L$3-'минимумы и максимумы'!L$2)*100)</f>
        <v>50.036924183869758</v>
      </c>
      <c r="O282" s="1">
        <f>IF('исходные данные'!O282&gt;'минимумы и максимумы'!M$3,100,('исходные данные'!O282-'минимумы и максимумы'!M$2)/('минимумы и максимумы'!M$3-'минимумы и максимумы'!M$2)*100)</f>
        <v>33.333333333333329</v>
      </c>
      <c r="P282" s="1">
        <f>IF('исходные данные'!P282&gt;'минимумы и максимумы'!N$3,100,('исходные данные'!P282-'минимумы и максимумы'!N$2)/('минимумы и максимумы'!N$3-'минимумы и максимумы'!N$2)*100)</f>
        <v>0</v>
      </c>
      <c r="Q282" s="1">
        <f>IF('исходные данные'!Q282&gt;'минимумы и максимумы'!O$3,100,('исходные данные'!Q282-'минимумы и максимумы'!O$2)/('минимумы и максимумы'!O$3-'минимумы и максимумы'!O$2)*100)</f>
        <v>0</v>
      </c>
      <c r="R282" s="1">
        <f>IF('исходные данные'!R282&gt;'минимумы и максимумы'!P$3,100,('исходные данные'!R282-'минимумы и максимумы'!P$2)/('минимумы и максимумы'!P$3-'минимумы и максимумы'!P$2)*100)</f>
        <v>75</v>
      </c>
      <c r="S282" s="1">
        <f>IF('исходные данные'!S282&gt;'минимумы и максимумы'!Q$3,100,('исходные данные'!S282-'минимумы и максимумы'!Q$2)/('минимумы и максимумы'!Q$3-'минимумы и максимумы'!Q$2)*100)</f>
        <v>50</v>
      </c>
      <c r="T282" s="1">
        <f>IF('исходные данные'!T282&gt;'минимумы и максимумы'!R$3,100,('исходные данные'!T282-'минимумы и максимумы'!R$2)/('минимумы и максимумы'!R$3-'минимумы и максимумы'!R$2)*100)</f>
        <v>8.9309282886053687</v>
      </c>
      <c r="U282" s="1">
        <f>IF('исходные данные'!U282&gt;'минимумы и максимумы'!S$3,100,('исходные данные'!U282-'минимумы и максимумы'!S$2)/('минимумы и максимумы'!S$3-'минимумы и максимумы'!S$2)*100)</f>
        <v>0</v>
      </c>
    </row>
    <row r="283" spans="1:21" x14ac:dyDescent="0.45">
      <c r="A283" s="4">
        <v>379</v>
      </c>
      <c r="B283" s="4">
        <v>0</v>
      </c>
      <c r="C283" s="4">
        <v>0</v>
      </c>
      <c r="D283" s="1">
        <f>IF('исходные данные'!D283&gt;'минимумы и максимумы'!B$3,100,('исходные данные'!D283-'минимумы и максимумы'!B$2)/('минимумы и максимумы'!B$3-'минимумы и максимумы'!B$2)*100)</f>
        <v>20</v>
      </c>
      <c r="E283" s="1">
        <f>IF('исходные данные'!E283&gt;'минимумы и максимумы'!C$3,100,('исходные данные'!E283-'минимумы и максимумы'!C$2)/('минимумы и максимумы'!C$3-'минимумы и максимумы'!C$2)*100)</f>
        <v>10</v>
      </c>
      <c r="F283" s="1">
        <f>IF('исходные данные'!F283&gt;'минимумы и максимумы'!D$3,100,('исходные данные'!F283-'минимумы и максимумы'!D$2)/('минимумы и максимумы'!D$3-'минимумы и максимумы'!D$2)*100)</f>
        <v>0</v>
      </c>
      <c r="G283" s="1">
        <f>IF('исходные данные'!G283&gt;'минимумы и максимумы'!E$3,100,('исходные данные'!G283-'минимумы и максимумы'!E$2)/('минимумы и максимумы'!E$3-'минимумы и максимумы'!E$2)*100)</f>
        <v>12.5</v>
      </c>
      <c r="H283" s="1">
        <f>IF('исходные данные'!H283&gt;'минимумы и максимумы'!F$3,100,('исходные данные'!H283-'минимумы и максимумы'!F$2)/('минимумы и максимумы'!F$3-'минимумы и максимумы'!F$2)*100)</f>
        <v>24</v>
      </c>
      <c r="I283" s="1">
        <f>IF('исходные данные'!I283&gt;'минимумы и максимумы'!G$3,100,('исходные данные'!I283-'минимумы и максимумы'!G$2)/('минимумы и максимумы'!G$3-'минимумы и максимумы'!G$2)*100)</f>
        <v>11.320754716981133</v>
      </c>
      <c r="J283" s="1">
        <f>IF('исходные данные'!J283&gt;'минимумы и максимумы'!H$3,100,('исходные данные'!J283-'минимумы и максимумы'!H$2)/('минимумы и максимумы'!H$3-'минимумы и максимумы'!H$2)*100)</f>
        <v>0</v>
      </c>
      <c r="K283" s="1">
        <f>IF('исходные данные'!K283&gt;'минимумы и максимумы'!I$3,100,('исходные данные'!K283-'минимумы и максимумы'!I$2)/('минимумы и максимумы'!I$3-'минимумы и максимумы'!I$2)*100)</f>
        <v>0</v>
      </c>
      <c r="L283" s="1">
        <f>IF('исходные данные'!L283&gt;'минимумы и максимумы'!J$3,100,('исходные данные'!L283-'минимумы и максимумы'!J$2)/('минимумы и максимумы'!J$3-'минимумы и максимумы'!J$2)*100)</f>
        <v>0</v>
      </c>
      <c r="M283" s="1">
        <f>IF('исходные данные'!M283&gt;'минимумы и максимумы'!K$3,100,('исходные данные'!M283-'минимумы и максимумы'!K$2)/('минимумы и максимумы'!K$3-'минимумы и максимумы'!K$2)*100)</f>
        <v>9.67741935483871</v>
      </c>
      <c r="N283" s="1">
        <f>IF('исходные данные'!N283&gt;'минимумы и максимумы'!L$3,100,('исходные данные'!N283-'минимумы и максимумы'!L$2)/('минимумы и максимумы'!L$3-'минимумы и максимумы'!L$2)*100)</f>
        <v>48.849986797412939</v>
      </c>
      <c r="O283" s="1">
        <f>IF('исходные данные'!O283&gt;'минимумы и максимумы'!M$3,100,('исходные данные'!O283-'минимумы и максимумы'!M$2)/('минимумы и максимумы'!M$3-'минимумы и максимумы'!M$2)*100)</f>
        <v>33.333333333333329</v>
      </c>
      <c r="P283" s="1">
        <f>IF('исходные данные'!P283&gt;'минимумы и максимумы'!N$3,100,('исходные данные'!P283-'минимумы и максимумы'!N$2)/('минимумы и максимумы'!N$3-'минимумы и максимумы'!N$2)*100)</f>
        <v>0</v>
      </c>
      <c r="Q283" s="1">
        <f>IF('исходные данные'!Q283&gt;'минимумы и максимумы'!O$3,100,('исходные данные'!Q283-'минимумы и максимумы'!O$2)/('минимумы и максимумы'!O$3-'минимумы и максимумы'!O$2)*100)</f>
        <v>0</v>
      </c>
      <c r="R283" s="1">
        <f>IF('исходные данные'!R283&gt;'минимумы и максимумы'!P$3,100,('исходные данные'!R283-'минимумы и максимумы'!P$2)/('минимумы и максимумы'!P$3-'минимумы и максимумы'!P$2)*100)</f>
        <v>75</v>
      </c>
      <c r="S283" s="1">
        <f>IF('исходные данные'!S283&gt;'минимумы и максимумы'!Q$3,100,('исходные данные'!S283-'минимумы и максимумы'!Q$2)/('минимумы и максимумы'!Q$3-'минимумы и максимумы'!Q$2)*100)</f>
        <v>16.666666666666664</v>
      </c>
      <c r="T283" s="1">
        <f>IF('исходные данные'!T283&gt;'минимумы и максимумы'!R$3,100,('исходные данные'!T283-'минимумы и максимумы'!R$2)/('минимумы и максимумы'!R$3-'минимумы и максимумы'!R$2)*100)</f>
        <v>4.4434667839859214</v>
      </c>
      <c r="U283" s="1">
        <f>IF('исходные данные'!U283&gt;'минимумы и максимумы'!S$3,100,('исходные данные'!U283-'минимумы и максимумы'!S$2)/('минимумы и максимумы'!S$3-'минимумы и максимумы'!S$2)*100)</f>
        <v>0</v>
      </c>
    </row>
    <row r="284" spans="1:21" x14ac:dyDescent="0.45">
      <c r="A284" s="4">
        <v>380</v>
      </c>
      <c r="B284" s="4">
        <v>0</v>
      </c>
      <c r="C284" s="4">
        <v>0</v>
      </c>
      <c r="D284" s="1">
        <f>IF('исходные данные'!D284&gt;'минимумы и максимумы'!B$3,100,('исходные данные'!D284-'минимумы и максимумы'!B$2)/('минимумы и максимумы'!B$3-'минимумы и максимумы'!B$2)*100)</f>
        <v>0</v>
      </c>
      <c r="E284" s="1">
        <f>IF('исходные данные'!E284&gt;'минимумы и максимумы'!C$3,100,('исходные данные'!E284-'минимумы и максимумы'!C$2)/('минимумы и максимумы'!C$3-'минимумы и максимумы'!C$2)*100)</f>
        <v>0</v>
      </c>
      <c r="F284" s="1">
        <f>IF('исходные данные'!F284&gt;'минимумы и максимумы'!D$3,100,('исходные данные'!F284-'минимумы и максимумы'!D$2)/('минимумы и максимумы'!D$3-'минимумы и максимумы'!D$2)*100)</f>
        <v>0</v>
      </c>
      <c r="G284" s="1">
        <f>IF('исходные данные'!G284&gt;'минимумы и максимумы'!E$3,100,('исходные данные'!G284-'минимумы и максимумы'!E$2)/('минимумы и максимумы'!E$3-'минимумы и максимумы'!E$2)*100)</f>
        <v>0</v>
      </c>
      <c r="H284" s="1">
        <f>IF('исходные данные'!H284&gt;'минимумы и максимумы'!F$3,100,('исходные данные'!H284-'минимумы и максимумы'!F$2)/('минимумы и максимумы'!F$3-'минимумы и максимумы'!F$2)*100)</f>
        <v>0</v>
      </c>
      <c r="I284" s="1">
        <f>IF('исходные данные'!I284&gt;'минимумы и максимумы'!G$3,100,('исходные данные'!I284-'минимумы и максимумы'!G$2)/('минимумы и максимумы'!G$3-'минимумы и максимумы'!G$2)*100)</f>
        <v>1.8867924528301887</v>
      </c>
      <c r="J284" s="1">
        <f>IF('исходные данные'!J284&gt;'минимумы и максимумы'!H$3,100,('исходные данные'!J284-'минимумы и максимумы'!H$2)/('минимумы и максимумы'!H$3-'минимумы и максимумы'!H$2)*100)</f>
        <v>0</v>
      </c>
      <c r="K284" s="1">
        <f>IF('исходные данные'!K284&gt;'минимумы и максимумы'!I$3,100,('исходные данные'!K284-'минимумы и максимумы'!I$2)/('минимумы и максимумы'!I$3-'минимумы и максимумы'!I$2)*100)</f>
        <v>0</v>
      </c>
      <c r="L284" s="1">
        <f>IF('исходные данные'!L284&gt;'минимумы и максимумы'!J$3,100,('исходные данные'!L284-'минимумы и максимумы'!J$2)/('минимумы и максимумы'!J$3-'минимумы и максимумы'!J$2)*100)</f>
        <v>0</v>
      </c>
      <c r="M284" s="1">
        <f>IF('исходные данные'!M284&gt;'минимумы и максимумы'!K$3,100,('исходные данные'!M284-'минимумы и максимумы'!K$2)/('минимумы и максимумы'!K$3-'минимумы и максимумы'!K$2)*100)</f>
        <v>3.225806451612903</v>
      </c>
      <c r="N284" s="1">
        <f>IF('исходные данные'!N284&gt;'минимумы и максимумы'!L$3,100,('исходные данные'!N284-'минимумы и максимумы'!L$2)/('минимумы и максимумы'!L$3-'минимумы и максимумы'!L$2)*100)</f>
        <v>49.878369857803264</v>
      </c>
      <c r="O284" s="1">
        <f>IF('исходные данные'!O284&gt;'минимумы и максимумы'!M$3,100,('исходные данные'!O284-'минимумы и максимумы'!M$2)/('минимумы и максимумы'!M$3-'минимумы и максимумы'!M$2)*100)</f>
        <v>0</v>
      </c>
      <c r="P284" s="1">
        <f>IF('исходные данные'!P284&gt;'минимумы и максимумы'!N$3,100,('исходные данные'!P284-'минимумы и максимумы'!N$2)/('минимумы и максимумы'!N$3-'минимумы и максимумы'!N$2)*100)</f>
        <v>100</v>
      </c>
      <c r="Q284" s="1">
        <f>IF('исходные данные'!Q284&gt;'минимумы и максимумы'!O$3,100,('исходные данные'!Q284-'минимумы и максимумы'!O$2)/('минимумы и максимумы'!O$3-'минимумы и максимумы'!O$2)*100)</f>
        <v>0</v>
      </c>
      <c r="R284" s="1">
        <f>IF('исходные данные'!R284&gt;'минимумы и максимумы'!P$3,100,('исходные данные'!R284-'минимумы и максимумы'!P$2)/('минимумы и максимумы'!P$3-'минимумы и максимумы'!P$2)*100)</f>
        <v>100</v>
      </c>
      <c r="S284" s="1">
        <f>IF('исходные данные'!S284&gt;'минимумы и максимумы'!Q$3,100,('исходные данные'!S284-'минимумы и максимумы'!Q$2)/('минимумы и максимумы'!Q$3-'минимумы и максимумы'!Q$2)*100)</f>
        <v>100</v>
      </c>
      <c r="T284" s="1">
        <f>IF('исходные данные'!T284&gt;'минимумы и максимумы'!R$3,100,('исходные данные'!T284-'минимумы и максимумы'!R$2)/('минимумы и максимумы'!R$3-'минимумы и максимумы'!R$2)*100)</f>
        <v>100</v>
      </c>
      <c r="U284" s="1">
        <f>IF('исходные данные'!U284&gt;'минимумы и максимумы'!S$3,100,('исходные данные'!U284-'минимумы и максимумы'!S$2)/('минимумы и максимумы'!S$3-'минимумы и максимумы'!S$2)*100)</f>
        <v>100</v>
      </c>
    </row>
    <row r="285" spans="1:21" x14ac:dyDescent="0.45">
      <c r="A285" s="4">
        <v>381</v>
      </c>
      <c r="B285" s="4">
        <v>0</v>
      </c>
      <c r="C285" s="4">
        <v>1</v>
      </c>
      <c r="D285" s="1">
        <f>IF('исходные данные'!D285&gt;'минимумы и максимумы'!B$3,100,('исходные данные'!D285-'минимумы и максимумы'!B$2)/('минимумы и максимумы'!B$3-'минимумы и максимумы'!B$2)*100)</f>
        <v>20</v>
      </c>
      <c r="E285" s="1">
        <f>IF('исходные данные'!E285&gt;'минимумы и максимумы'!C$3,100,('исходные данные'!E285-'минимумы и максимумы'!C$2)/('минимумы и максимумы'!C$3-'минимумы и максимумы'!C$2)*100)</f>
        <v>10</v>
      </c>
      <c r="F285" s="1">
        <f>IF('исходные данные'!F285&gt;'минимумы и максимумы'!D$3,100,('исходные данные'!F285-'минимумы и максимумы'!D$2)/('минимумы и максимумы'!D$3-'минимумы и максимумы'!D$2)*100)</f>
        <v>0</v>
      </c>
      <c r="G285" s="1">
        <f>IF('исходные данные'!G285&gt;'минимумы и максимумы'!E$3,100,('исходные данные'!G285-'минимумы и максимумы'!E$2)/('минимумы и максимумы'!E$3-'минимумы и максимумы'!E$2)*100)</f>
        <v>0</v>
      </c>
      <c r="H285" s="1">
        <f>IF('исходные данные'!H285&gt;'минимумы и максимумы'!F$3,100,('исходные данные'!H285-'минимумы и максимумы'!F$2)/('минимумы и максимумы'!F$3-'минимумы и максимумы'!F$2)*100)</f>
        <v>0</v>
      </c>
      <c r="I285" s="1">
        <f>IF('исходные данные'!I285&gt;'минимумы и максимумы'!G$3,100,('исходные данные'!I285-'минимумы и максимумы'!G$2)/('минимумы и максимумы'!G$3-'минимумы и максимумы'!G$2)*100)</f>
        <v>1.8867924528301887</v>
      </c>
      <c r="J285" s="1">
        <f>IF('исходные данные'!J285&gt;'минимумы и максимумы'!H$3,100,('исходные данные'!J285-'минимумы и максимумы'!H$2)/('минимумы и максимумы'!H$3-'минимумы и максимумы'!H$2)*100)</f>
        <v>0</v>
      </c>
      <c r="K285" s="1">
        <f>IF('исходные данные'!K285&gt;'минимумы и максимумы'!I$3,100,('исходные данные'!K285-'минимумы и максимумы'!I$2)/('минимумы и максимумы'!I$3-'минимумы и максимумы'!I$2)*100)</f>
        <v>0</v>
      </c>
      <c r="L285" s="1">
        <f>IF('исходные данные'!L285&gt;'минимумы и максимумы'!J$3,100,('исходные данные'!L285-'минимумы и максимумы'!J$2)/('минимумы и максимумы'!J$3-'минимумы и максимумы'!J$2)*100)</f>
        <v>0</v>
      </c>
      <c r="M285" s="1">
        <f>IF('исходные данные'!M285&gt;'минимумы и максимумы'!K$3,100,('исходные данные'!M285-'минимумы и максимумы'!K$2)/('минимумы и максимумы'!K$3-'минимумы и максимумы'!K$2)*100)</f>
        <v>6.4516129032258061</v>
      </c>
      <c r="N285" s="1">
        <f>IF('исходные данные'!N285&gt;'минимумы и максимумы'!L$3,100,('исходные данные'!N285-'минимумы и максимумы'!L$2)/('минимумы и максимумы'!L$3-'минимумы и максимумы'!L$2)*100)</f>
        <v>51.479710679459799</v>
      </c>
      <c r="O285" s="1">
        <f>IF('исходные данные'!O285&gt;'минимумы и максимумы'!M$3,100,('исходные данные'!O285-'минимумы и максимумы'!M$2)/('минимумы и максимумы'!M$3-'минимумы и максимумы'!M$2)*100)</f>
        <v>66.666666666666657</v>
      </c>
      <c r="P285" s="1">
        <f>IF('исходные данные'!P285&gt;'минимумы и максимумы'!N$3,100,('исходные данные'!P285-'минимумы и максимумы'!N$2)/('минимумы и максимумы'!N$3-'минимумы и максимумы'!N$2)*100)</f>
        <v>0</v>
      </c>
      <c r="Q285" s="1">
        <f>IF('исходные данные'!Q285&gt;'минимумы и максимумы'!O$3,100,('исходные данные'!Q285-'минимумы и максимумы'!O$2)/('минимумы и максимумы'!O$3-'минимумы и максимумы'!O$2)*100)</f>
        <v>0</v>
      </c>
      <c r="R285" s="1">
        <f>IF('исходные данные'!R285&gt;'минимумы и максимумы'!P$3,100,('исходные данные'!R285-'минимумы и максимумы'!P$2)/('минимумы и максимумы'!P$3-'минимумы и максимумы'!P$2)*100)</f>
        <v>75</v>
      </c>
      <c r="S285" s="1">
        <f>IF('исходные данные'!S285&gt;'минимумы и максимумы'!Q$3,100,('исходные данные'!S285-'минимумы и максимумы'!Q$2)/('минимумы и максимумы'!Q$3-'минимумы и максимумы'!Q$2)*100)</f>
        <v>33.333333333333329</v>
      </c>
      <c r="T285" s="1">
        <f>IF('исходные данные'!T285&gt;'минимумы и максимумы'!R$3,100,('исходные данные'!T285-'минимумы и максимумы'!R$2)/('минимумы и максимумы'!R$3-'минимумы и максимумы'!R$2)*100)</f>
        <v>25.736911570611525</v>
      </c>
      <c r="U285" s="1">
        <f>IF('исходные данные'!U285&gt;'минимумы и максимумы'!S$3,100,('исходные данные'!U285-'минимумы и максимумы'!S$2)/('минимумы и максимумы'!S$3-'минимумы и максимумы'!S$2)*100)</f>
        <v>0</v>
      </c>
    </row>
    <row r="286" spans="1:21" x14ac:dyDescent="0.45">
      <c r="A286" s="4">
        <v>386</v>
      </c>
      <c r="B286" s="4">
        <v>0</v>
      </c>
      <c r="C286" s="4">
        <v>1</v>
      </c>
      <c r="D286" s="1">
        <f>IF('исходные данные'!D286&gt;'минимумы и максимумы'!B$3,100,('исходные данные'!D286-'минимумы и максимумы'!B$2)/('минимумы и максимумы'!B$3-'минимумы и максимумы'!B$2)*100)</f>
        <v>0</v>
      </c>
      <c r="E286" s="1">
        <f>IF('исходные данные'!E286&gt;'минимумы и максимумы'!C$3,100,('исходные данные'!E286-'минимумы и максимумы'!C$2)/('минимумы и максимумы'!C$3-'минимумы и максимумы'!C$2)*100)</f>
        <v>0</v>
      </c>
      <c r="F286" s="1">
        <f>IF('исходные данные'!F286&gt;'минимумы и максимумы'!D$3,100,('исходные данные'!F286-'минимумы и максимумы'!D$2)/('минимумы и максимумы'!D$3-'минимумы и максимумы'!D$2)*100)</f>
        <v>0</v>
      </c>
      <c r="G286" s="1">
        <f>IF('исходные данные'!G286&gt;'минимумы и максимумы'!E$3,100,('исходные данные'!G286-'минимумы и максимумы'!E$2)/('минимумы и максимумы'!E$3-'минимумы и максимумы'!E$2)*100)</f>
        <v>0</v>
      </c>
      <c r="H286" s="1">
        <f>IF('исходные данные'!H286&gt;'минимумы и максимумы'!F$3,100,('исходные данные'!H286-'минимумы и максимумы'!F$2)/('минимумы и максимумы'!F$3-'минимумы и максимумы'!F$2)*100)</f>
        <v>0</v>
      </c>
      <c r="I286" s="1">
        <f>IF('исходные данные'!I286&gt;'минимумы и максимумы'!G$3,100,('исходные данные'!I286-'минимумы и максимумы'!G$2)/('минимумы и максимумы'!G$3-'минимумы и максимумы'!G$2)*100)</f>
        <v>0</v>
      </c>
      <c r="J286" s="1">
        <f>IF('исходные данные'!J286&gt;'минимумы и максимумы'!H$3,100,('исходные данные'!J286-'минимумы и максимумы'!H$2)/('минимумы и максимумы'!H$3-'минимумы и максимумы'!H$2)*100)</f>
        <v>0</v>
      </c>
      <c r="K286" s="1">
        <f>IF('исходные данные'!K286&gt;'минимумы и максимумы'!I$3,100,('исходные данные'!K286-'минимумы и максимумы'!I$2)/('минимумы и максимумы'!I$3-'минимумы и максимумы'!I$2)*100)</f>
        <v>0</v>
      </c>
      <c r="L286" s="1">
        <f>IF('исходные данные'!L286&gt;'минимумы и максимумы'!J$3,100,('исходные данные'!L286-'минимумы и максимумы'!J$2)/('минимумы и максимумы'!J$3-'минимумы и максимумы'!J$2)*100)</f>
        <v>0</v>
      </c>
      <c r="M286" s="1">
        <f>IF('исходные данные'!M286&gt;'минимумы и максимумы'!K$3,100,('исходные данные'!M286-'минимумы и максимумы'!K$2)/('минимумы и максимумы'!K$3-'минимумы и максимумы'!K$2)*100)</f>
        <v>0</v>
      </c>
      <c r="N286" s="1">
        <f>IF('исходные данные'!N286&gt;'минимумы и максимумы'!L$3,100,('исходные данные'!N286-'минимумы и максимумы'!L$2)/('минимумы и максимумы'!L$3-'минимумы и максимумы'!L$2)*100)</f>
        <v>91.052364934808978</v>
      </c>
      <c r="O286" s="1">
        <f>IF('исходные данные'!O286&gt;'минимумы и максимумы'!M$3,100,('исходные данные'!O286-'минимумы и максимумы'!M$2)/('минимумы и максимумы'!M$3-'минимумы и максимумы'!M$2)*100)</f>
        <v>66.666666666666657</v>
      </c>
      <c r="P286" s="1">
        <f>IF('исходные данные'!P286&gt;'минимумы и максимумы'!N$3,100,('исходные данные'!P286-'минимумы и максимумы'!N$2)/('минимумы и максимумы'!N$3-'минимумы и максимумы'!N$2)*100)</f>
        <v>0</v>
      </c>
      <c r="Q286" s="1">
        <f>IF('исходные данные'!Q286&gt;'минимумы и максимумы'!O$3,100,('исходные данные'!Q286-'минимумы и максимумы'!O$2)/('минимумы и максимумы'!O$3-'минимумы и максимумы'!O$2)*100)</f>
        <v>0</v>
      </c>
      <c r="R286" s="1">
        <f>IF('исходные данные'!R286&gt;'минимумы и максимумы'!P$3,100,('исходные данные'!R286-'минимумы и максимумы'!P$2)/('минимумы и максимумы'!P$3-'минимумы и максимумы'!P$2)*100)</f>
        <v>25</v>
      </c>
      <c r="S286" s="1">
        <f>IF('исходные данные'!S286&gt;'минимумы и максимумы'!Q$3,100,('исходные данные'!S286-'минимумы и максимумы'!Q$2)/('минимумы и максимумы'!Q$3-'минимумы и максимумы'!Q$2)*100)</f>
        <v>16.666666666666664</v>
      </c>
      <c r="T286" s="1">
        <f>IF('исходные данные'!T286&gt;'минимумы и максимумы'!R$3,100,('исходные данные'!T286-'минимумы и максимумы'!R$2)/('минимумы и максимумы'!R$3-'минимумы и максимумы'!R$2)*100)</f>
        <v>16.981962164540253</v>
      </c>
      <c r="U286" s="1">
        <f>IF('исходные данные'!U286&gt;'минимумы и максимумы'!S$3,100,('исходные данные'!U286-'минимумы и максимумы'!S$2)/('минимумы и максимумы'!S$3-'минимумы и максимумы'!S$2)*100)</f>
        <v>0</v>
      </c>
    </row>
    <row r="287" spans="1:21" x14ac:dyDescent="0.45">
      <c r="A287" s="4">
        <v>387</v>
      </c>
      <c r="B287" s="4">
        <v>0</v>
      </c>
      <c r="C287" s="4">
        <v>0</v>
      </c>
      <c r="D287" s="1">
        <f>IF('исходные данные'!D287&gt;'минимумы и максимумы'!B$3,100,('исходные данные'!D287-'минимумы и максимумы'!B$2)/('минимумы и максимумы'!B$3-'минимумы и максимумы'!B$2)*100)</f>
        <v>0</v>
      </c>
      <c r="E287" s="1">
        <f>IF('исходные данные'!E287&gt;'минимумы и максимумы'!C$3,100,('исходные данные'!E287-'минимумы и максимумы'!C$2)/('минимумы и максимумы'!C$3-'минимумы и максимумы'!C$2)*100)</f>
        <v>0</v>
      </c>
      <c r="F287" s="1">
        <f>IF('исходные данные'!F287&gt;'минимумы и максимумы'!D$3,100,('исходные данные'!F287-'минимумы и максимумы'!D$2)/('минимумы и максимумы'!D$3-'минимумы и максимумы'!D$2)*100)</f>
        <v>0</v>
      </c>
      <c r="G287" s="1">
        <f>IF('исходные данные'!G287&gt;'минимумы и максимумы'!E$3,100,('исходные данные'!G287-'минимумы и максимумы'!E$2)/('минимумы и максимумы'!E$3-'минимумы и максимумы'!E$2)*100)</f>
        <v>0</v>
      </c>
      <c r="H287" s="1">
        <f>IF('исходные данные'!H287&gt;'минимумы и максимумы'!F$3,100,('исходные данные'!H287-'минимумы и максимумы'!F$2)/('минимумы и максимумы'!F$3-'минимумы и максимумы'!F$2)*100)</f>
        <v>0</v>
      </c>
      <c r="I287" s="1">
        <f>IF('исходные данные'!I287&gt;'минимумы и максимумы'!G$3,100,('исходные данные'!I287-'минимумы и максимумы'!G$2)/('минимумы и максимумы'!G$3-'минимумы и максимумы'!G$2)*100)</f>
        <v>0</v>
      </c>
      <c r="J287" s="1">
        <f>IF('исходные данные'!J287&gt;'минимумы и максимумы'!H$3,100,('исходные данные'!J287-'минимумы и максимумы'!H$2)/('минимумы и максимумы'!H$3-'минимумы и максимумы'!H$2)*100)</f>
        <v>0</v>
      </c>
      <c r="K287" s="1">
        <f>IF('исходные данные'!K287&gt;'минимумы и максимумы'!I$3,100,('исходные данные'!K287-'минимумы и максимумы'!I$2)/('минимумы и максимумы'!I$3-'минимумы и максимумы'!I$2)*100)</f>
        <v>0</v>
      </c>
      <c r="L287" s="1">
        <f>IF('исходные данные'!L287&gt;'минимумы и максимумы'!J$3,100,('исходные данные'!L287-'минимумы и максимумы'!J$2)/('минимумы и максимумы'!J$3-'минимумы и максимумы'!J$2)*100)</f>
        <v>0</v>
      </c>
      <c r="M287" s="1">
        <f>IF('исходные данные'!M287&gt;'минимумы и максимумы'!K$3,100,('исходные данные'!M287-'минимумы и максимумы'!K$2)/('минимумы и максимумы'!K$3-'минимумы и максимумы'!K$2)*100)</f>
        <v>0</v>
      </c>
      <c r="N287" s="1">
        <f>IF('исходные данные'!N287&gt;'минимумы и максимумы'!L$3,100,('исходные данные'!N287-'минимумы и максимумы'!L$2)/('минимумы и максимумы'!L$3-'минимумы и максимумы'!L$2)*100)</f>
        <v>91.237031617585984</v>
      </c>
      <c r="O287" s="1">
        <f>IF('исходные данные'!O287&gt;'минимумы и максимумы'!M$3,100,('исходные данные'!O287-'минимумы и максимумы'!M$2)/('минимумы и максимумы'!M$3-'минимумы и максимумы'!M$2)*100)</f>
        <v>33.333333333333329</v>
      </c>
      <c r="P287" s="1">
        <f>IF('исходные данные'!P287&gt;'минимумы и максимумы'!N$3,100,('исходные данные'!P287-'минимумы и максимумы'!N$2)/('минимумы и максимумы'!N$3-'минимумы и максимумы'!N$2)*100)</f>
        <v>0</v>
      </c>
      <c r="Q287" s="1">
        <f>IF('исходные данные'!Q287&gt;'минимумы и максимумы'!O$3,100,('исходные данные'!Q287-'минимумы и максимумы'!O$2)/('минимумы и максимумы'!O$3-'минимумы и максимумы'!O$2)*100)</f>
        <v>0</v>
      </c>
      <c r="R287" s="1">
        <f>IF('исходные данные'!R287&gt;'минимумы и максимумы'!P$3,100,('исходные данные'!R287-'минимумы и максимумы'!P$2)/('минимумы и максимумы'!P$3-'минимумы и максимумы'!P$2)*100)</f>
        <v>25</v>
      </c>
      <c r="S287" s="1">
        <f>IF('исходные данные'!S287&gt;'минимумы и максимумы'!Q$3,100,('исходные данные'!S287-'минимумы и максимумы'!Q$2)/('минимумы и максимумы'!Q$3-'минимумы и максимумы'!Q$2)*100)</f>
        <v>16.666666666666664</v>
      </c>
      <c r="T287" s="1">
        <f>IF('исходные данные'!T287&gt;'минимумы и максимумы'!R$3,100,('исходные данные'!T287-'минимумы и максимумы'!R$2)/('минимумы и максимумы'!R$3-'минимумы и максимумы'!R$2)*100)</f>
        <v>27.936647602287724</v>
      </c>
      <c r="U287" s="1">
        <f>IF('исходные данные'!U287&gt;'минимумы и максимумы'!S$3,100,('исходные данные'!U287-'минимумы и максимумы'!S$2)/('минимумы и максимумы'!S$3-'минимумы и максимумы'!S$2)*100)</f>
        <v>0</v>
      </c>
    </row>
    <row r="288" spans="1:21" x14ac:dyDescent="0.45">
      <c r="A288" s="4">
        <v>389</v>
      </c>
      <c r="B288" s="4">
        <v>0</v>
      </c>
      <c r="C288" s="4">
        <v>1</v>
      </c>
      <c r="D288" s="1">
        <f>IF('исходные данные'!D288&gt;'минимумы и максимумы'!B$3,100,('исходные данные'!D288-'минимумы и максимумы'!B$2)/('минимумы и максимумы'!B$3-'минимумы и максимумы'!B$2)*100)</f>
        <v>0</v>
      </c>
      <c r="E288" s="1">
        <f>IF('исходные данные'!E288&gt;'минимумы и максимумы'!C$3,100,('исходные данные'!E288-'минимумы и максимумы'!C$2)/('минимумы и максимумы'!C$3-'минимумы и максимумы'!C$2)*100)</f>
        <v>0</v>
      </c>
      <c r="F288" s="1">
        <f>IF('исходные данные'!F288&gt;'минимумы и максимумы'!D$3,100,('исходные данные'!F288-'минимумы и максимумы'!D$2)/('минимумы и максимумы'!D$3-'минимумы и максимумы'!D$2)*100)</f>
        <v>0</v>
      </c>
      <c r="G288" s="1">
        <f>IF('исходные данные'!G288&gt;'минимумы и максимумы'!E$3,100,('исходные данные'!G288-'минимумы и максимумы'!E$2)/('минимумы и максимумы'!E$3-'минимумы и максимумы'!E$2)*100)</f>
        <v>16.666666666666664</v>
      </c>
      <c r="H288" s="1">
        <f>IF('исходные данные'!H288&gt;'минимумы и максимумы'!F$3,100,('исходные данные'!H288-'минимумы и максимумы'!F$2)/('минимумы и максимумы'!F$3-'минимумы и максимумы'!F$2)*100)</f>
        <v>28.000000000000004</v>
      </c>
      <c r="I288" s="1">
        <f>IF('исходные данные'!I288&gt;'минимумы и максимумы'!G$3,100,('исходные данные'!I288-'минимумы и максимумы'!G$2)/('минимумы и максимумы'!G$3-'минимумы и максимумы'!G$2)*100)</f>
        <v>9.433962264150944</v>
      </c>
      <c r="J288" s="1">
        <f>IF('исходные данные'!J288&gt;'минимумы и максимумы'!H$3,100,('исходные данные'!J288-'минимумы и максимумы'!H$2)/('минимумы и максимумы'!H$3-'минимумы и максимумы'!H$2)*100)</f>
        <v>0</v>
      </c>
      <c r="K288" s="1">
        <f>IF('исходные данные'!K288&gt;'минимумы и максимумы'!I$3,100,('исходные данные'!K288-'минимумы и максимумы'!I$2)/('минимумы и максимумы'!I$3-'минимумы и максимумы'!I$2)*100)</f>
        <v>0</v>
      </c>
      <c r="L288" s="1">
        <f>IF('исходные данные'!L288&gt;'минимумы и максимумы'!J$3,100,('исходные данные'!L288-'минимумы и максимумы'!J$2)/('минимумы и максимумы'!J$3-'минимумы и максимумы'!J$2)*100)</f>
        <v>0</v>
      </c>
      <c r="M288" s="1">
        <f>IF('исходные данные'!M288&gt;'минимумы и максимумы'!K$3,100,('исходные данные'!M288-'минимумы и максимумы'!K$2)/('минимумы и максимумы'!K$3-'минимумы и максимумы'!K$2)*100)</f>
        <v>6.4516129032258061</v>
      </c>
      <c r="N288" s="1">
        <f>IF('исходные данные'!N288&gt;'минимумы и максимумы'!L$3,100,('исходные данные'!N288-'минимумы и максимумы'!L$2)/('минимумы и максимумы'!L$3-'минимумы и максимумы'!L$2)*100)</f>
        <v>83.509126613085371</v>
      </c>
      <c r="O288" s="1">
        <f>IF('исходные данные'!O288&gt;'минимумы и максимумы'!M$3,100,('исходные данные'!O288-'минимумы и максимумы'!M$2)/('минимумы и максимумы'!M$3-'минимумы и максимумы'!M$2)*100)</f>
        <v>0</v>
      </c>
      <c r="P288" s="1">
        <f>IF('исходные данные'!P288&gt;'минимумы и максимумы'!N$3,100,('исходные данные'!P288-'минимумы и максимумы'!N$2)/('минимумы и максимумы'!N$3-'минимумы и максимумы'!N$2)*100)</f>
        <v>0</v>
      </c>
      <c r="Q288" s="1">
        <f>IF('исходные данные'!Q288&gt;'минимумы и максимумы'!O$3,100,('исходные данные'!Q288-'минимумы и максимумы'!O$2)/('минимумы и максимумы'!O$3-'минимумы и максимумы'!O$2)*100)</f>
        <v>100</v>
      </c>
      <c r="R288" s="1">
        <f>IF('исходные данные'!R288&gt;'минимумы и максимумы'!P$3,100,('исходные данные'!R288-'минимумы и максимумы'!P$2)/('минимумы и максимумы'!P$3-'минимумы и максимумы'!P$2)*100)</f>
        <v>100</v>
      </c>
      <c r="S288" s="1">
        <f>IF('исходные данные'!S288&gt;'минимумы и максимумы'!Q$3,100,('исходные данные'!S288-'минимумы и максимумы'!Q$2)/('минимумы и максимумы'!Q$3-'минимумы и максимумы'!Q$2)*100)</f>
        <v>16.666666666666664</v>
      </c>
      <c r="T288" s="1">
        <f>IF('исходные данные'!T288&gt;'минимумы и максимумы'!R$3,100,('исходные данные'!T288-'минимумы и максимумы'!R$2)/('минимумы и максимумы'!R$3-'минимумы и максимумы'!R$2)*100)</f>
        <v>1.8477782666080071</v>
      </c>
      <c r="U288" s="1">
        <f>IF('исходные данные'!U288&gt;'минимумы и максимумы'!S$3,100,('исходные данные'!U288-'минимумы и максимумы'!S$2)/('минимумы и максимумы'!S$3-'минимумы и максимумы'!S$2)*100)</f>
        <v>0</v>
      </c>
    </row>
    <row r="289" spans="1:21" x14ac:dyDescent="0.45">
      <c r="A289" s="4">
        <v>390</v>
      </c>
      <c r="B289" s="4">
        <v>0</v>
      </c>
      <c r="C289" s="4">
        <v>0</v>
      </c>
      <c r="D289" s="1">
        <f>IF('исходные данные'!D289&gt;'минимумы и максимумы'!B$3,100,('исходные данные'!D289-'минимумы и максимумы'!B$2)/('минимумы и максимумы'!B$3-'минимумы и максимумы'!B$2)*100)</f>
        <v>0</v>
      </c>
      <c r="E289" s="1">
        <f>IF('исходные данные'!E289&gt;'минимумы и максимумы'!C$3,100,('исходные данные'!E289-'минимумы и максимумы'!C$2)/('минимумы и максимумы'!C$3-'минимумы и максимумы'!C$2)*100)</f>
        <v>10</v>
      </c>
      <c r="F289" s="1">
        <f>IF('исходные данные'!F289&gt;'минимумы и максимумы'!D$3,100,('исходные данные'!F289-'минимумы и максимумы'!D$2)/('минимумы и максимумы'!D$3-'минимумы и максимумы'!D$2)*100)</f>
        <v>0</v>
      </c>
      <c r="G289" s="1">
        <f>IF('исходные данные'!G289&gt;'минимумы и максимумы'!E$3,100,('исходные данные'!G289-'минимумы и максимумы'!E$2)/('минимумы и максимумы'!E$3-'минимумы и максимумы'!E$2)*100)</f>
        <v>4.1666666666666661</v>
      </c>
      <c r="H289" s="1">
        <f>IF('исходные данные'!H289&gt;'минимумы и максимумы'!F$3,100,('исходные данные'!H289-'минимумы и максимумы'!F$2)/('минимумы и максимумы'!F$3-'минимумы и максимумы'!F$2)*100)</f>
        <v>8</v>
      </c>
      <c r="I289" s="1">
        <f>IF('исходные данные'!I289&gt;'минимумы и максимумы'!G$3,100,('исходные данные'!I289-'минимумы и максимумы'!G$2)/('минимумы и максимумы'!G$3-'минимумы и максимумы'!G$2)*100)</f>
        <v>1.8867924528301887</v>
      </c>
      <c r="J289" s="1">
        <f>IF('исходные данные'!J289&gt;'минимумы и максимумы'!H$3,100,('исходные данные'!J289-'минимумы и максимумы'!H$2)/('минимумы и максимумы'!H$3-'минимумы и максимумы'!H$2)*100)</f>
        <v>0</v>
      </c>
      <c r="K289" s="1">
        <f>IF('исходные данные'!K289&gt;'минимумы и максимумы'!I$3,100,('исходные данные'!K289-'минимумы и максимумы'!I$2)/('минимумы и максимумы'!I$3-'минимумы и максимумы'!I$2)*100)</f>
        <v>0</v>
      </c>
      <c r="L289" s="1">
        <f>IF('исходные данные'!L289&gt;'минимумы и максимумы'!J$3,100,('исходные данные'!L289-'минимумы и максимумы'!J$2)/('минимумы и максимумы'!J$3-'минимумы и максимумы'!J$2)*100)</f>
        <v>0</v>
      </c>
      <c r="M289" s="1">
        <f>IF('исходные данные'!M289&gt;'минимумы и максимумы'!K$3,100,('исходные данные'!M289-'минимумы и максимумы'!K$2)/('минимумы и максимумы'!K$3-'минимумы и максимумы'!K$2)*100)</f>
        <v>9.67741935483871</v>
      </c>
      <c r="N289" s="1">
        <f>IF('исходные данные'!N289&gt;'минимумы и максимумы'!L$3,100,('исходные данные'!N289-'минимумы и максимумы'!L$2)/('минимумы и максимумы'!L$3-'минимумы и максимумы'!L$2)*100)</f>
        <v>81.597941296335904</v>
      </c>
      <c r="O289" s="1">
        <f>IF('исходные данные'!O289&gt;'минимумы и максимумы'!M$3,100,('исходные данные'!O289-'минимумы и максимумы'!M$2)/('минимумы и максимумы'!M$3-'минимумы и максимумы'!M$2)*100)</f>
        <v>0</v>
      </c>
      <c r="P289" s="1">
        <f>IF('исходные данные'!P289&gt;'минимумы и максимумы'!N$3,100,('исходные данные'!P289-'минимумы и максимумы'!N$2)/('минимумы и максимумы'!N$3-'минимумы и максимумы'!N$2)*100)</f>
        <v>100</v>
      </c>
      <c r="Q289" s="1">
        <f>IF('исходные данные'!Q289&gt;'минимумы и максимумы'!O$3,100,('исходные данные'!Q289-'минимумы и максимумы'!O$2)/('минимумы и максимумы'!O$3-'минимумы и максимумы'!O$2)*100)</f>
        <v>100</v>
      </c>
      <c r="R289" s="1">
        <f>IF('исходные данные'!R289&gt;'минимумы и максимумы'!P$3,100,('исходные данные'!R289-'минимумы и максимумы'!P$2)/('минимумы и максимумы'!P$3-'минимумы и максимумы'!P$2)*100)</f>
        <v>50</v>
      </c>
      <c r="S289" s="1">
        <f>IF('исходные данные'!S289&gt;'минимумы и максимумы'!Q$3,100,('исходные данные'!S289-'минимумы и максимумы'!Q$2)/('минимумы и максимумы'!Q$3-'минимумы и максимумы'!Q$2)*100)</f>
        <v>33.333333333333329</v>
      </c>
      <c r="T289" s="1">
        <f>IF('исходные данные'!T289&gt;'минимумы и максимумы'!R$3,100,('исходные данные'!T289-'минимумы и максимумы'!R$2)/('минимумы и максимумы'!R$3-'минимумы и максимумы'!R$2)*100)</f>
        <v>14.738231412230531</v>
      </c>
      <c r="U289" s="1">
        <f>IF('исходные данные'!U289&gt;'минимумы и максимумы'!S$3,100,('исходные данные'!U289-'минимумы и максимумы'!S$2)/('минимумы и максимумы'!S$3-'минимумы и максимумы'!S$2)*100)</f>
        <v>0</v>
      </c>
    </row>
    <row r="290" spans="1:21" x14ac:dyDescent="0.45">
      <c r="A290" s="4">
        <v>391</v>
      </c>
      <c r="B290" s="4">
        <v>0</v>
      </c>
      <c r="C290" s="4">
        <v>0</v>
      </c>
      <c r="D290" s="1">
        <f>IF('исходные данные'!D290&gt;'минимумы и максимумы'!B$3,100,('исходные данные'!D290-'минимумы и максимумы'!B$2)/('минимумы и максимумы'!B$3-'минимумы и максимумы'!B$2)*100)</f>
        <v>0</v>
      </c>
      <c r="E290" s="1">
        <f>IF('исходные данные'!E290&gt;'минимумы и максимумы'!C$3,100,('исходные данные'!E290-'минимумы и максимумы'!C$2)/('минимумы и максимумы'!C$3-'минимумы и максимумы'!C$2)*100)</f>
        <v>30</v>
      </c>
      <c r="F290" s="1">
        <f>IF('исходные данные'!F290&gt;'минимумы и максимумы'!D$3,100,('исходные данные'!F290-'минимумы и максимумы'!D$2)/('минимумы и максимумы'!D$3-'минимумы и максимумы'!D$2)*100)</f>
        <v>0</v>
      </c>
      <c r="G290" s="1">
        <f>IF('исходные данные'!G290&gt;'минимумы и максимумы'!E$3,100,('исходные данные'!G290-'минимумы и максимумы'!E$2)/('минимумы и максимумы'!E$3-'минимумы и максимумы'!E$2)*100)</f>
        <v>20.833333333333336</v>
      </c>
      <c r="H290" s="1">
        <f>IF('исходные данные'!H290&gt;'минимумы и максимумы'!F$3,100,('исходные данные'!H290-'минимумы и максимумы'!F$2)/('минимумы и максимумы'!F$3-'минимумы и максимумы'!F$2)*100)</f>
        <v>32</v>
      </c>
      <c r="I290" s="1">
        <f>IF('исходные данные'!I290&gt;'минимумы и максимумы'!G$3,100,('исходные данные'!I290-'минимумы и максимумы'!G$2)/('минимумы и максимумы'!G$3-'минимумы и максимумы'!G$2)*100)</f>
        <v>11.320754716981133</v>
      </c>
      <c r="J290" s="1">
        <f>IF('исходные данные'!J290&gt;'минимумы и максимумы'!H$3,100,('исходные данные'!J290-'минимумы и максимумы'!H$2)/('минимумы и максимумы'!H$3-'минимумы и максимумы'!H$2)*100)</f>
        <v>0</v>
      </c>
      <c r="K290" s="1">
        <f>IF('исходные данные'!K290&gt;'минимумы и максимумы'!I$3,100,('исходные данные'!K290-'минимумы и максимумы'!I$2)/('минимумы и максимумы'!I$3-'минимумы и максимумы'!I$2)*100)</f>
        <v>0</v>
      </c>
      <c r="L290" s="1">
        <f>IF('исходные данные'!L290&gt;'минимумы и максимумы'!J$3,100,('исходные данные'!L290-'минимумы и максимумы'!J$2)/('минимумы и максимумы'!J$3-'минимумы и максимумы'!J$2)*100)</f>
        <v>0</v>
      </c>
      <c r="M290" s="1">
        <f>IF('исходные данные'!M290&gt;'минимумы и максимумы'!K$3,100,('исходные данные'!M290-'минимумы и максимумы'!K$2)/('минимумы и максимумы'!K$3-'минимумы и максимумы'!K$2)*100)</f>
        <v>41.935483870967744</v>
      </c>
      <c r="N290" s="1">
        <f>IF('исходные данные'!N290&gt;'минимумы и максимумы'!L$3,100,('исходные данные'!N290-'минимумы и максимумы'!L$2)/('минимумы и максимумы'!L$3-'минимумы и максимумы'!L$2)*100)</f>
        <v>69.881788219481095</v>
      </c>
      <c r="O290" s="1">
        <f>IF('исходные данные'!O290&gt;'минимумы и максимумы'!M$3,100,('исходные данные'!O290-'минимумы и максимумы'!M$2)/('минимумы и максимумы'!M$3-'минимумы и максимумы'!M$2)*100)</f>
        <v>0</v>
      </c>
      <c r="P290" s="1">
        <f>IF('исходные данные'!P290&gt;'минимумы и максимумы'!N$3,100,('исходные данные'!P290-'минимумы и максимумы'!N$2)/('минимумы и максимумы'!N$3-'минимумы и максимумы'!N$2)*100)</f>
        <v>100</v>
      </c>
      <c r="Q290" s="1">
        <f>IF('исходные данные'!Q290&gt;'минимумы и максимумы'!O$3,100,('исходные данные'!Q290-'минимумы и максимумы'!O$2)/('минимумы и максимумы'!O$3-'минимумы и максимумы'!O$2)*100)</f>
        <v>100</v>
      </c>
      <c r="R290" s="1">
        <f>IF('исходные данные'!R290&gt;'минимумы и максимумы'!P$3,100,('исходные данные'!R290-'минимумы и максимумы'!P$2)/('минимумы и максимумы'!P$3-'минимумы и максимумы'!P$2)*100)</f>
        <v>100</v>
      </c>
      <c r="S290" s="1">
        <f>IF('исходные данные'!S290&gt;'минимумы и максимумы'!Q$3,100,('исходные данные'!S290-'минимумы и максимумы'!Q$2)/('минимумы и максимумы'!Q$3-'минимумы и максимумы'!Q$2)*100)</f>
        <v>33.333333333333329</v>
      </c>
      <c r="T290" s="1">
        <f>IF('исходные данные'!T290&gt;'минимумы и максимумы'!R$3,100,('исходные данные'!T290-'минимумы и максимумы'!R$2)/('минимумы и максимумы'!R$3-'минимумы и максимумы'!R$2)*100)</f>
        <v>14.958205015398152</v>
      </c>
      <c r="U290" s="1">
        <f>IF('исходные данные'!U290&gt;'минимумы и максимумы'!S$3,100,('исходные данные'!U290-'минимумы и максимумы'!S$2)/('минимумы и максимумы'!S$3-'минимумы и максимумы'!S$2)*100)</f>
        <v>66.666666666666657</v>
      </c>
    </row>
    <row r="291" spans="1:21" x14ac:dyDescent="0.45">
      <c r="A291" s="4">
        <v>392</v>
      </c>
      <c r="B291" s="4">
        <v>0</v>
      </c>
      <c r="C291" s="4">
        <v>0</v>
      </c>
      <c r="D291" s="1">
        <f>IF('исходные данные'!D291&gt;'минимумы и максимумы'!B$3,100,('исходные данные'!D291-'минимумы и максимумы'!B$2)/('минимумы и максимумы'!B$3-'минимумы и максимумы'!B$2)*100)</f>
        <v>0</v>
      </c>
      <c r="E291" s="1">
        <f>IF('исходные данные'!E291&gt;'минимумы и максимумы'!C$3,100,('исходные данные'!E291-'минимумы и максимумы'!C$2)/('минимумы и максимумы'!C$3-'минимумы и максимумы'!C$2)*100)</f>
        <v>10</v>
      </c>
      <c r="F291" s="1">
        <f>IF('исходные данные'!F291&gt;'минимумы и максимумы'!D$3,100,('исходные данные'!F291-'минимумы и максимумы'!D$2)/('минимумы и максимумы'!D$3-'минимумы и максимумы'!D$2)*100)</f>
        <v>0</v>
      </c>
      <c r="G291" s="1">
        <f>IF('исходные данные'!G291&gt;'минимумы и максимумы'!E$3,100,('исходные данные'!G291-'минимумы и максимумы'!E$2)/('минимумы и максимумы'!E$3-'минимумы и максимумы'!E$2)*100)</f>
        <v>4.1666666666666661</v>
      </c>
      <c r="H291" s="1">
        <f>IF('исходные данные'!H291&gt;'минимумы и максимумы'!F$3,100,('исходные данные'!H291-'минимумы и максимумы'!F$2)/('минимумы и максимумы'!F$3-'минимумы и максимумы'!F$2)*100)</f>
        <v>8</v>
      </c>
      <c r="I291" s="1">
        <f>IF('исходные данные'!I291&gt;'минимумы и максимумы'!G$3,100,('исходные данные'!I291-'минимумы и максимумы'!G$2)/('минимумы и максимумы'!G$3-'минимумы и максимумы'!G$2)*100)</f>
        <v>1.8867924528301887</v>
      </c>
      <c r="J291" s="1">
        <f>IF('исходные данные'!J291&gt;'минимумы и максимумы'!H$3,100,('исходные данные'!J291-'минимумы и максимумы'!H$2)/('минимумы и максимумы'!H$3-'минимумы и максимумы'!H$2)*100)</f>
        <v>0</v>
      </c>
      <c r="K291" s="1">
        <f>IF('исходные данные'!K291&gt;'минимумы и максимумы'!I$3,100,('исходные данные'!K291-'минимумы и максимумы'!I$2)/('минимумы и максимумы'!I$3-'минимумы и максимумы'!I$2)*100)</f>
        <v>0</v>
      </c>
      <c r="L291" s="1">
        <f>IF('исходные данные'!L291&gt;'минимумы и максимумы'!J$3,100,('исходные данные'!L291-'минимумы и максимумы'!J$2)/('минимумы и максимумы'!J$3-'минимумы и максимумы'!J$2)*100)</f>
        <v>0</v>
      </c>
      <c r="M291" s="1">
        <f>IF('исходные данные'!M291&gt;'минимумы и максимумы'!K$3,100,('исходные данные'!M291-'минимумы и максимумы'!K$2)/('минимумы и максимумы'!K$3-'минимумы и максимумы'!K$2)*100)</f>
        <v>0</v>
      </c>
      <c r="N291" s="1">
        <f>IF('исходные данные'!N291&gt;'минимумы и максимумы'!L$3,100,('исходные данные'!N291-'минимумы и максимумы'!L$2)/('минимумы и максимумы'!L$3-'минимумы и максимумы'!L$2)*100)</f>
        <v>68.607980502918181</v>
      </c>
      <c r="O291" s="1">
        <f>IF('исходные данные'!O291&gt;'минимумы и максимумы'!M$3,100,('исходные данные'!O291-'минимумы и максимумы'!M$2)/('минимумы и максимумы'!M$3-'минимумы и максимумы'!M$2)*100)</f>
        <v>66.666666666666657</v>
      </c>
      <c r="P291" s="1">
        <f>IF('исходные данные'!P291&gt;'минимумы и максимумы'!N$3,100,('исходные данные'!P291-'минимумы и максимумы'!N$2)/('минимумы и максимумы'!N$3-'минимумы и максимумы'!N$2)*100)</f>
        <v>0</v>
      </c>
      <c r="Q291" s="1">
        <f>IF('исходные данные'!Q291&gt;'минимумы и максимумы'!O$3,100,('исходные данные'!Q291-'минимумы и максимумы'!O$2)/('минимумы и максимумы'!O$3-'минимумы и максимумы'!O$2)*100)</f>
        <v>0</v>
      </c>
      <c r="R291" s="1">
        <f>IF('исходные данные'!R291&gt;'минимумы и максимумы'!P$3,100,('исходные данные'!R291-'минимумы и максимумы'!P$2)/('минимумы и максимумы'!P$3-'минимумы и максимумы'!P$2)*100)</f>
        <v>25</v>
      </c>
      <c r="S291" s="1">
        <f>IF('исходные данные'!S291&gt;'минимумы и максимумы'!Q$3,100,('исходные данные'!S291-'минимумы и максимумы'!Q$2)/('минимумы и максимумы'!Q$3-'минимумы и максимумы'!Q$2)*100)</f>
        <v>33.333333333333329</v>
      </c>
      <c r="T291" s="1">
        <f>IF('исходные данные'!T291&gt;'минимумы и максимумы'!R$3,100,('исходные данные'!T291-'минимумы и максимумы'!R$2)/('минимумы и максимумы'!R$3-'минимумы и максимумы'!R$2)*100)</f>
        <v>54.245490541135069</v>
      </c>
      <c r="U291" s="1">
        <f>IF('исходные данные'!U291&gt;'минимумы и максимумы'!S$3,100,('исходные данные'!U291-'минимумы и максимумы'!S$2)/('минимумы и максимумы'!S$3-'минимумы и максимумы'!S$2)*100)</f>
        <v>0</v>
      </c>
    </row>
    <row r="292" spans="1:21" x14ac:dyDescent="0.45">
      <c r="A292" s="4">
        <v>393</v>
      </c>
      <c r="B292" s="4">
        <v>0</v>
      </c>
      <c r="C292" s="4">
        <v>0</v>
      </c>
      <c r="D292" s="1">
        <f>IF('исходные данные'!D292&gt;'минимумы и максимумы'!B$3,100,('исходные данные'!D292-'минимумы и максимумы'!B$2)/('минимумы и максимумы'!B$3-'минимумы и максимумы'!B$2)*100)</f>
        <v>0</v>
      </c>
      <c r="E292" s="1">
        <f>IF('исходные данные'!E292&gt;'минимумы и максимумы'!C$3,100,('исходные данные'!E292-'минимумы и максимумы'!C$2)/('минимумы и максимумы'!C$3-'минимумы и максимумы'!C$2)*100)</f>
        <v>10</v>
      </c>
      <c r="F292" s="1">
        <f>IF('исходные данные'!F292&gt;'минимумы и максимумы'!D$3,100,('исходные данные'!F292-'минимумы и максимумы'!D$2)/('минимумы и максимумы'!D$3-'минимумы и максимумы'!D$2)*100)</f>
        <v>0</v>
      </c>
      <c r="G292" s="1">
        <f>IF('исходные данные'!G292&gt;'минимумы и максимумы'!E$3,100,('исходные данные'!G292-'минимумы и максимумы'!E$2)/('минимумы и максимумы'!E$3-'минимумы и максимумы'!E$2)*100)</f>
        <v>0</v>
      </c>
      <c r="H292" s="1">
        <f>IF('исходные данные'!H292&gt;'минимумы и максимумы'!F$3,100,('исходные данные'!H292-'минимумы и максимумы'!F$2)/('минимумы и максимумы'!F$3-'минимумы и максимумы'!F$2)*100)</f>
        <v>4</v>
      </c>
      <c r="I292" s="1">
        <f>IF('исходные данные'!I292&gt;'минимумы и максимумы'!G$3,100,('исходные данные'!I292-'минимумы и максимумы'!G$2)/('минимумы и максимумы'!G$3-'минимумы и максимумы'!G$2)*100)</f>
        <v>1.8867924528301887</v>
      </c>
      <c r="J292" s="1">
        <f>IF('исходные данные'!J292&gt;'минимумы и максимумы'!H$3,100,('исходные данные'!J292-'минимумы и максимумы'!H$2)/('минимумы и максимумы'!H$3-'минимумы и максимумы'!H$2)*100)</f>
        <v>0</v>
      </c>
      <c r="K292" s="1">
        <f>IF('исходные данные'!K292&gt;'минимумы и максимумы'!I$3,100,('исходные данные'!K292-'минимумы и максимумы'!I$2)/('минимумы и максимумы'!I$3-'минимумы и максимумы'!I$2)*100)</f>
        <v>0</v>
      </c>
      <c r="L292" s="1">
        <f>IF('исходные данные'!L292&gt;'минимумы и максимумы'!J$3,100,('исходные данные'!L292-'минимумы и максимумы'!J$2)/('минимумы и максимумы'!J$3-'минимумы и максимумы'!J$2)*100)</f>
        <v>0</v>
      </c>
      <c r="M292" s="1">
        <f>IF('исходные данные'!M292&gt;'минимумы и максимумы'!K$3,100,('исходные данные'!M292-'минимумы и максимумы'!K$2)/('минимумы и максимумы'!K$3-'минимумы и максимумы'!K$2)*100)</f>
        <v>9.67741935483871</v>
      </c>
      <c r="N292" s="1">
        <f>IF('исходные данные'!N292&gt;'минимумы и максимумы'!L$3,100,('исходные данные'!N292-'минимумы и максимумы'!L$2)/('минимумы и максимумы'!L$3-'минимумы и максимумы'!L$2)*100)</f>
        <v>68.018769491218507</v>
      </c>
      <c r="O292" s="1">
        <f>IF('исходные данные'!O292&gt;'минимумы и максимумы'!M$3,100,('исходные данные'!O292-'минимумы и максимумы'!M$2)/('минимумы и максимумы'!M$3-'минимумы и максимумы'!M$2)*100)</f>
        <v>66.666666666666657</v>
      </c>
      <c r="P292" s="1">
        <f>IF('исходные данные'!P292&gt;'минимумы и максимумы'!N$3,100,('исходные данные'!P292-'минимумы и максимумы'!N$2)/('минимумы и максимумы'!N$3-'минимумы и максимумы'!N$2)*100)</f>
        <v>0</v>
      </c>
      <c r="Q292" s="1">
        <f>IF('исходные данные'!Q292&gt;'минимумы и максимумы'!O$3,100,('исходные данные'!Q292-'минимумы и максимумы'!O$2)/('минимумы и максимумы'!O$3-'минимумы и максимумы'!O$2)*100)</f>
        <v>0</v>
      </c>
      <c r="R292" s="1">
        <f>IF('исходные данные'!R292&gt;'минимумы и максимумы'!P$3,100,('исходные данные'!R292-'минимумы и максимумы'!P$2)/('минимумы и максимумы'!P$3-'минимумы и максимумы'!P$2)*100)</f>
        <v>25</v>
      </c>
      <c r="S292" s="1">
        <f>IF('исходные данные'!S292&gt;'минимумы и максимумы'!Q$3,100,('исходные данные'!S292-'минимумы и максимумы'!Q$2)/('минимумы и максимумы'!Q$3-'минимумы и максимумы'!Q$2)*100)</f>
        <v>33.333333333333329</v>
      </c>
      <c r="T292" s="1">
        <f>IF('исходные данные'!T292&gt;'минимумы и максимумы'!R$3,100,('исходные данные'!T292-'минимумы и максимумы'!R$2)/('минимумы и максимумы'!R$3-'минимумы и максимумы'!R$2)*100)</f>
        <v>31.148262208534977</v>
      </c>
      <c r="U292" s="1">
        <f>IF('исходные данные'!U292&gt;'минимумы и максимумы'!S$3,100,('исходные данные'!U292-'минимумы и максимумы'!S$2)/('минимумы и максимумы'!S$3-'минимумы и максимумы'!S$2)*100)</f>
        <v>0</v>
      </c>
    </row>
    <row r="293" spans="1:21" x14ac:dyDescent="0.45">
      <c r="A293" s="4">
        <v>394</v>
      </c>
      <c r="B293" s="4">
        <v>0</v>
      </c>
      <c r="C293" s="4">
        <v>1</v>
      </c>
      <c r="D293" s="1">
        <f>IF('исходные данные'!D293&gt;'минимумы и максимумы'!B$3,100,('исходные данные'!D293-'минимумы и максимумы'!B$2)/('минимумы и максимумы'!B$3-'минимумы и максимумы'!B$2)*100)</f>
        <v>0</v>
      </c>
      <c r="E293" s="1">
        <f>IF('исходные данные'!E293&gt;'минимумы и максимумы'!C$3,100,('исходные данные'!E293-'минимумы и максимумы'!C$2)/('минимумы и максимумы'!C$3-'минимумы и максимумы'!C$2)*100)</f>
        <v>10</v>
      </c>
      <c r="F293" s="1">
        <f>IF('исходные данные'!F293&gt;'минимумы и максимумы'!D$3,100,('исходные данные'!F293-'минимумы и максимумы'!D$2)/('минимумы и максимумы'!D$3-'минимумы и максимумы'!D$2)*100)</f>
        <v>0</v>
      </c>
      <c r="G293" s="1">
        <f>IF('исходные данные'!G293&gt;'минимумы и максимумы'!E$3,100,('исходные данные'!G293-'минимумы и максимумы'!E$2)/('минимумы и максимумы'!E$3-'минимумы и максимумы'!E$2)*100)</f>
        <v>12.5</v>
      </c>
      <c r="H293" s="1">
        <f>IF('исходные данные'!H293&gt;'минимумы и максимумы'!F$3,100,('исходные данные'!H293-'минимумы и максимумы'!F$2)/('минимумы и максимумы'!F$3-'минимумы и максимумы'!F$2)*100)</f>
        <v>8</v>
      </c>
      <c r="I293" s="1">
        <f>IF('исходные данные'!I293&gt;'минимумы и максимумы'!G$3,100,('исходные данные'!I293-'минимумы и максимумы'!G$2)/('минимумы и максимумы'!G$3-'минимумы и максимумы'!G$2)*100)</f>
        <v>1.8867924528301887</v>
      </c>
      <c r="J293" s="1">
        <f>IF('исходные данные'!J293&gt;'минимумы и максимумы'!H$3,100,('исходные данные'!J293-'минимумы и максимумы'!H$2)/('минимумы и максимумы'!H$3-'минимумы и максимумы'!H$2)*100)</f>
        <v>0</v>
      </c>
      <c r="K293" s="1">
        <f>IF('исходные данные'!K293&gt;'минимумы и максимумы'!I$3,100,('исходные данные'!K293-'минимумы и максимумы'!I$2)/('минимумы и максимумы'!I$3-'минимумы и максимумы'!I$2)*100)</f>
        <v>0</v>
      </c>
      <c r="L293" s="1">
        <f>IF('исходные данные'!L293&gt;'минимумы и максимумы'!J$3,100,('исходные данные'!L293-'минимумы и максимумы'!J$2)/('минимумы и максимумы'!J$3-'минимумы и максимумы'!J$2)*100)</f>
        <v>0</v>
      </c>
      <c r="M293" s="1">
        <f>IF('исходные данные'!M293&gt;'минимумы и максимумы'!K$3,100,('исходные данные'!M293-'минимумы и максимумы'!K$2)/('минимумы и максимумы'!K$3-'минимумы и максимумы'!K$2)*100)</f>
        <v>35.483870967741936</v>
      </c>
      <c r="N293" s="1">
        <f>IF('исходные данные'!N293&gt;'минимумы и максимумы'!L$3,100,('исходные данные'!N293-'минимумы и максимумы'!L$2)/('минимумы и максимумы'!L$3-'минимумы и максимумы'!L$2)*100)</f>
        <v>67.600388399129926</v>
      </c>
      <c r="O293" s="1">
        <f>IF('исходные данные'!O293&gt;'минимумы и максимумы'!M$3,100,('исходные данные'!O293-'минимумы и максимумы'!M$2)/('минимумы и максимумы'!M$3-'минимумы и максимумы'!M$2)*100)</f>
        <v>66.666666666666657</v>
      </c>
      <c r="P293" s="1">
        <f>IF('исходные данные'!P293&gt;'минимумы и максимумы'!N$3,100,('исходные данные'!P293-'минимумы и максимумы'!N$2)/('минимумы и максимумы'!N$3-'минимумы и максимумы'!N$2)*100)</f>
        <v>0</v>
      </c>
      <c r="Q293" s="1">
        <f>IF('исходные данные'!Q293&gt;'минимумы и максимумы'!O$3,100,('исходные данные'!Q293-'минимумы и максимумы'!O$2)/('минимумы и максимумы'!O$3-'минимумы и максимумы'!O$2)*100)</f>
        <v>0</v>
      </c>
      <c r="R293" s="1">
        <f>IF('исходные данные'!R293&gt;'минимумы и максимумы'!P$3,100,('исходные данные'!R293-'минимумы и максимумы'!P$2)/('минимумы и максимумы'!P$3-'минимумы и максимумы'!P$2)*100)</f>
        <v>25</v>
      </c>
      <c r="S293" s="1">
        <f>IF('исходные данные'!S293&gt;'минимумы и максимумы'!Q$3,100,('исходные данные'!S293-'минимумы и максимумы'!Q$2)/('минимумы и максимумы'!Q$3-'минимумы и максимумы'!Q$2)*100)</f>
        <v>16.666666666666664</v>
      </c>
      <c r="T293" s="1">
        <f>IF('исходные данные'!T293&gt;'минимумы и максимумы'!R$3,100,('исходные данные'!T293-'минимумы и максимумы'!R$2)/('минимумы и максимумы'!R$3-'минимумы и максимумы'!R$2)*100)</f>
        <v>5.1473823141223054</v>
      </c>
      <c r="U293" s="1">
        <f>IF('исходные данные'!U293&gt;'минимумы и максимумы'!S$3,100,('исходные данные'!U293-'минимумы и максимумы'!S$2)/('минимумы и максимумы'!S$3-'минимумы и максимумы'!S$2)*100)</f>
        <v>0</v>
      </c>
    </row>
    <row r="294" spans="1:21" x14ac:dyDescent="0.45">
      <c r="A294" s="4">
        <v>395</v>
      </c>
      <c r="B294" s="4">
        <v>0</v>
      </c>
      <c r="C294" s="4">
        <v>0</v>
      </c>
      <c r="D294" s="1">
        <f>IF('исходные данные'!D294&gt;'минимумы и максимумы'!B$3,100,('исходные данные'!D294-'минимумы и максимумы'!B$2)/('минимумы и максимумы'!B$3-'минимумы и максимумы'!B$2)*100)</f>
        <v>0</v>
      </c>
      <c r="E294" s="1">
        <f>IF('исходные данные'!E294&gt;'минимумы и максимумы'!C$3,100,('исходные данные'!E294-'минимумы и максимумы'!C$2)/('минимумы и максимумы'!C$3-'минимумы и максимумы'!C$2)*100)</f>
        <v>0</v>
      </c>
      <c r="F294" s="1">
        <f>IF('исходные данные'!F294&gt;'минимумы и максимумы'!D$3,100,('исходные данные'!F294-'минимумы и максимумы'!D$2)/('минимумы и максимумы'!D$3-'минимумы и максимумы'!D$2)*100)</f>
        <v>0</v>
      </c>
      <c r="G294" s="1">
        <f>IF('исходные данные'!G294&gt;'минимумы и максимумы'!E$3,100,('исходные данные'!G294-'минимумы и максимумы'!E$2)/('минимумы и максимумы'!E$3-'минимумы и максимумы'!E$2)*100)</f>
        <v>0</v>
      </c>
      <c r="H294" s="1">
        <f>IF('исходные данные'!H294&gt;'минимумы и максимумы'!F$3,100,('исходные данные'!H294-'минимумы и максимумы'!F$2)/('минимумы и максимумы'!F$3-'минимумы и максимумы'!F$2)*100)</f>
        <v>0</v>
      </c>
      <c r="I294" s="1">
        <f>IF('исходные данные'!I294&gt;'минимумы и максимумы'!G$3,100,('исходные данные'!I294-'минимумы и максимумы'!G$2)/('минимумы и максимумы'!G$3-'минимумы и максимумы'!G$2)*100)</f>
        <v>0</v>
      </c>
      <c r="J294" s="1">
        <f>IF('исходные данные'!J294&gt;'минимумы и максимумы'!H$3,100,('исходные данные'!J294-'минимумы и максимумы'!H$2)/('минимумы и максимумы'!H$3-'минимумы и максимумы'!H$2)*100)</f>
        <v>0</v>
      </c>
      <c r="K294" s="1">
        <f>IF('исходные данные'!K294&gt;'минимумы и максимумы'!I$3,100,('исходные данные'!K294-'минимумы и максимумы'!I$2)/('минимумы и максимумы'!I$3-'минимумы и максимумы'!I$2)*100)</f>
        <v>0</v>
      </c>
      <c r="L294" s="1">
        <f>IF('исходные данные'!L294&gt;'минимумы и максимумы'!J$3,100,('исходные данные'!L294-'минимумы и максимумы'!J$2)/('минимумы и максимумы'!J$3-'минимумы и максимумы'!J$2)*100)</f>
        <v>0</v>
      </c>
      <c r="M294" s="1">
        <f>IF('исходные данные'!M294&gt;'минимумы и максимумы'!K$3,100,('исходные данные'!M294-'минимумы и максимумы'!K$2)/('минимумы и максимумы'!K$3-'минимумы и максимумы'!K$2)*100)</f>
        <v>6.4516129032258061</v>
      </c>
      <c r="N294" s="1">
        <f>IF('исходные данные'!N294&gt;'минимумы и максимумы'!L$3,100,('исходные данные'!N294-'минимумы и максимумы'!L$2)/('минимумы и максимумы'!L$3-'минимумы и максимумы'!L$2)*100)</f>
        <v>66.780089317623066</v>
      </c>
      <c r="O294" s="1">
        <f>IF('исходные данные'!O294&gt;'минимумы и максимумы'!M$3,100,('исходные данные'!O294-'минимумы и максимумы'!M$2)/('минимумы и максимумы'!M$3-'минимумы и максимумы'!M$2)*100)</f>
        <v>33.333333333333329</v>
      </c>
      <c r="P294" s="1">
        <f>IF('исходные данные'!P294&gt;'минимумы и максимумы'!N$3,100,('исходные данные'!P294-'минимумы и максимумы'!N$2)/('минимумы и максимумы'!N$3-'минимумы и максимумы'!N$2)*100)</f>
        <v>0</v>
      </c>
      <c r="Q294" s="1">
        <f>IF('исходные данные'!Q294&gt;'минимумы и максимумы'!O$3,100,('исходные данные'!Q294-'минимумы и максимумы'!O$2)/('минимумы и максимумы'!O$3-'минимумы и максимумы'!O$2)*100)</f>
        <v>0</v>
      </c>
      <c r="R294" s="1">
        <f>IF('исходные данные'!R294&gt;'минимумы и максимумы'!P$3,100,('исходные данные'!R294-'минимумы и максимумы'!P$2)/('минимумы и максимумы'!P$3-'минимумы и максимумы'!P$2)*100)</f>
        <v>50</v>
      </c>
      <c r="S294" s="1">
        <f>IF('исходные данные'!S294&gt;'минимумы и максимумы'!Q$3,100,('исходные данные'!S294-'минимумы и максимумы'!Q$2)/('минимумы и максимумы'!Q$3-'минимумы и максимумы'!Q$2)*100)</f>
        <v>16.666666666666664</v>
      </c>
      <c r="T294" s="1">
        <f>IF('исходные данные'!T294&gt;'минимумы и максимумы'!R$3,100,('исходные данные'!T294-'минимумы и максимумы'!R$2)/('минимумы и максимумы'!R$3-'минимумы и максимумы'!R$2)*100)</f>
        <v>7.7870655521337442</v>
      </c>
      <c r="U294" s="1">
        <f>IF('исходные данные'!U294&gt;'минимумы и максимумы'!S$3,100,('исходные данные'!U294-'минимумы и максимумы'!S$2)/('минимумы и максимумы'!S$3-'минимумы и максимумы'!S$2)*100)</f>
        <v>0</v>
      </c>
    </row>
    <row r="295" spans="1:21" x14ac:dyDescent="0.45">
      <c r="A295" s="4">
        <v>397</v>
      </c>
      <c r="B295" s="4">
        <v>0</v>
      </c>
      <c r="C295" s="4">
        <v>0</v>
      </c>
      <c r="D295" s="1">
        <f>IF('исходные данные'!D295&gt;'минимумы и максимумы'!B$3,100,('исходные данные'!D295-'минимумы и максимумы'!B$2)/('минимумы и максимумы'!B$3-'минимумы и максимумы'!B$2)*100)</f>
        <v>20</v>
      </c>
      <c r="E295" s="1">
        <f>IF('исходные данные'!E295&gt;'минимумы и максимумы'!C$3,100,('исходные данные'!E295-'минимумы и максимумы'!C$2)/('минимумы и максимумы'!C$3-'минимумы и максимумы'!C$2)*100)</f>
        <v>30</v>
      </c>
      <c r="F295" s="1">
        <f>IF('исходные данные'!F295&gt;'минимумы и максимумы'!D$3,100,('исходные данные'!F295-'минимумы и максимумы'!D$2)/('минимумы и максимумы'!D$3-'минимумы и максимумы'!D$2)*100)</f>
        <v>33.333333333333329</v>
      </c>
      <c r="G295" s="1">
        <f>IF('исходные данные'!G295&gt;'минимумы и максимумы'!E$3,100,('исходные данные'!G295-'минимумы и максимумы'!E$2)/('минимумы и максимумы'!E$3-'минимумы и максимумы'!E$2)*100)</f>
        <v>16.666666666666664</v>
      </c>
      <c r="H295" s="1">
        <f>IF('исходные данные'!H295&gt;'минимумы и максимумы'!F$3,100,('исходные данные'!H295-'минимумы и максимумы'!F$2)/('минимумы и максимумы'!F$3-'минимумы и максимумы'!F$2)*100)</f>
        <v>28.000000000000004</v>
      </c>
      <c r="I295" s="1">
        <f>IF('исходные данные'!I295&gt;'минимумы и максимумы'!G$3,100,('исходные данные'!I295-'минимумы и максимумы'!G$2)/('минимумы и максимумы'!G$3-'минимумы и максимумы'!G$2)*100)</f>
        <v>16.981132075471699</v>
      </c>
      <c r="J295" s="1">
        <f>IF('исходные данные'!J295&gt;'минимумы и максимумы'!H$3,100,('исходные данные'!J295-'минимумы и максимумы'!H$2)/('минимумы и максимумы'!H$3-'минимумы и максимумы'!H$2)*100)</f>
        <v>13.333333333333334</v>
      </c>
      <c r="K295" s="1">
        <f>IF('исходные данные'!K295&gt;'минимумы и максимумы'!I$3,100,('исходные данные'!K295-'минимумы и максимумы'!I$2)/('минимумы и максимумы'!I$3-'минимумы и максимумы'!I$2)*100)</f>
        <v>33.333333333333329</v>
      </c>
      <c r="L295" s="1">
        <f>IF('исходные данные'!L295&gt;'минимумы и максимумы'!J$3,100,('исходные данные'!L295-'минимумы и максимумы'!J$2)/('минимумы и максимумы'!J$3-'минимумы и максимумы'!J$2)*100)</f>
        <v>0</v>
      </c>
      <c r="M295" s="1">
        <f>IF('исходные данные'!M295&gt;'минимумы и максимумы'!K$3,100,('исходные данные'!M295-'минимумы и максимумы'!K$2)/('минимумы и максимумы'!K$3-'минимумы и максимумы'!K$2)*100)</f>
        <v>74.193548387096769</v>
      </c>
      <c r="N295" s="1">
        <f>IF('исходные данные'!N295&gt;'минимумы и максимумы'!L$3,100,('исходные данные'!N295-'минимумы и максимумы'!L$2)/('минимумы и максимумы'!L$3-'минимумы и максимумы'!L$2)*100)</f>
        <v>60.69559176533005</v>
      </c>
      <c r="O295" s="1">
        <f>IF('исходные данные'!O295&gt;'минимумы и максимумы'!M$3,100,('исходные данные'!O295-'минимумы и максимумы'!M$2)/('минимумы и максимумы'!M$3-'минимумы и максимумы'!M$2)*100)</f>
        <v>66.666666666666657</v>
      </c>
      <c r="P295" s="1">
        <f>IF('исходные данные'!P295&gt;'минимумы и максимумы'!N$3,100,('исходные данные'!P295-'минимумы и максимумы'!N$2)/('минимумы и максимумы'!N$3-'минимумы и максимумы'!N$2)*100)</f>
        <v>0</v>
      </c>
      <c r="Q295" s="1">
        <f>IF('исходные данные'!Q295&gt;'минимумы и максимумы'!O$3,100,('исходные данные'!Q295-'минимумы и максимумы'!O$2)/('минимумы и максимумы'!O$3-'минимумы и максимумы'!O$2)*100)</f>
        <v>0</v>
      </c>
      <c r="R295" s="1">
        <f>IF('исходные данные'!R295&gt;'минимумы и максимумы'!P$3,100,('исходные данные'!R295-'минимумы и максимумы'!P$2)/('минимумы и максимумы'!P$3-'минимумы и максимумы'!P$2)*100)</f>
        <v>100</v>
      </c>
      <c r="S295" s="1">
        <f>IF('исходные данные'!S295&gt;'минимумы и максимумы'!Q$3,100,('исходные данные'!S295-'минимумы и максимумы'!Q$2)/('минимумы и максимумы'!Q$3-'минимумы и максимумы'!Q$2)*100)</f>
        <v>16.666666666666664</v>
      </c>
      <c r="T295" s="1">
        <f>IF('исходные данные'!T295&gt;'минимумы и максимумы'!R$3,100,('исходные данные'!T295-'минимумы и максимумы'!R$2)/('минимумы и максимумы'!R$3-'минимумы и максимумы'!R$2)*100)</f>
        <v>3.6515618125824898</v>
      </c>
      <c r="U295" s="1">
        <f>IF('исходные данные'!U295&gt;'минимумы и максимумы'!S$3,100,('исходные данные'!U295-'минимумы и максимумы'!S$2)/('минимумы и максимумы'!S$3-'минимумы и максимумы'!S$2)*100)</f>
        <v>33.333333333333329</v>
      </c>
    </row>
    <row r="296" spans="1:21" x14ac:dyDescent="0.45">
      <c r="A296" s="4">
        <v>398</v>
      </c>
      <c r="B296" s="4">
        <v>0</v>
      </c>
      <c r="C296" s="4">
        <v>0</v>
      </c>
      <c r="D296" s="1">
        <f>IF('исходные данные'!D296&gt;'минимумы и максимумы'!B$3,100,('исходные данные'!D296-'минимумы и максимумы'!B$2)/('минимумы и максимумы'!B$3-'минимумы и максимумы'!B$2)*100)</f>
        <v>20</v>
      </c>
      <c r="E296" s="1">
        <f>IF('исходные данные'!E296&gt;'минимумы и максимумы'!C$3,100,('исходные данные'!E296-'минимумы и максимумы'!C$2)/('минимумы и максимумы'!C$3-'минимумы и максимумы'!C$2)*100)</f>
        <v>60</v>
      </c>
      <c r="F296" s="1">
        <f>IF('исходные данные'!F296&gt;'минимумы и максимумы'!D$3,100,('исходные данные'!F296-'минимумы и максимумы'!D$2)/('минимумы и максимумы'!D$3-'минимумы и максимумы'!D$2)*100)</f>
        <v>0</v>
      </c>
      <c r="G296" s="1">
        <f>IF('исходные данные'!G296&gt;'минимумы и максимумы'!E$3,100,('исходные данные'!G296-'минимумы и максимумы'!E$2)/('минимумы и максимумы'!E$3-'минимумы и максимумы'!E$2)*100)</f>
        <v>62.5</v>
      </c>
      <c r="H296" s="1">
        <f>IF('исходные данные'!H296&gt;'минимумы и максимумы'!F$3,100,('исходные данные'!H296-'минимумы и максимумы'!F$2)/('минимумы и максимумы'!F$3-'минимумы и максимумы'!F$2)*100)</f>
        <v>84</v>
      </c>
      <c r="I296" s="1">
        <f>IF('исходные данные'!I296&gt;'минимумы и максимумы'!G$3,100,('исходные данные'!I296-'минимумы и максимумы'!G$2)/('минимумы и максимумы'!G$3-'минимумы и максимумы'!G$2)*100)</f>
        <v>28.30188679245283</v>
      </c>
      <c r="J296" s="1">
        <f>IF('исходные данные'!J296&gt;'минимумы и максимумы'!H$3,100,('исходные данные'!J296-'минимумы и максимумы'!H$2)/('минимумы и максимумы'!H$3-'минимумы и максимумы'!H$2)*100)</f>
        <v>6.666666666666667</v>
      </c>
      <c r="K296" s="1">
        <f>IF('исходные данные'!K296&gt;'минимумы и максимумы'!I$3,100,('исходные данные'!K296-'минимумы и максимумы'!I$2)/('минимумы и максимумы'!I$3-'минимумы и максимумы'!I$2)*100)</f>
        <v>27.777777777777779</v>
      </c>
      <c r="L296" s="1">
        <f>IF('исходные данные'!L296&gt;'минимумы и максимумы'!J$3,100,('исходные данные'!L296-'минимумы и максимумы'!J$2)/('минимумы и максимумы'!J$3-'минимумы и максимумы'!J$2)*100)</f>
        <v>20</v>
      </c>
      <c r="M296" s="1">
        <f>IF('исходные данные'!M296&gt;'минимумы и максимумы'!K$3,100,('исходные данные'!M296-'минимумы и максимумы'!K$2)/('минимумы и максимумы'!K$3-'минимумы и максимумы'!K$2)*100)</f>
        <v>54.838709677419352</v>
      </c>
      <c r="N296" s="1">
        <f>IF('исходные данные'!N296&gt;'минимумы и максимумы'!L$3,100,('исходные данные'!N296-'минимумы и максимумы'!L$2)/('минимумы и максимумы'!L$3-'минимумы и максимумы'!L$2)*100)</f>
        <v>57.549783438550072</v>
      </c>
      <c r="O296" s="1">
        <f>IF('исходные данные'!O296&gt;'минимумы и максимумы'!M$3,100,('исходные данные'!O296-'минимумы и максимумы'!M$2)/('минимумы и максимумы'!M$3-'минимумы и максимумы'!M$2)*100)</f>
        <v>66.666666666666657</v>
      </c>
      <c r="P296" s="1">
        <f>IF('исходные данные'!P296&gt;'минимумы и максимумы'!N$3,100,('исходные данные'!P296-'минимумы и максимумы'!N$2)/('минимумы и максимумы'!N$3-'минимумы и максимумы'!N$2)*100)</f>
        <v>0</v>
      </c>
      <c r="Q296" s="1">
        <f>IF('исходные данные'!Q296&gt;'минимумы и максимумы'!O$3,100,('исходные данные'!Q296-'минимумы и максимумы'!O$2)/('минимумы и максимумы'!O$3-'минимумы и максимумы'!O$2)*100)</f>
        <v>100</v>
      </c>
      <c r="R296" s="1">
        <f>IF('исходные данные'!R296&gt;'минимумы и максимумы'!P$3,100,('исходные данные'!R296-'минимумы и максимумы'!P$2)/('минимумы и максимумы'!P$3-'минимумы и максимумы'!P$2)*100)</f>
        <v>100</v>
      </c>
      <c r="S296" s="1">
        <f>IF('исходные данные'!S296&gt;'минимумы и максимумы'!Q$3,100,('исходные данные'!S296-'минимумы и максимумы'!Q$2)/('минимумы и максимумы'!Q$3-'минимумы и максимумы'!Q$2)*100)</f>
        <v>66.666666666666657</v>
      </c>
      <c r="T296" s="1">
        <f>IF('исходные данные'!T296&gt;'минимумы и максимумы'!R$3,100,('исходные данные'!T296-'минимумы и максимумы'!R$2)/('минимумы и максимумы'!R$3-'минимумы и максимумы'!R$2)*100)</f>
        <v>32.248130224373071</v>
      </c>
      <c r="U296" s="1">
        <f>IF('исходные данные'!U296&gt;'минимумы и максимумы'!S$3,100,('исходные данные'!U296-'минимумы и максимумы'!S$2)/('минимумы и максимумы'!S$3-'минимумы и максимумы'!S$2)*100)</f>
        <v>66.666666666666657</v>
      </c>
    </row>
    <row r="297" spans="1:21" x14ac:dyDescent="0.45">
      <c r="A297" s="4">
        <v>399</v>
      </c>
      <c r="B297" s="4">
        <v>0</v>
      </c>
      <c r="C297" s="4">
        <v>0</v>
      </c>
      <c r="D297" s="1">
        <f>IF('исходные данные'!D297&gt;'минимумы и максимумы'!B$3,100,('исходные данные'!D297-'минимумы и максимумы'!B$2)/('минимумы и максимумы'!B$3-'минимумы и максимумы'!B$2)*100)</f>
        <v>20</v>
      </c>
      <c r="E297" s="1">
        <f>IF('исходные данные'!E297&gt;'минимумы и максимумы'!C$3,100,('исходные данные'!E297-'минимумы и максимумы'!C$2)/('минимумы и максимумы'!C$3-'минимумы и максимумы'!C$2)*100)</f>
        <v>60</v>
      </c>
      <c r="F297" s="1">
        <f>IF('исходные данные'!F297&gt;'минимумы и максимумы'!D$3,100,('исходные данные'!F297-'минимумы и максимумы'!D$2)/('минимумы и максимумы'!D$3-'минимумы и максимумы'!D$2)*100)</f>
        <v>0</v>
      </c>
      <c r="G297" s="1">
        <f>IF('исходные данные'!G297&gt;'минимумы и максимумы'!E$3,100,('исходные данные'!G297-'минимумы и максимумы'!E$2)/('минимумы и максимумы'!E$3-'минимумы и максимумы'!E$2)*100)</f>
        <v>62.5</v>
      </c>
      <c r="H297" s="1">
        <f>IF('исходные данные'!H297&gt;'минимумы и максимумы'!F$3,100,('исходные данные'!H297-'минимумы и максимумы'!F$2)/('минимумы и максимумы'!F$3-'минимумы и максимумы'!F$2)*100)</f>
        <v>84</v>
      </c>
      <c r="I297" s="1">
        <f>IF('исходные данные'!I297&gt;'минимумы и максимумы'!G$3,100,('исходные данные'!I297-'минимумы и максимумы'!G$2)/('минимумы и максимумы'!G$3-'минимумы и максимумы'!G$2)*100)</f>
        <v>28.30188679245283</v>
      </c>
      <c r="J297" s="1">
        <f>IF('исходные данные'!J297&gt;'минимумы и максимумы'!H$3,100,('исходные данные'!J297-'минимумы и максимумы'!H$2)/('минимумы и максимумы'!H$3-'минимумы и максимумы'!H$2)*100)</f>
        <v>6.666666666666667</v>
      </c>
      <c r="K297" s="1">
        <f>IF('исходные данные'!K297&gt;'минимумы и максимумы'!I$3,100,('исходные данные'!K297-'минимумы и максимумы'!I$2)/('минимумы и максимумы'!I$3-'минимумы и максимумы'!I$2)*100)</f>
        <v>27.777777777777779</v>
      </c>
      <c r="L297" s="1">
        <f>IF('исходные данные'!L297&gt;'минимумы и максимумы'!J$3,100,('исходные данные'!L297-'минимумы и максимумы'!J$2)/('минимумы и максимумы'!J$3-'минимумы и максимумы'!J$2)*100)</f>
        <v>20</v>
      </c>
      <c r="M297" s="1">
        <f>IF('исходные данные'!M297&gt;'минимумы и максимумы'!K$3,100,('исходные данные'!M297-'минимумы и максимумы'!K$2)/('минимумы и максимумы'!K$3-'минимумы и максимумы'!K$2)*100)</f>
        <v>54.838709677419352</v>
      </c>
      <c r="N297" s="1">
        <f>IF('исходные данные'!N297&gt;'минимумы и максимумы'!L$3,100,('исходные данные'!N297-'минимумы и максимумы'!L$2)/('минимумы и максимумы'!L$3-'минимумы и максимумы'!L$2)*100)</f>
        <v>57.299807134676485</v>
      </c>
      <c r="O297" s="1">
        <f>IF('исходные данные'!O297&gt;'минимумы и максимумы'!M$3,100,('исходные данные'!O297-'минимумы и максимумы'!M$2)/('минимумы и максимумы'!M$3-'минимумы и максимумы'!M$2)*100)</f>
        <v>66.666666666666657</v>
      </c>
      <c r="P297" s="1">
        <f>IF('исходные данные'!P297&gt;'минимумы и максимумы'!N$3,100,('исходные данные'!P297-'минимумы и максимумы'!N$2)/('минимумы и максимумы'!N$3-'минимумы и максимумы'!N$2)*100)</f>
        <v>0</v>
      </c>
      <c r="Q297" s="1">
        <f>IF('исходные данные'!Q297&gt;'минимумы и максимумы'!O$3,100,('исходные данные'!Q297-'минимумы и максимумы'!O$2)/('минимумы и максимумы'!O$3-'минимумы и максимумы'!O$2)*100)</f>
        <v>100</v>
      </c>
      <c r="R297" s="1">
        <f>IF('исходные данные'!R297&gt;'минимумы и максимумы'!P$3,100,('исходные данные'!R297-'минимумы и максимумы'!P$2)/('минимумы и максимумы'!P$3-'минимумы и максимумы'!P$2)*100)</f>
        <v>100</v>
      </c>
      <c r="S297" s="1">
        <f>IF('исходные данные'!S297&gt;'минимумы и максимумы'!Q$3,100,('исходные данные'!S297-'минимумы и максимумы'!Q$2)/('минимумы и максимумы'!Q$3-'минимумы и максимумы'!Q$2)*100)</f>
        <v>33.333333333333329</v>
      </c>
      <c r="T297" s="1">
        <f>IF('исходные данные'!T297&gt;'минимумы и максимумы'!R$3,100,('исходные данные'!T297-'минимумы и максимумы'!R$2)/('минимумы и максимумы'!R$3-'минимумы и максимумы'!R$2)*100)</f>
        <v>19.621645402551692</v>
      </c>
      <c r="U297" s="1">
        <f>IF('исходные данные'!U297&gt;'минимумы и максимумы'!S$3,100,('исходные данные'!U297-'минимумы и максимумы'!S$2)/('минимумы и максимумы'!S$3-'минимумы и максимумы'!S$2)*100)</f>
        <v>0</v>
      </c>
    </row>
    <row r="298" spans="1:21" x14ac:dyDescent="0.45">
      <c r="A298" s="4">
        <v>400</v>
      </c>
      <c r="B298" s="4">
        <v>0</v>
      </c>
      <c r="C298" s="4">
        <v>0</v>
      </c>
      <c r="D298" s="1">
        <f>IF('исходные данные'!D298&gt;'минимумы и максимумы'!B$3,100,('исходные данные'!D298-'минимумы и максимумы'!B$2)/('минимумы и максимумы'!B$3-'минимумы и максимумы'!B$2)*100)</f>
        <v>20</v>
      </c>
      <c r="E298" s="1">
        <f>IF('исходные данные'!E298&gt;'минимумы и максимумы'!C$3,100,('исходные данные'!E298-'минимумы и максимумы'!C$2)/('минимумы и максимумы'!C$3-'минимумы и максимумы'!C$2)*100)</f>
        <v>40</v>
      </c>
      <c r="F298" s="1">
        <f>IF('исходные данные'!F298&gt;'минимумы и максимумы'!D$3,100,('исходные данные'!F298-'минимумы и максимумы'!D$2)/('минимумы и максимумы'!D$3-'минимумы и максимумы'!D$2)*100)</f>
        <v>33.333333333333329</v>
      </c>
      <c r="G298" s="1">
        <f>IF('исходные данные'!G298&gt;'минимумы и максимумы'!E$3,100,('исходные данные'!G298-'минимумы и максимумы'!E$2)/('минимумы и максимумы'!E$3-'минимумы и максимумы'!E$2)*100)</f>
        <v>29.166666666666668</v>
      </c>
      <c r="H298" s="1">
        <f>IF('исходные данные'!H298&gt;'минимумы и максимумы'!F$3,100,('исходные данные'!H298-'минимумы и максимумы'!F$2)/('минимумы и максимумы'!F$3-'минимумы и максимумы'!F$2)*100)</f>
        <v>44</v>
      </c>
      <c r="I298" s="1">
        <f>IF('исходные данные'!I298&gt;'минимумы и максимумы'!G$3,100,('исходные данные'!I298-'минимумы и максимумы'!G$2)/('минимумы и максимумы'!G$3-'минимумы и максимумы'!G$2)*100)</f>
        <v>11.320754716981133</v>
      </c>
      <c r="J298" s="1">
        <f>IF('исходные данные'!J298&gt;'минимумы и максимумы'!H$3,100,('исходные данные'!J298-'минимумы и максимумы'!H$2)/('минимумы и максимумы'!H$3-'минимумы и максимумы'!H$2)*100)</f>
        <v>13.333333333333334</v>
      </c>
      <c r="K298" s="1">
        <f>IF('исходные данные'!K298&gt;'минимумы и максимумы'!I$3,100,('исходные данные'!K298-'минимумы и максимумы'!I$2)/('минимумы и максимумы'!I$3-'минимумы и максимумы'!I$2)*100)</f>
        <v>5.5555555555555554</v>
      </c>
      <c r="L298" s="1">
        <f>IF('исходные данные'!L298&gt;'минимумы и максимумы'!J$3,100,('исходные данные'!L298-'минимумы и максимумы'!J$2)/('минимумы и максимумы'!J$3-'минимумы и максимумы'!J$2)*100)</f>
        <v>0</v>
      </c>
      <c r="M298" s="1">
        <f>IF('исходные данные'!M298&gt;'минимумы и максимумы'!K$3,100,('исходные данные'!M298-'минимумы и максимумы'!K$2)/('минимумы и максимумы'!K$3-'минимумы и максимумы'!K$2)*100)</f>
        <v>54.838709677419352</v>
      </c>
      <c r="N298" s="1">
        <f>IF('исходные данные'!N298&gt;'минимумы и максимумы'!L$3,100,('исходные данные'!N298-'минимумы и максимумы'!L$2)/('минимумы и максимумы'!L$3-'минимумы и максимумы'!L$2)*100)</f>
        <v>61.87292359889048</v>
      </c>
      <c r="O298" s="1">
        <f>IF('исходные данные'!O298&gt;'минимумы и максимумы'!M$3,100,('исходные данные'!O298-'минимумы и максимумы'!M$2)/('минимумы и максимумы'!M$3-'минимумы и максимумы'!M$2)*100)</f>
        <v>33.333333333333329</v>
      </c>
      <c r="P298" s="1">
        <f>IF('исходные данные'!P298&gt;'минимумы и максимумы'!N$3,100,('исходные данные'!P298-'минимумы и максимумы'!N$2)/('минимумы и максимумы'!N$3-'минимумы и максимумы'!N$2)*100)</f>
        <v>0</v>
      </c>
      <c r="Q298" s="1">
        <f>IF('исходные данные'!Q298&gt;'минимумы и максимумы'!O$3,100,('исходные данные'!Q298-'минимумы и максимумы'!O$2)/('минимумы и максимумы'!O$3-'минимумы и максимумы'!O$2)*100)</f>
        <v>100</v>
      </c>
      <c r="R298" s="1">
        <f>IF('исходные данные'!R298&gt;'минимумы и максимумы'!P$3,100,('исходные данные'!R298-'минимумы и максимумы'!P$2)/('минимумы и максимумы'!P$3-'минимумы и максимумы'!P$2)*100)</f>
        <v>100</v>
      </c>
      <c r="S298" s="1">
        <f>IF('исходные данные'!S298&gt;'минимумы и максимумы'!Q$3,100,('исходные данные'!S298-'минимумы и максимумы'!Q$2)/('минимумы и максимумы'!Q$3-'минимумы и максимумы'!Q$2)*100)</f>
        <v>83.333333333333343</v>
      </c>
      <c r="T298" s="1">
        <f>IF('исходные данные'!T298&gt;'минимумы и максимумы'!R$3,100,('исходные данные'!T298-'минимумы и максимумы'!R$2)/('минимумы и максимумы'!R$3-'минимумы и максимумы'!R$2)*100)</f>
        <v>80.7303123625165</v>
      </c>
      <c r="U298" s="1">
        <f>IF('исходные данные'!U298&gt;'минимумы и максимумы'!S$3,100,('исходные данные'!U298-'минимумы и максимумы'!S$2)/('минимумы и максимумы'!S$3-'минимумы и максимумы'!S$2)*100)</f>
        <v>66.666666666666657</v>
      </c>
    </row>
    <row r="299" spans="1:21" x14ac:dyDescent="0.45">
      <c r="A299" s="4">
        <v>401</v>
      </c>
      <c r="B299" s="4">
        <v>0</v>
      </c>
      <c r="C299" s="4">
        <v>0</v>
      </c>
      <c r="D299" s="1">
        <f>IF('исходные данные'!D299&gt;'минимумы и максимумы'!B$3,100,('исходные данные'!D299-'минимумы и максимумы'!B$2)/('минимумы и максимумы'!B$3-'минимумы и максимумы'!B$2)*100)</f>
        <v>20</v>
      </c>
      <c r="E299" s="1">
        <f>IF('исходные данные'!E299&gt;'минимумы и максимумы'!C$3,100,('исходные данные'!E299-'минимумы и максимумы'!C$2)/('минимумы и максимумы'!C$3-'минимумы и максимумы'!C$2)*100)</f>
        <v>30</v>
      </c>
      <c r="F299" s="1">
        <f>IF('исходные данные'!F299&gt;'минимумы и максимумы'!D$3,100,('исходные данные'!F299-'минимумы и максимумы'!D$2)/('минимумы и максимумы'!D$3-'минимумы и максимумы'!D$2)*100)</f>
        <v>0</v>
      </c>
      <c r="G299" s="1">
        <f>IF('исходные данные'!G299&gt;'минимумы и максимумы'!E$3,100,('исходные данные'!G299-'минимумы и максимумы'!E$2)/('минимумы и максимумы'!E$3-'минимумы и максимумы'!E$2)*100)</f>
        <v>4.1666666666666661</v>
      </c>
      <c r="H299" s="1">
        <f>IF('исходные данные'!H299&gt;'минимумы и максимумы'!F$3,100,('исходные данные'!H299-'минимумы и максимумы'!F$2)/('минимумы и максимумы'!F$3-'минимумы и максимумы'!F$2)*100)</f>
        <v>16</v>
      </c>
      <c r="I299" s="1">
        <f>IF('исходные данные'!I299&gt;'минимумы и максимумы'!G$3,100,('исходные данные'!I299-'минимумы и максимумы'!G$2)/('минимумы и максимумы'!G$3-'минимумы и максимумы'!G$2)*100)</f>
        <v>0</v>
      </c>
      <c r="J299" s="1">
        <f>IF('исходные данные'!J299&gt;'минимумы и максимумы'!H$3,100,('исходные данные'!J299-'минимумы и максимумы'!H$2)/('минимумы и максимумы'!H$3-'минимумы и максимумы'!H$2)*100)</f>
        <v>0</v>
      </c>
      <c r="K299" s="1">
        <f>IF('исходные данные'!K299&gt;'минимумы и максимумы'!I$3,100,('исходные данные'!K299-'минимумы и максимумы'!I$2)/('минимумы и максимумы'!I$3-'минимумы и максимумы'!I$2)*100)</f>
        <v>0</v>
      </c>
      <c r="L299" s="1">
        <f>IF('исходные данные'!L299&gt;'минимумы и максимумы'!J$3,100,('исходные данные'!L299-'минимумы и максимумы'!J$2)/('минимумы и максимумы'!J$3-'минимумы и максимумы'!J$2)*100)</f>
        <v>0</v>
      </c>
      <c r="M299" s="1">
        <f>IF('исходные данные'!M299&gt;'минимумы и максимумы'!K$3,100,('исходные данные'!M299-'минимумы и максимумы'!K$2)/('минимумы и максимумы'!K$3-'минимумы и максимумы'!K$2)*100)</f>
        <v>6.4516129032258061</v>
      </c>
      <c r="N299" s="1">
        <f>IF('исходные данные'!N299&gt;'минимумы и максимумы'!L$3,100,('исходные данные'!N299-'минимумы и максимумы'!L$2)/('минимумы и максимумы'!L$3-'минимумы и максимумы'!L$2)*100)</f>
        <v>65.283907329719057</v>
      </c>
      <c r="O299" s="1">
        <f>IF('исходные данные'!O299&gt;'минимумы и максимумы'!M$3,100,('исходные данные'!O299-'минимумы и максимумы'!M$2)/('минимумы и максимумы'!M$3-'минимумы и максимумы'!M$2)*100)</f>
        <v>0</v>
      </c>
      <c r="P299" s="1">
        <f>IF('исходные данные'!P299&gt;'минимумы и максимумы'!N$3,100,('исходные данные'!P299-'минимумы и максимумы'!N$2)/('минимумы и максимумы'!N$3-'минимумы и максимумы'!N$2)*100)</f>
        <v>0</v>
      </c>
      <c r="Q299" s="1">
        <f>IF('исходные данные'!Q299&gt;'минимумы и максимумы'!O$3,100,('исходные данные'!Q299-'минимумы и максимумы'!O$2)/('минимумы и максимумы'!O$3-'минимумы и максимумы'!O$2)*100)</f>
        <v>100</v>
      </c>
      <c r="R299" s="1">
        <f>IF('исходные данные'!R299&gt;'минимумы и максимумы'!P$3,100,('исходные данные'!R299-'минимумы и максимумы'!P$2)/('минимумы и максимумы'!P$3-'минимумы и максимумы'!P$2)*100)</f>
        <v>100</v>
      </c>
      <c r="S299" s="1">
        <f>IF('исходные данные'!S299&gt;'минимумы и максимумы'!Q$3,100,('исходные данные'!S299-'минимумы и максимумы'!Q$2)/('минимумы и максимумы'!Q$3-'минимумы и максимумы'!Q$2)*100)</f>
        <v>33.333333333333329</v>
      </c>
      <c r="T299" s="1">
        <f>IF('исходные данные'!T299&gt;'минимумы и максимумы'!R$3,100,('исходные данные'!T299-'минимумы и максимумы'!R$2)/('минимумы и максимумы'!R$3-'минимумы и максимумы'!R$2)*100)</f>
        <v>24.241091069071711</v>
      </c>
      <c r="U299" s="1">
        <f>IF('исходные данные'!U299&gt;'минимумы и максимумы'!S$3,100,('исходные данные'!U299-'минимумы и максимумы'!S$2)/('минимумы и максимумы'!S$3-'минимумы и максимумы'!S$2)*100)</f>
        <v>33.333333333333329</v>
      </c>
    </row>
    <row r="300" spans="1:21" x14ac:dyDescent="0.45">
      <c r="A300" s="4">
        <v>402</v>
      </c>
      <c r="B300" s="4">
        <v>0</v>
      </c>
      <c r="C300" s="4">
        <v>1</v>
      </c>
      <c r="D300" s="1">
        <f>IF('исходные данные'!D300&gt;'минимумы и максимумы'!B$3,100,('исходные данные'!D300-'минимумы и максимумы'!B$2)/('минимумы и максимумы'!B$3-'минимумы и максимумы'!B$2)*100)</f>
        <v>0</v>
      </c>
      <c r="E300" s="1">
        <f>IF('исходные данные'!E300&gt;'минимумы и максимумы'!C$3,100,('исходные данные'!E300-'минимумы и максимумы'!C$2)/('минимумы и максимумы'!C$3-'минимумы и максимумы'!C$2)*100)</f>
        <v>20</v>
      </c>
      <c r="F300" s="1">
        <f>IF('исходные данные'!F300&gt;'минимумы и максимумы'!D$3,100,('исходные данные'!F300-'минимумы и максимумы'!D$2)/('минимумы и максимумы'!D$3-'минимумы и максимумы'!D$2)*100)</f>
        <v>0</v>
      </c>
      <c r="G300" s="1">
        <f>IF('исходные данные'!G300&gt;'минимумы и максимумы'!E$3,100,('исходные данные'!G300-'минимумы и максимумы'!E$2)/('минимумы и максимумы'!E$3-'минимумы и максимумы'!E$2)*100)</f>
        <v>4.1666666666666661</v>
      </c>
      <c r="H300" s="1">
        <f>IF('исходные данные'!H300&gt;'минимумы и максимумы'!F$3,100,('исходные данные'!H300-'минимумы и максимумы'!F$2)/('минимумы и максимумы'!F$3-'минимумы и максимумы'!F$2)*100)</f>
        <v>16</v>
      </c>
      <c r="I300" s="1">
        <f>IF('исходные данные'!I300&gt;'минимумы и максимумы'!G$3,100,('исходные данные'!I300-'минимумы и максимумы'!G$2)/('минимумы и максимумы'!G$3-'минимумы и максимумы'!G$2)*100)</f>
        <v>1.8867924528301887</v>
      </c>
      <c r="J300" s="1">
        <f>IF('исходные данные'!J300&gt;'минимумы и максимумы'!H$3,100,('исходные данные'!J300-'минимумы и максимумы'!H$2)/('минимумы и максимумы'!H$3-'минимумы и максимумы'!H$2)*100)</f>
        <v>0</v>
      </c>
      <c r="K300" s="1">
        <f>IF('исходные данные'!K300&gt;'минимумы и максимумы'!I$3,100,('исходные данные'!K300-'минимумы и максимумы'!I$2)/('минимумы и максимумы'!I$3-'минимумы и максимумы'!I$2)*100)</f>
        <v>0</v>
      </c>
      <c r="L300" s="1">
        <f>IF('исходные данные'!L300&gt;'минимумы и максимумы'!J$3,100,('исходные данные'!L300-'минимумы и максимумы'!J$2)/('минимумы и максимумы'!J$3-'минимумы и максимумы'!J$2)*100)</f>
        <v>0</v>
      </c>
      <c r="M300" s="1">
        <f>IF('исходные данные'!M300&gt;'минимумы и максимумы'!K$3,100,('исходные данные'!M300-'минимумы и максимумы'!K$2)/('минимумы и максимумы'!K$3-'минимумы и максимумы'!K$2)*100)</f>
        <v>9.67741935483871</v>
      </c>
      <c r="N300" s="1">
        <f>IF('исходные данные'!N300&gt;'минимумы и максимумы'!L$3,100,('исходные данные'!N300-'минимумы и максимумы'!L$2)/('минимумы и максимумы'!L$3-'минимумы и максимумы'!L$2)*100)</f>
        <v>65.537030294298063</v>
      </c>
      <c r="O300" s="1">
        <f>IF('исходные данные'!O300&gt;'минимумы и максимумы'!M$3,100,('исходные данные'!O300-'минимумы и максимумы'!M$2)/('минимумы и максимумы'!M$3-'минимумы и максимумы'!M$2)*100)</f>
        <v>0</v>
      </c>
      <c r="P300" s="1">
        <f>IF('исходные данные'!P300&gt;'минимумы и максимумы'!N$3,100,('исходные данные'!P300-'минимумы и максимумы'!N$2)/('минимумы и максимумы'!N$3-'минимумы и максимумы'!N$2)*100)</f>
        <v>0</v>
      </c>
      <c r="Q300" s="1">
        <f>IF('исходные данные'!Q300&gt;'минимумы и максимумы'!O$3,100,('исходные данные'!Q300-'минимумы и максимумы'!O$2)/('минимумы и максимумы'!O$3-'минимумы и максимумы'!O$2)*100)</f>
        <v>100</v>
      </c>
      <c r="R300" s="1">
        <f>IF('исходные данные'!R300&gt;'минимумы и максимумы'!P$3,100,('исходные данные'!R300-'минимумы и максимумы'!P$2)/('минимумы и максимумы'!P$3-'минимумы и максимумы'!P$2)*100)</f>
        <v>100</v>
      </c>
      <c r="S300" s="1">
        <f>IF('исходные данные'!S300&gt;'минимумы и максимумы'!Q$3,100,('исходные данные'!S300-'минимумы и максимумы'!Q$2)/('минимумы и максимумы'!Q$3-'минимумы и максимумы'!Q$2)*100)</f>
        <v>33.333333333333329</v>
      </c>
      <c r="T300" s="1">
        <f>IF('исходные данные'!T300&gt;'минимумы и максимумы'!R$3,100,('исходные данные'!T300-'минимумы и максимумы'!R$2)/('минимумы и максимумы'!R$3-'минимумы и максимумы'!R$2)*100)</f>
        <v>24.857017157941048</v>
      </c>
      <c r="U300" s="1">
        <f>IF('исходные данные'!U300&gt;'минимумы и максимумы'!S$3,100,('исходные данные'!U300-'минимумы и максимумы'!S$2)/('минимумы и максимумы'!S$3-'минимумы и максимумы'!S$2)*100)</f>
        <v>33.333333333333329</v>
      </c>
    </row>
    <row r="301" spans="1:21" x14ac:dyDescent="0.45">
      <c r="A301" s="4">
        <v>404</v>
      </c>
      <c r="B301" s="4">
        <v>0</v>
      </c>
      <c r="C301" s="4">
        <v>0</v>
      </c>
      <c r="D301" s="1">
        <f>IF('исходные данные'!D301&gt;'минимумы и максимумы'!B$3,100,('исходные данные'!D301-'минимумы и максимумы'!B$2)/('минимумы и максимумы'!B$3-'минимумы и максимумы'!B$2)*100)</f>
        <v>20</v>
      </c>
      <c r="E301" s="1">
        <f>IF('исходные данные'!E301&gt;'минимумы и максимумы'!C$3,100,('исходные данные'!E301-'минимумы и максимумы'!C$2)/('минимумы и максимумы'!C$3-'минимумы и максимумы'!C$2)*100)</f>
        <v>10</v>
      </c>
      <c r="F301" s="1">
        <f>IF('исходные данные'!F301&gt;'минимумы и максимумы'!D$3,100,('исходные данные'!F301-'минимумы и максимумы'!D$2)/('минимумы и максимумы'!D$3-'минимумы и максимумы'!D$2)*100)</f>
        <v>0</v>
      </c>
      <c r="G301" s="1">
        <f>IF('исходные данные'!G301&gt;'минимумы и максимумы'!E$3,100,('исходные данные'!G301-'минимумы и максимумы'!E$2)/('минимумы и максимумы'!E$3-'минимумы и максимумы'!E$2)*100)</f>
        <v>16.666666666666664</v>
      </c>
      <c r="H301" s="1">
        <f>IF('исходные данные'!H301&gt;'минимумы и максимумы'!F$3,100,('исходные данные'!H301-'минимумы и максимумы'!F$2)/('минимумы и максимумы'!F$3-'минимумы и максимумы'!F$2)*100)</f>
        <v>32</v>
      </c>
      <c r="I301" s="1">
        <f>IF('исходные данные'!I301&gt;'минимумы и максимумы'!G$3,100,('исходные данные'!I301-'минимумы и максимумы'!G$2)/('минимумы и максимумы'!G$3-'минимумы и максимумы'!G$2)*100)</f>
        <v>7.5471698113207548</v>
      </c>
      <c r="J301" s="1">
        <f>IF('исходные данные'!J301&gt;'минимумы и максимумы'!H$3,100,('исходные данные'!J301-'минимумы и максимумы'!H$2)/('минимумы и максимумы'!H$3-'минимумы и максимумы'!H$2)*100)</f>
        <v>0</v>
      </c>
      <c r="K301" s="1">
        <f>IF('исходные данные'!K301&gt;'минимумы и максимумы'!I$3,100,('исходные данные'!K301-'минимумы и максимумы'!I$2)/('минимумы и максимумы'!I$3-'минимумы и максимумы'!I$2)*100)</f>
        <v>0</v>
      </c>
      <c r="L301" s="1">
        <f>IF('исходные данные'!L301&gt;'минимумы и максимумы'!J$3,100,('исходные данные'!L301-'минимумы и максимумы'!J$2)/('минимумы и максимумы'!J$3-'минимумы и максимумы'!J$2)*100)</f>
        <v>0</v>
      </c>
      <c r="M301" s="1">
        <f>IF('исходные данные'!M301&gt;'минимумы и максимумы'!K$3,100,('исходные данные'!M301-'минимумы и максимумы'!K$2)/('минимумы и максимумы'!K$3-'минимумы и максимумы'!K$2)*100)</f>
        <v>19.35483870967742</v>
      </c>
      <c r="N301" s="1">
        <f>IF('исходные данные'!N301&gt;'минимумы и максимумы'!L$3,100,('исходные данные'!N301-'минимумы и максимумы'!L$2)/('минимумы и максимумы'!L$3-'минимумы и максимумы'!L$2)*100)</f>
        <v>60.096697379366717</v>
      </c>
      <c r="O301" s="1">
        <f>IF('исходные данные'!O301&gt;'минимумы и максимумы'!M$3,100,('исходные данные'!O301-'минимумы и максимумы'!M$2)/('минимумы и максимумы'!M$3-'минимумы и максимумы'!M$2)*100)</f>
        <v>33.333333333333329</v>
      </c>
      <c r="P301" s="1">
        <f>IF('исходные данные'!P301&gt;'минимумы и максимумы'!N$3,100,('исходные данные'!P301-'минимумы и максимумы'!N$2)/('минимумы и максимумы'!N$3-'минимумы и максимумы'!N$2)*100)</f>
        <v>0</v>
      </c>
      <c r="Q301" s="1">
        <f>IF('исходные данные'!Q301&gt;'минимумы и максимумы'!O$3,100,('исходные данные'!Q301-'минимумы и максимумы'!O$2)/('минимумы и максимумы'!O$3-'минимумы и максимумы'!O$2)*100)</f>
        <v>0</v>
      </c>
      <c r="R301" s="1">
        <f>IF('исходные данные'!R301&gt;'минимумы и максимумы'!P$3,100,('исходные данные'!R301-'минимумы и максимумы'!P$2)/('минимумы и максимумы'!P$3-'минимумы и максимумы'!P$2)*100)</f>
        <v>75</v>
      </c>
      <c r="S301" s="1">
        <f>IF('исходные данные'!S301&gt;'минимумы и максимумы'!Q$3,100,('исходные данные'!S301-'минимумы и максимумы'!Q$2)/('минимумы и максимумы'!Q$3-'минимумы и максимумы'!Q$2)*100)</f>
        <v>16.666666666666664</v>
      </c>
      <c r="T301" s="1">
        <f>IF('исходные данные'!T301&gt;'минимумы и максимумы'!R$3,100,('исходные данные'!T301-'минимумы и максимумы'!R$2)/('минимумы и максимумы'!R$3-'минимумы и максимумы'!R$2)*100)</f>
        <v>47.822261328640565</v>
      </c>
      <c r="U301" s="1">
        <f>IF('исходные данные'!U301&gt;'минимумы и максимумы'!S$3,100,('исходные данные'!U301-'минимумы и максимумы'!S$2)/('минимумы и максимумы'!S$3-'минимумы и максимумы'!S$2)*100)</f>
        <v>66.666666666666657</v>
      </c>
    </row>
    <row r="302" spans="1:21" x14ac:dyDescent="0.45">
      <c r="A302" s="4">
        <v>405</v>
      </c>
      <c r="B302" s="4">
        <v>0</v>
      </c>
      <c r="C302" s="4">
        <v>0</v>
      </c>
      <c r="D302" s="1">
        <f>IF('исходные данные'!D302&gt;'минимумы и максимумы'!B$3,100,('исходные данные'!D302-'минимумы и максимумы'!B$2)/('минимумы и максимумы'!B$3-'минимумы и максимумы'!B$2)*100)</f>
        <v>40</v>
      </c>
      <c r="E302" s="1">
        <f>IF('исходные данные'!E302&gt;'минимумы и максимумы'!C$3,100,('исходные данные'!E302-'минимумы и максимумы'!C$2)/('минимумы и максимумы'!C$3-'минимумы и максимумы'!C$2)*100)</f>
        <v>20</v>
      </c>
      <c r="F302" s="1">
        <f>IF('исходные данные'!F302&gt;'минимумы и максимумы'!D$3,100,('исходные данные'!F302-'минимумы и максимумы'!D$2)/('минимумы и максимумы'!D$3-'минимумы и максимумы'!D$2)*100)</f>
        <v>0</v>
      </c>
      <c r="G302" s="1">
        <f>IF('исходные данные'!G302&gt;'минимумы и максимумы'!E$3,100,('исходные данные'!G302-'минимумы и максимумы'!E$2)/('минимумы и максимумы'!E$3-'минимумы и максимумы'!E$2)*100)</f>
        <v>16.666666666666664</v>
      </c>
      <c r="H302" s="1">
        <f>IF('исходные данные'!H302&gt;'минимумы и максимумы'!F$3,100,('исходные данные'!H302-'минимумы и максимумы'!F$2)/('минимумы и максимумы'!F$3-'минимумы и максимумы'!F$2)*100)</f>
        <v>12</v>
      </c>
      <c r="I302" s="1">
        <f>IF('исходные данные'!I302&gt;'минимумы и максимумы'!G$3,100,('исходные данные'!I302-'минимумы и максимумы'!G$2)/('минимумы и максимумы'!G$3-'минимумы и максимумы'!G$2)*100)</f>
        <v>7.5471698113207548</v>
      </c>
      <c r="J302" s="1">
        <f>IF('исходные данные'!J302&gt;'минимумы и максимумы'!H$3,100,('исходные данные'!J302-'минимумы и максимумы'!H$2)/('минимумы и максимумы'!H$3-'минимумы и максимумы'!H$2)*100)</f>
        <v>0</v>
      </c>
      <c r="K302" s="1">
        <f>IF('исходные данные'!K302&gt;'минимумы и максимумы'!I$3,100,('исходные данные'!K302-'минимумы и максимумы'!I$2)/('минимумы и максимумы'!I$3-'минимумы и максимумы'!I$2)*100)</f>
        <v>0</v>
      </c>
      <c r="L302" s="1">
        <f>IF('исходные данные'!L302&gt;'минимумы и максимумы'!J$3,100,('исходные данные'!L302-'минимумы и максимумы'!J$2)/('минимумы и максимумы'!J$3-'минимумы и максимумы'!J$2)*100)</f>
        <v>0</v>
      </c>
      <c r="M302" s="1">
        <f>IF('исходные данные'!M302&gt;'минимумы и максимумы'!K$3,100,('исходные данные'!M302-'минимумы и максимумы'!K$2)/('минимумы и максимумы'!K$3-'минимумы и максимумы'!K$2)*100)</f>
        <v>12.903225806451612</v>
      </c>
      <c r="N302" s="1">
        <f>IF('исходные данные'!N302&gt;'минимумы и максимумы'!L$3,100,('исходные данные'!N302-'минимумы и максимумы'!L$2)/('минимумы и максимумы'!L$3-'минимумы и максимумы'!L$2)*100)</f>
        <v>58.58827881616746</v>
      </c>
      <c r="O302" s="1">
        <f>IF('исходные данные'!O302&gt;'минимумы и максимумы'!M$3,100,('исходные данные'!O302-'минимумы и максимумы'!M$2)/('минимумы и максимумы'!M$3-'минимумы и максимумы'!M$2)*100)</f>
        <v>0</v>
      </c>
      <c r="P302" s="1">
        <f>IF('исходные данные'!P302&gt;'минимумы и максимумы'!N$3,100,('исходные данные'!P302-'минимумы и максимумы'!N$2)/('минимумы и максимумы'!N$3-'минимумы и максимумы'!N$2)*100)</f>
        <v>0</v>
      </c>
      <c r="Q302" s="1">
        <f>IF('исходные данные'!Q302&gt;'минимумы и максимумы'!O$3,100,('исходные данные'!Q302-'минимумы и максимумы'!O$2)/('минимумы и максимумы'!O$3-'минимумы и максимумы'!O$2)*100)</f>
        <v>0</v>
      </c>
      <c r="R302" s="1">
        <f>IF('исходные данные'!R302&gt;'минимумы и максимумы'!P$3,100,('исходные данные'!R302-'минимумы и максимумы'!P$2)/('минимумы и максимумы'!P$3-'минимумы и максимумы'!P$2)*100)</f>
        <v>0</v>
      </c>
      <c r="S302" s="1">
        <f>IF('исходные данные'!S302&gt;'минимумы и максимумы'!Q$3,100,('исходные данные'!S302-'минимумы и максимумы'!Q$2)/('минимумы и максимумы'!Q$3-'минимумы и максимумы'!Q$2)*100)</f>
        <v>33.333333333333329</v>
      </c>
      <c r="T302" s="1">
        <f>IF('исходные данные'!T302&gt;'минимумы и максимумы'!R$3,100,('исходные данные'!T302-'минимумы и максимумы'!R$2)/('минимумы и максимумы'!R$3-'минимумы и максимумы'!R$2)*100)</f>
        <v>7.1271447426308834</v>
      </c>
      <c r="U302" s="1">
        <f>IF('исходные данные'!U302&gt;'минимумы и максимумы'!S$3,100,('исходные данные'!U302-'минимумы и максимумы'!S$2)/('минимумы и максимумы'!S$3-'минимумы и максимумы'!S$2)*100)</f>
        <v>0</v>
      </c>
    </row>
    <row r="303" spans="1:21" x14ac:dyDescent="0.45">
      <c r="A303" s="4">
        <v>406</v>
      </c>
      <c r="B303" s="4">
        <v>0</v>
      </c>
      <c r="C303" s="4">
        <v>0</v>
      </c>
      <c r="D303" s="1">
        <f>IF('исходные данные'!D303&gt;'минимумы и максимумы'!B$3,100,('исходные данные'!D303-'минимумы и максимумы'!B$2)/('минимумы и максимумы'!B$3-'минимумы и максимумы'!B$2)*100)</f>
        <v>0</v>
      </c>
      <c r="E303" s="1">
        <f>IF('исходные данные'!E303&gt;'минимумы и максимумы'!C$3,100,('исходные данные'!E303-'минимумы и максимумы'!C$2)/('минимумы и максимумы'!C$3-'минимумы и максимумы'!C$2)*100)</f>
        <v>0</v>
      </c>
      <c r="F303" s="1">
        <f>IF('исходные данные'!F303&gt;'минимумы и максимумы'!D$3,100,('исходные данные'!F303-'минимумы и максимумы'!D$2)/('минимумы и максимумы'!D$3-'минимумы и максимумы'!D$2)*100)</f>
        <v>0</v>
      </c>
      <c r="G303" s="1">
        <f>IF('исходные данные'!G303&gt;'минимумы и максимумы'!E$3,100,('исходные данные'!G303-'минимумы и максимумы'!E$2)/('минимумы и максимумы'!E$3-'минимумы и максимумы'!E$2)*100)</f>
        <v>4.1666666666666661</v>
      </c>
      <c r="H303" s="1">
        <f>IF('исходные данные'!H303&gt;'минимумы и максимумы'!F$3,100,('исходные данные'!H303-'минимумы и максимумы'!F$2)/('минимумы и максимумы'!F$3-'минимумы и максимумы'!F$2)*100)</f>
        <v>8</v>
      </c>
      <c r="I303" s="1">
        <f>IF('исходные данные'!I303&gt;'минимумы и максимумы'!G$3,100,('исходные данные'!I303-'минимумы и максимумы'!G$2)/('минимумы и максимумы'!G$3-'минимумы и максимумы'!G$2)*100)</f>
        <v>9.433962264150944</v>
      </c>
      <c r="J303" s="1">
        <f>IF('исходные данные'!J303&gt;'минимумы и максимумы'!H$3,100,('исходные данные'!J303-'минимумы и максимумы'!H$2)/('минимумы и максимумы'!H$3-'минимумы и максимумы'!H$2)*100)</f>
        <v>0</v>
      </c>
      <c r="K303" s="1">
        <f>IF('исходные данные'!K303&gt;'минимумы и максимумы'!I$3,100,('исходные данные'!K303-'минимумы и максимумы'!I$2)/('минимумы и максимумы'!I$3-'минимумы и максимумы'!I$2)*100)</f>
        <v>33.333333333333329</v>
      </c>
      <c r="L303" s="1">
        <f>IF('исходные данные'!L303&gt;'минимумы и максимумы'!J$3,100,('исходные данные'!L303-'минимумы и максимумы'!J$2)/('минимумы и максимумы'!J$3-'минимумы и максимумы'!J$2)*100)</f>
        <v>0</v>
      </c>
      <c r="M303" s="1">
        <f>IF('исходные данные'!M303&gt;'минимумы и максимумы'!K$3,100,('исходные данные'!M303-'минимумы и максимумы'!K$2)/('минимумы и максимумы'!K$3-'минимумы и максимумы'!K$2)*100)</f>
        <v>16.129032258064516</v>
      </c>
      <c r="N303" s="1">
        <f>IF('исходные данные'!N303&gt;'минимумы и максимумы'!L$3,100,('исходные данные'!N303-'минимумы и максимумы'!L$2)/('минимумы и максимумы'!L$3-'минимумы и максимумы'!L$2)*100)</f>
        <v>27.335629584943526</v>
      </c>
      <c r="O303" s="1">
        <f>IF('исходные данные'!O303&gt;'минимумы и максимумы'!M$3,100,('исходные данные'!O303-'минимумы и максимумы'!M$2)/('минимумы и максимумы'!M$3-'минимумы и максимумы'!M$2)*100)</f>
        <v>0</v>
      </c>
      <c r="P303" s="1">
        <f>IF('исходные данные'!P303&gt;'минимумы и максимумы'!N$3,100,('исходные данные'!P303-'минимумы и максимумы'!N$2)/('минимумы и максимумы'!N$3-'минимумы и максимумы'!N$2)*100)</f>
        <v>0</v>
      </c>
      <c r="Q303" s="1">
        <f>IF('исходные данные'!Q303&gt;'минимумы и максимумы'!O$3,100,('исходные данные'!Q303-'минимумы и максимумы'!O$2)/('минимумы и максимумы'!O$3-'минимумы и максимумы'!O$2)*100)</f>
        <v>0</v>
      </c>
      <c r="R303" s="1">
        <f>IF('исходные данные'!R303&gt;'минимумы и максимумы'!P$3,100,('исходные данные'!R303-'минимумы и максимумы'!P$2)/('минимумы и максимумы'!P$3-'минимумы и максимумы'!P$2)*100)</f>
        <v>25</v>
      </c>
      <c r="S303" s="1">
        <f>IF('исходные данные'!S303&gt;'минимумы и максимумы'!Q$3,100,('исходные данные'!S303-'минимумы и максимумы'!Q$2)/('минимумы и максимумы'!Q$3-'минимумы и максимумы'!Q$2)*100)</f>
        <v>16.666666666666664</v>
      </c>
      <c r="T303" s="1">
        <f>IF('исходные данные'!T303&gt;'минимумы и максимумы'!R$3,100,('исходные данные'!T303-'минимумы и максимумы'!R$2)/('минимумы и максимумы'!R$3-'минимумы и максимумы'!R$2)*100)</f>
        <v>17.157941047074353</v>
      </c>
      <c r="U303" s="1">
        <f>IF('исходные данные'!U303&gt;'минимумы и максимумы'!S$3,100,('исходные данные'!U303-'минимумы и максимумы'!S$2)/('минимумы и максимумы'!S$3-'минимумы и максимумы'!S$2)*100)</f>
        <v>0</v>
      </c>
    </row>
    <row r="304" spans="1:21" x14ac:dyDescent="0.45">
      <c r="A304" s="4">
        <v>407</v>
      </c>
      <c r="B304" s="4">
        <v>0</v>
      </c>
      <c r="C304" s="4">
        <v>1</v>
      </c>
      <c r="D304" s="1">
        <f>IF('исходные данные'!D304&gt;'минимумы и максимумы'!B$3,100,('исходные данные'!D304-'минимумы и максимумы'!B$2)/('минимумы и максимумы'!B$3-'минимумы и максимумы'!B$2)*100)</f>
        <v>20</v>
      </c>
      <c r="E304" s="1">
        <f>IF('исходные данные'!E304&gt;'минимумы и максимумы'!C$3,100,('исходные данные'!E304-'минимумы и максимумы'!C$2)/('минимумы и максимумы'!C$3-'минимумы и максимумы'!C$2)*100)</f>
        <v>0</v>
      </c>
      <c r="F304" s="1">
        <f>IF('исходные данные'!F304&gt;'минимумы и максимумы'!D$3,100,('исходные данные'!F304-'минимумы и максимумы'!D$2)/('минимумы и максимумы'!D$3-'минимумы и максимумы'!D$2)*100)</f>
        <v>0</v>
      </c>
      <c r="G304" s="1">
        <f>IF('исходные данные'!G304&gt;'минимумы и максимумы'!E$3,100,('исходные данные'!G304-'минимумы и максимумы'!E$2)/('минимумы и максимумы'!E$3-'минимумы и максимумы'!E$2)*100)</f>
        <v>4.1666666666666661</v>
      </c>
      <c r="H304" s="1">
        <f>IF('исходные данные'!H304&gt;'минимумы и максимумы'!F$3,100,('исходные данные'!H304-'минимумы и максимумы'!F$2)/('минимумы и максимумы'!F$3-'минимумы и максимумы'!F$2)*100)</f>
        <v>8</v>
      </c>
      <c r="I304" s="1">
        <f>IF('исходные данные'!I304&gt;'минимумы и максимумы'!G$3,100,('исходные данные'!I304-'минимумы и максимумы'!G$2)/('минимумы и максимумы'!G$3-'минимумы и максимумы'!G$2)*100)</f>
        <v>11.320754716981133</v>
      </c>
      <c r="J304" s="1">
        <f>IF('исходные данные'!J304&gt;'минимумы и максимумы'!H$3,100,('исходные данные'!J304-'минимумы и максимумы'!H$2)/('минимумы и максимумы'!H$3-'минимумы и максимумы'!H$2)*100)</f>
        <v>13.333333333333334</v>
      </c>
      <c r="K304" s="1">
        <f>IF('исходные данные'!K304&gt;'минимумы и максимумы'!I$3,100,('исходные данные'!K304-'минимумы и максимумы'!I$2)/('минимумы и максимумы'!I$3-'минимумы и максимумы'!I$2)*100)</f>
        <v>33.333333333333329</v>
      </c>
      <c r="L304" s="1">
        <f>IF('исходные данные'!L304&gt;'минимумы и максимумы'!J$3,100,('исходные данные'!L304-'минимумы и максимумы'!J$2)/('минимумы и максимумы'!J$3-'минимумы и максимумы'!J$2)*100)</f>
        <v>0</v>
      </c>
      <c r="M304" s="1">
        <f>IF('исходные данные'!M304&gt;'минимумы и максимумы'!K$3,100,('исходные данные'!M304-'минимумы и максимумы'!K$2)/('минимумы и максимумы'!K$3-'минимумы и максимумы'!K$2)*100)</f>
        <v>29.032258064516132</v>
      </c>
      <c r="N304" s="1">
        <f>IF('исходные данные'!N304&gt;'минимумы и максимумы'!L$3,100,('исходные данные'!N304-'минимумы и максимумы'!L$2)/('минимумы и максимумы'!L$3-'минимумы и максимумы'!L$2)*100)</f>
        <v>27.619608425413507</v>
      </c>
      <c r="O304" s="1">
        <f>IF('исходные данные'!O304&gt;'минимумы и максимумы'!M$3,100,('исходные данные'!O304-'минимумы и максимумы'!M$2)/('минимумы и максимумы'!M$3-'минимумы и максимумы'!M$2)*100)</f>
        <v>0</v>
      </c>
      <c r="P304" s="1">
        <f>IF('исходные данные'!P304&gt;'минимумы и максимумы'!N$3,100,('исходные данные'!P304-'минимумы и максимумы'!N$2)/('минимумы и максимумы'!N$3-'минимумы и максимумы'!N$2)*100)</f>
        <v>0</v>
      </c>
      <c r="Q304" s="1">
        <f>IF('исходные данные'!Q304&gt;'минимумы и максимумы'!O$3,100,('исходные данные'!Q304-'минимумы и максимумы'!O$2)/('минимумы и максимумы'!O$3-'минимумы и максимумы'!O$2)*100)</f>
        <v>0</v>
      </c>
      <c r="R304" s="1">
        <f>IF('исходные данные'!R304&gt;'минимумы и максимумы'!P$3,100,('исходные данные'!R304-'минимумы и максимумы'!P$2)/('минимумы и максимумы'!P$3-'минимумы и максимумы'!P$2)*100)</f>
        <v>25</v>
      </c>
      <c r="S304" s="1">
        <f>IF('исходные данные'!S304&gt;'минимумы и максимумы'!Q$3,100,('исходные данные'!S304-'минимумы и максимумы'!Q$2)/('минимумы и максимумы'!Q$3-'минимумы и максимумы'!Q$2)*100)</f>
        <v>33.333333333333329</v>
      </c>
      <c r="T304" s="1">
        <f>IF('исходные данные'!T304&gt;'минимумы и максимумы'!R$3,100,('исходные данные'!T304-'минимумы и максимумы'!R$2)/('минимумы и максимумы'!R$3-'минимумы и максимумы'!R$2)*100)</f>
        <v>60.536735591728998</v>
      </c>
      <c r="U304" s="1">
        <f>IF('исходные данные'!U304&gt;'минимумы и максимумы'!S$3,100,('исходные данные'!U304-'минимумы и максимумы'!S$2)/('минимумы и максимумы'!S$3-'минимумы и максимумы'!S$2)*100)</f>
        <v>33.333333333333329</v>
      </c>
    </row>
    <row r="305" spans="1:21" x14ac:dyDescent="0.45">
      <c r="A305" s="4">
        <v>408</v>
      </c>
      <c r="B305" s="4">
        <v>0</v>
      </c>
      <c r="C305" s="4">
        <v>1</v>
      </c>
      <c r="D305" s="1">
        <f>IF('исходные данные'!D305&gt;'минимумы и максимумы'!B$3,100,('исходные данные'!D305-'минимумы и максимумы'!B$2)/('минимумы и максимумы'!B$3-'минимумы и максимумы'!B$2)*100)</f>
        <v>20</v>
      </c>
      <c r="E305" s="1">
        <f>IF('исходные данные'!E305&gt;'минимумы и максимумы'!C$3,100,('исходные данные'!E305-'минимумы и максимумы'!C$2)/('минимумы и максимумы'!C$3-'минимумы и максимумы'!C$2)*100)</f>
        <v>0</v>
      </c>
      <c r="F305" s="1">
        <f>IF('исходные данные'!F305&gt;'минимумы и максимумы'!D$3,100,('исходные данные'!F305-'минимумы и максимумы'!D$2)/('минимумы и максимумы'!D$3-'минимумы и максимумы'!D$2)*100)</f>
        <v>0</v>
      </c>
      <c r="G305" s="1">
        <f>IF('исходные данные'!G305&gt;'минимумы и максимумы'!E$3,100,('исходные данные'!G305-'минимумы и максимумы'!E$2)/('минимумы и максимумы'!E$3-'минимумы и максимумы'!E$2)*100)</f>
        <v>4.1666666666666661</v>
      </c>
      <c r="H305" s="1">
        <f>IF('исходные данные'!H305&gt;'минимумы и максимумы'!F$3,100,('исходные данные'!H305-'минимумы и максимумы'!F$2)/('минимумы и максимумы'!F$3-'минимумы и максимумы'!F$2)*100)</f>
        <v>8</v>
      </c>
      <c r="I305" s="1">
        <f>IF('исходные данные'!I305&gt;'минимумы и максимумы'!G$3,100,('исходные данные'!I305-'минимумы и максимумы'!G$2)/('минимумы и максимумы'!G$3-'минимумы и максимумы'!G$2)*100)</f>
        <v>5.6603773584905666</v>
      </c>
      <c r="J305" s="1">
        <f>IF('исходные данные'!J305&gt;'минимумы и максимумы'!H$3,100,('исходные данные'!J305-'минимумы и максимумы'!H$2)/('минимумы и максимумы'!H$3-'минимумы и максимумы'!H$2)*100)</f>
        <v>0</v>
      </c>
      <c r="K305" s="1">
        <f>IF('исходные данные'!K305&gt;'минимумы и максимумы'!I$3,100,('исходные данные'!K305-'минимумы и максимумы'!I$2)/('минимумы и максимумы'!I$3-'минимумы и максимумы'!I$2)*100)</f>
        <v>27.777777777777779</v>
      </c>
      <c r="L305" s="1">
        <f>IF('исходные данные'!L305&gt;'минимумы и максимумы'!J$3,100,('исходные данные'!L305-'минимумы и максимумы'!J$2)/('минимумы и максимумы'!J$3-'минимумы и максимумы'!J$2)*100)</f>
        <v>0</v>
      </c>
      <c r="M305" s="1">
        <f>IF('исходные данные'!M305&gt;'минимумы и максимумы'!K$3,100,('исходные данные'!M305-'минимумы и максимумы'!K$2)/('минимумы и максимумы'!K$3-'минимумы и максимумы'!K$2)*100)</f>
        <v>25.806451612903224</v>
      </c>
      <c r="N305" s="1">
        <f>IF('исходные данные'!N305&gt;'минимумы и максимумы'!L$3,100,('исходные данные'!N305-'минимумы и максимумы'!L$2)/('минимумы и максимумы'!L$3-'минимумы и максимумы'!L$2)*100)</f>
        <v>27.940039326288396</v>
      </c>
      <c r="O305" s="1">
        <f>IF('исходные данные'!O305&gt;'минимумы и максимумы'!M$3,100,('исходные данные'!O305-'минимумы и максимумы'!M$2)/('минимумы и максимумы'!M$3-'минимумы и максимумы'!M$2)*100)</f>
        <v>33.333333333333329</v>
      </c>
      <c r="P305" s="1">
        <f>IF('исходные данные'!P305&gt;'минимумы и максимумы'!N$3,100,('исходные данные'!P305-'минимумы и максимумы'!N$2)/('минимумы и максимумы'!N$3-'минимумы и максимумы'!N$2)*100)</f>
        <v>0</v>
      </c>
      <c r="Q305" s="1">
        <f>IF('исходные данные'!Q305&gt;'минимумы и максимумы'!O$3,100,('исходные данные'!Q305-'минимумы и максимумы'!O$2)/('минимумы и максимумы'!O$3-'минимумы и максимумы'!O$2)*100)</f>
        <v>0</v>
      </c>
      <c r="R305" s="1">
        <f>IF('исходные данные'!R305&gt;'минимумы и максимумы'!P$3,100,('исходные данные'!R305-'минимумы и максимумы'!P$2)/('минимумы и максимумы'!P$3-'минимумы и максимумы'!P$2)*100)</f>
        <v>25</v>
      </c>
      <c r="S305" s="1">
        <f>IF('исходные данные'!S305&gt;'минимумы и максимумы'!Q$3,100,('исходные данные'!S305-'минимумы и максимумы'!Q$2)/('минимумы и максимумы'!Q$3-'минимумы и максимумы'!Q$2)*100)</f>
        <v>16.666666666666664</v>
      </c>
      <c r="T305" s="1">
        <f>IF('исходные данные'!T305&gt;'минимумы и максимумы'!R$3,100,('исходные данные'!T305-'минимумы и максимумы'!R$2)/('минимумы и максимумы'!R$3-'минимумы и максимумы'!R$2)*100)</f>
        <v>30.31236251649802</v>
      </c>
      <c r="U305" s="1">
        <f>IF('исходные данные'!U305&gt;'минимумы и максимумы'!S$3,100,('исходные данные'!U305-'минимумы и максимумы'!S$2)/('минимумы и максимумы'!S$3-'минимумы и максимумы'!S$2)*100)</f>
        <v>0</v>
      </c>
    </row>
    <row r="306" spans="1:21" x14ac:dyDescent="0.45">
      <c r="A306" s="4">
        <v>409</v>
      </c>
      <c r="B306" s="4">
        <v>0</v>
      </c>
      <c r="C306" s="4">
        <v>1</v>
      </c>
      <c r="D306" s="1">
        <f>IF('исходные данные'!D306&gt;'минимумы и максимумы'!B$3,100,('исходные данные'!D306-'минимумы и максимумы'!B$2)/('минимумы и максимумы'!B$3-'минимумы и максимумы'!B$2)*100)</f>
        <v>20</v>
      </c>
      <c r="E306" s="1">
        <f>IF('исходные данные'!E306&gt;'минимумы и максимумы'!C$3,100,('исходные данные'!E306-'минимумы и максимумы'!C$2)/('минимумы и максимумы'!C$3-'минимумы и максимумы'!C$2)*100)</f>
        <v>0</v>
      </c>
      <c r="F306" s="1">
        <f>IF('исходные данные'!F306&gt;'минимумы и максимумы'!D$3,100,('исходные данные'!F306-'минимумы и максимумы'!D$2)/('минимумы и максимумы'!D$3-'минимумы и максимумы'!D$2)*100)</f>
        <v>0</v>
      </c>
      <c r="G306" s="1">
        <f>IF('исходные данные'!G306&gt;'минимумы и максимумы'!E$3,100,('исходные данные'!G306-'минимумы и максимумы'!E$2)/('минимумы и максимумы'!E$3-'минимумы и максимумы'!E$2)*100)</f>
        <v>4.1666666666666661</v>
      </c>
      <c r="H306" s="1">
        <f>IF('исходные данные'!H306&gt;'минимумы и максимумы'!F$3,100,('исходные данные'!H306-'минимумы и максимумы'!F$2)/('минимумы и максимумы'!F$3-'минимумы и максимумы'!F$2)*100)</f>
        <v>8</v>
      </c>
      <c r="I306" s="1">
        <f>IF('исходные данные'!I306&gt;'минимумы и максимумы'!G$3,100,('исходные данные'!I306-'минимумы и максимумы'!G$2)/('минимумы и максимумы'!G$3-'минимумы и максимумы'!G$2)*100)</f>
        <v>9.433962264150944</v>
      </c>
      <c r="J306" s="1">
        <f>IF('исходные данные'!J306&gt;'минимумы и максимумы'!H$3,100,('исходные данные'!J306-'минимумы и максимумы'!H$2)/('минимумы и максимумы'!H$3-'минимумы и максимумы'!H$2)*100)</f>
        <v>0</v>
      </c>
      <c r="K306" s="1">
        <f>IF('исходные данные'!K306&gt;'минимумы и максимумы'!I$3,100,('исходные данные'!K306-'минимумы и максимумы'!I$2)/('минимумы и максимумы'!I$3-'минимумы и максимумы'!I$2)*100)</f>
        <v>33.333333333333329</v>
      </c>
      <c r="L306" s="1">
        <f>IF('исходные данные'!L306&gt;'минимумы и максимумы'!J$3,100,('исходные данные'!L306-'минимумы и максимумы'!J$2)/('минимумы и максимумы'!J$3-'минимумы и максимумы'!J$2)*100)</f>
        <v>0</v>
      </c>
      <c r="M306" s="1">
        <f>IF('исходные данные'!M306&gt;'минимумы и максимумы'!K$3,100,('исходные данные'!M306-'минимумы и максимумы'!K$2)/('минимумы и максимумы'!K$3-'минимумы и максимумы'!K$2)*100)</f>
        <v>25.806451612903224</v>
      </c>
      <c r="N306" s="1">
        <f>IF('исходные данные'!N306&gt;'минимумы и максимумы'!L$3,100,('исходные данные'!N306-'минимумы и максимумы'!L$2)/('минимумы и максимумы'!L$3-'минимумы и максимумы'!L$2)*100)</f>
        <v>27.335629584943526</v>
      </c>
      <c r="O306" s="1">
        <f>IF('исходные данные'!O306&gt;'минимумы и максимумы'!M$3,100,('исходные данные'!O306-'минимумы и максимумы'!M$2)/('минимумы и максимумы'!M$3-'минимумы и максимумы'!M$2)*100)</f>
        <v>66.666666666666657</v>
      </c>
      <c r="P306" s="1">
        <f>IF('исходные данные'!P306&gt;'минимумы и максимумы'!N$3,100,('исходные данные'!P306-'минимумы и максимумы'!N$2)/('минимумы и максимумы'!N$3-'минимумы и максимумы'!N$2)*100)</f>
        <v>0</v>
      </c>
      <c r="Q306" s="1">
        <f>IF('исходные данные'!Q306&gt;'минимумы и максимумы'!O$3,100,('исходные данные'!Q306-'минимумы и максимумы'!O$2)/('минимумы и максимумы'!O$3-'минимумы и максимумы'!O$2)*100)</f>
        <v>100</v>
      </c>
      <c r="R306" s="1">
        <f>IF('исходные данные'!R306&gt;'минимумы и максимумы'!P$3,100,('исходные данные'!R306-'минимумы и максимумы'!P$2)/('минимумы и максимумы'!P$3-'минимумы и максимумы'!P$2)*100)</f>
        <v>25</v>
      </c>
      <c r="S306" s="1">
        <f>IF('исходные данные'!S306&gt;'минимумы и максимумы'!Q$3,100,('исходные данные'!S306-'минимумы и максимумы'!Q$2)/('минимумы и максимумы'!Q$3-'минимумы и максимумы'!Q$2)*100)</f>
        <v>66.666666666666657</v>
      </c>
      <c r="T306" s="1">
        <f>IF('исходные данные'!T306&gt;'минимумы и максимумы'!R$3,100,('исходные данные'!T306-'минимумы и максимумы'!R$2)/('минимумы и максимумы'!R$3-'минимумы и максимумы'!R$2)*100)</f>
        <v>35.67971843378794</v>
      </c>
      <c r="U306" s="1">
        <f>IF('исходные данные'!U306&gt;'минимумы и максимумы'!S$3,100,('исходные данные'!U306-'минимумы и максимумы'!S$2)/('минимумы и максимумы'!S$3-'минимумы и максимумы'!S$2)*100)</f>
        <v>33.333333333333329</v>
      </c>
    </row>
    <row r="307" spans="1:21" x14ac:dyDescent="0.45">
      <c r="A307" s="4">
        <v>410</v>
      </c>
      <c r="B307" s="4">
        <v>0</v>
      </c>
      <c r="C307" s="4">
        <v>0</v>
      </c>
      <c r="D307" s="1">
        <f>IF('исходные данные'!D307&gt;'минимумы и максимумы'!B$3,100,('исходные данные'!D307-'минимумы и максимумы'!B$2)/('минимумы и максимумы'!B$3-'минимумы и максимумы'!B$2)*100)</f>
        <v>0</v>
      </c>
      <c r="E307" s="1">
        <f>IF('исходные данные'!E307&gt;'минимумы и максимумы'!C$3,100,('исходные данные'!E307-'минимумы и максимумы'!C$2)/('минимумы и максимумы'!C$3-'минимумы и максимумы'!C$2)*100)</f>
        <v>0</v>
      </c>
      <c r="F307" s="1">
        <f>IF('исходные данные'!F307&gt;'минимумы и максимумы'!D$3,100,('исходные данные'!F307-'минимумы и максимумы'!D$2)/('минимумы и максимумы'!D$3-'минимумы и максимумы'!D$2)*100)</f>
        <v>0</v>
      </c>
      <c r="G307" s="1">
        <f>IF('исходные данные'!G307&gt;'минимумы и максимумы'!E$3,100,('исходные данные'!G307-'минимумы и максимумы'!E$2)/('минимумы и максимумы'!E$3-'минимумы и максимумы'!E$2)*100)</f>
        <v>0</v>
      </c>
      <c r="H307" s="1">
        <f>IF('исходные данные'!H307&gt;'минимумы и максимумы'!F$3,100,('исходные данные'!H307-'минимумы и максимумы'!F$2)/('минимумы и максимумы'!F$3-'минимумы и максимумы'!F$2)*100)</f>
        <v>0</v>
      </c>
      <c r="I307" s="1">
        <f>IF('исходные данные'!I307&gt;'минимумы и максимумы'!G$3,100,('исходные данные'!I307-'минимумы и максимумы'!G$2)/('минимумы и максимумы'!G$3-'минимумы и максимумы'!G$2)*100)</f>
        <v>11.320754716981133</v>
      </c>
      <c r="J307" s="1">
        <f>IF('исходные данные'!J307&gt;'минимумы и максимумы'!H$3,100,('исходные данные'!J307-'минимумы и максимумы'!H$2)/('минимумы и максимумы'!H$3-'минимумы и максимумы'!H$2)*100)</f>
        <v>0</v>
      </c>
      <c r="K307" s="1">
        <f>IF('исходные данные'!K307&gt;'минимумы и максимумы'!I$3,100,('исходные данные'!K307-'минимумы и максимумы'!I$2)/('минимумы и максимумы'!I$3-'минимумы и максимумы'!I$2)*100)</f>
        <v>5.5555555555555554</v>
      </c>
      <c r="L307" s="1">
        <f>IF('исходные данные'!L307&gt;'минимумы и максимумы'!J$3,100,('исходные данные'!L307-'минимумы и максимумы'!J$2)/('минимумы и максимумы'!J$3-'минимумы и максимумы'!J$2)*100)</f>
        <v>0</v>
      </c>
      <c r="M307" s="1">
        <f>IF('исходные данные'!M307&gt;'минимумы и максимумы'!K$3,100,('исходные данные'!M307-'минимумы и максимумы'!K$2)/('минимумы и максимумы'!K$3-'минимумы и максимумы'!K$2)*100)</f>
        <v>6.4516129032258061</v>
      </c>
      <c r="N307" s="1">
        <f>IF('исходные данные'!N307&gt;'минимумы и максимумы'!L$3,100,('исходные данные'!N307-'минимумы и максимумы'!L$2)/('минимумы и максимумы'!L$3-'минимумы и максимумы'!L$2)*100)</f>
        <v>28.038954823602523</v>
      </c>
      <c r="O307" s="1">
        <f>IF('исходные данные'!O307&gt;'минимумы и максимумы'!M$3,100,('исходные данные'!O307-'минимумы и максимумы'!M$2)/('минимумы и максимумы'!M$3-'минимумы и максимумы'!M$2)*100)</f>
        <v>0</v>
      </c>
      <c r="P307" s="1">
        <f>IF('исходные данные'!P307&gt;'минимумы и максимумы'!N$3,100,('исходные данные'!P307-'минимумы и максимумы'!N$2)/('минимумы и максимумы'!N$3-'минимумы и максимумы'!N$2)*100)</f>
        <v>0</v>
      </c>
      <c r="Q307" s="1">
        <f>IF('исходные данные'!Q307&gt;'минимумы и максимумы'!O$3,100,('исходные данные'!Q307-'минимумы и максимумы'!O$2)/('минимумы и максимумы'!O$3-'минимумы и максимумы'!O$2)*100)</f>
        <v>100</v>
      </c>
      <c r="R307" s="1">
        <f>IF('исходные данные'!R307&gt;'минимумы и максимумы'!P$3,100,('исходные данные'!R307-'минимумы и максимумы'!P$2)/('минимумы и максимумы'!P$3-'минимумы и максимумы'!P$2)*100)</f>
        <v>25</v>
      </c>
      <c r="S307" s="1">
        <f>IF('исходные данные'!S307&gt;'минимумы и максимумы'!Q$3,100,('исходные данные'!S307-'минимумы и максимумы'!Q$2)/('минимумы и максимумы'!Q$3-'минимумы и максимумы'!Q$2)*100)</f>
        <v>16.666666666666664</v>
      </c>
      <c r="T307" s="1">
        <f>IF('исходные данные'!T307&gt;'минимумы и максимумы'!R$3,100,('исходные данные'!T307-'минимумы и максимумы'!R$2)/('минимумы и максимумы'!R$3-'минимумы и максимумы'!R$2)*100)</f>
        <v>19.093708754949407</v>
      </c>
      <c r="U307" s="1">
        <f>IF('исходные данные'!U307&gt;'минимумы и максимумы'!S$3,100,('исходные данные'!U307-'минимумы и максимумы'!S$2)/('минимумы и максимумы'!S$3-'минимумы и максимумы'!S$2)*100)</f>
        <v>66.666666666666657</v>
      </c>
    </row>
    <row r="308" spans="1:21" x14ac:dyDescent="0.45">
      <c r="A308" s="4">
        <v>411</v>
      </c>
      <c r="B308" s="4">
        <v>0</v>
      </c>
      <c r="C308" s="4">
        <v>0</v>
      </c>
      <c r="D308" s="1">
        <f>IF('исходные данные'!D308&gt;'минимумы и максимумы'!B$3,100,('исходные данные'!D308-'минимумы и максимумы'!B$2)/('минимумы и максимумы'!B$3-'минимумы и максимумы'!B$2)*100)</f>
        <v>0</v>
      </c>
      <c r="E308" s="1">
        <f>IF('исходные данные'!E308&gt;'минимумы и максимумы'!C$3,100,('исходные данные'!E308-'минимумы и максимумы'!C$2)/('минимумы и максимумы'!C$3-'минимумы и максимумы'!C$2)*100)</f>
        <v>0</v>
      </c>
      <c r="F308" s="1">
        <f>IF('исходные данные'!F308&gt;'минимумы и максимумы'!D$3,100,('исходные данные'!F308-'минимумы и максимумы'!D$2)/('минимумы и максимумы'!D$3-'минимумы и максимумы'!D$2)*100)</f>
        <v>0</v>
      </c>
      <c r="G308" s="1">
        <f>IF('исходные данные'!G308&gt;'минимумы и максимумы'!E$3,100,('исходные данные'!G308-'минимумы и максимумы'!E$2)/('минимумы и максимумы'!E$3-'минимумы и максимумы'!E$2)*100)</f>
        <v>0</v>
      </c>
      <c r="H308" s="1">
        <f>IF('исходные данные'!H308&gt;'минимумы и максимумы'!F$3,100,('исходные данные'!H308-'минимумы и максимумы'!F$2)/('минимумы и максимумы'!F$3-'минимумы и максимумы'!F$2)*100)</f>
        <v>0</v>
      </c>
      <c r="I308" s="1">
        <f>IF('исходные данные'!I308&gt;'минимумы и максимумы'!G$3,100,('исходные данные'!I308-'минимумы и максимумы'!G$2)/('минимумы и максимумы'!G$3-'минимумы и максимумы'!G$2)*100)</f>
        <v>11.320754716981133</v>
      </c>
      <c r="J308" s="1">
        <f>IF('исходные данные'!J308&gt;'минимумы и максимумы'!H$3,100,('исходные данные'!J308-'минимумы и максимумы'!H$2)/('минимумы и максимумы'!H$3-'минимумы и максимумы'!H$2)*100)</f>
        <v>0</v>
      </c>
      <c r="K308" s="1">
        <f>IF('исходные данные'!K308&gt;'минимумы и максимумы'!I$3,100,('исходные данные'!K308-'минимумы и максимумы'!I$2)/('минимумы и максимумы'!I$3-'минимумы и максимумы'!I$2)*100)</f>
        <v>5.5555555555555554</v>
      </c>
      <c r="L308" s="1">
        <f>IF('исходные данные'!L308&gt;'минимумы и максимумы'!J$3,100,('исходные данные'!L308-'минимумы и максимумы'!J$2)/('минимумы и максимумы'!J$3-'минимумы и максимумы'!J$2)*100)</f>
        <v>0</v>
      </c>
      <c r="M308" s="1">
        <f>IF('исходные данные'!M308&gt;'минимумы и максимумы'!K$3,100,('исходные данные'!M308-'минимумы и максимумы'!K$2)/('минимумы и максимумы'!K$3-'минимумы и максимумы'!K$2)*100)</f>
        <v>6.4516129032258061</v>
      </c>
      <c r="N308" s="1">
        <f>IF('исходные данные'!N308&gt;'минимумы и максимумы'!L$3,100,('исходные данные'!N308-'минимумы и максимумы'!L$2)/('минимумы и максимумы'!L$3-'минимумы и максимумы'!L$2)*100)</f>
        <v>27.907428171033171</v>
      </c>
      <c r="O308" s="1">
        <f>IF('исходные данные'!O308&gt;'минимумы и максимумы'!M$3,100,('исходные данные'!O308-'минимумы и максимумы'!M$2)/('минимумы и максимумы'!M$3-'минимумы и максимумы'!M$2)*100)</f>
        <v>33.333333333333329</v>
      </c>
      <c r="P308" s="1">
        <f>IF('исходные данные'!P308&gt;'минимумы и максимумы'!N$3,100,('исходные данные'!P308-'минимумы и максимумы'!N$2)/('минимумы и максимумы'!N$3-'минимумы и максимумы'!N$2)*100)</f>
        <v>0</v>
      </c>
      <c r="Q308" s="1">
        <f>IF('исходные данные'!Q308&gt;'минимумы и максимумы'!O$3,100,('исходные данные'!Q308-'минимумы и максимумы'!O$2)/('минимумы и максимумы'!O$3-'минимумы и максимумы'!O$2)*100)</f>
        <v>100</v>
      </c>
      <c r="R308" s="1">
        <f>IF('исходные данные'!R308&gt;'минимумы и максимумы'!P$3,100,('исходные данные'!R308-'минимумы и максимумы'!P$2)/('минимумы и максимумы'!P$3-'минимумы и максимумы'!P$2)*100)</f>
        <v>25</v>
      </c>
      <c r="S308" s="1">
        <f>IF('исходные данные'!S308&gt;'минимумы и максимумы'!Q$3,100,('исходные данные'!S308-'минимумы и максимумы'!Q$2)/('минимумы и максимумы'!Q$3-'минимумы и максимумы'!Q$2)*100)</f>
        <v>16.666666666666664</v>
      </c>
      <c r="T308" s="1">
        <f>IF('исходные данные'!T308&gt;'минимумы и максимумы'!R$3,100,('исходные данные'!T308-'минимумы и максимумы'!R$2)/('минимумы и максимумы'!R$3-'минимумы и максимумы'!R$2)*100)</f>
        <v>11.922569291684997</v>
      </c>
      <c r="U308" s="1">
        <f>IF('исходные данные'!U308&gt;'минимумы и максимумы'!S$3,100,('исходные данные'!U308-'минимумы и максимумы'!S$2)/('минимумы и максимумы'!S$3-'минимумы и максимумы'!S$2)*100)</f>
        <v>0</v>
      </c>
    </row>
    <row r="309" spans="1:21" x14ac:dyDescent="0.45">
      <c r="A309" s="4">
        <v>412</v>
      </c>
      <c r="B309" s="4">
        <v>0</v>
      </c>
      <c r="C309" s="4">
        <v>0</v>
      </c>
      <c r="D309" s="1">
        <f>IF('исходные данные'!D309&gt;'минимумы и максимумы'!B$3,100,('исходные данные'!D309-'минимумы и максимумы'!B$2)/('минимумы и максимумы'!B$3-'минимумы и максимумы'!B$2)*100)</f>
        <v>20</v>
      </c>
      <c r="E309" s="1">
        <f>IF('исходные данные'!E309&gt;'минимумы и максимумы'!C$3,100,('исходные данные'!E309-'минимумы и максимумы'!C$2)/('минимумы и максимумы'!C$3-'минимумы и максимумы'!C$2)*100)</f>
        <v>0</v>
      </c>
      <c r="F309" s="1">
        <f>IF('исходные данные'!F309&gt;'минимумы и максимумы'!D$3,100,('исходные данные'!F309-'минимумы и максимумы'!D$2)/('минимумы и максимумы'!D$3-'минимумы и максимумы'!D$2)*100)</f>
        <v>0</v>
      </c>
      <c r="G309" s="1">
        <f>IF('исходные данные'!G309&gt;'минимумы и максимумы'!E$3,100,('исходные данные'!G309-'минимумы и максимумы'!E$2)/('минимумы и максимумы'!E$3-'минимумы и максимумы'!E$2)*100)</f>
        <v>4.1666666666666661</v>
      </c>
      <c r="H309" s="1">
        <f>IF('исходные данные'!H309&gt;'минимумы и максимумы'!F$3,100,('исходные данные'!H309-'минимумы и максимумы'!F$2)/('минимумы и максимумы'!F$3-'минимумы и максимумы'!F$2)*100)</f>
        <v>8</v>
      </c>
      <c r="I309" s="1">
        <f>IF('исходные данные'!I309&gt;'минимумы и максимумы'!G$3,100,('исходные данные'!I309-'минимумы и максимумы'!G$2)/('минимумы и максимумы'!G$3-'минимумы и максимумы'!G$2)*100)</f>
        <v>11.320754716981133</v>
      </c>
      <c r="J309" s="1">
        <f>IF('исходные данные'!J309&gt;'минимумы и максимумы'!H$3,100,('исходные данные'!J309-'минимумы и максимумы'!H$2)/('минимумы и максимумы'!H$3-'минимумы и максимумы'!H$2)*100)</f>
        <v>13.333333333333334</v>
      </c>
      <c r="K309" s="1">
        <f>IF('исходные данные'!K309&gt;'минимумы и максимумы'!I$3,100,('исходные данные'!K309-'минимумы и максимумы'!I$2)/('минимумы и максимумы'!I$3-'минимумы и максимумы'!I$2)*100)</f>
        <v>27.777777777777779</v>
      </c>
      <c r="L309" s="1">
        <f>IF('исходные данные'!L309&gt;'минимумы и максимумы'!J$3,100,('исходные данные'!L309-'минимумы и максимумы'!J$2)/('минимумы и максимумы'!J$3-'минимумы и максимумы'!J$2)*100)</f>
        <v>0</v>
      </c>
      <c r="M309" s="1">
        <f>IF('исходные данные'!M309&gt;'минимумы и максимумы'!K$3,100,('исходные данные'!M309-'минимумы и максимумы'!K$2)/('минимумы и максимумы'!K$3-'минимумы и максимумы'!K$2)*100)</f>
        <v>48.387096774193552</v>
      </c>
      <c r="N309" s="1">
        <f>IF('исходные данные'!N309&gt;'минимумы и максимумы'!L$3,100,('исходные данные'!N309-'минимумы и максимумы'!L$2)/('минимумы и максимумы'!L$3-'минимумы и максимумы'!L$2)*100)</f>
        <v>26.188073178535248</v>
      </c>
      <c r="O309" s="1">
        <f>IF('исходные данные'!O309&gt;'минимумы и максимумы'!M$3,100,('исходные данные'!O309-'минимумы и максимумы'!M$2)/('минимумы и максимумы'!M$3-'минимумы и максимумы'!M$2)*100)</f>
        <v>66.666666666666657</v>
      </c>
      <c r="P309" s="1">
        <f>IF('исходные данные'!P309&gt;'минимумы и максимумы'!N$3,100,('исходные данные'!P309-'минимумы и максимумы'!N$2)/('минимумы и максимумы'!N$3-'минимумы и максимумы'!N$2)*100)</f>
        <v>0</v>
      </c>
      <c r="Q309" s="1">
        <f>IF('исходные данные'!Q309&gt;'минимумы и максимумы'!O$3,100,('исходные данные'!Q309-'минимумы и максимумы'!O$2)/('минимумы и максимумы'!O$3-'минимумы и максимумы'!O$2)*100)</f>
        <v>100</v>
      </c>
      <c r="R309" s="1">
        <f>IF('исходные данные'!R309&gt;'минимумы и максимумы'!P$3,100,('исходные данные'!R309-'минимумы и максимумы'!P$2)/('минимумы и максимумы'!P$3-'минимумы и максимумы'!P$2)*100)</f>
        <v>25</v>
      </c>
      <c r="S309" s="1">
        <f>IF('исходные данные'!S309&gt;'минимумы и максимумы'!Q$3,100,('исходные данные'!S309-'минимумы и максимумы'!Q$2)/('минимумы и максимумы'!Q$3-'минимумы и максимумы'!Q$2)*100)</f>
        <v>66.666666666666657</v>
      </c>
      <c r="T309" s="1">
        <f>IF('исходные данные'!T309&gt;'минимумы и максимумы'!R$3,100,('исходные данные'!T309-'минимумы и максимумы'!R$2)/('минимумы и максимумы'!R$3-'минимумы и максимумы'!R$2)*100)</f>
        <v>59.744830620325558</v>
      </c>
      <c r="U309" s="1">
        <f>IF('исходные данные'!U309&gt;'минимумы и максимумы'!S$3,100,('исходные данные'!U309-'минимумы и максимумы'!S$2)/('минимумы и максимумы'!S$3-'минимумы и максимумы'!S$2)*100)</f>
        <v>66.666666666666657</v>
      </c>
    </row>
    <row r="310" spans="1:21" x14ac:dyDescent="0.45">
      <c r="A310" s="4">
        <v>413</v>
      </c>
      <c r="B310" s="4">
        <v>0</v>
      </c>
      <c r="C310" s="4">
        <v>0</v>
      </c>
      <c r="D310" s="1">
        <f>IF('исходные данные'!D310&gt;'минимумы и максимумы'!B$3,100,('исходные данные'!D310-'минимумы и максимумы'!B$2)/('минимумы и максимумы'!B$3-'минимумы и максимумы'!B$2)*100)</f>
        <v>0</v>
      </c>
      <c r="E310" s="1">
        <f>IF('исходные данные'!E310&gt;'минимумы и максимумы'!C$3,100,('исходные данные'!E310-'минимумы и максимумы'!C$2)/('минимумы и максимумы'!C$3-'минимумы и максимумы'!C$2)*100)</f>
        <v>0</v>
      </c>
      <c r="F310" s="1">
        <f>IF('исходные данные'!F310&gt;'минимумы и максимумы'!D$3,100,('исходные данные'!F310-'минимумы и максимумы'!D$2)/('минимумы и максимумы'!D$3-'минимумы и максимумы'!D$2)*100)</f>
        <v>0</v>
      </c>
      <c r="G310" s="1">
        <f>IF('исходные данные'!G310&gt;'минимумы и максимумы'!E$3,100,('исходные данные'!G310-'минимумы и максимумы'!E$2)/('минимумы и максимумы'!E$3-'минимумы и максимумы'!E$2)*100)</f>
        <v>0</v>
      </c>
      <c r="H310" s="1">
        <f>IF('исходные данные'!H310&gt;'минимумы и максимумы'!F$3,100,('исходные данные'!H310-'минимумы и максимумы'!F$2)/('минимумы и максимумы'!F$3-'минимумы и максимумы'!F$2)*100)</f>
        <v>0</v>
      </c>
      <c r="I310" s="1">
        <f>IF('исходные данные'!I310&gt;'минимумы и максимумы'!G$3,100,('исходные данные'!I310-'минимумы и максимумы'!G$2)/('минимумы и максимумы'!G$3-'минимумы и максимумы'!G$2)*100)</f>
        <v>1.8867924528301887</v>
      </c>
      <c r="J310" s="1">
        <f>IF('исходные данные'!J310&gt;'минимумы и максимумы'!H$3,100,('исходные данные'!J310-'минимумы и максимумы'!H$2)/('минимумы и максимумы'!H$3-'минимумы и максимумы'!H$2)*100)</f>
        <v>0</v>
      </c>
      <c r="K310" s="1">
        <f>IF('исходные данные'!K310&gt;'минимумы и максимумы'!I$3,100,('исходные данные'!K310-'минимумы и максимумы'!I$2)/('минимумы и максимумы'!I$3-'минимумы и максимумы'!I$2)*100)</f>
        <v>0</v>
      </c>
      <c r="L310" s="1">
        <f>IF('исходные данные'!L310&gt;'минимумы и максимумы'!J$3,100,('исходные данные'!L310-'минимумы и максимумы'!J$2)/('минимумы и максимумы'!J$3-'минимумы и максимумы'!J$2)*100)</f>
        <v>0</v>
      </c>
      <c r="M310" s="1">
        <f>IF('исходные данные'!M310&gt;'минимумы и максимумы'!K$3,100,('исходные данные'!M310-'минимумы и максимумы'!K$2)/('минимумы и максимумы'!K$3-'минимумы и максимумы'!K$2)*100)</f>
        <v>25.806451612903224</v>
      </c>
      <c r="N310" s="1">
        <f>IF('исходные данные'!N310&gt;'минимумы и максимумы'!L$3,100,('исходные данные'!N310-'минимумы и максимумы'!L$2)/('минимумы и максимумы'!L$3-'минимумы и максимумы'!L$2)*100)</f>
        <v>33.409872206553239</v>
      </c>
      <c r="O310" s="1">
        <f>IF('исходные данные'!O310&gt;'минимумы и максимумы'!M$3,100,('исходные данные'!O310-'минимумы и максимумы'!M$2)/('минимумы и максимумы'!M$3-'минимумы и максимумы'!M$2)*100)</f>
        <v>100</v>
      </c>
      <c r="P310" s="1">
        <f>IF('исходные данные'!P310&gt;'минимумы и максимумы'!N$3,100,('исходные данные'!P310-'минимумы и максимумы'!N$2)/('минимумы и максимумы'!N$3-'минимумы и максимумы'!N$2)*100)</f>
        <v>0</v>
      </c>
      <c r="Q310" s="1">
        <f>IF('исходные данные'!Q310&gt;'минимумы и максимумы'!O$3,100,('исходные данные'!Q310-'минимумы и максимумы'!O$2)/('минимумы и максимумы'!O$3-'минимумы и максимумы'!O$2)*100)</f>
        <v>100</v>
      </c>
      <c r="R310" s="1">
        <f>IF('исходные данные'!R310&gt;'минимумы и максимумы'!P$3,100,('исходные данные'!R310-'минимумы и максимумы'!P$2)/('минимумы и максимумы'!P$3-'минимумы и максимумы'!P$2)*100)</f>
        <v>75</v>
      </c>
      <c r="S310" s="1">
        <f>IF('исходные данные'!S310&gt;'минимумы и максимумы'!Q$3,100,('исходные данные'!S310-'минимумы и максимумы'!Q$2)/('минимумы и максимумы'!Q$3-'минимумы и максимумы'!Q$2)*100)</f>
        <v>50</v>
      </c>
      <c r="T310" s="1">
        <f>IF('исходные данные'!T310&gt;'минимумы и максимумы'!R$3,100,('исходные данные'!T310-'минимумы и максимумы'!R$2)/('минимумы и максимумы'!R$3-'минимумы и максимумы'!R$2)*100)</f>
        <v>100</v>
      </c>
      <c r="U310" s="1">
        <f>IF('исходные данные'!U310&gt;'минимумы и максимумы'!S$3,100,('исходные данные'!U310-'минимумы и максимумы'!S$2)/('минимумы и максимумы'!S$3-'минимумы и максимумы'!S$2)*100)</f>
        <v>33.333333333333329</v>
      </c>
    </row>
    <row r="311" spans="1:21" x14ac:dyDescent="0.45">
      <c r="A311" s="4">
        <v>414</v>
      </c>
      <c r="B311" s="4">
        <v>0</v>
      </c>
      <c r="C311" s="4">
        <v>0</v>
      </c>
      <c r="D311" s="1">
        <f>IF('исходные данные'!D311&gt;'минимумы и максимумы'!B$3,100,('исходные данные'!D311-'минимумы и максимумы'!B$2)/('минимумы и максимумы'!B$3-'минимумы и максимумы'!B$2)*100)</f>
        <v>0</v>
      </c>
      <c r="E311" s="1">
        <f>IF('исходные данные'!E311&gt;'минимумы и максимумы'!C$3,100,('исходные данные'!E311-'минимумы и максимумы'!C$2)/('минимумы и максимумы'!C$3-'минимумы и максимумы'!C$2)*100)</f>
        <v>20</v>
      </c>
      <c r="F311" s="1">
        <f>IF('исходные данные'!F311&gt;'минимумы и максимумы'!D$3,100,('исходные данные'!F311-'минимумы и максимумы'!D$2)/('минимумы и максимумы'!D$3-'минимумы и максимумы'!D$2)*100)</f>
        <v>0</v>
      </c>
      <c r="G311" s="1">
        <f>IF('исходные данные'!G311&gt;'минимумы и максимумы'!E$3,100,('исходные данные'!G311-'минимумы и максимумы'!E$2)/('минимумы и максимумы'!E$3-'минимумы и максимумы'!E$2)*100)</f>
        <v>8.3333333333333321</v>
      </c>
      <c r="H311" s="1">
        <f>IF('исходные данные'!H311&gt;'минимумы и максимумы'!F$3,100,('исходные данные'!H311-'минимумы и максимумы'!F$2)/('минимумы и максимумы'!F$3-'минимумы и максимумы'!F$2)*100)</f>
        <v>20</v>
      </c>
      <c r="I311" s="1">
        <f>IF('исходные данные'!I311&gt;'минимумы и максимумы'!G$3,100,('исходные данные'!I311-'минимумы и максимумы'!G$2)/('минимумы и максимумы'!G$3-'минимумы и максимумы'!G$2)*100)</f>
        <v>9.433962264150944</v>
      </c>
      <c r="J311" s="1">
        <f>IF('исходные данные'!J311&gt;'минимумы и максимумы'!H$3,100,('исходные данные'!J311-'минимумы и максимумы'!H$2)/('минимумы и максимумы'!H$3-'минимумы и максимумы'!H$2)*100)</f>
        <v>13.333333333333334</v>
      </c>
      <c r="K311" s="1">
        <f>IF('исходные данные'!K311&gt;'минимумы и максимумы'!I$3,100,('исходные данные'!K311-'минимумы и максимумы'!I$2)/('минимумы и максимумы'!I$3-'минимумы и максимумы'!I$2)*100)</f>
        <v>27.777777777777779</v>
      </c>
      <c r="L311" s="1">
        <f>IF('исходные данные'!L311&gt;'минимумы и максимумы'!J$3,100,('исходные данные'!L311-'минимумы и максимумы'!J$2)/('минимумы и максимумы'!J$3-'минимумы и максимумы'!J$2)*100)</f>
        <v>0</v>
      </c>
      <c r="M311" s="1">
        <f>IF('исходные данные'!M311&gt;'минимумы и максимумы'!K$3,100,('исходные данные'!M311-'минимумы и максимумы'!K$2)/('минимумы и максимумы'!K$3-'минимумы и максимумы'!K$2)*100)</f>
        <v>29.032258064516132</v>
      </c>
      <c r="N311" s="1">
        <f>IF('исходные данные'!N311&gt;'минимумы и максимумы'!L$3,100,('исходные данные'!N311-'минимумы и максимумы'!L$2)/('минимумы и максимумы'!L$3-'минимумы и максимумы'!L$2)*100)</f>
        <v>35.198328863092598</v>
      </c>
      <c r="O311" s="1">
        <f>IF('исходные данные'!O311&gt;'минимумы и максимумы'!M$3,100,('исходные данные'!O311-'минимумы и максимумы'!M$2)/('минимумы и максимумы'!M$3-'минимумы и максимумы'!M$2)*100)</f>
        <v>0</v>
      </c>
      <c r="P311" s="1">
        <f>IF('исходные данные'!P311&gt;'минимумы и максимумы'!N$3,100,('исходные данные'!P311-'минимумы и максимумы'!N$2)/('минимумы и максимумы'!N$3-'минимумы и максимумы'!N$2)*100)</f>
        <v>0</v>
      </c>
      <c r="Q311" s="1">
        <f>IF('исходные данные'!Q311&gt;'минимумы и максимумы'!O$3,100,('исходные данные'!Q311-'минимумы и максимумы'!O$2)/('минимумы и максимумы'!O$3-'минимумы и максимумы'!O$2)*100)</f>
        <v>100</v>
      </c>
      <c r="R311" s="1">
        <f>IF('исходные данные'!R311&gt;'минимумы и максимумы'!P$3,100,('исходные данные'!R311-'минимумы и максимумы'!P$2)/('минимумы и максимумы'!P$3-'минимумы и максимумы'!P$2)*100)</f>
        <v>75</v>
      </c>
      <c r="S311" s="1">
        <f>IF('исходные данные'!S311&gt;'минимумы и максимумы'!Q$3,100,('исходные данные'!S311-'минимумы и максимумы'!Q$2)/('минимумы и максимумы'!Q$3-'минимумы и максимумы'!Q$2)*100)</f>
        <v>83.333333333333343</v>
      </c>
      <c r="T311" s="1">
        <f>IF('исходные данные'!T311&gt;'минимумы и максимумы'!R$3,100,('исходные данные'!T311-'минимумы и максимумы'!R$2)/('минимумы и максимумы'!R$3-'минимумы и максимумы'!R$2)*100)</f>
        <v>55.257369115706112</v>
      </c>
      <c r="U311" s="1">
        <f>IF('исходные данные'!U311&gt;'минимумы и максимумы'!S$3,100,('исходные данные'!U311-'минимумы и максимумы'!S$2)/('минимумы и максимумы'!S$3-'минимумы и максимумы'!S$2)*100)</f>
        <v>100</v>
      </c>
    </row>
    <row r="312" spans="1:21" x14ac:dyDescent="0.45">
      <c r="A312" s="4">
        <v>415</v>
      </c>
      <c r="B312" s="4">
        <v>0</v>
      </c>
      <c r="C312" s="4">
        <v>1</v>
      </c>
      <c r="D312" s="1">
        <f>IF('исходные данные'!D312&gt;'минимумы и максимумы'!B$3,100,('исходные данные'!D312-'минимумы и максимумы'!B$2)/('минимумы и максимумы'!B$3-'минимумы и максимумы'!B$2)*100)</f>
        <v>0</v>
      </c>
      <c r="E312" s="1">
        <f>IF('исходные данные'!E312&gt;'минимумы и максимумы'!C$3,100,('исходные данные'!E312-'минимумы и максимумы'!C$2)/('минимумы и максимумы'!C$3-'минимумы и максимумы'!C$2)*100)</f>
        <v>20</v>
      </c>
      <c r="F312" s="1">
        <f>IF('исходные данные'!F312&gt;'минимумы и максимумы'!D$3,100,('исходные данные'!F312-'минимумы и максимумы'!D$2)/('минимумы и максимумы'!D$3-'минимумы и максимумы'!D$2)*100)</f>
        <v>0</v>
      </c>
      <c r="G312" s="1">
        <f>IF('исходные данные'!G312&gt;'минимумы и максимумы'!E$3,100,('исходные данные'!G312-'минимумы и максимумы'!E$2)/('минимумы и максимумы'!E$3-'минимумы и максимумы'!E$2)*100)</f>
        <v>8.3333333333333321</v>
      </c>
      <c r="H312" s="1">
        <f>IF('исходные данные'!H312&gt;'минимумы и максимумы'!F$3,100,('исходные данные'!H312-'минимумы и максимумы'!F$2)/('минимумы и максимумы'!F$3-'минимумы и максимумы'!F$2)*100)</f>
        <v>16</v>
      </c>
      <c r="I312" s="1">
        <f>IF('исходные данные'!I312&gt;'минимумы и максимумы'!G$3,100,('исходные данные'!I312-'минимумы и максимумы'!G$2)/('минимумы и максимумы'!G$3-'минимумы и максимумы'!G$2)*100)</f>
        <v>9.433962264150944</v>
      </c>
      <c r="J312" s="1">
        <f>IF('исходные данные'!J312&gt;'минимумы и максимумы'!H$3,100,('исходные данные'!J312-'минимумы и максимумы'!H$2)/('минимумы и максимумы'!H$3-'минимумы и максимумы'!H$2)*100)</f>
        <v>6.666666666666667</v>
      </c>
      <c r="K312" s="1">
        <f>IF('исходные данные'!K312&gt;'минимумы и максимумы'!I$3,100,('исходные данные'!K312-'минимумы и максимумы'!I$2)/('минимумы и максимумы'!I$3-'минимумы и максимумы'!I$2)*100)</f>
        <v>27.777777777777779</v>
      </c>
      <c r="L312" s="1">
        <f>IF('исходные данные'!L312&gt;'минимумы и максимумы'!J$3,100,('исходные данные'!L312-'минимумы и максимумы'!J$2)/('минимумы и максимумы'!J$3-'минимумы и максимумы'!J$2)*100)</f>
        <v>0</v>
      </c>
      <c r="M312" s="1">
        <f>IF('исходные данные'!M312&gt;'минимумы и максимумы'!K$3,100,('исходные данные'!M312-'минимумы и максимумы'!K$2)/('минимумы и максимумы'!K$3-'минимумы и максимумы'!K$2)*100)</f>
        <v>29.032258064516132</v>
      </c>
      <c r="N312" s="1">
        <f>IF('исходные данные'!N312&gt;'минимумы и максимумы'!L$3,100,('исходные данные'!N312-'минимумы и максимумы'!L$2)/('минимумы и максимумы'!L$3-'минимумы и максимумы'!L$2)*100)</f>
        <v>35.487990591215514</v>
      </c>
      <c r="O312" s="1">
        <f>IF('исходные данные'!O312&gt;'минимумы и максимумы'!M$3,100,('исходные данные'!O312-'минимумы и максимумы'!M$2)/('минимумы и максимумы'!M$3-'минимумы и максимумы'!M$2)*100)</f>
        <v>0</v>
      </c>
      <c r="P312" s="1">
        <f>IF('исходные данные'!P312&gt;'минимумы и максимумы'!N$3,100,('исходные данные'!P312-'минимумы и максимумы'!N$2)/('минимумы и максимумы'!N$3-'минимумы и максимумы'!N$2)*100)</f>
        <v>0</v>
      </c>
      <c r="Q312" s="1">
        <f>IF('исходные данные'!Q312&gt;'минимумы и максимумы'!O$3,100,('исходные данные'!Q312-'минимумы и максимумы'!O$2)/('минимумы и максимумы'!O$3-'минимумы и максимумы'!O$2)*100)</f>
        <v>100</v>
      </c>
      <c r="R312" s="1">
        <f>IF('исходные данные'!R312&gt;'минимумы и максимумы'!P$3,100,('исходные данные'!R312-'минимумы и максимумы'!P$2)/('минимумы и максимумы'!P$3-'минимумы и максимумы'!P$2)*100)</f>
        <v>25</v>
      </c>
      <c r="S312" s="1">
        <f>IF('исходные данные'!S312&gt;'минимумы и максимумы'!Q$3,100,('исходные данные'!S312-'минимумы и максимумы'!Q$2)/('минимумы и максимумы'!Q$3-'минимумы и максимумы'!Q$2)*100)</f>
        <v>66.666666666666657</v>
      </c>
      <c r="T312" s="1">
        <f>IF('исходные данные'!T312&gt;'минимумы и максимумы'!R$3,100,('исходные данные'!T312-'минимумы и максимумы'!R$2)/('минимумы и максимумы'!R$3-'минимумы и максимумы'!R$2)*100)</f>
        <v>65.684117905851309</v>
      </c>
      <c r="U312" s="1">
        <f>IF('исходные данные'!U312&gt;'минимумы и максимумы'!S$3,100,('исходные данные'!U312-'минимумы и максимумы'!S$2)/('минимумы и максимумы'!S$3-'минимумы и максимумы'!S$2)*100)</f>
        <v>66.666666666666657</v>
      </c>
    </row>
    <row r="313" spans="1:21" x14ac:dyDescent="0.45">
      <c r="A313" s="4">
        <v>416</v>
      </c>
      <c r="B313" s="4">
        <v>0</v>
      </c>
      <c r="C313" s="4">
        <v>0</v>
      </c>
      <c r="D313" s="1">
        <f>IF('исходные данные'!D313&gt;'минимумы и максимумы'!B$3,100,('исходные данные'!D313-'минимумы и максимумы'!B$2)/('минимумы и максимумы'!B$3-'минимумы и максимумы'!B$2)*100)</f>
        <v>20</v>
      </c>
      <c r="E313" s="1">
        <f>IF('исходные данные'!E313&gt;'минимумы и максимумы'!C$3,100,('исходные данные'!E313-'минимумы и максимумы'!C$2)/('минимумы и максимумы'!C$3-'минимумы и максимумы'!C$2)*100)</f>
        <v>30</v>
      </c>
      <c r="F313" s="1">
        <f>IF('исходные данные'!F313&gt;'минимумы и максимумы'!D$3,100,('исходные данные'!F313-'минимумы и максимумы'!D$2)/('минимумы и максимумы'!D$3-'минимумы и максимумы'!D$2)*100)</f>
        <v>0</v>
      </c>
      <c r="G313" s="1">
        <f>IF('исходные данные'!G313&gt;'минимумы и максимумы'!E$3,100,('исходные данные'!G313-'минимумы и максимумы'!E$2)/('минимумы и максимумы'!E$3-'минимумы и максимумы'!E$2)*100)</f>
        <v>20.833333333333336</v>
      </c>
      <c r="H313" s="1">
        <f>IF('исходные данные'!H313&gt;'минимумы и максимумы'!F$3,100,('исходные данные'!H313-'минимумы и максимумы'!F$2)/('минимумы и максимумы'!F$3-'минимумы и максимумы'!F$2)*100)</f>
        <v>32</v>
      </c>
      <c r="I313" s="1">
        <f>IF('исходные данные'!I313&gt;'минимумы и максимумы'!G$3,100,('исходные данные'!I313-'минимумы и максимумы'!G$2)/('минимумы и максимумы'!G$3-'минимумы и максимумы'!G$2)*100)</f>
        <v>16.981132075471699</v>
      </c>
      <c r="J313" s="1">
        <f>IF('исходные данные'!J313&gt;'минимумы и максимумы'!H$3,100,('исходные данные'!J313-'минимумы и максимумы'!H$2)/('минимумы и максимумы'!H$3-'минимумы и максимумы'!H$2)*100)</f>
        <v>20</v>
      </c>
      <c r="K313" s="1">
        <f>IF('исходные данные'!K313&gt;'минимумы и максимумы'!I$3,100,('исходные данные'!K313-'минимумы и максимумы'!I$2)/('минимумы и максимумы'!I$3-'минимумы и максимумы'!I$2)*100)</f>
        <v>38.888888888888893</v>
      </c>
      <c r="L313" s="1">
        <f>IF('исходные данные'!L313&gt;'минимумы и максимумы'!J$3,100,('исходные данные'!L313-'минимумы и максимумы'!J$2)/('минимумы и максимумы'!J$3-'минимумы и максимумы'!J$2)*100)</f>
        <v>0</v>
      </c>
      <c r="M313" s="1">
        <f>IF('исходные данные'!M313&gt;'минимумы и максимумы'!K$3,100,('исходные данные'!M313-'минимумы и максимумы'!K$2)/('минимумы и максимумы'!K$3-'минимумы и максимумы'!K$2)*100)</f>
        <v>35.483870967741936</v>
      </c>
      <c r="N313" s="1">
        <f>IF('исходные данные'!N313&gt;'минимумы и максимумы'!L$3,100,('исходные данные'!N313-'минимумы и максимумы'!L$2)/('минимумы и максимумы'!L$3-'минимумы и максимумы'!L$2)*100)</f>
        <v>36.498372032497969</v>
      </c>
      <c r="O313" s="1">
        <f>IF('исходные данные'!O313&gt;'минимумы и максимумы'!M$3,100,('исходные данные'!O313-'минимумы и максимумы'!M$2)/('минимумы и максимумы'!M$3-'минимумы и максимумы'!M$2)*100)</f>
        <v>100</v>
      </c>
      <c r="P313" s="1">
        <f>IF('исходные данные'!P313&gt;'минимумы и максимумы'!N$3,100,('исходные данные'!P313-'минимумы и максимумы'!N$2)/('минимумы и максимумы'!N$3-'минимумы и максимумы'!N$2)*100)</f>
        <v>0</v>
      </c>
      <c r="Q313" s="1">
        <f>IF('исходные данные'!Q313&gt;'минимумы и максимумы'!O$3,100,('исходные данные'!Q313-'минимумы и максимумы'!O$2)/('минимумы и максимумы'!O$3-'минимумы и максимумы'!O$2)*100)</f>
        <v>100</v>
      </c>
      <c r="R313" s="1">
        <f>IF('исходные данные'!R313&gt;'минимумы и максимумы'!P$3,100,('исходные данные'!R313-'минимумы и максимумы'!P$2)/('минимумы и максимумы'!P$3-'минимумы и максимумы'!P$2)*100)</f>
        <v>75</v>
      </c>
      <c r="S313" s="1">
        <f>IF('исходные данные'!S313&gt;'минимумы и максимумы'!Q$3,100,('исходные данные'!S313-'минимумы и максимумы'!Q$2)/('минимумы и максимумы'!Q$3-'минимумы и максимумы'!Q$2)*100)</f>
        <v>33.333333333333329</v>
      </c>
      <c r="T313" s="1">
        <f>IF('исходные данные'!T313&gt;'минимумы и максимумы'!R$3,100,('исходные данные'!T313-'минимумы и максимумы'!R$2)/('минимумы и максимумы'!R$3-'минимумы и максимумы'!R$2)*100)</f>
        <v>8.3150021997360302</v>
      </c>
      <c r="U313" s="1">
        <f>IF('исходные данные'!U313&gt;'минимумы и максимумы'!S$3,100,('исходные данные'!U313-'минимумы и максимумы'!S$2)/('минимумы и максимумы'!S$3-'минимумы и максимумы'!S$2)*100)</f>
        <v>0</v>
      </c>
    </row>
    <row r="314" spans="1:21" x14ac:dyDescent="0.45">
      <c r="A314" s="4">
        <v>417</v>
      </c>
      <c r="B314" s="4">
        <v>0</v>
      </c>
      <c r="C314" s="4">
        <v>0</v>
      </c>
      <c r="D314" s="1">
        <f>IF('исходные данные'!D314&gt;'минимумы и максимумы'!B$3,100,('исходные данные'!D314-'минимумы и максимумы'!B$2)/('минимумы и максимумы'!B$3-'минимумы и максимумы'!B$2)*100)</f>
        <v>20</v>
      </c>
      <c r="E314" s="1">
        <f>IF('исходные данные'!E314&gt;'минимумы и максимумы'!C$3,100,('исходные данные'!E314-'минимумы и максимумы'!C$2)/('минимумы и максимумы'!C$3-'минимумы и максимумы'!C$2)*100)</f>
        <v>30</v>
      </c>
      <c r="F314" s="1">
        <f>IF('исходные данные'!F314&gt;'минимумы и максимумы'!D$3,100,('исходные данные'!F314-'минимумы и максимумы'!D$2)/('минимумы и максимумы'!D$3-'минимумы и максимумы'!D$2)*100)</f>
        <v>0</v>
      </c>
      <c r="G314" s="1">
        <f>IF('исходные данные'!G314&gt;'минимумы и максимумы'!E$3,100,('исходные данные'!G314-'минимумы и максимумы'!E$2)/('минимумы и максимумы'!E$3-'минимумы и максимумы'!E$2)*100)</f>
        <v>20.833333333333336</v>
      </c>
      <c r="H314" s="1">
        <f>IF('исходные данные'!H314&gt;'минимумы и максимумы'!F$3,100,('исходные данные'!H314-'минимумы и максимумы'!F$2)/('минимумы и максимумы'!F$3-'минимумы и максимумы'!F$2)*100)</f>
        <v>32</v>
      </c>
      <c r="I314" s="1">
        <f>IF('исходные данные'!I314&gt;'минимумы и максимумы'!G$3,100,('исходные данные'!I314-'минимумы и максимумы'!G$2)/('минимумы и максимумы'!G$3-'минимумы и максимумы'!G$2)*100)</f>
        <v>16.981132075471699</v>
      </c>
      <c r="J314" s="1">
        <f>IF('исходные данные'!J314&gt;'минимумы и максимумы'!H$3,100,('исходные данные'!J314-'минимумы и максимумы'!H$2)/('минимумы и максимумы'!H$3-'минимумы и максимумы'!H$2)*100)</f>
        <v>20</v>
      </c>
      <c r="K314" s="1">
        <f>IF('исходные данные'!K314&gt;'минимумы и максимумы'!I$3,100,('исходные данные'!K314-'минимумы и максимумы'!I$2)/('минимумы и максимумы'!I$3-'минимумы и максимумы'!I$2)*100)</f>
        <v>38.888888888888893</v>
      </c>
      <c r="L314" s="1">
        <f>IF('исходные данные'!L314&gt;'минимумы и максимумы'!J$3,100,('исходные данные'!L314-'минимумы и максимумы'!J$2)/('минимумы и максимумы'!J$3-'минимумы и максимумы'!J$2)*100)</f>
        <v>0</v>
      </c>
      <c r="M314" s="1">
        <f>IF('исходные данные'!M314&gt;'минимумы и максимумы'!K$3,100,('исходные данные'!M314-'минимумы и максимумы'!K$2)/('минимумы и максимумы'!K$3-'минимумы и максимумы'!K$2)*100)</f>
        <v>35.483870967741936</v>
      </c>
      <c r="N314" s="1">
        <f>IF('исходные данные'!N314&gt;'минимумы и максимумы'!L$3,100,('исходные данные'!N314-'минимумы и максимумы'!L$2)/('минимумы и максимумы'!L$3-'минимумы и максимумы'!L$2)*100)</f>
        <v>36.498372032497969</v>
      </c>
      <c r="O314" s="1">
        <f>IF('исходные данные'!O314&gt;'минимумы и максимумы'!M$3,100,('исходные данные'!O314-'минимумы и максимумы'!M$2)/('минимумы и максимумы'!M$3-'минимумы и максимумы'!M$2)*100)</f>
        <v>100</v>
      </c>
      <c r="P314" s="1">
        <f>IF('исходные данные'!P314&gt;'минимумы и максимумы'!N$3,100,('исходные данные'!P314-'минимумы и максимумы'!N$2)/('минимумы и максимумы'!N$3-'минимумы и максимумы'!N$2)*100)</f>
        <v>0</v>
      </c>
      <c r="Q314" s="1">
        <f>IF('исходные данные'!Q314&gt;'минимумы и максимумы'!O$3,100,('исходные данные'!Q314-'минимумы и максимумы'!O$2)/('минимумы и максимумы'!O$3-'минимумы и максимумы'!O$2)*100)</f>
        <v>100</v>
      </c>
      <c r="R314" s="1">
        <f>IF('исходные данные'!R314&gt;'минимумы и максимумы'!P$3,100,('исходные данные'!R314-'минимумы и максимумы'!P$2)/('минимумы и максимумы'!P$3-'минимумы и максимумы'!P$2)*100)</f>
        <v>75</v>
      </c>
      <c r="S314" s="1">
        <f>IF('исходные данные'!S314&gt;'минимумы и максимумы'!Q$3,100,('исходные данные'!S314-'минимумы и максимумы'!Q$2)/('минимумы и максимумы'!Q$3-'минимумы и максимумы'!Q$2)*100)</f>
        <v>50</v>
      </c>
      <c r="T314" s="1">
        <f>IF('исходные данные'!T314&gt;'минимумы и максимумы'!R$3,100,('исходные данные'!T314-'минимумы и максимумы'!R$2)/('минимумы и максимумы'!R$3-'минимумы и максимумы'!R$2)*100)</f>
        <v>9.8988121425428961</v>
      </c>
      <c r="U314" s="1">
        <f>IF('исходные данные'!U314&gt;'минимумы и максимумы'!S$3,100,('исходные данные'!U314-'минимумы и максимумы'!S$2)/('минимумы и максимумы'!S$3-'минимумы и максимумы'!S$2)*100)</f>
        <v>0</v>
      </c>
    </row>
    <row r="315" spans="1:21" x14ac:dyDescent="0.45">
      <c r="A315" s="4">
        <v>418</v>
      </c>
      <c r="B315" s="4">
        <v>0</v>
      </c>
      <c r="C315" s="4">
        <v>0</v>
      </c>
      <c r="D315" s="1">
        <f>IF('исходные данные'!D315&gt;'минимумы и максимумы'!B$3,100,('исходные данные'!D315-'минимумы и максимумы'!B$2)/('минимумы и максимумы'!B$3-'минимумы и максимумы'!B$2)*100)</f>
        <v>0</v>
      </c>
      <c r="E315" s="1">
        <f>IF('исходные данные'!E315&gt;'минимумы и максимумы'!C$3,100,('исходные данные'!E315-'минимумы и максимумы'!C$2)/('минимумы и максимумы'!C$3-'минимумы и максимумы'!C$2)*100)</f>
        <v>0</v>
      </c>
      <c r="F315" s="1">
        <f>IF('исходные данные'!F315&gt;'минимумы и максимумы'!D$3,100,('исходные данные'!F315-'минимумы и максимумы'!D$2)/('минимумы и максимумы'!D$3-'минимумы и максимумы'!D$2)*100)</f>
        <v>0</v>
      </c>
      <c r="G315" s="1">
        <f>IF('исходные данные'!G315&gt;'минимумы и максимумы'!E$3,100,('исходные данные'!G315-'минимумы и максимумы'!E$2)/('минимумы и максимумы'!E$3-'минимумы и максимумы'!E$2)*100)</f>
        <v>8.3333333333333321</v>
      </c>
      <c r="H315" s="1">
        <f>IF('исходные данные'!H315&gt;'минимумы и максимумы'!F$3,100,('исходные данные'!H315-'минимумы и максимумы'!F$2)/('минимумы и максимумы'!F$3-'минимумы и максимумы'!F$2)*100)</f>
        <v>0</v>
      </c>
      <c r="I315" s="1">
        <f>IF('исходные данные'!I315&gt;'минимумы и максимумы'!G$3,100,('исходные данные'!I315-'минимумы и максимумы'!G$2)/('минимумы и максимумы'!G$3-'минимумы и максимумы'!G$2)*100)</f>
        <v>9.433962264150944</v>
      </c>
      <c r="J315" s="1">
        <f>IF('исходные данные'!J315&gt;'минимумы и максимумы'!H$3,100,('исходные данные'!J315-'минимумы и максимумы'!H$2)/('минимумы и максимумы'!H$3-'минимумы и максимумы'!H$2)*100)</f>
        <v>6.666666666666667</v>
      </c>
      <c r="K315" s="1">
        <f>IF('исходные данные'!K315&gt;'минимумы и максимумы'!I$3,100,('исходные данные'!K315-'минимумы и максимумы'!I$2)/('минимумы и максимумы'!I$3-'минимумы и максимумы'!I$2)*100)</f>
        <v>27.777777777777779</v>
      </c>
      <c r="L315" s="1">
        <f>IF('исходные данные'!L315&gt;'минимумы и максимумы'!J$3,100,('исходные данные'!L315-'минимумы и максимумы'!J$2)/('минимумы и максимумы'!J$3-'минимумы и максимумы'!J$2)*100)</f>
        <v>0</v>
      </c>
      <c r="M315" s="1">
        <f>IF('исходные данные'!M315&gt;'минимумы и максимумы'!K$3,100,('исходные данные'!M315-'минимумы и максимумы'!K$2)/('минимумы и максимумы'!K$3-'минимумы и максимумы'!K$2)*100)</f>
        <v>32.258064516129032</v>
      </c>
      <c r="N315" s="1">
        <f>IF('исходные данные'!N315&gt;'минимумы и максимумы'!L$3,100,('исходные данные'!N315-'минимумы и максимумы'!L$2)/('минимумы и максимумы'!L$3-'минимумы и максимумы'!L$2)*100)</f>
        <v>42.470090657376417</v>
      </c>
      <c r="O315" s="1">
        <f>IF('исходные данные'!O315&gt;'минимумы и максимумы'!M$3,100,('исходные данные'!O315-'минимумы и максимумы'!M$2)/('минимумы и максимумы'!M$3-'минимумы и максимумы'!M$2)*100)</f>
        <v>100</v>
      </c>
      <c r="P315" s="1">
        <f>IF('исходные данные'!P315&gt;'минимумы и максимумы'!N$3,100,('исходные данные'!P315-'минимумы и максимумы'!N$2)/('минимумы и максимумы'!N$3-'минимумы и максимумы'!N$2)*100)</f>
        <v>0</v>
      </c>
      <c r="Q315" s="1">
        <f>IF('исходные данные'!Q315&gt;'минимумы и максимумы'!O$3,100,('исходные данные'!Q315-'минимумы и максимумы'!O$2)/('минимумы и максимумы'!O$3-'минимумы и максимумы'!O$2)*100)</f>
        <v>0</v>
      </c>
      <c r="R315" s="1">
        <f>IF('исходные данные'!R315&gt;'минимумы и максимумы'!P$3,100,('исходные данные'!R315-'минимумы и максимумы'!P$2)/('минимумы и максимумы'!P$3-'минимумы и максимумы'!P$2)*100)</f>
        <v>50</v>
      </c>
      <c r="S315" s="1">
        <f>IF('исходные данные'!S315&gt;'минимумы и максимумы'!Q$3,100,('исходные данные'!S315-'минимумы и максимумы'!Q$2)/('минимумы и максимумы'!Q$3-'минимумы и максимумы'!Q$2)*100)</f>
        <v>16.666666666666664</v>
      </c>
      <c r="T315" s="1">
        <f>IF('исходные данные'!T315&gt;'минимумы и максимумы'!R$3,100,('исходные данные'!T315-'минимумы и максимумы'!R$2)/('минимумы и максимумы'!R$3-'минимумы и максимумы'!R$2)*100)</f>
        <v>2.2877254729432468</v>
      </c>
      <c r="U315" s="1">
        <f>IF('исходные данные'!U315&gt;'минимумы и максимумы'!S$3,100,('исходные данные'!U315-'минимумы и максимумы'!S$2)/('минимумы и максимумы'!S$3-'минимумы и максимумы'!S$2)*100)</f>
        <v>33.333333333333329</v>
      </c>
    </row>
    <row r="316" spans="1:21" x14ac:dyDescent="0.45">
      <c r="A316" s="4">
        <v>421</v>
      </c>
      <c r="B316" s="4">
        <v>0</v>
      </c>
      <c r="C316" s="4">
        <v>0</v>
      </c>
      <c r="D316" s="1">
        <f>IF('исходные данные'!D316&gt;'минимумы и максимумы'!B$3,100,('исходные данные'!D316-'минимумы и максимумы'!B$2)/('минимумы и максимумы'!B$3-'минимумы и максимумы'!B$2)*100)</f>
        <v>0</v>
      </c>
      <c r="E316" s="1">
        <f>IF('исходные данные'!E316&gt;'минимумы и максимумы'!C$3,100,('исходные данные'!E316-'минимумы и максимумы'!C$2)/('минимумы и максимумы'!C$3-'минимумы и максимумы'!C$2)*100)</f>
        <v>0</v>
      </c>
      <c r="F316" s="1">
        <f>IF('исходные данные'!F316&gt;'минимумы и максимумы'!D$3,100,('исходные данные'!F316-'минимумы и максимумы'!D$2)/('минимумы и максимумы'!D$3-'минимумы и максимумы'!D$2)*100)</f>
        <v>0</v>
      </c>
      <c r="G316" s="1">
        <f>IF('исходные данные'!G316&gt;'минимумы и максимумы'!E$3,100,('исходные данные'!G316-'минимумы и максимумы'!E$2)/('минимумы и максимумы'!E$3-'минимумы и максимумы'!E$2)*100)</f>
        <v>0</v>
      </c>
      <c r="H316" s="1">
        <f>IF('исходные данные'!H316&gt;'минимумы и максимумы'!F$3,100,('исходные данные'!H316-'минимумы и максимумы'!F$2)/('минимумы и максимумы'!F$3-'минимумы и максимумы'!F$2)*100)</f>
        <v>0</v>
      </c>
      <c r="I316" s="1">
        <f>IF('исходные данные'!I316&gt;'минимумы и максимумы'!G$3,100,('исходные данные'!I316-'минимумы и максимумы'!G$2)/('минимумы и максимумы'!G$3-'минимумы и максимумы'!G$2)*100)</f>
        <v>3.7735849056603774</v>
      </c>
      <c r="J316" s="1">
        <f>IF('исходные данные'!J316&gt;'минимумы и максимумы'!H$3,100,('исходные данные'!J316-'минимумы и максимумы'!H$2)/('минимумы и максимумы'!H$3-'минимумы и максимумы'!H$2)*100)</f>
        <v>6.666666666666667</v>
      </c>
      <c r="K316" s="1">
        <f>IF('исходные данные'!K316&gt;'минимумы и максимумы'!I$3,100,('исходные данные'!K316-'минимумы и максимумы'!I$2)/('минимумы и максимумы'!I$3-'минимумы и максимумы'!I$2)*100)</f>
        <v>22.222222222222221</v>
      </c>
      <c r="L316" s="1">
        <f>IF('исходные данные'!L316&gt;'минимумы и максимумы'!J$3,100,('исходные данные'!L316-'минимумы и максимумы'!J$2)/('минимумы и максимумы'!J$3-'минимумы и максимумы'!J$2)*100)</f>
        <v>0</v>
      </c>
      <c r="M316" s="1">
        <f>IF('исходные данные'!M316&gt;'минимумы и максимумы'!K$3,100,('исходные данные'!M316-'минимумы и максимумы'!K$2)/('минимумы и максимумы'!K$3-'минимумы и максимумы'!K$2)*100)</f>
        <v>0</v>
      </c>
      <c r="N316" s="1">
        <f>IF('исходные данные'!N316&gt;'минимумы и максимумы'!L$3,100,('исходные данные'!N316-'минимумы и максимумы'!L$2)/('минимумы и максимумы'!L$3-'минимумы и максимумы'!L$2)*100)</f>
        <v>35.622012574923403</v>
      </c>
      <c r="O316" s="1">
        <f>IF('исходные данные'!O316&gt;'минимумы и максимумы'!M$3,100,('исходные данные'!O316-'минимумы и максимумы'!M$2)/('минимумы и максимумы'!M$3-'минимумы и максимумы'!M$2)*100)</f>
        <v>66.666666666666657</v>
      </c>
      <c r="P316" s="1">
        <f>IF('исходные данные'!P316&gt;'минимумы и максимумы'!N$3,100,('исходные данные'!P316-'минимумы и максимумы'!N$2)/('минимумы и максимумы'!N$3-'минимумы и максимумы'!N$2)*100)</f>
        <v>0</v>
      </c>
      <c r="Q316" s="1">
        <f>IF('исходные данные'!Q316&gt;'минимумы и максимумы'!O$3,100,('исходные данные'!Q316-'минимумы и максимумы'!O$2)/('минимумы и максимумы'!O$3-'минимумы и максимумы'!O$2)*100)</f>
        <v>100</v>
      </c>
      <c r="R316" s="1">
        <f>IF('исходные данные'!R316&gt;'минимумы и максимумы'!P$3,100,('исходные данные'!R316-'минимумы и максимумы'!P$2)/('минимумы и максимумы'!P$3-'минимумы и максимумы'!P$2)*100)</f>
        <v>25</v>
      </c>
      <c r="S316" s="1">
        <f>IF('исходные данные'!S316&gt;'минимумы и максимумы'!Q$3,100,('исходные данные'!S316-'минимумы и максимумы'!Q$2)/('минимумы и максимумы'!Q$3-'минимумы и максимумы'!Q$2)*100)</f>
        <v>33.333333333333329</v>
      </c>
      <c r="T316" s="1">
        <f>IF('исходные данные'!T316&gt;'минимумы и максимумы'!R$3,100,('исходные данные'!T316-'минимумы и максимумы'!R$2)/('минимумы и максимумы'!R$3-'минимумы и максимумы'!R$2)*100)</f>
        <v>2.9476462824461063</v>
      </c>
      <c r="U316" s="1">
        <f>IF('исходные данные'!U316&gt;'минимумы и максимумы'!S$3,100,('исходные данные'!U316-'минимумы и максимумы'!S$2)/('минимумы и максимумы'!S$3-'минимумы и максимумы'!S$2)*100)</f>
        <v>0</v>
      </c>
    </row>
    <row r="317" spans="1:21" x14ac:dyDescent="0.45">
      <c r="A317" s="4">
        <v>422</v>
      </c>
      <c r="B317" s="4">
        <v>0</v>
      </c>
      <c r="C317" s="4">
        <v>0</v>
      </c>
      <c r="D317" s="1">
        <f>IF('исходные данные'!D317&gt;'минимумы и максимумы'!B$3,100,('исходные данные'!D317-'минимумы и максимумы'!B$2)/('минимумы и максимумы'!B$3-'минимумы и максимумы'!B$2)*100)</f>
        <v>0</v>
      </c>
      <c r="E317" s="1">
        <f>IF('исходные данные'!E317&gt;'минимумы и максимумы'!C$3,100,('исходные данные'!E317-'минимумы и максимумы'!C$2)/('минимумы и максимумы'!C$3-'минимумы и максимумы'!C$2)*100)</f>
        <v>30</v>
      </c>
      <c r="F317" s="1">
        <f>IF('исходные данные'!F317&gt;'минимумы и максимумы'!D$3,100,('исходные данные'!F317-'минимумы и максимумы'!D$2)/('минимумы и максимумы'!D$3-'минимумы и максимумы'!D$2)*100)</f>
        <v>33.333333333333329</v>
      </c>
      <c r="G317" s="1">
        <f>IF('исходные данные'!G317&gt;'минимумы и максимумы'!E$3,100,('исходные данные'!G317-'минимумы и максимумы'!E$2)/('минимумы и максимумы'!E$3-'минимумы и максимумы'!E$2)*100)</f>
        <v>29.166666666666668</v>
      </c>
      <c r="H317" s="1">
        <f>IF('исходные данные'!H317&gt;'минимумы и максимумы'!F$3,100,('исходные данные'!H317-'минимумы и максимумы'!F$2)/('минимумы и максимумы'!F$3-'минимумы и максимумы'!F$2)*100)</f>
        <v>24</v>
      </c>
      <c r="I317" s="1">
        <f>IF('исходные данные'!I317&gt;'минимумы и максимумы'!G$3,100,('исходные данные'!I317-'минимумы и максимумы'!G$2)/('минимумы и максимумы'!G$3-'минимумы и максимумы'!G$2)*100)</f>
        <v>1.8867924528301887</v>
      </c>
      <c r="J317" s="1">
        <f>IF('исходные данные'!J317&gt;'минимумы и максимумы'!H$3,100,('исходные данные'!J317-'минимумы и максимумы'!H$2)/('минимумы и максимумы'!H$3-'минимумы и максимумы'!H$2)*100)</f>
        <v>0</v>
      </c>
      <c r="K317" s="1">
        <f>IF('исходные данные'!K317&gt;'минимумы и максимумы'!I$3,100,('исходные данные'!K317-'минимумы и максимумы'!I$2)/('минимумы и максимумы'!I$3-'минимумы и максимумы'!I$2)*100)</f>
        <v>11.111111111111111</v>
      </c>
      <c r="L317" s="1">
        <f>IF('исходные данные'!L317&gt;'минимумы и максимумы'!J$3,100,('исходные данные'!L317-'минимумы и максимумы'!J$2)/('минимумы и максимумы'!J$3-'минимумы и максимумы'!J$2)*100)</f>
        <v>0</v>
      </c>
      <c r="M317" s="1">
        <f>IF('исходные данные'!M317&gt;'минимумы и максимумы'!K$3,100,('исходные данные'!M317-'минимумы и максимумы'!K$2)/('минимумы и максимумы'!K$3-'минимумы и максимумы'!K$2)*100)</f>
        <v>12.903225806451612</v>
      </c>
      <c r="N317" s="1">
        <f>IF('исходные данные'!N317&gt;'минимумы и максимумы'!L$3,100,('исходные данные'!N317-'минимумы и максимумы'!L$2)/('минимумы и максимумы'!L$3-'минимумы и максимумы'!L$2)*100)</f>
        <v>41.548549697155138</v>
      </c>
      <c r="O317" s="1">
        <f>IF('исходные данные'!O317&gt;'минимумы и максимумы'!M$3,100,('исходные данные'!O317-'минимумы и максимумы'!M$2)/('минимумы и максимумы'!M$3-'минимумы и максимумы'!M$2)*100)</f>
        <v>0</v>
      </c>
      <c r="P317" s="1">
        <f>IF('исходные данные'!P317&gt;'минимумы и максимумы'!N$3,100,('исходные данные'!P317-'минимумы и максимумы'!N$2)/('минимумы и максимумы'!N$3-'минимумы и максимумы'!N$2)*100)</f>
        <v>0</v>
      </c>
      <c r="Q317" s="1">
        <f>IF('исходные данные'!Q317&gt;'минимумы и максимумы'!O$3,100,('исходные данные'!Q317-'минимумы и максимумы'!O$2)/('минимумы и максимумы'!O$3-'минимумы и максимумы'!O$2)*100)</f>
        <v>0</v>
      </c>
      <c r="R317" s="1">
        <f>IF('исходные данные'!R317&gt;'минимумы и максимумы'!P$3,100,('исходные данные'!R317-'минимумы и максимумы'!P$2)/('минимумы и максимумы'!P$3-'минимумы и максимумы'!P$2)*100)</f>
        <v>25</v>
      </c>
      <c r="S317" s="1">
        <f>IF('исходные данные'!S317&gt;'минимумы и максимумы'!Q$3,100,('исходные данные'!S317-'минимумы и максимумы'!Q$2)/('минимумы и максимумы'!Q$3-'минимумы и максимумы'!Q$2)*100)</f>
        <v>16.666666666666664</v>
      </c>
      <c r="T317" s="1">
        <f>IF('исходные данные'!T317&gt;'минимумы и максимумы'!R$3,100,('исходные данные'!T317-'минимумы и максимумы'!R$2)/('минимумы и максимумы'!R$3-'минимумы и максимумы'!R$2)*100)</f>
        <v>32.908051033875935</v>
      </c>
      <c r="U317" s="1">
        <f>IF('исходные данные'!U317&gt;'минимумы и максимумы'!S$3,100,('исходные данные'!U317-'минимумы и максимумы'!S$2)/('минимумы и максимумы'!S$3-'минимумы и максимумы'!S$2)*100)</f>
        <v>0</v>
      </c>
    </row>
    <row r="318" spans="1:21" x14ac:dyDescent="0.45">
      <c r="A318" s="4">
        <v>423</v>
      </c>
      <c r="B318" s="4">
        <v>1</v>
      </c>
      <c r="C318" s="4">
        <v>0</v>
      </c>
      <c r="D318" s="1">
        <f>IF('исходные данные'!D318&gt;'минимумы и максимумы'!B$3,100,('исходные данные'!D318-'минимумы и максимумы'!B$2)/('минимумы и максимумы'!B$3-'минимумы и максимумы'!B$2)*100)</f>
        <v>40</v>
      </c>
      <c r="E318" s="1">
        <f>IF('исходные данные'!E318&gt;'минимумы и максимумы'!C$3,100,('исходные данные'!E318-'минимумы и максимумы'!C$2)/('минимумы и максимумы'!C$3-'минимумы и максимумы'!C$2)*100)</f>
        <v>20</v>
      </c>
      <c r="F318" s="1">
        <f>IF('исходные данные'!F318&gt;'минимумы и максимумы'!D$3,100,('исходные данные'!F318-'минимумы и максимумы'!D$2)/('минимумы и максимумы'!D$3-'минимумы и максимумы'!D$2)*100)</f>
        <v>0</v>
      </c>
      <c r="G318" s="1">
        <f>IF('исходные данные'!G318&gt;'минимумы и максимумы'!E$3,100,('исходные данные'!G318-'минимумы и максимумы'!E$2)/('минимумы и максимумы'!E$3-'минимумы и максимумы'!E$2)*100)</f>
        <v>54.166666666666664</v>
      </c>
      <c r="H318" s="1">
        <f>IF('исходные данные'!H318&gt;'минимумы и максимумы'!F$3,100,('исходные данные'!H318-'минимумы и максимумы'!F$2)/('минимумы и максимумы'!F$3-'минимумы и максимумы'!F$2)*100)</f>
        <v>64</v>
      </c>
      <c r="I318" s="1">
        <f>IF('исходные данные'!I318&gt;'минимумы и максимумы'!G$3,100,('исходные данные'!I318-'минимумы и максимумы'!G$2)/('минимумы и максимумы'!G$3-'минимумы и максимумы'!G$2)*100)</f>
        <v>47.169811320754718</v>
      </c>
      <c r="J318" s="1">
        <f>IF('исходные данные'!J318&gt;'минимумы и максимумы'!H$3,100,('исходные данные'!J318-'минимумы и максимумы'!H$2)/('минимумы и максимумы'!H$3-'минимумы и максимумы'!H$2)*100)</f>
        <v>40</v>
      </c>
      <c r="K318" s="1">
        <f>IF('исходные данные'!K318&gt;'минимумы и максимумы'!I$3,100,('исходные данные'!K318-'минимумы и максимумы'!I$2)/('минимумы и максимумы'!I$3-'минимумы и максимумы'!I$2)*100)</f>
        <v>38.888888888888893</v>
      </c>
      <c r="L318" s="1">
        <f>IF('исходные данные'!L318&gt;'минимумы и максимумы'!J$3,100,('исходные данные'!L318-'минимумы и максимумы'!J$2)/('минимумы и максимумы'!J$3-'минимумы и максимумы'!J$2)*100)</f>
        <v>40</v>
      </c>
      <c r="M318" s="1">
        <f>IF('исходные данные'!M318&gt;'минимумы и максимумы'!K$3,100,('исходные данные'!M318-'минимумы и максимумы'!K$2)/('минимумы и максимумы'!K$3-'минимумы и максимумы'!K$2)*100)</f>
        <v>32.258064516129032</v>
      </c>
      <c r="N318" s="1">
        <f>IF('исходные данные'!N318&gt;'минимумы и максимумы'!L$3,100,('исходные данные'!N318-'минимумы и максимумы'!L$2)/('минимумы и максимумы'!L$3-'минимумы и максимумы'!L$2)*100)</f>
        <v>37.063591318433048</v>
      </c>
      <c r="O318" s="1">
        <f>IF('исходные данные'!O318&gt;'минимумы и максимумы'!M$3,100,('исходные данные'!O318-'минимумы и максимумы'!M$2)/('минимумы и максимумы'!M$3-'минимумы и максимумы'!M$2)*100)</f>
        <v>100</v>
      </c>
      <c r="P318" s="1">
        <f>IF('исходные данные'!P318&gt;'минимумы и максимумы'!N$3,100,('исходные данные'!P318-'минимумы и максимумы'!N$2)/('минимумы и максимумы'!N$3-'минимумы и максимумы'!N$2)*100)</f>
        <v>0</v>
      </c>
      <c r="Q318" s="1">
        <f>IF('исходные данные'!Q318&gt;'минимумы и максимумы'!O$3,100,('исходные данные'!Q318-'минимумы и максимумы'!O$2)/('минимумы и максимумы'!O$3-'минимумы и максимумы'!O$2)*100)</f>
        <v>100</v>
      </c>
      <c r="R318" s="1">
        <f>IF('исходные данные'!R318&gt;'минимумы и максимумы'!P$3,100,('исходные данные'!R318-'минимумы и максимумы'!P$2)/('минимумы и максимумы'!P$3-'минимумы и максимумы'!P$2)*100)</f>
        <v>75</v>
      </c>
      <c r="S318" s="1">
        <f>IF('исходные данные'!S318&gt;'минимумы и максимумы'!Q$3,100,('исходные данные'!S318-'минимумы и максимумы'!Q$2)/('минимумы и максимумы'!Q$3-'минимумы и максимумы'!Q$2)*100)</f>
        <v>50</v>
      </c>
      <c r="T318" s="1">
        <f>IF('исходные данные'!T318&gt;'минимумы и максимумы'!R$3,100,('исходные данные'!T318-'минимумы и максимумы'!R$2)/('минимумы и максимумы'!R$3-'минимумы и максимумы'!R$2)*100)</f>
        <v>100</v>
      </c>
      <c r="U318" s="1">
        <f>IF('исходные данные'!U318&gt;'минимумы и максимумы'!S$3,100,('исходные данные'!U318-'минимумы и максимумы'!S$2)/('минимумы и максимумы'!S$3-'минимумы и максимумы'!S$2)*100)</f>
        <v>100</v>
      </c>
    </row>
    <row r="319" spans="1:21" x14ac:dyDescent="0.45">
      <c r="A319" s="4">
        <v>424</v>
      </c>
      <c r="B319" s="4">
        <v>0</v>
      </c>
      <c r="C319" s="4">
        <v>0</v>
      </c>
      <c r="D319" s="1">
        <f>IF('исходные данные'!D319&gt;'минимумы и максимумы'!B$3,100,('исходные данные'!D319-'минимумы и максимумы'!B$2)/('минимумы и максимумы'!B$3-'минимумы и максимумы'!B$2)*100)</f>
        <v>40</v>
      </c>
      <c r="E319" s="1">
        <f>IF('исходные данные'!E319&gt;'минимумы и максимумы'!C$3,100,('исходные данные'!E319-'минимумы и максимумы'!C$2)/('минимумы и максимумы'!C$3-'минимумы и максимумы'!C$2)*100)</f>
        <v>30</v>
      </c>
      <c r="F319" s="1">
        <f>IF('исходные данные'!F319&gt;'минимумы и максимумы'!D$3,100,('исходные данные'!F319-'минимумы и максимумы'!D$2)/('минимумы и максимумы'!D$3-'минимумы и максимумы'!D$2)*100)</f>
        <v>0</v>
      </c>
      <c r="G319" s="1">
        <f>IF('исходные данные'!G319&gt;'минимумы и максимумы'!E$3,100,('исходные данные'!G319-'минимумы и максимумы'!E$2)/('минимумы и максимумы'!E$3-'минимумы и максимумы'!E$2)*100)</f>
        <v>29.166666666666668</v>
      </c>
      <c r="H319" s="1">
        <f>IF('исходные данные'!H319&gt;'минимумы и максимумы'!F$3,100,('исходные данные'!H319-'минимумы и максимумы'!F$2)/('минимумы и максимумы'!F$3-'минимумы и максимумы'!F$2)*100)</f>
        <v>56.000000000000007</v>
      </c>
      <c r="I319" s="1">
        <f>IF('исходные данные'!I319&gt;'минимумы и максимумы'!G$3,100,('исходные данные'!I319-'минимумы и максимумы'!G$2)/('минимумы и максимумы'!G$3-'минимумы и максимумы'!G$2)*100)</f>
        <v>33.962264150943398</v>
      </c>
      <c r="J319" s="1">
        <f>IF('исходные данные'!J319&gt;'минимумы и максимумы'!H$3,100,('исходные данные'!J319-'минимумы и максимумы'!H$2)/('минимумы и максимумы'!H$3-'минимумы и максимумы'!H$2)*100)</f>
        <v>33.333333333333329</v>
      </c>
      <c r="K319" s="1">
        <f>IF('исходные данные'!K319&gt;'минимумы и максимумы'!I$3,100,('исходные данные'!K319-'минимумы и максимумы'!I$2)/('минимумы и максимумы'!I$3-'минимумы и максимумы'!I$2)*100)</f>
        <v>38.888888888888893</v>
      </c>
      <c r="L319" s="1">
        <f>IF('исходные данные'!L319&gt;'минимумы и максимумы'!J$3,100,('исходные данные'!L319-'минимумы и максимумы'!J$2)/('минимумы и максимумы'!J$3-'минимумы и максимумы'!J$2)*100)</f>
        <v>40</v>
      </c>
      <c r="M319" s="1">
        <f>IF('исходные данные'!M319&gt;'минимумы и максимумы'!K$3,100,('исходные данные'!M319-'минимумы и максимумы'!K$2)/('минимумы и максимумы'!K$3-'минимумы и максимумы'!K$2)*100)</f>
        <v>41.935483870967744</v>
      </c>
      <c r="N319" s="1">
        <f>IF('исходные данные'!N319&gt;'минимумы и максимумы'!L$3,100,('исходные данные'!N319-'минимумы и максимумы'!L$2)/('минимумы и максимумы'!L$3-'минимумы и максимумы'!L$2)*100)</f>
        <v>36.359203040175217</v>
      </c>
      <c r="O319" s="1">
        <f>IF('исходные данные'!O319&gt;'минимумы и максимумы'!M$3,100,('исходные данные'!O319-'минимумы и максимумы'!M$2)/('минимумы и максимумы'!M$3-'минимумы и максимумы'!M$2)*100)</f>
        <v>100</v>
      </c>
      <c r="P319" s="1">
        <f>IF('исходные данные'!P319&gt;'минимумы и максимумы'!N$3,100,('исходные данные'!P319-'минимумы и максимумы'!N$2)/('минимумы и максимумы'!N$3-'минимумы и максимумы'!N$2)*100)</f>
        <v>0</v>
      </c>
      <c r="Q319" s="1">
        <f>IF('исходные данные'!Q319&gt;'минимумы и максимумы'!O$3,100,('исходные данные'!Q319-'минимумы и максимумы'!O$2)/('минимумы и максимумы'!O$3-'минимумы и максимумы'!O$2)*100)</f>
        <v>100</v>
      </c>
      <c r="R319" s="1">
        <f>IF('исходные данные'!R319&gt;'минимумы и максимумы'!P$3,100,('исходные данные'!R319-'минимумы и максимумы'!P$2)/('минимумы и максимумы'!P$3-'минимумы и максимумы'!P$2)*100)</f>
        <v>100</v>
      </c>
      <c r="S319" s="1">
        <f>IF('исходные данные'!S319&gt;'минимумы и максимумы'!Q$3,100,('исходные данные'!S319-'минимумы и максимумы'!Q$2)/('минимумы и максимумы'!Q$3-'минимумы и максимумы'!Q$2)*100)</f>
        <v>33.333333333333329</v>
      </c>
      <c r="T319" s="1">
        <f>IF('исходные данные'!T319&gt;'минимумы и максимумы'!R$3,100,('исходные данные'!T319-'минимумы и максимумы'!R$2)/('минимумы и максимумы'!R$3-'минимумы и максимумы'!R$2)*100)</f>
        <v>78.178618565772112</v>
      </c>
      <c r="U319" s="1">
        <f>IF('исходные данные'!U319&gt;'минимумы и максимумы'!S$3,100,('исходные данные'!U319-'минимумы и максимумы'!S$2)/('минимумы и максимумы'!S$3-'минимумы и максимумы'!S$2)*100)</f>
        <v>0</v>
      </c>
    </row>
    <row r="320" spans="1:21" x14ac:dyDescent="0.45">
      <c r="A320" s="4">
        <v>425</v>
      </c>
      <c r="B320" s="4">
        <v>0</v>
      </c>
      <c r="C320" s="4">
        <v>0</v>
      </c>
      <c r="D320" s="1">
        <f>IF('исходные данные'!D320&gt;'минимумы и максимумы'!B$3,100,('исходные данные'!D320-'минимумы и максимумы'!B$2)/('минимумы и максимумы'!B$3-'минимумы и максимумы'!B$2)*100)</f>
        <v>40</v>
      </c>
      <c r="E320" s="1">
        <f>IF('исходные данные'!E320&gt;'минимумы и максимумы'!C$3,100,('исходные данные'!E320-'минимумы и максимумы'!C$2)/('минимумы и максимумы'!C$3-'минимумы и максимумы'!C$2)*100)</f>
        <v>30</v>
      </c>
      <c r="F320" s="1">
        <f>IF('исходные данные'!F320&gt;'минимумы и максимумы'!D$3,100,('исходные данные'!F320-'минимумы и максимумы'!D$2)/('минимумы и максимумы'!D$3-'минимумы и максимумы'!D$2)*100)</f>
        <v>0</v>
      </c>
      <c r="G320" s="1">
        <f>IF('исходные данные'!G320&gt;'минимумы и максимумы'!E$3,100,('исходные данные'!G320-'минимумы и максимумы'!E$2)/('минимумы и максимумы'!E$3-'минимумы и максимумы'!E$2)*100)</f>
        <v>41.666666666666671</v>
      </c>
      <c r="H320" s="1">
        <f>IF('исходные данные'!H320&gt;'минимумы и максимумы'!F$3,100,('исходные данные'!H320-'минимумы и максимумы'!F$2)/('минимумы и максимумы'!F$3-'минимумы и максимумы'!F$2)*100)</f>
        <v>72</v>
      </c>
      <c r="I320" s="1">
        <f>IF('исходные данные'!I320&gt;'минимумы и максимумы'!G$3,100,('исходные данные'!I320-'минимумы и максимумы'!G$2)/('минимумы и максимумы'!G$3-'минимумы и максимумы'!G$2)*100)</f>
        <v>47.169811320754718</v>
      </c>
      <c r="J320" s="1">
        <f>IF('исходные данные'!J320&gt;'минимумы и максимумы'!H$3,100,('исходные данные'!J320-'минимумы и максимумы'!H$2)/('минимумы и максимумы'!H$3-'минимумы и максимумы'!H$2)*100)</f>
        <v>26.666666666666668</v>
      </c>
      <c r="K320" s="1">
        <f>IF('исходные данные'!K320&gt;'минимумы и максимумы'!I$3,100,('исходные данные'!K320-'минимумы и максимумы'!I$2)/('минимумы и максимумы'!I$3-'минимумы и максимумы'!I$2)*100)</f>
        <v>50</v>
      </c>
      <c r="L320" s="1">
        <f>IF('исходные данные'!L320&gt;'минимумы и максимумы'!J$3,100,('исходные данные'!L320-'минимумы и максимумы'!J$2)/('минимумы и максимумы'!J$3-'минимумы и максимумы'!J$2)*100)</f>
        <v>40</v>
      </c>
      <c r="M320" s="1">
        <f>IF('исходные данные'!M320&gt;'минимумы и максимумы'!K$3,100,('исходные данные'!M320-'минимумы и максимумы'!K$2)/('минимумы и максимумы'!K$3-'минимумы и максимумы'!K$2)*100)</f>
        <v>32.258064516129032</v>
      </c>
      <c r="N320" s="1">
        <f>IF('исходные данные'!N320&gt;'минимумы и максимумы'!L$3,100,('исходные данные'!N320-'минимумы и максимумы'!L$2)/('минимумы и максимумы'!L$3-'минимумы и максимумы'!L$2)*100)</f>
        <v>37.395039312875994</v>
      </c>
      <c r="O320" s="1">
        <f>IF('исходные данные'!O320&gt;'минимумы и максимумы'!M$3,100,('исходные данные'!O320-'минимумы и максимумы'!M$2)/('минимумы и максимумы'!M$3-'минимумы и максимумы'!M$2)*100)</f>
        <v>66.666666666666657</v>
      </c>
      <c r="P320" s="1">
        <f>IF('исходные данные'!P320&gt;'минимумы и максимумы'!N$3,100,('исходные данные'!P320-'минимумы и максимумы'!N$2)/('минимумы и максимумы'!N$3-'минимумы и максимумы'!N$2)*100)</f>
        <v>0</v>
      </c>
      <c r="Q320" s="1">
        <f>IF('исходные данные'!Q320&gt;'минимумы и максимумы'!O$3,100,('исходные данные'!Q320-'минимумы и максимумы'!O$2)/('минимумы и максимумы'!O$3-'минимумы и максимумы'!O$2)*100)</f>
        <v>0</v>
      </c>
      <c r="R320" s="1">
        <f>IF('исходные данные'!R320&gt;'минимумы и максимумы'!P$3,100,('исходные данные'!R320-'минимумы и максимумы'!P$2)/('минимумы и максимумы'!P$3-'минимумы и максимумы'!P$2)*100)</f>
        <v>100</v>
      </c>
      <c r="S320" s="1">
        <f>IF('исходные данные'!S320&gt;'минимумы и максимумы'!Q$3,100,('исходные данные'!S320-'минимумы и максимумы'!Q$2)/('минимумы и максимумы'!Q$3-'минимумы и максимумы'!Q$2)*100)</f>
        <v>16.666666666666664</v>
      </c>
      <c r="T320" s="1">
        <f>IF('исходные данные'!T320&gt;'минимумы и максимумы'!R$3,100,('исходные данные'!T320-'минимумы и максимумы'!R$2)/('минимумы и максимумы'!R$3-'минимумы и максимумы'!R$2)*100)</f>
        <v>1.9357677078750553</v>
      </c>
      <c r="U320" s="1">
        <f>IF('исходные данные'!U320&gt;'минимумы и максимумы'!S$3,100,('исходные данные'!U320-'минимумы и максимумы'!S$2)/('минимумы и максимумы'!S$3-'минимумы и максимумы'!S$2)*100)</f>
        <v>0</v>
      </c>
    </row>
    <row r="321" spans="1:21" x14ac:dyDescent="0.45">
      <c r="A321" s="4">
        <v>426</v>
      </c>
      <c r="B321" s="4">
        <v>0</v>
      </c>
      <c r="C321" s="4">
        <v>0</v>
      </c>
      <c r="D321" s="1">
        <f>IF('исходные данные'!D321&gt;'минимумы и максимумы'!B$3,100,('исходные данные'!D321-'минимумы и максимумы'!B$2)/('минимумы и максимумы'!B$3-'минимумы и максимумы'!B$2)*100)</f>
        <v>60</v>
      </c>
      <c r="E321" s="1">
        <f>IF('исходные данные'!E321&gt;'минимумы и максимумы'!C$3,100,('исходные данные'!E321-'минимумы и максимумы'!C$2)/('минимумы и максимумы'!C$3-'минимумы и максимумы'!C$2)*100)</f>
        <v>60</v>
      </c>
      <c r="F321" s="1">
        <f>IF('исходные данные'!F321&gt;'минимумы и максимумы'!D$3,100,('исходные данные'!F321-'минимумы и максимумы'!D$2)/('минимумы и максимумы'!D$3-'минимумы и максимумы'!D$2)*100)</f>
        <v>33.333333333333329</v>
      </c>
      <c r="G321" s="1">
        <f>IF('исходные данные'!G321&gt;'минимумы и максимумы'!E$3,100,('исходные данные'!G321-'минимумы и максимумы'!E$2)/('минимумы и максимумы'!E$3-'минимумы и максимумы'!E$2)*100)</f>
        <v>50</v>
      </c>
      <c r="H321" s="1">
        <f>IF('исходные данные'!H321&gt;'минимумы и максимумы'!F$3,100,('исходные данные'!H321-'минимумы и максимумы'!F$2)/('минимумы и максимумы'!F$3-'минимумы и максимумы'!F$2)*100)</f>
        <v>60</v>
      </c>
      <c r="I321" s="1">
        <f>IF('исходные данные'!I321&gt;'минимумы и максимумы'!G$3,100,('исходные данные'!I321-'минимумы и максимумы'!G$2)/('минимумы и максимумы'!G$3-'минимумы и максимумы'!G$2)*100)</f>
        <v>30.188679245283019</v>
      </c>
      <c r="J321" s="1">
        <f>IF('исходные данные'!J321&gt;'минимумы и максимумы'!H$3,100,('исходные данные'!J321-'минимумы и максимумы'!H$2)/('минимумы и максимумы'!H$3-'минимумы и максимумы'!H$2)*100)</f>
        <v>13.333333333333334</v>
      </c>
      <c r="K321" s="1">
        <f>IF('исходные данные'!K321&gt;'минимумы и максимумы'!I$3,100,('исходные данные'!K321-'минимумы и максимумы'!I$2)/('минимумы и максимумы'!I$3-'минимумы и максимумы'!I$2)*100)</f>
        <v>11.111111111111111</v>
      </c>
      <c r="L321" s="1">
        <f>IF('исходные данные'!L321&gt;'минимумы и максимумы'!J$3,100,('исходные данные'!L321-'минимумы и максимумы'!J$2)/('минимумы и максимумы'!J$3-'минимумы и максимумы'!J$2)*100)</f>
        <v>40</v>
      </c>
      <c r="M321" s="1">
        <f>IF('исходные данные'!M321&gt;'минимумы и максимумы'!K$3,100,('исходные данные'!M321-'минимумы и максимумы'!K$2)/('минимумы и максимумы'!K$3-'минимумы и максимумы'!K$2)*100)</f>
        <v>19.35483870967742</v>
      </c>
      <c r="N321" s="1">
        <f>IF('исходные данные'!N321&gt;'минимумы и максимумы'!L$3,100,('исходные данные'!N321-'минимумы и максимумы'!L$2)/('минимумы и максимумы'!L$3-'минимумы и максимумы'!L$2)*100)</f>
        <v>39.6144536759193</v>
      </c>
      <c r="O321" s="1">
        <f>IF('исходные данные'!O321&gt;'минимумы и максимумы'!M$3,100,('исходные данные'!O321-'минимумы и максимумы'!M$2)/('минимумы и максимумы'!M$3-'минимумы и максимумы'!M$2)*100)</f>
        <v>66.666666666666657</v>
      </c>
      <c r="P321" s="1">
        <f>IF('исходные данные'!P321&gt;'минимумы и максимумы'!N$3,100,('исходные данные'!P321-'минимумы и максимумы'!N$2)/('минимумы и максимумы'!N$3-'минимумы и максимумы'!N$2)*100)</f>
        <v>0</v>
      </c>
      <c r="Q321" s="1">
        <f>IF('исходные данные'!Q321&gt;'минимумы и максимумы'!O$3,100,('исходные данные'!Q321-'минимумы и максимумы'!O$2)/('минимумы и максимумы'!O$3-'минимумы и максимумы'!O$2)*100)</f>
        <v>0</v>
      </c>
      <c r="R321" s="1">
        <f>IF('исходные данные'!R321&gt;'минимумы и максимумы'!P$3,100,('исходные данные'!R321-'минимумы и максимумы'!P$2)/('минимумы и максимумы'!P$3-'минимумы и максимумы'!P$2)*100)</f>
        <v>75</v>
      </c>
      <c r="S321" s="1">
        <f>IF('исходные данные'!S321&gt;'минимумы и максимумы'!Q$3,100,('исходные данные'!S321-'минимумы и максимумы'!Q$2)/('минимумы и максимумы'!Q$3-'минимумы и максимумы'!Q$2)*100)</f>
        <v>16.666666666666664</v>
      </c>
      <c r="T321" s="1">
        <f>IF('исходные данные'!T321&gt;'минимумы и максимумы'!R$3,100,('исходные данные'!T321-'минимумы и максимумы'!R$2)/('минимумы и максимумы'!R$3-'минимумы и максимумы'!R$2)*100)</f>
        <v>2.3317201935767708</v>
      </c>
      <c r="U321" s="1">
        <f>IF('исходные данные'!U321&gt;'минимумы и максимумы'!S$3,100,('исходные данные'!U321-'минимумы и максимумы'!S$2)/('минимумы и максимумы'!S$3-'минимумы и максимумы'!S$2)*100)</f>
        <v>0</v>
      </c>
    </row>
    <row r="322" spans="1:21" x14ac:dyDescent="0.45">
      <c r="A322" s="4">
        <v>430</v>
      </c>
      <c r="B322" s="4">
        <v>0</v>
      </c>
      <c r="C322" s="4">
        <v>0</v>
      </c>
      <c r="D322" s="1">
        <f>IF('исходные данные'!D322&gt;'минимумы и максимумы'!B$3,100,('исходные данные'!D322-'минимумы и максимумы'!B$2)/('минимумы и максимумы'!B$3-'минимумы и максимумы'!B$2)*100)</f>
        <v>0</v>
      </c>
      <c r="E322" s="1">
        <f>IF('исходные данные'!E322&gt;'минимумы и максимумы'!C$3,100,('исходные данные'!E322-'минимумы и максимумы'!C$2)/('минимумы и максимумы'!C$3-'минимумы и максимумы'!C$2)*100)</f>
        <v>0</v>
      </c>
      <c r="F322" s="1">
        <f>IF('исходные данные'!F322&gt;'минимумы и максимумы'!D$3,100,('исходные данные'!F322-'минимумы и максимумы'!D$2)/('минимумы и максимумы'!D$3-'минимумы и максимумы'!D$2)*100)</f>
        <v>0</v>
      </c>
      <c r="G322" s="1">
        <f>IF('исходные данные'!G322&gt;'минимумы и максимумы'!E$3,100,('исходные данные'!G322-'минимумы и максимумы'!E$2)/('минимумы и максимумы'!E$3-'минимумы и максимумы'!E$2)*100)</f>
        <v>0</v>
      </c>
      <c r="H322" s="1">
        <f>IF('исходные данные'!H322&gt;'минимумы и максимумы'!F$3,100,('исходные данные'!H322-'минимумы и максимумы'!F$2)/('минимумы и максимумы'!F$3-'минимумы и максимумы'!F$2)*100)</f>
        <v>0</v>
      </c>
      <c r="I322" s="1">
        <f>IF('исходные данные'!I322&gt;'минимумы и максимумы'!G$3,100,('исходные данные'!I322-'минимумы и максимумы'!G$2)/('минимумы и максимумы'!G$3-'минимумы и максимумы'!G$2)*100)</f>
        <v>5.6603773584905666</v>
      </c>
      <c r="J322" s="1">
        <f>IF('исходные данные'!J322&gt;'минимумы и максимумы'!H$3,100,('исходные данные'!J322-'минимумы и максимумы'!H$2)/('минимумы и максимумы'!H$3-'минимумы и максимумы'!H$2)*100)</f>
        <v>0</v>
      </c>
      <c r="K322" s="1">
        <f>IF('исходные данные'!K322&gt;'минимумы и максимумы'!I$3,100,('исходные данные'!K322-'минимумы и максимумы'!I$2)/('минимумы и максимумы'!I$3-'минимумы и максимумы'!I$2)*100)</f>
        <v>0</v>
      </c>
      <c r="L322" s="1">
        <f>IF('исходные данные'!L322&gt;'минимумы и максимумы'!J$3,100,('исходные данные'!L322-'минимумы и максимумы'!J$2)/('минимумы и максимумы'!J$3-'минимумы и максимумы'!J$2)*100)</f>
        <v>0</v>
      </c>
      <c r="M322" s="1">
        <f>IF('исходные данные'!M322&gt;'минимумы и максимумы'!K$3,100,('исходные данные'!M322-'минимумы и максимумы'!K$2)/('минимумы и максимумы'!K$3-'минимумы и максимумы'!K$2)*100)</f>
        <v>29.032258064516132</v>
      </c>
      <c r="N322" s="1">
        <f>IF('исходные данные'!N322&gt;'минимумы и максимумы'!L$3,100,('исходные данные'!N322-'минимумы и максимумы'!L$2)/('минимумы и максимумы'!L$3-'минимумы и максимумы'!L$2)*100)</f>
        <v>45.273437810872011</v>
      </c>
      <c r="O322" s="1">
        <f>IF('исходные данные'!O322&gt;'минимумы и максимумы'!M$3,100,('исходные данные'!O322-'минимумы и максимумы'!M$2)/('минимумы и максимумы'!M$3-'минимумы и максимумы'!M$2)*100)</f>
        <v>33.333333333333329</v>
      </c>
      <c r="P322" s="1">
        <f>IF('исходные данные'!P322&gt;'минимумы и максимумы'!N$3,100,('исходные данные'!P322-'минимумы и максимумы'!N$2)/('минимумы и максимумы'!N$3-'минимумы и максимумы'!N$2)*100)</f>
        <v>0</v>
      </c>
      <c r="Q322" s="1">
        <f>IF('исходные данные'!Q322&gt;'минимумы и максимумы'!O$3,100,('исходные данные'!Q322-'минимумы и максимумы'!O$2)/('минимумы и максимумы'!O$3-'минимумы и максимумы'!O$2)*100)</f>
        <v>0</v>
      </c>
      <c r="R322" s="1">
        <f>IF('исходные данные'!R322&gt;'минимумы и максимумы'!P$3,100,('исходные данные'!R322-'минимумы и максимумы'!P$2)/('минимумы и максимумы'!P$3-'минимумы и максимумы'!P$2)*100)</f>
        <v>25</v>
      </c>
      <c r="S322" s="1">
        <f>IF('исходные данные'!S322&gt;'минимумы и максимумы'!Q$3,100,('исходные данные'!S322-'минимумы и максимумы'!Q$2)/('минимумы и максимумы'!Q$3-'минимумы и максимумы'!Q$2)*100)</f>
        <v>33.333333333333329</v>
      </c>
      <c r="T322" s="1">
        <f>IF('исходные данные'!T322&gt;'минимумы и максимумы'!R$3,100,('исходные данные'!T322-'минимумы и максимумы'!R$2)/('минимумы и максимумы'!R$3-'минимумы и максимумы'!R$2)*100)</f>
        <v>42.542894852617685</v>
      </c>
      <c r="U322" s="1">
        <f>IF('исходные данные'!U322&gt;'минимумы и максимумы'!S$3,100,('исходные данные'!U322-'минимумы и максимумы'!S$2)/('минимумы и максимумы'!S$3-'минимумы и максимумы'!S$2)*100)</f>
        <v>0</v>
      </c>
    </row>
    <row r="323" spans="1:21" x14ac:dyDescent="0.45">
      <c r="A323" s="4">
        <v>431</v>
      </c>
      <c r="B323" s="4">
        <v>0</v>
      </c>
      <c r="C323" s="4">
        <v>0</v>
      </c>
      <c r="D323" s="1">
        <f>IF('исходные данные'!D323&gt;'минимумы и максимумы'!B$3,100,('исходные данные'!D323-'минимумы и максимумы'!B$2)/('минимумы и максимумы'!B$3-'минимумы и максимумы'!B$2)*100)</f>
        <v>0</v>
      </c>
      <c r="E323" s="1">
        <f>IF('исходные данные'!E323&gt;'минимумы и максимумы'!C$3,100,('исходные данные'!E323-'минимумы и максимумы'!C$2)/('минимумы и максимумы'!C$3-'минимумы и максимумы'!C$2)*100)</f>
        <v>0</v>
      </c>
      <c r="F323" s="1">
        <f>IF('исходные данные'!F323&gt;'минимумы и максимумы'!D$3,100,('исходные данные'!F323-'минимумы и максимумы'!D$2)/('минимумы и максимумы'!D$3-'минимумы и максимумы'!D$2)*100)</f>
        <v>0</v>
      </c>
      <c r="G323" s="1">
        <f>IF('исходные данные'!G323&gt;'минимумы и максимумы'!E$3,100,('исходные данные'!G323-'минимумы и максимумы'!E$2)/('минимумы и максимумы'!E$3-'минимумы и максимумы'!E$2)*100)</f>
        <v>0</v>
      </c>
      <c r="H323" s="1">
        <f>IF('исходные данные'!H323&gt;'минимумы и максимумы'!F$3,100,('исходные данные'!H323-'минимумы и максимумы'!F$2)/('минимумы и максимумы'!F$3-'минимумы и максимумы'!F$2)*100)</f>
        <v>0</v>
      </c>
      <c r="I323" s="1">
        <f>IF('исходные данные'!I323&gt;'минимумы и максимумы'!G$3,100,('исходные данные'!I323-'минимумы и максимумы'!G$2)/('минимумы и максимумы'!G$3-'минимумы и максимумы'!G$2)*100)</f>
        <v>1.8867924528301887</v>
      </c>
      <c r="J323" s="1">
        <f>IF('исходные данные'!J323&gt;'минимумы и максимумы'!H$3,100,('исходные данные'!J323-'минимумы и максимумы'!H$2)/('минимумы и максимумы'!H$3-'минимумы и максимумы'!H$2)*100)</f>
        <v>6.666666666666667</v>
      </c>
      <c r="K323" s="1">
        <f>IF('исходные данные'!K323&gt;'минимумы и максимумы'!I$3,100,('исходные данные'!K323-'минимумы и максимумы'!I$2)/('минимумы и максимумы'!I$3-'минимумы и максимумы'!I$2)*100)</f>
        <v>5.5555555555555554</v>
      </c>
      <c r="L323" s="1">
        <f>IF('исходные данные'!L323&gt;'минимумы и максимумы'!J$3,100,('исходные данные'!L323-'минимумы и максимумы'!J$2)/('минимумы и максимумы'!J$3-'минимумы и максимумы'!J$2)*100)</f>
        <v>0</v>
      </c>
      <c r="M323" s="1">
        <f>IF('исходные данные'!M323&gt;'минимумы и максимумы'!K$3,100,('исходные данные'!M323-'минимумы и максимумы'!K$2)/('минимумы и максимумы'!K$3-'минимумы и максимумы'!K$2)*100)</f>
        <v>22.58064516129032</v>
      </c>
      <c r="N323" s="1">
        <f>IF('исходные данные'!N323&gt;'минимумы и максимумы'!L$3,100,('исходные данные'!N323-'минимумы и максимумы'!L$2)/('минимумы и максимумы'!L$3-'минимумы и максимумы'!L$2)*100)</f>
        <v>44.942063689206869</v>
      </c>
      <c r="O323" s="1">
        <f>IF('исходные данные'!O323&gt;'минимумы и максимумы'!M$3,100,('исходные данные'!O323-'минимумы и максимумы'!M$2)/('минимумы и максимумы'!M$3-'минимумы и максимумы'!M$2)*100)</f>
        <v>66.666666666666657</v>
      </c>
      <c r="P323" s="1">
        <f>IF('исходные данные'!P323&gt;'минимумы и максимумы'!N$3,100,('исходные данные'!P323-'минимумы и максимумы'!N$2)/('минимумы и максимумы'!N$3-'минимумы и максимумы'!N$2)*100)</f>
        <v>0</v>
      </c>
      <c r="Q323" s="1">
        <f>IF('исходные данные'!Q323&gt;'минимумы и максимумы'!O$3,100,('исходные данные'!Q323-'минимумы и максимумы'!O$2)/('минимумы и максимумы'!O$3-'минимумы и максимумы'!O$2)*100)</f>
        <v>0</v>
      </c>
      <c r="R323" s="1">
        <f>IF('исходные данные'!R323&gt;'минимумы и максимумы'!P$3,100,('исходные данные'!R323-'минимумы и максимумы'!P$2)/('минимумы и максимумы'!P$3-'минимумы и максимумы'!P$2)*100)</f>
        <v>25</v>
      </c>
      <c r="S323" s="1">
        <f>IF('исходные данные'!S323&gt;'минимумы и максимумы'!Q$3,100,('исходные данные'!S323-'минимумы и максимумы'!Q$2)/('минимумы и максимумы'!Q$3-'минимумы и максимумы'!Q$2)*100)</f>
        <v>16.666666666666664</v>
      </c>
      <c r="T323" s="1">
        <f>IF('исходные данные'!T323&gt;'минимумы и максимумы'!R$3,100,('исходные данные'!T323-'минимумы и максимумы'!R$2)/('минимумы и максимумы'!R$3-'минимумы и максимумы'!R$2)*100)</f>
        <v>8.8429388473383188</v>
      </c>
      <c r="U323" s="1">
        <f>IF('исходные данные'!U323&gt;'минимумы и максимумы'!S$3,100,('исходные данные'!U323-'минимумы и максимумы'!S$2)/('минимумы и максимумы'!S$3-'минимумы и максимумы'!S$2)*100)</f>
        <v>0</v>
      </c>
    </row>
    <row r="324" spans="1:21" x14ac:dyDescent="0.45">
      <c r="A324" s="4">
        <v>432</v>
      </c>
      <c r="B324" s="4">
        <v>0</v>
      </c>
      <c r="C324" s="4">
        <v>0</v>
      </c>
      <c r="D324" s="1">
        <f>IF('исходные данные'!D324&gt;'минимумы и максимумы'!B$3,100,('исходные данные'!D324-'минимумы и максимумы'!B$2)/('минимумы и максимумы'!B$3-'минимумы и максимумы'!B$2)*100)</f>
        <v>0</v>
      </c>
      <c r="E324" s="1">
        <f>IF('исходные данные'!E324&gt;'минимумы и максимумы'!C$3,100,('исходные данные'!E324-'минимумы и максимумы'!C$2)/('минимумы и максимумы'!C$3-'минимумы и максимумы'!C$2)*100)</f>
        <v>0</v>
      </c>
      <c r="F324" s="1">
        <f>IF('исходные данные'!F324&gt;'минимумы и максимумы'!D$3,100,('исходные данные'!F324-'минимумы и максимумы'!D$2)/('минимумы и максимумы'!D$3-'минимумы и максимумы'!D$2)*100)</f>
        <v>0</v>
      </c>
      <c r="G324" s="1">
        <f>IF('исходные данные'!G324&gt;'минимумы и максимумы'!E$3,100,('исходные данные'!G324-'минимумы и максимумы'!E$2)/('минимумы и максимумы'!E$3-'минимумы и максимумы'!E$2)*100)</f>
        <v>0</v>
      </c>
      <c r="H324" s="1">
        <f>IF('исходные данные'!H324&gt;'минимумы и максимумы'!F$3,100,('исходные данные'!H324-'минимумы и максимумы'!F$2)/('минимумы и максимумы'!F$3-'минимумы и максимумы'!F$2)*100)</f>
        <v>4</v>
      </c>
      <c r="I324" s="1">
        <f>IF('исходные данные'!I324&gt;'минимумы и максимумы'!G$3,100,('исходные данные'!I324-'минимумы и максимумы'!G$2)/('минимумы и максимумы'!G$3-'минимумы и максимумы'!G$2)*100)</f>
        <v>16.981132075471699</v>
      </c>
      <c r="J324" s="1">
        <f>IF('исходные данные'!J324&gt;'минимумы и максимумы'!H$3,100,('исходные данные'!J324-'минимумы и максимумы'!H$2)/('минимумы и максимумы'!H$3-'минимумы и максимумы'!H$2)*100)</f>
        <v>0</v>
      </c>
      <c r="K324" s="1">
        <f>IF('исходные данные'!K324&gt;'минимумы и максимумы'!I$3,100,('исходные данные'!K324-'минимумы и максимумы'!I$2)/('минимумы и максимумы'!I$3-'минимумы и максимумы'!I$2)*100)</f>
        <v>5.5555555555555554</v>
      </c>
      <c r="L324" s="1">
        <f>IF('исходные данные'!L324&gt;'минимумы и максимумы'!J$3,100,('исходные данные'!L324-'минимумы и максимумы'!J$2)/('минимумы и максимумы'!J$3-'минимумы и максимумы'!J$2)*100)</f>
        <v>0</v>
      </c>
      <c r="M324" s="1">
        <f>IF('исходные данные'!M324&gt;'минимумы и максимумы'!K$3,100,('исходные данные'!M324-'минимумы и максимумы'!K$2)/('минимумы и максимумы'!K$3-'минимумы и максимумы'!K$2)*100)</f>
        <v>22.58064516129032</v>
      </c>
      <c r="N324" s="1">
        <f>IF('исходные данные'!N324&gt;'минимумы и максимумы'!L$3,100,('исходные данные'!N324-'минимумы и максимумы'!L$2)/('минимумы и максимумы'!L$3-'минимумы и максимумы'!L$2)*100)</f>
        <v>46.990045469852099</v>
      </c>
      <c r="O324" s="1">
        <f>IF('исходные данные'!O324&gt;'минимумы и максимумы'!M$3,100,('исходные данные'!O324-'минимумы и максимумы'!M$2)/('минимумы и максимумы'!M$3-'минимумы и максимумы'!M$2)*100)</f>
        <v>0</v>
      </c>
      <c r="P324" s="1">
        <f>IF('исходные данные'!P324&gt;'минимумы и максимумы'!N$3,100,('исходные данные'!P324-'минимумы и максимумы'!N$2)/('минимумы и максимумы'!N$3-'минимумы и максимумы'!N$2)*100)</f>
        <v>0</v>
      </c>
      <c r="Q324" s="1">
        <f>IF('исходные данные'!Q324&gt;'минимумы и максимумы'!O$3,100,('исходные данные'!Q324-'минимумы и максимумы'!O$2)/('минимумы и максимумы'!O$3-'минимумы и максимумы'!O$2)*100)</f>
        <v>100</v>
      </c>
      <c r="R324" s="1">
        <f>IF('исходные данные'!R324&gt;'минимумы и максимумы'!P$3,100,('исходные данные'!R324-'минимумы и максимумы'!P$2)/('минимумы и максимумы'!P$3-'минимумы и максимумы'!P$2)*100)</f>
        <v>50</v>
      </c>
      <c r="S324" s="1">
        <f>IF('исходные данные'!S324&gt;'минимумы и максимумы'!Q$3,100,('исходные данные'!S324-'минимумы и максимумы'!Q$2)/('минимумы и максимумы'!Q$3-'минимумы и максимумы'!Q$2)*100)</f>
        <v>33.333333333333329</v>
      </c>
      <c r="T324" s="1">
        <f>IF('исходные данные'!T324&gt;'минимумы и максимумы'!R$3,100,('исходные данные'!T324-'минимумы и максимумы'!R$2)/('минимумы и максимумы'!R$3-'минимумы и максимумы'!R$2)*100)</f>
        <v>42.366915970083589</v>
      </c>
      <c r="U324" s="1">
        <f>IF('исходные данные'!U324&gt;'минимумы и максимумы'!S$3,100,('исходные данные'!U324-'минимумы и максимумы'!S$2)/('минимумы и максимумы'!S$3-'минимумы и максимумы'!S$2)*100)</f>
        <v>0</v>
      </c>
    </row>
    <row r="325" spans="1:21" x14ac:dyDescent="0.45">
      <c r="A325" s="4">
        <v>433</v>
      </c>
      <c r="B325" s="4">
        <v>0</v>
      </c>
      <c r="C325" s="4">
        <v>0</v>
      </c>
      <c r="D325" s="1">
        <f>IF('исходные данные'!D325&gt;'минимумы и максимумы'!B$3,100,('исходные данные'!D325-'минимумы и максимумы'!B$2)/('минимумы и максимумы'!B$3-'минимумы и максимумы'!B$2)*100)</f>
        <v>20</v>
      </c>
      <c r="E325" s="1">
        <f>IF('исходные данные'!E325&gt;'минимумы и максимумы'!C$3,100,('исходные данные'!E325-'минимумы и максимумы'!C$2)/('минимумы и максимумы'!C$3-'минимумы и максимумы'!C$2)*100)</f>
        <v>20</v>
      </c>
      <c r="F325" s="1">
        <f>IF('исходные данные'!F325&gt;'минимумы и максимумы'!D$3,100,('исходные данные'!F325-'минимумы и максимумы'!D$2)/('минимумы и максимумы'!D$3-'минимумы и максимумы'!D$2)*100)</f>
        <v>33.333333333333329</v>
      </c>
      <c r="G325" s="1">
        <f>IF('исходные данные'!G325&gt;'минимумы и максимумы'!E$3,100,('исходные данные'!G325-'минимумы и максимумы'!E$2)/('минимумы и максимумы'!E$3-'минимумы и максимумы'!E$2)*100)</f>
        <v>29.166666666666668</v>
      </c>
      <c r="H325" s="1">
        <f>IF('исходные данные'!H325&gt;'минимумы и максимумы'!F$3,100,('исходные данные'!H325-'минимумы и максимумы'!F$2)/('минимумы и максимумы'!F$3-'минимумы и максимумы'!F$2)*100)</f>
        <v>60</v>
      </c>
      <c r="I325" s="1">
        <f>IF('исходные данные'!I325&gt;'минимумы и максимумы'!G$3,100,('исходные данные'!I325-'минимумы и максимумы'!G$2)/('минимумы и максимумы'!G$3-'минимумы и максимумы'!G$2)*100)</f>
        <v>39.622641509433961</v>
      </c>
      <c r="J325" s="1">
        <f>IF('исходные данные'!J325&gt;'минимумы и максимумы'!H$3,100,('исходные данные'!J325-'минимумы и максимумы'!H$2)/('минимумы и максимумы'!H$3-'минимумы и максимумы'!H$2)*100)</f>
        <v>6.666666666666667</v>
      </c>
      <c r="K325" s="1">
        <f>IF('исходные данные'!K325&gt;'минимумы и максимумы'!I$3,100,('исходные данные'!K325-'минимумы и максимумы'!I$2)/('минимумы и максимумы'!I$3-'минимумы и максимумы'!I$2)*100)</f>
        <v>16.666666666666664</v>
      </c>
      <c r="L325" s="1">
        <f>IF('исходные данные'!L325&gt;'минимумы и максимумы'!J$3,100,('исходные данные'!L325-'минимумы и максимумы'!J$2)/('минимумы и максимумы'!J$3-'минимумы и максимумы'!J$2)*100)</f>
        <v>100</v>
      </c>
      <c r="M325" s="1">
        <f>IF('исходные данные'!M325&gt;'минимумы и максимумы'!K$3,100,('исходные данные'!M325-'минимумы и максимумы'!K$2)/('минимумы и максимумы'!K$3-'минимумы и максимумы'!K$2)*100)</f>
        <v>38.70967741935484</v>
      </c>
      <c r="N325" s="1">
        <f>IF('исходные данные'!N325&gt;'минимумы и максимумы'!L$3,100,('исходные данные'!N325-'минимумы и максимумы'!L$2)/('минимумы и максимумы'!L$3-'минимумы и максимумы'!L$2)*100)</f>
        <v>48.744732893433032</v>
      </c>
      <c r="O325" s="1">
        <f>IF('исходные данные'!O325&gt;'минимумы и максимумы'!M$3,100,('исходные данные'!O325-'минимумы и максимумы'!M$2)/('минимумы и максимумы'!M$3-'минимумы и максимумы'!M$2)*100)</f>
        <v>66.666666666666657</v>
      </c>
      <c r="P325" s="1">
        <f>IF('исходные данные'!P325&gt;'минимумы и максимумы'!N$3,100,('исходные данные'!P325-'минимумы и максимумы'!N$2)/('минимумы и максимумы'!N$3-'минимумы и максимумы'!N$2)*100)</f>
        <v>0</v>
      </c>
      <c r="Q325" s="1">
        <f>IF('исходные данные'!Q325&gt;'минимумы и максимумы'!O$3,100,('исходные данные'!Q325-'минимумы и максимумы'!O$2)/('минимумы и максимумы'!O$3-'минимумы и максимумы'!O$2)*100)</f>
        <v>0</v>
      </c>
      <c r="R325" s="1">
        <f>IF('исходные данные'!R325&gt;'минимумы и максимумы'!P$3,100,('исходные данные'!R325-'минимумы и максимумы'!P$2)/('минимумы и максимумы'!P$3-'минимумы и максимумы'!P$2)*100)</f>
        <v>75</v>
      </c>
      <c r="S325" s="1">
        <f>IF('исходные данные'!S325&gt;'минимумы и максимумы'!Q$3,100,('исходные данные'!S325-'минимумы и максимумы'!Q$2)/('минимумы и максимумы'!Q$3-'минимумы и максимумы'!Q$2)*100)</f>
        <v>16.666666666666664</v>
      </c>
      <c r="T325" s="1">
        <f>IF('исходные данные'!T325&gt;'минимумы и максимумы'!R$3,100,('исходные данные'!T325-'минимумы и максимумы'!R$2)/('минимумы и максимумы'!R$3-'минимумы и максимумы'!R$2)*100)</f>
        <v>2.8156621205455346</v>
      </c>
      <c r="U325" s="1">
        <f>IF('исходные данные'!U325&gt;'минимумы и максимумы'!S$3,100,('исходные данные'!U325-'минимумы и максимумы'!S$2)/('минимумы и максимумы'!S$3-'минимумы и максимумы'!S$2)*100)</f>
        <v>0</v>
      </c>
    </row>
    <row r="326" spans="1:21" x14ac:dyDescent="0.45">
      <c r="A326" s="4">
        <v>434</v>
      </c>
      <c r="B326" s="4">
        <v>0</v>
      </c>
      <c r="C326" s="4">
        <v>0</v>
      </c>
      <c r="D326" s="1">
        <f>IF('исходные данные'!D326&gt;'минимумы и максимумы'!B$3,100,('исходные данные'!D326-'минимумы и максимумы'!B$2)/('минимумы и максимумы'!B$3-'минимумы и максимумы'!B$2)*100)</f>
        <v>40</v>
      </c>
      <c r="E326" s="1">
        <f>IF('исходные данные'!E326&gt;'минимумы и максимумы'!C$3,100,('исходные данные'!E326-'минимумы и максимумы'!C$2)/('минимумы и максимумы'!C$3-'минимумы и максимумы'!C$2)*100)</f>
        <v>50</v>
      </c>
      <c r="F326" s="1">
        <f>IF('исходные данные'!F326&gt;'минимумы и максимумы'!D$3,100,('исходные данные'!F326-'минимумы и максимумы'!D$2)/('минимумы и максимумы'!D$3-'минимумы и максимумы'!D$2)*100)</f>
        <v>33.333333333333329</v>
      </c>
      <c r="G326" s="1">
        <f>IF('исходные данные'!G326&gt;'минимумы и максимумы'!E$3,100,('исходные данные'!G326-'минимумы и максимумы'!E$2)/('минимумы и максимумы'!E$3-'минимумы и максимумы'!E$2)*100)</f>
        <v>16.666666666666664</v>
      </c>
      <c r="H326" s="1">
        <f>IF('исходные данные'!H326&gt;'минимумы и максимумы'!F$3,100,('исходные данные'!H326-'минимумы и максимумы'!F$2)/('минимумы и максимумы'!F$3-'минимумы и максимумы'!F$2)*100)</f>
        <v>28.000000000000004</v>
      </c>
      <c r="I326" s="1">
        <f>IF('исходные данные'!I326&gt;'минимумы и максимумы'!G$3,100,('исходные данные'!I326-'минимумы и максимумы'!G$2)/('минимумы и максимумы'!G$3-'минимумы и максимумы'!G$2)*100)</f>
        <v>13.20754716981132</v>
      </c>
      <c r="J326" s="1">
        <f>IF('исходные данные'!J326&gt;'минимумы и максимумы'!H$3,100,('исходные данные'!J326-'минимумы и максимумы'!H$2)/('минимумы и максимумы'!H$3-'минимумы и максимумы'!H$2)*100)</f>
        <v>13.333333333333334</v>
      </c>
      <c r="K326" s="1">
        <f>IF('исходные данные'!K326&gt;'минимумы и максимумы'!I$3,100,('исходные данные'!K326-'минимумы и максимумы'!I$2)/('минимумы и максимумы'!I$3-'минимумы и максимумы'!I$2)*100)</f>
        <v>0</v>
      </c>
      <c r="L326" s="1">
        <f>IF('исходные данные'!L326&gt;'минимумы и максимумы'!J$3,100,('исходные данные'!L326-'минимумы и максимумы'!J$2)/('минимумы и максимумы'!J$3-'минимумы и максимумы'!J$2)*100)</f>
        <v>0</v>
      </c>
      <c r="M326" s="1">
        <f>IF('исходные данные'!M326&gt;'минимумы и максимумы'!K$3,100,('исходные данные'!M326-'минимумы и максимумы'!K$2)/('минимумы и максимумы'!K$3-'минимумы и максимумы'!K$2)*100)</f>
        <v>25.806451612903224</v>
      </c>
      <c r="N326" s="1">
        <f>IF('исходные данные'!N326&gt;'минимумы и максимумы'!L$3,100,('исходные данные'!N326-'минимумы и максимумы'!L$2)/('минимумы и максимумы'!L$3-'минимумы и максимумы'!L$2)*100)</f>
        <v>52.826129837625579</v>
      </c>
      <c r="O326" s="1">
        <f>IF('исходные данные'!O326&gt;'минимумы и максимумы'!M$3,100,('исходные данные'!O326-'минимумы и максимумы'!M$2)/('минимумы и максимумы'!M$3-'минимумы и максимумы'!M$2)*100)</f>
        <v>0</v>
      </c>
      <c r="P326" s="1">
        <f>IF('исходные данные'!P326&gt;'минимумы и максимумы'!N$3,100,('исходные данные'!P326-'минимумы и максимумы'!N$2)/('минимумы и максимумы'!N$3-'минимумы и максимумы'!N$2)*100)</f>
        <v>0</v>
      </c>
      <c r="Q326" s="1">
        <f>IF('исходные данные'!Q326&gt;'минимумы и максимумы'!O$3,100,('исходные данные'!Q326-'минимумы и максимумы'!O$2)/('минимумы и максимумы'!O$3-'минимумы и максимумы'!O$2)*100)</f>
        <v>100</v>
      </c>
      <c r="R326" s="1">
        <f>IF('исходные данные'!R326&gt;'минимумы и максимумы'!P$3,100,('исходные данные'!R326-'минимумы и максимумы'!P$2)/('минимумы и максимумы'!P$3-'минимумы и максимумы'!P$2)*100)</f>
        <v>100</v>
      </c>
      <c r="S326" s="1">
        <f>IF('исходные данные'!S326&gt;'минимумы и максимумы'!Q$3,100,('исходные данные'!S326-'минимумы и максимумы'!Q$2)/('минимумы и максимумы'!Q$3-'минимумы и максимумы'!Q$2)*100)</f>
        <v>50</v>
      </c>
      <c r="T326" s="1">
        <f>IF('исходные данные'!T326&gt;'минимумы и максимумы'!R$3,100,('исходные данные'!T326-'минимумы и максимумы'!R$2)/('минимумы и максимумы'!R$3-'минимумы и максимумы'!R$2)*100)</f>
        <v>34.535855697316322</v>
      </c>
      <c r="U326" s="1">
        <f>IF('исходные данные'!U326&gt;'минимумы и максимумы'!S$3,100,('исходные данные'!U326-'минимумы и максимумы'!S$2)/('минимумы и максимумы'!S$3-'минимумы и максимумы'!S$2)*100)</f>
        <v>0</v>
      </c>
    </row>
    <row r="327" spans="1:21" x14ac:dyDescent="0.45">
      <c r="A327" s="4">
        <v>435</v>
      </c>
      <c r="B327" s="4">
        <v>0</v>
      </c>
      <c r="C327" s="4">
        <v>0</v>
      </c>
      <c r="D327" s="1">
        <f>IF('исходные данные'!D327&gt;'минимумы и максимумы'!B$3,100,('исходные данные'!D327-'минимумы и максимумы'!B$2)/('минимумы и максимумы'!B$3-'минимумы и максимумы'!B$2)*100)</f>
        <v>0</v>
      </c>
      <c r="E327" s="1">
        <f>IF('исходные данные'!E327&gt;'минимумы и максимумы'!C$3,100,('исходные данные'!E327-'минимумы и максимумы'!C$2)/('минимумы и максимумы'!C$3-'минимумы и максимумы'!C$2)*100)</f>
        <v>0</v>
      </c>
      <c r="F327" s="1">
        <f>IF('исходные данные'!F327&gt;'минимумы и максимумы'!D$3,100,('исходные данные'!F327-'минимумы и максимумы'!D$2)/('минимумы и максимумы'!D$3-'минимумы и максимумы'!D$2)*100)</f>
        <v>0</v>
      </c>
      <c r="G327" s="1">
        <f>IF('исходные данные'!G327&gt;'минимумы и максимумы'!E$3,100,('исходные данные'!G327-'минимумы и максимумы'!E$2)/('минимумы и максимумы'!E$3-'минимумы и максимумы'!E$2)*100)</f>
        <v>0</v>
      </c>
      <c r="H327" s="1">
        <f>IF('исходные данные'!H327&gt;'минимумы и максимумы'!F$3,100,('исходные данные'!H327-'минимумы и максимумы'!F$2)/('минимумы и максимумы'!F$3-'минимумы и максимумы'!F$2)*100)</f>
        <v>4</v>
      </c>
      <c r="I327" s="1">
        <f>IF('исходные данные'!I327&gt;'минимумы и максимумы'!G$3,100,('исходные данные'!I327-'минимумы и максимумы'!G$2)/('минимумы и максимумы'!G$3-'минимумы и максимумы'!G$2)*100)</f>
        <v>13.20754716981132</v>
      </c>
      <c r="J327" s="1">
        <f>IF('исходные данные'!J327&gt;'минимумы и максимумы'!H$3,100,('исходные данные'!J327-'минимумы и максимумы'!H$2)/('минимумы и максимумы'!H$3-'минимумы и максимумы'!H$2)*100)</f>
        <v>6.666666666666667</v>
      </c>
      <c r="K327" s="1">
        <f>IF('исходные данные'!K327&gt;'минимумы и максимумы'!I$3,100,('исходные данные'!K327-'минимумы и максимумы'!I$2)/('минимумы и максимумы'!I$3-'минимумы и максимумы'!I$2)*100)</f>
        <v>0</v>
      </c>
      <c r="L327" s="1">
        <f>IF('исходные данные'!L327&gt;'минимумы и максимумы'!J$3,100,('исходные данные'!L327-'минимумы и максимумы'!J$2)/('минимумы и максимумы'!J$3-'минимумы и максимумы'!J$2)*100)</f>
        <v>0</v>
      </c>
      <c r="M327" s="1">
        <f>IF('исходные данные'!M327&gt;'минимумы и максимумы'!K$3,100,('исходные данные'!M327-'минимумы и максимумы'!K$2)/('минимумы и максимумы'!K$3-'минимумы и максимумы'!K$2)*100)</f>
        <v>12.903225806451612</v>
      </c>
      <c r="N327" s="1">
        <f>IF('исходные данные'!N327&gt;'минимумы и максимумы'!L$3,100,('исходные данные'!N327-'минимумы и максимумы'!L$2)/('минимумы и максимумы'!L$3-'минимумы и максимумы'!L$2)*100)</f>
        <v>50.176252521062978</v>
      </c>
      <c r="O327" s="1">
        <f>IF('исходные данные'!O327&gt;'минимумы и максимумы'!M$3,100,('исходные данные'!O327-'минимумы и максимумы'!M$2)/('минимумы и максимумы'!M$3-'минимумы и максимумы'!M$2)*100)</f>
        <v>0</v>
      </c>
      <c r="P327" s="1">
        <f>IF('исходные данные'!P327&gt;'минимумы и максимумы'!N$3,100,('исходные данные'!P327-'минимумы и максимумы'!N$2)/('минимумы и максимумы'!N$3-'минимумы и максимумы'!N$2)*100)</f>
        <v>0</v>
      </c>
      <c r="Q327" s="1">
        <f>IF('исходные данные'!Q327&gt;'минимумы и максимумы'!O$3,100,('исходные данные'!Q327-'минимумы и максимумы'!O$2)/('минимумы и максимумы'!O$3-'минимумы и максимумы'!O$2)*100)</f>
        <v>100</v>
      </c>
      <c r="R327" s="1">
        <f>IF('исходные данные'!R327&gt;'минимумы и максимумы'!P$3,100,('исходные данные'!R327-'минимумы и максимумы'!P$2)/('минимумы и максимумы'!P$3-'минимумы и максимумы'!P$2)*100)</f>
        <v>25</v>
      </c>
      <c r="S327" s="1">
        <f>IF('исходные данные'!S327&gt;'минимумы и максимумы'!Q$3,100,('исходные данные'!S327-'минимумы и максимумы'!Q$2)/('минимумы и максимумы'!Q$3-'минимумы и максимумы'!Q$2)*100)</f>
        <v>66.666666666666657</v>
      </c>
      <c r="T327" s="1">
        <f>IF('исходные данные'!T327&gt;'минимумы и максимумы'!R$3,100,('исходные данные'!T327-'минимумы и максимумы'!R$2)/('минимумы и максимумы'!R$3-'минимумы и максимумы'!R$2)*100)</f>
        <v>60.316761988561375</v>
      </c>
      <c r="U327" s="1">
        <f>IF('исходные данные'!U327&gt;'минимумы и максимумы'!S$3,100,('исходные данные'!U327-'минимумы и максимумы'!S$2)/('минимумы и максимумы'!S$3-'минимумы и максимумы'!S$2)*100)</f>
        <v>66.666666666666657</v>
      </c>
    </row>
    <row r="328" spans="1:21" x14ac:dyDescent="0.45">
      <c r="A328" s="4">
        <v>436</v>
      </c>
      <c r="B328" s="4">
        <v>0</v>
      </c>
      <c r="C328" s="4">
        <v>0</v>
      </c>
      <c r="D328" s="1">
        <f>IF('исходные данные'!D328&gt;'минимумы и максимумы'!B$3,100,('исходные данные'!D328-'минимумы и максимумы'!B$2)/('минимумы и максимумы'!B$3-'минимумы и максимумы'!B$2)*100)</f>
        <v>60</v>
      </c>
      <c r="E328" s="1">
        <f>IF('исходные данные'!E328&gt;'минимумы и максимумы'!C$3,100,('исходные данные'!E328-'минимумы и максимумы'!C$2)/('минимумы и максимумы'!C$3-'минимумы и максимумы'!C$2)*100)</f>
        <v>10</v>
      </c>
      <c r="F328" s="1">
        <f>IF('исходные данные'!F328&gt;'минимумы и максимумы'!D$3,100,('исходные данные'!F328-'минимумы и максимумы'!D$2)/('минимумы и максимумы'!D$3-'минимумы и максимумы'!D$2)*100)</f>
        <v>66.666666666666657</v>
      </c>
      <c r="G328" s="1">
        <f>IF('исходные данные'!G328&gt;'минимумы и максимумы'!E$3,100,('исходные данные'!G328-'минимумы и максимумы'!E$2)/('минимумы и максимумы'!E$3-'минимумы и максимумы'!E$2)*100)</f>
        <v>12.5</v>
      </c>
      <c r="H328" s="1">
        <f>IF('исходные данные'!H328&gt;'минимумы и максимумы'!F$3,100,('исходные данные'!H328-'минимумы и максимумы'!F$2)/('минимумы и максимумы'!F$3-'минимумы и максимумы'!F$2)*100)</f>
        <v>28.000000000000004</v>
      </c>
      <c r="I328" s="1">
        <f>IF('исходные данные'!I328&gt;'минимумы и максимумы'!G$3,100,('исходные данные'!I328-'минимумы и максимумы'!G$2)/('минимумы и максимумы'!G$3-'минимумы и максимумы'!G$2)*100)</f>
        <v>26.415094339622641</v>
      </c>
      <c r="J328" s="1">
        <f>IF('исходные данные'!J328&gt;'минимумы и максимумы'!H$3,100,('исходные данные'!J328-'минимумы и максимумы'!H$2)/('минимумы и максимумы'!H$3-'минимумы и максимумы'!H$2)*100)</f>
        <v>33.333333333333329</v>
      </c>
      <c r="K328" s="1">
        <f>IF('исходные данные'!K328&gt;'минимумы и максимумы'!I$3,100,('исходные данные'!K328-'минимумы и максимумы'!I$2)/('минимумы и максимумы'!I$3-'минимумы и максимумы'!I$2)*100)</f>
        <v>50</v>
      </c>
      <c r="L328" s="1">
        <f>IF('исходные данные'!L328&gt;'минимумы и максимумы'!J$3,100,('исходные данные'!L328-'минимумы и максимумы'!J$2)/('минимумы и максимумы'!J$3-'минимумы и максимумы'!J$2)*100)</f>
        <v>0</v>
      </c>
      <c r="M328" s="1">
        <f>IF('исходные данные'!M328&gt;'минимумы и максимумы'!K$3,100,('исходные данные'!M328-'минимумы и максимумы'!K$2)/('минимумы и максимумы'!K$3-'минимумы и максимумы'!K$2)*100)</f>
        <v>25.806451612903224</v>
      </c>
      <c r="N328" s="1">
        <f>IF('исходные данные'!N328&gt;'минимумы и максимумы'!L$3,100,('исходные данные'!N328-'минимумы и максимумы'!L$2)/('минимумы и максимумы'!L$3-'минимумы и максимумы'!L$2)*100)</f>
        <v>14.991139971407721</v>
      </c>
      <c r="O328" s="1">
        <f>IF('исходные данные'!O328&gt;'минимумы и максимумы'!M$3,100,('исходные данные'!O328-'минимумы и максимумы'!M$2)/('минимумы и максимумы'!M$3-'минимумы и максимумы'!M$2)*100)</f>
        <v>0</v>
      </c>
      <c r="P328" s="1">
        <f>IF('исходные данные'!P328&gt;'минимумы и максимумы'!N$3,100,('исходные данные'!P328-'минимумы и максимумы'!N$2)/('минимумы и максимумы'!N$3-'минимумы и максимумы'!N$2)*100)</f>
        <v>0</v>
      </c>
      <c r="Q328" s="1">
        <f>IF('исходные данные'!Q328&gt;'минимумы и максимумы'!O$3,100,('исходные данные'!Q328-'минимумы и максимумы'!O$2)/('минимумы и максимумы'!O$3-'минимумы и максимумы'!O$2)*100)</f>
        <v>100</v>
      </c>
      <c r="R328" s="1">
        <f>IF('исходные данные'!R328&gt;'минимумы и максимумы'!P$3,100,('исходные данные'!R328-'минимумы и максимумы'!P$2)/('минимумы и максимумы'!P$3-'минимумы и максимумы'!P$2)*100)</f>
        <v>75</v>
      </c>
      <c r="S328" s="1">
        <f>IF('исходные данные'!S328&gt;'минимумы и максимумы'!Q$3,100,('исходные данные'!S328-'минимумы и максимумы'!Q$2)/('минимумы и максимумы'!Q$3-'минимумы и максимумы'!Q$2)*100)</f>
        <v>50</v>
      </c>
      <c r="T328" s="1">
        <f>IF('исходные данные'!T328&gt;'минимумы и максимумы'!R$3,100,('исходные данные'!T328-'минимумы и максимумы'!R$2)/('минимумы и максимумы'!R$3-'минимумы и максимумы'!R$2)*100)</f>
        <v>73.647162340519131</v>
      </c>
      <c r="U328" s="1">
        <f>IF('исходные данные'!U328&gt;'минимумы и максимумы'!S$3,100,('исходные данные'!U328-'минимумы и максимумы'!S$2)/('минимумы и максимумы'!S$3-'минимумы и максимумы'!S$2)*100)</f>
        <v>66.666666666666657</v>
      </c>
    </row>
    <row r="329" spans="1:21" x14ac:dyDescent="0.45">
      <c r="A329" s="4">
        <v>437</v>
      </c>
      <c r="B329" s="4">
        <v>1</v>
      </c>
      <c r="C329" s="4">
        <v>0</v>
      </c>
      <c r="D329" s="1">
        <f>IF('исходные данные'!D329&gt;'минимумы и максимумы'!B$3,100,('исходные данные'!D329-'минимумы и максимумы'!B$2)/('минимумы и максимумы'!B$3-'минимумы и максимумы'!B$2)*100)</f>
        <v>40</v>
      </c>
      <c r="E329" s="1">
        <f>IF('исходные данные'!E329&gt;'минимумы и максимумы'!C$3,100,('исходные данные'!E329-'минимумы и максимумы'!C$2)/('минимумы и максимумы'!C$3-'минимумы и максимумы'!C$2)*100)</f>
        <v>10</v>
      </c>
      <c r="F329" s="1">
        <f>IF('исходные данные'!F329&gt;'минимумы и максимумы'!D$3,100,('исходные данные'!F329-'минимумы и максимумы'!D$2)/('минимумы и максимумы'!D$3-'минимумы и максимумы'!D$2)*100)</f>
        <v>66.666666666666657</v>
      </c>
      <c r="G329" s="1">
        <f>IF('исходные данные'!G329&gt;'минимумы и максимумы'!E$3,100,('исходные данные'!G329-'минимумы и максимумы'!E$2)/('минимумы и максимумы'!E$3-'минимумы и максимумы'!E$2)*100)</f>
        <v>29.166666666666668</v>
      </c>
      <c r="H329" s="1">
        <f>IF('исходные данные'!H329&gt;'минимумы и максимумы'!F$3,100,('исходные данные'!H329-'минимумы и максимумы'!F$2)/('минимумы и максимумы'!F$3-'минимумы и максимумы'!F$2)*100)</f>
        <v>40</v>
      </c>
      <c r="I329" s="1">
        <f>IF('исходные данные'!I329&gt;'минимумы и максимумы'!G$3,100,('исходные данные'!I329-'минимумы и максимумы'!G$2)/('минимумы и максимумы'!G$3-'минимумы и максимумы'!G$2)*100)</f>
        <v>33.962264150943398</v>
      </c>
      <c r="J329" s="1">
        <f>IF('исходные данные'!J329&gt;'минимумы и максимумы'!H$3,100,('исходные данные'!J329-'минимумы и максимумы'!H$2)/('минимумы и максимумы'!H$3-'минимумы и максимумы'!H$2)*100)</f>
        <v>40</v>
      </c>
      <c r="K329" s="1">
        <f>IF('исходные данные'!K329&gt;'минимумы и максимумы'!I$3,100,('исходные данные'!K329-'минимумы и максимумы'!I$2)/('минимумы и максимумы'!I$3-'минимумы и максимумы'!I$2)*100)</f>
        <v>55.555555555555557</v>
      </c>
      <c r="L329" s="1">
        <f>IF('исходные данные'!L329&gt;'минимумы и максимумы'!J$3,100,('исходные данные'!L329-'минимумы и максимумы'!J$2)/('минимумы и максимумы'!J$3-'минимумы и максимумы'!J$2)*100)</f>
        <v>0</v>
      </c>
      <c r="M329" s="1">
        <f>IF('исходные данные'!M329&gt;'минимумы и максимумы'!K$3,100,('исходные данные'!M329-'минимумы и максимумы'!K$2)/('минимумы и максимумы'!K$3-'минимумы и максимумы'!K$2)*100)</f>
        <v>29.032258064516132</v>
      </c>
      <c r="N329" s="1">
        <f>IF('исходные данные'!N329&gt;'минимумы и максимумы'!L$3,100,('исходные данные'!N329-'минимумы и максимумы'!L$2)/('минимумы и максимумы'!L$3-'минимумы и максимумы'!L$2)*100)</f>
        <v>15.290195552372118</v>
      </c>
      <c r="O329" s="1">
        <f>IF('исходные данные'!O329&gt;'минимумы и максимумы'!M$3,100,('исходные данные'!O329-'минимумы и максимумы'!M$2)/('минимумы и максимумы'!M$3-'минимумы и максимумы'!M$2)*100)</f>
        <v>33.333333333333329</v>
      </c>
      <c r="P329" s="1">
        <f>IF('исходные данные'!P329&gt;'минимумы и максимумы'!N$3,100,('исходные данные'!P329-'минимумы и максимумы'!N$2)/('минимумы и максимумы'!N$3-'минимумы и максимумы'!N$2)*100)</f>
        <v>0</v>
      </c>
      <c r="Q329" s="1">
        <f>IF('исходные данные'!Q329&gt;'минимумы и максимумы'!O$3,100,('исходные данные'!Q329-'минимумы и максимумы'!O$2)/('минимумы и максимумы'!O$3-'минимумы и максимумы'!O$2)*100)</f>
        <v>0</v>
      </c>
      <c r="R329" s="1">
        <f>IF('исходные данные'!R329&gt;'минимумы и максимумы'!P$3,100,('исходные данные'!R329-'минимумы и максимумы'!P$2)/('минимумы и максимумы'!P$3-'минимумы и максимумы'!P$2)*100)</f>
        <v>75</v>
      </c>
      <c r="S329" s="1">
        <f>IF('исходные данные'!S329&gt;'минимумы и максимумы'!Q$3,100,('исходные данные'!S329-'минимумы и максимумы'!Q$2)/('минимумы и максимумы'!Q$3-'минимумы и максимумы'!Q$2)*100)</f>
        <v>16.666666666666664</v>
      </c>
      <c r="T329" s="1">
        <f>IF('исходные данные'!T329&gt;'минимумы и максимумы'!R$3,100,('исходные данные'!T329-'минимумы и максимумы'!R$2)/('минимумы и максимумы'!R$3-'минимумы и максимумы'!R$2)*100)</f>
        <v>23.185217773867137</v>
      </c>
      <c r="U329" s="1">
        <f>IF('исходные данные'!U329&gt;'минимумы и максимумы'!S$3,100,('исходные данные'!U329-'минимумы и максимумы'!S$2)/('минимумы и максимумы'!S$3-'минимумы и максимумы'!S$2)*100)</f>
        <v>0</v>
      </c>
    </row>
    <row r="330" spans="1:21" x14ac:dyDescent="0.45">
      <c r="A330" s="4">
        <v>438</v>
      </c>
      <c r="B330" s="4">
        <v>0</v>
      </c>
      <c r="C330" s="4">
        <v>0</v>
      </c>
      <c r="D330" s="1">
        <f>IF('исходные данные'!D330&gt;'минимумы и максимумы'!B$3,100,('исходные данные'!D330-'минимумы и максимумы'!B$2)/('минимумы и максимумы'!B$3-'минимумы и максимумы'!B$2)*100)</f>
        <v>20</v>
      </c>
      <c r="E330" s="1">
        <f>IF('исходные данные'!E330&gt;'минимумы и максимумы'!C$3,100,('исходные данные'!E330-'минимумы и максимумы'!C$2)/('минимумы и максимумы'!C$3-'минимумы и максимумы'!C$2)*100)</f>
        <v>20</v>
      </c>
      <c r="F330" s="1">
        <f>IF('исходные данные'!F330&gt;'минимумы и максимумы'!D$3,100,('исходные данные'!F330-'минимумы и максимумы'!D$2)/('минимумы и максимумы'!D$3-'минимумы и максимумы'!D$2)*100)</f>
        <v>66.666666666666657</v>
      </c>
      <c r="G330" s="1">
        <f>IF('исходные данные'!G330&gt;'минимумы и максимумы'!E$3,100,('исходные данные'!G330-'минимумы и максимумы'!E$2)/('минимумы и максимумы'!E$3-'минимумы и максимумы'!E$2)*100)</f>
        <v>62.5</v>
      </c>
      <c r="H330" s="1">
        <f>IF('исходные данные'!H330&gt;'минимумы и максимумы'!F$3,100,('исходные данные'!H330-'минимумы и максимумы'!F$2)/('минимумы и максимумы'!F$3-'минимумы и максимумы'!F$2)*100)</f>
        <v>68</v>
      </c>
      <c r="I330" s="1">
        <f>IF('исходные данные'!I330&gt;'минимумы и максимумы'!G$3,100,('исходные данные'!I330-'минимумы и максимумы'!G$2)/('минимумы и максимумы'!G$3-'минимумы и максимумы'!G$2)*100)</f>
        <v>92.452830188679243</v>
      </c>
      <c r="J330" s="1">
        <f>IF('исходные данные'!J330&gt;'минимумы и максимумы'!H$3,100,('исходные данные'!J330-'минимумы и максимумы'!H$2)/('минимумы и максимумы'!H$3-'минимумы и максимумы'!H$2)*100)</f>
        <v>73.333333333333329</v>
      </c>
      <c r="K330" s="1">
        <f>IF('исходные данные'!K330&gt;'минимумы и максимумы'!I$3,100,('исходные данные'!K330-'минимумы и максимумы'!I$2)/('минимумы и максимумы'!I$3-'минимумы и максимумы'!I$2)*100)</f>
        <v>77.777777777777786</v>
      </c>
      <c r="L330" s="1">
        <f>IF('исходные данные'!L330&gt;'минимумы и максимумы'!J$3,100,('исходные данные'!L330-'минимумы и максимумы'!J$2)/('минимумы и максимумы'!J$3-'минимумы и максимумы'!J$2)*100)</f>
        <v>100</v>
      </c>
      <c r="M330" s="1">
        <f>IF('исходные данные'!M330&gt;'минимумы и максимумы'!K$3,100,('исходные данные'!M330-'минимумы и максимумы'!K$2)/('минимумы и максимумы'!K$3-'минимумы и максимумы'!K$2)*100)</f>
        <v>74.193548387096769</v>
      </c>
      <c r="N330" s="1">
        <f>IF('исходные данные'!N330&gt;'минимумы и максимумы'!L$3,100,('исходные данные'!N330-'минимумы и максимумы'!L$2)/('минимумы и максимумы'!L$3-'минимумы и максимумы'!L$2)*100)</f>
        <v>17.673841184751502</v>
      </c>
      <c r="O330" s="1">
        <f>IF('исходные данные'!O330&gt;'минимумы и максимумы'!M$3,100,('исходные данные'!O330-'минимумы и максимумы'!M$2)/('минимумы и максимумы'!M$3-'минимумы и максимумы'!M$2)*100)</f>
        <v>100</v>
      </c>
      <c r="P330" s="1">
        <f>IF('исходные данные'!P330&gt;'минимумы и максимумы'!N$3,100,('исходные данные'!P330-'минимумы и максимумы'!N$2)/('минимумы и максимумы'!N$3-'минимумы и максимумы'!N$2)*100)</f>
        <v>0</v>
      </c>
      <c r="Q330" s="1">
        <f>IF('исходные данные'!Q330&gt;'минимумы и максимумы'!O$3,100,('исходные данные'!Q330-'минимумы и максимумы'!O$2)/('минимумы и максимумы'!O$3-'минимумы и максимумы'!O$2)*100)</f>
        <v>100</v>
      </c>
      <c r="R330" s="1">
        <f>IF('исходные данные'!R330&gt;'минимумы и максимумы'!P$3,100,('исходные данные'!R330-'минимумы и максимумы'!P$2)/('минимумы и максимумы'!P$3-'минимумы и максимумы'!P$2)*100)</f>
        <v>100</v>
      </c>
      <c r="S330" s="1">
        <f>IF('исходные данные'!S330&gt;'минимумы и максимумы'!Q$3,100,('исходные данные'!S330-'минимумы и максимумы'!Q$2)/('минимумы и максимумы'!Q$3-'минимумы и максимумы'!Q$2)*100)</f>
        <v>50</v>
      </c>
      <c r="T330" s="1">
        <f>IF('исходные данные'!T330&gt;'минимумы и максимумы'!R$3,100,('исходные данные'!T330-'минимумы и максимумы'!R$2)/('минимумы и максимумы'!R$3-'минимумы и максимумы'!R$2)*100)</f>
        <v>7.611086669599648</v>
      </c>
      <c r="U330" s="1">
        <f>IF('исходные данные'!U330&gt;'минимумы и максимумы'!S$3,100,('исходные данные'!U330-'минимумы и максимумы'!S$2)/('минимумы и максимумы'!S$3-'минимумы и максимумы'!S$2)*100)</f>
        <v>0</v>
      </c>
    </row>
    <row r="331" spans="1:21" x14ac:dyDescent="0.45">
      <c r="A331" s="4">
        <v>439</v>
      </c>
      <c r="B331" s="4">
        <v>0</v>
      </c>
      <c r="C331" s="4">
        <v>0</v>
      </c>
      <c r="D331" s="1">
        <f>IF('исходные данные'!D331&gt;'минимумы и максимумы'!B$3,100,('исходные данные'!D331-'минимумы и максимумы'!B$2)/('минимумы и максимумы'!B$3-'минимумы и максимумы'!B$2)*100)</f>
        <v>20</v>
      </c>
      <c r="E331" s="1">
        <f>IF('исходные данные'!E331&gt;'минимумы и максимумы'!C$3,100,('исходные данные'!E331-'минимумы и максимумы'!C$2)/('минимумы и максимумы'!C$3-'минимумы и максимумы'!C$2)*100)</f>
        <v>10</v>
      </c>
      <c r="F331" s="1">
        <f>IF('исходные данные'!F331&gt;'минимумы и максимумы'!D$3,100,('исходные данные'!F331-'минимумы и максимумы'!D$2)/('минимумы и максимумы'!D$3-'минимумы и максимумы'!D$2)*100)</f>
        <v>100</v>
      </c>
      <c r="G331" s="1">
        <f>IF('исходные данные'!G331&gt;'минимумы и максимумы'!E$3,100,('исходные данные'!G331-'минимумы и максимумы'!E$2)/('минимумы и максимумы'!E$3-'минимумы и максимумы'!E$2)*100)</f>
        <v>58.333333333333336</v>
      </c>
      <c r="H331" s="1">
        <f>IF('исходные данные'!H331&gt;'минимумы и максимумы'!F$3,100,('исходные данные'!H331-'минимумы и максимумы'!F$2)/('минимумы и максимумы'!F$3-'минимумы и максимумы'!F$2)*100)</f>
        <v>60</v>
      </c>
      <c r="I331" s="1">
        <f>IF('исходные данные'!I331&gt;'минимумы и максимумы'!G$3,100,('исходные данные'!I331-'минимумы и максимумы'!G$2)/('минимумы и максимумы'!G$3-'минимумы и максимумы'!G$2)*100)</f>
        <v>86.79245283018868</v>
      </c>
      <c r="J331" s="1">
        <f>IF('исходные данные'!J331&gt;'минимумы и максимумы'!H$3,100,('исходные данные'!J331-'минимумы и максимумы'!H$2)/('минимумы и максимумы'!H$3-'минимумы и максимумы'!H$2)*100)</f>
        <v>100</v>
      </c>
      <c r="K331" s="1">
        <f>IF('исходные данные'!K331&gt;'минимумы и максимумы'!I$3,100,('исходные данные'!K331-'минимумы и максимумы'!I$2)/('минимумы и максимумы'!I$3-'минимумы и максимумы'!I$2)*100)</f>
        <v>88.888888888888886</v>
      </c>
      <c r="L331" s="1">
        <f>IF('исходные данные'!L331&gt;'минимумы и максимумы'!J$3,100,('исходные данные'!L331-'минимумы и максимумы'!J$2)/('минимумы и максимумы'!J$3-'минимумы и максимумы'!J$2)*100)</f>
        <v>100</v>
      </c>
      <c r="M331" s="1">
        <f>IF('исходные данные'!M331&gt;'минимумы и максимумы'!K$3,100,('исходные данные'!M331-'минимумы и максимумы'!K$2)/('минимумы и максимумы'!K$3-'минимумы и максимумы'!K$2)*100)</f>
        <v>61.29032258064516</v>
      </c>
      <c r="N331" s="1">
        <f>IF('исходные данные'!N331&gt;'минимумы и максимумы'!L$3,100,('исходные данные'!N331-'минимумы и максимумы'!L$2)/('минимумы и максимумы'!L$3-'минимумы и максимумы'!L$2)*100)</f>
        <v>17.276344997880365</v>
      </c>
      <c r="O331" s="1">
        <f>IF('исходные данные'!O331&gt;'минимумы и максимумы'!M$3,100,('исходные данные'!O331-'минимумы и максимумы'!M$2)/('минимумы и максимумы'!M$3-'минимумы и максимумы'!M$2)*100)</f>
        <v>0</v>
      </c>
      <c r="P331" s="1">
        <f>IF('исходные данные'!P331&gt;'минимумы и максимумы'!N$3,100,('исходные данные'!P331-'минимумы и максимумы'!N$2)/('минимумы и максимумы'!N$3-'минимумы и максимумы'!N$2)*100)</f>
        <v>0</v>
      </c>
      <c r="Q331" s="1">
        <f>IF('исходные данные'!Q331&gt;'минимумы и максимумы'!O$3,100,('исходные данные'!Q331-'минимумы и максимумы'!O$2)/('минимумы и максимумы'!O$3-'минимумы и максимумы'!O$2)*100)</f>
        <v>100</v>
      </c>
      <c r="R331" s="1">
        <f>IF('исходные данные'!R331&gt;'минимумы и максимумы'!P$3,100,('исходные данные'!R331-'минимумы и максимумы'!P$2)/('минимумы и максимумы'!P$3-'минимумы и максимумы'!P$2)*100)</f>
        <v>100</v>
      </c>
      <c r="S331" s="1">
        <f>IF('исходные данные'!S331&gt;'минимумы и максимумы'!Q$3,100,('исходные данные'!S331-'минимумы и максимумы'!Q$2)/('минимумы и максимумы'!Q$3-'минимумы и максимумы'!Q$2)*100)</f>
        <v>83.333333333333343</v>
      </c>
      <c r="T331" s="1">
        <f>IF('исходные данные'!T331&gt;'минимумы и максимумы'!R$3,100,('исходные данные'!T331-'минимумы и максимумы'!R$2)/('минимумы и максимумы'!R$3-'минимумы и максимумы'!R$2)*100)</f>
        <v>76.066871975362957</v>
      </c>
      <c r="U331" s="1">
        <f>IF('исходные данные'!U331&gt;'минимумы и максимумы'!S$3,100,('исходные данные'!U331-'минимумы и максимумы'!S$2)/('минимумы и максимумы'!S$3-'минимумы и максимумы'!S$2)*100)</f>
        <v>66.666666666666657</v>
      </c>
    </row>
    <row r="332" spans="1:21" x14ac:dyDescent="0.45">
      <c r="A332" s="4">
        <v>440</v>
      </c>
      <c r="B332" s="4">
        <v>0</v>
      </c>
      <c r="C332" s="4">
        <v>0</v>
      </c>
      <c r="D332" s="1">
        <f>IF('исходные данные'!D332&gt;'минимумы и максимумы'!B$3,100,('исходные данные'!D332-'минимумы и максимумы'!B$2)/('минимумы и максимумы'!B$3-'минимумы и максимумы'!B$2)*100)</f>
        <v>20</v>
      </c>
      <c r="E332" s="1">
        <f>IF('исходные данные'!E332&gt;'минимумы и максимумы'!C$3,100,('исходные данные'!E332-'минимумы и максимумы'!C$2)/('минимумы и максимумы'!C$3-'минимумы и максимумы'!C$2)*100)</f>
        <v>20</v>
      </c>
      <c r="F332" s="1">
        <f>IF('исходные данные'!F332&gt;'минимумы и максимумы'!D$3,100,('исходные данные'!F332-'минимумы и максимумы'!D$2)/('минимумы и максимумы'!D$3-'минимумы и максимумы'!D$2)*100)</f>
        <v>100</v>
      </c>
      <c r="G332" s="1">
        <f>IF('исходные данные'!G332&gt;'минимумы и максимумы'!E$3,100,('исходные данные'!G332-'минимумы и максимумы'!E$2)/('минимумы и максимумы'!E$3-'минимумы и максимумы'!E$2)*100)</f>
        <v>62.5</v>
      </c>
      <c r="H332" s="1">
        <f>IF('исходные данные'!H332&gt;'минимумы и максимумы'!F$3,100,('исходные данные'!H332-'минимумы и максимумы'!F$2)/('минимумы и максимумы'!F$3-'минимумы и максимумы'!F$2)*100)</f>
        <v>52</v>
      </c>
      <c r="I332" s="1">
        <f>IF('исходные данные'!I332&gt;'минимумы и максимумы'!G$3,100,('исходные данные'!I332-'минимумы и максимумы'!G$2)/('минимумы и максимумы'!G$3-'минимумы и максимумы'!G$2)*100)</f>
        <v>83.018867924528308</v>
      </c>
      <c r="J332" s="1">
        <f>IF('исходные данные'!J332&gt;'минимумы и максимумы'!H$3,100,('исходные данные'!J332-'минимумы и максимумы'!H$2)/('минимумы и максимумы'!H$3-'минимумы и максимумы'!H$2)*100)</f>
        <v>93.333333333333329</v>
      </c>
      <c r="K332" s="1">
        <f>IF('исходные данные'!K332&gt;'минимумы и максимумы'!I$3,100,('исходные данные'!K332-'минимумы и максимумы'!I$2)/('минимумы и максимумы'!I$3-'минимумы и максимумы'!I$2)*100)</f>
        <v>88.888888888888886</v>
      </c>
      <c r="L332" s="1">
        <f>IF('исходные данные'!L332&gt;'минимумы и максимумы'!J$3,100,('исходные данные'!L332-'минимумы и максимумы'!J$2)/('минимумы и максимумы'!J$3-'минимумы и максимумы'!J$2)*100)</f>
        <v>100</v>
      </c>
      <c r="M332" s="1">
        <f>IF('исходные данные'!M332&gt;'минимумы и максимумы'!K$3,100,('исходные данные'!M332-'минимумы и максимумы'!K$2)/('минимумы и максимумы'!K$3-'минимумы и максимумы'!K$2)*100)</f>
        <v>61.29032258064516</v>
      </c>
      <c r="N332" s="1">
        <f>IF('исходные данные'!N332&gt;'минимумы и максимумы'!L$3,100,('исходные данные'!N332-'минимумы и максимумы'!L$2)/('минимумы и максимумы'!L$3-'минимумы и максимумы'!L$2)*100)</f>
        <v>17.245629567693079</v>
      </c>
      <c r="O332" s="1">
        <f>IF('исходные данные'!O332&gt;'минимумы и максимумы'!M$3,100,('исходные данные'!O332-'минимумы и максимумы'!M$2)/('минимумы и максимумы'!M$3-'минимумы и максимумы'!M$2)*100)</f>
        <v>100</v>
      </c>
      <c r="P332" s="1">
        <f>IF('исходные данные'!P332&gt;'минимумы и максимумы'!N$3,100,('исходные данные'!P332-'минимумы и максимумы'!N$2)/('минимумы и максимумы'!N$3-'минимумы и максимумы'!N$2)*100)</f>
        <v>0</v>
      </c>
      <c r="Q332" s="1">
        <f>IF('исходные данные'!Q332&gt;'минимумы и максимумы'!O$3,100,('исходные данные'!Q332-'минимумы и максимумы'!O$2)/('минимумы и максимумы'!O$3-'минимумы и максимумы'!O$2)*100)</f>
        <v>100</v>
      </c>
      <c r="R332" s="1">
        <f>IF('исходные данные'!R332&gt;'минимумы и максимумы'!P$3,100,('исходные данные'!R332-'минимумы и максимумы'!P$2)/('минимумы и максимумы'!P$3-'минимумы и максимумы'!P$2)*100)</f>
        <v>100</v>
      </c>
      <c r="S332" s="1">
        <f>IF('исходные данные'!S332&gt;'минимумы и максимумы'!Q$3,100,('исходные данные'!S332-'минимумы и максимумы'!Q$2)/('минимумы и максимумы'!Q$3-'минимумы и максимумы'!Q$2)*100)</f>
        <v>83.333333333333343</v>
      </c>
      <c r="T332" s="1">
        <f>IF('исходные данные'!T332&gt;'минимумы и максимумы'!R$3,100,('исходные данные'!T332-'минимумы и максимумы'!R$2)/('минимумы и максимумы'!R$3-'минимумы и максимумы'!R$2)*100)</f>
        <v>31.104267487901449</v>
      </c>
      <c r="U332" s="1">
        <f>IF('исходные данные'!U332&gt;'минимумы и максимумы'!S$3,100,('исходные данные'!U332-'минимумы и максимумы'!S$2)/('минимумы и максимумы'!S$3-'минимумы и максимумы'!S$2)*100)</f>
        <v>33.333333333333329</v>
      </c>
    </row>
    <row r="333" spans="1:21" x14ac:dyDescent="0.45">
      <c r="A333" s="4">
        <v>441</v>
      </c>
      <c r="B333" s="4">
        <v>0</v>
      </c>
      <c r="C333" s="4">
        <v>0</v>
      </c>
      <c r="D333" s="1">
        <f>IF('исходные данные'!D333&gt;'минимумы и максимумы'!B$3,100,('исходные данные'!D333-'минимумы и максимумы'!B$2)/('минимумы и максимумы'!B$3-'минимумы и максимумы'!B$2)*100)</f>
        <v>60</v>
      </c>
      <c r="E333" s="1">
        <f>IF('исходные данные'!E333&gt;'минимумы и максимумы'!C$3,100,('исходные данные'!E333-'минимумы и максимумы'!C$2)/('минимумы и максимумы'!C$3-'минимумы и максимумы'!C$2)*100)</f>
        <v>40</v>
      </c>
      <c r="F333" s="1">
        <f>IF('исходные данные'!F333&gt;'минимумы и максимумы'!D$3,100,('исходные данные'!F333-'минимумы и максимумы'!D$2)/('минимумы и максимумы'!D$3-'минимумы и максимумы'!D$2)*100)</f>
        <v>33.333333333333329</v>
      </c>
      <c r="G333" s="1">
        <f>IF('исходные данные'!G333&gt;'минимумы и максимумы'!E$3,100,('исходные данные'!G333-'минимумы и максимумы'!E$2)/('минимумы и максимумы'!E$3-'минимумы и максимумы'!E$2)*100)</f>
        <v>75</v>
      </c>
      <c r="H333" s="1">
        <f>IF('исходные данные'!H333&gt;'минимумы и максимумы'!F$3,100,('исходные данные'!H333-'минимумы и максимумы'!F$2)/('минимумы и максимумы'!F$3-'минимумы и максимумы'!F$2)*100)</f>
        <v>48</v>
      </c>
      <c r="I333" s="1">
        <f>IF('исходные данные'!I333&gt;'минимумы и максимумы'!G$3,100,('исходные данные'!I333-'минимумы и максимумы'!G$2)/('минимумы и максимумы'!G$3-'минимумы и максимумы'!G$2)*100)</f>
        <v>43.39622641509434</v>
      </c>
      <c r="J333" s="1">
        <f>IF('исходные данные'!J333&gt;'минимумы и максимумы'!H$3,100,('исходные данные'!J333-'минимумы и максимумы'!H$2)/('минимумы и максимумы'!H$3-'минимумы и максимумы'!H$2)*100)</f>
        <v>86.666666666666671</v>
      </c>
      <c r="K333" s="1">
        <f>IF('исходные данные'!K333&gt;'минимумы и максимумы'!I$3,100,('исходные данные'!K333-'минимумы и максимумы'!I$2)/('минимумы и максимумы'!I$3-'минимумы и максимумы'!I$2)*100)</f>
        <v>27.777777777777779</v>
      </c>
      <c r="L333" s="1">
        <f>IF('исходные данные'!L333&gt;'минимумы и максимумы'!J$3,100,('исходные данные'!L333-'минимумы и максимумы'!J$2)/('минимумы и максимумы'!J$3-'минимумы и максимумы'!J$2)*100)</f>
        <v>20</v>
      </c>
      <c r="M333" s="1">
        <f>IF('исходные данные'!M333&gt;'минимумы и максимумы'!K$3,100,('исходные данные'!M333-'минимумы и максимумы'!K$2)/('минимумы и максимумы'!K$3-'минимумы и максимумы'!K$2)*100)</f>
        <v>77.41935483870968</v>
      </c>
      <c r="N333" s="1">
        <f>IF('исходные данные'!N333&gt;'минимумы и максимумы'!L$3,100,('исходные данные'!N333-'минимумы и максимумы'!L$2)/('минимумы и максимумы'!L$3-'минимумы и максимумы'!L$2)*100)</f>
        <v>19.247746661367845</v>
      </c>
      <c r="O333" s="1">
        <f>IF('исходные данные'!O333&gt;'минимумы и максимумы'!M$3,100,('исходные данные'!O333-'минимумы и максимумы'!M$2)/('минимумы и максимумы'!M$3-'минимумы и максимумы'!M$2)*100)</f>
        <v>0</v>
      </c>
      <c r="P333" s="1">
        <f>IF('исходные данные'!P333&gt;'минимумы и максимумы'!N$3,100,('исходные данные'!P333-'минимумы и максимумы'!N$2)/('минимумы и максимумы'!N$3-'минимумы и максимумы'!N$2)*100)</f>
        <v>0</v>
      </c>
      <c r="Q333" s="1">
        <f>IF('исходные данные'!Q333&gt;'минимумы и максимумы'!O$3,100,('исходные данные'!Q333-'минимумы и максимумы'!O$2)/('минимумы и максимумы'!O$3-'минимумы и максимумы'!O$2)*100)</f>
        <v>0</v>
      </c>
      <c r="R333" s="1">
        <f>IF('исходные данные'!R333&gt;'минимумы и максимумы'!P$3,100,('исходные данные'!R333-'минимумы и максимумы'!P$2)/('минимумы и максимумы'!P$3-'минимумы и максимумы'!P$2)*100)</f>
        <v>100</v>
      </c>
      <c r="S333" s="1">
        <f>IF('исходные данные'!S333&gt;'минимумы и максимумы'!Q$3,100,('исходные данные'!S333-'минимумы и максимумы'!Q$2)/('минимумы и максимумы'!Q$3-'минимумы и максимумы'!Q$2)*100)</f>
        <v>16.666666666666664</v>
      </c>
      <c r="T333" s="1">
        <f>IF('исходные данные'!T333&gt;'минимумы и максимумы'!R$3,100,('исходные данные'!T333-'минимумы и максимумы'!R$2)/('минимумы и максимумы'!R$3-'минимумы и максимумы'!R$2)*100)</f>
        <v>73.383194016717994</v>
      </c>
      <c r="U333" s="1">
        <f>IF('исходные данные'!U333&gt;'минимумы и максимумы'!S$3,100,('исходные данные'!U333-'минимумы и максимумы'!S$2)/('минимумы и максимумы'!S$3-'минимумы и максимумы'!S$2)*100)</f>
        <v>100</v>
      </c>
    </row>
    <row r="334" spans="1:21" x14ac:dyDescent="0.45">
      <c r="A334" s="4">
        <v>442</v>
      </c>
      <c r="B334" s="4">
        <v>0</v>
      </c>
      <c r="C334" s="4">
        <v>0</v>
      </c>
      <c r="D334" s="1">
        <f>IF('исходные данные'!D334&gt;'минимумы и максимумы'!B$3,100,('исходные данные'!D334-'минимумы и максимумы'!B$2)/('минимумы и максимумы'!B$3-'минимумы и максимумы'!B$2)*100)</f>
        <v>60</v>
      </c>
      <c r="E334" s="1">
        <f>IF('исходные данные'!E334&gt;'минимумы и максимумы'!C$3,100,('исходные данные'!E334-'минимумы и максимумы'!C$2)/('минимумы и максимумы'!C$3-'минимумы и максимумы'!C$2)*100)</f>
        <v>50</v>
      </c>
      <c r="F334" s="1">
        <f>IF('исходные данные'!F334&gt;'минимумы и максимумы'!D$3,100,('исходные данные'!F334-'минимумы и максимумы'!D$2)/('минимумы и максимумы'!D$3-'минимумы и максимумы'!D$2)*100)</f>
        <v>66.666666666666657</v>
      </c>
      <c r="G334" s="1">
        <f>IF('исходные данные'!G334&gt;'минимумы и максимумы'!E$3,100,('исходные данные'!G334-'минимумы и максимумы'!E$2)/('минимумы и максимумы'!E$3-'минимумы и максимумы'!E$2)*100)</f>
        <v>75</v>
      </c>
      <c r="H334" s="1">
        <f>IF('исходные данные'!H334&gt;'минимумы и максимумы'!F$3,100,('исходные данные'!H334-'минимумы и максимумы'!F$2)/('минимумы и максимумы'!F$3-'минимумы и максимумы'!F$2)*100)</f>
        <v>64</v>
      </c>
      <c r="I334" s="1">
        <f>IF('исходные данные'!I334&gt;'минимумы и максимумы'!G$3,100,('исходные данные'!I334-'минимумы и максимумы'!G$2)/('минимумы и максимумы'!G$3-'минимумы и максимумы'!G$2)*100)</f>
        <v>49.056603773584904</v>
      </c>
      <c r="J334" s="1">
        <f>IF('исходные данные'!J334&gt;'минимумы и максимумы'!H$3,100,('исходные данные'!J334-'минимумы и максимумы'!H$2)/('минимумы и максимумы'!H$3-'минимумы и максимумы'!H$2)*100)</f>
        <v>100</v>
      </c>
      <c r="K334" s="1">
        <f>IF('исходные данные'!K334&gt;'минимумы и максимумы'!I$3,100,('исходные данные'!K334-'минимумы и максимумы'!I$2)/('минимумы и максимумы'!I$3-'минимумы и максимумы'!I$2)*100)</f>
        <v>27.777777777777779</v>
      </c>
      <c r="L334" s="1">
        <f>IF('исходные данные'!L334&gt;'минимумы и максимумы'!J$3,100,('исходные данные'!L334-'минимумы и максимумы'!J$2)/('минимумы и максимумы'!J$3-'минимумы и максимумы'!J$2)*100)</f>
        <v>20</v>
      </c>
      <c r="M334" s="1">
        <f>IF('исходные данные'!M334&gt;'минимумы и максимумы'!K$3,100,('исходные данные'!M334-'минимумы и максимумы'!K$2)/('минимумы и максимумы'!K$3-'минимумы и максимумы'!K$2)*100)</f>
        <v>80.645161290322577</v>
      </c>
      <c r="N334" s="1">
        <f>IF('исходные данные'!N334&gt;'минимумы и максимумы'!L$3,100,('исходные данные'!N334-'минимумы и максимумы'!L$2)/('минимумы и максимумы'!L$3-'минимумы и максимумы'!L$2)*100)</f>
        <v>18.950616806280056</v>
      </c>
      <c r="O334" s="1">
        <f>IF('исходные данные'!O334&gt;'минимумы и максимумы'!M$3,100,('исходные данные'!O334-'минимумы и максимумы'!M$2)/('минимумы и максимумы'!M$3-'минимумы и максимумы'!M$2)*100)</f>
        <v>100</v>
      </c>
      <c r="P334" s="1">
        <f>IF('исходные данные'!P334&gt;'минимумы и максимумы'!N$3,100,('исходные данные'!P334-'минимумы и максимумы'!N$2)/('минимумы и максимумы'!N$3-'минимумы и максимумы'!N$2)*100)</f>
        <v>0</v>
      </c>
      <c r="Q334" s="1">
        <f>IF('исходные данные'!Q334&gt;'минимумы и максимумы'!O$3,100,('исходные данные'!Q334-'минимумы и максимумы'!O$2)/('минимумы и максимумы'!O$3-'минимумы и максимумы'!O$2)*100)</f>
        <v>100</v>
      </c>
      <c r="R334" s="1">
        <f>IF('исходные данные'!R334&gt;'минимумы и максимумы'!P$3,100,('исходные данные'!R334-'минимумы и максимумы'!P$2)/('минимумы и максимумы'!P$3-'минимумы и максимумы'!P$2)*100)</f>
        <v>100</v>
      </c>
      <c r="S334" s="1">
        <f>IF('исходные данные'!S334&gt;'минимумы и максимумы'!Q$3,100,('исходные данные'!S334-'минимумы и максимумы'!Q$2)/('минимумы и максимумы'!Q$3-'минимумы и максимумы'!Q$2)*100)</f>
        <v>50</v>
      </c>
      <c r="T334" s="1">
        <f>IF('исходные данные'!T334&gt;'минимумы и максимумы'!R$3,100,('исходные данные'!T334-'минимумы и максимумы'!R$2)/('минимумы и максимумы'!R$3-'минимумы и максимумы'!R$2)*100)</f>
        <v>9.5028596568411796</v>
      </c>
      <c r="U334" s="1">
        <f>IF('исходные данные'!U334&gt;'минимумы и максимумы'!S$3,100,('исходные данные'!U334-'минимумы и максимумы'!S$2)/('минимумы и максимумы'!S$3-'минимумы и максимумы'!S$2)*100)</f>
        <v>0</v>
      </c>
    </row>
    <row r="335" spans="1:21" x14ac:dyDescent="0.45">
      <c r="A335" s="4">
        <v>443</v>
      </c>
      <c r="B335" s="4">
        <v>0</v>
      </c>
      <c r="C335" s="4">
        <v>0</v>
      </c>
      <c r="D335" s="1">
        <f>IF('исходные данные'!D335&gt;'минимумы и максимумы'!B$3,100,('исходные данные'!D335-'минимумы и максимумы'!B$2)/('минимумы и максимумы'!B$3-'минимумы и максимумы'!B$2)*100)</f>
        <v>60</v>
      </c>
      <c r="E335" s="1">
        <f>IF('исходные данные'!E335&gt;'минимумы и максимумы'!C$3,100,('исходные данные'!E335-'минимумы и максимумы'!C$2)/('минимумы и максимумы'!C$3-'минимумы и максимумы'!C$2)*100)</f>
        <v>50</v>
      </c>
      <c r="F335" s="1">
        <f>IF('исходные данные'!F335&gt;'минимумы и максимумы'!D$3,100,('исходные данные'!F335-'минимумы и максимумы'!D$2)/('минимумы и максимумы'!D$3-'минимумы и максимумы'!D$2)*100)</f>
        <v>66.666666666666657</v>
      </c>
      <c r="G335" s="1">
        <f>IF('исходные данные'!G335&gt;'минимумы и максимумы'!E$3,100,('исходные данные'!G335-'минимумы и максимумы'!E$2)/('минимумы и максимумы'!E$3-'минимумы и максимумы'!E$2)*100)</f>
        <v>75</v>
      </c>
      <c r="H335" s="1">
        <f>IF('исходные данные'!H335&gt;'минимумы и максимумы'!F$3,100,('исходные данные'!H335-'минимумы и максимумы'!F$2)/('минимумы и максимумы'!F$3-'минимумы и максимумы'!F$2)*100)</f>
        <v>64</v>
      </c>
      <c r="I335" s="1">
        <f>IF('исходные данные'!I335&gt;'минимумы и максимумы'!G$3,100,('исходные данные'!I335-'минимумы и максимумы'!G$2)/('минимумы и максимумы'!G$3-'минимумы и максимумы'!G$2)*100)</f>
        <v>49.056603773584904</v>
      </c>
      <c r="J335" s="1">
        <f>IF('исходные данные'!J335&gt;'минимумы и максимумы'!H$3,100,('исходные данные'!J335-'минимумы и максимумы'!H$2)/('минимумы и максимумы'!H$3-'минимумы и максимумы'!H$2)*100)</f>
        <v>100</v>
      </c>
      <c r="K335" s="1">
        <f>IF('исходные данные'!K335&gt;'минимумы и максимумы'!I$3,100,('исходные данные'!K335-'минимумы и максимумы'!I$2)/('минимумы и максимумы'!I$3-'минимумы и максимумы'!I$2)*100)</f>
        <v>27.777777777777779</v>
      </c>
      <c r="L335" s="1">
        <f>IF('исходные данные'!L335&gt;'минимумы и максимумы'!J$3,100,('исходные данные'!L335-'минимумы и максимумы'!J$2)/('минимумы и максимумы'!J$3-'минимумы и максимумы'!J$2)*100)</f>
        <v>20</v>
      </c>
      <c r="M335" s="1">
        <f>IF('исходные данные'!M335&gt;'минимумы и максимумы'!K$3,100,('исходные данные'!M335-'минимумы и максимумы'!K$2)/('минимумы и максимумы'!K$3-'минимумы и максимумы'!K$2)*100)</f>
        <v>80.645161290322577</v>
      </c>
      <c r="N335" s="1">
        <f>IF('исходные данные'!N335&gt;'минимумы и максимумы'!L$3,100,('исходные данные'!N335-'минимумы и максимумы'!L$2)/('минимумы и максимумы'!L$3-'минимумы и максимумы'!L$2)*100)</f>
        <v>18.710598160807219</v>
      </c>
      <c r="O335" s="1">
        <f>IF('исходные данные'!O335&gt;'минимумы и максимумы'!M$3,100,('исходные данные'!O335-'минимумы и максимумы'!M$2)/('минимумы и максимумы'!M$3-'минимумы и максимумы'!M$2)*100)</f>
        <v>100</v>
      </c>
      <c r="P335" s="1">
        <f>IF('исходные данные'!P335&gt;'минимумы и максимумы'!N$3,100,('исходные данные'!P335-'минимумы и максимумы'!N$2)/('минимумы и максимумы'!N$3-'минимумы и максимумы'!N$2)*100)</f>
        <v>0</v>
      </c>
      <c r="Q335" s="1">
        <f>IF('исходные данные'!Q335&gt;'минимумы и максимумы'!O$3,100,('исходные данные'!Q335-'минимумы и максимумы'!O$2)/('минимумы и максимумы'!O$3-'минимумы и максимумы'!O$2)*100)</f>
        <v>100</v>
      </c>
      <c r="R335" s="1">
        <f>IF('исходные данные'!R335&gt;'минимумы и максимумы'!P$3,100,('исходные данные'!R335-'минимумы и максимумы'!P$2)/('минимумы и максимумы'!P$3-'минимумы и максимумы'!P$2)*100)</f>
        <v>100</v>
      </c>
      <c r="S335" s="1">
        <f>IF('исходные данные'!S335&gt;'минимумы и максимумы'!Q$3,100,('исходные данные'!S335-'минимумы и максимумы'!Q$2)/('минимумы и максимумы'!Q$3-'минимумы и максимумы'!Q$2)*100)</f>
        <v>33.333333333333329</v>
      </c>
      <c r="T335" s="1">
        <f>IF('исходные данные'!T335&gt;'минимумы и максимумы'!R$3,100,('исходные данные'!T335-'минимумы и максимумы'!R$2)/('минимумы и максимумы'!R$3-'минимумы и максимумы'!R$2)*100)</f>
        <v>19.093708754949407</v>
      </c>
      <c r="U335" s="1">
        <f>IF('исходные данные'!U335&gt;'минимумы и максимумы'!S$3,100,('исходные данные'!U335-'минимумы и максимумы'!S$2)/('минимумы и максимумы'!S$3-'минимумы и максимумы'!S$2)*100)</f>
        <v>66.666666666666657</v>
      </c>
    </row>
    <row r="336" spans="1:21" x14ac:dyDescent="0.45">
      <c r="A336" s="4">
        <v>444</v>
      </c>
      <c r="B336" s="4">
        <v>0</v>
      </c>
      <c r="C336" s="4">
        <v>0</v>
      </c>
      <c r="D336" s="1">
        <f>IF('исходные данные'!D336&gt;'минимумы и максимумы'!B$3,100,('исходные данные'!D336-'минимумы и максимумы'!B$2)/('минимумы и максимумы'!B$3-'минимумы и максимумы'!B$2)*100)</f>
        <v>20</v>
      </c>
      <c r="E336" s="1">
        <f>IF('исходные данные'!E336&gt;'минимумы и максимумы'!C$3,100,('исходные данные'!E336-'минимумы и максимумы'!C$2)/('минимумы и максимумы'!C$3-'минимумы и максимумы'!C$2)*100)</f>
        <v>40</v>
      </c>
      <c r="F336" s="1">
        <f>IF('исходные данные'!F336&gt;'минимумы и максимумы'!D$3,100,('исходные данные'!F336-'минимумы и максимумы'!D$2)/('минимумы и максимумы'!D$3-'минимумы и максимумы'!D$2)*100)</f>
        <v>0</v>
      </c>
      <c r="G336" s="1">
        <f>IF('исходные данные'!G336&gt;'минимумы и максимумы'!E$3,100,('исходные данные'!G336-'минимумы и максимумы'!E$2)/('минимумы и максимумы'!E$3-'минимумы и максимумы'!E$2)*100)</f>
        <v>45.833333333333329</v>
      </c>
      <c r="H336" s="1">
        <f>IF('исходные данные'!H336&gt;'минимумы и максимумы'!F$3,100,('исходные данные'!H336-'минимумы и максимумы'!F$2)/('минимумы и максимумы'!F$3-'минимумы и максимумы'!F$2)*100)</f>
        <v>64</v>
      </c>
      <c r="I336" s="1">
        <f>IF('исходные данные'!I336&gt;'минимумы и максимумы'!G$3,100,('исходные данные'!I336-'минимумы и максимумы'!G$2)/('минимумы и максимумы'!G$3-'минимумы и максимумы'!G$2)*100)</f>
        <v>88.679245283018872</v>
      </c>
      <c r="J336" s="1">
        <f>IF('исходные данные'!J336&gt;'минимумы и максимумы'!H$3,100,('исходные данные'!J336-'минимумы и максимумы'!H$2)/('минимумы и максимумы'!H$3-'минимумы и максимумы'!H$2)*100)</f>
        <v>66.666666666666657</v>
      </c>
      <c r="K336" s="1">
        <f>IF('исходные данные'!K336&gt;'минимумы и максимумы'!I$3,100,('исходные данные'!K336-'минимумы и максимумы'!I$2)/('минимумы и максимумы'!I$3-'минимумы и максимумы'!I$2)*100)</f>
        <v>66.666666666666657</v>
      </c>
      <c r="L336" s="1">
        <f>IF('исходные данные'!L336&gt;'минимумы и максимумы'!J$3,100,('исходные данные'!L336-'минимумы и максимумы'!J$2)/('минимумы и максимумы'!J$3-'минимумы и максимумы'!J$2)*100)</f>
        <v>100</v>
      </c>
      <c r="M336" s="1">
        <f>IF('исходные данные'!M336&gt;'минимумы и максимумы'!K$3,100,('исходные данные'!M336-'минимумы и максимумы'!K$2)/('минимумы и максимумы'!K$3-'минимумы и максимумы'!K$2)*100)</f>
        <v>90.322580645161281</v>
      </c>
      <c r="N336" s="1">
        <f>IF('исходные данные'!N336&gt;'минимумы и максимумы'!L$3,100,('исходные данные'!N336-'минимумы и максимумы'!L$2)/('минимумы и максимумы'!L$3-'минимумы и максимумы'!L$2)*100)</f>
        <v>17.714091547214032</v>
      </c>
      <c r="O336" s="1">
        <f>IF('исходные данные'!O336&gt;'минимумы и максимумы'!M$3,100,('исходные данные'!O336-'минимумы и максимумы'!M$2)/('минимумы и максимумы'!M$3-'минимумы и максимумы'!M$2)*100)</f>
        <v>0</v>
      </c>
      <c r="P336" s="1">
        <f>IF('исходные данные'!P336&gt;'минимумы и максимумы'!N$3,100,('исходные данные'!P336-'минимумы и максимумы'!N$2)/('минимумы и максимумы'!N$3-'минимумы и максимумы'!N$2)*100)</f>
        <v>0</v>
      </c>
      <c r="Q336" s="1">
        <f>IF('исходные данные'!Q336&gt;'минимумы и максимумы'!O$3,100,('исходные данные'!Q336-'минимумы и максимумы'!O$2)/('минимумы и максимумы'!O$3-'минимумы и максимумы'!O$2)*100)</f>
        <v>100</v>
      </c>
      <c r="R336" s="1">
        <f>IF('исходные данные'!R336&gt;'минимумы и максимумы'!P$3,100,('исходные данные'!R336-'минимумы и максимумы'!P$2)/('минимумы и максимумы'!P$3-'минимумы и максимумы'!P$2)*100)</f>
        <v>100</v>
      </c>
      <c r="S336" s="1">
        <f>IF('исходные данные'!S336&gt;'минимумы и максимумы'!Q$3,100,('исходные данные'!S336-'минимумы и максимумы'!Q$2)/('минимумы и максимумы'!Q$3-'минимумы и максимумы'!Q$2)*100)</f>
        <v>33.333333333333329</v>
      </c>
      <c r="T336" s="1">
        <f>IF('исходные данные'!T336&gt;'минимумы и максимумы'!R$3,100,('исходные данные'!T336-'минимумы и максимумы'!R$2)/('минимумы и максимумы'!R$3-'минимумы и максимумы'!R$2)*100)</f>
        <v>76.902771667399918</v>
      </c>
      <c r="U336" s="1">
        <f>IF('исходные данные'!U336&gt;'минимумы и максимумы'!S$3,100,('исходные данные'!U336-'минимумы и максимумы'!S$2)/('минимумы и максимумы'!S$3-'минимумы и максимумы'!S$2)*100)</f>
        <v>33.333333333333329</v>
      </c>
    </row>
    <row r="337" spans="1:21" x14ac:dyDescent="0.45">
      <c r="A337" s="4">
        <v>445</v>
      </c>
      <c r="B337" s="4">
        <v>0</v>
      </c>
      <c r="C337" s="4">
        <v>0</v>
      </c>
      <c r="D337" s="1">
        <f>IF('исходные данные'!D337&gt;'минимумы и максимумы'!B$3,100,('исходные данные'!D337-'минимумы и максимумы'!B$2)/('минимумы и максимумы'!B$3-'минимумы и максимумы'!B$2)*100)</f>
        <v>20</v>
      </c>
      <c r="E337" s="1">
        <f>IF('исходные данные'!E337&gt;'минимумы и максимумы'!C$3,100,('исходные данные'!E337-'минимумы и максимумы'!C$2)/('минимумы и максимумы'!C$3-'минимумы и максимумы'!C$2)*100)</f>
        <v>20</v>
      </c>
      <c r="F337" s="1">
        <f>IF('исходные данные'!F337&gt;'минимумы и максимумы'!D$3,100,('исходные данные'!F337-'минимумы и максимумы'!D$2)/('минимумы и максимумы'!D$3-'минимумы и максимумы'!D$2)*100)</f>
        <v>0</v>
      </c>
      <c r="G337" s="1">
        <f>IF('исходные данные'!G337&gt;'минимумы и максимумы'!E$3,100,('исходные данные'!G337-'минимумы и максимумы'!E$2)/('минимумы и максимумы'!E$3-'минимумы и максимумы'!E$2)*100)</f>
        <v>33.333333333333329</v>
      </c>
      <c r="H337" s="1">
        <f>IF('исходные данные'!H337&gt;'минимумы и максимумы'!F$3,100,('исходные данные'!H337-'минимумы и максимумы'!F$2)/('минимумы и максимумы'!F$3-'минимумы и максимумы'!F$2)*100)</f>
        <v>32</v>
      </c>
      <c r="I337" s="1">
        <f>IF('исходные данные'!I337&gt;'минимумы и максимумы'!G$3,100,('исходные данные'!I337-'минимумы и максимумы'!G$2)/('минимумы и максимумы'!G$3-'минимумы и максимумы'!G$2)*100)</f>
        <v>49.056603773584904</v>
      </c>
      <c r="J337" s="1">
        <f>IF('исходные данные'!J337&gt;'минимумы и максимумы'!H$3,100,('исходные данные'!J337-'минимумы и максимумы'!H$2)/('минимумы и максимумы'!H$3-'минимумы и максимумы'!H$2)*100)</f>
        <v>60</v>
      </c>
      <c r="K337" s="1">
        <f>IF('исходные данные'!K337&gt;'минимумы и максимумы'!I$3,100,('исходные данные'!K337-'минимумы и максимумы'!I$2)/('минимумы и максимумы'!I$3-'минимумы и максимумы'!I$2)*100)</f>
        <v>38.888888888888893</v>
      </c>
      <c r="L337" s="1">
        <f>IF('исходные данные'!L337&gt;'минимумы и максимумы'!J$3,100,('исходные данные'!L337-'минимумы и максимумы'!J$2)/('минимумы и максимумы'!J$3-'минимумы и максимумы'!J$2)*100)</f>
        <v>60</v>
      </c>
      <c r="M337" s="1">
        <f>IF('исходные данные'!M337&gt;'минимумы и максимумы'!K$3,100,('исходные данные'!M337-'минимумы и максимумы'!K$2)/('минимумы и максимумы'!K$3-'минимумы и максимумы'!K$2)*100)</f>
        <v>64.516129032258064</v>
      </c>
      <c r="N337" s="1">
        <f>IF('исходные данные'!N337&gt;'минимумы и максимумы'!L$3,100,('исходные данные'!N337-'минимумы и максимумы'!L$2)/('минимумы и максимумы'!L$3-'минимумы и максимумы'!L$2)*100)</f>
        <v>19.279411893525179</v>
      </c>
      <c r="O337" s="1">
        <f>IF('исходные данные'!O337&gt;'минимумы и максимумы'!M$3,100,('исходные данные'!O337-'минимумы и максимумы'!M$2)/('минимумы и максимумы'!M$3-'минимумы и максимумы'!M$2)*100)</f>
        <v>0</v>
      </c>
      <c r="P337" s="1">
        <f>IF('исходные данные'!P337&gt;'минимумы и максимумы'!N$3,100,('исходные данные'!P337-'минимумы и максимумы'!N$2)/('минимумы и максимумы'!N$3-'минимумы и максимумы'!N$2)*100)</f>
        <v>0</v>
      </c>
      <c r="Q337" s="1">
        <f>IF('исходные данные'!Q337&gt;'минимумы и максимумы'!O$3,100,('исходные данные'!Q337-'минимумы и максимумы'!O$2)/('минимумы и максимумы'!O$3-'минимумы и максимумы'!O$2)*100)</f>
        <v>0</v>
      </c>
      <c r="R337" s="1">
        <f>IF('исходные данные'!R337&gt;'минимумы и максимумы'!P$3,100,('исходные данные'!R337-'минимумы и максимумы'!P$2)/('минимумы и максимумы'!P$3-'минимумы и максимумы'!P$2)*100)</f>
        <v>75</v>
      </c>
      <c r="S337" s="1">
        <f>IF('исходные данные'!S337&gt;'минимумы и максимумы'!Q$3,100,('исходные данные'!S337-'минимумы и максимумы'!Q$2)/('минимумы и максимумы'!Q$3-'минимумы и максимумы'!Q$2)*100)</f>
        <v>16.666666666666664</v>
      </c>
      <c r="T337" s="1">
        <f>IF('исходные данные'!T337&gt;'минимумы и максимумы'!R$3,100,('исходные данные'!T337-'минимумы и максимумы'!R$2)/('минимумы и максимумы'!R$3-'минимумы и максимумы'!R$2)*100)</f>
        <v>2.1557413110426751</v>
      </c>
      <c r="U337" s="1">
        <f>IF('исходные данные'!U337&gt;'минимумы и максимумы'!S$3,100,('исходные данные'!U337-'минимумы и максимумы'!S$2)/('минимумы и максимумы'!S$3-'минимумы и максимумы'!S$2)*100)</f>
        <v>0</v>
      </c>
    </row>
    <row r="338" spans="1:21" x14ac:dyDescent="0.45">
      <c r="A338" s="4">
        <v>446</v>
      </c>
      <c r="B338" s="4">
        <v>0</v>
      </c>
      <c r="C338" s="4">
        <v>0</v>
      </c>
      <c r="D338" s="1">
        <f>IF('исходные данные'!D338&gt;'минимумы и максимумы'!B$3,100,('исходные данные'!D338-'минимумы и максимумы'!B$2)/('минимумы и максимумы'!B$3-'минимумы и максимумы'!B$2)*100)</f>
        <v>0</v>
      </c>
      <c r="E338" s="1">
        <f>IF('исходные данные'!E338&gt;'минимумы и максимумы'!C$3,100,('исходные данные'!E338-'минимумы и максимумы'!C$2)/('минимумы и максимумы'!C$3-'минимумы и максимумы'!C$2)*100)</f>
        <v>10</v>
      </c>
      <c r="F338" s="1">
        <f>IF('исходные данные'!F338&gt;'минимумы и максимумы'!D$3,100,('исходные данные'!F338-'минимумы и максимумы'!D$2)/('минимумы и максимумы'!D$3-'минимумы и максимумы'!D$2)*100)</f>
        <v>0</v>
      </c>
      <c r="G338" s="1">
        <f>IF('исходные данные'!G338&gt;'минимумы и максимумы'!E$3,100,('исходные данные'!G338-'минимумы и максимумы'!E$2)/('минимумы и максимумы'!E$3-'минимумы и максимумы'!E$2)*100)</f>
        <v>16.666666666666664</v>
      </c>
      <c r="H338" s="1">
        <f>IF('исходные данные'!H338&gt;'минимумы и максимумы'!F$3,100,('исходные данные'!H338-'минимумы и максимумы'!F$2)/('минимумы и максимумы'!F$3-'минимумы и максимумы'!F$2)*100)</f>
        <v>8</v>
      </c>
      <c r="I338" s="1">
        <f>IF('исходные данные'!I338&gt;'минимумы и максимумы'!G$3,100,('исходные данные'!I338-'минимумы и максимумы'!G$2)/('минимумы и максимумы'!G$3-'минимумы и максимумы'!G$2)*100)</f>
        <v>5.6603773584905666</v>
      </c>
      <c r="J338" s="1">
        <f>IF('исходные данные'!J338&gt;'минимумы и максимумы'!H$3,100,('исходные данные'!J338-'минимумы и максимумы'!H$2)/('минимумы и максимумы'!H$3-'минимумы и максимумы'!H$2)*100)</f>
        <v>20</v>
      </c>
      <c r="K338" s="1">
        <f>IF('исходные данные'!K338&gt;'минимумы и максимумы'!I$3,100,('исходные данные'!K338-'минимумы и максимумы'!I$2)/('минимумы и максимумы'!I$3-'минимумы и максимумы'!I$2)*100)</f>
        <v>5.5555555555555554</v>
      </c>
      <c r="L338" s="1">
        <f>IF('исходные данные'!L338&gt;'минимумы и максимумы'!J$3,100,('исходные данные'!L338-'минимумы и максимумы'!J$2)/('минимумы и максимумы'!J$3-'минимумы и максимумы'!J$2)*100)</f>
        <v>0</v>
      </c>
      <c r="M338" s="1">
        <f>IF('исходные данные'!M338&gt;'минимумы и максимумы'!K$3,100,('исходные данные'!M338-'минимумы и максимумы'!K$2)/('минимумы и максимумы'!K$3-'минимумы и максимумы'!K$2)*100)</f>
        <v>58.064516129032263</v>
      </c>
      <c r="N338" s="1">
        <f>IF('исходные данные'!N338&gt;'минимумы и максимумы'!L$3,100,('исходные данные'!N338-'минимумы и максимумы'!L$2)/('минимумы и максимумы'!L$3-'минимумы и максимумы'!L$2)*100)</f>
        <v>25.888686196232889</v>
      </c>
      <c r="O338" s="1">
        <f>IF('исходные данные'!O338&gt;'минимумы и максимумы'!M$3,100,('исходные данные'!O338-'минимумы и максимумы'!M$2)/('минимумы и максимумы'!M$3-'минимумы и максимумы'!M$2)*100)</f>
        <v>33.333333333333329</v>
      </c>
      <c r="P338" s="1">
        <f>IF('исходные данные'!P338&gt;'минимумы и максимумы'!N$3,100,('исходные данные'!P338-'минимумы и максимумы'!N$2)/('минимумы и максимумы'!N$3-'минимумы и максимумы'!N$2)*100)</f>
        <v>0</v>
      </c>
      <c r="Q338" s="1">
        <f>IF('исходные данные'!Q338&gt;'минимумы и максимумы'!O$3,100,('исходные данные'!Q338-'минимумы и максимумы'!O$2)/('минимумы и максимумы'!O$3-'минимумы и максимумы'!O$2)*100)</f>
        <v>100</v>
      </c>
      <c r="R338" s="1">
        <f>IF('исходные данные'!R338&gt;'минимумы и максимумы'!P$3,100,('исходные данные'!R338-'минимумы и максимумы'!P$2)/('минимумы и максимумы'!P$3-'минимумы и максимумы'!P$2)*100)</f>
        <v>75</v>
      </c>
      <c r="S338" s="1">
        <f>IF('исходные данные'!S338&gt;'минимумы и максимумы'!Q$3,100,('исходные данные'!S338-'минимумы и максимумы'!Q$2)/('минимумы и максимумы'!Q$3-'минимумы и максимумы'!Q$2)*100)</f>
        <v>33.333333333333329</v>
      </c>
      <c r="T338" s="1">
        <f>IF('исходные данные'!T338&gt;'минимумы и максимумы'!R$3,100,('исходные данные'!T338-'минимумы и максимумы'!R$2)/('минимумы и максимумы'!R$3-'минимумы и максимумы'!R$2)*100)</f>
        <v>9.4588649362076538</v>
      </c>
      <c r="U338" s="1">
        <f>IF('исходные данные'!U338&gt;'минимумы и максимумы'!S$3,100,('исходные данные'!U338-'минимумы и максимумы'!S$2)/('минимумы и максимумы'!S$3-'минимумы и максимумы'!S$2)*100)</f>
        <v>0</v>
      </c>
    </row>
    <row r="339" spans="1:21" x14ac:dyDescent="0.45">
      <c r="A339" s="4">
        <v>447</v>
      </c>
      <c r="B339" s="4">
        <v>0</v>
      </c>
      <c r="C339" s="4">
        <v>0</v>
      </c>
      <c r="D339" s="1">
        <f>IF('исходные данные'!D339&gt;'минимумы и максимумы'!B$3,100,('исходные данные'!D339-'минимумы и максимумы'!B$2)/('минимумы и максимумы'!B$3-'минимумы и максимумы'!B$2)*100)</f>
        <v>0</v>
      </c>
      <c r="E339" s="1">
        <f>IF('исходные данные'!E339&gt;'минимумы и максимумы'!C$3,100,('исходные данные'!E339-'минимумы и максимумы'!C$2)/('минимумы и максимумы'!C$3-'минимумы и максимумы'!C$2)*100)</f>
        <v>10</v>
      </c>
      <c r="F339" s="1">
        <f>IF('исходные данные'!F339&gt;'минимумы и максимумы'!D$3,100,('исходные данные'!F339-'минимумы и максимумы'!D$2)/('минимумы и максимумы'!D$3-'минимумы и максимумы'!D$2)*100)</f>
        <v>0</v>
      </c>
      <c r="G339" s="1">
        <f>IF('исходные данные'!G339&gt;'минимумы и максимумы'!E$3,100,('исходные данные'!G339-'минимумы и максимумы'!E$2)/('минимумы и максимумы'!E$3-'минимумы и максимумы'!E$2)*100)</f>
        <v>16.666666666666664</v>
      </c>
      <c r="H339" s="1">
        <f>IF('исходные данные'!H339&gt;'минимумы и максимумы'!F$3,100,('исходные данные'!H339-'минимумы и максимумы'!F$2)/('минимумы и максимумы'!F$3-'минимумы и максимумы'!F$2)*100)</f>
        <v>8</v>
      </c>
      <c r="I339" s="1">
        <f>IF('исходные данные'!I339&gt;'минимумы и максимумы'!G$3,100,('исходные данные'!I339-'минимумы и максимумы'!G$2)/('минимумы и максимумы'!G$3-'минимумы и максимумы'!G$2)*100)</f>
        <v>5.6603773584905666</v>
      </c>
      <c r="J339" s="1">
        <f>IF('исходные данные'!J339&gt;'минимумы и максимумы'!H$3,100,('исходные данные'!J339-'минимумы и максимумы'!H$2)/('минимумы и максимумы'!H$3-'минимумы и максимумы'!H$2)*100)</f>
        <v>20</v>
      </c>
      <c r="K339" s="1">
        <f>IF('исходные данные'!K339&gt;'минимумы и максимумы'!I$3,100,('исходные данные'!K339-'минимумы и максимумы'!I$2)/('минимумы и максимумы'!I$3-'минимумы и максимумы'!I$2)*100)</f>
        <v>5.5555555555555554</v>
      </c>
      <c r="L339" s="1">
        <f>IF('исходные данные'!L339&gt;'минимумы и максимумы'!J$3,100,('исходные данные'!L339-'минимумы и максимумы'!J$2)/('минимумы и максимумы'!J$3-'минимумы и максимумы'!J$2)*100)</f>
        <v>0</v>
      </c>
      <c r="M339" s="1">
        <f>IF('исходные данные'!M339&gt;'минимумы и максимумы'!K$3,100,('исходные данные'!M339-'минимумы и максимумы'!K$2)/('минимумы и максимумы'!K$3-'минимумы и максимумы'!K$2)*100)</f>
        <v>41.935483870967744</v>
      </c>
      <c r="N339" s="1">
        <f>IF('исходные данные'!N339&gt;'минимумы и максимумы'!L$3,100,('исходные данные'!N339-'минимумы и максимумы'!L$2)/('минимумы и максимумы'!L$3-'минимумы и максимумы'!L$2)*100)</f>
        <v>26.426426427230453</v>
      </c>
      <c r="O339" s="1">
        <f>IF('исходные данные'!O339&gt;'минимумы и максимумы'!M$3,100,('исходные данные'!O339-'минимумы и максимумы'!M$2)/('минимумы и максимумы'!M$3-'минимумы и максимумы'!M$2)*100)</f>
        <v>66.666666666666657</v>
      </c>
      <c r="P339" s="1">
        <f>IF('исходные данные'!P339&gt;'минимумы и максимумы'!N$3,100,('исходные данные'!P339-'минимумы и максимумы'!N$2)/('минимумы и максимумы'!N$3-'минимумы и максимумы'!N$2)*100)</f>
        <v>0</v>
      </c>
      <c r="Q339" s="1">
        <f>IF('исходные данные'!Q339&gt;'минимумы и максимумы'!O$3,100,('исходные данные'!Q339-'минимумы и максимумы'!O$2)/('минимумы и максимумы'!O$3-'минимумы и максимумы'!O$2)*100)</f>
        <v>100</v>
      </c>
      <c r="R339" s="1">
        <f>IF('исходные данные'!R339&gt;'минимумы и максимумы'!P$3,100,('исходные данные'!R339-'минимумы и максимумы'!P$2)/('минимумы и максимумы'!P$3-'минимумы и максимумы'!P$2)*100)</f>
        <v>75</v>
      </c>
      <c r="S339" s="1">
        <f>IF('исходные данные'!S339&gt;'минимумы и максимумы'!Q$3,100,('исходные данные'!S339-'минимумы и максимумы'!Q$2)/('минимумы и максимумы'!Q$3-'минимумы и максимумы'!Q$2)*100)</f>
        <v>33.333333333333329</v>
      </c>
      <c r="T339" s="1">
        <f>IF('исходные данные'!T339&gt;'минимумы и максимумы'!R$3,100,('исходные данные'!T339-'минимумы и максимумы'!R$2)/('минимумы и максимумы'!R$3-'минимумы и максимумы'!R$2)*100)</f>
        <v>23.405191377034757</v>
      </c>
      <c r="U339" s="1">
        <f>IF('исходные данные'!U339&gt;'минимумы и максимумы'!S$3,100,('исходные данные'!U339-'минимумы и максимумы'!S$2)/('минимумы и максимумы'!S$3-'минимумы и максимумы'!S$2)*100)</f>
        <v>0</v>
      </c>
    </row>
    <row r="340" spans="1:21" x14ac:dyDescent="0.45">
      <c r="A340" s="4">
        <v>449</v>
      </c>
      <c r="B340" s="4">
        <v>1</v>
      </c>
      <c r="C340" s="4">
        <v>0</v>
      </c>
      <c r="D340" s="1">
        <f>IF('исходные данные'!D340&gt;'минимумы и максимумы'!B$3,100,('исходные данные'!D340-'минимумы и максимумы'!B$2)/('минимумы и максимумы'!B$3-'минимумы и максимумы'!B$2)*100)</f>
        <v>0</v>
      </c>
      <c r="E340" s="1">
        <f>IF('исходные данные'!E340&gt;'минимумы и максимумы'!C$3,100,('исходные данные'!E340-'минимумы и максимумы'!C$2)/('минимумы и максимумы'!C$3-'минимумы и максимумы'!C$2)*100)</f>
        <v>10</v>
      </c>
      <c r="F340" s="1">
        <f>IF('исходные данные'!F340&gt;'минимумы и максимумы'!D$3,100,('исходные данные'!F340-'минимумы и максимумы'!D$2)/('минимумы и максимумы'!D$3-'минимумы и максимумы'!D$2)*100)</f>
        <v>0</v>
      </c>
      <c r="G340" s="1">
        <f>IF('исходные данные'!G340&gt;'минимумы и максимумы'!E$3,100,('исходные данные'!G340-'минимумы и максимумы'!E$2)/('минимумы и максимумы'!E$3-'минимумы и максимумы'!E$2)*100)</f>
        <v>20.833333333333336</v>
      </c>
      <c r="H340" s="1">
        <f>IF('исходные данные'!H340&gt;'минимумы и максимумы'!F$3,100,('исходные данные'!H340-'минимумы и максимумы'!F$2)/('минимумы и максимумы'!F$3-'минимумы и максимумы'!F$2)*100)</f>
        <v>8</v>
      </c>
      <c r="I340" s="1">
        <f>IF('исходные данные'!I340&gt;'минимумы и максимумы'!G$3,100,('исходные данные'!I340-'минимумы и максимумы'!G$2)/('минимумы и максимумы'!G$3-'минимумы и максимумы'!G$2)*100)</f>
        <v>3.7735849056603774</v>
      </c>
      <c r="J340" s="1">
        <f>IF('исходные данные'!J340&gt;'минимумы и максимумы'!H$3,100,('исходные данные'!J340-'минимумы и максимумы'!H$2)/('минимумы и максимумы'!H$3-'минимумы и максимумы'!H$2)*100)</f>
        <v>26.666666666666668</v>
      </c>
      <c r="K340" s="1">
        <f>IF('исходные данные'!K340&gt;'минимумы и максимумы'!I$3,100,('исходные данные'!K340-'минимумы и максимумы'!I$2)/('минимумы и максимумы'!I$3-'минимумы и максимумы'!I$2)*100)</f>
        <v>0</v>
      </c>
      <c r="L340" s="1">
        <f>IF('исходные данные'!L340&gt;'минимумы и максимумы'!J$3,100,('исходные данные'!L340-'минимумы и максимумы'!J$2)/('минимумы и максимумы'!J$3-'минимумы и максимумы'!J$2)*100)</f>
        <v>0</v>
      </c>
      <c r="M340" s="1">
        <f>IF('исходные данные'!M340&gt;'минимумы и максимумы'!K$3,100,('исходные данные'!M340-'минимумы и максимумы'!K$2)/('минимумы и максимумы'!K$3-'минимумы и максимумы'!K$2)*100)</f>
        <v>61.29032258064516</v>
      </c>
      <c r="N340" s="1">
        <f>IF('исходные данные'!N340&gt;'минимумы и максимумы'!L$3,100,('исходные данные'!N340-'минимумы и максимумы'!L$2)/('минимумы и максимумы'!L$3-'минимумы и максимумы'!L$2)*100)</f>
        <v>26.259079129008335</v>
      </c>
      <c r="O340" s="1">
        <f>IF('исходные данные'!O340&gt;'минимумы и максимумы'!M$3,100,('исходные данные'!O340-'минимумы и максимумы'!M$2)/('минимумы и максимумы'!M$3-'минимумы и максимумы'!M$2)*100)</f>
        <v>66.666666666666657</v>
      </c>
      <c r="P340" s="1">
        <f>IF('исходные данные'!P340&gt;'минимумы и максимумы'!N$3,100,('исходные данные'!P340-'минимумы и максимумы'!N$2)/('минимумы и максимумы'!N$3-'минимумы и максимумы'!N$2)*100)</f>
        <v>0</v>
      </c>
      <c r="Q340" s="1">
        <f>IF('исходные данные'!Q340&gt;'минимумы и максимумы'!O$3,100,('исходные данные'!Q340-'минимумы и максимумы'!O$2)/('минимумы и максимумы'!O$3-'минимумы и максимумы'!O$2)*100)</f>
        <v>100</v>
      </c>
      <c r="R340" s="1">
        <f>IF('исходные данные'!R340&gt;'минимумы и максимумы'!P$3,100,('исходные данные'!R340-'минимумы и максимумы'!P$2)/('минимумы и максимумы'!P$3-'минимумы и максимумы'!P$2)*100)</f>
        <v>75</v>
      </c>
      <c r="S340" s="1">
        <f>IF('исходные данные'!S340&gt;'минимумы и максимумы'!Q$3,100,('исходные данные'!S340-'минимумы и максимумы'!Q$2)/('минимумы и максимумы'!Q$3-'минимумы и максимумы'!Q$2)*100)</f>
        <v>50</v>
      </c>
      <c r="T340" s="1">
        <f>IF('исходные данные'!T340&gt;'минимумы и максимумы'!R$3,100,('исходные данные'!T340-'минимумы и максимумы'!R$2)/('минимумы и максимумы'!R$3-'минимумы и максимумы'!R$2)*100)</f>
        <v>11.834579850417949</v>
      </c>
      <c r="U340" s="1">
        <f>IF('исходные данные'!U340&gt;'минимумы и максимумы'!S$3,100,('исходные данные'!U340-'минимумы и максимумы'!S$2)/('минимумы и максимумы'!S$3-'минимумы и максимумы'!S$2)*100)</f>
        <v>0</v>
      </c>
    </row>
    <row r="341" spans="1:21" x14ac:dyDescent="0.45">
      <c r="A341" s="4">
        <v>450</v>
      </c>
      <c r="B341" s="4">
        <v>0</v>
      </c>
      <c r="C341" s="4">
        <v>1</v>
      </c>
      <c r="D341" s="1">
        <f>IF('исходные данные'!D341&gt;'минимумы и максимумы'!B$3,100,('исходные данные'!D341-'минимумы и максимумы'!B$2)/('минимумы и максимумы'!B$3-'минимумы и максимумы'!B$2)*100)</f>
        <v>20</v>
      </c>
      <c r="E341" s="1">
        <f>IF('исходные данные'!E341&gt;'минимумы и максимумы'!C$3,100,('исходные данные'!E341-'минимумы и максимумы'!C$2)/('минимумы и максимумы'!C$3-'минимумы и максимумы'!C$2)*100)</f>
        <v>20</v>
      </c>
      <c r="F341" s="1">
        <f>IF('исходные данные'!F341&gt;'минимумы и максимумы'!D$3,100,('исходные данные'!F341-'минимумы и максимумы'!D$2)/('минимумы и максимумы'!D$3-'минимумы и максимумы'!D$2)*100)</f>
        <v>0</v>
      </c>
      <c r="G341" s="1">
        <f>IF('исходные данные'!G341&gt;'минимумы и максимумы'!E$3,100,('исходные данные'!G341-'минимумы и максимумы'!E$2)/('минимумы и максимумы'!E$3-'минимумы и максимумы'!E$2)*100)</f>
        <v>20.833333333333336</v>
      </c>
      <c r="H341" s="1">
        <f>IF('исходные данные'!H341&gt;'минимумы и максимумы'!F$3,100,('исходные данные'!H341-'минимумы и максимумы'!F$2)/('минимумы и максимумы'!F$3-'минимумы и максимумы'!F$2)*100)</f>
        <v>32</v>
      </c>
      <c r="I341" s="1">
        <f>IF('исходные данные'!I341&gt;'минимумы и максимумы'!G$3,100,('исходные данные'!I341-'минимумы и максимумы'!G$2)/('минимумы и максимумы'!G$3-'минимумы и максимумы'!G$2)*100)</f>
        <v>13.20754716981132</v>
      </c>
      <c r="J341" s="1">
        <f>IF('исходные данные'!J341&gt;'минимумы и максимумы'!H$3,100,('исходные данные'!J341-'минимумы и максимумы'!H$2)/('минимумы и максимумы'!H$3-'минимумы и максимумы'!H$2)*100)</f>
        <v>6.666666666666667</v>
      </c>
      <c r="K341" s="1">
        <f>IF('исходные данные'!K341&gt;'минимумы и максимумы'!I$3,100,('исходные данные'!K341-'минимумы и максимумы'!I$2)/('минимумы и максимумы'!I$3-'минимумы и максимумы'!I$2)*100)</f>
        <v>27.777777777777779</v>
      </c>
      <c r="L341" s="1">
        <f>IF('исходные данные'!L341&gt;'минимумы и максимумы'!J$3,100,('исходные данные'!L341-'минимумы и максимумы'!J$2)/('минимумы и максимумы'!J$3-'минимумы и максимумы'!J$2)*100)</f>
        <v>40</v>
      </c>
      <c r="M341" s="1">
        <f>IF('исходные данные'!M341&gt;'минимумы и максимумы'!K$3,100,('исходные данные'!M341-'минимумы и максимумы'!K$2)/('минимумы и максимумы'!K$3-'минимумы и максимумы'!K$2)*100)</f>
        <v>12.903225806451612</v>
      </c>
      <c r="N341" s="1">
        <f>IF('исходные данные'!N341&gt;'минимумы и максимумы'!L$3,100,('исходные данные'!N341-'минимумы и максимумы'!L$2)/('минимумы и максимумы'!L$3-'минимумы и максимумы'!L$2)*100)</f>
        <v>41.080655852422382</v>
      </c>
      <c r="O341" s="1">
        <f>IF('исходные данные'!O341&gt;'минимумы и максимумы'!M$3,100,('исходные данные'!O341-'минимумы и максимумы'!M$2)/('минимумы и максимумы'!M$3-'минимумы и максимумы'!M$2)*100)</f>
        <v>33.333333333333329</v>
      </c>
      <c r="P341" s="1">
        <f>IF('исходные данные'!P341&gt;'минимумы и максимумы'!N$3,100,('исходные данные'!P341-'минимумы и максимумы'!N$2)/('минимумы и максимумы'!N$3-'минимумы и максимумы'!N$2)*100)</f>
        <v>0</v>
      </c>
      <c r="Q341" s="1">
        <f>IF('исходные данные'!Q341&gt;'минимумы и максимумы'!O$3,100,('исходные данные'!Q341-'минимумы и максимумы'!O$2)/('минимумы и максимумы'!O$3-'минимумы и максимумы'!O$2)*100)</f>
        <v>100</v>
      </c>
      <c r="R341" s="1">
        <f>IF('исходные данные'!R341&gt;'минимумы и максимумы'!P$3,100,('исходные данные'!R341-'минимумы и максимумы'!P$2)/('минимумы и максимумы'!P$3-'минимумы и максимумы'!P$2)*100)</f>
        <v>25</v>
      </c>
      <c r="S341" s="1">
        <f>IF('исходные данные'!S341&gt;'минимумы и максимумы'!Q$3,100,('исходные данные'!S341-'минимумы и максимумы'!Q$2)/('минимумы и максимумы'!Q$3-'минимумы и максимумы'!Q$2)*100)</f>
        <v>50</v>
      </c>
      <c r="T341" s="1">
        <f>IF('исходные данные'!T341&gt;'минимумы и максимумы'!R$3,100,('исходные данные'!T341-'минимумы и максимумы'!R$2)/('минимумы и максимумы'!R$3-'минимумы и максимумы'!R$2)*100)</f>
        <v>37.395512538495382</v>
      </c>
      <c r="U341" s="1">
        <f>IF('исходные данные'!U341&gt;'минимумы и максимумы'!S$3,100,('исходные данные'!U341-'минимумы и максимумы'!S$2)/('минимумы и максимумы'!S$3-'минимумы и максимумы'!S$2)*100)</f>
        <v>66.666666666666657</v>
      </c>
    </row>
    <row r="342" spans="1:21" x14ac:dyDescent="0.45">
      <c r="A342" s="4">
        <v>451</v>
      </c>
      <c r="B342" s="4">
        <v>0</v>
      </c>
      <c r="C342" s="4">
        <v>1</v>
      </c>
      <c r="D342" s="1">
        <f>IF('исходные данные'!D342&gt;'минимумы и максимумы'!B$3,100,('исходные данные'!D342-'минимумы и максимумы'!B$2)/('минимумы и максимумы'!B$3-'минимумы и максимумы'!B$2)*100)</f>
        <v>0</v>
      </c>
      <c r="E342" s="1">
        <f>IF('исходные данные'!E342&gt;'минимумы и максимумы'!C$3,100,('исходные данные'!E342-'минимумы и максимумы'!C$2)/('минимумы и максимумы'!C$3-'минимумы и максимумы'!C$2)*100)</f>
        <v>20</v>
      </c>
      <c r="F342" s="1">
        <f>IF('исходные данные'!F342&gt;'минимумы и максимумы'!D$3,100,('исходные данные'!F342-'минимумы и максимумы'!D$2)/('минимумы и максимумы'!D$3-'минимумы и максимумы'!D$2)*100)</f>
        <v>0</v>
      </c>
      <c r="G342" s="1">
        <f>IF('исходные данные'!G342&gt;'минимумы и максимумы'!E$3,100,('исходные данные'!G342-'минимумы и максимумы'!E$2)/('минимумы и максимумы'!E$3-'минимумы и максимумы'!E$2)*100)</f>
        <v>4.1666666666666661</v>
      </c>
      <c r="H342" s="1">
        <f>IF('исходные данные'!H342&gt;'минимумы и максимумы'!F$3,100,('исходные данные'!H342-'минимумы и максимумы'!F$2)/('минимумы и максимумы'!F$3-'минимумы и максимумы'!F$2)*100)</f>
        <v>8</v>
      </c>
      <c r="I342" s="1">
        <f>IF('исходные данные'!I342&gt;'минимумы и максимумы'!G$3,100,('исходные данные'!I342-'минимумы и максимумы'!G$2)/('минимумы и максимумы'!G$3-'минимумы и максимумы'!G$2)*100)</f>
        <v>5.6603773584905666</v>
      </c>
      <c r="J342" s="1">
        <f>IF('исходные данные'!J342&gt;'минимумы и максимумы'!H$3,100,('исходные данные'!J342-'минимумы и максимумы'!H$2)/('минимумы и максимумы'!H$3-'минимумы и максимумы'!H$2)*100)</f>
        <v>6.666666666666667</v>
      </c>
      <c r="K342" s="1">
        <f>IF('исходные данные'!K342&gt;'минимумы и максимумы'!I$3,100,('исходные данные'!K342-'минимумы и максимумы'!I$2)/('минимумы и максимумы'!I$3-'минимумы и максимумы'!I$2)*100)</f>
        <v>22.222222222222221</v>
      </c>
      <c r="L342" s="1">
        <f>IF('исходные данные'!L342&gt;'минимумы и максимумы'!J$3,100,('исходные данные'!L342-'минимумы и максимумы'!J$2)/('минимумы и максимумы'!J$3-'минимумы и максимумы'!J$2)*100)</f>
        <v>0</v>
      </c>
      <c r="M342" s="1">
        <f>IF('исходные данные'!M342&gt;'минимумы и максимумы'!K$3,100,('исходные данные'!M342-'минимумы и максимумы'!K$2)/('минимумы и максимумы'!K$3-'минимумы и максимумы'!K$2)*100)</f>
        <v>3.225806451612903</v>
      </c>
      <c r="N342" s="1">
        <f>IF('исходные данные'!N342&gt;'минимумы и максимумы'!L$3,100,('исходные данные'!N342-'минимумы и максимумы'!L$2)/('минимумы и максимумы'!L$3-'минимумы и максимумы'!L$2)*100)</f>
        <v>41.434290435829602</v>
      </c>
      <c r="O342" s="1">
        <f>IF('исходные данные'!O342&gt;'минимумы и максимумы'!M$3,100,('исходные данные'!O342-'минимумы и максимумы'!M$2)/('минимумы и максимумы'!M$3-'минимумы и максимумы'!M$2)*100)</f>
        <v>33.333333333333329</v>
      </c>
      <c r="P342" s="1">
        <f>IF('исходные данные'!P342&gt;'минимумы и максимумы'!N$3,100,('исходные данные'!P342-'минимумы и максимумы'!N$2)/('минимумы и максимумы'!N$3-'минимумы и максимумы'!N$2)*100)</f>
        <v>0</v>
      </c>
      <c r="Q342" s="1">
        <f>IF('исходные данные'!Q342&gt;'минимумы и максимумы'!O$3,100,('исходные данные'!Q342-'минимумы и максимумы'!O$2)/('минимумы и максимумы'!O$3-'минимумы и максимумы'!O$2)*100)</f>
        <v>0</v>
      </c>
      <c r="R342" s="1">
        <f>IF('исходные данные'!R342&gt;'минимумы и максимумы'!P$3,100,('исходные данные'!R342-'минимумы и максимумы'!P$2)/('минимумы и максимумы'!P$3-'минимумы и максимумы'!P$2)*100)</f>
        <v>100</v>
      </c>
      <c r="S342" s="1">
        <f>IF('исходные данные'!S342&gt;'минимумы и максимумы'!Q$3,100,('исходные данные'!S342-'минимумы и максимумы'!Q$2)/('минимумы и максимумы'!Q$3-'минимумы и максимумы'!Q$2)*100)</f>
        <v>16.666666666666664</v>
      </c>
      <c r="T342" s="1">
        <f>IF('исходные данные'!T342&gt;'минимумы и максимумы'!R$3,100,('исходные данные'!T342-'минимумы и максимумы'!R$2)/('минимумы и максимумы'!R$3-'минимумы и максимумы'!R$2)*100)</f>
        <v>14.078310602727672</v>
      </c>
      <c r="U342" s="1">
        <f>IF('исходные данные'!U342&gt;'минимумы и максимумы'!S$3,100,('исходные данные'!U342-'минимумы и максимумы'!S$2)/('минимумы и максимумы'!S$3-'минимумы и максимумы'!S$2)*100)</f>
        <v>0</v>
      </c>
    </row>
    <row r="343" spans="1:21" x14ac:dyDescent="0.45">
      <c r="A343" s="4">
        <v>452</v>
      </c>
      <c r="B343" s="4">
        <v>0</v>
      </c>
      <c r="C343" s="4">
        <v>1</v>
      </c>
      <c r="D343" s="1">
        <f>IF('исходные данные'!D343&gt;'минимумы и максимумы'!B$3,100,('исходные данные'!D343-'минимумы и максимумы'!B$2)/('минимумы и максимумы'!B$3-'минимумы и максимумы'!B$2)*100)</f>
        <v>40</v>
      </c>
      <c r="E343" s="1">
        <f>IF('исходные данные'!E343&gt;'минимумы и максимумы'!C$3,100,('исходные данные'!E343-'минимумы и максимумы'!C$2)/('минимумы и максимумы'!C$3-'минимумы и максимумы'!C$2)*100)</f>
        <v>30</v>
      </c>
      <c r="F343" s="1">
        <f>IF('исходные данные'!F343&gt;'минимумы и максимумы'!D$3,100,('исходные данные'!F343-'минимумы и максимумы'!D$2)/('минимумы и максимумы'!D$3-'минимумы и максимумы'!D$2)*100)</f>
        <v>33.333333333333329</v>
      </c>
      <c r="G343" s="1">
        <f>IF('исходные данные'!G343&gt;'минимумы и максимумы'!E$3,100,('исходные данные'!G343-'минимумы и максимумы'!E$2)/('минимумы и максимумы'!E$3-'минимумы и максимумы'!E$2)*100)</f>
        <v>25</v>
      </c>
      <c r="H343" s="1">
        <f>IF('исходные данные'!H343&gt;'минимумы и максимумы'!F$3,100,('исходные данные'!H343-'минимумы и максимумы'!F$2)/('минимумы и максимумы'!F$3-'минимумы и максимумы'!F$2)*100)</f>
        <v>52</v>
      </c>
      <c r="I343" s="1">
        <f>IF('исходные данные'!I343&gt;'минимумы и максимумы'!G$3,100,('исходные данные'!I343-'минимумы и максимумы'!G$2)/('минимумы и максимумы'!G$3-'минимумы и максимумы'!G$2)*100)</f>
        <v>5.6603773584905666</v>
      </c>
      <c r="J343" s="1">
        <f>IF('исходные данные'!J343&gt;'минимумы и максимумы'!H$3,100,('исходные данные'!J343-'минимумы и максимумы'!H$2)/('минимумы и максимумы'!H$3-'минимумы и максимумы'!H$2)*100)</f>
        <v>6.666666666666667</v>
      </c>
      <c r="K343" s="1">
        <f>IF('исходные данные'!K343&gt;'минимумы и максимумы'!I$3,100,('исходные данные'!K343-'минимумы и максимумы'!I$2)/('минимумы и максимумы'!I$3-'минимумы и максимумы'!I$2)*100)</f>
        <v>5.5555555555555554</v>
      </c>
      <c r="L343" s="1">
        <f>IF('исходные данные'!L343&gt;'минимумы и максимумы'!J$3,100,('исходные данные'!L343-'минимумы и максимумы'!J$2)/('минимумы и максимумы'!J$3-'минимумы и максимумы'!J$2)*100)</f>
        <v>0</v>
      </c>
      <c r="M343" s="1">
        <f>IF('исходные данные'!M343&gt;'минимумы и максимумы'!K$3,100,('исходные данные'!M343-'минимумы и максимумы'!K$2)/('минимумы и максимумы'!K$3-'минимумы и максимумы'!K$2)*100)</f>
        <v>38.70967741935484</v>
      </c>
      <c r="N343" s="1">
        <f>IF('исходные данные'!N343&gt;'минимумы и максимумы'!L$3,100,('исходные данные'!N343-'минимумы и максимумы'!L$2)/('минимумы и максимумы'!L$3-'минимумы и максимумы'!L$2)*100)</f>
        <v>60.656899096387754</v>
      </c>
      <c r="O343" s="1">
        <f>IF('исходные данные'!O343&gt;'минимумы и максимумы'!M$3,100,('исходные данные'!O343-'минимумы и максимумы'!M$2)/('минимумы и максимумы'!M$3-'минимумы и максимумы'!M$2)*100)</f>
        <v>66.666666666666657</v>
      </c>
      <c r="P343" s="1">
        <f>IF('исходные данные'!P343&gt;'минимумы и максимумы'!N$3,100,('исходные данные'!P343-'минимумы и максимумы'!N$2)/('минимумы и максимумы'!N$3-'минимумы и максимумы'!N$2)*100)</f>
        <v>0</v>
      </c>
      <c r="Q343" s="1">
        <f>IF('исходные данные'!Q343&gt;'минимумы и максимумы'!O$3,100,('исходные данные'!Q343-'минимумы и максимумы'!O$2)/('минимумы и максимумы'!O$3-'минимумы и максимумы'!O$2)*100)</f>
        <v>0</v>
      </c>
      <c r="R343" s="1">
        <f>IF('исходные данные'!R343&gt;'минимумы и максимумы'!P$3,100,('исходные данные'!R343-'минимумы и максимумы'!P$2)/('минимумы и максимумы'!P$3-'минимумы и максимумы'!P$2)*100)</f>
        <v>100</v>
      </c>
      <c r="S343" s="1">
        <f>IF('исходные данные'!S343&gt;'минимумы и максимумы'!Q$3,100,('исходные данные'!S343-'минимумы и максимумы'!Q$2)/('минимумы и максимумы'!Q$3-'минимумы и максимумы'!Q$2)*100)</f>
        <v>83.333333333333343</v>
      </c>
      <c r="T343" s="1">
        <f>IF('исходные данные'!T343&gt;'минимумы и максимумы'!R$3,100,('исходные данные'!T343-'минимумы и максимумы'!R$2)/('минимумы и максимумы'!R$3-'минимумы и максимумы'!R$2)*100)</f>
        <v>27.45270567531896</v>
      </c>
      <c r="U343" s="1">
        <f>IF('исходные данные'!U343&gt;'минимумы и максимумы'!S$3,100,('исходные данные'!U343-'минимумы и максимумы'!S$2)/('минимумы и максимумы'!S$3-'минимумы и максимумы'!S$2)*100)</f>
        <v>66.666666666666657</v>
      </c>
    </row>
    <row r="344" spans="1:21" x14ac:dyDescent="0.45">
      <c r="A344" s="4">
        <v>453</v>
      </c>
      <c r="B344" s="4">
        <v>0</v>
      </c>
      <c r="C344" s="4">
        <v>0</v>
      </c>
      <c r="D344" s="1">
        <f>IF('исходные данные'!D344&gt;'минимумы и максимумы'!B$3,100,('исходные данные'!D344-'минимумы и максимумы'!B$2)/('минимумы и максимумы'!B$3-'минимумы и максимумы'!B$2)*100)</f>
        <v>20</v>
      </c>
      <c r="E344" s="1">
        <f>IF('исходные данные'!E344&gt;'минимумы и максимумы'!C$3,100,('исходные данные'!E344-'минимумы и максимумы'!C$2)/('минимумы и максимумы'!C$3-'минимумы и максимумы'!C$2)*100)</f>
        <v>30</v>
      </c>
      <c r="F344" s="1">
        <f>IF('исходные данные'!F344&gt;'минимумы и максимумы'!D$3,100,('исходные данные'!F344-'минимумы и максимумы'!D$2)/('минимумы и максимумы'!D$3-'минимумы и максимумы'!D$2)*100)</f>
        <v>33.333333333333329</v>
      </c>
      <c r="G344" s="1">
        <f>IF('исходные данные'!G344&gt;'минимумы и максимумы'!E$3,100,('исходные данные'!G344-'минимумы и максимумы'!E$2)/('минимумы и максимумы'!E$3-'минимумы и максимумы'!E$2)*100)</f>
        <v>25</v>
      </c>
      <c r="H344" s="1">
        <f>IF('исходные данные'!H344&gt;'минимумы и максимумы'!F$3,100,('исходные данные'!H344-'минимумы и максимумы'!F$2)/('минимумы и максимумы'!F$3-'минимумы и максимумы'!F$2)*100)</f>
        <v>40</v>
      </c>
      <c r="I344" s="1">
        <f>IF('исходные данные'!I344&gt;'минимумы и максимумы'!G$3,100,('исходные данные'!I344-'минимумы и максимумы'!G$2)/('минимумы и максимумы'!G$3-'минимумы и максимумы'!G$2)*100)</f>
        <v>16.981132075471699</v>
      </c>
      <c r="J344" s="1">
        <f>IF('исходные данные'!J344&gt;'минимумы и максимумы'!H$3,100,('исходные данные'!J344-'минимумы и максимумы'!H$2)/('минимумы и максимумы'!H$3-'минимумы и максимумы'!H$2)*100)</f>
        <v>0</v>
      </c>
      <c r="K344" s="1">
        <f>IF('исходные данные'!K344&gt;'минимумы и максимумы'!I$3,100,('исходные данные'!K344-'минимумы и максимумы'!I$2)/('минимумы и максимумы'!I$3-'минимумы и максимумы'!I$2)*100)</f>
        <v>5.5555555555555554</v>
      </c>
      <c r="L344" s="1">
        <f>IF('исходные данные'!L344&gt;'минимумы и максимумы'!J$3,100,('исходные данные'!L344-'минимумы и максимумы'!J$2)/('минимумы и максимумы'!J$3-'минимумы и максимумы'!J$2)*100)</f>
        <v>20</v>
      </c>
      <c r="M344" s="1">
        <f>IF('исходные данные'!M344&gt;'минимумы и максимумы'!K$3,100,('исходные данные'!M344-'минимумы и максимумы'!K$2)/('минимумы и максимумы'!K$3-'минимумы и максимумы'!K$2)*100)</f>
        <v>25.806451612903224</v>
      </c>
      <c r="N344" s="1">
        <f>IF('исходные данные'!N344&gt;'минимумы и максимумы'!L$3,100,('исходные данные'!N344-'минимумы и максимумы'!L$2)/('минимумы и максимумы'!L$3-'минимумы и максимумы'!L$2)*100)</f>
        <v>62.403900449836868</v>
      </c>
      <c r="O344" s="1">
        <f>IF('исходные данные'!O344&gt;'минимумы и максимумы'!M$3,100,('исходные данные'!O344-'минимумы и максимумы'!M$2)/('минимумы и максимумы'!M$3-'минимумы и максимумы'!M$2)*100)</f>
        <v>0</v>
      </c>
      <c r="P344" s="1">
        <f>IF('исходные данные'!P344&gt;'минимумы и максимумы'!N$3,100,('исходные данные'!P344-'минимумы и максимумы'!N$2)/('минимумы и максимумы'!N$3-'минимумы и максимумы'!N$2)*100)</f>
        <v>0</v>
      </c>
      <c r="Q344" s="1">
        <f>IF('исходные данные'!Q344&gt;'минимумы и максимумы'!O$3,100,('исходные данные'!Q344-'минимумы и максимумы'!O$2)/('минимумы и максимумы'!O$3-'минимумы и максимумы'!O$2)*100)</f>
        <v>100</v>
      </c>
      <c r="R344" s="1">
        <f>IF('исходные данные'!R344&gt;'минимумы и максимумы'!P$3,100,('исходные данные'!R344-'минимумы и максимумы'!P$2)/('минимумы и максимумы'!P$3-'минимумы и максимумы'!P$2)*100)</f>
        <v>75</v>
      </c>
      <c r="S344" s="1">
        <f>IF('исходные данные'!S344&gt;'минимумы и максимумы'!Q$3,100,('исходные данные'!S344-'минимумы и максимумы'!Q$2)/('минимумы и максимумы'!Q$3-'минимумы и максимумы'!Q$2)*100)</f>
        <v>16.666666666666664</v>
      </c>
      <c r="T344" s="1">
        <f>IF('исходные данные'!T344&gt;'минимумы и максимумы'!R$3,100,('исходные данные'!T344-'минимумы и максимумы'!R$2)/('минимумы и максимумы'!R$3-'минимумы и максимумы'!R$2)*100)</f>
        <v>43.906731192256935</v>
      </c>
      <c r="U344" s="1">
        <f>IF('исходные данные'!U344&gt;'минимумы и максимумы'!S$3,100,('исходные данные'!U344-'минимумы и максимумы'!S$2)/('минимумы и максимумы'!S$3-'минимумы и максимумы'!S$2)*100)</f>
        <v>33.333333333333329</v>
      </c>
    </row>
    <row r="345" spans="1:21" x14ac:dyDescent="0.45">
      <c r="A345" s="4">
        <v>454</v>
      </c>
      <c r="B345" s="4">
        <v>0</v>
      </c>
      <c r="C345" s="4">
        <v>0</v>
      </c>
      <c r="D345" s="1">
        <f>IF('исходные данные'!D345&gt;'минимумы и максимумы'!B$3,100,('исходные данные'!D345-'минимумы и максимумы'!B$2)/('минимумы и максимумы'!B$3-'минимумы и максимумы'!B$2)*100)</f>
        <v>0</v>
      </c>
      <c r="E345" s="1">
        <f>IF('исходные данные'!E345&gt;'минимумы и максимумы'!C$3,100,('исходные данные'!E345-'минимумы и максимумы'!C$2)/('минимумы и максимумы'!C$3-'минимумы и максимумы'!C$2)*100)</f>
        <v>10</v>
      </c>
      <c r="F345" s="1">
        <f>IF('исходные данные'!F345&gt;'минимумы и максимумы'!D$3,100,('исходные данные'!F345-'минимумы и максимумы'!D$2)/('минимумы и максимумы'!D$3-'минимумы и максимумы'!D$2)*100)</f>
        <v>0</v>
      </c>
      <c r="G345" s="1">
        <f>IF('исходные данные'!G345&gt;'минимумы и максимумы'!E$3,100,('исходные данные'!G345-'минимумы и максимумы'!E$2)/('минимумы и максимумы'!E$3-'минимумы и максимумы'!E$2)*100)</f>
        <v>37.5</v>
      </c>
      <c r="H345" s="1">
        <f>IF('исходные данные'!H345&gt;'минимумы и максимумы'!F$3,100,('исходные данные'!H345-'минимумы и максимумы'!F$2)/('минимумы и максимумы'!F$3-'минимумы и максимумы'!F$2)*100)</f>
        <v>52</v>
      </c>
      <c r="I345" s="1">
        <f>IF('исходные данные'!I345&gt;'минимумы и максимумы'!G$3,100,('исходные данные'!I345-'минимумы и максимумы'!G$2)/('минимумы и максимумы'!G$3-'минимумы и максимумы'!G$2)*100)</f>
        <v>18.867924528301888</v>
      </c>
      <c r="J345" s="1">
        <f>IF('исходные данные'!J345&gt;'минимумы и максимумы'!H$3,100,('исходные данные'!J345-'минимумы и максимумы'!H$2)/('минимумы и максимумы'!H$3-'минимумы и максимумы'!H$2)*100)</f>
        <v>0</v>
      </c>
      <c r="K345" s="1">
        <f>IF('исходные данные'!K345&gt;'минимумы и максимумы'!I$3,100,('исходные данные'!K345-'минимумы и максимумы'!I$2)/('минимумы и максимумы'!I$3-'минимумы и максимумы'!I$2)*100)</f>
        <v>0</v>
      </c>
      <c r="L345" s="1">
        <f>IF('исходные данные'!L345&gt;'минимумы и максимумы'!J$3,100,('исходные данные'!L345-'минимумы и максимумы'!J$2)/('минимумы и максимумы'!J$3-'минимумы и максимумы'!J$2)*100)</f>
        <v>20</v>
      </c>
      <c r="M345" s="1">
        <f>IF('исходные данные'!M345&gt;'минимумы и максимумы'!K$3,100,('исходные данные'!M345-'минимумы и максимумы'!K$2)/('минимумы и максимумы'!K$3-'минимумы и максимумы'!K$2)*100)</f>
        <v>38.70967741935484</v>
      </c>
      <c r="N345" s="1">
        <f>IF('исходные данные'!N345&gt;'минимумы и максимумы'!L$3,100,('исходные данные'!N345-'минимумы и максимумы'!L$2)/('минимумы и максимумы'!L$3-'минимумы и максимумы'!L$2)*100)</f>
        <v>63.077338893656666</v>
      </c>
      <c r="O345" s="1">
        <f>IF('исходные данные'!O345&gt;'минимумы и максимумы'!M$3,100,('исходные данные'!O345-'минимумы и максимумы'!M$2)/('минимумы и максимумы'!M$3-'минимумы и максимумы'!M$2)*100)</f>
        <v>0</v>
      </c>
      <c r="P345" s="1">
        <f>IF('исходные данные'!P345&gt;'минимумы и максимумы'!N$3,100,('исходные данные'!P345-'минимумы и максимумы'!N$2)/('минимумы и максимумы'!N$3-'минимумы и максимумы'!N$2)*100)</f>
        <v>0</v>
      </c>
      <c r="Q345" s="1">
        <f>IF('исходные данные'!Q345&gt;'минимумы и максимумы'!O$3,100,('исходные данные'!Q345-'минимумы и максимумы'!O$2)/('минимумы и максимумы'!O$3-'минимумы и максимумы'!O$2)*100)</f>
        <v>100</v>
      </c>
      <c r="R345" s="1">
        <f>IF('исходные данные'!R345&gt;'минимумы и максимумы'!P$3,100,('исходные данные'!R345-'минимумы и максимумы'!P$2)/('минимумы и максимумы'!P$3-'минимумы и максимумы'!P$2)*100)</f>
        <v>75</v>
      </c>
      <c r="S345" s="1">
        <f>IF('исходные данные'!S345&gt;'минимумы и максимумы'!Q$3,100,('исходные данные'!S345-'минимумы и максимумы'!Q$2)/('минимумы и максимумы'!Q$3-'минимумы и максимумы'!Q$2)*100)</f>
        <v>16.666666666666664</v>
      </c>
      <c r="T345" s="1">
        <f>IF('исходные данные'!T345&gt;'минимумы и максимумы'!R$3,100,('исходные данные'!T345-'минимумы и максимумы'!R$2)/('минимумы и максимумы'!R$3-'минимумы и максимумы'!R$2)*100)</f>
        <v>100</v>
      </c>
      <c r="U345" s="1">
        <f>IF('исходные данные'!U345&gt;'минимумы и максимумы'!S$3,100,('исходные данные'!U345-'минимумы и максимумы'!S$2)/('минимумы и максимумы'!S$3-'минимумы и максимумы'!S$2)*100)</f>
        <v>100</v>
      </c>
    </row>
    <row r="346" spans="1:21" x14ac:dyDescent="0.45">
      <c r="A346" s="4">
        <v>455</v>
      </c>
      <c r="B346" s="4">
        <v>0</v>
      </c>
      <c r="C346" s="4">
        <v>0</v>
      </c>
      <c r="D346" s="1">
        <f>IF('исходные данные'!D346&gt;'минимумы и максимумы'!B$3,100,('исходные данные'!D346-'минимумы и максимумы'!B$2)/('минимумы и максимумы'!B$3-'минимумы и максимумы'!B$2)*100)</f>
        <v>40</v>
      </c>
      <c r="E346" s="1">
        <f>IF('исходные данные'!E346&gt;'минимумы и максимумы'!C$3,100,('исходные данные'!E346-'минимумы и максимумы'!C$2)/('минимумы и максимумы'!C$3-'минимумы и максимумы'!C$2)*100)</f>
        <v>30</v>
      </c>
      <c r="F346" s="1">
        <f>IF('исходные данные'!F346&gt;'минимумы и максимумы'!D$3,100,('исходные данные'!F346-'минимумы и максимумы'!D$2)/('минимумы и максимумы'!D$3-'минимумы и максимумы'!D$2)*100)</f>
        <v>0</v>
      </c>
      <c r="G346" s="1">
        <f>IF('исходные данные'!G346&gt;'минимумы и максимумы'!E$3,100,('исходные данные'!G346-'минимумы и максимумы'!E$2)/('минимумы и максимумы'!E$3-'минимумы и максимумы'!E$2)*100)</f>
        <v>45.833333333333329</v>
      </c>
      <c r="H346" s="1">
        <f>IF('исходные данные'!H346&gt;'минимумы и максимумы'!F$3,100,('исходные данные'!H346-'минимумы и максимумы'!F$2)/('минимумы и максимумы'!F$3-'минимумы и максимумы'!F$2)*100)</f>
        <v>44</v>
      </c>
      <c r="I346" s="1">
        <f>IF('исходные данные'!I346&gt;'минимумы и максимумы'!G$3,100,('исходные данные'!I346-'минимумы и максимумы'!G$2)/('минимумы и максимумы'!G$3-'минимумы и максимумы'!G$2)*100)</f>
        <v>11.320754716981133</v>
      </c>
      <c r="J346" s="1">
        <f>IF('исходные данные'!J346&gt;'минимумы и максимумы'!H$3,100,('исходные данные'!J346-'минимумы и максимумы'!H$2)/('минимумы и максимумы'!H$3-'минимумы и максимумы'!H$2)*100)</f>
        <v>6.666666666666667</v>
      </c>
      <c r="K346" s="1">
        <f>IF('исходные данные'!K346&gt;'минимумы и максимумы'!I$3,100,('исходные данные'!K346-'минимумы и максимумы'!I$2)/('минимумы и максимумы'!I$3-'минимумы и максимумы'!I$2)*100)</f>
        <v>5.5555555555555554</v>
      </c>
      <c r="L346" s="1">
        <f>IF('исходные данные'!L346&gt;'минимумы и максимумы'!J$3,100,('исходные данные'!L346-'минимумы и максимумы'!J$2)/('минимумы и максимумы'!J$3-'минимумы и максимумы'!J$2)*100)</f>
        <v>20</v>
      </c>
      <c r="M346" s="1">
        <f>IF('исходные данные'!M346&gt;'минимумы и максимумы'!K$3,100,('исходные данные'!M346-'минимумы и максимумы'!K$2)/('минимумы и максимумы'!K$3-'минимумы и максимумы'!K$2)*100)</f>
        <v>38.70967741935484</v>
      </c>
      <c r="N346" s="1">
        <f>IF('исходные данные'!N346&gt;'минимумы и максимумы'!L$3,100,('исходные данные'!N346-'минимумы и максимумы'!L$2)/('минимумы и максимумы'!L$3-'минимумы и максимумы'!L$2)*100)</f>
        <v>63.304525429231425</v>
      </c>
      <c r="O346" s="1">
        <f>IF('исходные данные'!O346&gt;'минимумы и максимумы'!M$3,100,('исходные данные'!O346-'минимумы и максимумы'!M$2)/('минимумы и максимумы'!M$3-'минимумы и максимумы'!M$2)*100)</f>
        <v>0</v>
      </c>
      <c r="P346" s="1">
        <f>IF('исходные данные'!P346&gt;'минимумы и максимумы'!N$3,100,('исходные данные'!P346-'минимумы и максимумы'!N$2)/('минимумы и максимумы'!N$3-'минимумы и максимумы'!N$2)*100)</f>
        <v>0</v>
      </c>
      <c r="Q346" s="1">
        <f>IF('исходные данные'!Q346&gt;'минимумы и максимумы'!O$3,100,('исходные данные'!Q346-'минимумы и максимумы'!O$2)/('минимумы и максимумы'!O$3-'минимумы и максимумы'!O$2)*100)</f>
        <v>100</v>
      </c>
      <c r="R346" s="1">
        <f>IF('исходные данные'!R346&gt;'минимумы и максимумы'!P$3,100,('исходные данные'!R346-'минимумы и максимумы'!P$2)/('минимумы и максимумы'!P$3-'минимумы и максимумы'!P$2)*100)</f>
        <v>75</v>
      </c>
      <c r="S346" s="1">
        <f>IF('исходные данные'!S346&gt;'минимумы и максимумы'!Q$3,100,('исходные данные'!S346-'минимумы и максимумы'!Q$2)/('минимумы и максимумы'!Q$3-'минимумы и максимумы'!Q$2)*100)</f>
        <v>16.666666666666664</v>
      </c>
      <c r="T346" s="1">
        <f>IF('исходные данные'!T346&gt;'минимумы и максимумы'!R$3,100,('исходные данные'!T346-'минимумы и максимумы'!R$2)/('минимумы и максимумы'!R$3-'минимумы и максимумы'!R$2)*100)</f>
        <v>100</v>
      </c>
      <c r="U346" s="1">
        <f>IF('исходные данные'!U346&gt;'минимумы и максимумы'!S$3,100,('исходные данные'!U346-'минимумы и максимумы'!S$2)/('минимумы и максимумы'!S$3-'минимумы и максимумы'!S$2)*100)</f>
        <v>100</v>
      </c>
    </row>
    <row r="347" spans="1:21" x14ac:dyDescent="0.45">
      <c r="A347" s="4">
        <v>456</v>
      </c>
      <c r="B347" s="4">
        <v>0</v>
      </c>
      <c r="C347" s="4">
        <v>0</v>
      </c>
      <c r="D347" s="1">
        <f>IF('исходные данные'!D347&gt;'минимумы и максимумы'!B$3,100,('исходные данные'!D347-'минимумы и максимумы'!B$2)/('минимумы и максимумы'!B$3-'минимумы и максимумы'!B$2)*100)</f>
        <v>40</v>
      </c>
      <c r="E347" s="1">
        <f>IF('исходные данные'!E347&gt;'минимумы и максимумы'!C$3,100,('исходные данные'!E347-'минимумы и максимумы'!C$2)/('минимумы и максимумы'!C$3-'минимумы и максимумы'!C$2)*100)</f>
        <v>30</v>
      </c>
      <c r="F347" s="1">
        <f>IF('исходные данные'!F347&gt;'минимумы и максимумы'!D$3,100,('исходные данные'!F347-'минимумы и максимумы'!D$2)/('минимумы и максимумы'!D$3-'минимумы и максимумы'!D$2)*100)</f>
        <v>0</v>
      </c>
      <c r="G347" s="1">
        <f>IF('исходные данные'!G347&gt;'минимумы и максимумы'!E$3,100,('исходные данные'!G347-'минимумы и максимумы'!E$2)/('минимумы и максимумы'!E$3-'минимумы и максимумы'!E$2)*100)</f>
        <v>45.833333333333329</v>
      </c>
      <c r="H347" s="1">
        <f>IF('исходные данные'!H347&gt;'минимумы и максимумы'!F$3,100,('исходные данные'!H347-'минимумы и максимумы'!F$2)/('минимумы и максимумы'!F$3-'минимумы и максимумы'!F$2)*100)</f>
        <v>44</v>
      </c>
      <c r="I347" s="1">
        <f>IF('исходные данные'!I347&gt;'минимумы и максимумы'!G$3,100,('исходные данные'!I347-'минимумы и максимумы'!G$2)/('минимумы и максимумы'!G$3-'минимумы и максимумы'!G$2)*100)</f>
        <v>11.320754716981133</v>
      </c>
      <c r="J347" s="1">
        <f>IF('исходные данные'!J347&gt;'минимумы и максимумы'!H$3,100,('исходные данные'!J347-'минимумы и максимумы'!H$2)/('минимумы и максимумы'!H$3-'минимумы и максимумы'!H$2)*100)</f>
        <v>6.666666666666667</v>
      </c>
      <c r="K347" s="1">
        <f>IF('исходные данные'!K347&gt;'минимумы и максимумы'!I$3,100,('исходные данные'!K347-'минимумы и максимумы'!I$2)/('минимумы и максимумы'!I$3-'минимумы и максимумы'!I$2)*100)</f>
        <v>5.5555555555555554</v>
      </c>
      <c r="L347" s="1">
        <f>IF('исходные данные'!L347&gt;'минимумы и максимумы'!J$3,100,('исходные данные'!L347-'минимумы и максимумы'!J$2)/('минимумы и максимумы'!J$3-'минимумы и максимумы'!J$2)*100)</f>
        <v>20</v>
      </c>
      <c r="M347" s="1">
        <f>IF('исходные данные'!M347&gt;'минимумы и максимумы'!K$3,100,('исходные данные'!M347-'минимумы и максимумы'!K$2)/('минимумы и максимумы'!K$3-'минимумы и максимумы'!K$2)*100)</f>
        <v>38.70967741935484</v>
      </c>
      <c r="N347" s="1">
        <f>IF('исходные данные'!N347&gt;'минимумы и максимумы'!L$3,100,('исходные данные'!N347-'минимумы и максимумы'!L$2)/('минимумы и максимумы'!L$3-'минимумы и максимумы'!L$2)*100)</f>
        <v>63.304525429231425</v>
      </c>
      <c r="O347" s="1">
        <f>IF('исходные данные'!O347&gt;'минимумы и максимумы'!M$3,100,('исходные данные'!O347-'минимумы и максимумы'!M$2)/('минимумы и максимумы'!M$3-'минимумы и максимумы'!M$2)*100)</f>
        <v>0</v>
      </c>
      <c r="P347" s="1">
        <f>IF('исходные данные'!P347&gt;'минимумы и максимумы'!N$3,100,('исходные данные'!P347-'минимумы и максимумы'!N$2)/('минимумы и максимумы'!N$3-'минимумы и максимумы'!N$2)*100)</f>
        <v>0</v>
      </c>
      <c r="Q347" s="1">
        <f>IF('исходные данные'!Q347&gt;'минимумы и максимумы'!O$3,100,('исходные данные'!Q347-'минимумы и максимумы'!O$2)/('минимумы и максимумы'!O$3-'минимумы и максимумы'!O$2)*100)</f>
        <v>100</v>
      </c>
      <c r="R347" s="1">
        <f>IF('исходные данные'!R347&gt;'минимумы и максимумы'!P$3,100,('исходные данные'!R347-'минимумы и максимумы'!P$2)/('минимумы и максимумы'!P$3-'минимумы и максимумы'!P$2)*100)</f>
        <v>75</v>
      </c>
      <c r="S347" s="1">
        <f>IF('исходные данные'!S347&gt;'минимумы и максимумы'!Q$3,100,('исходные данные'!S347-'минимумы и максимумы'!Q$2)/('минимумы и максимумы'!Q$3-'минимумы и максимумы'!Q$2)*100)</f>
        <v>16.666666666666664</v>
      </c>
      <c r="T347" s="1">
        <f>IF('исходные данные'!T347&gt;'минимумы и максимумы'!R$3,100,('исходные данные'!T347-'минимумы и максимумы'!R$2)/('минимумы и максимумы'!R$3-'минимумы и максимумы'!R$2)*100)</f>
        <v>100</v>
      </c>
      <c r="U347" s="1">
        <f>IF('исходные данные'!U347&gt;'минимумы и максимумы'!S$3,100,('исходные данные'!U347-'минимумы и максимумы'!S$2)/('минимумы и максимумы'!S$3-'минимумы и максимумы'!S$2)*100)</f>
        <v>33.333333333333329</v>
      </c>
    </row>
    <row r="348" spans="1:21" x14ac:dyDescent="0.45">
      <c r="A348" s="4">
        <v>457</v>
      </c>
      <c r="B348" s="4">
        <v>0</v>
      </c>
      <c r="C348" s="4">
        <v>0</v>
      </c>
      <c r="D348" s="1">
        <f>IF('исходные данные'!D348&gt;'минимумы и максимумы'!B$3,100,('исходные данные'!D348-'минимумы и максимумы'!B$2)/('минимумы и максимумы'!B$3-'минимумы и максимумы'!B$2)*100)</f>
        <v>20</v>
      </c>
      <c r="E348" s="1">
        <f>IF('исходные данные'!E348&gt;'минимумы и максимумы'!C$3,100,('исходные данные'!E348-'минимумы и максимумы'!C$2)/('минимумы и максимумы'!C$3-'минимумы и максимумы'!C$2)*100)</f>
        <v>20</v>
      </c>
      <c r="F348" s="1">
        <f>IF('исходные данные'!F348&gt;'минимумы и максимумы'!D$3,100,('исходные данные'!F348-'минимумы и максимумы'!D$2)/('минимумы и максимумы'!D$3-'минимумы и максимумы'!D$2)*100)</f>
        <v>0</v>
      </c>
      <c r="G348" s="1">
        <f>IF('исходные данные'!G348&gt;'минимумы и максимумы'!E$3,100,('исходные данные'!G348-'минимумы и максимумы'!E$2)/('минимумы и максимумы'!E$3-'минимумы и максимумы'!E$2)*100)</f>
        <v>25</v>
      </c>
      <c r="H348" s="1">
        <f>IF('исходные данные'!H348&gt;'минимумы и максимумы'!F$3,100,('исходные данные'!H348-'минимумы и максимумы'!F$2)/('минимумы и максимумы'!F$3-'минимумы и максимумы'!F$2)*100)</f>
        <v>20</v>
      </c>
      <c r="I348" s="1">
        <f>IF('исходные данные'!I348&gt;'минимумы и максимумы'!G$3,100,('исходные данные'!I348-'минимумы и максимумы'!G$2)/('минимумы и максимумы'!G$3-'минимумы и максимумы'!G$2)*100)</f>
        <v>1.8867924528301887</v>
      </c>
      <c r="J348" s="1">
        <f>IF('исходные данные'!J348&gt;'минимумы и максимумы'!H$3,100,('исходные данные'!J348-'минимумы и максимумы'!H$2)/('минимумы и максимумы'!H$3-'минимумы и максимумы'!H$2)*100)</f>
        <v>6.666666666666667</v>
      </c>
      <c r="K348" s="1">
        <f>IF('исходные данные'!K348&gt;'минимумы и максимумы'!I$3,100,('исходные данные'!K348-'минимумы и максимумы'!I$2)/('минимумы и максимумы'!I$3-'минимумы и максимумы'!I$2)*100)</f>
        <v>5.5555555555555554</v>
      </c>
      <c r="L348" s="1">
        <f>IF('исходные данные'!L348&gt;'минимумы и максимумы'!J$3,100,('исходные данные'!L348-'минимумы и максимумы'!J$2)/('минимумы и максимумы'!J$3-'минимумы и максимумы'!J$2)*100)</f>
        <v>0</v>
      </c>
      <c r="M348" s="1">
        <f>IF('исходные данные'!M348&gt;'минимумы и максимумы'!K$3,100,('исходные данные'!M348-'минимумы и максимумы'!K$2)/('минимумы и максимумы'!K$3-'минимумы и максимумы'!K$2)*100)</f>
        <v>29.032258064516132</v>
      </c>
      <c r="N348" s="1">
        <f>IF('исходные данные'!N348&gt;'минимумы и максимумы'!L$3,100,('исходные данные'!N348-'минимумы и максимумы'!L$2)/('минимумы и максимумы'!L$3-'минимумы и максимумы'!L$2)*100)</f>
        <v>63.920077775080422</v>
      </c>
      <c r="O348" s="1">
        <f>IF('исходные данные'!O348&gt;'минимумы и максимумы'!M$3,100,('исходные данные'!O348-'минимумы и максимумы'!M$2)/('минимумы и максимумы'!M$3-'минимумы и максимумы'!M$2)*100)</f>
        <v>0</v>
      </c>
      <c r="P348" s="1">
        <f>IF('исходные данные'!P348&gt;'минимумы и максимумы'!N$3,100,('исходные данные'!P348-'минимумы и максимумы'!N$2)/('минимумы и максимумы'!N$3-'минимумы и максимумы'!N$2)*100)</f>
        <v>0</v>
      </c>
      <c r="Q348" s="1">
        <f>IF('исходные данные'!Q348&gt;'минимумы и максимумы'!O$3,100,('исходные данные'!Q348-'минимумы и максимумы'!O$2)/('минимумы и максимумы'!O$3-'минимумы и максимумы'!O$2)*100)</f>
        <v>100</v>
      </c>
      <c r="R348" s="1">
        <f>IF('исходные данные'!R348&gt;'минимумы и максимумы'!P$3,100,('исходные данные'!R348-'минимумы и максимумы'!P$2)/('минимумы и максимумы'!P$3-'минимумы и максимумы'!P$2)*100)</f>
        <v>75</v>
      </c>
      <c r="S348" s="1">
        <f>IF('исходные данные'!S348&gt;'минимумы и максимумы'!Q$3,100,('исходные данные'!S348-'минимумы и максимумы'!Q$2)/('минимумы и максимумы'!Q$3-'минимумы и максимумы'!Q$2)*100)</f>
        <v>16.666666666666664</v>
      </c>
      <c r="T348" s="1">
        <f>IF('исходные данные'!T348&gt;'минимумы и максимумы'!R$3,100,('исходные данные'!T348-'минимумы и максимумы'!R$2)/('минимумы и максимумы'!R$3-'минимумы и максимумы'!R$2)*100)</f>
        <v>100</v>
      </c>
      <c r="U348" s="1">
        <f>IF('исходные данные'!U348&gt;'минимумы и максимумы'!S$3,100,('исходные данные'!U348-'минимумы и максимумы'!S$2)/('минимумы и максимумы'!S$3-'минимумы и максимумы'!S$2)*100)</f>
        <v>33.333333333333329</v>
      </c>
    </row>
    <row r="349" spans="1:21" x14ac:dyDescent="0.45">
      <c r="A349" s="4">
        <v>458</v>
      </c>
      <c r="B349" s="4">
        <v>0</v>
      </c>
      <c r="C349" s="4">
        <v>0</v>
      </c>
      <c r="D349" s="1">
        <f>IF('исходные данные'!D349&gt;'минимумы и максимумы'!B$3,100,('исходные данные'!D349-'минимумы и максимумы'!B$2)/('минимумы и максимумы'!B$3-'минимумы и максимумы'!B$2)*100)</f>
        <v>20</v>
      </c>
      <c r="E349" s="1">
        <f>IF('исходные данные'!E349&gt;'минимумы и максимумы'!C$3,100,('исходные данные'!E349-'минимумы и максимумы'!C$2)/('минимумы и максимумы'!C$3-'минимумы и максимумы'!C$2)*100)</f>
        <v>30</v>
      </c>
      <c r="F349" s="1">
        <f>IF('исходные данные'!F349&gt;'минимумы и максимумы'!D$3,100,('исходные данные'!F349-'минимумы и максимумы'!D$2)/('минимумы и максимумы'!D$3-'минимумы и максимумы'!D$2)*100)</f>
        <v>33.333333333333329</v>
      </c>
      <c r="G349" s="1">
        <f>IF('исходные данные'!G349&gt;'минимумы и максимумы'!E$3,100,('исходные данные'!G349-'минимумы и максимумы'!E$2)/('минимумы и максимумы'!E$3-'минимумы и максимумы'!E$2)*100)</f>
        <v>29.166666666666668</v>
      </c>
      <c r="H349" s="1">
        <f>IF('исходные данные'!H349&gt;'минимумы и максимумы'!F$3,100,('исходные данные'!H349-'минимумы и максимумы'!F$2)/('минимумы и максимумы'!F$3-'минимумы и максимумы'!F$2)*100)</f>
        <v>40</v>
      </c>
      <c r="I349" s="1">
        <f>IF('исходные данные'!I349&gt;'минимумы и максимумы'!G$3,100,('исходные данные'!I349-'минимумы и максимумы'!G$2)/('минимумы и максимумы'!G$3-'минимумы и максимумы'!G$2)*100)</f>
        <v>15.09433962264151</v>
      </c>
      <c r="J349" s="1">
        <f>IF('исходные данные'!J349&gt;'минимумы и максимумы'!H$3,100,('исходные данные'!J349-'минимумы и максимумы'!H$2)/('минимумы и максимумы'!H$3-'минимумы и максимумы'!H$2)*100)</f>
        <v>6.666666666666667</v>
      </c>
      <c r="K349" s="1">
        <f>IF('исходные данные'!K349&gt;'минимумы и максимумы'!I$3,100,('исходные данные'!K349-'минимумы и максимумы'!I$2)/('минимумы и максимумы'!I$3-'минимумы и максимумы'!I$2)*100)</f>
        <v>11.111111111111111</v>
      </c>
      <c r="L349" s="1">
        <f>IF('исходные данные'!L349&gt;'минимумы и максимумы'!J$3,100,('исходные данные'!L349-'минимумы и максимумы'!J$2)/('минимумы и максимумы'!J$3-'минимумы и максимумы'!J$2)*100)</f>
        <v>20</v>
      </c>
      <c r="M349" s="1">
        <f>IF('исходные данные'!M349&gt;'минимумы и максимумы'!K$3,100,('исходные данные'!M349-'минимумы и максимумы'!K$2)/('минимумы и максимумы'!K$3-'минимумы и максимумы'!K$2)*100)</f>
        <v>25.806451612903224</v>
      </c>
      <c r="N349" s="1">
        <f>IF('исходные данные'!N349&gt;'минимумы и максимумы'!L$3,100,('исходные данные'!N349-'минимумы и максимумы'!L$2)/('минимумы и максимумы'!L$3-'минимумы и максимумы'!L$2)*100)</f>
        <v>63.077338893656666</v>
      </c>
      <c r="O349" s="1">
        <f>IF('исходные данные'!O349&gt;'минимумы и максимумы'!M$3,100,('исходные данные'!O349-'минимумы и максимумы'!M$2)/('минимумы и максимумы'!M$3-'минимумы и максимумы'!M$2)*100)</f>
        <v>0</v>
      </c>
      <c r="P349" s="1">
        <f>IF('исходные данные'!P349&gt;'минимумы и максимумы'!N$3,100,('исходные данные'!P349-'минимумы и максимумы'!N$2)/('минимумы и максимумы'!N$3-'минимумы и максимумы'!N$2)*100)</f>
        <v>0</v>
      </c>
      <c r="Q349" s="1">
        <f>IF('исходные данные'!Q349&gt;'минимумы и максимумы'!O$3,100,('исходные данные'!Q349-'минимумы и максимумы'!O$2)/('минимумы и максимумы'!O$3-'минимумы и максимумы'!O$2)*100)</f>
        <v>100</v>
      </c>
      <c r="R349" s="1">
        <f>IF('исходные данные'!R349&gt;'минимумы и максимумы'!P$3,100,('исходные данные'!R349-'минимумы и максимумы'!P$2)/('минимумы и максимумы'!P$3-'минимумы и максимумы'!P$2)*100)</f>
        <v>75</v>
      </c>
      <c r="S349" s="1">
        <f>IF('исходные данные'!S349&gt;'минимумы и максимумы'!Q$3,100,('исходные данные'!S349-'минимумы и максимумы'!Q$2)/('минимумы и максимумы'!Q$3-'минимумы и максимумы'!Q$2)*100)</f>
        <v>16.666666666666664</v>
      </c>
      <c r="T349" s="1">
        <f>IF('исходные данные'!T349&gt;'минимумы и максимумы'!R$3,100,('исходные данные'!T349-'минимумы и максимумы'!R$2)/('минимумы и максимумы'!R$3-'минимумы и максимумы'!R$2)*100)</f>
        <v>59.744830620325558</v>
      </c>
      <c r="U349" s="1">
        <f>IF('исходные данные'!U349&gt;'минимумы и максимумы'!S$3,100,('исходные данные'!U349-'минимумы и максимумы'!S$2)/('минимумы и максимумы'!S$3-'минимумы и максимумы'!S$2)*100)</f>
        <v>66.666666666666657</v>
      </c>
    </row>
    <row r="350" spans="1:21" x14ac:dyDescent="0.45">
      <c r="A350" s="4">
        <v>459</v>
      </c>
      <c r="B350" s="4">
        <v>0</v>
      </c>
      <c r="C350" s="4">
        <v>0</v>
      </c>
      <c r="D350" s="1">
        <f>IF('исходные данные'!D350&gt;'минимумы и максимумы'!B$3,100,('исходные данные'!D350-'минимумы и максимумы'!B$2)/('минимумы и максимумы'!B$3-'минимумы и максимумы'!B$2)*100)</f>
        <v>20</v>
      </c>
      <c r="E350" s="1">
        <f>IF('исходные данные'!E350&gt;'минимумы и максимумы'!C$3,100,('исходные данные'!E350-'минимумы и максимумы'!C$2)/('минимумы и максимумы'!C$3-'минимумы и максимумы'!C$2)*100)</f>
        <v>30</v>
      </c>
      <c r="F350" s="1">
        <f>IF('исходные данные'!F350&gt;'минимумы и максимумы'!D$3,100,('исходные данные'!F350-'минимумы и максимумы'!D$2)/('минимумы и максимумы'!D$3-'минимумы и максимумы'!D$2)*100)</f>
        <v>33.333333333333329</v>
      </c>
      <c r="G350" s="1">
        <f>IF('исходные данные'!G350&gt;'минимумы и максимумы'!E$3,100,('исходные данные'!G350-'минимумы и максимумы'!E$2)/('минимумы и максимумы'!E$3-'минимумы и максимумы'!E$2)*100)</f>
        <v>25</v>
      </c>
      <c r="H350" s="1">
        <f>IF('исходные данные'!H350&gt;'минимумы и максимумы'!F$3,100,('исходные данные'!H350-'минимумы и максимумы'!F$2)/('минимумы и максимумы'!F$3-'минимумы и максимумы'!F$2)*100)</f>
        <v>20</v>
      </c>
      <c r="I350" s="1">
        <f>IF('исходные данные'!I350&gt;'минимумы и максимумы'!G$3,100,('исходные данные'!I350-'минимумы и максимумы'!G$2)/('минимумы и максимумы'!G$3-'минимумы и максимумы'!G$2)*100)</f>
        <v>5.6603773584905666</v>
      </c>
      <c r="J350" s="1">
        <f>IF('исходные данные'!J350&gt;'минимумы и максимумы'!H$3,100,('исходные данные'!J350-'минимумы и максимумы'!H$2)/('минимумы и максимумы'!H$3-'минимумы и максимумы'!H$2)*100)</f>
        <v>13.333333333333334</v>
      </c>
      <c r="K350" s="1">
        <f>IF('исходные данные'!K350&gt;'минимумы и максимумы'!I$3,100,('исходные данные'!K350-'минимумы и максимумы'!I$2)/('минимумы и максимумы'!I$3-'минимумы и максимумы'!I$2)*100)</f>
        <v>11.111111111111111</v>
      </c>
      <c r="L350" s="1">
        <f>IF('исходные данные'!L350&gt;'минимумы и максимумы'!J$3,100,('исходные данные'!L350-'минимумы и максимумы'!J$2)/('минимумы и максимумы'!J$3-'минимумы и максимумы'!J$2)*100)</f>
        <v>0</v>
      </c>
      <c r="M350" s="1">
        <f>IF('исходные данные'!M350&gt;'минимумы и максимумы'!K$3,100,('исходные данные'!M350-'минимумы и максимумы'!K$2)/('минимумы и максимумы'!K$3-'минимумы и максимумы'!K$2)*100)</f>
        <v>35.483870967741936</v>
      </c>
      <c r="N350" s="1">
        <f>IF('исходные данные'!N350&gt;'минимумы и максимумы'!L$3,100,('исходные данные'!N350-'минимумы и максимумы'!L$2)/('минимумы и максимумы'!L$3-'минимумы и максимумы'!L$2)*100)</f>
        <v>63.308917226889719</v>
      </c>
      <c r="O350" s="1">
        <f>IF('исходные данные'!O350&gt;'минимумы и максимумы'!M$3,100,('исходные данные'!O350-'минимумы и максимумы'!M$2)/('минимумы и максимумы'!M$3-'минимумы и максимумы'!M$2)*100)</f>
        <v>0</v>
      </c>
      <c r="P350" s="1">
        <f>IF('исходные данные'!P350&gt;'минимумы и максимумы'!N$3,100,('исходные данные'!P350-'минимумы и максимумы'!N$2)/('минимумы и максимумы'!N$3-'минимумы и максимумы'!N$2)*100)</f>
        <v>0</v>
      </c>
      <c r="Q350" s="1">
        <f>IF('исходные данные'!Q350&gt;'минимумы и максимумы'!O$3,100,('исходные данные'!Q350-'минимумы и максимумы'!O$2)/('минимумы и максимумы'!O$3-'минимумы и максимумы'!O$2)*100)</f>
        <v>100</v>
      </c>
      <c r="R350" s="1">
        <f>IF('исходные данные'!R350&gt;'минимумы и максимумы'!P$3,100,('исходные данные'!R350-'минимумы и максимумы'!P$2)/('минимумы и максимумы'!P$3-'минимумы и максимумы'!P$2)*100)</f>
        <v>75</v>
      </c>
      <c r="S350" s="1">
        <f>IF('исходные данные'!S350&gt;'минимумы и максимумы'!Q$3,100,('исходные данные'!S350-'минимумы и максимумы'!Q$2)/('минимумы и максимумы'!Q$3-'минимумы и максимумы'!Q$2)*100)</f>
        <v>16.666666666666664</v>
      </c>
      <c r="T350" s="1">
        <f>IF('исходные данные'!T350&gt;'минимумы и максимумы'!R$3,100,('исходные данные'!T350-'минимумы и максимумы'!R$2)/('минимумы и максимумы'!R$3-'минимумы и максимумы'!R$2)*100)</f>
        <v>47.206335239771228</v>
      </c>
      <c r="U350" s="1">
        <f>IF('исходные данные'!U350&gt;'минимумы и максимумы'!S$3,100,('исходные данные'!U350-'минимумы и максимумы'!S$2)/('минимумы и максимумы'!S$3-'минимумы и максимумы'!S$2)*100)</f>
        <v>66.666666666666657</v>
      </c>
    </row>
    <row r="351" spans="1:21" x14ac:dyDescent="0.45">
      <c r="A351" s="4">
        <v>460</v>
      </c>
      <c r="B351" s="4">
        <v>0</v>
      </c>
      <c r="C351" s="4">
        <v>0</v>
      </c>
      <c r="D351" s="1">
        <f>IF('исходные данные'!D351&gt;'минимумы и максимумы'!B$3,100,('исходные данные'!D351-'минимумы и максимумы'!B$2)/('минимумы и максимумы'!B$3-'минимумы и максимумы'!B$2)*100)</f>
        <v>20</v>
      </c>
      <c r="E351" s="1">
        <f>IF('исходные данные'!E351&gt;'минимумы и максимумы'!C$3,100,('исходные данные'!E351-'минимумы и максимумы'!C$2)/('минимумы и максимумы'!C$3-'минимумы и максимумы'!C$2)*100)</f>
        <v>30</v>
      </c>
      <c r="F351" s="1">
        <f>IF('исходные данные'!F351&gt;'минимумы и максимумы'!D$3,100,('исходные данные'!F351-'минимумы и максимумы'!D$2)/('минимумы и максимумы'!D$3-'минимумы и максимумы'!D$2)*100)</f>
        <v>0</v>
      </c>
      <c r="G351" s="1">
        <f>IF('исходные данные'!G351&gt;'минимумы и максимумы'!E$3,100,('исходные данные'!G351-'минимумы и максимумы'!E$2)/('минимумы и максимумы'!E$3-'минимумы и максимумы'!E$2)*100)</f>
        <v>37.5</v>
      </c>
      <c r="H351" s="1">
        <f>IF('исходные данные'!H351&gt;'минимумы и максимумы'!F$3,100,('исходные данные'!H351-'минимумы и максимумы'!F$2)/('минимумы и максимумы'!F$3-'минимумы и максимумы'!F$2)*100)</f>
        <v>28.000000000000004</v>
      </c>
      <c r="I351" s="1">
        <f>IF('исходные данные'!I351&gt;'минимумы и максимумы'!G$3,100,('исходные данные'!I351-'минимумы и максимумы'!G$2)/('минимумы и максимумы'!G$3-'минимумы и максимумы'!G$2)*100)</f>
        <v>11.320754716981133</v>
      </c>
      <c r="J351" s="1">
        <f>IF('исходные данные'!J351&gt;'минимумы и максимумы'!H$3,100,('исходные данные'!J351-'минимумы и максимумы'!H$2)/('минимумы и максимумы'!H$3-'минимумы и максимумы'!H$2)*100)</f>
        <v>6.666666666666667</v>
      </c>
      <c r="K351" s="1">
        <f>IF('исходные данные'!K351&gt;'минимумы и максимумы'!I$3,100,('исходные данные'!K351-'минимумы и максимумы'!I$2)/('минимумы и максимумы'!I$3-'минимумы и максимумы'!I$2)*100)</f>
        <v>5.5555555555555554</v>
      </c>
      <c r="L351" s="1">
        <f>IF('исходные данные'!L351&gt;'минимумы и максимумы'!J$3,100,('исходные данные'!L351-'минимумы и максимумы'!J$2)/('минимумы и максимумы'!J$3-'минимумы и максимумы'!J$2)*100)</f>
        <v>0</v>
      </c>
      <c r="M351" s="1">
        <f>IF('исходные данные'!M351&gt;'минимумы и максимумы'!K$3,100,('исходные данные'!M351-'минимумы и максимумы'!K$2)/('минимумы и максимумы'!K$3-'минимумы и максимумы'!K$2)*100)</f>
        <v>45.161290322580641</v>
      </c>
      <c r="N351" s="1">
        <f>IF('исходные данные'!N351&gt;'минимумы и максимумы'!L$3,100,('исходные данные'!N351-'минимумы и максимумы'!L$2)/('минимумы и максимумы'!L$3-'минимумы и максимумы'!L$2)*100)</f>
        <v>64.61285881093697</v>
      </c>
      <c r="O351" s="1">
        <f>IF('исходные данные'!O351&gt;'минимумы и максимумы'!M$3,100,('исходные данные'!O351-'минимумы и максимумы'!M$2)/('минимумы и максимумы'!M$3-'минимумы и максимумы'!M$2)*100)</f>
        <v>100</v>
      </c>
      <c r="P351" s="1">
        <f>IF('исходные данные'!P351&gt;'минимумы и максимумы'!N$3,100,('исходные данные'!P351-'минимумы и максимумы'!N$2)/('минимумы и максимумы'!N$3-'минимумы и максимумы'!N$2)*100)</f>
        <v>0</v>
      </c>
      <c r="Q351" s="1">
        <f>IF('исходные данные'!Q351&gt;'минимумы и максимумы'!O$3,100,('исходные данные'!Q351-'минимумы и максимумы'!O$2)/('минимумы и максимумы'!O$3-'минимумы и максимумы'!O$2)*100)</f>
        <v>100</v>
      </c>
      <c r="R351" s="1">
        <f>IF('исходные данные'!R351&gt;'минимумы и максимумы'!P$3,100,('исходные данные'!R351-'минимумы и максимумы'!P$2)/('минимумы и максимумы'!P$3-'минимумы и максимумы'!P$2)*100)</f>
        <v>75</v>
      </c>
      <c r="S351" s="1">
        <f>IF('исходные данные'!S351&gt;'минимумы и максимумы'!Q$3,100,('исходные данные'!S351-'минимумы и максимумы'!Q$2)/('минимумы и максимумы'!Q$3-'минимумы и максимумы'!Q$2)*100)</f>
        <v>33.333333333333329</v>
      </c>
      <c r="T351" s="1">
        <f>IF('исходные данные'!T351&gt;'минимумы и максимумы'!R$3,100,('исходные данные'!T351-'минимумы и максимумы'!R$2)/('минимумы и максимумы'!R$3-'минимумы и максимумы'!R$2)*100)</f>
        <v>58.60096788385394</v>
      </c>
      <c r="U351" s="1">
        <f>IF('исходные данные'!U351&gt;'минимумы и максимумы'!S$3,100,('исходные данные'!U351-'минимумы и максимумы'!S$2)/('минимумы и максимумы'!S$3-'минимумы и максимумы'!S$2)*100)</f>
        <v>33.333333333333329</v>
      </c>
    </row>
    <row r="352" spans="1:21" x14ac:dyDescent="0.45">
      <c r="A352" s="4">
        <v>461</v>
      </c>
      <c r="B352" s="4">
        <v>0</v>
      </c>
      <c r="C352" s="4">
        <v>1</v>
      </c>
      <c r="D352" s="1">
        <f>IF('исходные данные'!D352&gt;'минимумы и максимумы'!B$3,100,('исходные данные'!D352-'минимумы и максимумы'!B$2)/('минимумы и максимумы'!B$3-'минимумы и максимумы'!B$2)*100)</f>
        <v>0</v>
      </c>
      <c r="E352" s="1">
        <f>IF('исходные данные'!E352&gt;'минимумы и максимумы'!C$3,100,('исходные данные'!E352-'минимумы и максимумы'!C$2)/('минимумы и максимумы'!C$3-'минимумы и максимумы'!C$2)*100)</f>
        <v>0</v>
      </c>
      <c r="F352" s="1">
        <f>IF('исходные данные'!F352&gt;'минимумы и максимумы'!D$3,100,('исходные данные'!F352-'минимумы и максимумы'!D$2)/('минимумы и максимумы'!D$3-'минимумы и максимумы'!D$2)*100)</f>
        <v>0</v>
      </c>
      <c r="G352" s="1">
        <f>IF('исходные данные'!G352&gt;'минимумы и максимумы'!E$3,100,('исходные данные'!G352-'минимумы и максимумы'!E$2)/('минимумы и максимумы'!E$3-'минимумы и максимумы'!E$2)*100)</f>
        <v>12.5</v>
      </c>
      <c r="H352" s="1">
        <f>IF('исходные данные'!H352&gt;'минимумы и максимумы'!F$3,100,('исходные данные'!H352-'минимумы и максимумы'!F$2)/('минимумы и максимумы'!F$3-'минимумы и максимумы'!F$2)*100)</f>
        <v>8</v>
      </c>
      <c r="I352" s="1">
        <f>IF('исходные данные'!I352&gt;'минимумы и максимумы'!G$3,100,('исходные данные'!I352-'минимумы и максимумы'!G$2)/('минимумы и максимумы'!G$3-'минимумы и максимумы'!G$2)*100)</f>
        <v>7.5471698113207548</v>
      </c>
      <c r="J352" s="1">
        <f>IF('исходные данные'!J352&gt;'минимумы и максимумы'!H$3,100,('исходные данные'!J352-'минимумы и максимумы'!H$2)/('минимумы и максимумы'!H$3-'минимумы и максимумы'!H$2)*100)</f>
        <v>26.666666666666668</v>
      </c>
      <c r="K352" s="1">
        <f>IF('исходные данные'!K352&gt;'минимумы и максимумы'!I$3,100,('исходные данные'!K352-'минимумы и максимумы'!I$2)/('минимумы и максимумы'!I$3-'минимумы и максимумы'!I$2)*100)</f>
        <v>11.111111111111111</v>
      </c>
      <c r="L352" s="1">
        <f>IF('исходные данные'!L352&gt;'минимумы и максимумы'!J$3,100,('исходные данные'!L352-'минимумы и максимумы'!J$2)/('минимумы и максимумы'!J$3-'минимумы и максимумы'!J$2)*100)</f>
        <v>0</v>
      </c>
      <c r="M352" s="1">
        <f>IF('исходные данные'!M352&gt;'минимумы и максимумы'!K$3,100,('исходные данные'!M352-'минимумы и максимумы'!K$2)/('минимумы и максимумы'!K$3-'минимумы и максимумы'!K$2)*100)</f>
        <v>3.225806451612903</v>
      </c>
      <c r="N352" s="1">
        <f>IF('исходные данные'!N352&gt;'минимумы и максимумы'!L$3,100,('исходные данные'!N352-'минимумы и максимумы'!L$2)/('минимумы и максимумы'!L$3-'минимумы и максимумы'!L$2)*100)</f>
        <v>20.520291449959593</v>
      </c>
      <c r="O352" s="1">
        <f>IF('исходные данные'!O352&gt;'минимумы и максимумы'!M$3,100,('исходные данные'!O352-'минимумы и максимумы'!M$2)/('минимумы и максимумы'!M$3-'минимумы и максимумы'!M$2)*100)</f>
        <v>66.666666666666657</v>
      </c>
      <c r="P352" s="1">
        <f>IF('исходные данные'!P352&gt;'минимумы и максимумы'!N$3,100,('исходные данные'!P352-'минимумы и максимумы'!N$2)/('минимумы и максимумы'!N$3-'минимумы и максимумы'!N$2)*100)</f>
        <v>0</v>
      </c>
      <c r="Q352" s="1">
        <f>IF('исходные данные'!Q352&gt;'минимумы и максимумы'!O$3,100,('исходные данные'!Q352-'минимумы и максимумы'!O$2)/('минимумы и максимумы'!O$3-'минимумы и максимумы'!O$2)*100)</f>
        <v>100</v>
      </c>
      <c r="R352" s="1">
        <f>IF('исходные данные'!R352&gt;'минимумы и максимумы'!P$3,100,('исходные данные'!R352-'минимумы и максимумы'!P$2)/('минимумы и максимумы'!P$3-'минимумы и максимумы'!P$2)*100)</f>
        <v>75</v>
      </c>
      <c r="S352" s="1">
        <f>IF('исходные данные'!S352&gt;'минимумы и максимумы'!Q$3,100,('исходные данные'!S352-'минимумы и максимумы'!Q$2)/('минимумы и максимумы'!Q$3-'минимумы и максимумы'!Q$2)*100)</f>
        <v>83.333333333333343</v>
      </c>
      <c r="T352" s="1">
        <f>IF('исходные данные'!T352&gt;'минимумы и максимумы'!R$3,100,('исходные данные'!T352-'минимумы и максимумы'!R$2)/('минимумы и максимумы'!R$3-'минимумы и максимумы'!R$2)*100)</f>
        <v>20.545534535855698</v>
      </c>
      <c r="U352" s="1">
        <f>IF('исходные данные'!U352&gt;'минимумы и максимумы'!S$3,100,('исходные данные'!U352-'минимумы и максимумы'!S$2)/('минимумы и максимумы'!S$3-'минимумы и максимумы'!S$2)*100)</f>
        <v>0</v>
      </c>
    </row>
    <row r="353" spans="1:21" x14ac:dyDescent="0.45">
      <c r="A353" s="4">
        <v>462</v>
      </c>
      <c r="B353" s="4">
        <v>0</v>
      </c>
      <c r="C353" s="4">
        <v>0</v>
      </c>
      <c r="D353" s="1">
        <f>IF('исходные данные'!D353&gt;'минимумы и максимумы'!B$3,100,('исходные данные'!D353-'минимумы и максимумы'!B$2)/('минимумы и максимумы'!B$3-'минимумы и максимумы'!B$2)*100)</f>
        <v>40</v>
      </c>
      <c r="E353" s="1">
        <f>IF('исходные данные'!E353&gt;'минимумы и максимумы'!C$3,100,('исходные данные'!E353-'минимумы и максимумы'!C$2)/('минимумы и максимумы'!C$3-'минимумы и максимумы'!C$2)*100)</f>
        <v>0</v>
      </c>
      <c r="F353" s="1">
        <f>IF('исходные данные'!F353&gt;'минимумы и максимумы'!D$3,100,('исходные данные'!F353-'минимумы и максимумы'!D$2)/('минимумы и максимумы'!D$3-'минимумы и максимумы'!D$2)*100)</f>
        <v>66.666666666666657</v>
      </c>
      <c r="G353" s="1">
        <f>IF('исходные данные'!G353&gt;'минимумы и максимумы'!E$3,100,('исходные данные'!G353-'минимумы и максимумы'!E$2)/('минимумы и максимумы'!E$3-'минимумы и максимумы'!E$2)*100)</f>
        <v>16.666666666666664</v>
      </c>
      <c r="H353" s="1">
        <f>IF('исходные данные'!H353&gt;'минимумы и максимумы'!F$3,100,('исходные данные'!H353-'минимумы и максимумы'!F$2)/('минимумы и максимумы'!F$3-'минимумы и максимумы'!F$2)*100)</f>
        <v>12</v>
      </c>
      <c r="I353" s="1">
        <f>IF('исходные данные'!I353&gt;'минимумы и максимумы'!G$3,100,('исходные данные'!I353-'минимумы и максимумы'!G$2)/('минимумы и максимумы'!G$3-'минимумы и максимумы'!G$2)*100)</f>
        <v>39.622641509433961</v>
      </c>
      <c r="J353" s="1">
        <f>IF('исходные данные'!J353&gt;'минимумы и максимумы'!H$3,100,('исходные данные'!J353-'минимумы и максимумы'!H$2)/('минимумы и максимумы'!H$3-'минимумы и максимумы'!H$2)*100)</f>
        <v>20</v>
      </c>
      <c r="K353" s="1">
        <f>IF('исходные данные'!K353&gt;'минимумы и максимумы'!I$3,100,('исходные данные'!K353-'минимумы и максимумы'!I$2)/('минимумы и максимумы'!I$3-'минимумы и максимумы'!I$2)*100)</f>
        <v>100</v>
      </c>
      <c r="L353" s="1">
        <f>IF('исходные данные'!L353&gt;'минимумы и максимумы'!J$3,100,('исходные данные'!L353-'минимумы и максимумы'!J$2)/('минимумы и максимумы'!J$3-'минимумы и максимумы'!J$2)*100)</f>
        <v>40</v>
      </c>
      <c r="M353" s="1">
        <f>IF('исходные данные'!M353&gt;'минимумы и максимумы'!K$3,100,('исходные данные'!M353-'минимумы и максимумы'!K$2)/('минимумы и максимумы'!K$3-'минимумы и максимумы'!K$2)*100)</f>
        <v>41.935483870967744</v>
      </c>
      <c r="N353" s="1">
        <f>IF('исходные данные'!N353&gt;'минимумы и максимумы'!L$3,100,('исходные данные'!N353-'минимумы и максимумы'!L$2)/('минимумы и максимумы'!L$3-'минимумы и максимумы'!L$2)*100)</f>
        <v>24.478260810066498</v>
      </c>
      <c r="O353" s="1">
        <f>IF('исходные данные'!O353&gt;'минимумы и максимумы'!M$3,100,('исходные данные'!O353-'минимумы и максимумы'!M$2)/('минимумы и максимумы'!M$3-'минимумы и максимумы'!M$2)*100)</f>
        <v>66.666666666666657</v>
      </c>
      <c r="P353" s="1">
        <f>IF('исходные данные'!P353&gt;'минимумы и максимумы'!N$3,100,('исходные данные'!P353-'минимумы и максимумы'!N$2)/('минимумы и максимумы'!N$3-'минимумы и максимумы'!N$2)*100)</f>
        <v>0</v>
      </c>
      <c r="Q353" s="1">
        <f>IF('исходные данные'!Q353&gt;'минимумы и максимумы'!O$3,100,('исходные данные'!Q353-'минимумы и максимумы'!O$2)/('минимумы и максимумы'!O$3-'минимумы и максимумы'!O$2)*100)</f>
        <v>100</v>
      </c>
      <c r="R353" s="1">
        <f>IF('исходные данные'!R353&gt;'минимумы и максимумы'!P$3,100,('исходные данные'!R353-'минимумы и максимумы'!P$2)/('минимумы и максимумы'!P$3-'минимумы и максимумы'!P$2)*100)</f>
        <v>75</v>
      </c>
      <c r="S353" s="1">
        <f>IF('исходные данные'!S353&gt;'минимумы и максимумы'!Q$3,100,('исходные данные'!S353-'минимумы и максимумы'!Q$2)/('минимумы и максимумы'!Q$3-'минимумы и максимумы'!Q$2)*100)</f>
        <v>16.666666666666664</v>
      </c>
      <c r="T353" s="1">
        <f>IF('исходные данные'!T353&gt;'минимумы и максимумы'!R$3,100,('исходные данные'!T353-'минимумы и максимумы'!R$2)/('минимумы и максимумы'!R$3-'минимумы и максимумы'!R$2)*100)</f>
        <v>21.733391992960847</v>
      </c>
      <c r="U353" s="1">
        <f>IF('исходные данные'!U353&gt;'минимумы и максимумы'!S$3,100,('исходные данные'!U353-'минимумы и максимумы'!S$2)/('минимумы и максимумы'!S$3-'минимумы и максимумы'!S$2)*100)</f>
        <v>33.333333333333329</v>
      </c>
    </row>
    <row r="354" spans="1:21" x14ac:dyDescent="0.45">
      <c r="A354" s="4">
        <v>465</v>
      </c>
      <c r="B354" s="4">
        <v>0</v>
      </c>
      <c r="C354" s="4">
        <v>0</v>
      </c>
      <c r="D354" s="1">
        <f>IF('исходные данные'!D354&gt;'минимумы и максимумы'!B$3,100,('исходные данные'!D354-'минимумы и максимумы'!B$2)/('минимумы и максимумы'!B$3-'минимумы и максимумы'!B$2)*100)</f>
        <v>20</v>
      </c>
      <c r="E354" s="1">
        <f>IF('исходные данные'!E354&gt;'минимумы и максимумы'!C$3,100,('исходные данные'!E354-'минимумы и максимумы'!C$2)/('минимумы и максимумы'!C$3-'минимумы и максимумы'!C$2)*100)</f>
        <v>0</v>
      </c>
      <c r="F354" s="1">
        <f>IF('исходные данные'!F354&gt;'минимумы и максимумы'!D$3,100,('исходные данные'!F354-'минимумы и максимумы'!D$2)/('минимумы и максимумы'!D$3-'минимумы и максимумы'!D$2)*100)</f>
        <v>66.666666666666657</v>
      </c>
      <c r="G354" s="1">
        <f>IF('исходные данные'!G354&gt;'минимумы и максимумы'!E$3,100,('исходные данные'!G354-'минимумы и максимумы'!E$2)/('минимумы и максимумы'!E$3-'минимумы и максимумы'!E$2)*100)</f>
        <v>12.5</v>
      </c>
      <c r="H354" s="1">
        <f>IF('исходные данные'!H354&gt;'минимумы и максимумы'!F$3,100,('исходные данные'!H354-'минимумы и максимумы'!F$2)/('минимумы и максимумы'!F$3-'минимумы и максимумы'!F$2)*100)</f>
        <v>20</v>
      </c>
      <c r="I354" s="1">
        <f>IF('исходные данные'!I354&gt;'минимумы и максимумы'!G$3,100,('исходные данные'!I354-'минимумы и максимумы'!G$2)/('минимумы и максимумы'!G$3-'минимумы и максимумы'!G$2)*100)</f>
        <v>24.528301886792452</v>
      </c>
      <c r="J354" s="1">
        <f>IF('исходные данные'!J354&gt;'минимумы и максимумы'!H$3,100,('исходные данные'!J354-'минимумы и максимумы'!H$2)/('минимумы и максимумы'!H$3-'минимумы и максимумы'!H$2)*100)</f>
        <v>6.666666666666667</v>
      </c>
      <c r="K354" s="1">
        <f>IF('исходные данные'!K354&gt;'минимумы и максимумы'!I$3,100,('исходные данные'!K354-'минимумы и максимумы'!I$2)/('минимумы и максимумы'!I$3-'минимумы и максимумы'!I$2)*100)</f>
        <v>100</v>
      </c>
      <c r="L354" s="1">
        <f>IF('исходные данные'!L354&gt;'минимумы и максимумы'!J$3,100,('исходные данные'!L354-'минимумы и максимумы'!J$2)/('минимумы и максимумы'!J$3-'минимумы и максимумы'!J$2)*100)</f>
        <v>0</v>
      </c>
      <c r="M354" s="1">
        <f>IF('исходные данные'!M354&gt;'минимумы и максимумы'!K$3,100,('исходные данные'!M354-'минимумы и максимумы'!K$2)/('минимумы и максимумы'!K$3-'минимумы и максимумы'!K$2)*100)</f>
        <v>9.67741935483871</v>
      </c>
      <c r="N354" s="1">
        <f>IF('исходные данные'!N354&gt;'минимумы и максимумы'!L$3,100,('исходные данные'!N354-'минимумы и максимумы'!L$2)/('минимумы и максимумы'!L$3-'минимумы и максимумы'!L$2)*100)</f>
        <v>26.719029900334306</v>
      </c>
      <c r="O354" s="1">
        <f>IF('исходные данные'!O354&gt;'минимумы и максимумы'!M$3,100,('исходные данные'!O354-'минимумы и максимумы'!M$2)/('минимумы и максимумы'!M$3-'минимумы и максимумы'!M$2)*100)</f>
        <v>66.666666666666657</v>
      </c>
      <c r="P354" s="1">
        <f>IF('исходные данные'!P354&gt;'минимумы и максимумы'!N$3,100,('исходные данные'!P354-'минимумы и максимумы'!N$2)/('минимумы и максимумы'!N$3-'минимумы и максимумы'!N$2)*100)</f>
        <v>0</v>
      </c>
      <c r="Q354" s="1">
        <f>IF('исходные данные'!Q354&gt;'минимумы и максимумы'!O$3,100,('исходные данные'!Q354-'минимумы и максимумы'!O$2)/('минимумы и максимумы'!O$3-'минимумы и максимумы'!O$2)*100)</f>
        <v>0</v>
      </c>
      <c r="R354" s="1">
        <f>IF('исходные данные'!R354&gt;'минимумы и максимумы'!P$3,100,('исходные данные'!R354-'минимумы и максимумы'!P$2)/('минимумы и максимумы'!P$3-'минимумы и максимумы'!P$2)*100)</f>
        <v>25</v>
      </c>
      <c r="S354" s="1">
        <f>IF('исходные данные'!S354&gt;'минимумы и максимумы'!Q$3,100,('исходные данные'!S354-'минимумы и максимумы'!Q$2)/('минимумы и максимумы'!Q$3-'минимумы и максимумы'!Q$2)*100)</f>
        <v>66.666666666666657</v>
      </c>
      <c r="T354" s="1">
        <f>IF('исходные данные'!T354&gt;'минимумы и максимумы'!R$3,100,('исходные данные'!T354-'минимумы и максимумы'!R$2)/('минимумы и максимумы'!R$3-'минимумы и максимумы'!R$2)*100)</f>
        <v>79.498460184777826</v>
      </c>
      <c r="U354" s="1">
        <f>IF('исходные данные'!U354&gt;'минимумы и максимумы'!S$3,100,('исходные данные'!U354-'минимумы и максимумы'!S$2)/('минимумы и максимумы'!S$3-'минимумы и максимумы'!S$2)*100)</f>
        <v>0</v>
      </c>
    </row>
    <row r="355" spans="1:21" x14ac:dyDescent="0.45">
      <c r="A355" s="4">
        <v>467</v>
      </c>
      <c r="B355" s="4">
        <v>0</v>
      </c>
      <c r="C355" s="4">
        <v>0</v>
      </c>
      <c r="D355" s="1">
        <f>IF('исходные данные'!D355&gt;'минимумы и максимумы'!B$3,100,('исходные данные'!D355-'минимумы и максимумы'!B$2)/('минимумы и максимумы'!B$3-'минимумы и максимумы'!B$2)*100)</f>
        <v>40</v>
      </c>
      <c r="E355" s="1">
        <f>IF('исходные данные'!E355&gt;'минимумы и максимумы'!C$3,100,('исходные данные'!E355-'минимумы и максимумы'!C$2)/('минимумы и максимумы'!C$3-'минимумы и максимумы'!C$2)*100)</f>
        <v>20</v>
      </c>
      <c r="F355" s="1">
        <f>IF('исходные данные'!F355&gt;'минимумы и максимумы'!D$3,100,('исходные данные'!F355-'минимумы и максимумы'!D$2)/('минимумы и максимумы'!D$3-'минимумы и максимумы'!D$2)*100)</f>
        <v>0</v>
      </c>
      <c r="G355" s="1">
        <f>IF('исходные данные'!G355&gt;'минимумы и максимумы'!E$3,100,('исходные данные'!G355-'минимумы и максимумы'!E$2)/('минимумы и максимумы'!E$3-'минимумы и максимумы'!E$2)*100)</f>
        <v>58.333333333333336</v>
      </c>
      <c r="H355" s="1">
        <f>IF('исходные данные'!H355&gt;'минимумы и максимумы'!F$3,100,('исходные данные'!H355-'минимумы и максимумы'!F$2)/('минимумы и максимумы'!F$3-'минимумы и максимумы'!F$2)*100)</f>
        <v>44</v>
      </c>
      <c r="I355" s="1">
        <f>IF('исходные данные'!I355&gt;'минимумы и максимумы'!G$3,100,('исходные данные'!I355-'минимумы и максимумы'!G$2)/('минимумы и максимумы'!G$3-'минимумы и максимумы'!G$2)*100)</f>
        <v>64.15094339622641</v>
      </c>
      <c r="J355" s="1">
        <f>IF('исходные данные'!J355&gt;'минимумы и максимумы'!H$3,100,('исходные данные'!J355-'минимумы и максимумы'!H$2)/('минимумы и максимумы'!H$3-'минимумы и максимумы'!H$2)*100)</f>
        <v>6.666666666666667</v>
      </c>
      <c r="K355" s="1">
        <f>IF('исходные данные'!K355&gt;'минимумы и максимумы'!I$3,100,('исходные данные'!K355-'минимумы и максимумы'!I$2)/('минимумы и максимумы'!I$3-'минимумы и максимумы'!I$2)*100)</f>
        <v>100</v>
      </c>
      <c r="L355" s="1">
        <f>IF('исходные данные'!L355&gt;'минимумы и максимумы'!J$3,100,('исходные данные'!L355-'минимумы и максимумы'!J$2)/('минимумы и максимумы'!J$3-'минимумы и максимумы'!J$2)*100)</f>
        <v>60</v>
      </c>
      <c r="M355" s="1">
        <f>IF('исходные данные'!M355&gt;'минимумы и максимумы'!K$3,100,('исходные данные'!M355-'минимумы и максимумы'!K$2)/('минимумы и максимумы'!K$3-'минимумы и максимумы'!K$2)*100)</f>
        <v>38.70967741935484</v>
      </c>
      <c r="N355" s="1">
        <f>IF('исходные данные'!N355&gt;'минимумы и максимумы'!L$3,100,('исходные данные'!N355-'минимумы и максимумы'!L$2)/('минимумы и максимумы'!L$3-'минимумы и максимумы'!L$2)*100)</f>
        <v>27.073032296468387</v>
      </c>
      <c r="O355" s="1">
        <f>IF('исходные данные'!O355&gt;'минимумы и максимумы'!M$3,100,('исходные данные'!O355-'минимумы и максимумы'!M$2)/('минимумы и максимумы'!M$3-'минимумы и максимумы'!M$2)*100)</f>
        <v>66.666666666666657</v>
      </c>
      <c r="P355" s="1">
        <f>IF('исходные данные'!P355&gt;'минимумы и максимумы'!N$3,100,('исходные данные'!P355-'минимумы и максимумы'!N$2)/('минимумы и максимумы'!N$3-'минимумы и максимумы'!N$2)*100)</f>
        <v>0</v>
      </c>
      <c r="Q355" s="1">
        <f>IF('исходные данные'!Q355&gt;'минимумы и максимумы'!O$3,100,('исходные данные'!Q355-'минимумы и максимумы'!O$2)/('минимумы и максимумы'!O$3-'минимумы и максимумы'!O$2)*100)</f>
        <v>0</v>
      </c>
      <c r="R355" s="1">
        <f>IF('исходные данные'!R355&gt;'минимумы и максимумы'!P$3,100,('исходные данные'!R355-'минимумы и максимумы'!P$2)/('минимумы и максимумы'!P$3-'минимумы и максимумы'!P$2)*100)</f>
        <v>75</v>
      </c>
      <c r="S355" s="1">
        <f>IF('исходные данные'!S355&gt;'минимумы и максимумы'!Q$3,100,('исходные данные'!S355-'минимумы и максимумы'!Q$2)/('минимумы и максимумы'!Q$3-'минимумы и максимумы'!Q$2)*100)</f>
        <v>33.333333333333329</v>
      </c>
      <c r="T355" s="1">
        <f>IF('исходные данные'!T355&gt;'минимумы и максимумы'!R$3,100,('исходные данные'!T355-'минимумы и максимумы'!R$2)/('минимумы и максимумы'!R$3-'минимумы и максимумы'!R$2)*100)</f>
        <v>7.9190497140343155</v>
      </c>
      <c r="U355" s="1">
        <f>IF('исходные данные'!U355&gt;'минимумы и максимумы'!S$3,100,('исходные данные'!U355-'минимумы и максимумы'!S$2)/('минимумы и максимумы'!S$3-'минимумы и максимумы'!S$2)*100)</f>
        <v>0</v>
      </c>
    </row>
    <row r="356" spans="1:21" x14ac:dyDescent="0.45">
      <c r="A356" s="4">
        <v>468</v>
      </c>
      <c r="B356" s="4">
        <v>0</v>
      </c>
      <c r="C356" s="4">
        <v>1</v>
      </c>
      <c r="D356" s="1">
        <f>IF('исходные данные'!D356&gt;'минимумы и максимумы'!B$3,100,('исходные данные'!D356-'минимумы и максимумы'!B$2)/('минимумы и максимумы'!B$3-'минимумы и максимумы'!B$2)*100)</f>
        <v>0</v>
      </c>
      <c r="E356" s="1">
        <f>IF('исходные данные'!E356&gt;'минимумы и максимумы'!C$3,100,('исходные данные'!E356-'минимумы и максимумы'!C$2)/('минимумы и максимумы'!C$3-'минимумы и максимумы'!C$2)*100)</f>
        <v>0</v>
      </c>
      <c r="F356" s="1">
        <f>IF('исходные данные'!F356&gt;'минимумы и максимумы'!D$3,100,('исходные данные'!F356-'минимумы и максимумы'!D$2)/('минимумы и максимумы'!D$3-'минимумы и максимумы'!D$2)*100)</f>
        <v>0</v>
      </c>
      <c r="G356" s="1">
        <f>IF('исходные данные'!G356&gt;'минимумы и максимумы'!E$3,100,('исходные данные'!G356-'минимумы и максимумы'!E$2)/('минимумы и максимумы'!E$3-'минимумы и максимумы'!E$2)*100)</f>
        <v>0</v>
      </c>
      <c r="H356" s="1">
        <f>IF('исходные данные'!H356&gt;'минимумы и максимумы'!F$3,100,('исходные данные'!H356-'минимумы и максимумы'!F$2)/('минимумы и максимумы'!F$3-'минимумы и максимумы'!F$2)*100)</f>
        <v>0</v>
      </c>
      <c r="I356" s="1">
        <f>IF('исходные данные'!I356&gt;'минимумы и максимумы'!G$3,100,('исходные данные'!I356-'минимумы и максимумы'!G$2)/('минимумы и максимумы'!G$3-'минимумы и максимумы'!G$2)*100)</f>
        <v>3.7735849056603774</v>
      </c>
      <c r="J356" s="1">
        <f>IF('исходные данные'!J356&gt;'минимумы и максимумы'!H$3,100,('исходные данные'!J356-'минимумы и максимумы'!H$2)/('минимумы и максимумы'!H$3-'минимумы и максимумы'!H$2)*100)</f>
        <v>0</v>
      </c>
      <c r="K356" s="1">
        <f>IF('исходные данные'!K356&gt;'минимумы и максимумы'!I$3,100,('исходные данные'!K356-'минимумы и максимумы'!I$2)/('минимумы и максимумы'!I$3-'минимумы и максимумы'!I$2)*100)</f>
        <v>0</v>
      </c>
      <c r="L356" s="1">
        <f>IF('исходные данные'!L356&gt;'минимумы и максимумы'!J$3,100,('исходные данные'!L356-'минимумы и максимумы'!J$2)/('минимумы и максимумы'!J$3-'минимумы и максимумы'!J$2)*100)</f>
        <v>0</v>
      </c>
      <c r="M356" s="1">
        <f>IF('исходные данные'!M356&gt;'минимумы и максимумы'!K$3,100,('исходные данные'!M356-'минимумы и максимумы'!K$2)/('минимумы и максимумы'!K$3-'минимумы и максимумы'!K$2)*100)</f>
        <v>3.225806451612903</v>
      </c>
      <c r="N356" s="1">
        <f>IF('исходные данные'!N356&gt;'минимумы и максимумы'!L$3,100,('исходные данные'!N356-'минимумы и максимумы'!L$2)/('минимумы и максимумы'!L$3-'минимумы и максимумы'!L$2)*100)</f>
        <v>26.242456899848836</v>
      </c>
      <c r="O356" s="1">
        <f>IF('исходные данные'!O356&gt;'минимумы и максимумы'!M$3,100,('исходные данные'!O356-'минимумы и максимумы'!M$2)/('минимумы и максимумы'!M$3-'минимумы и максимумы'!M$2)*100)</f>
        <v>0</v>
      </c>
      <c r="P356" s="1">
        <f>IF('исходные данные'!P356&gt;'минимумы и максимумы'!N$3,100,('исходные данные'!P356-'минимумы и максимумы'!N$2)/('минимумы и максимумы'!N$3-'минимумы и максимумы'!N$2)*100)</f>
        <v>0</v>
      </c>
      <c r="Q356" s="1">
        <f>IF('исходные данные'!Q356&gt;'минимумы и максимумы'!O$3,100,('исходные данные'!Q356-'минимумы и максимумы'!O$2)/('минимумы и максимумы'!O$3-'минимумы и максимумы'!O$2)*100)</f>
        <v>0</v>
      </c>
      <c r="R356" s="1">
        <f>IF('исходные данные'!R356&gt;'минимумы и максимумы'!P$3,100,('исходные данные'!R356-'минимумы и максимумы'!P$2)/('минимумы и максимумы'!P$3-'минимумы и максимумы'!P$2)*100)</f>
        <v>25</v>
      </c>
      <c r="S356" s="1">
        <f>IF('исходные данные'!S356&gt;'минимумы и максимумы'!Q$3,100,('исходные данные'!S356-'минимумы и максимумы'!Q$2)/('минимумы и максимумы'!Q$3-'минимумы и максимумы'!Q$2)*100)</f>
        <v>16.666666666666664</v>
      </c>
      <c r="T356" s="1">
        <f>IF('исходные данные'!T356&gt;'минимумы и максимумы'!R$3,100,('исходные данные'!T356-'минимумы и максимумы'!R$2)/('минимумы и максимумы'!R$3-'минимумы и максимумы'!R$2)*100)</f>
        <v>19.577650681918172</v>
      </c>
      <c r="U356" s="1">
        <f>IF('исходные данные'!U356&gt;'минимумы и максимумы'!S$3,100,('исходные данные'!U356-'минимумы и максимумы'!S$2)/('минимумы и максимумы'!S$3-'минимумы и максимумы'!S$2)*100)</f>
        <v>0</v>
      </c>
    </row>
    <row r="357" spans="1:21" x14ac:dyDescent="0.45">
      <c r="A357" s="4">
        <v>469</v>
      </c>
      <c r="B357" s="4">
        <v>0</v>
      </c>
      <c r="C357" s="4">
        <v>1</v>
      </c>
      <c r="D357" s="1">
        <f>IF('исходные данные'!D357&gt;'минимумы и максимумы'!B$3,100,('исходные данные'!D357-'минимумы и максимумы'!B$2)/('минимумы и максимумы'!B$3-'минимумы и максимумы'!B$2)*100)</f>
        <v>0</v>
      </c>
      <c r="E357" s="1">
        <f>IF('исходные данные'!E357&gt;'минимумы и максимумы'!C$3,100,('исходные данные'!E357-'минимумы и максимумы'!C$2)/('минимумы и максимумы'!C$3-'минимумы и максимумы'!C$2)*100)</f>
        <v>0</v>
      </c>
      <c r="F357" s="1">
        <f>IF('исходные данные'!F357&gt;'минимумы и максимумы'!D$3,100,('исходные данные'!F357-'минимумы и максимумы'!D$2)/('минимумы и максимумы'!D$3-'минимумы и максимумы'!D$2)*100)</f>
        <v>0</v>
      </c>
      <c r="G357" s="1">
        <f>IF('исходные данные'!G357&gt;'минимумы и максимумы'!E$3,100,('исходные данные'!G357-'минимумы и максимумы'!E$2)/('минимумы и максимумы'!E$3-'минимумы и максимумы'!E$2)*100)</f>
        <v>0</v>
      </c>
      <c r="H357" s="1">
        <f>IF('исходные данные'!H357&gt;'минимумы и максимумы'!F$3,100,('исходные данные'!H357-'минимумы и максимумы'!F$2)/('минимумы и максимумы'!F$3-'минимумы и максимумы'!F$2)*100)</f>
        <v>0</v>
      </c>
      <c r="I357" s="1">
        <f>IF('исходные данные'!I357&gt;'минимумы и максимумы'!G$3,100,('исходные данные'!I357-'минимумы и максимумы'!G$2)/('минимумы и максимумы'!G$3-'минимумы и максимумы'!G$2)*100)</f>
        <v>3.7735849056603774</v>
      </c>
      <c r="J357" s="1">
        <f>IF('исходные данные'!J357&gt;'минимумы и максимумы'!H$3,100,('исходные данные'!J357-'минимумы и максимумы'!H$2)/('минимумы и максимумы'!H$3-'минимумы и максимумы'!H$2)*100)</f>
        <v>0</v>
      </c>
      <c r="K357" s="1">
        <f>IF('исходные данные'!K357&gt;'минимумы и максимумы'!I$3,100,('исходные данные'!K357-'минимумы и максимумы'!I$2)/('минимумы и максимумы'!I$3-'минимумы и максимумы'!I$2)*100)</f>
        <v>0</v>
      </c>
      <c r="L357" s="1">
        <f>IF('исходные данные'!L357&gt;'минимумы и максимумы'!J$3,100,('исходные данные'!L357-'минимумы и максимумы'!J$2)/('минимумы и максимумы'!J$3-'минимумы и максимумы'!J$2)*100)</f>
        <v>0</v>
      </c>
      <c r="M357" s="1">
        <f>IF('исходные данные'!M357&gt;'минимумы и максимумы'!K$3,100,('исходные данные'!M357-'минимумы и максимумы'!K$2)/('минимумы и максимумы'!K$3-'минимумы и максимумы'!K$2)*100)</f>
        <v>3.225806451612903</v>
      </c>
      <c r="N357" s="1">
        <f>IF('исходные данные'!N357&gt;'минимумы и максимумы'!L$3,100,('исходные данные'!N357-'минимумы и максимумы'!L$2)/('минимумы и максимумы'!L$3-'минимумы и максимумы'!L$2)*100)</f>
        <v>25.924965986583793</v>
      </c>
      <c r="O357" s="1">
        <f>IF('исходные данные'!O357&gt;'минимумы и максимумы'!M$3,100,('исходные данные'!O357-'минимумы и максимумы'!M$2)/('минимумы и максимумы'!M$3-'минимумы и максимумы'!M$2)*100)</f>
        <v>0</v>
      </c>
      <c r="P357" s="1">
        <f>IF('исходные данные'!P357&gt;'минимумы и максимумы'!N$3,100,('исходные данные'!P357-'минимумы и максимумы'!N$2)/('минимумы и максимумы'!N$3-'минимумы и максимумы'!N$2)*100)</f>
        <v>0</v>
      </c>
      <c r="Q357" s="1">
        <f>IF('исходные данные'!Q357&gt;'минимумы и максимумы'!O$3,100,('исходные данные'!Q357-'минимумы и максимумы'!O$2)/('минимумы и максимумы'!O$3-'минимумы и максимумы'!O$2)*100)</f>
        <v>0</v>
      </c>
      <c r="R357" s="1">
        <f>IF('исходные данные'!R357&gt;'минимумы и максимумы'!P$3,100,('исходные данные'!R357-'минимумы и максимумы'!P$2)/('минимумы и максимумы'!P$3-'минимумы и максимумы'!P$2)*100)</f>
        <v>25</v>
      </c>
      <c r="S357" s="1">
        <f>IF('исходные данные'!S357&gt;'минимумы и максимумы'!Q$3,100,('исходные данные'!S357-'минимумы и максимумы'!Q$2)/('минимумы и максимумы'!Q$3-'минимумы и максимумы'!Q$2)*100)</f>
        <v>16.666666666666664</v>
      </c>
      <c r="T357" s="1">
        <f>IF('исходные данные'!T357&gt;'минимумы и максимумы'!R$3,100,('исходные данные'!T357-'минимумы и максимумы'!R$2)/('минимумы и максимумы'!R$3-'минимумы и максимумы'!R$2)*100)</f>
        <v>16.80598328200616</v>
      </c>
      <c r="U357" s="1">
        <f>IF('исходные данные'!U357&gt;'минимумы и максимумы'!S$3,100,('исходные данные'!U357-'минимумы и максимумы'!S$2)/('минимумы и максимумы'!S$3-'минимумы и максимумы'!S$2)*100)</f>
        <v>0</v>
      </c>
    </row>
    <row r="358" spans="1:21" x14ac:dyDescent="0.45">
      <c r="A358" s="4">
        <v>470</v>
      </c>
      <c r="B358" s="4">
        <v>0</v>
      </c>
      <c r="C358" s="4">
        <v>1</v>
      </c>
      <c r="D358" s="1">
        <f>IF('исходные данные'!D358&gt;'минимумы и максимумы'!B$3,100,('исходные данные'!D358-'минимумы и максимумы'!B$2)/('минимумы и максимумы'!B$3-'минимумы и максимумы'!B$2)*100)</f>
        <v>0</v>
      </c>
      <c r="E358" s="1">
        <f>IF('исходные данные'!E358&gt;'минимумы и максимумы'!C$3,100,('исходные данные'!E358-'минимумы и максимумы'!C$2)/('минимумы и максимумы'!C$3-'минимумы и максимумы'!C$2)*100)</f>
        <v>0</v>
      </c>
      <c r="F358" s="1">
        <f>IF('исходные данные'!F358&gt;'минимумы и максимумы'!D$3,100,('исходные данные'!F358-'минимумы и максимумы'!D$2)/('минимумы и максимумы'!D$3-'минимумы и максимумы'!D$2)*100)</f>
        <v>0</v>
      </c>
      <c r="G358" s="1">
        <f>IF('исходные данные'!G358&gt;'минимумы и максимумы'!E$3,100,('исходные данные'!G358-'минимумы и максимумы'!E$2)/('минимумы и максимумы'!E$3-'минимумы и максимумы'!E$2)*100)</f>
        <v>0</v>
      </c>
      <c r="H358" s="1">
        <f>IF('исходные данные'!H358&gt;'минимумы и максимумы'!F$3,100,('исходные данные'!H358-'минимумы и максимумы'!F$2)/('минимумы и максимумы'!F$3-'минимумы и максимумы'!F$2)*100)</f>
        <v>0</v>
      </c>
      <c r="I358" s="1">
        <f>IF('исходные данные'!I358&gt;'минимумы и максимумы'!G$3,100,('исходные данные'!I358-'минимумы и максимумы'!G$2)/('минимумы и максимумы'!G$3-'минимумы и максимумы'!G$2)*100)</f>
        <v>1.8867924528301887</v>
      </c>
      <c r="J358" s="1">
        <f>IF('исходные данные'!J358&gt;'минимумы и максимумы'!H$3,100,('исходные данные'!J358-'минимумы и максимумы'!H$2)/('минимумы и максимумы'!H$3-'минимумы и максимумы'!H$2)*100)</f>
        <v>0</v>
      </c>
      <c r="K358" s="1">
        <f>IF('исходные данные'!K358&gt;'минимумы и максимумы'!I$3,100,('исходные данные'!K358-'минимумы и максимумы'!I$2)/('минимумы и максимумы'!I$3-'минимумы и максимумы'!I$2)*100)</f>
        <v>0</v>
      </c>
      <c r="L358" s="1">
        <f>IF('исходные данные'!L358&gt;'минимумы и максимумы'!J$3,100,('исходные данные'!L358-'минимумы и максимумы'!J$2)/('минимумы и максимумы'!J$3-'минимумы и максимумы'!J$2)*100)</f>
        <v>0</v>
      </c>
      <c r="M358" s="1">
        <f>IF('исходные данные'!M358&gt;'минимумы и максимумы'!K$3,100,('исходные данные'!M358-'минимумы и максимумы'!K$2)/('минимумы и максимумы'!K$3-'минимумы и максимумы'!K$2)*100)</f>
        <v>6.4516129032258061</v>
      </c>
      <c r="N358" s="1">
        <f>IF('исходные данные'!N358&gt;'минимумы и максимумы'!L$3,100,('исходные данные'!N358-'минимумы и максимумы'!L$2)/('минимумы и максимумы'!L$3-'минимумы и максимумы'!L$2)*100)</f>
        <v>25.825719233093565</v>
      </c>
      <c r="O358" s="1">
        <f>IF('исходные данные'!O358&gt;'минимумы и максимумы'!M$3,100,('исходные данные'!O358-'минимумы и максимумы'!M$2)/('минимумы и максимумы'!M$3-'минимумы и максимумы'!M$2)*100)</f>
        <v>0</v>
      </c>
      <c r="P358" s="1">
        <f>IF('исходные данные'!P358&gt;'минимумы и максимумы'!N$3,100,('исходные данные'!P358-'минимумы и максимумы'!N$2)/('минимумы и максимумы'!N$3-'минимумы и максимумы'!N$2)*100)</f>
        <v>0</v>
      </c>
      <c r="Q358" s="1">
        <f>IF('исходные данные'!Q358&gt;'минимумы и максимумы'!O$3,100,('исходные данные'!Q358-'минимумы и максимумы'!O$2)/('минимумы и максимумы'!O$3-'минимумы и максимумы'!O$2)*100)</f>
        <v>0</v>
      </c>
      <c r="R358" s="1">
        <f>IF('исходные данные'!R358&gt;'минимумы и максимумы'!P$3,100,('исходные данные'!R358-'минимумы и максимумы'!P$2)/('минимумы и максимумы'!P$3-'минимумы и максимумы'!P$2)*100)</f>
        <v>25</v>
      </c>
      <c r="S358" s="1">
        <f>IF('исходные данные'!S358&gt;'минимумы и максимумы'!Q$3,100,('исходные данные'!S358-'минимумы и максимумы'!Q$2)/('минимумы и максимумы'!Q$3-'минимумы и максимумы'!Q$2)*100)</f>
        <v>16.666666666666664</v>
      </c>
      <c r="T358" s="1">
        <f>IF('исходные данные'!T358&gt;'минимумы и максимумы'!R$3,100,('исходные данные'!T358-'минимумы и максимумы'!R$2)/('минимумы и максимумы'!R$3-'минимумы и максимумы'!R$2)*100)</f>
        <v>6.0272767267927847</v>
      </c>
      <c r="U358" s="1">
        <f>IF('исходные данные'!U358&gt;'минимумы и максимумы'!S$3,100,('исходные данные'!U358-'минимумы и максимумы'!S$2)/('минимумы и максимумы'!S$3-'минимумы и максимумы'!S$2)*100)</f>
        <v>0</v>
      </c>
    </row>
    <row r="359" spans="1:21" x14ac:dyDescent="0.45">
      <c r="A359" s="4">
        <v>471</v>
      </c>
      <c r="B359" s="4">
        <v>0</v>
      </c>
      <c r="C359" s="4">
        <v>1</v>
      </c>
      <c r="D359" s="1">
        <f>IF('исходные данные'!D359&gt;'минимумы и максимумы'!B$3,100,('исходные данные'!D359-'минимумы и максимумы'!B$2)/('минимумы и максимумы'!B$3-'минимумы и максимумы'!B$2)*100)</f>
        <v>0</v>
      </c>
      <c r="E359" s="1">
        <f>IF('исходные данные'!E359&gt;'минимумы и максимумы'!C$3,100,('исходные данные'!E359-'минимумы и максимумы'!C$2)/('минимумы и максимумы'!C$3-'минимумы и максимумы'!C$2)*100)</f>
        <v>0</v>
      </c>
      <c r="F359" s="1">
        <f>IF('исходные данные'!F359&gt;'минимумы и максимумы'!D$3,100,('исходные данные'!F359-'минимумы и максимумы'!D$2)/('минимумы и максимумы'!D$3-'минимумы и максимумы'!D$2)*100)</f>
        <v>0</v>
      </c>
      <c r="G359" s="1">
        <f>IF('исходные данные'!G359&gt;'минимумы и максимумы'!E$3,100,('исходные данные'!G359-'минимумы и максимумы'!E$2)/('минимумы и максимумы'!E$3-'минимумы и максимумы'!E$2)*100)</f>
        <v>0</v>
      </c>
      <c r="H359" s="1">
        <f>IF('исходные данные'!H359&gt;'минимумы и максимумы'!F$3,100,('исходные данные'!H359-'минимумы и максимумы'!F$2)/('минимумы и максимумы'!F$3-'минимумы и максимумы'!F$2)*100)</f>
        <v>0</v>
      </c>
      <c r="I359" s="1">
        <f>IF('исходные данные'!I359&gt;'минимумы и максимумы'!G$3,100,('исходные данные'!I359-'минимумы и максимумы'!G$2)/('минимумы и максимумы'!G$3-'минимумы и максимумы'!G$2)*100)</f>
        <v>5.6603773584905666</v>
      </c>
      <c r="J359" s="1">
        <f>IF('исходные данные'!J359&gt;'минимумы и максимумы'!H$3,100,('исходные данные'!J359-'минимумы и максимумы'!H$2)/('минимумы и максимумы'!H$3-'минимумы и максимумы'!H$2)*100)</f>
        <v>0</v>
      </c>
      <c r="K359" s="1">
        <f>IF('исходные данные'!K359&gt;'минимумы и максимумы'!I$3,100,('исходные данные'!K359-'минимумы и максимумы'!I$2)/('минимумы и максимумы'!I$3-'минимумы и максимумы'!I$2)*100)</f>
        <v>5.5555555555555554</v>
      </c>
      <c r="L359" s="1">
        <f>IF('исходные данные'!L359&gt;'минимумы и максимумы'!J$3,100,('исходные данные'!L359-'минимумы и максимумы'!J$2)/('минимумы и максимумы'!J$3-'минимумы и максимумы'!J$2)*100)</f>
        <v>0</v>
      </c>
      <c r="M359" s="1">
        <f>IF('исходные данные'!M359&gt;'минимумы и максимумы'!K$3,100,('исходные данные'!M359-'минимумы и максимумы'!K$2)/('минимумы и максимумы'!K$3-'минимумы и максимумы'!K$2)*100)</f>
        <v>6.4516129032258061</v>
      </c>
      <c r="N359" s="1">
        <f>IF('исходные данные'!N359&gt;'минимумы и максимумы'!L$3,100,('исходные данные'!N359-'минимумы и максимумы'!L$2)/('минимумы и максимумы'!L$3-'минимумы и максимумы'!L$2)*100)</f>
        <v>26.456144715811426</v>
      </c>
      <c r="O359" s="1">
        <f>IF('исходные данные'!O359&gt;'минимумы и максимумы'!M$3,100,('исходные данные'!O359-'минимумы и максимумы'!M$2)/('минимумы и максимумы'!M$3-'минимумы и максимумы'!M$2)*100)</f>
        <v>0</v>
      </c>
      <c r="P359" s="1">
        <f>IF('исходные данные'!P359&gt;'минимумы и максимумы'!N$3,100,('исходные данные'!P359-'минимумы и максимумы'!N$2)/('минимумы и максимумы'!N$3-'минимумы и максимумы'!N$2)*100)</f>
        <v>0</v>
      </c>
      <c r="Q359" s="1">
        <f>IF('исходные данные'!Q359&gt;'минимумы и максимумы'!O$3,100,('исходные данные'!Q359-'минимумы и максимумы'!O$2)/('минимумы и максимумы'!O$3-'минимумы и максимумы'!O$2)*100)</f>
        <v>0</v>
      </c>
      <c r="R359" s="1">
        <f>IF('исходные данные'!R359&gt;'минимумы и максимумы'!P$3,100,('исходные данные'!R359-'минимумы и максимумы'!P$2)/('минимумы и максимумы'!P$3-'минимумы и максимумы'!P$2)*100)</f>
        <v>25</v>
      </c>
      <c r="S359" s="1">
        <f>IF('исходные данные'!S359&gt;'минимумы и максимумы'!Q$3,100,('исходные данные'!S359-'минимумы и максимумы'!Q$2)/('минимумы и максимумы'!Q$3-'минимумы и максимумы'!Q$2)*100)</f>
        <v>16.666666666666664</v>
      </c>
      <c r="T359" s="1">
        <f>IF('исходные данные'!T359&gt;'минимумы и максимумы'!R$3,100,('исходные данные'!T359-'минимумы и максимумы'!R$2)/('минимумы и максимумы'!R$3-'минимумы и максимумы'!R$2)*100)</f>
        <v>30.444346678398592</v>
      </c>
      <c r="U359" s="1">
        <f>IF('исходные данные'!U359&gt;'минимумы и максимумы'!S$3,100,('исходные данные'!U359-'минимумы и максимумы'!S$2)/('минимумы и максимумы'!S$3-'минимумы и максимумы'!S$2)*100)</f>
        <v>0</v>
      </c>
    </row>
    <row r="360" spans="1:21" x14ac:dyDescent="0.45">
      <c r="A360" s="4">
        <v>472</v>
      </c>
      <c r="B360" s="4">
        <v>0</v>
      </c>
      <c r="C360" s="4">
        <v>1</v>
      </c>
      <c r="D360" s="1">
        <f>IF('исходные данные'!D360&gt;'минимумы и максимумы'!B$3,100,('исходные данные'!D360-'минимумы и максимумы'!B$2)/('минимумы и максимумы'!B$3-'минимумы и максимумы'!B$2)*100)</f>
        <v>0</v>
      </c>
      <c r="E360" s="1">
        <f>IF('исходные данные'!E360&gt;'минимумы и максимумы'!C$3,100,('исходные данные'!E360-'минимумы и максимумы'!C$2)/('минимумы и максимумы'!C$3-'минимумы и максимумы'!C$2)*100)</f>
        <v>0</v>
      </c>
      <c r="F360" s="1">
        <f>IF('исходные данные'!F360&gt;'минимумы и максимумы'!D$3,100,('исходные данные'!F360-'минимумы и максимумы'!D$2)/('минимумы и максимумы'!D$3-'минимумы и максимумы'!D$2)*100)</f>
        <v>0</v>
      </c>
      <c r="G360" s="1">
        <f>IF('исходные данные'!G360&gt;'минимумы и максимумы'!E$3,100,('исходные данные'!G360-'минимумы и максимумы'!E$2)/('минимумы и максимумы'!E$3-'минимумы и максимумы'!E$2)*100)</f>
        <v>0</v>
      </c>
      <c r="H360" s="1">
        <f>IF('исходные данные'!H360&gt;'минимумы и максимумы'!F$3,100,('исходные данные'!H360-'минимумы и максимумы'!F$2)/('минимумы и максимумы'!F$3-'минимумы и максимумы'!F$2)*100)</f>
        <v>0</v>
      </c>
      <c r="I360" s="1">
        <f>IF('исходные данные'!I360&gt;'минимумы и максимумы'!G$3,100,('исходные данные'!I360-'минимумы и максимумы'!G$2)/('минимумы и максимумы'!G$3-'минимумы и максимумы'!G$2)*100)</f>
        <v>3.7735849056603774</v>
      </c>
      <c r="J360" s="1">
        <f>IF('исходные данные'!J360&gt;'минимумы и максимумы'!H$3,100,('исходные данные'!J360-'минимумы и максимумы'!H$2)/('минимумы и максимумы'!H$3-'минимумы и максимумы'!H$2)*100)</f>
        <v>0</v>
      </c>
      <c r="K360" s="1">
        <f>IF('исходные данные'!K360&gt;'минимумы и максимумы'!I$3,100,('исходные данные'!K360-'минимумы и максимумы'!I$2)/('минимумы и максимумы'!I$3-'минимумы и максимумы'!I$2)*100)</f>
        <v>5.5555555555555554</v>
      </c>
      <c r="L360" s="1">
        <f>IF('исходные данные'!L360&gt;'минимумы и максимумы'!J$3,100,('исходные данные'!L360-'минимумы и максимумы'!J$2)/('минимумы и максимумы'!J$3-'минимумы и максимумы'!J$2)*100)</f>
        <v>0</v>
      </c>
      <c r="M360" s="1">
        <f>IF('исходные данные'!M360&gt;'минимумы и максимумы'!K$3,100,('исходные данные'!M360-'минимумы и максимумы'!K$2)/('минимумы и максимумы'!K$3-'минимумы и максимумы'!K$2)*100)</f>
        <v>6.4516129032258061</v>
      </c>
      <c r="N360" s="1">
        <f>IF('исходные данные'!N360&gt;'минимумы и максимумы'!L$3,100,('исходные данные'!N360-'минимумы и максимумы'!L$2)/('минимумы и максимумы'!L$3-'минимумы и максимумы'!L$2)*100)</f>
        <v>26.081688376522621</v>
      </c>
      <c r="O360" s="1">
        <f>IF('исходные данные'!O360&gt;'минимумы и максимумы'!M$3,100,('исходные данные'!O360-'минимумы и максимумы'!M$2)/('минимумы и максимумы'!M$3-'минимумы и максимумы'!M$2)*100)</f>
        <v>0</v>
      </c>
      <c r="P360" s="1">
        <f>IF('исходные данные'!P360&gt;'минимумы и максимумы'!N$3,100,('исходные данные'!P360-'минимумы и максимумы'!N$2)/('минимумы и максимумы'!N$3-'минимумы и максимумы'!N$2)*100)</f>
        <v>0</v>
      </c>
      <c r="Q360" s="1">
        <f>IF('исходные данные'!Q360&gt;'минимумы и максимумы'!O$3,100,('исходные данные'!Q360-'минимумы и максимумы'!O$2)/('минимумы и максимумы'!O$3-'минимумы и максимумы'!O$2)*100)</f>
        <v>0</v>
      </c>
      <c r="R360" s="1">
        <f>IF('исходные данные'!R360&gt;'минимумы и максимумы'!P$3,100,('исходные данные'!R360-'минимумы и максимумы'!P$2)/('минимумы и максимумы'!P$3-'минимумы и максимумы'!P$2)*100)</f>
        <v>25</v>
      </c>
      <c r="S360" s="1">
        <f>IF('исходные данные'!S360&gt;'минимумы и максимумы'!Q$3,100,('исходные данные'!S360-'минимумы и максимумы'!Q$2)/('минимумы и максимумы'!Q$3-'минимумы и максимумы'!Q$2)*100)</f>
        <v>16.666666666666664</v>
      </c>
      <c r="T360" s="1">
        <f>IF('исходные данные'!T360&gt;'минимумы и максимумы'!R$3,100,('исходные данные'!T360-'минимумы и максимумы'!R$2)/('минимумы и максимумы'!R$3-'минимумы и максимумы'!R$2)*100)</f>
        <v>47.822261328640565</v>
      </c>
      <c r="U360" s="1">
        <f>IF('исходные данные'!U360&gt;'минимумы и максимумы'!S$3,100,('исходные данные'!U360-'минимумы и максимумы'!S$2)/('минимумы и максимумы'!S$3-'минимумы и максимумы'!S$2)*100)</f>
        <v>0</v>
      </c>
    </row>
    <row r="361" spans="1:21" x14ac:dyDescent="0.45">
      <c r="A361" s="4">
        <v>473</v>
      </c>
      <c r="B361" s="4">
        <v>0</v>
      </c>
      <c r="C361" s="4">
        <v>1</v>
      </c>
      <c r="D361" s="1">
        <f>IF('исходные данные'!D361&gt;'минимумы и максимумы'!B$3,100,('исходные данные'!D361-'минимумы и максимумы'!B$2)/('минимумы и максимумы'!B$3-'минимумы и максимумы'!B$2)*100)</f>
        <v>0</v>
      </c>
      <c r="E361" s="1">
        <f>IF('исходные данные'!E361&gt;'минимумы и максимумы'!C$3,100,('исходные данные'!E361-'минимумы и максимумы'!C$2)/('минимумы и максимумы'!C$3-'минимумы и максимумы'!C$2)*100)</f>
        <v>0</v>
      </c>
      <c r="F361" s="1">
        <f>IF('исходные данные'!F361&gt;'минимумы и максимумы'!D$3,100,('исходные данные'!F361-'минимумы и максимумы'!D$2)/('минимумы и максимумы'!D$3-'минимумы и максимумы'!D$2)*100)</f>
        <v>0</v>
      </c>
      <c r="G361" s="1">
        <f>IF('исходные данные'!G361&gt;'минимумы и максимумы'!E$3,100,('исходные данные'!G361-'минимумы и максимумы'!E$2)/('минимумы и максимумы'!E$3-'минимумы и максимумы'!E$2)*100)</f>
        <v>0</v>
      </c>
      <c r="H361" s="1">
        <f>IF('исходные данные'!H361&gt;'минимумы и максимумы'!F$3,100,('исходные данные'!H361-'минимумы и максимумы'!F$2)/('минимумы и максимумы'!F$3-'минимумы и максимумы'!F$2)*100)</f>
        <v>0</v>
      </c>
      <c r="I361" s="1">
        <f>IF('исходные данные'!I361&gt;'минимумы и максимумы'!G$3,100,('исходные данные'!I361-'минимумы и максимумы'!G$2)/('минимумы и максимумы'!G$3-'минимумы и максимумы'!G$2)*100)</f>
        <v>3.7735849056603774</v>
      </c>
      <c r="J361" s="1">
        <f>IF('исходные данные'!J361&gt;'минимумы и максимумы'!H$3,100,('исходные данные'!J361-'минимумы и максимумы'!H$2)/('минимумы и максимумы'!H$3-'минимумы и максимумы'!H$2)*100)</f>
        <v>0</v>
      </c>
      <c r="K361" s="1">
        <f>IF('исходные данные'!K361&gt;'минимумы и максимумы'!I$3,100,('исходные данные'!K361-'минимумы и максимумы'!I$2)/('минимумы и максимумы'!I$3-'минимумы и максимумы'!I$2)*100)</f>
        <v>5.5555555555555554</v>
      </c>
      <c r="L361" s="1">
        <f>IF('исходные данные'!L361&gt;'минимумы и максимумы'!J$3,100,('исходные данные'!L361-'минимумы и максимумы'!J$2)/('минимумы и максимумы'!J$3-'минимумы и максимумы'!J$2)*100)</f>
        <v>0</v>
      </c>
      <c r="M361" s="1">
        <f>IF('исходные данные'!M361&gt;'минимумы и максимумы'!K$3,100,('исходные данные'!M361-'минимумы и максимумы'!K$2)/('минимумы и максимумы'!K$3-'минимумы и максимумы'!K$2)*100)</f>
        <v>6.4516129032258061</v>
      </c>
      <c r="N361" s="1">
        <f>IF('исходные данные'!N361&gt;'минимумы и максимумы'!L$3,100,('исходные данные'!N361-'минимумы и максимумы'!L$2)/('минимумы и максимумы'!L$3-'минимумы и максимумы'!L$2)*100)</f>
        <v>26.081688376522621</v>
      </c>
      <c r="O361" s="1">
        <f>IF('исходные данные'!O361&gt;'минимумы и максимумы'!M$3,100,('исходные данные'!O361-'минимумы и максимумы'!M$2)/('минимумы и максимумы'!M$3-'минимумы и максимумы'!M$2)*100)</f>
        <v>0</v>
      </c>
      <c r="P361" s="1">
        <f>IF('исходные данные'!P361&gt;'минимумы и максимумы'!N$3,100,('исходные данные'!P361-'минимумы и максимумы'!N$2)/('минимумы и максимумы'!N$3-'минимумы и максимумы'!N$2)*100)</f>
        <v>0</v>
      </c>
      <c r="Q361" s="1">
        <f>IF('исходные данные'!Q361&gt;'минимумы и максимумы'!O$3,100,('исходные данные'!Q361-'минимумы и максимумы'!O$2)/('минимумы и максимумы'!O$3-'минимумы и максимумы'!O$2)*100)</f>
        <v>0</v>
      </c>
      <c r="R361" s="1">
        <f>IF('исходные данные'!R361&gt;'минимумы и максимумы'!P$3,100,('исходные данные'!R361-'минимумы и максимумы'!P$2)/('минимумы и максимумы'!P$3-'минимумы и максимумы'!P$2)*100)</f>
        <v>25</v>
      </c>
      <c r="S361" s="1">
        <f>IF('исходные данные'!S361&gt;'минимумы и максимумы'!Q$3,100,('исходные данные'!S361-'минимумы и максимумы'!Q$2)/('минимумы и максимумы'!Q$3-'минимумы и максимумы'!Q$2)*100)</f>
        <v>16.666666666666664</v>
      </c>
      <c r="T361" s="1">
        <f>IF('исходные данные'!T361&gt;'минимумы и максимумы'!R$3,100,('исходные данные'!T361-'минимумы и максимумы'!R$2)/('минимумы и максимумы'!R$3-'минимумы и максимумы'!R$2)*100)</f>
        <v>26.968763748350199</v>
      </c>
      <c r="U361" s="1">
        <f>IF('исходные данные'!U361&gt;'минимумы и максимумы'!S$3,100,('исходные данные'!U361-'минимумы и максимумы'!S$2)/('минимумы и максимумы'!S$3-'минимумы и максимумы'!S$2)*100)</f>
        <v>0</v>
      </c>
    </row>
    <row r="362" spans="1:21" x14ac:dyDescent="0.45">
      <c r="A362" s="4">
        <v>474</v>
      </c>
      <c r="B362" s="4">
        <v>0</v>
      </c>
      <c r="C362" s="4">
        <v>0</v>
      </c>
      <c r="D362" s="1">
        <f>IF('исходные данные'!D362&gt;'минимумы и максимумы'!B$3,100,('исходные данные'!D362-'минимумы и максимумы'!B$2)/('минимумы и максимумы'!B$3-'минимумы и максимумы'!B$2)*100)</f>
        <v>60</v>
      </c>
      <c r="E362" s="1">
        <f>IF('исходные данные'!E362&gt;'минимумы и максимумы'!C$3,100,('исходные данные'!E362-'минимумы и максимумы'!C$2)/('минимумы и максимумы'!C$3-'минимумы и максимумы'!C$2)*100)</f>
        <v>80</v>
      </c>
      <c r="F362" s="1">
        <f>IF('исходные данные'!F362&gt;'минимумы и максимумы'!D$3,100,('исходные данные'!F362-'минимумы и максимумы'!D$2)/('минимумы и максимумы'!D$3-'минимумы и максимумы'!D$2)*100)</f>
        <v>66.666666666666657</v>
      </c>
      <c r="G362" s="1">
        <f>IF('исходные данные'!G362&gt;'минимумы и максимумы'!E$3,100,('исходные данные'!G362-'минимумы и максимумы'!E$2)/('минимумы и максимумы'!E$3-'минимумы и максимумы'!E$2)*100)</f>
        <v>33.333333333333329</v>
      </c>
      <c r="H362" s="1">
        <f>IF('исходные данные'!H362&gt;'минимумы и максимумы'!F$3,100,('исходные данные'!H362-'минимумы и максимумы'!F$2)/('минимумы и максимумы'!F$3-'минимумы и максимумы'!F$2)*100)</f>
        <v>60</v>
      </c>
      <c r="I362" s="1">
        <f>IF('исходные данные'!I362&gt;'минимумы и максимумы'!G$3,100,('исходные данные'!I362-'минимумы и максимумы'!G$2)/('минимумы и максимумы'!G$3-'минимумы и максимумы'!G$2)*100)</f>
        <v>94.339622641509436</v>
      </c>
      <c r="J362" s="1">
        <f>IF('исходные данные'!J362&gt;'минимумы и максимумы'!H$3,100,('исходные данные'!J362-'минимумы и максимумы'!H$2)/('минимумы и максимумы'!H$3-'минимумы и максимумы'!H$2)*100)</f>
        <v>13.333333333333334</v>
      </c>
      <c r="K362" s="1">
        <f>IF('исходные данные'!K362&gt;'минимумы и максимумы'!I$3,100,('исходные данные'!K362-'минимумы и максимумы'!I$2)/('минимумы и максимумы'!I$3-'минимумы и максимумы'!I$2)*100)</f>
        <v>33.333333333333329</v>
      </c>
      <c r="L362" s="1">
        <f>IF('исходные данные'!L362&gt;'минимумы и максимумы'!J$3,100,('исходные данные'!L362-'минимумы и максимумы'!J$2)/('минимумы и максимумы'!J$3-'минимумы и максимумы'!J$2)*100)</f>
        <v>100</v>
      </c>
      <c r="M362" s="1">
        <f>IF('исходные данные'!M362&gt;'минимумы и максимумы'!K$3,100,('исходные данные'!M362-'минимумы и максимумы'!K$2)/('минимумы и максимумы'!K$3-'минимумы и максимумы'!K$2)*100)</f>
        <v>80.645161290322577</v>
      </c>
      <c r="N362" s="1">
        <f>IF('исходные данные'!N362&gt;'минимумы и максимумы'!L$3,100,('исходные данные'!N362-'минимумы и максимумы'!L$2)/('минимумы и максимумы'!L$3-'минимумы и максимумы'!L$2)*100)</f>
        <v>32.134259785390725</v>
      </c>
      <c r="O362" s="1">
        <f>IF('исходные данные'!O362&gt;'минимумы и максимумы'!M$3,100,('исходные данные'!O362-'минимумы и максимумы'!M$2)/('минимумы и максимумы'!M$3-'минимумы и максимумы'!M$2)*100)</f>
        <v>66.666666666666657</v>
      </c>
      <c r="P362" s="1">
        <f>IF('исходные данные'!P362&gt;'минимумы и максимумы'!N$3,100,('исходные данные'!P362-'минимумы и максимумы'!N$2)/('минимумы и максимумы'!N$3-'минимумы и максимумы'!N$2)*100)</f>
        <v>0</v>
      </c>
      <c r="Q362" s="1">
        <f>IF('исходные данные'!Q362&gt;'минимумы и максимумы'!O$3,100,('исходные данные'!Q362-'минимумы и максимумы'!O$2)/('минимумы и максимумы'!O$3-'минимумы и максимумы'!O$2)*100)</f>
        <v>100</v>
      </c>
      <c r="R362" s="1">
        <f>IF('исходные данные'!R362&gt;'минимумы и максимумы'!P$3,100,('исходные данные'!R362-'минимумы и максимумы'!P$2)/('минимумы и максимумы'!P$3-'минимумы и максимумы'!P$2)*100)</f>
        <v>100</v>
      </c>
      <c r="S362" s="1">
        <f>IF('исходные данные'!S362&gt;'минимумы и максимумы'!Q$3,100,('исходные данные'!S362-'минимумы и максимумы'!Q$2)/('минимумы и максимумы'!Q$3-'минимумы и максимумы'!Q$2)*100)</f>
        <v>83.333333333333343</v>
      </c>
      <c r="T362" s="1">
        <f>IF('исходные данные'!T362&gt;'минимумы и максимумы'!R$3,100,('исходные данные'!T362-'минимумы и максимумы'!R$2)/('минимумы и максимумы'!R$3-'минимумы и максимумы'!R$2)*100)</f>
        <v>16.981962164540253</v>
      </c>
      <c r="U362" s="1">
        <f>IF('исходные данные'!U362&gt;'минимумы и максимумы'!S$3,100,('исходные данные'!U362-'минимумы и максимумы'!S$2)/('минимумы и максимумы'!S$3-'минимумы и максимумы'!S$2)*100)</f>
        <v>0</v>
      </c>
    </row>
    <row r="363" spans="1:21" x14ac:dyDescent="0.45">
      <c r="A363" s="4">
        <v>475</v>
      </c>
      <c r="B363" s="4">
        <v>0</v>
      </c>
      <c r="C363" s="4">
        <v>0</v>
      </c>
      <c r="D363" s="1">
        <f>IF('исходные данные'!D363&gt;'минимумы и максимумы'!B$3,100,('исходные данные'!D363-'минимумы и максимумы'!B$2)/('минимумы и максимумы'!B$3-'минимумы и максимумы'!B$2)*100)</f>
        <v>40</v>
      </c>
      <c r="E363" s="1">
        <f>IF('исходные данные'!E363&gt;'минимумы и максимумы'!C$3,100,('исходные данные'!E363-'минимумы и максимумы'!C$2)/('минимумы и максимумы'!C$3-'минимумы и максимумы'!C$2)*100)</f>
        <v>100</v>
      </c>
      <c r="F363" s="1">
        <f>IF('исходные данные'!F363&gt;'минимумы и максимумы'!D$3,100,('исходные данные'!F363-'минимумы и максимумы'!D$2)/('минимумы и максимумы'!D$3-'минимумы и максимумы'!D$2)*100)</f>
        <v>0</v>
      </c>
      <c r="G363" s="1">
        <f>IF('исходные данные'!G363&gt;'минимумы и максимумы'!E$3,100,('исходные данные'!G363-'минимумы и максимумы'!E$2)/('минимумы и максимумы'!E$3-'минимумы и максимумы'!E$2)*100)</f>
        <v>100</v>
      </c>
      <c r="H363" s="1">
        <f>IF('исходные данные'!H363&gt;'минимумы и максимумы'!F$3,100,('исходные данные'!H363-'минимумы и максимумы'!F$2)/('минимумы и максимумы'!F$3-'минимумы и максимумы'!F$2)*100)</f>
        <v>100</v>
      </c>
      <c r="I363" s="1">
        <f>IF('исходные данные'!I363&gt;'минимумы и максимумы'!G$3,100,('исходные данные'!I363-'минимумы и максимумы'!G$2)/('минимумы и максимумы'!G$3-'минимумы и максимумы'!G$2)*100)</f>
        <v>52.830188679245282</v>
      </c>
      <c r="J363" s="1">
        <f>IF('исходные данные'!J363&gt;'минимумы и максимумы'!H$3,100,('исходные данные'!J363-'минимумы и максимумы'!H$2)/('минимумы и максимумы'!H$3-'минимумы и максимумы'!H$2)*100)</f>
        <v>20</v>
      </c>
      <c r="K363" s="1">
        <f>IF('исходные данные'!K363&gt;'минимумы и максимумы'!I$3,100,('исходные данные'!K363-'минимумы и максимумы'!I$2)/('минимумы и максимумы'!I$3-'минимумы и максимумы'!I$2)*100)</f>
        <v>16.666666666666664</v>
      </c>
      <c r="L363" s="1">
        <f>IF('исходные данные'!L363&gt;'минимумы и максимумы'!J$3,100,('исходные данные'!L363-'минимумы и максимумы'!J$2)/('минимумы и максимумы'!J$3-'минимумы и максимумы'!J$2)*100)</f>
        <v>80</v>
      </c>
      <c r="M363" s="1">
        <f>IF('исходные данные'!M363&gt;'минимумы и максимумы'!K$3,100,('исходные данные'!M363-'минимумы и максимумы'!K$2)/('минимумы и максимумы'!K$3-'минимумы и максимумы'!K$2)*100)</f>
        <v>22.58064516129032</v>
      </c>
      <c r="N363" s="1">
        <f>IF('исходные данные'!N363&gt;'минимумы и максимумы'!L$3,100,('исходные данные'!N363-'минимумы и максимумы'!L$2)/('минимумы и максимумы'!L$3-'минимумы и максимумы'!L$2)*100)</f>
        <v>19.703002409616584</v>
      </c>
      <c r="O363" s="1">
        <f>IF('исходные данные'!O363&gt;'минимумы и максимумы'!M$3,100,('исходные данные'!O363-'минимумы и максимумы'!M$2)/('минимумы и максимумы'!M$3-'минимумы и максимумы'!M$2)*100)</f>
        <v>33.333333333333329</v>
      </c>
      <c r="P363" s="1">
        <f>IF('исходные данные'!P363&gt;'минимумы и максимумы'!N$3,100,('исходные данные'!P363-'минимумы и максимумы'!N$2)/('минимумы и максимумы'!N$3-'минимумы и максимумы'!N$2)*100)</f>
        <v>0</v>
      </c>
      <c r="Q363" s="1">
        <f>IF('исходные данные'!Q363&gt;'минимумы и максимумы'!O$3,100,('исходные данные'!Q363-'минимумы и максимумы'!O$2)/('минимумы и максимумы'!O$3-'минимумы и максимумы'!O$2)*100)</f>
        <v>100</v>
      </c>
      <c r="R363" s="1">
        <f>IF('исходные данные'!R363&gt;'минимумы и максимумы'!P$3,100,('исходные данные'!R363-'минимумы и максимумы'!P$2)/('минимумы и максимумы'!P$3-'минимумы и максимумы'!P$2)*100)</f>
        <v>100</v>
      </c>
      <c r="S363" s="1">
        <f>IF('исходные данные'!S363&gt;'минимумы и максимумы'!Q$3,100,('исходные данные'!S363-'минимумы и максимумы'!Q$2)/('минимумы и максимумы'!Q$3-'минимумы и максимумы'!Q$2)*100)</f>
        <v>16.666666666666664</v>
      </c>
      <c r="T363" s="1">
        <f>IF('исходные данные'!T363&gt;'минимумы и максимумы'!R$3,100,('исходные данные'!T363-'минимумы и максимумы'!R$2)/('минимумы и максимумы'!R$3-'минимумы и максимумы'!R$2)*100)</f>
        <v>23.009238891333041</v>
      </c>
      <c r="U363" s="1">
        <f>IF('исходные данные'!U363&gt;'минимумы и максимумы'!S$3,100,('исходные данные'!U363-'минимумы и максимумы'!S$2)/('минимумы и максимумы'!S$3-'минимумы и максимумы'!S$2)*100)</f>
        <v>0</v>
      </c>
    </row>
    <row r="364" spans="1:21" x14ac:dyDescent="0.45">
      <c r="A364" s="4">
        <v>476</v>
      </c>
      <c r="B364" s="4">
        <v>0</v>
      </c>
      <c r="C364" s="4">
        <v>1</v>
      </c>
      <c r="D364" s="1">
        <f>IF('исходные данные'!D364&gt;'минимумы и максимумы'!B$3,100,('исходные данные'!D364-'минимумы и максимумы'!B$2)/('минимумы и максимумы'!B$3-'минимумы и максимумы'!B$2)*100)</f>
        <v>40</v>
      </c>
      <c r="E364" s="1">
        <f>IF('исходные данные'!E364&gt;'минимумы и максимумы'!C$3,100,('исходные данные'!E364-'минимумы и максимумы'!C$2)/('минимумы и максимумы'!C$3-'минимумы и максимумы'!C$2)*100)</f>
        <v>100</v>
      </c>
      <c r="F364" s="1">
        <f>IF('исходные данные'!F364&gt;'минимумы и максимумы'!D$3,100,('исходные данные'!F364-'минимумы и максимумы'!D$2)/('минимумы и максимумы'!D$3-'минимумы и максимумы'!D$2)*100)</f>
        <v>0</v>
      </c>
      <c r="G364" s="1">
        <f>IF('исходные данные'!G364&gt;'минимумы и максимумы'!E$3,100,('исходные данные'!G364-'минимумы и максимумы'!E$2)/('минимумы и максимумы'!E$3-'минимумы и максимумы'!E$2)*100)</f>
        <v>100</v>
      </c>
      <c r="H364" s="1">
        <f>IF('исходные данные'!H364&gt;'минимумы и максимумы'!F$3,100,('исходные данные'!H364-'минимумы и максимумы'!F$2)/('минимумы и максимумы'!F$3-'минимумы и максимумы'!F$2)*100)</f>
        <v>100</v>
      </c>
      <c r="I364" s="1">
        <f>IF('исходные данные'!I364&gt;'минимумы и максимумы'!G$3,100,('исходные данные'!I364-'минимумы и максимумы'!G$2)/('минимумы и максимумы'!G$3-'минимумы и максимумы'!G$2)*100)</f>
        <v>52.830188679245282</v>
      </c>
      <c r="J364" s="1">
        <f>IF('исходные данные'!J364&gt;'минимумы и максимумы'!H$3,100,('исходные данные'!J364-'минимумы и максимумы'!H$2)/('минимумы и максимумы'!H$3-'минимумы и максимумы'!H$2)*100)</f>
        <v>20</v>
      </c>
      <c r="K364" s="1">
        <f>IF('исходные данные'!K364&gt;'минимумы и максимумы'!I$3,100,('исходные данные'!K364-'минимумы и максимумы'!I$2)/('минимумы и максимумы'!I$3-'минимумы и максимумы'!I$2)*100)</f>
        <v>16.666666666666664</v>
      </c>
      <c r="L364" s="1">
        <f>IF('исходные данные'!L364&gt;'минимумы и максимумы'!J$3,100,('исходные данные'!L364-'минимумы и максимумы'!J$2)/('минимумы и максимумы'!J$3-'минимумы и максимумы'!J$2)*100)</f>
        <v>80</v>
      </c>
      <c r="M364" s="1">
        <f>IF('исходные данные'!M364&gt;'минимумы и максимумы'!K$3,100,('исходные данные'!M364-'минимумы и максимумы'!K$2)/('минимумы и максимумы'!K$3-'минимумы и максимумы'!K$2)*100)</f>
        <v>22.58064516129032</v>
      </c>
      <c r="N364" s="1">
        <f>IF('исходные данные'!N364&gt;'минимумы и максимумы'!L$3,100,('исходные данные'!N364-'минимумы и максимумы'!L$2)/('минимумы и максимумы'!L$3-'минимумы и максимумы'!L$2)*100)</f>
        <v>19.899872652029789</v>
      </c>
      <c r="O364" s="1">
        <f>IF('исходные данные'!O364&gt;'минимумы и максимумы'!M$3,100,('исходные данные'!O364-'минимумы и максимумы'!M$2)/('минимумы и максимумы'!M$3-'минимумы и максимумы'!M$2)*100)</f>
        <v>33.333333333333329</v>
      </c>
      <c r="P364" s="1">
        <f>IF('исходные данные'!P364&gt;'минимумы и максимумы'!N$3,100,('исходные данные'!P364-'минимумы и максимумы'!N$2)/('минимумы и максимумы'!N$3-'минимумы и максимумы'!N$2)*100)</f>
        <v>0</v>
      </c>
      <c r="Q364" s="1">
        <f>IF('исходные данные'!Q364&gt;'минимумы и максимумы'!O$3,100,('исходные данные'!Q364-'минимумы и максимумы'!O$2)/('минимумы и максимумы'!O$3-'минимумы и максимумы'!O$2)*100)</f>
        <v>0</v>
      </c>
      <c r="R364" s="1">
        <f>IF('исходные данные'!R364&gt;'минимумы и максимумы'!P$3,100,('исходные данные'!R364-'минимумы и максимумы'!P$2)/('минимумы и максимумы'!P$3-'минимумы и максимумы'!P$2)*100)</f>
        <v>100</v>
      </c>
      <c r="S364" s="1">
        <f>IF('исходные данные'!S364&gt;'минимумы и максимумы'!Q$3,100,('исходные данные'!S364-'минимумы и максимумы'!Q$2)/('минимумы и максимумы'!Q$3-'минимумы и максимумы'!Q$2)*100)</f>
        <v>16.666666666666664</v>
      </c>
      <c r="T364" s="1">
        <f>IF('исходные данные'!T364&gt;'минимумы и максимумы'!R$3,100,('исходные данные'!T364-'минимумы и максимумы'!R$2)/('минимумы и максимумы'!R$3-'минимумы и максимумы'!R$2)*100)</f>
        <v>4.7954245490541139</v>
      </c>
      <c r="U364" s="1">
        <f>IF('исходные данные'!U364&gt;'минимумы и максимумы'!S$3,100,('исходные данные'!U364-'минимумы и максимумы'!S$2)/('минимумы и максимумы'!S$3-'минимумы и максимумы'!S$2)*100)</f>
        <v>33.333333333333329</v>
      </c>
    </row>
    <row r="365" spans="1:21" x14ac:dyDescent="0.45">
      <c r="A365" s="4">
        <v>477</v>
      </c>
      <c r="B365" s="4">
        <v>0</v>
      </c>
      <c r="C365" s="4">
        <v>0</v>
      </c>
      <c r="D365" s="1">
        <f>IF('исходные данные'!D365&gt;'минимумы и максимумы'!B$3,100,('исходные данные'!D365-'минимумы и максимумы'!B$2)/('минимумы и максимумы'!B$3-'минимумы и максимумы'!B$2)*100)</f>
        <v>40</v>
      </c>
      <c r="E365" s="1">
        <f>IF('исходные данные'!E365&gt;'минимумы и максимумы'!C$3,100,('исходные данные'!E365-'минимумы и максимумы'!C$2)/('минимумы и максимумы'!C$3-'минимумы и максимумы'!C$2)*100)</f>
        <v>100</v>
      </c>
      <c r="F365" s="1">
        <f>IF('исходные данные'!F365&gt;'минимумы и максимумы'!D$3,100,('исходные данные'!F365-'минимумы и максимумы'!D$2)/('минимумы и максимумы'!D$3-'минимумы и максимумы'!D$2)*100)</f>
        <v>0</v>
      </c>
      <c r="G365" s="1">
        <f>IF('исходные данные'!G365&gt;'минимумы и максимумы'!E$3,100,('исходные данные'!G365-'минимумы и максимумы'!E$2)/('минимумы и максимумы'!E$3-'минимумы и максимумы'!E$2)*100)</f>
        <v>100</v>
      </c>
      <c r="H365" s="1">
        <f>IF('исходные данные'!H365&gt;'минимумы и максимумы'!F$3,100,('исходные данные'!H365-'минимумы и максимумы'!F$2)/('минимумы и максимумы'!F$3-'минимумы и максимумы'!F$2)*100)</f>
        <v>100</v>
      </c>
      <c r="I365" s="1">
        <f>IF('исходные данные'!I365&gt;'минимумы и максимумы'!G$3,100,('исходные данные'!I365-'минимумы и максимумы'!G$2)/('минимумы и максимумы'!G$3-'минимумы и максимумы'!G$2)*100)</f>
        <v>52.830188679245282</v>
      </c>
      <c r="J365" s="1">
        <f>IF('исходные данные'!J365&gt;'минимумы и максимумы'!H$3,100,('исходные данные'!J365-'минимумы и максимумы'!H$2)/('минимумы и максимумы'!H$3-'минимумы и максимумы'!H$2)*100)</f>
        <v>20</v>
      </c>
      <c r="K365" s="1">
        <f>IF('исходные данные'!K365&gt;'минимумы и максимумы'!I$3,100,('исходные данные'!K365-'минимумы и максимумы'!I$2)/('минимумы и максимумы'!I$3-'минимумы и максимумы'!I$2)*100)</f>
        <v>16.666666666666664</v>
      </c>
      <c r="L365" s="1">
        <f>IF('исходные данные'!L365&gt;'минимумы и максимумы'!J$3,100,('исходные данные'!L365-'минимумы и максимумы'!J$2)/('минимумы и максимумы'!J$3-'минимумы и максимумы'!J$2)*100)</f>
        <v>80</v>
      </c>
      <c r="M365" s="1">
        <f>IF('исходные данные'!M365&gt;'минимумы и максимумы'!K$3,100,('исходные данные'!M365-'минимумы и максимумы'!K$2)/('минимумы и максимумы'!K$3-'минимумы и максимумы'!K$2)*100)</f>
        <v>22.58064516129032</v>
      </c>
      <c r="N365" s="1">
        <f>IF('исходные данные'!N365&gt;'минимумы и максимумы'!L$3,100,('исходные данные'!N365-'минимумы и максимумы'!L$2)/('минимумы и максимумы'!L$3-'минимумы и максимумы'!L$2)*100)</f>
        <v>19.899872652029789</v>
      </c>
      <c r="O365" s="1">
        <f>IF('исходные данные'!O365&gt;'минимумы и максимумы'!M$3,100,('исходные данные'!O365-'минимумы и максимумы'!M$2)/('минимумы и максимумы'!M$3-'минимумы и максимумы'!M$2)*100)</f>
        <v>33.333333333333329</v>
      </c>
      <c r="P365" s="1">
        <f>IF('исходные данные'!P365&gt;'минимумы и максимумы'!N$3,100,('исходные данные'!P365-'минимумы и максимумы'!N$2)/('минимумы и максимумы'!N$3-'минимумы и максимумы'!N$2)*100)</f>
        <v>0</v>
      </c>
      <c r="Q365" s="1">
        <f>IF('исходные данные'!Q365&gt;'минимумы и максимумы'!O$3,100,('исходные данные'!Q365-'минимумы и максимумы'!O$2)/('минимумы и максимумы'!O$3-'минимумы и максимумы'!O$2)*100)</f>
        <v>0</v>
      </c>
      <c r="R365" s="1">
        <f>IF('исходные данные'!R365&gt;'минимумы и максимумы'!P$3,100,('исходные данные'!R365-'минимумы и максимумы'!P$2)/('минимумы и максимумы'!P$3-'минимумы и максимумы'!P$2)*100)</f>
        <v>100</v>
      </c>
      <c r="S365" s="1">
        <f>IF('исходные данные'!S365&gt;'минимумы и максимумы'!Q$3,100,('исходные данные'!S365-'минимумы и максимумы'!Q$2)/('минимумы и максимумы'!Q$3-'минимумы и максимумы'!Q$2)*100)</f>
        <v>33.333333333333329</v>
      </c>
      <c r="T365" s="1">
        <f>IF('исходные данные'!T365&gt;'минимумы и максимумы'!R$3,100,('исходные данные'!T365-'минимумы и максимумы'!R$2)/('минимумы и максимумы'!R$3-'минимумы и максимумы'!R$2)*100)</f>
        <v>6.7751869775626927</v>
      </c>
      <c r="U365" s="1">
        <f>IF('исходные данные'!U365&gt;'минимумы и максимумы'!S$3,100,('исходные данные'!U365-'минимумы и максимумы'!S$2)/('минимумы и максимумы'!S$3-'минимумы и максимумы'!S$2)*100)</f>
        <v>0</v>
      </c>
    </row>
    <row r="366" spans="1:21" x14ac:dyDescent="0.45">
      <c r="A366" s="4">
        <v>478</v>
      </c>
      <c r="B366" s="4">
        <v>0</v>
      </c>
      <c r="C366" s="4">
        <v>0</v>
      </c>
      <c r="D366" s="1">
        <f>IF('исходные данные'!D366&gt;'минимумы и максимумы'!B$3,100,('исходные данные'!D366-'минимумы и максимумы'!B$2)/('минимумы и максимумы'!B$3-'минимумы и максимумы'!B$2)*100)</f>
        <v>0</v>
      </c>
      <c r="E366" s="1">
        <f>IF('исходные данные'!E366&gt;'минимумы и максимумы'!C$3,100,('исходные данные'!E366-'минимумы и максимумы'!C$2)/('минимумы и максимумы'!C$3-'минимумы и максимумы'!C$2)*100)</f>
        <v>0</v>
      </c>
      <c r="F366" s="1">
        <f>IF('исходные данные'!F366&gt;'минимумы и максимумы'!D$3,100,('исходные данные'!F366-'минимумы и максимумы'!D$2)/('минимумы и максимумы'!D$3-'минимумы и максимумы'!D$2)*100)</f>
        <v>0</v>
      </c>
      <c r="G366" s="1">
        <f>IF('исходные данные'!G366&gt;'минимумы и максимумы'!E$3,100,('исходные данные'!G366-'минимумы и максимумы'!E$2)/('минимумы и максимумы'!E$3-'минимумы и максимумы'!E$2)*100)</f>
        <v>0</v>
      </c>
      <c r="H366" s="1">
        <f>IF('исходные данные'!H366&gt;'минимумы и максимумы'!F$3,100,('исходные данные'!H366-'минимумы и максимумы'!F$2)/('минимумы и максимумы'!F$3-'минимумы и максимумы'!F$2)*100)</f>
        <v>0</v>
      </c>
      <c r="I366" s="1">
        <f>IF('исходные данные'!I366&gt;'минимумы и максимумы'!G$3,100,('исходные данные'!I366-'минимумы и максимумы'!G$2)/('минимумы и максимумы'!G$3-'минимумы и максимумы'!G$2)*100)</f>
        <v>1.8867924528301887</v>
      </c>
      <c r="J366" s="1">
        <f>IF('исходные данные'!J366&gt;'минимумы и максимумы'!H$3,100,('исходные данные'!J366-'минимумы и максимумы'!H$2)/('минимумы и максимумы'!H$3-'минимумы и максимумы'!H$2)*100)</f>
        <v>0</v>
      </c>
      <c r="K366" s="1">
        <f>IF('исходные данные'!K366&gt;'минимумы и максимумы'!I$3,100,('исходные данные'!K366-'минимумы и максимумы'!I$2)/('минимумы и максимумы'!I$3-'минимумы и максимумы'!I$2)*100)</f>
        <v>0</v>
      </c>
      <c r="L366" s="1">
        <f>IF('исходные данные'!L366&gt;'минимумы и максимумы'!J$3,100,('исходные данные'!L366-'минимумы и максимумы'!J$2)/('минимумы и максимумы'!J$3-'минимумы и максимумы'!J$2)*100)</f>
        <v>0</v>
      </c>
      <c r="M366" s="1">
        <f>IF('исходные данные'!M366&gt;'минимумы и максимумы'!K$3,100,('исходные данные'!M366-'минимумы и максимумы'!K$2)/('минимумы и максимумы'!K$3-'минимумы и максимумы'!K$2)*100)</f>
        <v>6.4516129032258061</v>
      </c>
      <c r="N366" s="1">
        <f>IF('исходные данные'!N366&gt;'минимумы и максимумы'!L$3,100,('исходные данные'!N366-'минимумы и максимумы'!L$2)/('минимумы и максимумы'!L$3-'минимумы и максимумы'!L$2)*100)</f>
        <v>29.544556735718508</v>
      </c>
      <c r="O366" s="1">
        <f>IF('исходные данные'!O366&gt;'минимумы и максимумы'!M$3,100,('исходные данные'!O366-'минимумы и максимумы'!M$2)/('минимумы и максимумы'!M$3-'минимумы и максимумы'!M$2)*100)</f>
        <v>33.333333333333329</v>
      </c>
      <c r="P366" s="1">
        <f>IF('исходные данные'!P366&gt;'минимумы и максимумы'!N$3,100,('исходные данные'!P366-'минимумы и максимумы'!N$2)/('минимумы и максимумы'!N$3-'минимумы и максимумы'!N$2)*100)</f>
        <v>0</v>
      </c>
      <c r="Q366" s="1">
        <f>IF('исходные данные'!Q366&gt;'минимумы и максимумы'!O$3,100,('исходные данные'!Q366-'минимумы и максимумы'!O$2)/('минимумы и максимумы'!O$3-'минимумы и максимумы'!O$2)*100)</f>
        <v>0</v>
      </c>
      <c r="R366" s="1">
        <f>IF('исходные данные'!R366&gt;'минимумы и максимумы'!P$3,100,('исходные данные'!R366-'минимумы и максимумы'!P$2)/('минимумы и максимумы'!P$3-'минимумы и максимумы'!P$2)*100)</f>
        <v>100</v>
      </c>
      <c r="S366" s="1">
        <f>IF('исходные данные'!S366&gt;'минимумы и максимумы'!Q$3,100,('исходные данные'!S366-'минимумы и максимумы'!Q$2)/('минимумы и максимумы'!Q$3-'минимумы и максимумы'!Q$2)*100)</f>
        <v>16.666666666666664</v>
      </c>
      <c r="T366" s="1">
        <f>IF('исходные данные'!T366&gt;'минимумы и максимумы'!R$3,100,('исходные данные'!T366-'минимумы и максимумы'!R$2)/('минимумы и максимумы'!R$3-'минимумы и максимумы'!R$2)*100)</f>
        <v>32.028156621205454</v>
      </c>
      <c r="U366" s="1">
        <f>IF('исходные данные'!U366&gt;'минимумы и максимумы'!S$3,100,('исходные данные'!U366-'минимумы и максимумы'!S$2)/('минимумы и максимумы'!S$3-'минимумы и максимумы'!S$2)*100)</f>
        <v>0</v>
      </c>
    </row>
    <row r="367" spans="1:21" x14ac:dyDescent="0.45">
      <c r="A367" s="4">
        <v>479</v>
      </c>
      <c r="B367" s="4">
        <v>0</v>
      </c>
      <c r="C367" s="4">
        <v>0</v>
      </c>
      <c r="D367" s="1">
        <f>IF('исходные данные'!D367&gt;'минимумы и максимумы'!B$3,100,('исходные данные'!D367-'минимумы и максимумы'!B$2)/('минимумы и максимумы'!B$3-'минимумы и максимумы'!B$2)*100)</f>
        <v>0</v>
      </c>
      <c r="E367" s="1">
        <f>IF('исходные данные'!E367&gt;'минимумы и максимумы'!C$3,100,('исходные данные'!E367-'минимумы и максимумы'!C$2)/('минимумы и максимумы'!C$3-'минимумы и максимумы'!C$2)*100)</f>
        <v>0</v>
      </c>
      <c r="F367" s="1">
        <f>IF('исходные данные'!F367&gt;'минимумы и максимумы'!D$3,100,('исходные данные'!F367-'минимумы и максимумы'!D$2)/('минимумы и максимумы'!D$3-'минимумы и максимумы'!D$2)*100)</f>
        <v>0</v>
      </c>
      <c r="G367" s="1">
        <f>IF('исходные данные'!G367&gt;'минимумы и максимумы'!E$3,100,('исходные данные'!G367-'минимумы и максимумы'!E$2)/('минимумы и максимумы'!E$3-'минимумы и максимумы'!E$2)*100)</f>
        <v>0</v>
      </c>
      <c r="H367" s="1">
        <f>IF('исходные данные'!H367&gt;'минимумы и максимумы'!F$3,100,('исходные данные'!H367-'минимумы и максимумы'!F$2)/('минимумы и максимумы'!F$3-'минимумы и максимумы'!F$2)*100)</f>
        <v>0</v>
      </c>
      <c r="I367" s="1">
        <f>IF('исходные данные'!I367&gt;'минимумы и максимумы'!G$3,100,('исходные данные'!I367-'минимумы и максимумы'!G$2)/('минимумы и максимумы'!G$3-'минимумы и максимумы'!G$2)*100)</f>
        <v>5.6603773584905666</v>
      </c>
      <c r="J367" s="1">
        <f>IF('исходные данные'!J367&gt;'минимумы и максимумы'!H$3,100,('исходные данные'!J367-'минимумы и максимумы'!H$2)/('минимумы и максимумы'!H$3-'минимумы и максимумы'!H$2)*100)</f>
        <v>0</v>
      </c>
      <c r="K367" s="1">
        <f>IF('исходные данные'!K367&gt;'минимумы и максимумы'!I$3,100,('исходные данные'!K367-'минимумы и максимумы'!I$2)/('минимумы и максимумы'!I$3-'минимумы и максимумы'!I$2)*100)</f>
        <v>5.5555555555555554</v>
      </c>
      <c r="L367" s="1">
        <f>IF('исходные данные'!L367&gt;'минимумы и максимумы'!J$3,100,('исходные данные'!L367-'минимумы и максимумы'!J$2)/('минимумы и максимумы'!J$3-'минимумы и максимумы'!J$2)*100)</f>
        <v>0</v>
      </c>
      <c r="M367" s="1">
        <f>IF('исходные данные'!M367&gt;'минимумы и максимумы'!K$3,100,('исходные данные'!M367-'минимумы и максимумы'!K$2)/('минимумы и максимумы'!K$3-'минимумы и максимумы'!K$2)*100)</f>
        <v>6.4516129032258061</v>
      </c>
      <c r="N367" s="1">
        <f>IF('исходные данные'!N367&gt;'минимумы и максимумы'!L$3,100,('исходные данные'!N367-'минимумы и максимумы'!L$2)/('минимумы и максимумы'!L$3-'минимумы и максимумы'!L$2)*100)</f>
        <v>27.018948754734705</v>
      </c>
      <c r="O367" s="1">
        <f>IF('исходные данные'!O367&gt;'минимумы и максимумы'!M$3,100,('исходные данные'!O367-'минимумы и максимумы'!M$2)/('минимумы и максимумы'!M$3-'минимумы и максимумы'!M$2)*100)</f>
        <v>66.666666666666657</v>
      </c>
      <c r="P367" s="1">
        <f>IF('исходные данные'!P367&gt;'минимумы и максимумы'!N$3,100,('исходные данные'!P367-'минимумы и максимумы'!N$2)/('минимумы и максимумы'!N$3-'минимумы и максимумы'!N$2)*100)</f>
        <v>0</v>
      </c>
      <c r="Q367" s="1">
        <f>IF('исходные данные'!Q367&gt;'минимумы и максимумы'!O$3,100,('исходные данные'!Q367-'минимумы и максимумы'!O$2)/('минимумы и максимумы'!O$3-'минимумы и максимумы'!O$2)*100)</f>
        <v>0</v>
      </c>
      <c r="R367" s="1">
        <f>IF('исходные данные'!R367&gt;'минимумы и максимумы'!P$3,100,('исходные данные'!R367-'минимумы и максимумы'!P$2)/('минимумы и максимумы'!P$3-'минимумы и максимумы'!P$2)*100)</f>
        <v>75</v>
      </c>
      <c r="S367" s="1">
        <f>IF('исходные данные'!S367&gt;'минимумы и максимумы'!Q$3,100,('исходные данные'!S367-'минимумы и максимумы'!Q$2)/('минимумы и максимумы'!Q$3-'минимумы и максимумы'!Q$2)*100)</f>
        <v>16.666666666666664</v>
      </c>
      <c r="T367" s="1">
        <f>IF('исходные данные'!T367&gt;'минимумы и максимумы'!R$3,100,('исходные данные'!T367-'минимумы и максимумы'!R$2)/('минимумы и максимумы'!R$3-'минимумы и максимумы'!R$2)*100)</f>
        <v>10.778706555213374</v>
      </c>
      <c r="U367" s="1">
        <f>IF('исходные данные'!U367&gt;'минимумы и максимумы'!S$3,100,('исходные данные'!U367-'минимумы и максимумы'!S$2)/('минимумы и максимумы'!S$3-'минимумы и максимумы'!S$2)*100)</f>
        <v>0</v>
      </c>
    </row>
    <row r="368" spans="1:21" x14ac:dyDescent="0.45">
      <c r="A368" s="4">
        <v>480</v>
      </c>
      <c r="B368" s="4">
        <v>0</v>
      </c>
      <c r="C368" s="4">
        <v>0</v>
      </c>
      <c r="D368" s="1">
        <f>IF('исходные данные'!D368&gt;'минимумы и максимумы'!B$3,100,('исходные данные'!D368-'минимумы и максимумы'!B$2)/('минимумы и максимумы'!B$3-'минимумы и максимумы'!B$2)*100)</f>
        <v>0</v>
      </c>
      <c r="E368" s="1">
        <f>IF('исходные данные'!E368&gt;'минимумы и максимумы'!C$3,100,('исходные данные'!E368-'минимумы и максимумы'!C$2)/('минимумы и максимумы'!C$3-'минимумы и максимумы'!C$2)*100)</f>
        <v>0</v>
      </c>
      <c r="F368" s="1">
        <f>IF('исходные данные'!F368&gt;'минимумы и максимумы'!D$3,100,('исходные данные'!F368-'минимумы и максимумы'!D$2)/('минимумы и максимумы'!D$3-'минимумы и максимумы'!D$2)*100)</f>
        <v>0</v>
      </c>
      <c r="G368" s="1">
        <f>IF('исходные данные'!G368&gt;'минимумы и максимумы'!E$3,100,('исходные данные'!G368-'минимумы и максимумы'!E$2)/('минимумы и максимумы'!E$3-'минимумы и максимумы'!E$2)*100)</f>
        <v>0</v>
      </c>
      <c r="H368" s="1">
        <f>IF('исходные данные'!H368&gt;'минимумы и максимумы'!F$3,100,('исходные данные'!H368-'минимумы и максимумы'!F$2)/('минимумы и максимумы'!F$3-'минимумы и максимумы'!F$2)*100)</f>
        <v>0</v>
      </c>
      <c r="I368" s="1">
        <f>IF('исходные данные'!I368&gt;'минимумы и максимумы'!G$3,100,('исходные данные'!I368-'минимумы и максимумы'!G$2)/('минимумы и максимумы'!G$3-'минимумы и максимумы'!G$2)*100)</f>
        <v>3.7735849056603774</v>
      </c>
      <c r="J368" s="1">
        <f>IF('исходные данные'!J368&gt;'минимумы и максимумы'!H$3,100,('исходные данные'!J368-'минимумы и максимумы'!H$2)/('минимумы и максимумы'!H$3-'минимумы и максимумы'!H$2)*100)</f>
        <v>0</v>
      </c>
      <c r="K368" s="1">
        <f>IF('исходные данные'!K368&gt;'минимумы и максимумы'!I$3,100,('исходные данные'!K368-'минимумы и максимумы'!I$2)/('минимумы и максимумы'!I$3-'минимумы и максимумы'!I$2)*100)</f>
        <v>5.5555555555555554</v>
      </c>
      <c r="L368" s="1">
        <f>IF('исходные данные'!L368&gt;'минимумы и максимумы'!J$3,100,('исходные данные'!L368-'минимумы и максимумы'!J$2)/('минимумы и максимумы'!J$3-'минимумы и максимумы'!J$2)*100)</f>
        <v>0</v>
      </c>
      <c r="M368" s="1">
        <f>IF('исходные данные'!M368&gt;'минимумы и максимумы'!K$3,100,('исходные данные'!M368-'минимумы и максимумы'!K$2)/('минимумы и максимумы'!K$3-'минимумы и максимумы'!K$2)*100)</f>
        <v>6.4516129032258061</v>
      </c>
      <c r="N368" s="1">
        <f>IF('исходные данные'!N368&gt;'минимумы и максимумы'!L$3,100,('исходные данные'!N368-'минимумы и максимумы'!L$2)/('минимумы и максимумы'!L$3-'минимумы и максимумы'!L$2)*100)</f>
        <v>27.40678054892447</v>
      </c>
      <c r="O368" s="1">
        <f>IF('исходные данные'!O368&gt;'минимумы и максимумы'!M$3,100,('исходные данные'!O368-'минимумы и максимумы'!M$2)/('минимумы и максимумы'!M$3-'минимумы и максимумы'!M$2)*100)</f>
        <v>66.666666666666657</v>
      </c>
      <c r="P368" s="1">
        <f>IF('исходные данные'!P368&gt;'минимумы и максимумы'!N$3,100,('исходные данные'!P368-'минимумы и максимумы'!N$2)/('минимумы и максимумы'!N$3-'минимумы и максимумы'!N$2)*100)</f>
        <v>0</v>
      </c>
      <c r="Q368" s="1">
        <f>IF('исходные данные'!Q368&gt;'минимумы и максимумы'!O$3,100,('исходные данные'!Q368-'минимумы и максимумы'!O$2)/('минимумы и максимумы'!O$3-'минимумы и максимумы'!O$2)*100)</f>
        <v>100</v>
      </c>
      <c r="R368" s="1">
        <f>IF('исходные данные'!R368&gt;'минимумы и максимумы'!P$3,100,('исходные данные'!R368-'минимумы и максимумы'!P$2)/('минимумы и максимумы'!P$3-'минимумы и максимумы'!P$2)*100)</f>
        <v>75</v>
      </c>
      <c r="S368" s="1">
        <f>IF('исходные данные'!S368&gt;'минимумы и максимумы'!Q$3,100,('исходные данные'!S368-'минимумы и максимумы'!Q$2)/('минимумы и максимумы'!Q$3-'минимумы и максимумы'!Q$2)*100)</f>
        <v>33.333333333333329</v>
      </c>
      <c r="T368" s="1">
        <f>IF('исходные данные'!T368&gt;'минимумы и максимумы'!R$3,100,('исходные данные'!T368-'минимумы и максимумы'!R$2)/('минимумы и максимумы'!R$3-'минимумы и максимумы'!R$2)*100)</f>
        <v>4.4874615046194455</v>
      </c>
      <c r="U368" s="1">
        <f>IF('исходные данные'!U368&gt;'минимумы и максимумы'!S$3,100,('исходные данные'!U368-'минимумы и максимумы'!S$2)/('минимумы и максимумы'!S$3-'минимумы и максимумы'!S$2)*100)</f>
        <v>0</v>
      </c>
    </row>
    <row r="369" spans="1:21" x14ac:dyDescent="0.45">
      <c r="A369" s="4">
        <v>481</v>
      </c>
      <c r="B369" s="4">
        <v>0</v>
      </c>
      <c r="C369" s="4">
        <v>0</v>
      </c>
      <c r="D369" s="1">
        <f>IF('исходные данные'!D369&gt;'минимумы и максимумы'!B$3,100,('исходные данные'!D369-'минимумы и максимумы'!B$2)/('минимумы и максимумы'!B$3-'минимумы и максимумы'!B$2)*100)</f>
        <v>0</v>
      </c>
      <c r="E369" s="1">
        <f>IF('исходные данные'!E369&gt;'минимумы и максимумы'!C$3,100,('исходные данные'!E369-'минимумы и максимумы'!C$2)/('минимумы и максимумы'!C$3-'минимумы и максимумы'!C$2)*100)</f>
        <v>0</v>
      </c>
      <c r="F369" s="1">
        <f>IF('исходные данные'!F369&gt;'минимумы и максимумы'!D$3,100,('исходные данные'!F369-'минимумы и максимумы'!D$2)/('минимумы и максимумы'!D$3-'минимумы и максимумы'!D$2)*100)</f>
        <v>0</v>
      </c>
      <c r="G369" s="1">
        <f>IF('исходные данные'!G369&gt;'минимумы и максимумы'!E$3,100,('исходные данные'!G369-'минимумы и максимумы'!E$2)/('минимумы и максимумы'!E$3-'минимумы и максимумы'!E$2)*100)</f>
        <v>0</v>
      </c>
      <c r="H369" s="1">
        <f>IF('исходные данные'!H369&gt;'минимумы и максимумы'!F$3,100,('исходные данные'!H369-'минимумы и максимумы'!F$2)/('минимумы и максимумы'!F$3-'минимумы и максимумы'!F$2)*100)</f>
        <v>0</v>
      </c>
      <c r="I369" s="1">
        <f>IF('исходные данные'!I369&gt;'минимумы и максимумы'!G$3,100,('исходные данные'!I369-'минимумы и максимумы'!G$2)/('минимумы и максимумы'!G$3-'минимумы и максимумы'!G$2)*100)</f>
        <v>0</v>
      </c>
      <c r="J369" s="1">
        <f>IF('исходные данные'!J369&gt;'минимумы и максимумы'!H$3,100,('исходные данные'!J369-'минимумы и максимумы'!H$2)/('минимумы и максимумы'!H$3-'минимумы и максимумы'!H$2)*100)</f>
        <v>0</v>
      </c>
      <c r="K369" s="1">
        <f>IF('исходные данные'!K369&gt;'минимумы и максимумы'!I$3,100,('исходные данные'!K369-'минимумы и максимумы'!I$2)/('минимумы и максимумы'!I$3-'минимумы и максимумы'!I$2)*100)</f>
        <v>0</v>
      </c>
      <c r="L369" s="1">
        <f>IF('исходные данные'!L369&gt;'минимумы и максимумы'!J$3,100,('исходные данные'!L369-'минимумы и максимумы'!J$2)/('минимумы и максимумы'!J$3-'минимумы и максимумы'!J$2)*100)</f>
        <v>0</v>
      </c>
      <c r="M369" s="1">
        <f>IF('исходные данные'!M369&gt;'минимумы и максимумы'!K$3,100,('исходные данные'!M369-'минимумы и максимумы'!K$2)/('минимумы и максимумы'!K$3-'минимумы и максимумы'!K$2)*100)</f>
        <v>0</v>
      </c>
      <c r="N369" s="1">
        <f>IF('исходные данные'!N369&gt;'минимумы и максимумы'!L$3,100,('исходные данные'!N369-'минимумы и максимумы'!L$2)/('минимумы и максимумы'!L$3-'минимумы и максимумы'!L$2)*100)</f>
        <v>29.823987023138365</v>
      </c>
      <c r="O369" s="1">
        <f>IF('исходные данные'!O369&gt;'минимумы и максимумы'!M$3,100,('исходные данные'!O369-'минимумы и максимумы'!M$2)/('минимумы и максимумы'!M$3-'минимумы и максимумы'!M$2)*100)</f>
        <v>0</v>
      </c>
      <c r="P369" s="1">
        <f>IF('исходные данные'!P369&gt;'минимумы и максимумы'!N$3,100,('исходные данные'!P369-'минимумы и максимумы'!N$2)/('минимумы и максимумы'!N$3-'минимумы и максимумы'!N$2)*100)</f>
        <v>0</v>
      </c>
      <c r="Q369" s="1">
        <f>IF('исходные данные'!Q369&gt;'минимумы и максимумы'!O$3,100,('исходные данные'!Q369-'минимумы и максимумы'!O$2)/('минимумы и максимумы'!O$3-'минимумы и максимумы'!O$2)*100)</f>
        <v>100</v>
      </c>
      <c r="R369" s="1">
        <f>IF('исходные данные'!R369&gt;'минимумы и максимумы'!P$3,100,('исходные данные'!R369-'минимумы и максимумы'!P$2)/('минимумы и максимумы'!P$3-'минимумы и максимумы'!P$2)*100)</f>
        <v>100</v>
      </c>
      <c r="S369" s="1">
        <f>IF('исходные данные'!S369&gt;'минимумы и максимумы'!Q$3,100,('исходные данные'!S369-'минимумы и максимумы'!Q$2)/('минимумы и максимумы'!Q$3-'минимумы и максимумы'!Q$2)*100)</f>
        <v>50</v>
      </c>
      <c r="T369" s="1">
        <f>IF('исходные данные'!T369&gt;'минимумы и максимумы'!R$3,100,('исходные данные'!T369-'минимумы и максимумы'!R$2)/('минимумы и максимумы'!R$3-'минимумы и максимумы'!R$2)*100)</f>
        <v>31.588209414870217</v>
      </c>
      <c r="U369" s="1">
        <f>IF('исходные данные'!U369&gt;'минимумы и максимумы'!S$3,100,('исходные данные'!U369-'минимумы и максимумы'!S$2)/('минимумы и максимумы'!S$3-'минимумы и максимумы'!S$2)*100)</f>
        <v>0</v>
      </c>
    </row>
    <row r="370" spans="1:21" x14ac:dyDescent="0.45">
      <c r="A370" s="4">
        <v>482</v>
      </c>
      <c r="B370" s="4">
        <v>0</v>
      </c>
      <c r="C370" s="4">
        <v>0</v>
      </c>
      <c r="D370" s="1">
        <f>IF('исходные данные'!D370&gt;'минимумы и максимумы'!B$3,100,('исходные данные'!D370-'минимумы и максимумы'!B$2)/('минимумы и максимумы'!B$3-'минимумы и максимумы'!B$2)*100)</f>
        <v>0</v>
      </c>
      <c r="E370" s="1">
        <f>IF('исходные данные'!E370&gt;'минимумы и максимумы'!C$3,100,('исходные данные'!E370-'минимумы и максимумы'!C$2)/('минимумы и максимумы'!C$3-'минимумы и максимумы'!C$2)*100)</f>
        <v>0</v>
      </c>
      <c r="F370" s="1">
        <f>IF('исходные данные'!F370&gt;'минимумы и максимумы'!D$3,100,('исходные данные'!F370-'минимумы и максимумы'!D$2)/('минимумы и максимумы'!D$3-'минимумы и максимумы'!D$2)*100)</f>
        <v>0</v>
      </c>
      <c r="G370" s="1">
        <f>IF('исходные данные'!G370&gt;'минимумы и максимумы'!E$3,100,('исходные данные'!G370-'минимумы и максимумы'!E$2)/('минимумы и максимумы'!E$3-'минимумы и максимумы'!E$2)*100)</f>
        <v>0</v>
      </c>
      <c r="H370" s="1">
        <f>IF('исходные данные'!H370&gt;'минимумы и максимумы'!F$3,100,('исходные данные'!H370-'минимумы и максимумы'!F$2)/('минимумы и максимумы'!F$3-'минимумы и максимумы'!F$2)*100)</f>
        <v>0</v>
      </c>
      <c r="I370" s="1">
        <f>IF('исходные данные'!I370&gt;'минимумы и максимумы'!G$3,100,('исходные данные'!I370-'минимумы и максимумы'!G$2)/('минимумы и максимумы'!G$3-'минимумы и максимумы'!G$2)*100)</f>
        <v>0</v>
      </c>
      <c r="J370" s="1">
        <f>IF('исходные данные'!J370&gt;'минимумы и максимумы'!H$3,100,('исходные данные'!J370-'минимумы и максимумы'!H$2)/('минимумы и максимумы'!H$3-'минимумы и максимумы'!H$2)*100)</f>
        <v>0</v>
      </c>
      <c r="K370" s="1">
        <f>IF('исходные данные'!K370&gt;'минимумы и максимумы'!I$3,100,('исходные данные'!K370-'минимумы и максимумы'!I$2)/('минимумы и максимумы'!I$3-'минимумы и максимумы'!I$2)*100)</f>
        <v>0</v>
      </c>
      <c r="L370" s="1">
        <f>IF('исходные данные'!L370&gt;'минимумы и максимумы'!J$3,100,('исходные данные'!L370-'минимумы и максимумы'!J$2)/('минимумы и максимумы'!J$3-'минимумы и максимумы'!J$2)*100)</f>
        <v>0</v>
      </c>
      <c r="M370" s="1">
        <f>IF('исходные данные'!M370&gt;'минимумы и максимумы'!K$3,100,('исходные данные'!M370-'минимумы и максимумы'!K$2)/('минимумы и максимумы'!K$3-'минимумы и максимумы'!K$2)*100)</f>
        <v>6.4516129032258061</v>
      </c>
      <c r="N370" s="1">
        <f>IF('исходные данные'!N370&gt;'минимумы и максимумы'!L$3,100,('исходные данные'!N370-'минимумы и максимумы'!L$2)/('минимумы и максимумы'!L$3-'минимумы и максимумы'!L$2)*100)</f>
        <v>29.564173886989781</v>
      </c>
      <c r="O370" s="1">
        <f>IF('исходные данные'!O370&gt;'минимумы и максимумы'!M$3,100,('исходные данные'!O370-'минимумы и максимумы'!M$2)/('минимумы и максимумы'!M$3-'минимумы и максимумы'!M$2)*100)</f>
        <v>0</v>
      </c>
      <c r="P370" s="1">
        <f>IF('исходные данные'!P370&gt;'минимумы и максимумы'!N$3,100,('исходные данные'!P370-'минимумы и максимумы'!N$2)/('минимумы и максимумы'!N$3-'минимумы и максимумы'!N$2)*100)</f>
        <v>0</v>
      </c>
      <c r="Q370" s="1">
        <f>IF('исходные данные'!Q370&gt;'минимумы и максимумы'!O$3,100,('исходные данные'!Q370-'минимумы и максимумы'!O$2)/('минимумы и максимумы'!O$3-'минимумы и максимумы'!O$2)*100)</f>
        <v>0</v>
      </c>
      <c r="R370" s="1">
        <f>IF('исходные данные'!R370&gt;'минимумы и максимумы'!P$3,100,('исходные данные'!R370-'минимумы и максимумы'!P$2)/('минимумы и максимумы'!P$3-'минимумы и максимумы'!P$2)*100)</f>
        <v>100</v>
      </c>
      <c r="S370" s="1">
        <f>IF('исходные данные'!S370&gt;'минимумы и максимумы'!Q$3,100,('исходные данные'!S370-'минимумы и максимумы'!Q$2)/('минимумы и максимумы'!Q$3-'минимумы и максимумы'!Q$2)*100)</f>
        <v>16.666666666666664</v>
      </c>
      <c r="T370" s="1">
        <f>IF('исходные данные'!T370&gt;'минимумы и максимумы'!R$3,100,('исходные данные'!T370-'минимумы и максимумы'!R$2)/('минимумы и максимумы'!R$3-'минимумы и максимумы'!R$2)*100)</f>
        <v>22.833260008798945</v>
      </c>
      <c r="U370" s="1">
        <f>IF('исходные данные'!U370&gt;'минимумы и максимумы'!S$3,100,('исходные данные'!U370-'минимумы и максимумы'!S$2)/('минимумы и максимумы'!S$3-'минимумы и максимумы'!S$2)*100)</f>
        <v>0</v>
      </c>
    </row>
    <row r="371" spans="1:21" x14ac:dyDescent="0.45">
      <c r="A371" s="4">
        <v>483</v>
      </c>
      <c r="B371" s="4">
        <v>0</v>
      </c>
      <c r="C371" s="4">
        <v>0</v>
      </c>
      <c r="D371" s="1">
        <f>IF('исходные данные'!D371&gt;'минимумы и максимумы'!B$3,100,('исходные данные'!D371-'минимумы и максимумы'!B$2)/('минимумы и максимумы'!B$3-'минимумы и максимумы'!B$2)*100)</f>
        <v>0</v>
      </c>
      <c r="E371" s="1">
        <f>IF('исходные данные'!E371&gt;'минимумы и максимумы'!C$3,100,('исходные данные'!E371-'минимумы и максимумы'!C$2)/('минимумы и максимумы'!C$3-'минимумы и максимумы'!C$2)*100)</f>
        <v>0</v>
      </c>
      <c r="F371" s="1">
        <f>IF('исходные данные'!F371&gt;'минимумы и максимумы'!D$3,100,('исходные данные'!F371-'минимумы и максимумы'!D$2)/('минимумы и максимумы'!D$3-'минимумы и максимумы'!D$2)*100)</f>
        <v>0</v>
      </c>
      <c r="G371" s="1">
        <f>IF('исходные данные'!G371&gt;'минимумы и максимумы'!E$3,100,('исходные данные'!G371-'минимумы и максимумы'!E$2)/('минимумы и максимумы'!E$3-'минимумы и максимумы'!E$2)*100)</f>
        <v>0</v>
      </c>
      <c r="H371" s="1">
        <f>IF('исходные данные'!H371&gt;'минимумы и максимумы'!F$3,100,('исходные данные'!H371-'минимумы и максимумы'!F$2)/('минимумы и максимумы'!F$3-'минимумы и максимумы'!F$2)*100)</f>
        <v>0</v>
      </c>
      <c r="I371" s="1">
        <f>IF('исходные данные'!I371&gt;'минимумы и максимумы'!G$3,100,('исходные данные'!I371-'минимумы и максимумы'!G$2)/('минимумы и максимумы'!G$3-'минимумы и максимумы'!G$2)*100)</f>
        <v>0</v>
      </c>
      <c r="J371" s="1">
        <f>IF('исходные данные'!J371&gt;'минимумы и максимумы'!H$3,100,('исходные данные'!J371-'минимумы и максимумы'!H$2)/('минимумы и максимумы'!H$3-'минимумы и максимумы'!H$2)*100)</f>
        <v>0</v>
      </c>
      <c r="K371" s="1">
        <f>IF('исходные данные'!K371&gt;'минимумы и максимумы'!I$3,100,('исходные данные'!K371-'минимумы и максимумы'!I$2)/('минимумы и максимумы'!I$3-'минимумы и максимумы'!I$2)*100)</f>
        <v>0</v>
      </c>
      <c r="L371" s="1">
        <f>IF('исходные данные'!L371&gt;'минимумы и максимумы'!J$3,100,('исходные данные'!L371-'минимумы и максимумы'!J$2)/('минимумы и максимумы'!J$3-'минимумы и максимумы'!J$2)*100)</f>
        <v>0</v>
      </c>
      <c r="M371" s="1">
        <f>IF('исходные данные'!M371&gt;'минимумы и максимумы'!K$3,100,('исходные данные'!M371-'минимумы и максимумы'!K$2)/('минимумы и максимумы'!K$3-'минимумы и максимумы'!K$2)*100)</f>
        <v>0</v>
      </c>
      <c r="N371" s="1">
        <f>IF('исходные данные'!N371&gt;'минимумы и максимумы'!L$3,100,('исходные данные'!N371-'минимумы и максимумы'!L$2)/('минимумы и максимумы'!L$3-'минимумы и максимумы'!L$2)*100)</f>
        <v>32.053678780970351</v>
      </c>
      <c r="O371" s="1">
        <f>IF('исходные данные'!O371&gt;'минимумы и максимумы'!M$3,100,('исходные данные'!O371-'минимумы и максимумы'!M$2)/('минимумы и максимумы'!M$3-'минимумы и максимумы'!M$2)*100)</f>
        <v>0</v>
      </c>
      <c r="P371" s="1">
        <f>IF('исходные данные'!P371&gt;'минимумы и максимумы'!N$3,100,('исходные данные'!P371-'минимумы и максимумы'!N$2)/('минимумы и максимумы'!N$3-'минимумы и максимумы'!N$2)*100)</f>
        <v>0</v>
      </c>
      <c r="Q371" s="1">
        <f>IF('исходные данные'!Q371&gt;'минимумы и максимумы'!O$3,100,('исходные данные'!Q371-'минимумы и максимумы'!O$2)/('минимумы и максимумы'!O$3-'минимумы и максимумы'!O$2)*100)</f>
        <v>100</v>
      </c>
      <c r="R371" s="1">
        <f>IF('исходные данные'!R371&gt;'минимумы и максимумы'!P$3,100,('исходные данные'!R371-'минимумы и максимумы'!P$2)/('минимумы и максимумы'!P$3-'минимумы и максимумы'!P$2)*100)</f>
        <v>100</v>
      </c>
      <c r="S371" s="1">
        <f>IF('исходные данные'!S371&gt;'минимумы и максимумы'!Q$3,100,('исходные данные'!S371-'минимумы и максимумы'!Q$2)/('минимумы и максимумы'!Q$3-'минимумы и максимумы'!Q$2)*100)</f>
        <v>16.666666666666664</v>
      </c>
      <c r="T371" s="1">
        <f>IF('исходные данные'!T371&gt;'минимумы и максимумы'!R$3,100,('исходные данные'!T371-'минимумы и максимумы'!R$2)/('минимумы и максимумы'!R$3-'минимумы и максимумы'!R$2)*100)</f>
        <v>27.628684557853056</v>
      </c>
      <c r="U371" s="1">
        <f>IF('исходные данные'!U371&gt;'минимумы и максимумы'!S$3,100,('исходные данные'!U371-'минимумы и максимумы'!S$2)/('минимумы и максимумы'!S$3-'минимумы и максимумы'!S$2)*100)</f>
        <v>33.333333333333329</v>
      </c>
    </row>
    <row r="372" spans="1:21" x14ac:dyDescent="0.45">
      <c r="A372" s="4">
        <v>484</v>
      </c>
      <c r="B372" s="4">
        <v>0</v>
      </c>
      <c r="C372" s="4">
        <v>0</v>
      </c>
      <c r="D372" s="1">
        <f>IF('исходные данные'!D372&gt;'минимумы и максимумы'!B$3,100,('исходные данные'!D372-'минимумы и максимумы'!B$2)/('минимумы и максимумы'!B$3-'минимумы и максимумы'!B$2)*100)</f>
        <v>0</v>
      </c>
      <c r="E372" s="1">
        <f>IF('исходные данные'!E372&gt;'минимумы и максимумы'!C$3,100,('исходные данные'!E372-'минимумы и максимумы'!C$2)/('минимумы и максимумы'!C$3-'минимумы и максимумы'!C$2)*100)</f>
        <v>0</v>
      </c>
      <c r="F372" s="1">
        <f>IF('исходные данные'!F372&gt;'минимумы и максимумы'!D$3,100,('исходные данные'!F372-'минимумы и максимумы'!D$2)/('минимумы и максимумы'!D$3-'минимумы и максимумы'!D$2)*100)</f>
        <v>0</v>
      </c>
      <c r="G372" s="1">
        <f>IF('исходные данные'!G372&gt;'минимумы и максимумы'!E$3,100,('исходные данные'!G372-'минимумы и максимумы'!E$2)/('минимумы и максимумы'!E$3-'минимумы и максимумы'!E$2)*100)</f>
        <v>0</v>
      </c>
      <c r="H372" s="1">
        <f>IF('исходные данные'!H372&gt;'минимумы и максимумы'!F$3,100,('исходные данные'!H372-'минимумы и максимумы'!F$2)/('минимумы и максимумы'!F$3-'минимумы и максимумы'!F$2)*100)</f>
        <v>0</v>
      </c>
      <c r="I372" s="1">
        <f>IF('исходные данные'!I372&gt;'минимумы и максимумы'!G$3,100,('исходные данные'!I372-'минимумы и максимумы'!G$2)/('минимумы и максимумы'!G$3-'минимумы и максимумы'!G$2)*100)</f>
        <v>0</v>
      </c>
      <c r="J372" s="1">
        <f>IF('исходные данные'!J372&gt;'минимумы и максимумы'!H$3,100,('исходные данные'!J372-'минимумы и максимумы'!H$2)/('минимумы и максимумы'!H$3-'минимумы и максимумы'!H$2)*100)</f>
        <v>0</v>
      </c>
      <c r="K372" s="1">
        <f>IF('исходные данные'!K372&gt;'минимумы и максимумы'!I$3,100,('исходные данные'!K372-'минимумы и максимумы'!I$2)/('минимумы и максимумы'!I$3-'минимумы и максимумы'!I$2)*100)</f>
        <v>0</v>
      </c>
      <c r="L372" s="1">
        <f>IF('исходные данные'!L372&gt;'минимумы и максимумы'!J$3,100,('исходные данные'!L372-'минимумы и максимумы'!J$2)/('минимумы и максимумы'!J$3-'минимумы и максимумы'!J$2)*100)</f>
        <v>0</v>
      </c>
      <c r="M372" s="1">
        <f>IF('исходные данные'!M372&gt;'минимумы и максимумы'!K$3,100,('исходные данные'!M372-'минимумы и максимумы'!K$2)/('минимумы и максимумы'!K$3-'минимумы и максимумы'!K$2)*100)</f>
        <v>0</v>
      </c>
      <c r="N372" s="1">
        <f>IF('исходные данные'!N372&gt;'минимумы и максимумы'!L$3,100,('исходные данные'!N372-'минимумы и максимумы'!L$2)/('минимумы и максимумы'!L$3-'минимумы и максимумы'!L$2)*100)</f>
        <v>32.405579429348492</v>
      </c>
      <c r="O372" s="1">
        <f>IF('исходные данные'!O372&gt;'минимумы и максимумы'!M$3,100,('исходные данные'!O372-'минимумы и максимумы'!M$2)/('минимумы и максимумы'!M$3-'минимумы и максимумы'!M$2)*100)</f>
        <v>33.333333333333329</v>
      </c>
      <c r="P372" s="1">
        <f>IF('исходные данные'!P372&gt;'минимумы и максимумы'!N$3,100,('исходные данные'!P372-'минимумы и максимумы'!N$2)/('минимумы и максимумы'!N$3-'минимумы и максимумы'!N$2)*100)</f>
        <v>0</v>
      </c>
      <c r="Q372" s="1">
        <f>IF('исходные данные'!Q372&gt;'минимумы и максимумы'!O$3,100,('исходные данные'!Q372-'минимумы и максимумы'!O$2)/('минимумы и максимумы'!O$3-'минимумы и максимумы'!O$2)*100)</f>
        <v>0</v>
      </c>
      <c r="R372" s="1">
        <f>IF('исходные данные'!R372&gt;'минимумы и максимумы'!P$3,100,('исходные данные'!R372-'минимумы и максимумы'!P$2)/('минимумы и максимумы'!P$3-'минимумы и максимумы'!P$2)*100)</f>
        <v>25</v>
      </c>
      <c r="S372" s="1">
        <f>IF('исходные данные'!S372&gt;'минимумы и максимумы'!Q$3,100,('исходные данные'!S372-'минимумы и максимумы'!Q$2)/('минимумы и максимумы'!Q$3-'минимумы и максимумы'!Q$2)*100)</f>
        <v>16.666666666666664</v>
      </c>
      <c r="T372" s="1">
        <f>IF('исходные данные'!T372&gt;'минимумы и максимумы'!R$3,100,('исходные данные'!T372-'минимумы и максимумы'!R$2)/('минимумы и максимумы'!R$3-'минимумы и максимумы'!R$2)*100)</f>
        <v>22.261328640563132</v>
      </c>
      <c r="U372" s="1">
        <f>IF('исходные данные'!U372&gt;'минимумы и максимумы'!S$3,100,('исходные данные'!U372-'минимумы и максимумы'!S$2)/('минимумы и максимумы'!S$3-'минимумы и максимумы'!S$2)*100)</f>
        <v>33.333333333333329</v>
      </c>
    </row>
    <row r="373" spans="1:21" x14ac:dyDescent="0.45">
      <c r="A373" s="4">
        <v>489</v>
      </c>
      <c r="B373" s="4">
        <v>0</v>
      </c>
      <c r="C373" s="4">
        <v>0</v>
      </c>
      <c r="D373" s="1">
        <f>IF('исходные данные'!D373&gt;'минимумы и максимумы'!B$3,100,('исходные данные'!D373-'минимумы и максимумы'!B$2)/('минимумы и максимумы'!B$3-'минимумы и максимумы'!B$2)*100)</f>
        <v>0</v>
      </c>
      <c r="E373" s="1">
        <f>IF('исходные данные'!E373&gt;'минимумы и максимумы'!C$3,100,('исходные данные'!E373-'минимумы и максимумы'!C$2)/('минимумы и максимумы'!C$3-'минимумы и максимумы'!C$2)*100)</f>
        <v>30</v>
      </c>
      <c r="F373" s="1">
        <f>IF('исходные данные'!F373&gt;'минимумы и максимумы'!D$3,100,('исходные данные'!F373-'минимумы и максимумы'!D$2)/('минимумы и максимумы'!D$3-'минимумы и максимумы'!D$2)*100)</f>
        <v>0</v>
      </c>
      <c r="G373" s="1">
        <f>IF('исходные данные'!G373&gt;'минимумы и максимумы'!E$3,100,('исходные данные'!G373-'минимумы и максимумы'!E$2)/('минимумы и максимумы'!E$3-'минимумы и максимумы'!E$2)*100)</f>
        <v>25</v>
      </c>
      <c r="H373" s="1">
        <f>IF('исходные данные'!H373&gt;'минимумы и максимумы'!F$3,100,('исходные данные'!H373-'минимумы и максимумы'!F$2)/('минимумы и максимумы'!F$3-'минимумы и максимумы'!F$2)*100)</f>
        <v>24</v>
      </c>
      <c r="I373" s="1">
        <f>IF('исходные данные'!I373&gt;'минимумы и максимумы'!G$3,100,('исходные данные'!I373-'минимумы и максимумы'!G$2)/('минимумы и максимумы'!G$3-'минимумы и максимумы'!G$2)*100)</f>
        <v>5.6603773584905666</v>
      </c>
      <c r="J373" s="1">
        <f>IF('исходные данные'!J373&gt;'минимумы и максимумы'!H$3,100,('исходные данные'!J373-'минимумы и максимумы'!H$2)/('минимумы и максимумы'!H$3-'минимумы и максимумы'!H$2)*100)</f>
        <v>26.666666666666668</v>
      </c>
      <c r="K373" s="1">
        <f>IF('исходные данные'!K373&gt;'минимумы и максимумы'!I$3,100,('исходные данные'!K373-'минимумы и максимумы'!I$2)/('минимумы и максимумы'!I$3-'минимумы и максимумы'!I$2)*100)</f>
        <v>0</v>
      </c>
      <c r="L373" s="1">
        <f>IF('исходные данные'!L373&gt;'минимумы и максимумы'!J$3,100,('исходные данные'!L373-'минимумы и максимумы'!J$2)/('минимумы и максимумы'!J$3-'минимумы и максимумы'!J$2)*100)</f>
        <v>0</v>
      </c>
      <c r="M373" s="1">
        <f>IF('исходные данные'!M373&gt;'минимумы и максимумы'!K$3,100,('исходные данные'!M373-'минимумы и максимумы'!K$2)/('минимумы и максимумы'!K$3-'минимумы и максимумы'!K$2)*100)</f>
        <v>12.903225806451612</v>
      </c>
      <c r="N373" s="1">
        <f>IF('исходные данные'!N373&gt;'минимумы и максимумы'!L$3,100,('исходные данные'!N373-'минимумы и максимумы'!L$2)/('минимумы и максимумы'!L$3-'минимумы и максимумы'!L$2)*100)</f>
        <v>54.753780392997385</v>
      </c>
      <c r="O373" s="1">
        <f>IF('исходные данные'!O373&gt;'минимумы и максимумы'!M$3,100,('исходные данные'!O373-'минимумы и максимумы'!M$2)/('минимумы и максимумы'!M$3-'минимумы и максимумы'!M$2)*100)</f>
        <v>100</v>
      </c>
      <c r="P373" s="1">
        <f>IF('исходные данные'!P373&gt;'минимумы и максимумы'!N$3,100,('исходные данные'!P373-'минимумы и максимумы'!N$2)/('минимумы и максимумы'!N$3-'минимумы и максимумы'!N$2)*100)</f>
        <v>0</v>
      </c>
      <c r="Q373" s="1">
        <f>IF('исходные данные'!Q373&gt;'минимумы и максимумы'!O$3,100,('исходные данные'!Q373-'минимумы и максимумы'!O$2)/('минимумы и максимумы'!O$3-'минимумы и максимумы'!O$2)*100)</f>
        <v>0</v>
      </c>
      <c r="R373" s="1">
        <f>IF('исходные данные'!R373&gt;'минимумы и максимумы'!P$3,100,('исходные данные'!R373-'минимумы и максимумы'!P$2)/('минимумы и максимумы'!P$3-'минимумы и максимумы'!P$2)*100)</f>
        <v>50</v>
      </c>
      <c r="S373" s="1">
        <f>IF('исходные данные'!S373&gt;'минимумы и максимумы'!Q$3,100,('исходные данные'!S373-'минимумы и максимумы'!Q$2)/('минимумы и максимумы'!Q$3-'минимумы и максимумы'!Q$2)*100)</f>
        <v>16.666666666666664</v>
      </c>
      <c r="T373" s="1">
        <f>IF('исходные данные'!T373&gt;'минимумы и максимумы'!R$3,100,('исходные данные'!T373-'минимумы и максимумы'!R$2)/('минимумы и максимумы'!R$3-'минимумы и максимумы'!R$2)*100)</f>
        <v>3.9155301363836341</v>
      </c>
      <c r="U373" s="1">
        <f>IF('исходные данные'!U373&gt;'минимумы и максимумы'!S$3,100,('исходные данные'!U373-'минимумы и максимумы'!S$2)/('минимумы и максимумы'!S$3-'минимумы и максимумы'!S$2)*100)</f>
        <v>0</v>
      </c>
    </row>
    <row r="374" spans="1:21" x14ac:dyDescent="0.45">
      <c r="A374" s="4">
        <v>490</v>
      </c>
      <c r="B374" s="4">
        <v>0</v>
      </c>
      <c r="C374" s="4">
        <v>0</v>
      </c>
      <c r="D374" s="1">
        <f>IF('исходные данные'!D374&gt;'минимумы и максимумы'!B$3,100,('исходные данные'!D374-'минимумы и максимумы'!B$2)/('минимумы и максимумы'!B$3-'минимумы и максимумы'!B$2)*100)</f>
        <v>0</v>
      </c>
      <c r="E374" s="1">
        <f>IF('исходные данные'!E374&gt;'минимумы и максимумы'!C$3,100,('исходные данные'!E374-'минимумы и максимумы'!C$2)/('минимумы и максимумы'!C$3-'минимумы и максимумы'!C$2)*100)</f>
        <v>0</v>
      </c>
      <c r="F374" s="1">
        <f>IF('исходные данные'!F374&gt;'минимумы и максимумы'!D$3,100,('исходные данные'!F374-'минимумы и максимумы'!D$2)/('минимумы и максимумы'!D$3-'минимумы и максимумы'!D$2)*100)</f>
        <v>0</v>
      </c>
      <c r="G374" s="1">
        <f>IF('исходные данные'!G374&gt;'минимумы и максимумы'!E$3,100,('исходные данные'!G374-'минимумы и максимумы'!E$2)/('минимумы и максимумы'!E$3-'минимумы и максимумы'!E$2)*100)</f>
        <v>0</v>
      </c>
      <c r="H374" s="1">
        <f>IF('исходные данные'!H374&gt;'минимумы и максимумы'!F$3,100,('исходные данные'!H374-'минимумы и максимумы'!F$2)/('минимумы и максимумы'!F$3-'минимумы и максимумы'!F$2)*100)</f>
        <v>0</v>
      </c>
      <c r="I374" s="1">
        <f>IF('исходные данные'!I374&gt;'минимумы и максимумы'!G$3,100,('исходные данные'!I374-'минимумы и максимумы'!G$2)/('минимумы и максимумы'!G$3-'минимумы и максимумы'!G$2)*100)</f>
        <v>0</v>
      </c>
      <c r="J374" s="1">
        <f>IF('исходные данные'!J374&gt;'минимумы и максимумы'!H$3,100,('исходные данные'!J374-'минимумы и максимумы'!H$2)/('минимумы и максимумы'!H$3-'минимумы и максимумы'!H$2)*100)</f>
        <v>0</v>
      </c>
      <c r="K374" s="1">
        <f>IF('исходные данные'!K374&gt;'минимумы и максимумы'!I$3,100,('исходные данные'!K374-'минимумы и максимумы'!I$2)/('минимумы и максимумы'!I$3-'минимумы и максимумы'!I$2)*100)</f>
        <v>5.5555555555555554</v>
      </c>
      <c r="L374" s="1">
        <f>IF('исходные данные'!L374&gt;'минимумы и максимумы'!J$3,100,('исходные данные'!L374-'минимумы и максимумы'!J$2)/('минимумы и максимумы'!J$3-'минимумы и максимумы'!J$2)*100)</f>
        <v>0</v>
      </c>
      <c r="M374" s="1">
        <f>IF('исходные данные'!M374&gt;'минимумы и максимумы'!K$3,100,('исходные данные'!M374-'минимумы и максимумы'!K$2)/('минимумы и максимумы'!K$3-'минимумы и максимумы'!K$2)*100)</f>
        <v>9.67741935483871</v>
      </c>
      <c r="N374" s="1">
        <f>IF('исходные данные'!N374&gt;'минимумы и максимумы'!L$3,100,('исходные данные'!N374-'минимумы и максимумы'!L$2)/('минимумы и максимумы'!L$3-'минимумы и максимумы'!L$2)*100)</f>
        <v>57.861130613955083</v>
      </c>
      <c r="O374" s="1">
        <f>IF('исходные данные'!O374&gt;'минимумы и максимумы'!M$3,100,('исходные данные'!O374-'минимумы и максимумы'!M$2)/('минимумы и максимумы'!M$3-'минимумы и максимумы'!M$2)*100)</f>
        <v>66.666666666666657</v>
      </c>
      <c r="P374" s="1">
        <f>IF('исходные данные'!P374&gt;'минимумы и максимумы'!N$3,100,('исходные данные'!P374-'минимумы и максимумы'!N$2)/('минимумы и максимумы'!N$3-'минимумы и максимумы'!N$2)*100)</f>
        <v>0</v>
      </c>
      <c r="Q374" s="1">
        <f>IF('исходные данные'!Q374&gt;'минимумы и максимумы'!O$3,100,('исходные данные'!Q374-'минимумы и максимумы'!O$2)/('минимумы и максимумы'!O$3-'минимумы и максимумы'!O$2)*100)</f>
        <v>0</v>
      </c>
      <c r="R374" s="1">
        <f>IF('исходные данные'!R374&gt;'минимумы и максимумы'!P$3,100,('исходные данные'!R374-'минимумы и максимумы'!P$2)/('минимумы и максимумы'!P$3-'минимумы и максимумы'!P$2)*100)</f>
        <v>25</v>
      </c>
      <c r="S374" s="1">
        <f>IF('исходные данные'!S374&gt;'минимумы и максимумы'!Q$3,100,('исходные данные'!S374-'минимумы и максимумы'!Q$2)/('минимумы и максимумы'!Q$3-'минимумы и максимумы'!Q$2)*100)</f>
        <v>83.333333333333343</v>
      </c>
      <c r="T374" s="1">
        <f>IF('исходные данные'!T374&gt;'минимумы и максимумы'!R$3,100,('исходные данные'!T374-'минимумы и максимумы'!R$2)/('минимумы и максимумы'!R$3-'минимумы и максимумы'!R$2)*100)</f>
        <v>62.384513858337002</v>
      </c>
      <c r="U374" s="1">
        <f>IF('исходные данные'!U374&gt;'минимумы и максимумы'!S$3,100,('исходные данные'!U374-'минимумы и максимумы'!S$2)/('минимумы и максимумы'!S$3-'минимумы и максимумы'!S$2)*100)</f>
        <v>100</v>
      </c>
    </row>
    <row r="375" spans="1:21" x14ac:dyDescent="0.45">
      <c r="A375" s="4">
        <v>491</v>
      </c>
      <c r="B375" s="4">
        <v>0</v>
      </c>
      <c r="C375" s="4">
        <v>0</v>
      </c>
      <c r="D375" s="1">
        <f>IF('исходные данные'!D375&gt;'минимумы и максимумы'!B$3,100,('исходные данные'!D375-'минимумы и максимумы'!B$2)/('минимумы и максимумы'!B$3-'минимумы и максимумы'!B$2)*100)</f>
        <v>20</v>
      </c>
      <c r="E375" s="1">
        <f>IF('исходные данные'!E375&gt;'минимумы и максимумы'!C$3,100,('исходные данные'!E375-'минимумы и максимумы'!C$2)/('минимумы и максимумы'!C$3-'минимумы и максимумы'!C$2)*100)</f>
        <v>20</v>
      </c>
      <c r="F375" s="1">
        <f>IF('исходные данные'!F375&gt;'минимумы и максимумы'!D$3,100,('исходные данные'!F375-'минимумы и максимумы'!D$2)/('минимумы и максимумы'!D$3-'минимумы и максимумы'!D$2)*100)</f>
        <v>0</v>
      </c>
      <c r="G375" s="1">
        <f>IF('исходные данные'!G375&gt;'минимумы и максимумы'!E$3,100,('исходные данные'!G375-'минимумы и максимумы'!E$2)/('минимумы и максимумы'!E$3-'минимумы и максимумы'!E$2)*100)</f>
        <v>41.666666666666671</v>
      </c>
      <c r="H375" s="1">
        <f>IF('исходные данные'!H375&gt;'минимумы и максимумы'!F$3,100,('исходные данные'!H375-'минимумы и максимумы'!F$2)/('минимумы и максимумы'!F$3-'минимумы и максимумы'!F$2)*100)</f>
        <v>72</v>
      </c>
      <c r="I375" s="1">
        <f>IF('исходные данные'!I375&gt;'минимумы и максимумы'!G$3,100,('исходные данные'!I375-'минимумы и максимумы'!G$2)/('минимумы и максимумы'!G$3-'минимумы и максимумы'!G$2)*100)</f>
        <v>24.528301886792452</v>
      </c>
      <c r="J375" s="1">
        <f>IF('исходные данные'!J375&gt;'минимумы и максимумы'!H$3,100,('исходные данные'!J375-'минимумы и максимумы'!H$2)/('минимумы и максимумы'!H$3-'минимумы и максимумы'!H$2)*100)</f>
        <v>20</v>
      </c>
      <c r="K375" s="1">
        <f>IF('исходные данные'!K375&gt;'минимумы и максимумы'!I$3,100,('исходные данные'!K375-'минимумы и максимумы'!I$2)/('минимумы и максимумы'!I$3-'минимумы и максимумы'!I$2)*100)</f>
        <v>0</v>
      </c>
      <c r="L375" s="1">
        <f>IF('исходные данные'!L375&gt;'минимумы и максимумы'!J$3,100,('исходные данные'!L375-'минимумы и максимумы'!J$2)/('минимумы и максимумы'!J$3-'минимумы и максимумы'!J$2)*100)</f>
        <v>20</v>
      </c>
      <c r="M375" s="1">
        <f>IF('исходные данные'!M375&gt;'минимумы и максимумы'!K$3,100,('исходные данные'!M375-'минимумы и максимумы'!K$2)/('минимумы и максимумы'!K$3-'минимумы и максимумы'!K$2)*100)</f>
        <v>25.806451612903224</v>
      </c>
      <c r="N375" s="1">
        <f>IF('исходные данные'!N375&gt;'минимумы и максимумы'!L$3,100,('исходные данные'!N375-'минимумы и максимумы'!L$2)/('минимумы и максимумы'!L$3-'минимумы и максимумы'!L$2)*100)</f>
        <v>58.218610230483577</v>
      </c>
      <c r="O375" s="1">
        <f>IF('исходные данные'!O375&gt;'минимумы и максимумы'!M$3,100,('исходные данные'!O375-'минимумы и максимумы'!M$2)/('минимумы и максимумы'!M$3-'минимумы и максимумы'!M$2)*100)</f>
        <v>33.333333333333329</v>
      </c>
      <c r="P375" s="1">
        <f>IF('исходные данные'!P375&gt;'минимумы и максимумы'!N$3,100,('исходные данные'!P375-'минимумы и максимумы'!N$2)/('минимумы и максимумы'!N$3-'минимумы и максимумы'!N$2)*100)</f>
        <v>0</v>
      </c>
      <c r="Q375" s="1">
        <f>IF('исходные данные'!Q375&gt;'минимумы и максимумы'!O$3,100,('исходные данные'!Q375-'минимумы и максимумы'!O$2)/('минимумы и максимумы'!O$3-'минимумы и максимумы'!O$2)*100)</f>
        <v>100</v>
      </c>
      <c r="R375" s="1">
        <f>IF('исходные данные'!R375&gt;'минимумы и максимумы'!P$3,100,('исходные данные'!R375-'минимумы и максимумы'!P$2)/('минимумы и максимумы'!P$3-'минимумы и максимумы'!P$2)*100)</f>
        <v>100</v>
      </c>
      <c r="S375" s="1">
        <f>IF('исходные данные'!S375&gt;'минимумы и максимумы'!Q$3,100,('исходные данные'!S375-'минимумы и максимумы'!Q$2)/('минимумы и максимумы'!Q$3-'минимумы и максимумы'!Q$2)*100)</f>
        <v>16.666666666666664</v>
      </c>
      <c r="T375" s="1">
        <f>IF('исходные данные'!T375&gt;'минимумы и максимумы'!R$3,100,('исходные данные'!T375-'минимумы и максимумы'!R$2)/('минимумы и максимумы'!R$3-'минимумы и максимумы'!R$2)*100)</f>
        <v>17.641882974043117</v>
      </c>
      <c r="U375" s="1">
        <f>IF('исходные данные'!U375&gt;'минимумы и максимумы'!S$3,100,('исходные данные'!U375-'минимумы и максимумы'!S$2)/('минимумы и максимумы'!S$3-'минимумы и максимумы'!S$2)*100)</f>
        <v>33.333333333333329</v>
      </c>
    </row>
    <row r="376" spans="1:21" x14ac:dyDescent="0.45">
      <c r="A376" s="4">
        <v>492</v>
      </c>
      <c r="B376" s="4">
        <v>0</v>
      </c>
      <c r="C376" s="4">
        <v>0</v>
      </c>
      <c r="D376" s="1">
        <f>IF('исходные данные'!D376&gt;'минимумы и максимумы'!B$3,100,('исходные данные'!D376-'минимумы и максимумы'!B$2)/('минимумы и максимумы'!B$3-'минимумы и максимумы'!B$2)*100)</f>
        <v>0</v>
      </c>
      <c r="E376" s="1">
        <f>IF('исходные данные'!E376&gt;'минимумы и максимумы'!C$3,100,('исходные данные'!E376-'минимумы и максимумы'!C$2)/('минимумы и максимумы'!C$3-'минимумы и максимумы'!C$2)*100)</f>
        <v>10</v>
      </c>
      <c r="F376" s="1">
        <f>IF('исходные данные'!F376&gt;'минимумы и максимумы'!D$3,100,('исходные данные'!F376-'минимумы и максимумы'!D$2)/('минимумы и максимумы'!D$3-'минимумы и максимумы'!D$2)*100)</f>
        <v>0</v>
      </c>
      <c r="G376" s="1">
        <f>IF('исходные данные'!G376&gt;'минимумы и максимумы'!E$3,100,('исходные данные'!G376-'минимумы и максимумы'!E$2)/('минимумы и максимумы'!E$3-'минимумы и максимумы'!E$2)*100)</f>
        <v>20.833333333333336</v>
      </c>
      <c r="H376" s="1">
        <f>IF('исходные данные'!H376&gt;'минимумы и максимумы'!F$3,100,('исходные данные'!H376-'минимумы и максимумы'!F$2)/('минимумы и максимумы'!F$3-'минимумы и максимумы'!F$2)*100)</f>
        <v>16</v>
      </c>
      <c r="I376" s="1">
        <f>IF('исходные данные'!I376&gt;'минимумы и максимумы'!G$3,100,('исходные данные'!I376-'минимумы и максимумы'!G$2)/('минимумы и максимумы'!G$3-'минимумы и максимумы'!G$2)*100)</f>
        <v>5.6603773584905666</v>
      </c>
      <c r="J376" s="1">
        <f>IF('исходные данные'!J376&gt;'минимумы и максимумы'!H$3,100,('исходные данные'!J376-'минимумы и максимумы'!H$2)/('минимумы и максимумы'!H$3-'минимумы и максимумы'!H$2)*100)</f>
        <v>13.333333333333334</v>
      </c>
      <c r="K376" s="1">
        <f>IF('исходные данные'!K376&gt;'минимумы и максимумы'!I$3,100,('исходные данные'!K376-'минимумы и максимумы'!I$2)/('минимумы и максимумы'!I$3-'минимумы и максимумы'!I$2)*100)</f>
        <v>5.5555555555555554</v>
      </c>
      <c r="L376" s="1">
        <f>IF('исходные данные'!L376&gt;'минимумы и максимумы'!J$3,100,('исходные данные'!L376-'минимумы и максимумы'!J$2)/('минимумы и максимумы'!J$3-'минимумы и максимумы'!J$2)*100)</f>
        <v>0</v>
      </c>
      <c r="M376" s="1">
        <f>IF('исходные данные'!M376&gt;'минимумы и максимумы'!K$3,100,('исходные данные'!M376-'минимумы и максимумы'!K$2)/('минимумы и максимумы'!K$3-'минимумы и максимумы'!K$2)*100)</f>
        <v>9.67741935483871</v>
      </c>
      <c r="N376" s="1">
        <f>IF('исходные данные'!N376&gt;'минимумы и максимумы'!L$3,100,('исходные данные'!N376-'минимумы и максимумы'!L$2)/('минимумы и максимумы'!L$3-'минимумы и максимумы'!L$2)*100)</f>
        <v>26.117539625967495</v>
      </c>
      <c r="O376" s="1">
        <f>IF('исходные данные'!O376&gt;'минимумы и максимумы'!M$3,100,('исходные данные'!O376-'минимумы и максимумы'!M$2)/('минимумы и максимумы'!M$3-'минимумы и максимумы'!M$2)*100)</f>
        <v>100</v>
      </c>
      <c r="P376" s="1">
        <f>IF('исходные данные'!P376&gt;'минимумы и максимумы'!N$3,100,('исходные данные'!P376-'минимумы и максимумы'!N$2)/('минимумы и максимумы'!N$3-'минимумы и максимумы'!N$2)*100)</f>
        <v>0</v>
      </c>
      <c r="Q376" s="1">
        <f>IF('исходные данные'!Q376&gt;'минимумы и максимумы'!O$3,100,('исходные данные'!Q376-'минимумы и максимумы'!O$2)/('минимумы и максимумы'!O$3-'минимумы и максимумы'!O$2)*100)</f>
        <v>100</v>
      </c>
      <c r="R376" s="1">
        <f>IF('исходные данные'!R376&gt;'минимумы и максимумы'!P$3,100,('исходные данные'!R376-'минимумы и максимумы'!P$2)/('минимумы и максимумы'!P$3-'минимумы и максимумы'!P$2)*100)</f>
        <v>75</v>
      </c>
      <c r="S376" s="1">
        <f>IF('исходные данные'!S376&gt;'минимумы и максимумы'!Q$3,100,('исходные данные'!S376-'минимумы и максимумы'!Q$2)/('минимумы и максимумы'!Q$3-'минимумы и максимумы'!Q$2)*100)</f>
        <v>50</v>
      </c>
      <c r="T376" s="1">
        <f>IF('исходные данные'!T376&gt;'минимумы и максимумы'!R$3,100,('исходные данные'!T376-'минимумы и максимумы'!R$2)/('минимумы и максимумы'!R$3-'минимумы и максимумы'!R$2)*100)</f>
        <v>25.472943246810381</v>
      </c>
      <c r="U376" s="1">
        <f>IF('исходные данные'!U376&gt;'минимумы и максимумы'!S$3,100,('исходные данные'!U376-'минимумы и максимумы'!S$2)/('минимумы и максимумы'!S$3-'минимумы и максимумы'!S$2)*100)</f>
        <v>33.333333333333329</v>
      </c>
    </row>
    <row r="377" spans="1:21" x14ac:dyDescent="0.45">
      <c r="A377" s="4">
        <v>493</v>
      </c>
      <c r="B377" s="4">
        <v>0</v>
      </c>
      <c r="C377" s="4">
        <v>0</v>
      </c>
      <c r="D377" s="1">
        <f>IF('исходные данные'!D377&gt;'минимумы и максимумы'!B$3,100,('исходные данные'!D377-'минимумы и максимумы'!B$2)/('минимумы и максимумы'!B$3-'минимумы и максимумы'!B$2)*100)</f>
        <v>0</v>
      </c>
      <c r="E377" s="1">
        <f>IF('исходные данные'!E377&gt;'минимумы и максимумы'!C$3,100,('исходные данные'!E377-'минимумы и максимумы'!C$2)/('минимумы и максимумы'!C$3-'минимумы и максимумы'!C$2)*100)</f>
        <v>0</v>
      </c>
      <c r="F377" s="1">
        <f>IF('исходные данные'!F377&gt;'минимумы и максимумы'!D$3,100,('исходные данные'!F377-'минимумы и максимумы'!D$2)/('минимумы и максимумы'!D$3-'минимумы и максимумы'!D$2)*100)</f>
        <v>0</v>
      </c>
      <c r="G377" s="1">
        <f>IF('исходные данные'!G377&gt;'минимумы и максимумы'!E$3,100,('исходные данные'!G377-'минимумы и максимумы'!E$2)/('минимумы и максимумы'!E$3-'минимумы и максимумы'!E$2)*100)</f>
        <v>0</v>
      </c>
      <c r="H377" s="1">
        <f>IF('исходные данные'!H377&gt;'минимумы и максимумы'!F$3,100,('исходные данные'!H377-'минимумы и максимумы'!F$2)/('минимумы и максимумы'!F$3-'минимумы и максимумы'!F$2)*100)</f>
        <v>0</v>
      </c>
      <c r="I377" s="1">
        <f>IF('исходные данные'!I377&gt;'минимумы и максимумы'!G$3,100,('исходные данные'!I377-'минимумы и максимумы'!G$2)/('минимумы и максимумы'!G$3-'минимумы и максимумы'!G$2)*100)</f>
        <v>1.8867924528301887</v>
      </c>
      <c r="J377" s="1">
        <f>IF('исходные данные'!J377&gt;'минимумы и максимумы'!H$3,100,('исходные данные'!J377-'минимумы и максимумы'!H$2)/('минимумы и максимумы'!H$3-'минимумы и максимумы'!H$2)*100)</f>
        <v>0</v>
      </c>
      <c r="K377" s="1">
        <f>IF('исходные данные'!K377&gt;'минимумы и максимумы'!I$3,100,('исходные данные'!K377-'минимумы и максимумы'!I$2)/('минимумы и максимумы'!I$3-'минимумы и максимумы'!I$2)*100)</f>
        <v>0</v>
      </c>
      <c r="L377" s="1">
        <f>IF('исходные данные'!L377&gt;'минимумы и максимумы'!J$3,100,('исходные данные'!L377-'минимумы и максимумы'!J$2)/('минимумы и максимумы'!J$3-'минимумы и максимумы'!J$2)*100)</f>
        <v>0</v>
      </c>
      <c r="M377" s="1">
        <f>IF('исходные данные'!M377&gt;'минимумы и максимумы'!K$3,100,('исходные данные'!M377-'минимумы и максимумы'!K$2)/('минимумы и максимумы'!K$3-'минимумы и максимумы'!K$2)*100)</f>
        <v>6.4516129032258061</v>
      </c>
      <c r="N377" s="1">
        <f>IF('исходные данные'!N377&gt;'минимумы и максимумы'!L$3,100,('исходные данные'!N377-'минимумы и максимумы'!L$2)/('минимумы и максимумы'!L$3-'минимумы и максимумы'!L$2)*100)</f>
        <v>27.148469915525574</v>
      </c>
      <c r="O377" s="1">
        <f>IF('исходные данные'!O377&gt;'минимумы и максимумы'!M$3,100,('исходные данные'!O377-'минимумы и максимумы'!M$2)/('минимумы и максимумы'!M$3-'минимумы и максимумы'!M$2)*100)</f>
        <v>66.666666666666657</v>
      </c>
      <c r="P377" s="1">
        <f>IF('исходные данные'!P377&gt;'минимумы и максимумы'!N$3,100,('исходные данные'!P377-'минимумы и максимумы'!N$2)/('минимумы и максимумы'!N$3-'минимумы и максимумы'!N$2)*100)</f>
        <v>0</v>
      </c>
      <c r="Q377" s="1">
        <f>IF('исходные данные'!Q377&gt;'минимумы и максимумы'!O$3,100,('исходные данные'!Q377-'минимумы и максимумы'!O$2)/('минимумы и максимумы'!O$3-'минимумы и максимумы'!O$2)*100)</f>
        <v>0</v>
      </c>
      <c r="R377" s="1">
        <f>IF('исходные данные'!R377&gt;'минимумы и максимумы'!P$3,100,('исходные данные'!R377-'минимумы и максимумы'!P$2)/('минимумы и максимумы'!P$3-'минимумы и максимумы'!P$2)*100)</f>
        <v>75</v>
      </c>
      <c r="S377" s="1">
        <f>IF('исходные данные'!S377&gt;'минимумы и максимумы'!Q$3,100,('исходные данные'!S377-'минимумы и максимумы'!Q$2)/('минимумы и максимумы'!Q$3-'минимумы и максимумы'!Q$2)*100)</f>
        <v>33.333333333333329</v>
      </c>
      <c r="T377" s="1">
        <f>IF('исходные данные'!T377&gt;'минимумы и максимумы'!R$3,100,('исходные данные'!T377-'минимумы и максимумы'!R$2)/('минимумы и максимумы'!R$3-'минимумы и максимумы'!R$2)*100)</f>
        <v>46.282446106467226</v>
      </c>
      <c r="U377" s="1">
        <f>IF('исходные данные'!U377&gt;'минимумы и максимумы'!S$3,100,('исходные данные'!U377-'минимумы и максимумы'!S$2)/('минимумы и максимумы'!S$3-'минимумы и максимумы'!S$2)*100)</f>
        <v>0</v>
      </c>
    </row>
    <row r="378" spans="1:21" x14ac:dyDescent="0.45">
      <c r="A378" s="4">
        <v>494</v>
      </c>
      <c r="B378" s="4">
        <v>0</v>
      </c>
      <c r="C378" s="4">
        <v>0</v>
      </c>
      <c r="D378" s="1">
        <f>IF('исходные данные'!D378&gt;'минимумы и максимумы'!B$3,100,('исходные данные'!D378-'минимумы и максимумы'!B$2)/('минимумы и максимумы'!B$3-'минимумы и максимумы'!B$2)*100)</f>
        <v>0</v>
      </c>
      <c r="E378" s="1">
        <f>IF('исходные данные'!E378&gt;'минимумы и максимумы'!C$3,100,('исходные данные'!E378-'минимумы и максимумы'!C$2)/('минимумы и максимумы'!C$3-'минимумы и максимумы'!C$2)*100)</f>
        <v>0</v>
      </c>
      <c r="F378" s="1">
        <f>IF('исходные данные'!F378&gt;'минимумы и максимумы'!D$3,100,('исходные данные'!F378-'минимумы и максимумы'!D$2)/('минимумы и максимумы'!D$3-'минимумы и максимумы'!D$2)*100)</f>
        <v>0</v>
      </c>
      <c r="G378" s="1">
        <f>IF('исходные данные'!G378&gt;'минимумы и максимумы'!E$3,100,('исходные данные'!G378-'минимумы и максимумы'!E$2)/('минимумы и максимумы'!E$3-'минимумы и максимумы'!E$2)*100)</f>
        <v>0</v>
      </c>
      <c r="H378" s="1">
        <f>IF('исходные данные'!H378&gt;'минимумы и максимумы'!F$3,100,('исходные данные'!H378-'минимумы и максимумы'!F$2)/('минимумы и максимумы'!F$3-'минимумы и максимумы'!F$2)*100)</f>
        <v>0</v>
      </c>
      <c r="I378" s="1">
        <f>IF('исходные данные'!I378&gt;'минимумы и максимумы'!G$3,100,('исходные данные'!I378-'минимумы и максимумы'!G$2)/('минимумы и максимумы'!G$3-'минимумы и максимумы'!G$2)*100)</f>
        <v>1.8867924528301887</v>
      </c>
      <c r="J378" s="1">
        <f>IF('исходные данные'!J378&gt;'минимумы и максимумы'!H$3,100,('исходные данные'!J378-'минимумы и максимумы'!H$2)/('минимумы и максимумы'!H$3-'минимумы и максимумы'!H$2)*100)</f>
        <v>0</v>
      </c>
      <c r="K378" s="1">
        <f>IF('исходные данные'!K378&gt;'минимумы и максимумы'!I$3,100,('исходные данные'!K378-'минимумы и максимумы'!I$2)/('минимумы и максимумы'!I$3-'минимумы и максимумы'!I$2)*100)</f>
        <v>0</v>
      </c>
      <c r="L378" s="1">
        <f>IF('исходные данные'!L378&gt;'минимумы и максимумы'!J$3,100,('исходные данные'!L378-'минимумы и максимумы'!J$2)/('минимумы и максимумы'!J$3-'минимумы и максимумы'!J$2)*100)</f>
        <v>0</v>
      </c>
      <c r="M378" s="1">
        <f>IF('исходные данные'!M378&gt;'минимумы и максимумы'!K$3,100,('исходные данные'!M378-'минимумы и максимумы'!K$2)/('минимумы и максимумы'!K$3-'минимумы и максимумы'!K$2)*100)</f>
        <v>6.4516129032258061</v>
      </c>
      <c r="N378" s="1">
        <f>IF('исходные данные'!N378&gt;'минимумы и максимумы'!L$3,100,('исходные данные'!N378-'минимумы и максимумы'!L$2)/('минимумы и максимумы'!L$3-'минимумы и максимумы'!L$2)*100)</f>
        <v>27.148469915525574</v>
      </c>
      <c r="O378" s="1">
        <f>IF('исходные данные'!O378&gt;'минимумы и максимумы'!M$3,100,('исходные данные'!O378-'минимумы и максимумы'!M$2)/('минимумы и максимумы'!M$3-'минимумы и максимумы'!M$2)*100)</f>
        <v>66.666666666666657</v>
      </c>
      <c r="P378" s="1">
        <f>IF('исходные данные'!P378&gt;'минимумы и максимумы'!N$3,100,('исходные данные'!P378-'минимумы и максимумы'!N$2)/('минимумы и максимумы'!N$3-'минимумы и максимумы'!N$2)*100)</f>
        <v>0</v>
      </c>
      <c r="Q378" s="1">
        <f>IF('исходные данные'!Q378&gt;'минимумы и максимумы'!O$3,100,('исходные данные'!Q378-'минимумы и максимумы'!O$2)/('минимумы и максимумы'!O$3-'минимумы и максимумы'!O$2)*100)</f>
        <v>100</v>
      </c>
      <c r="R378" s="1">
        <f>IF('исходные данные'!R378&gt;'минимумы и максимумы'!P$3,100,('исходные данные'!R378-'минимумы и максимумы'!P$2)/('минимумы и максимумы'!P$3-'минимумы и максимумы'!P$2)*100)</f>
        <v>75</v>
      </c>
      <c r="S378" s="1">
        <f>IF('исходные данные'!S378&gt;'минимумы и максимумы'!Q$3,100,('исходные данные'!S378-'минимумы и максимумы'!Q$2)/('минимумы и максимумы'!Q$3-'минимумы и максимумы'!Q$2)*100)</f>
        <v>33.333333333333329</v>
      </c>
      <c r="T378" s="1">
        <f>IF('исходные данные'!T378&gt;'минимумы и максимумы'!R$3,100,('исходные данные'!T378-'минимумы и максимумы'!R$2)/('минимумы и максимумы'!R$3-'минимумы и максимумы'!R$2)*100)</f>
        <v>78.442586889573249</v>
      </c>
      <c r="U378" s="1">
        <f>IF('исходные данные'!U378&gt;'минимумы и максимумы'!S$3,100,('исходные данные'!U378-'минимумы и максимумы'!S$2)/('минимумы и максимумы'!S$3-'минимумы и максимумы'!S$2)*100)</f>
        <v>0</v>
      </c>
    </row>
    <row r="379" spans="1:21" x14ac:dyDescent="0.45">
      <c r="A379" s="4">
        <v>495</v>
      </c>
      <c r="B379" s="4">
        <v>1</v>
      </c>
      <c r="C379" s="4">
        <v>0</v>
      </c>
      <c r="D379" s="1">
        <f>IF('исходные данные'!D379&gt;'минимумы и максимумы'!B$3,100,('исходные данные'!D379-'минимумы и максимумы'!B$2)/('минимумы и максимумы'!B$3-'минимумы и максимумы'!B$2)*100)</f>
        <v>20</v>
      </c>
      <c r="E379" s="1">
        <f>IF('исходные данные'!E379&gt;'минимумы и максимумы'!C$3,100,('исходные данные'!E379-'минимумы и максимумы'!C$2)/('минимумы и максимумы'!C$3-'минимумы и максимумы'!C$2)*100)</f>
        <v>20</v>
      </c>
      <c r="F379" s="1">
        <f>IF('исходные данные'!F379&gt;'минимумы и максимумы'!D$3,100,('исходные данные'!F379-'минимумы и максимумы'!D$2)/('минимумы и максимумы'!D$3-'минимумы и максимумы'!D$2)*100)</f>
        <v>33.333333333333329</v>
      </c>
      <c r="G379" s="1">
        <f>IF('исходные данные'!G379&gt;'минимумы и максимумы'!E$3,100,('исходные данные'!G379-'минимумы и максимумы'!E$2)/('минимумы и максимумы'!E$3-'минимумы и максимумы'!E$2)*100)</f>
        <v>4.1666666666666661</v>
      </c>
      <c r="H379" s="1">
        <f>IF('исходные данные'!H379&gt;'минимумы и максимумы'!F$3,100,('исходные данные'!H379-'минимумы и максимумы'!F$2)/('минимумы и максимумы'!F$3-'минимумы и максимумы'!F$2)*100)</f>
        <v>4</v>
      </c>
      <c r="I379" s="1">
        <f>IF('исходные данные'!I379&gt;'минимумы и максимумы'!G$3,100,('исходные данные'!I379-'минимумы и максимумы'!G$2)/('минимумы и максимумы'!G$3-'минимумы и максимумы'!G$2)*100)</f>
        <v>0</v>
      </c>
      <c r="J379" s="1">
        <f>IF('исходные данные'!J379&gt;'минимумы и максимумы'!H$3,100,('исходные данные'!J379-'минимумы и максимумы'!H$2)/('минимумы и максимумы'!H$3-'минимумы и максимумы'!H$2)*100)</f>
        <v>0</v>
      </c>
      <c r="K379" s="1">
        <f>IF('исходные данные'!K379&gt;'минимумы и максимумы'!I$3,100,('исходные данные'!K379-'минимумы и максимумы'!I$2)/('минимумы и максимумы'!I$3-'минимумы и максимумы'!I$2)*100)</f>
        <v>0</v>
      </c>
      <c r="L379" s="1">
        <f>IF('исходные данные'!L379&gt;'минимумы и максимумы'!J$3,100,('исходные данные'!L379-'минимумы и максимумы'!J$2)/('минимумы и максимумы'!J$3-'минимумы и максимумы'!J$2)*100)</f>
        <v>0</v>
      </c>
      <c r="M379" s="1">
        <f>IF('исходные данные'!M379&gt;'минимумы и максимумы'!K$3,100,('исходные данные'!M379-'минимумы и максимумы'!K$2)/('минимумы и максимумы'!K$3-'минимумы и максимумы'!K$2)*100)</f>
        <v>16.129032258064516</v>
      </c>
      <c r="N379" s="1">
        <f>IF('исходные данные'!N379&gt;'минимумы и максимумы'!L$3,100,('исходные данные'!N379-'минимумы и максимумы'!L$2)/('минимумы и максимумы'!L$3-'минимумы и максимумы'!L$2)*100)</f>
        <v>35.036658849765637</v>
      </c>
      <c r="O379" s="1">
        <f>IF('исходные данные'!O379&gt;'минимумы и максимумы'!M$3,100,('исходные данные'!O379-'минимумы и максимумы'!M$2)/('минимумы и максимумы'!M$3-'минимумы и максимумы'!M$2)*100)</f>
        <v>100</v>
      </c>
      <c r="P379" s="1">
        <f>IF('исходные данные'!P379&gt;'минимумы и максимумы'!N$3,100,('исходные данные'!P379-'минимумы и максимумы'!N$2)/('минимумы и максимумы'!N$3-'минимумы и максимумы'!N$2)*100)</f>
        <v>0</v>
      </c>
      <c r="Q379" s="1">
        <f>IF('исходные данные'!Q379&gt;'минимумы и максимумы'!O$3,100,('исходные данные'!Q379-'минимумы и максимумы'!O$2)/('минимумы и максимумы'!O$3-'минимумы и максимумы'!O$2)*100)</f>
        <v>100</v>
      </c>
      <c r="R379" s="1">
        <f>IF('исходные данные'!R379&gt;'минимумы и максимумы'!P$3,100,('исходные данные'!R379-'минимумы и максимумы'!P$2)/('минимумы и максимумы'!P$3-'минимумы и максимумы'!P$2)*100)</f>
        <v>75</v>
      </c>
      <c r="S379" s="1">
        <f>IF('исходные данные'!S379&gt;'минимумы и максимумы'!Q$3,100,('исходные данные'!S379-'минимумы и максимумы'!Q$2)/('минимумы и максимумы'!Q$3-'минимумы и максимумы'!Q$2)*100)</f>
        <v>50</v>
      </c>
      <c r="T379" s="1">
        <f>IF('исходные данные'!T379&gt;'минимумы и максимумы'!R$3,100,('исходные данные'!T379-'минимумы и максимумы'!R$2)/('минимумы и максимумы'!R$3-'минимумы и максимумы'!R$2)*100)</f>
        <v>24.593048834139903</v>
      </c>
      <c r="U379" s="1">
        <f>IF('исходные данные'!U379&gt;'минимумы и максимумы'!S$3,100,('исходные данные'!U379-'минимумы и максимумы'!S$2)/('минимумы и максимумы'!S$3-'минимумы и максимумы'!S$2)*100)</f>
        <v>66.666666666666657</v>
      </c>
    </row>
    <row r="380" spans="1:21" x14ac:dyDescent="0.45">
      <c r="A380" s="4">
        <v>496</v>
      </c>
      <c r="B380" s="4">
        <v>1</v>
      </c>
      <c r="C380" s="4">
        <v>0</v>
      </c>
      <c r="D380" s="1">
        <f>IF('исходные данные'!D380&gt;'минимумы и максимумы'!B$3,100,('исходные данные'!D380-'минимумы и максимумы'!B$2)/('минимумы и максимумы'!B$3-'минимумы и максимумы'!B$2)*100)</f>
        <v>20</v>
      </c>
      <c r="E380" s="1">
        <f>IF('исходные данные'!E380&gt;'минимумы и максимумы'!C$3,100,('исходные данные'!E380-'минимумы и максимумы'!C$2)/('минимумы и максимумы'!C$3-'минимумы и максимумы'!C$2)*100)</f>
        <v>20</v>
      </c>
      <c r="F380" s="1">
        <f>IF('исходные данные'!F380&gt;'минимумы и максимумы'!D$3,100,('исходные данные'!F380-'минимумы и максимумы'!D$2)/('минимумы и максимумы'!D$3-'минимумы и максимумы'!D$2)*100)</f>
        <v>33.333333333333329</v>
      </c>
      <c r="G380" s="1">
        <f>IF('исходные данные'!G380&gt;'минимумы и максимумы'!E$3,100,('исходные данные'!G380-'минимумы и максимумы'!E$2)/('минимумы и максимумы'!E$3-'минимумы и максимумы'!E$2)*100)</f>
        <v>8.3333333333333321</v>
      </c>
      <c r="H380" s="1">
        <f>IF('исходные данные'!H380&gt;'минимумы и максимумы'!F$3,100,('исходные данные'!H380-'минимумы и максимумы'!F$2)/('минимумы и максимумы'!F$3-'минимумы и максимумы'!F$2)*100)</f>
        <v>8</v>
      </c>
      <c r="I380" s="1">
        <f>IF('исходные данные'!I380&gt;'минимумы и максимумы'!G$3,100,('исходные данные'!I380-'минимумы и максимумы'!G$2)/('минимумы и максимумы'!G$3-'минимумы и максимумы'!G$2)*100)</f>
        <v>0</v>
      </c>
      <c r="J380" s="1">
        <f>IF('исходные данные'!J380&gt;'минимумы и максимумы'!H$3,100,('исходные данные'!J380-'минимумы и максимумы'!H$2)/('минимумы и максимумы'!H$3-'минимумы и максимумы'!H$2)*100)</f>
        <v>0</v>
      </c>
      <c r="K380" s="1">
        <f>IF('исходные данные'!K380&gt;'минимумы и максимумы'!I$3,100,('исходные данные'!K380-'минимумы и максимумы'!I$2)/('минимумы и максимумы'!I$3-'минимумы и максимумы'!I$2)*100)</f>
        <v>0</v>
      </c>
      <c r="L380" s="1">
        <f>IF('исходные данные'!L380&gt;'минимумы и максимумы'!J$3,100,('исходные данные'!L380-'минимумы и максимумы'!J$2)/('минимумы и максимумы'!J$3-'минимумы и максимумы'!J$2)*100)</f>
        <v>0</v>
      </c>
      <c r="M380" s="1">
        <f>IF('исходные данные'!M380&gt;'минимумы и максимумы'!K$3,100,('исходные данные'!M380-'минимумы и максимумы'!K$2)/('минимумы и максимумы'!K$3-'минимумы и максимумы'!K$2)*100)</f>
        <v>9.67741935483871</v>
      </c>
      <c r="N380" s="1">
        <f>IF('исходные данные'!N380&gt;'минимумы и максимумы'!L$3,100,('исходные данные'!N380-'минимумы и максимумы'!L$2)/('минимумы и максимумы'!L$3-'минимумы и максимумы'!L$2)*100)</f>
        <v>35.426121024947065</v>
      </c>
      <c r="O380" s="1">
        <f>IF('исходные данные'!O380&gt;'минимумы и максимумы'!M$3,100,('исходные данные'!O380-'минимумы и максимумы'!M$2)/('минимумы и максимумы'!M$3-'минимумы и максимумы'!M$2)*100)</f>
        <v>100</v>
      </c>
      <c r="P380" s="1">
        <f>IF('исходные данные'!P380&gt;'минимумы и максимумы'!N$3,100,('исходные данные'!P380-'минимумы и максимумы'!N$2)/('минимумы и максимумы'!N$3-'минимумы и максимумы'!N$2)*100)</f>
        <v>0</v>
      </c>
      <c r="Q380" s="1">
        <f>IF('исходные данные'!Q380&gt;'минимумы и максимумы'!O$3,100,('исходные данные'!Q380-'минимумы и максимумы'!O$2)/('минимумы и максимумы'!O$3-'минимумы и максимумы'!O$2)*100)</f>
        <v>100</v>
      </c>
      <c r="R380" s="1">
        <f>IF('исходные данные'!R380&gt;'минимумы и максимумы'!P$3,100,('исходные данные'!R380-'минимумы и максимумы'!P$2)/('минимумы и максимумы'!P$3-'минимумы и максимумы'!P$2)*100)</f>
        <v>25</v>
      </c>
      <c r="S380" s="1">
        <f>IF('исходные данные'!S380&gt;'минимумы и максимумы'!Q$3,100,('исходные данные'!S380-'минимумы и максимумы'!Q$2)/('минимумы и максимумы'!Q$3-'минимумы и максимумы'!Q$2)*100)</f>
        <v>83.333333333333343</v>
      </c>
      <c r="T380" s="1">
        <f>IF('исходные данные'!T380&gt;'минимумы и максимумы'!R$3,100,('исходные данные'!T380-'минимумы и максимумы'!R$2)/('минимумы и максимумы'!R$3-'минимумы и максимумы'!R$2)*100)</f>
        <v>35.371755389353275</v>
      </c>
      <c r="U380" s="1">
        <f>IF('исходные данные'!U380&gt;'минимумы и максимумы'!S$3,100,('исходные данные'!U380-'минимумы и максимумы'!S$2)/('минимумы и максимумы'!S$3-'минимумы и максимумы'!S$2)*100)</f>
        <v>0</v>
      </c>
    </row>
    <row r="381" spans="1:21" x14ac:dyDescent="0.45">
      <c r="A381" s="4">
        <v>497</v>
      </c>
      <c r="B381" s="4">
        <v>0</v>
      </c>
      <c r="C381" s="4">
        <v>0</v>
      </c>
      <c r="D381" s="1">
        <f>IF('исходные данные'!D381&gt;'минимумы и максимумы'!B$3,100,('исходные данные'!D381-'минимумы и максимумы'!B$2)/('минимумы и максимумы'!B$3-'минимумы и максимумы'!B$2)*100)</f>
        <v>0</v>
      </c>
      <c r="E381" s="1">
        <f>IF('исходные данные'!E381&gt;'минимумы и максимумы'!C$3,100,('исходные данные'!E381-'минимумы и максимумы'!C$2)/('минимумы и максимумы'!C$3-'минимумы и максимумы'!C$2)*100)</f>
        <v>0</v>
      </c>
      <c r="F381" s="1">
        <f>IF('исходные данные'!F381&gt;'минимумы и максимумы'!D$3,100,('исходные данные'!F381-'минимумы и максимумы'!D$2)/('минимумы и максимумы'!D$3-'минимумы и максимумы'!D$2)*100)</f>
        <v>0</v>
      </c>
      <c r="G381" s="1">
        <f>IF('исходные данные'!G381&gt;'минимумы и максимумы'!E$3,100,('исходные данные'!G381-'минимумы и максимумы'!E$2)/('минимумы и максимумы'!E$3-'минимумы и максимумы'!E$2)*100)</f>
        <v>12.5</v>
      </c>
      <c r="H381" s="1">
        <f>IF('исходные данные'!H381&gt;'минимумы и максимумы'!F$3,100,('исходные данные'!H381-'минимумы и максимумы'!F$2)/('минимумы и максимумы'!F$3-'минимумы и максимумы'!F$2)*100)</f>
        <v>0</v>
      </c>
      <c r="I381" s="1">
        <f>IF('исходные данные'!I381&gt;'минимумы и максимумы'!G$3,100,('исходные данные'!I381-'минимумы и максимумы'!G$2)/('минимумы и максимумы'!G$3-'минимумы и максимумы'!G$2)*100)</f>
        <v>7.5471698113207548</v>
      </c>
      <c r="J381" s="1">
        <f>IF('исходные данные'!J381&gt;'минимумы и максимумы'!H$3,100,('исходные данные'!J381-'минимумы и максимумы'!H$2)/('минимумы и максимумы'!H$3-'минимумы и максимумы'!H$2)*100)</f>
        <v>0</v>
      </c>
      <c r="K381" s="1">
        <f>IF('исходные данные'!K381&gt;'минимумы и максимумы'!I$3,100,('исходные данные'!K381-'минимумы и максимумы'!I$2)/('минимумы и максимумы'!I$3-'минимумы и максимумы'!I$2)*100)</f>
        <v>22.222222222222221</v>
      </c>
      <c r="L381" s="1">
        <f>IF('исходные данные'!L381&gt;'минимумы и максимумы'!J$3,100,('исходные данные'!L381-'минимумы и максимумы'!J$2)/('минимумы и максимумы'!J$3-'минимумы и максимумы'!J$2)*100)</f>
        <v>0</v>
      </c>
      <c r="M381" s="1">
        <f>IF('исходные данные'!M381&gt;'минимумы и максимумы'!K$3,100,('исходные данные'!M381-'минимумы и максимумы'!K$2)/('минимумы и максимумы'!K$3-'минимумы и максимумы'!K$2)*100)</f>
        <v>35.483870967741936</v>
      </c>
      <c r="N381" s="1">
        <f>IF('исходные данные'!N381&gt;'минимумы и максимумы'!L$3,100,('исходные данные'!N381-'минимумы и максимумы'!L$2)/('минимумы и максимумы'!L$3-'минимумы и максимумы'!L$2)*100)</f>
        <v>28.197330326275562</v>
      </c>
      <c r="O381" s="1">
        <f>IF('исходные данные'!O381&gt;'минимумы и максимумы'!M$3,100,('исходные данные'!O381-'минимумы и максимумы'!M$2)/('минимумы и максимумы'!M$3-'минимумы и максимумы'!M$2)*100)</f>
        <v>100</v>
      </c>
      <c r="P381" s="1">
        <f>IF('исходные данные'!P381&gt;'минимумы и максимумы'!N$3,100,('исходные данные'!P381-'минимумы и максимумы'!N$2)/('минимумы и максимумы'!N$3-'минимумы и максимумы'!N$2)*100)</f>
        <v>100</v>
      </c>
      <c r="Q381" s="1">
        <f>IF('исходные данные'!Q381&gt;'минимумы и максимумы'!O$3,100,('исходные данные'!Q381-'минимумы и максимумы'!O$2)/('минимумы и максимумы'!O$3-'минимумы и максимумы'!O$2)*100)</f>
        <v>100</v>
      </c>
      <c r="R381" s="1">
        <f>IF('исходные данные'!R381&gt;'минимумы и максимумы'!P$3,100,('исходные данные'!R381-'минимумы и максимумы'!P$2)/('минимумы и максимумы'!P$3-'минимумы и максимумы'!P$2)*100)</f>
        <v>75</v>
      </c>
      <c r="S381" s="1">
        <f>IF('исходные данные'!S381&gt;'минимумы и максимумы'!Q$3,100,('исходные данные'!S381-'минимумы и максимумы'!Q$2)/('минимумы и максимумы'!Q$3-'минимумы и максимумы'!Q$2)*100)</f>
        <v>33.333333333333329</v>
      </c>
      <c r="T381" s="1">
        <f>IF('исходные данные'!T381&gt;'минимумы и максимумы'!R$3,100,('исходные данные'!T381-'минимумы и максимумы'!R$2)/('минимумы и максимумы'!R$3-'минимумы и максимумы'!R$2)*100)</f>
        <v>20.809502859656842</v>
      </c>
      <c r="U381" s="1">
        <f>IF('исходные данные'!U381&gt;'минимумы и максимумы'!S$3,100,('исходные данные'!U381-'минимумы и максимумы'!S$2)/('минимумы и максимумы'!S$3-'минимумы и максимумы'!S$2)*100)</f>
        <v>33.333333333333329</v>
      </c>
    </row>
    <row r="382" spans="1:21" x14ac:dyDescent="0.45">
      <c r="A382" s="4">
        <v>498</v>
      </c>
      <c r="B382" s="4">
        <v>0</v>
      </c>
      <c r="C382" s="4">
        <v>0</v>
      </c>
      <c r="D382" s="1">
        <f>IF('исходные данные'!D382&gt;'минимумы и максимумы'!B$3,100,('исходные данные'!D382-'минимумы и максимумы'!B$2)/('минимумы и максимумы'!B$3-'минимумы и максимумы'!B$2)*100)</f>
        <v>0</v>
      </c>
      <c r="E382" s="1">
        <f>IF('исходные данные'!E382&gt;'минимумы и максимумы'!C$3,100,('исходные данные'!E382-'минимумы и максимумы'!C$2)/('минимумы и максимумы'!C$3-'минимумы и максимумы'!C$2)*100)</f>
        <v>10</v>
      </c>
      <c r="F382" s="1">
        <f>IF('исходные данные'!F382&gt;'минимумы и максимумы'!D$3,100,('исходные данные'!F382-'минимумы и максимумы'!D$2)/('минимумы и максимумы'!D$3-'минимумы и максимумы'!D$2)*100)</f>
        <v>0</v>
      </c>
      <c r="G382" s="1">
        <f>IF('исходные данные'!G382&gt;'минимумы и максимумы'!E$3,100,('исходные данные'!G382-'минимумы и максимумы'!E$2)/('минимумы и максимумы'!E$3-'минимумы и максимумы'!E$2)*100)</f>
        <v>8.3333333333333321</v>
      </c>
      <c r="H382" s="1">
        <f>IF('исходные данные'!H382&gt;'минимумы и максимумы'!F$3,100,('исходные данные'!H382-'минимумы и максимумы'!F$2)/('минимумы и максимумы'!F$3-'минимумы и максимумы'!F$2)*100)</f>
        <v>0</v>
      </c>
      <c r="I382" s="1">
        <f>IF('исходные данные'!I382&gt;'минимумы и максимумы'!G$3,100,('исходные данные'!I382-'минимумы и максимумы'!G$2)/('минимумы и максимумы'!G$3-'минимумы и максимумы'!G$2)*100)</f>
        <v>9.433962264150944</v>
      </c>
      <c r="J382" s="1">
        <f>IF('исходные данные'!J382&gt;'минимумы и максимумы'!H$3,100,('исходные данные'!J382-'минимумы и максимумы'!H$2)/('минимумы и максимумы'!H$3-'минимумы и максимумы'!H$2)*100)</f>
        <v>6.666666666666667</v>
      </c>
      <c r="K382" s="1">
        <f>IF('исходные данные'!K382&gt;'минимумы и максимумы'!I$3,100,('исходные данные'!K382-'минимумы и максимумы'!I$2)/('минимумы и максимумы'!I$3-'минимумы и максимумы'!I$2)*100)</f>
        <v>22.222222222222221</v>
      </c>
      <c r="L382" s="1">
        <f>IF('исходные данные'!L382&gt;'минимумы и максимумы'!J$3,100,('исходные данные'!L382-'минимумы и максимумы'!J$2)/('минимумы и максимумы'!J$3-'минимумы и максимумы'!J$2)*100)</f>
        <v>0</v>
      </c>
      <c r="M382" s="1">
        <f>IF('исходные данные'!M382&gt;'минимумы и максимумы'!K$3,100,('исходные данные'!M382-'минимумы и максимумы'!K$2)/('минимумы и максимумы'!K$3-'минимумы и максимумы'!K$2)*100)</f>
        <v>32.258064516129032</v>
      </c>
      <c r="N382" s="1">
        <f>IF('исходные данные'!N382&gt;'минимумы и максимумы'!L$3,100,('исходные данные'!N382-'минимумы и максимумы'!L$2)/('минимумы и максимумы'!L$3-'минимумы и максимумы'!L$2)*100)</f>
        <v>27.095804422828294</v>
      </c>
      <c r="O382" s="1">
        <f>IF('исходные данные'!O382&gt;'минимумы и максимумы'!M$3,100,('исходные данные'!O382-'минимумы и максимумы'!M$2)/('минимумы и максимумы'!M$3-'минимумы и максимумы'!M$2)*100)</f>
        <v>100</v>
      </c>
      <c r="P382" s="1">
        <f>IF('исходные данные'!P382&gt;'минимумы и максимумы'!N$3,100,('исходные данные'!P382-'минимумы и максимумы'!N$2)/('минимумы и максимумы'!N$3-'минимумы и максимумы'!N$2)*100)</f>
        <v>100</v>
      </c>
      <c r="Q382" s="1">
        <f>IF('исходные данные'!Q382&gt;'минимумы и максимумы'!O$3,100,('исходные данные'!Q382-'минимумы и максимумы'!O$2)/('минимумы и максимумы'!O$3-'минимумы и максимумы'!O$2)*100)</f>
        <v>100</v>
      </c>
      <c r="R382" s="1">
        <f>IF('исходные данные'!R382&gt;'минимумы и максимумы'!P$3,100,('исходные данные'!R382-'минимумы и максимумы'!P$2)/('минимумы и максимумы'!P$3-'минимумы и максимумы'!P$2)*100)</f>
        <v>75</v>
      </c>
      <c r="S382" s="1">
        <f>IF('исходные данные'!S382&gt;'минимумы и максимумы'!Q$3,100,('исходные данные'!S382-'минимумы и максимумы'!Q$2)/('минимумы и максимумы'!Q$3-'минимумы и максимумы'!Q$2)*100)</f>
        <v>33.333333333333329</v>
      </c>
      <c r="T382" s="1">
        <f>IF('исходные данные'!T382&gt;'минимумы и максимумы'!R$3,100,('исходные данные'!T382-'минимумы и максимумы'!R$2)/('минимумы и максимумы'!R$3-'минимумы и максимумы'!R$2)*100)</f>
        <v>33.304003519577648</v>
      </c>
      <c r="U382" s="1">
        <f>IF('исходные данные'!U382&gt;'минимумы и максимумы'!S$3,100,('исходные данные'!U382-'минимумы и максимумы'!S$2)/('минимумы и максимумы'!S$3-'минимумы и максимумы'!S$2)*100)</f>
        <v>0</v>
      </c>
    </row>
    <row r="383" spans="1:21" x14ac:dyDescent="0.45">
      <c r="A383" s="4">
        <v>499</v>
      </c>
      <c r="B383" s="4">
        <v>0</v>
      </c>
      <c r="C383" s="4">
        <v>0</v>
      </c>
      <c r="D383" s="1">
        <f>IF('исходные данные'!D383&gt;'минимумы и максимумы'!B$3,100,('исходные данные'!D383-'минимумы и максимумы'!B$2)/('минимумы и максимумы'!B$3-'минимумы и максимумы'!B$2)*100)</f>
        <v>0</v>
      </c>
      <c r="E383" s="1">
        <f>IF('исходные данные'!E383&gt;'минимумы и максимумы'!C$3,100,('исходные данные'!E383-'минимумы и максимумы'!C$2)/('минимумы и максимумы'!C$3-'минимумы и максимумы'!C$2)*100)</f>
        <v>20</v>
      </c>
      <c r="F383" s="1">
        <f>IF('исходные данные'!F383&gt;'минимумы и максимумы'!D$3,100,('исходные данные'!F383-'минимумы и максимумы'!D$2)/('минимумы и максимумы'!D$3-'минимумы и максимумы'!D$2)*100)</f>
        <v>0</v>
      </c>
      <c r="G383" s="1">
        <f>IF('исходные данные'!G383&gt;'минимумы и максимумы'!E$3,100,('исходные данные'!G383-'минимумы и максимумы'!E$2)/('минимумы и максимумы'!E$3-'минимумы и максимумы'!E$2)*100)</f>
        <v>8.3333333333333321</v>
      </c>
      <c r="H383" s="1">
        <f>IF('исходные данные'!H383&gt;'минимумы и максимумы'!F$3,100,('исходные данные'!H383-'минимумы и максимумы'!F$2)/('минимумы и максимумы'!F$3-'минимумы и максимумы'!F$2)*100)</f>
        <v>0</v>
      </c>
      <c r="I383" s="1">
        <f>IF('исходные данные'!I383&gt;'минимумы и максимумы'!G$3,100,('исходные данные'!I383-'минимумы и максимумы'!G$2)/('минимумы и максимумы'!G$3-'минимумы и максимумы'!G$2)*100)</f>
        <v>9.433962264150944</v>
      </c>
      <c r="J383" s="1">
        <f>IF('исходные данные'!J383&gt;'минимумы и максимумы'!H$3,100,('исходные данные'!J383-'минимумы и максимумы'!H$2)/('минимумы и максимумы'!H$3-'минимумы и максимумы'!H$2)*100)</f>
        <v>6.666666666666667</v>
      </c>
      <c r="K383" s="1">
        <f>IF('исходные данные'!K383&gt;'минимумы и максимумы'!I$3,100,('исходные данные'!K383-'минимумы и максимумы'!I$2)/('минимумы и максимумы'!I$3-'минимумы и максимумы'!I$2)*100)</f>
        <v>16.666666666666664</v>
      </c>
      <c r="L383" s="1">
        <f>IF('исходные данные'!L383&gt;'минимумы и максимумы'!J$3,100,('исходные данные'!L383-'минимумы и максимумы'!J$2)/('минимумы и максимумы'!J$3-'минимумы и максимумы'!J$2)*100)</f>
        <v>0</v>
      </c>
      <c r="M383" s="1">
        <f>IF('исходные данные'!M383&gt;'минимумы и максимумы'!K$3,100,('исходные данные'!M383-'минимумы и максимумы'!K$2)/('минимумы и максимумы'!K$3-'минимумы и максимумы'!K$2)*100)</f>
        <v>25.806451612903224</v>
      </c>
      <c r="N383" s="1">
        <f>IF('исходные данные'!N383&gt;'минимумы и максимумы'!L$3,100,('исходные данные'!N383-'минимумы и максимумы'!L$2)/('минимумы и максимумы'!L$3-'минимумы и максимумы'!L$2)*100)</f>
        <v>27.583517964456441</v>
      </c>
      <c r="O383" s="1">
        <f>IF('исходные данные'!O383&gt;'минимумы и максимумы'!M$3,100,('исходные данные'!O383-'минимумы и максимумы'!M$2)/('минимумы и максимумы'!M$3-'минимумы и максимумы'!M$2)*100)</f>
        <v>0</v>
      </c>
      <c r="P383" s="1">
        <f>IF('исходные данные'!P383&gt;'минимумы и максимумы'!N$3,100,('исходные данные'!P383-'минимумы и максимумы'!N$2)/('минимумы и максимумы'!N$3-'минимумы и максимумы'!N$2)*100)</f>
        <v>0</v>
      </c>
      <c r="Q383" s="1">
        <f>IF('исходные данные'!Q383&gt;'минимумы и максимумы'!O$3,100,('исходные данные'!Q383-'минимумы и максимумы'!O$2)/('минимумы и максимумы'!O$3-'минимумы и максимумы'!O$2)*100)</f>
        <v>100</v>
      </c>
      <c r="R383" s="1">
        <f>IF('исходные данные'!R383&gt;'минимумы и максимумы'!P$3,100,('исходные данные'!R383-'минимумы и максимумы'!P$2)/('минимумы и максимумы'!P$3-'минимумы и максимумы'!P$2)*100)</f>
        <v>50</v>
      </c>
      <c r="S383" s="1">
        <f>IF('исходные данные'!S383&gt;'минимумы и максимумы'!Q$3,100,('исходные данные'!S383-'минимумы и максимумы'!Q$2)/('минимумы и максимумы'!Q$3-'минимумы и максимумы'!Q$2)*100)</f>
        <v>33.333333333333329</v>
      </c>
      <c r="T383" s="1">
        <f>IF('исходные данные'!T383&gt;'минимумы и максимумы'!R$3,100,('исходные данные'!T383-'минимумы и максимумы'!R$2)/('минимумы и максимумы'!R$3-'минимумы и максимумы'!R$2)*100)</f>
        <v>85.7017157941047</v>
      </c>
      <c r="U383" s="1">
        <f>IF('исходные данные'!U383&gt;'минимумы и максимумы'!S$3,100,('исходные данные'!U383-'минимумы и максимумы'!S$2)/('минимумы и максимумы'!S$3-'минимумы и максимумы'!S$2)*100)</f>
        <v>33.333333333333329</v>
      </c>
    </row>
    <row r="384" spans="1:21" x14ac:dyDescent="0.45">
      <c r="A384" s="4">
        <v>500</v>
      </c>
      <c r="B384" s="4">
        <v>0</v>
      </c>
      <c r="C384" s="4">
        <v>0</v>
      </c>
      <c r="D384" s="1">
        <f>IF('исходные данные'!D384&gt;'минимумы и максимумы'!B$3,100,('исходные данные'!D384-'минимумы и максимумы'!B$2)/('минимумы и максимумы'!B$3-'минимумы и максимумы'!B$2)*100)</f>
        <v>0</v>
      </c>
      <c r="E384" s="1">
        <f>IF('исходные данные'!E384&gt;'минимумы и максимумы'!C$3,100,('исходные данные'!E384-'минимумы и максимумы'!C$2)/('минимумы и максимумы'!C$3-'минимумы и максимумы'!C$2)*100)</f>
        <v>0</v>
      </c>
      <c r="F384" s="1">
        <f>IF('исходные данные'!F384&gt;'минимумы и максимумы'!D$3,100,('исходные данные'!F384-'минимумы и максимумы'!D$2)/('минимумы и максимумы'!D$3-'минимумы и максимумы'!D$2)*100)</f>
        <v>0</v>
      </c>
      <c r="G384" s="1">
        <f>IF('исходные данные'!G384&gt;'минимумы и максимумы'!E$3,100,('исходные данные'!G384-'минимумы и максимумы'!E$2)/('минимумы и максимумы'!E$3-'минимумы и максимумы'!E$2)*100)</f>
        <v>4.1666666666666661</v>
      </c>
      <c r="H384" s="1">
        <f>IF('исходные данные'!H384&gt;'минимумы и максимумы'!F$3,100,('исходные данные'!H384-'минимумы и максимумы'!F$2)/('минимумы и максимумы'!F$3-'минимумы и максимумы'!F$2)*100)</f>
        <v>0</v>
      </c>
      <c r="I384" s="1">
        <f>IF('исходные данные'!I384&gt;'минимумы и максимумы'!G$3,100,('исходные данные'!I384-'минимумы и максимумы'!G$2)/('минимумы и максимумы'!G$3-'минимумы и максимумы'!G$2)*100)</f>
        <v>0</v>
      </c>
      <c r="J384" s="1">
        <f>IF('исходные данные'!J384&gt;'минимумы и максимумы'!H$3,100,('исходные данные'!J384-'минимумы и максимумы'!H$2)/('минимумы и максимумы'!H$3-'минимумы и максимумы'!H$2)*100)</f>
        <v>0</v>
      </c>
      <c r="K384" s="1">
        <f>IF('исходные данные'!K384&gt;'минимумы и максимумы'!I$3,100,('исходные данные'!K384-'минимумы и максимумы'!I$2)/('минимумы и максимумы'!I$3-'минимумы и максимумы'!I$2)*100)</f>
        <v>11.111111111111111</v>
      </c>
      <c r="L384" s="1">
        <f>IF('исходные данные'!L384&gt;'минимумы и максимумы'!J$3,100,('исходные данные'!L384-'минимумы и максимумы'!J$2)/('минимумы и максимумы'!J$3-'минимумы и максимумы'!J$2)*100)</f>
        <v>0</v>
      </c>
      <c r="M384" s="1">
        <f>IF('исходные данные'!M384&gt;'минимумы и максимумы'!K$3,100,('исходные данные'!M384-'минимумы и максимумы'!K$2)/('минимумы и максимумы'!K$3-'минимумы и максимумы'!K$2)*100)</f>
        <v>45.161290322580641</v>
      </c>
      <c r="N384" s="1">
        <f>IF('исходные данные'!N384&gt;'минимумы и максимумы'!L$3,100,('исходные данные'!N384-'минимумы и максимумы'!L$2)/('минимумы и максимумы'!L$3-'минимумы и максимумы'!L$2)*100)</f>
        <v>31.306922599568267</v>
      </c>
      <c r="O384" s="1">
        <f>IF('исходные данные'!O384&gt;'минимумы и максимумы'!M$3,100,('исходные данные'!O384-'минимумы и максимумы'!M$2)/('минимумы и максимумы'!M$3-'минимумы и максимумы'!M$2)*100)</f>
        <v>66.666666666666657</v>
      </c>
      <c r="P384" s="1">
        <f>IF('исходные данные'!P384&gt;'минимумы и максимумы'!N$3,100,('исходные данные'!P384-'минимумы и максимумы'!N$2)/('минимумы и максимумы'!N$3-'минимумы и максимумы'!N$2)*100)</f>
        <v>0</v>
      </c>
      <c r="Q384" s="1">
        <f>IF('исходные данные'!Q384&gt;'минимумы и максимумы'!O$3,100,('исходные данные'!Q384-'минимумы и максимумы'!O$2)/('минимумы и максимумы'!O$3-'минимумы и максимумы'!O$2)*100)</f>
        <v>0</v>
      </c>
      <c r="R384" s="1">
        <f>IF('исходные данные'!R384&gt;'минимумы и максимумы'!P$3,100,('исходные данные'!R384-'минимумы и максимумы'!P$2)/('минимумы и максимумы'!P$3-'минимумы и максимумы'!P$2)*100)</f>
        <v>75</v>
      </c>
      <c r="S384" s="1">
        <f>IF('исходные данные'!S384&gt;'минимумы и максимумы'!Q$3,100,('исходные данные'!S384-'минимумы и максимумы'!Q$2)/('минимумы и максимумы'!Q$3-'минимумы и максимумы'!Q$2)*100)</f>
        <v>66.666666666666657</v>
      </c>
      <c r="T384" s="1">
        <f>IF('исходные данные'!T384&gt;'минимумы и максимумы'!R$3,100,('исходные данные'!T384-'минимумы и максимумы'!R$2)/('минимумы и максимумы'!R$3-'минимумы и максимумы'!R$2)*100)</f>
        <v>100</v>
      </c>
      <c r="U384" s="1">
        <f>IF('исходные данные'!U384&gt;'минимумы и максимумы'!S$3,100,('исходные данные'!U384-'минимумы и максимумы'!S$2)/('минимумы и максимумы'!S$3-'минимумы и максимумы'!S$2)*100)</f>
        <v>0</v>
      </c>
    </row>
    <row r="385" spans="1:21" x14ac:dyDescent="0.45">
      <c r="A385" s="4">
        <v>501</v>
      </c>
      <c r="B385" s="4">
        <v>0</v>
      </c>
      <c r="C385" s="4">
        <v>0</v>
      </c>
      <c r="D385" s="1">
        <f>IF('исходные данные'!D385&gt;'минимумы и максимумы'!B$3,100,('исходные данные'!D385-'минимумы и максимумы'!B$2)/('минимумы и максимумы'!B$3-'минимумы и максимумы'!B$2)*100)</f>
        <v>0</v>
      </c>
      <c r="E385" s="1">
        <f>IF('исходные данные'!E385&gt;'минимумы и максимумы'!C$3,100,('исходные данные'!E385-'минимумы и максимумы'!C$2)/('минимумы и максимумы'!C$3-'минимумы и максимумы'!C$2)*100)</f>
        <v>10</v>
      </c>
      <c r="F385" s="1">
        <f>IF('исходные данные'!F385&gt;'минимумы и максимумы'!D$3,100,('исходные данные'!F385-'минимумы и максимумы'!D$2)/('минимумы и максимумы'!D$3-'минимумы и максимумы'!D$2)*100)</f>
        <v>0</v>
      </c>
      <c r="G385" s="1">
        <f>IF('исходные данные'!G385&gt;'минимумы и максимумы'!E$3,100,('исходные данные'!G385-'минимумы и максимумы'!E$2)/('минимумы и максимумы'!E$3-'минимумы и максимумы'!E$2)*100)</f>
        <v>16.666666666666664</v>
      </c>
      <c r="H385" s="1">
        <f>IF('исходные данные'!H385&gt;'минимумы и максимумы'!F$3,100,('исходные данные'!H385-'минимумы и максимумы'!F$2)/('минимумы и максимумы'!F$3-'минимумы и максимумы'!F$2)*100)</f>
        <v>16</v>
      </c>
      <c r="I385" s="1">
        <f>IF('исходные данные'!I385&gt;'минимумы и максимумы'!G$3,100,('исходные данные'!I385-'минимумы и максимумы'!G$2)/('минимумы и максимумы'!G$3-'минимумы и максимумы'!G$2)*100)</f>
        <v>7.5471698113207548</v>
      </c>
      <c r="J385" s="1">
        <f>IF('исходные данные'!J385&gt;'минимумы и максимумы'!H$3,100,('исходные данные'!J385-'минимумы и максимумы'!H$2)/('минимумы и максимумы'!H$3-'минимумы и максимумы'!H$2)*100)</f>
        <v>0</v>
      </c>
      <c r="K385" s="1">
        <f>IF('исходные данные'!K385&gt;'минимумы и максимумы'!I$3,100,('исходные данные'!K385-'минимумы и максимумы'!I$2)/('минимумы и максимумы'!I$3-'минимумы и максимумы'!I$2)*100)</f>
        <v>33.333333333333329</v>
      </c>
      <c r="L385" s="1">
        <f>IF('исходные данные'!L385&gt;'минимумы и максимумы'!J$3,100,('исходные данные'!L385-'минимумы и максимумы'!J$2)/('минимумы и максимумы'!J$3-'минимумы и максимумы'!J$2)*100)</f>
        <v>0</v>
      </c>
      <c r="M385" s="1">
        <f>IF('исходные данные'!M385&gt;'минимумы и максимумы'!K$3,100,('исходные данные'!M385-'минимумы и максимумы'!K$2)/('минимумы и максимумы'!K$3-'минимумы и максимумы'!K$2)*100)</f>
        <v>64.516129032258064</v>
      </c>
      <c r="N385" s="1">
        <f>IF('исходные данные'!N385&gt;'минимумы и максимумы'!L$3,100,('исходные данные'!N385-'минимумы и максимумы'!L$2)/('минимумы и максимумы'!L$3-'минимумы и максимумы'!L$2)*100)</f>
        <v>30.341855431272407</v>
      </c>
      <c r="O385" s="1">
        <f>IF('исходные данные'!O385&gt;'минимумы и максимумы'!M$3,100,('исходные данные'!O385-'минимумы и максимумы'!M$2)/('минимумы и максимумы'!M$3-'минимумы и максимумы'!M$2)*100)</f>
        <v>66.666666666666657</v>
      </c>
      <c r="P385" s="1">
        <f>IF('исходные данные'!P385&gt;'минимумы и максимумы'!N$3,100,('исходные данные'!P385-'минимумы и максимумы'!N$2)/('минимумы и максимумы'!N$3-'минимумы и максимумы'!N$2)*100)</f>
        <v>0</v>
      </c>
      <c r="Q385" s="1">
        <f>IF('исходные данные'!Q385&gt;'минимумы и максимумы'!O$3,100,('исходные данные'!Q385-'минимумы и максимумы'!O$2)/('минимумы и максимумы'!O$3-'минимумы и максимумы'!O$2)*100)</f>
        <v>0</v>
      </c>
      <c r="R385" s="1">
        <f>IF('исходные данные'!R385&gt;'минимумы и максимумы'!P$3,100,('исходные данные'!R385-'минимумы и максимумы'!P$2)/('минимумы и максимумы'!P$3-'минимумы и максимумы'!P$2)*100)</f>
        <v>75</v>
      </c>
      <c r="S385" s="1">
        <f>IF('исходные данные'!S385&gt;'минимумы и максимумы'!Q$3,100,('исходные данные'!S385-'минимумы и максимумы'!Q$2)/('минимумы и максимумы'!Q$3-'минимумы и максимумы'!Q$2)*100)</f>
        <v>16.666666666666664</v>
      </c>
      <c r="T385" s="1">
        <f>IF('исходные данные'!T385&gt;'минимумы и максимумы'!R$3,100,('исходные данные'!T385-'минимумы и максимумы'!R$2)/('минимумы и максимумы'!R$3-'минимумы и максимумы'!R$2)*100)</f>
        <v>1.8477782666080071</v>
      </c>
      <c r="U385" s="1">
        <f>IF('исходные данные'!U385&gt;'минимумы и максимумы'!S$3,100,('исходные данные'!U385-'минимумы и максимумы'!S$2)/('минимумы и максимумы'!S$3-'минимумы и максимумы'!S$2)*100)</f>
        <v>0</v>
      </c>
    </row>
    <row r="386" spans="1:21" x14ac:dyDescent="0.45">
      <c r="A386" s="4">
        <v>502</v>
      </c>
      <c r="B386" s="4">
        <v>0</v>
      </c>
      <c r="C386" s="4">
        <v>0</v>
      </c>
      <c r="D386" s="1">
        <f>IF('исходные данные'!D386&gt;'минимумы и максимумы'!B$3,100,('исходные данные'!D386-'минимумы и максимумы'!B$2)/('минимумы и максимумы'!B$3-'минимумы и максимумы'!B$2)*100)</f>
        <v>20</v>
      </c>
      <c r="E386" s="1">
        <f>IF('исходные данные'!E386&gt;'минимумы и максимумы'!C$3,100,('исходные данные'!E386-'минимумы и максимумы'!C$2)/('минимумы и максимумы'!C$3-'минимумы и максимумы'!C$2)*100)</f>
        <v>40</v>
      </c>
      <c r="F386" s="1">
        <f>IF('исходные данные'!F386&gt;'минимумы и максимумы'!D$3,100,('исходные данные'!F386-'минимумы и максимумы'!D$2)/('минимумы и максимумы'!D$3-'минимумы и максимумы'!D$2)*100)</f>
        <v>0</v>
      </c>
      <c r="G386" s="1">
        <f>IF('исходные данные'!G386&gt;'минимумы и максимумы'!E$3,100,('исходные данные'!G386-'минимумы и максимумы'!E$2)/('минимумы и максимумы'!E$3-'минимумы и максимумы'!E$2)*100)</f>
        <v>37.5</v>
      </c>
      <c r="H386" s="1">
        <f>IF('исходные данные'!H386&gt;'минимумы и максимумы'!F$3,100,('исходные данные'!H386-'минимумы и максимумы'!F$2)/('минимумы и максимумы'!F$3-'минимумы и максимумы'!F$2)*100)</f>
        <v>56.000000000000007</v>
      </c>
      <c r="I386" s="1">
        <f>IF('исходные данные'!I386&gt;'минимумы и максимумы'!G$3,100,('исходные данные'!I386-'минимумы и максимумы'!G$2)/('минимумы и максимумы'!G$3-'минимумы и максимумы'!G$2)*100)</f>
        <v>15.09433962264151</v>
      </c>
      <c r="J386" s="1">
        <f>IF('исходные данные'!J386&gt;'минимумы и максимумы'!H$3,100,('исходные данные'!J386-'минимумы и максимумы'!H$2)/('минимумы и максимумы'!H$3-'минимумы и максимумы'!H$2)*100)</f>
        <v>26.666666666666668</v>
      </c>
      <c r="K386" s="1">
        <f>IF('исходные данные'!K386&gt;'минимумы и максимумы'!I$3,100,('исходные данные'!K386-'минимумы и максимумы'!I$2)/('минимумы и максимумы'!I$3-'минимумы и максимумы'!I$2)*100)</f>
        <v>16.666666666666664</v>
      </c>
      <c r="L386" s="1">
        <f>IF('исходные данные'!L386&gt;'минимумы и максимумы'!J$3,100,('исходные данные'!L386-'минимумы и максимумы'!J$2)/('минимумы и максимумы'!J$3-'минимумы и максимумы'!J$2)*100)</f>
        <v>20</v>
      </c>
      <c r="M386" s="1">
        <f>IF('исходные данные'!M386&gt;'минимумы и максимумы'!K$3,100,('исходные данные'!M386-'минимумы и максимумы'!K$2)/('минимумы и максимумы'!K$3-'минимумы и максимумы'!K$2)*100)</f>
        <v>41.935483870967744</v>
      </c>
      <c r="N386" s="1">
        <f>IF('исходные данные'!N386&gt;'минимумы и максимумы'!L$3,100,('исходные данные'!N386-'минимумы и максимумы'!L$2)/('минимумы и максимумы'!L$3-'минимумы и максимумы'!L$2)*100)</f>
        <v>29.673924824760334</v>
      </c>
      <c r="O386" s="1">
        <f>IF('исходные данные'!O386&gt;'минимумы и максимумы'!M$3,100,('исходные данные'!O386-'минимумы и максимумы'!M$2)/('минимумы и максимумы'!M$3-'минимумы и максимумы'!M$2)*100)</f>
        <v>66.666666666666657</v>
      </c>
      <c r="P386" s="1">
        <f>IF('исходные данные'!P386&gt;'минимумы и максимумы'!N$3,100,('исходные данные'!P386-'минимумы и максимумы'!N$2)/('минимумы и максимумы'!N$3-'минимумы и максимумы'!N$2)*100)</f>
        <v>0</v>
      </c>
      <c r="Q386" s="1">
        <f>IF('исходные данные'!Q386&gt;'минимумы и максимумы'!O$3,100,('исходные данные'!Q386-'минимумы и максимумы'!O$2)/('минимумы и максимумы'!O$3-'минимумы и максимумы'!O$2)*100)</f>
        <v>100</v>
      </c>
      <c r="R386" s="1">
        <f>IF('исходные данные'!R386&gt;'минимумы и максимумы'!P$3,100,('исходные данные'!R386-'минимумы и максимумы'!P$2)/('минимумы и максимумы'!P$3-'минимумы и максимумы'!P$2)*100)</f>
        <v>100</v>
      </c>
      <c r="S386" s="1">
        <f>IF('исходные данные'!S386&gt;'минимумы и максимумы'!Q$3,100,('исходные данные'!S386-'минимумы и максимумы'!Q$2)/('минимумы и максимумы'!Q$3-'минимумы и максимумы'!Q$2)*100)</f>
        <v>33.333333333333329</v>
      </c>
      <c r="T386" s="1">
        <f>IF('исходные данные'!T386&gt;'минимумы и максимумы'!R$3,100,('исходные данные'!T386-'минимумы и максимумы'!R$2)/('минимумы и максимумы'!R$3-'минимумы и максимумы'!R$2)*100)</f>
        <v>25.560932688077433</v>
      </c>
      <c r="U386" s="1">
        <f>IF('исходные данные'!U386&gt;'минимумы и максимумы'!S$3,100,('исходные данные'!U386-'минимумы и максимумы'!S$2)/('минимумы и максимумы'!S$3-'минимумы и максимумы'!S$2)*100)</f>
        <v>66.666666666666657</v>
      </c>
    </row>
    <row r="387" spans="1:21" x14ac:dyDescent="0.45">
      <c r="A387" s="4">
        <v>503</v>
      </c>
      <c r="B387" s="4">
        <v>0</v>
      </c>
      <c r="C387" s="4">
        <v>0</v>
      </c>
      <c r="D387" s="1">
        <f>IF('исходные данные'!D387&gt;'минимумы и максимумы'!B$3,100,('исходные данные'!D387-'минимумы и максимумы'!B$2)/('минимумы и максимумы'!B$3-'минимумы и максимумы'!B$2)*100)</f>
        <v>20</v>
      </c>
      <c r="E387" s="1">
        <f>IF('исходные данные'!E387&gt;'минимумы и максимумы'!C$3,100,('исходные данные'!E387-'минимумы и максимумы'!C$2)/('минимумы и максимумы'!C$3-'минимумы и максимумы'!C$2)*100)</f>
        <v>40</v>
      </c>
      <c r="F387" s="1">
        <f>IF('исходные данные'!F387&gt;'минимумы и максимумы'!D$3,100,('исходные данные'!F387-'минимумы и максимумы'!D$2)/('минимумы и максимумы'!D$3-'минимумы и максимумы'!D$2)*100)</f>
        <v>33.333333333333329</v>
      </c>
      <c r="G387" s="1">
        <f>IF('исходные данные'!G387&gt;'минимумы и максимумы'!E$3,100,('исходные данные'!G387-'минимумы и максимумы'!E$2)/('минимумы и максимумы'!E$3-'минимумы и максимумы'!E$2)*100)</f>
        <v>41.666666666666671</v>
      </c>
      <c r="H387" s="1">
        <f>IF('исходные данные'!H387&gt;'минимумы и максимумы'!F$3,100,('исходные данные'!H387-'минимумы и максимумы'!F$2)/('минимумы и максимумы'!F$3-'минимумы и максимумы'!F$2)*100)</f>
        <v>52</v>
      </c>
      <c r="I387" s="1">
        <f>IF('исходные данные'!I387&gt;'минимумы и максимумы'!G$3,100,('исходные данные'!I387-'минимумы и максимумы'!G$2)/('минимумы и максимумы'!G$3-'минимумы и максимумы'!G$2)*100)</f>
        <v>15.09433962264151</v>
      </c>
      <c r="J387" s="1">
        <f>IF('исходные данные'!J387&gt;'минимумы и максимумы'!H$3,100,('исходные данные'!J387-'минимумы и максимумы'!H$2)/('минимумы и максимумы'!H$3-'минимумы и максимумы'!H$2)*100)</f>
        <v>26.666666666666668</v>
      </c>
      <c r="K387" s="1">
        <f>IF('исходные данные'!K387&gt;'минимумы и максимумы'!I$3,100,('исходные данные'!K387-'минимумы и максимумы'!I$2)/('минимумы и максимумы'!I$3-'минимумы и максимумы'!I$2)*100)</f>
        <v>5.5555555555555554</v>
      </c>
      <c r="L387" s="1">
        <f>IF('исходные данные'!L387&gt;'минимумы и максимумы'!J$3,100,('исходные данные'!L387-'минимумы и максимумы'!J$2)/('минимумы и максимумы'!J$3-'минимумы и максимумы'!J$2)*100)</f>
        <v>20</v>
      </c>
      <c r="M387" s="1">
        <f>IF('исходные данные'!M387&gt;'минимумы и максимумы'!K$3,100,('исходные данные'!M387-'минимумы и максимумы'!K$2)/('минимумы и максимумы'!K$3-'минимумы и максимумы'!K$2)*100)</f>
        <v>45.161290322580641</v>
      </c>
      <c r="N387" s="1">
        <f>IF('исходные данные'!N387&gt;'минимумы и максимумы'!L$3,100,('исходные данные'!N387-'минимумы и максимумы'!L$2)/('минимумы и максимумы'!L$3-'минимумы и максимумы'!L$2)*100)</f>
        <v>28.386843043395913</v>
      </c>
      <c r="O387" s="1">
        <f>IF('исходные данные'!O387&gt;'минимумы и максимумы'!M$3,100,('исходные данные'!O387-'минимумы и максимумы'!M$2)/('минимумы и максимумы'!M$3-'минимумы и максимумы'!M$2)*100)</f>
        <v>100</v>
      </c>
      <c r="P387" s="1">
        <f>IF('исходные данные'!P387&gt;'минимумы и максимумы'!N$3,100,('исходные данные'!P387-'минимумы и максимумы'!N$2)/('минимумы и максимумы'!N$3-'минимумы и максимумы'!N$2)*100)</f>
        <v>0</v>
      </c>
      <c r="Q387" s="1">
        <f>IF('исходные данные'!Q387&gt;'минимумы и максимумы'!O$3,100,('исходные данные'!Q387-'минимумы и максимумы'!O$2)/('минимумы и максимумы'!O$3-'минимумы и максимумы'!O$2)*100)</f>
        <v>100</v>
      </c>
      <c r="R387" s="1">
        <f>IF('исходные данные'!R387&gt;'минимумы и максимумы'!P$3,100,('исходные данные'!R387-'минимумы и максимумы'!P$2)/('минимумы и максимумы'!P$3-'минимумы и максимумы'!P$2)*100)</f>
        <v>100</v>
      </c>
      <c r="S387" s="1">
        <f>IF('исходные данные'!S387&gt;'минимумы и максимумы'!Q$3,100,('исходные данные'!S387-'минимумы и максимумы'!Q$2)/('минимумы и максимумы'!Q$3-'минимумы и максимумы'!Q$2)*100)</f>
        <v>83.333333333333343</v>
      </c>
      <c r="T387" s="1">
        <f>IF('исходные данные'!T387&gt;'минимумы и максимумы'!R$3,100,('исходные данные'!T387-'минимумы и максимумы'!R$2)/('минимумы и максимумы'!R$3-'минимумы и максимумы'!R$2)*100)</f>
        <v>59.348878134623853</v>
      </c>
      <c r="U387" s="1">
        <f>IF('исходные данные'!U387&gt;'минимумы и максимумы'!S$3,100,('исходные данные'!U387-'минимумы и максимумы'!S$2)/('минимумы и максимумы'!S$3-'минимумы и максимумы'!S$2)*100)</f>
        <v>33.333333333333329</v>
      </c>
    </row>
    <row r="388" spans="1:21" x14ac:dyDescent="0.45">
      <c r="A388" s="4">
        <v>504</v>
      </c>
      <c r="B388" s="4">
        <v>0</v>
      </c>
      <c r="C388" s="4">
        <v>0</v>
      </c>
      <c r="D388" s="1">
        <f>IF('исходные данные'!D388&gt;'минимумы и максимумы'!B$3,100,('исходные данные'!D388-'минимумы и максимумы'!B$2)/('минимумы и максимумы'!B$3-'минимумы и максимумы'!B$2)*100)</f>
        <v>40</v>
      </c>
      <c r="E388" s="1">
        <f>IF('исходные данные'!E388&gt;'минимумы и максимумы'!C$3,100,('исходные данные'!E388-'минимумы и максимумы'!C$2)/('минимумы и максимумы'!C$3-'минимумы и максимумы'!C$2)*100)</f>
        <v>40</v>
      </c>
      <c r="F388" s="1">
        <f>IF('исходные данные'!F388&gt;'минимумы и максимумы'!D$3,100,('исходные данные'!F388-'минимумы и максимумы'!D$2)/('минимумы и максимумы'!D$3-'минимумы и максимумы'!D$2)*100)</f>
        <v>66.666666666666657</v>
      </c>
      <c r="G388" s="1">
        <f>IF('исходные данные'!G388&gt;'минимумы и максимумы'!E$3,100,('исходные данные'!G388-'минимумы и максимумы'!E$2)/('минимумы и максимумы'!E$3-'минимумы и максимумы'!E$2)*100)</f>
        <v>37.5</v>
      </c>
      <c r="H388" s="1">
        <f>IF('исходные данные'!H388&gt;'минимумы и максимумы'!F$3,100,('исходные данные'!H388-'минимумы и максимумы'!F$2)/('минимумы и максимумы'!F$3-'минимумы и максимумы'!F$2)*100)</f>
        <v>48</v>
      </c>
      <c r="I388" s="1">
        <f>IF('исходные данные'!I388&gt;'минимумы и максимумы'!G$3,100,('исходные данные'!I388-'минимумы и максимумы'!G$2)/('минимумы и максимумы'!G$3-'минимумы и максимумы'!G$2)*100)</f>
        <v>9.433962264150944</v>
      </c>
      <c r="J388" s="1">
        <f>IF('исходные данные'!J388&gt;'минимумы и максимумы'!H$3,100,('исходные данные'!J388-'минимумы и максимумы'!H$2)/('минимумы и максимумы'!H$3-'минимумы и максимумы'!H$2)*100)</f>
        <v>20</v>
      </c>
      <c r="K388" s="1">
        <f>IF('исходные данные'!K388&gt;'минимумы и максимумы'!I$3,100,('исходные данные'!K388-'минимумы и максимумы'!I$2)/('минимумы и максимумы'!I$3-'минимумы и максимумы'!I$2)*100)</f>
        <v>11.111111111111111</v>
      </c>
      <c r="L388" s="1">
        <f>IF('исходные данные'!L388&gt;'минимумы и максимумы'!J$3,100,('исходные данные'!L388-'минимумы и максимумы'!J$2)/('минимумы и максимумы'!J$3-'минимумы и максимумы'!J$2)*100)</f>
        <v>0</v>
      </c>
      <c r="M388" s="1">
        <f>IF('исходные данные'!M388&gt;'минимумы и максимумы'!K$3,100,('исходные данные'!M388-'минимумы и максимумы'!K$2)/('минимумы и максимумы'!K$3-'минимумы и максимумы'!K$2)*100)</f>
        <v>25.806451612903224</v>
      </c>
      <c r="N388" s="1">
        <f>IF('исходные данные'!N388&gt;'минимумы и максимумы'!L$3,100,('исходные данные'!N388-'минимумы и максимумы'!L$2)/('минимумы и максимумы'!L$3-'минимумы и максимумы'!L$2)*100)</f>
        <v>28.566482806104698</v>
      </c>
      <c r="O388" s="1">
        <f>IF('исходные данные'!O388&gt;'минимумы и максимумы'!M$3,100,('исходные данные'!O388-'минимумы и максимумы'!M$2)/('минимумы и максимумы'!M$3-'минимумы и максимумы'!M$2)*100)</f>
        <v>33.333333333333329</v>
      </c>
      <c r="P388" s="1">
        <f>IF('исходные данные'!P388&gt;'минимумы и максимумы'!N$3,100,('исходные данные'!P388-'минимумы и максимумы'!N$2)/('минимумы и максимумы'!N$3-'минимумы и максимумы'!N$2)*100)</f>
        <v>100</v>
      </c>
      <c r="Q388" s="1">
        <f>IF('исходные данные'!Q388&gt;'минимумы и максимумы'!O$3,100,('исходные данные'!Q388-'минимумы и максимумы'!O$2)/('минимумы и максимумы'!O$3-'минимумы и максимумы'!O$2)*100)</f>
        <v>100</v>
      </c>
      <c r="R388" s="1">
        <f>IF('исходные данные'!R388&gt;'минимумы и максимумы'!P$3,100,('исходные данные'!R388-'минимумы и максимумы'!P$2)/('минимумы и максимумы'!P$3-'минимумы и максимумы'!P$2)*100)</f>
        <v>100</v>
      </c>
      <c r="S388" s="1">
        <f>IF('исходные данные'!S388&gt;'минимумы и максимумы'!Q$3,100,('исходные данные'!S388-'минимумы и максимумы'!Q$2)/('минимумы и максимумы'!Q$3-'минимумы и максимумы'!Q$2)*100)</f>
        <v>50</v>
      </c>
      <c r="T388" s="1">
        <f>IF('исходные данные'!T388&gt;'минимумы и максимумы'!R$3,100,('исходные данные'!T388-'минимумы и максимумы'!R$2)/('минимумы и максимумы'!R$3-'минимумы и максимумы'!R$2)*100)</f>
        <v>100</v>
      </c>
      <c r="U388" s="1">
        <f>IF('исходные данные'!U388&gt;'минимумы и максимумы'!S$3,100,('исходные данные'!U388-'минимумы и максимумы'!S$2)/('минимумы и максимумы'!S$3-'минимумы и максимумы'!S$2)*100)</f>
        <v>100</v>
      </c>
    </row>
    <row r="389" spans="1:21" x14ac:dyDescent="0.45">
      <c r="A389" s="4">
        <v>505</v>
      </c>
      <c r="B389" s="4">
        <v>0</v>
      </c>
      <c r="C389" s="4">
        <v>0</v>
      </c>
      <c r="D389" s="1">
        <f>IF('исходные данные'!D389&gt;'минимумы и максимумы'!B$3,100,('исходные данные'!D389-'минимумы и максимумы'!B$2)/('минимумы и максимумы'!B$3-'минимумы и максимумы'!B$2)*100)</f>
        <v>40</v>
      </c>
      <c r="E389" s="1">
        <f>IF('исходные данные'!E389&gt;'минимумы и максимумы'!C$3,100,('исходные данные'!E389-'минимумы и максимумы'!C$2)/('минимумы и максимумы'!C$3-'минимумы и максимумы'!C$2)*100)</f>
        <v>40</v>
      </c>
      <c r="F389" s="1">
        <f>IF('исходные данные'!F389&gt;'минимумы и максимумы'!D$3,100,('исходные данные'!F389-'минимумы и максимумы'!D$2)/('минимумы и максимумы'!D$3-'минимумы и максимумы'!D$2)*100)</f>
        <v>66.666666666666657</v>
      </c>
      <c r="G389" s="1">
        <f>IF('исходные данные'!G389&gt;'минимумы и максимумы'!E$3,100,('исходные данные'!G389-'минимумы и максимумы'!E$2)/('минимумы и максимумы'!E$3-'минимумы и максимумы'!E$2)*100)</f>
        <v>25</v>
      </c>
      <c r="H389" s="1">
        <f>IF('исходные данные'!H389&gt;'минимумы и максимумы'!F$3,100,('исходные данные'!H389-'минимумы и максимумы'!F$2)/('минимумы и максимумы'!F$3-'минимумы и максимумы'!F$2)*100)</f>
        <v>20</v>
      </c>
      <c r="I389" s="1">
        <f>IF('исходные данные'!I389&gt;'минимумы и максимумы'!G$3,100,('исходные данные'!I389-'минимумы и максимумы'!G$2)/('минимумы и максимумы'!G$3-'минимумы и максимумы'!G$2)*100)</f>
        <v>7.5471698113207548</v>
      </c>
      <c r="J389" s="1">
        <f>IF('исходные данные'!J389&gt;'минимумы и максимумы'!H$3,100,('исходные данные'!J389-'минимумы и максимумы'!H$2)/('минимумы и максимумы'!H$3-'минимумы и максимумы'!H$2)*100)</f>
        <v>20</v>
      </c>
      <c r="K389" s="1">
        <f>IF('исходные данные'!K389&gt;'минимумы и максимумы'!I$3,100,('исходные данные'!K389-'минимумы и максимумы'!I$2)/('минимумы и максимумы'!I$3-'минимумы и максимумы'!I$2)*100)</f>
        <v>11.111111111111111</v>
      </c>
      <c r="L389" s="1">
        <f>IF('исходные данные'!L389&gt;'минимумы и максимумы'!J$3,100,('исходные данные'!L389-'минимумы и максимумы'!J$2)/('минимумы и максимумы'!J$3-'минимумы и максимумы'!J$2)*100)</f>
        <v>0</v>
      </c>
      <c r="M389" s="1">
        <f>IF('исходные данные'!M389&gt;'минимумы и максимумы'!K$3,100,('исходные данные'!M389-'минимумы и максимумы'!K$2)/('минимумы и максимумы'!K$3-'минимумы и максимумы'!K$2)*100)</f>
        <v>16.129032258064516</v>
      </c>
      <c r="N389" s="1">
        <f>IF('исходные данные'!N389&gt;'минимумы и максимумы'!L$3,100,('исходные данные'!N389-'минимумы и максимумы'!L$2)/('минимумы и максимумы'!L$3-'минимумы и максимумы'!L$2)*100)</f>
        <v>27.920088567852925</v>
      </c>
      <c r="O389" s="1">
        <f>IF('исходные данные'!O389&gt;'минимумы и максимумы'!M$3,100,('исходные данные'!O389-'минимумы и максимумы'!M$2)/('минимумы и максимумы'!M$3-'минимумы и максимумы'!M$2)*100)</f>
        <v>33.333333333333329</v>
      </c>
      <c r="P389" s="1">
        <f>IF('исходные данные'!P389&gt;'минимумы и максимумы'!N$3,100,('исходные данные'!P389-'минимумы и максимумы'!N$2)/('минимумы и максимумы'!N$3-'минимумы и максимумы'!N$2)*100)</f>
        <v>0</v>
      </c>
      <c r="Q389" s="1">
        <f>IF('исходные данные'!Q389&gt;'минимумы и максимумы'!O$3,100,('исходные данные'!Q389-'минимумы и максимумы'!O$2)/('минимумы и максимумы'!O$3-'минимумы и максимумы'!O$2)*100)</f>
        <v>100</v>
      </c>
      <c r="R389" s="1">
        <f>IF('исходные данные'!R389&gt;'минимумы и максимумы'!P$3,100,('исходные данные'!R389-'минимумы и максимумы'!P$2)/('минимумы и максимумы'!P$3-'минимумы и максимумы'!P$2)*100)</f>
        <v>100</v>
      </c>
      <c r="S389" s="1">
        <f>IF('исходные данные'!S389&gt;'минимумы и максимумы'!Q$3,100,('исходные данные'!S389-'минимумы и максимумы'!Q$2)/('минимумы и максимумы'!Q$3-'минимумы и максимумы'!Q$2)*100)</f>
        <v>83.333333333333343</v>
      </c>
      <c r="T389" s="1">
        <f>IF('исходные данные'!T389&gt;'минимумы и максимумы'!R$3,100,('исходные данные'!T389-'минимумы и максимумы'!R$2)/('минимумы и максимумы'!R$3-'минимумы и максимумы'!R$2)*100)</f>
        <v>88.297404311482623</v>
      </c>
      <c r="U389" s="1">
        <f>IF('исходные данные'!U389&gt;'минимумы и максимумы'!S$3,100,('исходные данные'!U389-'минимумы и максимумы'!S$2)/('минимумы и максимумы'!S$3-'минимумы и максимумы'!S$2)*100)</f>
        <v>66.666666666666657</v>
      </c>
    </row>
    <row r="390" spans="1:21" x14ac:dyDescent="0.45">
      <c r="A390" s="4">
        <v>506</v>
      </c>
      <c r="B390" s="4">
        <v>0</v>
      </c>
      <c r="C390" s="4">
        <v>0</v>
      </c>
      <c r="D390" s="1">
        <f>IF('исходные данные'!D390&gt;'минимумы и максимумы'!B$3,100,('исходные данные'!D390-'минимумы и максимумы'!B$2)/('минимумы и максимумы'!B$3-'минимумы и максимумы'!B$2)*100)</f>
        <v>40</v>
      </c>
      <c r="E390" s="1">
        <f>IF('исходные данные'!E390&gt;'минимумы и максимумы'!C$3,100,('исходные данные'!E390-'минимумы и максимумы'!C$2)/('минимумы и максимумы'!C$3-'минимумы и максимумы'!C$2)*100)</f>
        <v>60</v>
      </c>
      <c r="F390" s="1">
        <f>IF('исходные данные'!F390&gt;'минимумы и максимумы'!D$3,100,('исходные данные'!F390-'минимумы и максимумы'!D$2)/('минимумы и максимумы'!D$3-'минимумы и максимумы'!D$2)*100)</f>
        <v>33.333333333333329</v>
      </c>
      <c r="G390" s="1">
        <f>IF('исходные данные'!G390&gt;'минимумы и максимумы'!E$3,100,('исходные данные'!G390-'минимумы и максимумы'!E$2)/('минимумы и максимумы'!E$3-'минимумы и максимумы'!E$2)*100)</f>
        <v>37.5</v>
      </c>
      <c r="H390" s="1">
        <f>IF('исходные данные'!H390&gt;'минимумы и максимумы'!F$3,100,('исходные данные'!H390-'минимумы и максимумы'!F$2)/('минимумы и максимумы'!F$3-'минимумы и максимумы'!F$2)*100)</f>
        <v>24</v>
      </c>
      <c r="I390" s="1">
        <f>IF('исходные данные'!I390&gt;'минимумы и максимумы'!G$3,100,('исходные данные'!I390-'минимумы и максимумы'!G$2)/('минимумы и максимумы'!G$3-'минимумы и максимумы'!G$2)*100)</f>
        <v>9.433962264150944</v>
      </c>
      <c r="J390" s="1">
        <f>IF('исходные данные'!J390&gt;'минимумы и максимумы'!H$3,100,('исходные данные'!J390-'минимумы и максимумы'!H$2)/('минимумы и максимумы'!H$3-'минимумы и максимумы'!H$2)*100)</f>
        <v>20</v>
      </c>
      <c r="K390" s="1">
        <f>IF('исходные данные'!K390&gt;'минимумы и максимумы'!I$3,100,('исходные данные'!K390-'минимумы и максимумы'!I$2)/('минимумы и максимумы'!I$3-'минимумы и максимумы'!I$2)*100)</f>
        <v>11.111111111111111</v>
      </c>
      <c r="L390" s="1">
        <f>IF('исходные данные'!L390&gt;'минимумы и максимумы'!J$3,100,('исходные данные'!L390-'минимумы и максимумы'!J$2)/('минимумы и максимумы'!J$3-'минимумы и максимумы'!J$2)*100)</f>
        <v>0</v>
      </c>
      <c r="M390" s="1">
        <f>IF('исходные данные'!M390&gt;'минимумы и максимумы'!K$3,100,('исходные данные'!M390-'минимумы и максимумы'!K$2)/('минимумы и максимумы'!K$3-'минимумы и максимумы'!K$2)*100)</f>
        <v>22.58064516129032</v>
      </c>
      <c r="N390" s="1">
        <f>IF('исходные данные'!N390&gt;'минимумы и максимумы'!L$3,100,('исходные данные'!N390-'минимумы и максимумы'!L$2)/('минимумы и максимумы'!L$3-'минимумы и максимумы'!L$2)*100)</f>
        <v>28.531551072278265</v>
      </c>
      <c r="O390" s="1">
        <f>IF('исходные данные'!O390&gt;'минимумы и максимумы'!M$3,100,('исходные данные'!O390-'минимумы и максимумы'!M$2)/('минимумы и максимумы'!M$3-'минимумы и максимумы'!M$2)*100)</f>
        <v>33.333333333333329</v>
      </c>
      <c r="P390" s="1">
        <f>IF('исходные данные'!P390&gt;'минимумы и максимумы'!N$3,100,('исходные данные'!P390-'минимумы и максимумы'!N$2)/('минимумы и максимумы'!N$3-'минимумы и максимумы'!N$2)*100)</f>
        <v>0</v>
      </c>
      <c r="Q390" s="1">
        <f>IF('исходные данные'!Q390&gt;'минимумы и максимумы'!O$3,100,('исходные данные'!Q390-'минимумы и максимумы'!O$2)/('минимумы и максимумы'!O$3-'минимумы и максимумы'!O$2)*100)</f>
        <v>100</v>
      </c>
      <c r="R390" s="1">
        <f>IF('исходные данные'!R390&gt;'минимумы и максимумы'!P$3,100,('исходные данные'!R390-'минимумы и максимумы'!P$2)/('минимумы и максимумы'!P$3-'минимумы и максимумы'!P$2)*100)</f>
        <v>100</v>
      </c>
      <c r="S390" s="1">
        <f>IF('исходные данные'!S390&gt;'минимумы и максимумы'!Q$3,100,('исходные данные'!S390-'минимумы и максимумы'!Q$2)/('минимумы и максимумы'!Q$3-'минимумы и максимумы'!Q$2)*100)</f>
        <v>83.333333333333343</v>
      </c>
      <c r="T390" s="1">
        <f>IF('исходные данные'!T390&gt;'минимумы и максимумы'!R$3,100,('исходные данные'!T390-'минимумы и максимумы'!R$2)/('минимумы и максимумы'!R$3-'минимумы и максимумы'!R$2)*100)</f>
        <v>71.44742630884295</v>
      </c>
      <c r="U390" s="1">
        <f>IF('исходные данные'!U390&gt;'минимумы и максимумы'!S$3,100,('исходные данные'!U390-'минимумы и максимумы'!S$2)/('минимумы и максимумы'!S$3-'минимумы и максимумы'!S$2)*100)</f>
        <v>66.666666666666657</v>
      </c>
    </row>
    <row r="391" spans="1:21" x14ac:dyDescent="0.45">
      <c r="A391" s="4">
        <v>507</v>
      </c>
      <c r="B391" s="4">
        <v>0</v>
      </c>
      <c r="C391" s="4">
        <v>0</v>
      </c>
      <c r="D391" s="1">
        <f>IF('исходные данные'!D391&gt;'минимумы и максимумы'!B$3,100,('исходные данные'!D391-'минимумы и максимумы'!B$2)/('минимумы и максимумы'!B$3-'минимумы и максимумы'!B$2)*100)</f>
        <v>60</v>
      </c>
      <c r="E391" s="1">
        <f>IF('исходные данные'!E391&gt;'минимумы и максимумы'!C$3,100,('исходные данные'!E391-'минимумы и максимумы'!C$2)/('минимумы и максимумы'!C$3-'минимумы и максимумы'!C$2)*100)</f>
        <v>30</v>
      </c>
      <c r="F391" s="1">
        <f>IF('исходные данные'!F391&gt;'минимумы и максимумы'!D$3,100,('исходные данные'!F391-'минимумы и максимумы'!D$2)/('минимумы и максимумы'!D$3-'минимумы и максимумы'!D$2)*100)</f>
        <v>66.666666666666657</v>
      </c>
      <c r="G391" s="1">
        <f>IF('исходные данные'!G391&gt;'минимумы и максимумы'!E$3,100,('исходные данные'!G391-'минимумы и максимумы'!E$2)/('минимумы и максимумы'!E$3-'минимумы и максимумы'!E$2)*100)</f>
        <v>58.333333333333336</v>
      </c>
      <c r="H391" s="1">
        <f>IF('исходные данные'!H391&gt;'минимумы и максимумы'!F$3,100,('исходные данные'!H391-'минимумы и максимумы'!F$2)/('минимумы и максимумы'!F$3-'минимумы и максимумы'!F$2)*100)</f>
        <v>56.000000000000007</v>
      </c>
      <c r="I391" s="1">
        <f>IF('исходные данные'!I391&gt;'минимумы и максимумы'!G$3,100,('исходные данные'!I391-'минимумы и максимумы'!G$2)/('минимумы и максимумы'!G$3-'минимумы и максимумы'!G$2)*100)</f>
        <v>60.377358490566039</v>
      </c>
      <c r="J391" s="1">
        <f>IF('исходные данные'!J391&gt;'минимумы и максимумы'!H$3,100,('исходные данные'!J391-'минимумы и максимумы'!H$2)/('минимумы и максимумы'!H$3-'минимумы и максимумы'!H$2)*100)</f>
        <v>20</v>
      </c>
      <c r="K391" s="1">
        <f>IF('исходные данные'!K391&gt;'минимумы и максимумы'!I$3,100,('исходные данные'!K391-'минимумы и максимумы'!I$2)/('минимумы и максимумы'!I$3-'минимумы и максимумы'!I$2)*100)</f>
        <v>11.111111111111111</v>
      </c>
      <c r="L391" s="1">
        <f>IF('исходные данные'!L391&gt;'минимумы и максимумы'!J$3,100,('исходные данные'!L391-'минимумы и максимумы'!J$2)/('минимумы и максимумы'!J$3-'минимумы и максимумы'!J$2)*100)</f>
        <v>80</v>
      </c>
      <c r="M391" s="1">
        <f>IF('исходные данные'!M391&gt;'минимумы и максимумы'!K$3,100,('исходные данные'!M391-'минимумы и максимумы'!K$2)/('минимумы и максимумы'!K$3-'минимумы и максимумы'!K$2)*100)</f>
        <v>32.258064516129032</v>
      </c>
      <c r="N391" s="1">
        <f>IF('исходные данные'!N391&gt;'минимумы и максимумы'!L$3,100,('исходные данные'!N391-'минимумы и максимумы'!L$2)/('минимумы и максимумы'!L$3-'минимумы и максимумы'!L$2)*100)</f>
        <v>25.517516362110605</v>
      </c>
      <c r="O391" s="1">
        <f>IF('исходные данные'!O391&gt;'минимумы и максимумы'!M$3,100,('исходные данные'!O391-'минимумы и максимумы'!M$2)/('минимумы и максимумы'!M$3-'минимумы и максимумы'!M$2)*100)</f>
        <v>66.666666666666657</v>
      </c>
      <c r="P391" s="1">
        <f>IF('исходные данные'!P391&gt;'минимумы и максимумы'!N$3,100,('исходные данные'!P391-'минимумы и максимумы'!N$2)/('минимумы и максимумы'!N$3-'минимумы и максимумы'!N$2)*100)</f>
        <v>0</v>
      </c>
      <c r="Q391" s="1">
        <f>IF('исходные данные'!Q391&gt;'минимумы и максимумы'!O$3,100,('исходные данные'!Q391-'минимумы и максимумы'!O$2)/('минимумы и максимумы'!O$3-'минимумы и максимумы'!O$2)*100)</f>
        <v>100</v>
      </c>
      <c r="R391" s="1">
        <f>IF('исходные данные'!R391&gt;'минимумы и максимумы'!P$3,100,('исходные данные'!R391-'минимумы и максимумы'!P$2)/('минимумы и максимумы'!P$3-'минимумы и максимумы'!P$2)*100)</f>
        <v>100</v>
      </c>
      <c r="S391" s="1">
        <f>IF('исходные данные'!S391&gt;'минимумы и максимумы'!Q$3,100,('исходные данные'!S391-'минимумы и максимумы'!Q$2)/('минимумы и максимумы'!Q$3-'минимумы и максимумы'!Q$2)*100)</f>
        <v>33.333333333333329</v>
      </c>
      <c r="T391" s="1">
        <f>IF('исходные данные'!T391&gt;'минимумы и максимумы'!R$3,100,('исходные данные'!T391-'минимумы и максимумы'!R$2)/('минимумы и максимумы'!R$3-'минимумы и максимумы'!R$2)*100)</f>
        <v>17.81786185657721</v>
      </c>
      <c r="U391" s="1">
        <f>IF('исходные данные'!U391&gt;'минимумы и максимумы'!S$3,100,('исходные данные'!U391-'минимумы и максимумы'!S$2)/('минимумы и максимумы'!S$3-'минимумы и максимумы'!S$2)*100)</f>
        <v>0</v>
      </c>
    </row>
    <row r="392" spans="1:21" x14ac:dyDescent="0.45">
      <c r="A392" s="4">
        <v>508</v>
      </c>
      <c r="B392" s="4">
        <v>0</v>
      </c>
      <c r="C392" s="4">
        <v>0</v>
      </c>
      <c r="D392" s="1">
        <f>IF('исходные данные'!D392&gt;'минимумы и максимумы'!B$3,100,('исходные данные'!D392-'минимумы и максимумы'!B$2)/('минимумы и максимумы'!B$3-'минимумы и максимумы'!B$2)*100)</f>
        <v>20</v>
      </c>
      <c r="E392" s="1">
        <f>IF('исходные данные'!E392&gt;'минимумы и максимумы'!C$3,100,('исходные данные'!E392-'минимумы и максимумы'!C$2)/('минимумы и максимумы'!C$3-'минимумы и максимумы'!C$2)*100)</f>
        <v>20</v>
      </c>
      <c r="F392" s="1">
        <f>IF('исходные данные'!F392&gt;'минимумы и максимумы'!D$3,100,('исходные данные'!F392-'минимумы и максимумы'!D$2)/('минимумы и максимумы'!D$3-'минимумы и максимумы'!D$2)*100)</f>
        <v>0</v>
      </c>
      <c r="G392" s="1">
        <f>IF('исходные данные'!G392&gt;'минимумы и максимумы'!E$3,100,('исходные данные'!G392-'минимумы и максимумы'!E$2)/('минимумы и максимумы'!E$3-'минимумы и максимумы'!E$2)*100)</f>
        <v>4.1666666666666661</v>
      </c>
      <c r="H392" s="1">
        <f>IF('исходные данные'!H392&gt;'минимумы и максимумы'!F$3,100,('исходные данные'!H392-'минимумы и максимумы'!F$2)/('минимумы и максимумы'!F$3-'минимумы и максимумы'!F$2)*100)</f>
        <v>0</v>
      </c>
      <c r="I392" s="1">
        <f>IF('исходные данные'!I392&gt;'минимумы и максимумы'!G$3,100,('исходные данные'!I392-'минимумы и максимумы'!G$2)/('минимумы и максимумы'!G$3-'минимумы и максимумы'!G$2)*100)</f>
        <v>11.320754716981133</v>
      </c>
      <c r="J392" s="1">
        <f>IF('исходные данные'!J392&gt;'минимумы и максимумы'!H$3,100,('исходные данные'!J392-'минимумы и максимумы'!H$2)/('минимумы и максимумы'!H$3-'минимумы и максимумы'!H$2)*100)</f>
        <v>6.666666666666667</v>
      </c>
      <c r="K392" s="1">
        <f>IF('исходные данные'!K392&gt;'минимумы и максимумы'!I$3,100,('исходные данные'!K392-'минимумы и максимумы'!I$2)/('минимумы и максимумы'!I$3-'минимумы и максимумы'!I$2)*100)</f>
        <v>5.5555555555555554</v>
      </c>
      <c r="L392" s="1">
        <f>IF('исходные данные'!L392&gt;'минимумы и максимумы'!J$3,100,('исходные данные'!L392-'минимумы и максимумы'!J$2)/('минимумы и максимумы'!J$3-'минимумы и максимумы'!J$2)*100)</f>
        <v>0</v>
      </c>
      <c r="M392" s="1">
        <f>IF('исходные данные'!M392&gt;'минимумы и максимумы'!K$3,100,('исходные данные'!M392-'минимумы и максимумы'!K$2)/('минимумы и максимумы'!K$3-'минимумы и максимумы'!K$2)*100)</f>
        <v>3.225806451612903</v>
      </c>
      <c r="N392" s="1">
        <f>IF('исходные данные'!N392&gt;'минимумы и максимумы'!L$3,100,('исходные данные'!N392-'минимумы и максимумы'!L$2)/('минимумы и максимумы'!L$3-'минимумы и максимумы'!L$2)*100)</f>
        <v>26.35174737488321</v>
      </c>
      <c r="O392" s="1">
        <f>IF('исходные данные'!O392&gt;'минимумы и максимумы'!M$3,100,('исходные данные'!O392-'минимумы и максимумы'!M$2)/('минимумы и максимумы'!M$3-'минимумы и максимумы'!M$2)*100)</f>
        <v>33.333333333333329</v>
      </c>
      <c r="P392" s="1">
        <f>IF('исходные данные'!P392&gt;'минимумы и максимумы'!N$3,100,('исходные данные'!P392-'минимумы и максимумы'!N$2)/('минимумы и максимумы'!N$3-'минимумы и максимумы'!N$2)*100)</f>
        <v>0</v>
      </c>
      <c r="Q392" s="1">
        <f>IF('исходные данные'!Q392&gt;'минимумы и максимумы'!O$3,100,('исходные данные'!Q392-'минимумы и максимумы'!O$2)/('минимумы и максимумы'!O$3-'минимумы и максимумы'!O$2)*100)</f>
        <v>100</v>
      </c>
      <c r="R392" s="1">
        <f>IF('исходные данные'!R392&gt;'минимумы и максимумы'!P$3,100,('исходные данные'!R392-'минимумы и максимумы'!P$2)/('минимумы и максимумы'!P$3-'минимумы и максимумы'!P$2)*100)</f>
        <v>50</v>
      </c>
      <c r="S392" s="1">
        <f>IF('исходные данные'!S392&gt;'минимумы и максимумы'!Q$3,100,('исходные данные'!S392-'минимумы и максимумы'!Q$2)/('минимумы и максимумы'!Q$3-'минимумы и максимумы'!Q$2)*100)</f>
        <v>33.333333333333329</v>
      </c>
      <c r="T392" s="1">
        <f>IF('исходные данные'!T392&gt;'минимумы и максимумы'!R$3,100,('исходные данные'!T392-'минимумы и максимумы'!R$2)/('минимумы и максимумы'!R$3-'минимумы и максимумы'!R$2)*100)</f>
        <v>100</v>
      </c>
      <c r="U392" s="1">
        <f>IF('исходные данные'!U392&gt;'минимумы и максимумы'!S$3,100,('исходные данные'!U392-'минимумы и максимумы'!S$2)/('минимумы и максимумы'!S$3-'минимумы и максимумы'!S$2)*100)</f>
        <v>66.666666666666657</v>
      </c>
    </row>
    <row r="393" spans="1:21" x14ac:dyDescent="0.45">
      <c r="A393" s="4">
        <v>509</v>
      </c>
      <c r="B393" s="4">
        <v>0</v>
      </c>
      <c r="C393" s="4">
        <v>0</v>
      </c>
      <c r="D393" s="1">
        <f>IF('исходные данные'!D393&gt;'минимумы и максимумы'!B$3,100,('исходные данные'!D393-'минимумы и максимумы'!B$2)/('минимумы и максимумы'!B$3-'минимумы и максимумы'!B$2)*100)</f>
        <v>20</v>
      </c>
      <c r="E393" s="1">
        <f>IF('исходные данные'!E393&gt;'минимумы и максимумы'!C$3,100,('исходные данные'!E393-'минимумы и максимумы'!C$2)/('минимумы и максимумы'!C$3-'минимумы и максимумы'!C$2)*100)</f>
        <v>20</v>
      </c>
      <c r="F393" s="1">
        <f>IF('исходные данные'!F393&gt;'минимумы и максимумы'!D$3,100,('исходные данные'!F393-'минимумы и максимумы'!D$2)/('минимумы и максимумы'!D$3-'минимумы и максимумы'!D$2)*100)</f>
        <v>0</v>
      </c>
      <c r="G393" s="1">
        <f>IF('исходные данные'!G393&gt;'минимумы и максимумы'!E$3,100,('исходные данные'!G393-'минимумы и максимумы'!E$2)/('минимумы и максимумы'!E$3-'минимумы и максимумы'!E$2)*100)</f>
        <v>16.666666666666664</v>
      </c>
      <c r="H393" s="1">
        <f>IF('исходные данные'!H393&gt;'минимумы и максимумы'!F$3,100,('исходные данные'!H393-'минимумы и максимумы'!F$2)/('минимумы и максимумы'!F$3-'минимумы и максимумы'!F$2)*100)</f>
        <v>16</v>
      </c>
      <c r="I393" s="1">
        <f>IF('исходные данные'!I393&gt;'минимумы и максимумы'!G$3,100,('исходные данные'!I393-'минимумы и максимумы'!G$2)/('минимумы и максимумы'!G$3-'минимумы и максимумы'!G$2)*100)</f>
        <v>11.320754716981133</v>
      </c>
      <c r="J393" s="1">
        <f>IF('исходные данные'!J393&gt;'минимумы и максимумы'!H$3,100,('исходные данные'!J393-'минимумы и максимумы'!H$2)/('минимумы и максимумы'!H$3-'минимумы и максимумы'!H$2)*100)</f>
        <v>0</v>
      </c>
      <c r="K393" s="1">
        <f>IF('исходные данные'!K393&gt;'минимумы и максимумы'!I$3,100,('исходные данные'!K393-'минимумы и максимумы'!I$2)/('минимумы и максимумы'!I$3-'минимумы и максимумы'!I$2)*100)</f>
        <v>5.5555555555555554</v>
      </c>
      <c r="L393" s="1">
        <f>IF('исходные данные'!L393&gt;'минимумы и максимумы'!J$3,100,('исходные данные'!L393-'минимумы и максимумы'!J$2)/('минимумы и максимумы'!J$3-'минимумы и максимумы'!J$2)*100)</f>
        <v>0</v>
      </c>
      <c r="M393" s="1">
        <f>IF('исходные данные'!M393&gt;'минимумы и максимумы'!K$3,100,('исходные данные'!M393-'минимумы и максимумы'!K$2)/('минимумы и максимумы'!K$3-'минимумы и максимумы'!K$2)*100)</f>
        <v>6.4516129032258061</v>
      </c>
      <c r="N393" s="1">
        <f>IF('исходные данные'!N393&gt;'минимумы и максимумы'!L$3,100,('исходные данные'!N393-'минимумы и максимумы'!L$2)/('минимумы и максимумы'!L$3-'минимумы и максимумы'!L$2)*100)</f>
        <v>32.213429684001589</v>
      </c>
      <c r="O393" s="1">
        <f>IF('исходные данные'!O393&gt;'минимумы и максимумы'!M$3,100,('исходные данные'!O393-'минимумы и максимумы'!M$2)/('минимумы и максимумы'!M$3-'минимумы и максимумы'!M$2)*100)</f>
        <v>66.666666666666657</v>
      </c>
      <c r="P393" s="1">
        <f>IF('исходные данные'!P393&gt;'минимумы и максимумы'!N$3,100,('исходные данные'!P393-'минимумы и максимумы'!N$2)/('минимумы и максимумы'!N$3-'минимумы и максимумы'!N$2)*100)</f>
        <v>0</v>
      </c>
      <c r="Q393" s="1">
        <f>IF('исходные данные'!Q393&gt;'минимумы и максимумы'!O$3,100,('исходные данные'!Q393-'минимумы и максимумы'!O$2)/('минимумы и максимумы'!O$3-'минимумы и максимумы'!O$2)*100)</f>
        <v>0</v>
      </c>
      <c r="R393" s="1">
        <f>IF('исходные данные'!R393&gt;'минимумы и максимумы'!P$3,100,('исходные данные'!R393-'минимумы и максимумы'!P$2)/('минимумы и максимумы'!P$3-'минимумы и максимумы'!P$2)*100)</f>
        <v>75</v>
      </c>
      <c r="S393" s="1">
        <f>IF('исходные данные'!S393&gt;'минимумы и максимумы'!Q$3,100,('исходные данные'!S393-'минимумы и максимумы'!Q$2)/('минимумы и максимумы'!Q$3-'минимумы и максимумы'!Q$2)*100)</f>
        <v>100</v>
      </c>
      <c r="T393" s="1">
        <f>IF('исходные данные'!T393&gt;'минимумы и максимумы'!R$3,100,('исходные данные'!T393-'минимумы и максимумы'!R$2)/('минимумы и максимумы'!R$3-'минимумы и максимумы'!R$2)*100)</f>
        <v>100</v>
      </c>
      <c r="U393" s="1">
        <f>IF('исходные данные'!U393&gt;'минимумы и максимумы'!S$3,100,('исходные данные'!U393-'минимумы и максимумы'!S$2)/('минимумы и максимумы'!S$3-'минимумы и максимумы'!S$2)*100)</f>
        <v>33.333333333333329</v>
      </c>
    </row>
    <row r="394" spans="1:21" x14ac:dyDescent="0.45">
      <c r="A394" s="4">
        <v>510</v>
      </c>
      <c r="B394" s="4">
        <v>0</v>
      </c>
      <c r="C394" s="4">
        <v>0</v>
      </c>
      <c r="D394" s="1">
        <f>IF('исходные данные'!D394&gt;'минимумы и максимумы'!B$3,100,('исходные данные'!D394-'минимумы и максимумы'!B$2)/('минимумы и максимумы'!B$3-'минимумы и максимумы'!B$2)*100)</f>
        <v>20</v>
      </c>
      <c r="E394" s="1">
        <f>IF('исходные данные'!E394&gt;'минимумы и максимумы'!C$3,100,('исходные данные'!E394-'минимумы и максимумы'!C$2)/('минимумы и максимумы'!C$3-'минимумы и максимумы'!C$2)*100)</f>
        <v>30</v>
      </c>
      <c r="F394" s="1">
        <f>IF('исходные данные'!F394&gt;'минимумы и максимумы'!D$3,100,('исходные данные'!F394-'минимумы и максимумы'!D$2)/('минимумы и максимумы'!D$3-'минимумы и максимумы'!D$2)*100)</f>
        <v>0</v>
      </c>
      <c r="G394" s="1">
        <f>IF('исходные данные'!G394&gt;'минимумы и максимумы'!E$3,100,('исходные данные'!G394-'минимумы и максимумы'!E$2)/('минимумы и максимумы'!E$3-'минимумы и максимумы'!E$2)*100)</f>
        <v>25</v>
      </c>
      <c r="H394" s="1">
        <f>IF('исходные данные'!H394&gt;'минимумы и максимумы'!F$3,100,('исходные данные'!H394-'минимумы и максимумы'!F$2)/('минимумы и максимумы'!F$3-'минимумы и максимумы'!F$2)*100)</f>
        <v>28.000000000000004</v>
      </c>
      <c r="I394" s="1">
        <f>IF('исходные данные'!I394&gt;'минимумы и максимумы'!G$3,100,('исходные данные'!I394-'минимумы и максимумы'!G$2)/('минимумы и максимумы'!G$3-'минимумы и максимумы'!G$2)*100)</f>
        <v>15.09433962264151</v>
      </c>
      <c r="J394" s="1">
        <f>IF('исходные данные'!J394&gt;'минимумы и максимумы'!H$3,100,('исходные данные'!J394-'минимумы и максимумы'!H$2)/('минимумы и максимумы'!H$3-'минимумы и максимумы'!H$2)*100)</f>
        <v>0</v>
      </c>
      <c r="K394" s="1">
        <f>IF('исходные данные'!K394&gt;'минимумы и максимумы'!I$3,100,('исходные данные'!K394-'минимумы и максимумы'!I$2)/('минимумы и максимумы'!I$3-'минимумы и максимумы'!I$2)*100)</f>
        <v>5.5555555555555554</v>
      </c>
      <c r="L394" s="1">
        <f>IF('исходные данные'!L394&gt;'минимумы и максимумы'!J$3,100,('исходные данные'!L394-'минимумы и максимумы'!J$2)/('минимумы и максимумы'!J$3-'минимумы и максимумы'!J$2)*100)</f>
        <v>0</v>
      </c>
      <c r="M394" s="1">
        <f>IF('исходные данные'!M394&gt;'минимумы и максимумы'!K$3,100,('исходные данные'!M394-'минимумы и максимумы'!K$2)/('минимумы и максимумы'!K$3-'минимумы и максимумы'!K$2)*100)</f>
        <v>29.032258064516132</v>
      </c>
      <c r="N394" s="1">
        <f>IF('исходные данные'!N394&gt;'минимумы и максимумы'!L$3,100,('исходные данные'!N394-'минимумы и максимумы'!L$2)/('минимумы и максимумы'!L$3-'минимумы и максимумы'!L$2)*100)</f>
        <v>31.699251426364139</v>
      </c>
      <c r="O394" s="1">
        <f>IF('исходные данные'!O394&gt;'минимумы и максимумы'!M$3,100,('исходные данные'!O394-'минимумы и максимумы'!M$2)/('минимумы и максимумы'!M$3-'минимумы и максимумы'!M$2)*100)</f>
        <v>66.666666666666657</v>
      </c>
      <c r="P394" s="1">
        <f>IF('исходные данные'!P394&gt;'минимумы и максимумы'!N$3,100,('исходные данные'!P394-'минимумы и максимумы'!N$2)/('минимумы и максимумы'!N$3-'минимумы и максимумы'!N$2)*100)</f>
        <v>0</v>
      </c>
      <c r="Q394" s="1">
        <f>IF('исходные данные'!Q394&gt;'минимумы и максимумы'!O$3,100,('исходные данные'!Q394-'минимумы и максимумы'!O$2)/('минимумы и максимумы'!O$3-'минимумы и максимумы'!O$2)*100)</f>
        <v>100</v>
      </c>
      <c r="R394" s="1">
        <f>IF('исходные данные'!R394&gt;'минимумы и максимумы'!P$3,100,('исходные данные'!R394-'минимумы и максимумы'!P$2)/('минимумы и максимумы'!P$3-'минимумы и максимумы'!P$2)*100)</f>
        <v>100</v>
      </c>
      <c r="S394" s="1">
        <f>IF('исходные данные'!S394&gt;'минимумы и максимумы'!Q$3,100,('исходные данные'!S394-'минимумы и максимумы'!Q$2)/('минимумы и максимумы'!Q$3-'минимумы и максимумы'!Q$2)*100)</f>
        <v>50</v>
      </c>
      <c r="T394" s="1">
        <f>IF('исходные данные'!T394&gt;'минимумы и максимумы'!R$3,100,('исходные данные'!T394-'минимумы и максимумы'!R$2)/('минимумы и максимумы'!R$3-'минимумы и максимумы'!R$2)*100)</f>
        <v>10.118785745710515</v>
      </c>
      <c r="U394" s="1">
        <f>IF('исходные данные'!U394&gt;'минимумы и максимумы'!S$3,100,('исходные данные'!U394-'минимумы и максимумы'!S$2)/('минимумы и максимумы'!S$3-'минимумы и максимумы'!S$2)*100)</f>
        <v>0</v>
      </c>
    </row>
    <row r="395" spans="1:21" x14ac:dyDescent="0.45">
      <c r="A395" s="4">
        <v>511</v>
      </c>
      <c r="B395" s="4">
        <v>0</v>
      </c>
      <c r="C395" s="4">
        <v>0</v>
      </c>
      <c r="D395" s="1">
        <f>IF('исходные данные'!D395&gt;'минимумы и максимумы'!B$3,100,('исходные данные'!D395-'минимумы и максимумы'!B$2)/('минимумы и максимумы'!B$3-'минимумы и максимумы'!B$2)*100)</f>
        <v>20</v>
      </c>
      <c r="E395" s="1">
        <f>IF('исходные данные'!E395&gt;'минимумы и максимумы'!C$3,100,('исходные данные'!E395-'минимумы и максимумы'!C$2)/('минимумы и максимумы'!C$3-'минимумы и максимумы'!C$2)*100)</f>
        <v>40</v>
      </c>
      <c r="F395" s="1">
        <f>IF('исходные данные'!F395&gt;'минимумы и максимумы'!D$3,100,('исходные данные'!F395-'минимумы и максимумы'!D$2)/('минимумы и максимумы'!D$3-'минимумы и максимумы'!D$2)*100)</f>
        <v>0</v>
      </c>
      <c r="G395" s="1">
        <f>IF('исходные данные'!G395&gt;'минимумы и максимумы'!E$3,100,('исходные данные'!G395-'минимумы и максимумы'!E$2)/('минимумы и максимумы'!E$3-'минимумы и максимумы'!E$2)*100)</f>
        <v>20.833333333333336</v>
      </c>
      <c r="H395" s="1">
        <f>IF('исходные данные'!H395&gt;'минимумы и максимумы'!F$3,100,('исходные данные'!H395-'минимумы и максимумы'!F$2)/('минимумы и максимумы'!F$3-'минимумы и максимумы'!F$2)*100)</f>
        <v>16</v>
      </c>
      <c r="I395" s="1">
        <f>IF('исходные данные'!I395&gt;'минимумы и максимумы'!G$3,100,('исходные данные'!I395-'минимумы и максимумы'!G$2)/('минимумы и максимумы'!G$3-'минимумы и максимумы'!G$2)*100)</f>
        <v>16.981132075471699</v>
      </c>
      <c r="J395" s="1">
        <f>IF('исходные данные'!J395&gt;'минимумы и максимумы'!H$3,100,('исходные данные'!J395-'минимумы и максимумы'!H$2)/('минимумы и максимумы'!H$3-'минимумы и максимумы'!H$2)*100)</f>
        <v>20</v>
      </c>
      <c r="K395" s="1">
        <f>IF('исходные данные'!K395&gt;'минимумы и максимумы'!I$3,100,('исходные данные'!K395-'минимумы и максимумы'!I$2)/('минимумы и максимумы'!I$3-'минимумы и максимумы'!I$2)*100)</f>
        <v>44.444444444444443</v>
      </c>
      <c r="L395" s="1">
        <f>IF('исходные данные'!L395&gt;'минимумы и максимумы'!J$3,100,('исходные данные'!L395-'минимумы и максимумы'!J$2)/('минимумы и максимумы'!J$3-'минимумы и максимумы'!J$2)*100)</f>
        <v>0</v>
      </c>
      <c r="M395" s="1">
        <f>IF('исходные данные'!M395&gt;'минимумы и максимумы'!K$3,100,('исходные данные'!M395-'минимумы и максимумы'!K$2)/('минимумы и максимумы'!K$3-'минимумы и максимумы'!K$2)*100)</f>
        <v>9.67741935483871</v>
      </c>
      <c r="N395" s="1">
        <f>IF('исходные данные'!N395&gt;'минимумы и максимумы'!L$3,100,('исходные данные'!N395-'минимумы и максимумы'!L$2)/('минимумы и максимумы'!L$3-'минимумы и максимумы'!L$2)*100)</f>
        <v>24.280234715229966</v>
      </c>
      <c r="O395" s="1">
        <f>IF('исходные данные'!O395&gt;'минимумы и максимумы'!M$3,100,('исходные данные'!O395-'минимумы и максимумы'!M$2)/('минимумы и максимумы'!M$3-'минимумы и максимумы'!M$2)*100)</f>
        <v>66.666666666666657</v>
      </c>
      <c r="P395" s="1">
        <f>IF('исходные данные'!P395&gt;'минимумы и максимумы'!N$3,100,('исходные данные'!P395-'минимумы и максимумы'!N$2)/('минимумы и максимумы'!N$3-'минимумы и максимумы'!N$2)*100)</f>
        <v>0</v>
      </c>
      <c r="Q395" s="1">
        <f>IF('исходные данные'!Q395&gt;'минимумы и максимумы'!O$3,100,('исходные данные'!Q395-'минимумы и максимумы'!O$2)/('минимумы и максимумы'!O$3-'минимумы и максимумы'!O$2)*100)</f>
        <v>100</v>
      </c>
      <c r="R395" s="1">
        <f>IF('исходные данные'!R395&gt;'минимумы и максимумы'!P$3,100,('исходные данные'!R395-'минимумы и максимумы'!P$2)/('минимумы и максимумы'!P$3-'минимумы и максимумы'!P$2)*100)</f>
        <v>100</v>
      </c>
      <c r="S395" s="1">
        <f>IF('исходные данные'!S395&gt;'минимумы и максимумы'!Q$3,100,('исходные данные'!S395-'минимумы и максимумы'!Q$2)/('минимумы и максимумы'!Q$3-'минимумы и максимумы'!Q$2)*100)</f>
        <v>50</v>
      </c>
      <c r="T395" s="1">
        <f>IF('исходные данные'!T395&gt;'минимумы и максимумы'!R$3,100,('исходные данные'!T395-'минимумы и максимумы'!R$2)/('минимумы и максимумы'!R$3-'минимумы и максимумы'!R$2)*100)</f>
        <v>11.306643202815662</v>
      </c>
      <c r="U395" s="1">
        <f>IF('исходные данные'!U395&gt;'минимумы и максимумы'!S$3,100,('исходные данные'!U395-'минимумы и максимумы'!S$2)/('минимумы и максимумы'!S$3-'минимумы и максимумы'!S$2)*100)</f>
        <v>0</v>
      </c>
    </row>
    <row r="396" spans="1:21" x14ac:dyDescent="0.45">
      <c r="A396" s="4">
        <v>512</v>
      </c>
      <c r="B396" s="4">
        <v>0</v>
      </c>
      <c r="C396" s="4">
        <v>0</v>
      </c>
      <c r="D396" s="1">
        <f>IF('исходные данные'!D396&gt;'минимумы и максимумы'!B$3,100,('исходные данные'!D396-'минимумы и максимумы'!B$2)/('минимумы и максимумы'!B$3-'минимумы и максимумы'!B$2)*100)</f>
        <v>0</v>
      </c>
      <c r="E396" s="1">
        <f>IF('исходные данные'!E396&gt;'минимумы и максимумы'!C$3,100,('исходные данные'!E396-'минимумы и максимумы'!C$2)/('минимумы и максимумы'!C$3-'минимумы и максимумы'!C$2)*100)</f>
        <v>10</v>
      </c>
      <c r="F396" s="1">
        <f>IF('исходные данные'!F396&gt;'минимумы и максимумы'!D$3,100,('исходные данные'!F396-'минимумы и максимумы'!D$2)/('минимумы и максимумы'!D$3-'минимумы и максимумы'!D$2)*100)</f>
        <v>0</v>
      </c>
      <c r="G396" s="1">
        <f>IF('исходные данные'!G396&gt;'минимумы и максимумы'!E$3,100,('исходные данные'!G396-'минимумы и максимумы'!E$2)/('минимумы и максимумы'!E$3-'минимумы и максимумы'!E$2)*100)</f>
        <v>16.666666666666664</v>
      </c>
      <c r="H396" s="1">
        <f>IF('исходные данные'!H396&gt;'минимумы и максимумы'!F$3,100,('исходные данные'!H396-'минимумы и максимумы'!F$2)/('минимумы и максимумы'!F$3-'минимумы и максимумы'!F$2)*100)</f>
        <v>16</v>
      </c>
      <c r="I396" s="1">
        <f>IF('исходные данные'!I396&gt;'минимумы и максимумы'!G$3,100,('исходные данные'!I396-'минимумы и максимумы'!G$2)/('минимумы и максимумы'!G$3-'минимумы и максимумы'!G$2)*100)</f>
        <v>15.09433962264151</v>
      </c>
      <c r="J396" s="1">
        <f>IF('исходные данные'!J396&gt;'минимумы и максимумы'!H$3,100,('исходные данные'!J396-'минимумы и максимумы'!H$2)/('минимумы и максимумы'!H$3-'минимумы и максимумы'!H$2)*100)</f>
        <v>0</v>
      </c>
      <c r="K396" s="1">
        <f>IF('исходные данные'!K396&gt;'минимумы и максимумы'!I$3,100,('исходные данные'!K396-'минимумы и максимумы'!I$2)/('минимумы и максимумы'!I$3-'минимумы и максимумы'!I$2)*100)</f>
        <v>50</v>
      </c>
      <c r="L396" s="1">
        <f>IF('исходные данные'!L396&gt;'минимумы и максимумы'!J$3,100,('исходные данные'!L396-'минимумы и максимумы'!J$2)/('минимумы и максимумы'!J$3-'минимумы и максимумы'!J$2)*100)</f>
        <v>0</v>
      </c>
      <c r="M396" s="1">
        <f>IF('исходные данные'!M396&gt;'минимумы и максимумы'!K$3,100,('исходные данные'!M396-'минимумы и максимумы'!K$2)/('минимумы и максимумы'!K$3-'минимумы и максимумы'!K$2)*100)</f>
        <v>9.67741935483871</v>
      </c>
      <c r="N396" s="1">
        <f>IF('исходные данные'!N396&gt;'минимумы и максимумы'!L$3,100,('исходные данные'!N396-'минимумы и максимумы'!L$2)/('минимумы и максимумы'!L$3-'минимумы и максимумы'!L$2)*100)</f>
        <v>23.832057126031369</v>
      </c>
      <c r="O396" s="1">
        <f>IF('исходные данные'!O396&gt;'минимумы и максимумы'!M$3,100,('исходные данные'!O396-'минимумы и максимумы'!M$2)/('минимумы и максимумы'!M$3-'минимумы и максимумы'!M$2)*100)</f>
        <v>66.666666666666657</v>
      </c>
      <c r="P396" s="1">
        <f>IF('исходные данные'!P396&gt;'минимумы и максимумы'!N$3,100,('исходные данные'!P396-'минимумы и максимумы'!N$2)/('минимумы и максимумы'!N$3-'минимумы и максимумы'!N$2)*100)</f>
        <v>0</v>
      </c>
      <c r="Q396" s="1">
        <f>IF('исходные данные'!Q396&gt;'минимумы и максимумы'!O$3,100,('исходные данные'!Q396-'минимумы и максимумы'!O$2)/('минимумы и максимумы'!O$3-'минимумы и максимумы'!O$2)*100)</f>
        <v>100</v>
      </c>
      <c r="R396" s="1">
        <f>IF('исходные данные'!R396&gt;'минимумы и максимумы'!P$3,100,('исходные данные'!R396-'минимумы и максимумы'!P$2)/('минимумы и максимумы'!P$3-'минимумы и максимумы'!P$2)*100)</f>
        <v>75</v>
      </c>
      <c r="S396" s="1">
        <f>IF('исходные данные'!S396&gt;'минимумы и максимумы'!Q$3,100,('исходные данные'!S396-'минимумы и максимумы'!Q$2)/('минимумы и максимумы'!Q$3-'минимумы и максимумы'!Q$2)*100)</f>
        <v>66.666666666666657</v>
      </c>
      <c r="T396" s="1">
        <f>IF('исходные данные'!T396&gt;'минимумы и максимумы'!R$3,100,('исходные данные'!T396-'минимумы и максимумы'!R$2)/('минимумы и максимумы'!R$3-'минимумы и максимумы'!R$2)*100)</f>
        <v>38.363396392432911</v>
      </c>
      <c r="U396" s="1">
        <f>IF('исходные данные'!U396&gt;'минимумы и максимумы'!S$3,100,('исходные данные'!U396-'минимумы и максимумы'!S$2)/('минимумы и максимумы'!S$3-'минимумы и максимумы'!S$2)*100)</f>
        <v>33.333333333333329</v>
      </c>
    </row>
    <row r="397" spans="1:21" x14ac:dyDescent="0.45">
      <c r="A397" s="4">
        <v>513</v>
      </c>
      <c r="B397" s="4">
        <v>0</v>
      </c>
      <c r="C397" s="4">
        <v>0</v>
      </c>
      <c r="D397" s="1">
        <f>IF('исходные данные'!D397&gt;'минимумы и максимумы'!B$3,100,('исходные данные'!D397-'минимумы и максимумы'!B$2)/('минимумы и максимумы'!B$3-'минимумы и максимумы'!B$2)*100)</f>
        <v>20</v>
      </c>
      <c r="E397" s="1">
        <f>IF('исходные данные'!E397&gt;'минимумы и максимумы'!C$3,100,('исходные данные'!E397-'минимумы и максимумы'!C$2)/('минимумы и максимумы'!C$3-'минимумы и максимумы'!C$2)*100)</f>
        <v>40</v>
      </c>
      <c r="F397" s="1">
        <f>IF('исходные данные'!F397&gt;'минимумы и максимумы'!D$3,100,('исходные данные'!F397-'минимумы и максимумы'!D$2)/('минимумы и максимумы'!D$3-'минимумы и максимумы'!D$2)*100)</f>
        <v>0</v>
      </c>
      <c r="G397" s="1">
        <f>IF('исходные данные'!G397&gt;'минимумы и максимумы'!E$3,100,('исходные данные'!G397-'минимумы и максимумы'!E$2)/('минимумы и максимумы'!E$3-'минимумы и максимумы'!E$2)*100)</f>
        <v>20.833333333333336</v>
      </c>
      <c r="H397" s="1">
        <f>IF('исходные данные'!H397&gt;'минимумы и максимумы'!F$3,100,('исходные данные'!H397-'минимумы и максимумы'!F$2)/('минимумы и максимумы'!F$3-'минимумы и максимумы'!F$2)*100)</f>
        <v>24</v>
      </c>
      <c r="I397" s="1">
        <f>IF('исходные данные'!I397&gt;'минимумы и максимумы'!G$3,100,('исходные данные'!I397-'минимумы и максимумы'!G$2)/('минимумы и максимумы'!G$3-'минимумы и максимумы'!G$2)*100)</f>
        <v>15.09433962264151</v>
      </c>
      <c r="J397" s="1">
        <f>IF('исходные данные'!J397&gt;'минимумы и максимумы'!H$3,100,('исходные данные'!J397-'минимумы и максимумы'!H$2)/('минимумы и максимумы'!H$3-'минимумы и максимумы'!H$2)*100)</f>
        <v>20</v>
      </c>
      <c r="K397" s="1">
        <f>IF('исходные данные'!K397&gt;'минимумы и максимумы'!I$3,100,('исходные данные'!K397-'минимумы и максимумы'!I$2)/('минимумы и максимумы'!I$3-'минимумы и максимумы'!I$2)*100)</f>
        <v>50</v>
      </c>
      <c r="L397" s="1">
        <f>IF('исходные данные'!L397&gt;'минимумы и максимумы'!J$3,100,('исходные данные'!L397-'минимумы и максимумы'!J$2)/('минимумы и максимумы'!J$3-'минимумы и максимумы'!J$2)*100)</f>
        <v>0</v>
      </c>
      <c r="M397" s="1">
        <f>IF('исходные данные'!M397&gt;'минимумы и максимумы'!K$3,100,('исходные данные'!M397-'минимумы и максимумы'!K$2)/('минимумы и максимумы'!K$3-'минимумы и максимумы'!K$2)*100)</f>
        <v>12.903225806451612</v>
      </c>
      <c r="N397" s="1">
        <f>IF('исходные данные'!N397&gt;'минимумы и максимумы'!L$3,100,('исходные данные'!N397-'минимумы и максимумы'!L$2)/('минимумы и максимумы'!L$3-'минимумы и максимумы'!L$2)*100)</f>
        <v>23.510771894274711</v>
      </c>
      <c r="O397" s="1">
        <f>IF('исходные данные'!O397&gt;'минимумы и максимумы'!M$3,100,('исходные данные'!O397-'минимумы и максимумы'!M$2)/('минимумы и максимумы'!M$3-'минимумы и максимумы'!M$2)*100)</f>
        <v>100</v>
      </c>
      <c r="P397" s="1">
        <f>IF('исходные данные'!P397&gt;'минимумы и максимумы'!N$3,100,('исходные данные'!P397-'минимумы и максимумы'!N$2)/('минимумы и максимумы'!N$3-'минимумы и максимумы'!N$2)*100)</f>
        <v>0</v>
      </c>
      <c r="Q397" s="1">
        <f>IF('исходные данные'!Q397&gt;'минимумы и максимумы'!O$3,100,('исходные данные'!Q397-'минимумы и максимумы'!O$2)/('минимумы и максимумы'!O$3-'минимумы и максимумы'!O$2)*100)</f>
        <v>100</v>
      </c>
      <c r="R397" s="1">
        <f>IF('исходные данные'!R397&gt;'минимумы и максимумы'!P$3,100,('исходные данные'!R397-'минимумы и максимумы'!P$2)/('минимумы и максимумы'!P$3-'минимумы и максимумы'!P$2)*100)</f>
        <v>100</v>
      </c>
      <c r="S397" s="1">
        <f>IF('исходные данные'!S397&gt;'минимумы и максимумы'!Q$3,100,('исходные данные'!S397-'минимумы и максимумы'!Q$2)/('минимумы и максимумы'!Q$3-'минимумы и максимумы'!Q$2)*100)</f>
        <v>66.666666666666657</v>
      </c>
      <c r="T397" s="1">
        <f>IF('исходные данные'!T397&gt;'минимумы и максимумы'!R$3,100,('исходные данные'!T397-'минимумы и максимумы'!R$2)/('минимумы и максимумы'!R$3-'минимумы и максимумы'!R$2)*100)</f>
        <v>12.142542894852618</v>
      </c>
      <c r="U397" s="1">
        <f>IF('исходные данные'!U397&gt;'минимумы и максимумы'!S$3,100,('исходные данные'!U397-'минимумы и максимумы'!S$2)/('минимумы и максимумы'!S$3-'минимумы и максимумы'!S$2)*100)</f>
        <v>0</v>
      </c>
    </row>
    <row r="398" spans="1:21" x14ac:dyDescent="0.45">
      <c r="A398" s="4">
        <v>514</v>
      </c>
      <c r="B398" s="4">
        <v>0</v>
      </c>
      <c r="C398" s="4">
        <v>0</v>
      </c>
      <c r="D398" s="1">
        <f>IF('исходные данные'!D398&gt;'минимумы и максимумы'!B$3,100,('исходные данные'!D398-'минимумы и максимумы'!B$2)/('минимумы и максимумы'!B$3-'минимумы и максимумы'!B$2)*100)</f>
        <v>0</v>
      </c>
      <c r="E398" s="1">
        <f>IF('исходные данные'!E398&gt;'минимумы и максимумы'!C$3,100,('исходные данные'!E398-'минимумы и максимумы'!C$2)/('минимумы и максимумы'!C$3-'минимумы и максимумы'!C$2)*100)</f>
        <v>0</v>
      </c>
      <c r="F398" s="1">
        <f>IF('исходные данные'!F398&gt;'минимумы и максимумы'!D$3,100,('исходные данные'!F398-'минимумы и максимумы'!D$2)/('минимумы и максимумы'!D$3-'минимумы и максимумы'!D$2)*100)</f>
        <v>0</v>
      </c>
      <c r="G398" s="1">
        <f>IF('исходные данные'!G398&gt;'минимумы и максимумы'!E$3,100,('исходные данные'!G398-'минимумы и максимумы'!E$2)/('минимумы и максимумы'!E$3-'минимумы и максимумы'!E$2)*100)</f>
        <v>16.666666666666664</v>
      </c>
      <c r="H398" s="1">
        <f>IF('исходные данные'!H398&gt;'минимумы и максимумы'!F$3,100,('исходные данные'!H398-'минимумы и максимумы'!F$2)/('минимумы и максимумы'!F$3-'минимумы и максимумы'!F$2)*100)</f>
        <v>16</v>
      </c>
      <c r="I398" s="1">
        <f>IF('исходные данные'!I398&gt;'минимумы и максимумы'!G$3,100,('исходные данные'!I398-'минимумы и максимумы'!G$2)/('минимумы и максимумы'!G$3-'минимумы и максимумы'!G$2)*100)</f>
        <v>20.754716981132077</v>
      </c>
      <c r="J398" s="1">
        <f>IF('исходные данные'!J398&gt;'минимумы и максимумы'!H$3,100,('исходные данные'!J398-'минимумы и максимумы'!H$2)/('минимумы и максимумы'!H$3-'минимумы и максимумы'!H$2)*100)</f>
        <v>20</v>
      </c>
      <c r="K398" s="1">
        <f>IF('исходные данные'!K398&gt;'минимумы и максимумы'!I$3,100,('исходные данные'!K398-'минимумы и максимумы'!I$2)/('минимумы и максимумы'!I$3-'минимумы и максимумы'!I$2)*100)</f>
        <v>50</v>
      </c>
      <c r="L398" s="1">
        <f>IF('исходные данные'!L398&gt;'минимумы и максимумы'!J$3,100,('исходные данные'!L398-'минимумы и максимумы'!J$2)/('минимумы и максимумы'!J$3-'минимумы и максимумы'!J$2)*100)</f>
        <v>0</v>
      </c>
      <c r="M398" s="1">
        <f>IF('исходные данные'!M398&gt;'минимумы и максимумы'!K$3,100,('исходные данные'!M398-'минимумы и максимумы'!K$2)/('минимумы и максимумы'!K$3-'минимумы и максимумы'!K$2)*100)</f>
        <v>9.67741935483871</v>
      </c>
      <c r="N398" s="1">
        <f>IF('исходные данные'!N398&gt;'минимумы и максимумы'!L$3,100,('исходные данные'!N398-'минимумы и максимумы'!L$2)/('минимумы и максимумы'!L$3-'минимумы и максимумы'!L$2)*100)</f>
        <v>21.586329001371148</v>
      </c>
      <c r="O398" s="1">
        <f>IF('исходные данные'!O398&gt;'минимумы и максимумы'!M$3,100,('исходные данные'!O398-'минимумы и максимумы'!M$2)/('минимумы и максимумы'!M$3-'минимумы и максимумы'!M$2)*100)</f>
        <v>33.333333333333329</v>
      </c>
      <c r="P398" s="1">
        <f>IF('исходные данные'!P398&gt;'минимумы и максимумы'!N$3,100,('исходные данные'!P398-'минимумы и максимумы'!N$2)/('минимумы и максимумы'!N$3-'минимумы и максимумы'!N$2)*100)</f>
        <v>0</v>
      </c>
      <c r="Q398" s="1">
        <f>IF('исходные данные'!Q398&gt;'минимумы и максимумы'!O$3,100,('исходные данные'!Q398-'минимумы и максимумы'!O$2)/('минимумы и максимумы'!O$3-'минимумы и максимумы'!O$2)*100)</f>
        <v>100</v>
      </c>
      <c r="R398" s="1">
        <f>IF('исходные данные'!R398&gt;'минимумы и максимумы'!P$3,100,('исходные данные'!R398-'минимумы и максимумы'!P$2)/('минимумы и максимумы'!P$3-'минимумы и максимумы'!P$2)*100)</f>
        <v>75</v>
      </c>
      <c r="S398" s="1">
        <f>IF('исходные данные'!S398&gt;'минимумы и максимумы'!Q$3,100,('исходные данные'!S398-'минимумы и максимумы'!Q$2)/('минимумы и максимумы'!Q$3-'минимумы и максимумы'!Q$2)*100)</f>
        <v>33.333333333333329</v>
      </c>
      <c r="T398" s="1">
        <f>IF('исходные данные'!T398&gt;'минимумы и максимумы'!R$3,100,('исходные данные'!T398-'минимумы и максимумы'!R$2)/('минимумы и максимумы'!R$3-'минимумы и максимумы'!R$2)*100)</f>
        <v>16.761988561372636</v>
      </c>
      <c r="U398" s="1">
        <f>IF('исходные данные'!U398&gt;'минимумы и максимумы'!S$3,100,('исходные данные'!U398-'минимумы и максимумы'!S$2)/('минимумы и максимумы'!S$3-'минимумы и максимумы'!S$2)*100)</f>
        <v>0</v>
      </c>
    </row>
    <row r="399" spans="1:21" x14ac:dyDescent="0.45">
      <c r="A399" s="4">
        <v>516</v>
      </c>
      <c r="B399" s="4">
        <v>0</v>
      </c>
      <c r="C399" s="4">
        <v>0</v>
      </c>
      <c r="D399" s="1">
        <f>IF('исходные данные'!D399&gt;'минимумы и максимумы'!B$3,100,('исходные данные'!D399-'минимумы и максимумы'!B$2)/('минимумы и максимумы'!B$3-'минимумы и максимумы'!B$2)*100)</f>
        <v>0</v>
      </c>
      <c r="E399" s="1">
        <f>IF('исходные данные'!E399&gt;'минимумы и максимумы'!C$3,100,('исходные данные'!E399-'минимумы и максимумы'!C$2)/('минимумы и максимумы'!C$3-'минимумы и максимумы'!C$2)*100)</f>
        <v>0</v>
      </c>
      <c r="F399" s="1">
        <f>IF('исходные данные'!F399&gt;'минимумы и максимумы'!D$3,100,('исходные данные'!F399-'минимумы и максимумы'!D$2)/('минимумы и максимумы'!D$3-'минимумы и максимумы'!D$2)*100)</f>
        <v>0</v>
      </c>
      <c r="G399" s="1">
        <f>IF('исходные данные'!G399&gt;'минимумы и максимумы'!E$3,100,('исходные данные'!G399-'минимумы и максимумы'!E$2)/('минимумы и максимумы'!E$3-'минимумы и максимумы'!E$2)*100)</f>
        <v>8.3333333333333321</v>
      </c>
      <c r="H399" s="1">
        <f>IF('исходные данные'!H399&gt;'минимумы и максимумы'!F$3,100,('исходные данные'!H399-'минимумы и максимумы'!F$2)/('минимумы и максимумы'!F$3-'минимумы и максимумы'!F$2)*100)</f>
        <v>4</v>
      </c>
      <c r="I399" s="1">
        <f>IF('исходные данные'!I399&gt;'минимумы и максимумы'!G$3,100,('исходные данные'!I399-'минимумы и максимумы'!G$2)/('минимумы и максимумы'!G$3-'минимумы и максимумы'!G$2)*100)</f>
        <v>15.09433962264151</v>
      </c>
      <c r="J399" s="1">
        <f>IF('исходные данные'!J399&gt;'минимумы и максимумы'!H$3,100,('исходные данные'!J399-'минимумы и максимумы'!H$2)/('минимумы и максимумы'!H$3-'минимумы и максимумы'!H$2)*100)</f>
        <v>0</v>
      </c>
      <c r="K399" s="1">
        <f>IF('исходные данные'!K399&gt;'минимумы и максимумы'!I$3,100,('исходные данные'!K399-'минимумы и максимумы'!I$2)/('минимумы и максимумы'!I$3-'минимумы и максимумы'!I$2)*100)</f>
        <v>38.888888888888893</v>
      </c>
      <c r="L399" s="1">
        <f>IF('исходные данные'!L399&gt;'минимумы и максимумы'!J$3,100,('исходные данные'!L399-'минимумы и максимумы'!J$2)/('минимумы и максимумы'!J$3-'минимумы и максимумы'!J$2)*100)</f>
        <v>0</v>
      </c>
      <c r="M399" s="1">
        <f>IF('исходные данные'!M399&gt;'минимумы и максимумы'!K$3,100,('исходные данные'!M399-'минимумы и максимумы'!K$2)/('минимумы и максимумы'!K$3-'минимумы и максимумы'!K$2)*100)</f>
        <v>6.4516129032258061</v>
      </c>
      <c r="N399" s="1">
        <f>IF('исходные данные'!N399&gt;'минимумы и максимумы'!L$3,100,('исходные данные'!N399-'минимумы и максимумы'!L$2)/('минимумы и максимумы'!L$3-'минимумы и максимумы'!L$2)*100)</f>
        <v>23.003906318304761</v>
      </c>
      <c r="O399" s="1">
        <f>IF('исходные данные'!O399&gt;'минимумы и максимумы'!M$3,100,('исходные данные'!O399-'минимумы и максимумы'!M$2)/('минимумы и максимумы'!M$3-'минимумы и максимумы'!M$2)*100)</f>
        <v>0</v>
      </c>
      <c r="P399" s="1">
        <f>IF('исходные данные'!P399&gt;'минимумы и максимумы'!N$3,100,('исходные данные'!P399-'минимумы и максимумы'!N$2)/('минимумы и максимумы'!N$3-'минимумы и максимумы'!N$2)*100)</f>
        <v>0</v>
      </c>
      <c r="Q399" s="1">
        <f>IF('исходные данные'!Q399&gt;'минимумы и максимумы'!O$3,100,('исходные данные'!Q399-'минимумы и максимумы'!O$2)/('минимумы и максимумы'!O$3-'минимумы и максимумы'!O$2)*100)</f>
        <v>0</v>
      </c>
      <c r="R399" s="1">
        <f>IF('исходные данные'!R399&gt;'минимумы и максимумы'!P$3,100,('исходные данные'!R399-'минимумы и максимумы'!P$2)/('минимумы и максимумы'!P$3-'минимумы и максимумы'!P$2)*100)</f>
        <v>25</v>
      </c>
      <c r="S399" s="1">
        <f>IF('исходные данные'!S399&gt;'минимумы и максимумы'!Q$3,100,('исходные данные'!S399-'минимумы и максимумы'!Q$2)/('минимумы и максимумы'!Q$3-'минимумы и максимумы'!Q$2)*100)</f>
        <v>66.666666666666657</v>
      </c>
      <c r="T399" s="1">
        <f>IF('исходные данные'!T399&gt;'минимумы и максимумы'!R$3,100,('исходные данные'!T399-'минимумы и максимумы'!R$2)/('минимумы и максимумы'!R$3-'минимумы и максимумы'!R$2)*100)</f>
        <v>23.449186097668278</v>
      </c>
      <c r="U399" s="1">
        <f>IF('исходные данные'!U399&gt;'минимумы и максимумы'!S$3,100,('исходные данные'!U399-'минимумы и максимумы'!S$2)/('минимумы и максимумы'!S$3-'минимумы и максимумы'!S$2)*100)</f>
        <v>0</v>
      </c>
    </row>
    <row r="400" spans="1:21" x14ac:dyDescent="0.45">
      <c r="A400" s="4">
        <v>517</v>
      </c>
      <c r="B400" s="4">
        <v>0</v>
      </c>
      <c r="C400" s="4">
        <v>0</v>
      </c>
      <c r="D400" s="1">
        <f>IF('исходные данные'!D400&gt;'минимумы и максимумы'!B$3,100,('исходные данные'!D400-'минимумы и максимумы'!B$2)/('минимумы и максимумы'!B$3-'минимумы и максимумы'!B$2)*100)</f>
        <v>0</v>
      </c>
      <c r="E400" s="1">
        <f>IF('исходные данные'!E400&gt;'минимумы и максимумы'!C$3,100,('исходные данные'!E400-'минимумы и максимумы'!C$2)/('минимумы и максимумы'!C$3-'минимумы и максимумы'!C$2)*100)</f>
        <v>0</v>
      </c>
      <c r="F400" s="1">
        <f>IF('исходные данные'!F400&gt;'минимумы и максимумы'!D$3,100,('исходные данные'!F400-'минимумы и максимумы'!D$2)/('минимумы и максимумы'!D$3-'минимумы и максимумы'!D$2)*100)</f>
        <v>0</v>
      </c>
      <c r="G400" s="1">
        <f>IF('исходные данные'!G400&gt;'минимумы и максимумы'!E$3,100,('исходные данные'!G400-'минимумы и максимумы'!E$2)/('минимумы и максимумы'!E$3-'минимумы и максимумы'!E$2)*100)</f>
        <v>8.3333333333333321</v>
      </c>
      <c r="H400" s="1">
        <f>IF('исходные данные'!H400&gt;'минимумы и максимумы'!F$3,100,('исходные данные'!H400-'минимумы и максимумы'!F$2)/('минимумы и максимумы'!F$3-'минимумы и максимумы'!F$2)*100)</f>
        <v>8</v>
      </c>
      <c r="I400" s="1">
        <f>IF('исходные данные'!I400&gt;'минимумы и максимумы'!G$3,100,('исходные данные'!I400-'минимумы и максимумы'!G$2)/('минимумы и максимумы'!G$3-'минимумы и максимумы'!G$2)*100)</f>
        <v>13.20754716981132</v>
      </c>
      <c r="J400" s="1">
        <f>IF('исходные данные'!J400&gt;'минимумы и максимумы'!H$3,100,('исходные данные'!J400-'минимумы и максимумы'!H$2)/('минимумы и максимумы'!H$3-'минимумы и максимумы'!H$2)*100)</f>
        <v>0</v>
      </c>
      <c r="K400" s="1">
        <f>IF('исходные данные'!K400&gt;'минимумы и максимумы'!I$3,100,('исходные данные'!K400-'минимумы и максимумы'!I$2)/('минимумы и максимумы'!I$3-'минимумы и максимумы'!I$2)*100)</f>
        <v>27.777777777777779</v>
      </c>
      <c r="L400" s="1">
        <f>IF('исходные данные'!L400&gt;'минимумы и максимумы'!J$3,100,('исходные данные'!L400-'минимумы и максимумы'!J$2)/('минимумы и максимумы'!J$3-'минимумы и максимумы'!J$2)*100)</f>
        <v>0</v>
      </c>
      <c r="M400" s="1">
        <f>IF('исходные данные'!M400&gt;'минимумы и максимумы'!K$3,100,('исходные данные'!M400-'минимумы и максимумы'!K$2)/('минимумы и максимумы'!K$3-'минимумы и максимумы'!K$2)*100)</f>
        <v>3.225806451612903</v>
      </c>
      <c r="N400" s="1">
        <f>IF('исходные данные'!N400&gt;'минимумы и максимумы'!L$3,100,('исходные данные'!N400-'минимумы и максимумы'!L$2)/('минимумы и максимумы'!L$3-'минимумы и максимумы'!L$2)*100)</f>
        <v>24.135322418146885</v>
      </c>
      <c r="O400" s="1">
        <f>IF('исходные данные'!O400&gt;'минимумы и максимумы'!M$3,100,('исходные данные'!O400-'минимумы и максимумы'!M$2)/('минимумы и максимумы'!M$3-'минимумы и максимумы'!M$2)*100)</f>
        <v>66.666666666666657</v>
      </c>
      <c r="P400" s="1">
        <f>IF('исходные данные'!P400&gt;'минимумы и максимумы'!N$3,100,('исходные данные'!P400-'минимумы и максимумы'!N$2)/('минимумы и максимумы'!N$3-'минимумы и максимумы'!N$2)*100)</f>
        <v>0</v>
      </c>
      <c r="Q400" s="1">
        <f>IF('исходные данные'!Q400&gt;'минимумы и максимумы'!O$3,100,('исходные данные'!Q400-'минимумы и максимумы'!O$2)/('минимумы и максимумы'!O$3-'минимумы и максимумы'!O$2)*100)</f>
        <v>100</v>
      </c>
      <c r="R400" s="1">
        <f>IF('исходные данные'!R400&gt;'минимумы и максимумы'!P$3,100,('исходные данные'!R400-'минимумы и максимумы'!P$2)/('минимумы и максимумы'!P$3-'минимумы и максимумы'!P$2)*100)</f>
        <v>25</v>
      </c>
      <c r="S400" s="1">
        <f>IF('исходные данные'!S400&gt;'минимумы и максимумы'!Q$3,100,('исходные данные'!S400-'минимумы и максимумы'!Q$2)/('минимумы и максимумы'!Q$3-'минимумы и максимумы'!Q$2)*100)</f>
        <v>50</v>
      </c>
      <c r="T400" s="1">
        <f>IF('исходные данные'!T400&gt;'минимумы и максимумы'!R$3,100,('исходные данные'!T400-'минимумы и максимумы'!R$2)/('минимумы и максимумы'!R$3-'минимумы и максимумы'!R$2)*100)</f>
        <v>18.917729872415308</v>
      </c>
      <c r="U400" s="1">
        <f>IF('исходные данные'!U400&gt;'минимумы и максимумы'!S$3,100,('исходные данные'!U400-'минимумы и максимумы'!S$2)/('минимумы и максимумы'!S$3-'минимумы и максимумы'!S$2)*100)</f>
        <v>33.333333333333329</v>
      </c>
    </row>
    <row r="401" spans="1:21" x14ac:dyDescent="0.45">
      <c r="A401" s="4">
        <v>518</v>
      </c>
      <c r="B401" s="4">
        <v>0</v>
      </c>
      <c r="C401" s="4">
        <v>0</v>
      </c>
      <c r="D401" s="1">
        <f>IF('исходные данные'!D401&gt;'минимумы и максимумы'!B$3,100,('исходные данные'!D401-'минимумы и максимумы'!B$2)/('минимумы и максимумы'!B$3-'минимумы и максимумы'!B$2)*100)</f>
        <v>20</v>
      </c>
      <c r="E401" s="1">
        <f>IF('исходные данные'!E401&gt;'минимумы и максимумы'!C$3,100,('исходные данные'!E401-'минимумы и максимумы'!C$2)/('минимумы и максимумы'!C$3-'минимумы и максимумы'!C$2)*100)</f>
        <v>50</v>
      </c>
      <c r="F401" s="1">
        <f>IF('исходные данные'!F401&gt;'минимумы и максимумы'!D$3,100,('исходные данные'!F401-'минимумы и максимумы'!D$2)/('минимумы и максимумы'!D$3-'минимумы и максимумы'!D$2)*100)</f>
        <v>0</v>
      </c>
      <c r="G401" s="1">
        <f>IF('исходные данные'!G401&gt;'минимумы и максимумы'!E$3,100,('исходные данные'!G401-'минимумы и максимумы'!E$2)/('минимумы и максимумы'!E$3-'минимумы и максимумы'!E$2)*100)</f>
        <v>29.166666666666668</v>
      </c>
      <c r="H401" s="1">
        <f>IF('исходные данные'!H401&gt;'минимумы и максимумы'!F$3,100,('исходные данные'!H401-'минимумы и максимумы'!F$2)/('минимумы и максимумы'!F$3-'минимумы и максимумы'!F$2)*100)</f>
        <v>20</v>
      </c>
      <c r="I401" s="1">
        <f>IF('исходные данные'!I401&gt;'минимумы и максимумы'!G$3,100,('исходные данные'!I401-'минимумы и максимумы'!G$2)/('минимумы и максимумы'!G$3-'минимумы и максимумы'!G$2)*100)</f>
        <v>5.6603773584905666</v>
      </c>
      <c r="J401" s="1">
        <f>IF('исходные данные'!J401&gt;'минимумы и максимумы'!H$3,100,('исходные данные'!J401-'минимумы и максимумы'!H$2)/('минимумы и максимумы'!H$3-'минимумы и максимумы'!H$2)*100)</f>
        <v>0</v>
      </c>
      <c r="K401" s="1">
        <f>IF('исходные данные'!K401&gt;'минимумы и максимумы'!I$3,100,('исходные данные'!K401-'минимумы и максимумы'!I$2)/('минимумы и максимумы'!I$3-'минимумы и максимумы'!I$2)*100)</f>
        <v>22.222222222222221</v>
      </c>
      <c r="L401" s="1">
        <f>IF('исходные данные'!L401&gt;'минимумы и максимумы'!J$3,100,('исходные данные'!L401-'минимумы и максимумы'!J$2)/('минимумы и максимумы'!J$3-'минимумы и максимумы'!J$2)*100)</f>
        <v>0</v>
      </c>
      <c r="M401" s="1">
        <f>IF('исходные данные'!M401&gt;'минимумы и максимумы'!K$3,100,('исходные данные'!M401-'минимумы и максимумы'!K$2)/('минимумы и максимумы'!K$3-'минимумы и максимумы'!K$2)*100)</f>
        <v>19.35483870967742</v>
      </c>
      <c r="N401" s="1">
        <f>IF('исходные данные'!N401&gt;'минимумы и максимумы'!L$3,100,('исходные данные'!N401-'минимумы и максимумы'!L$2)/('минимумы и максимумы'!L$3-'минимумы и максимумы'!L$2)*100)</f>
        <v>35.983011143752655</v>
      </c>
      <c r="O401" s="1">
        <f>IF('исходные данные'!O401&gt;'минимумы и максимумы'!M$3,100,('исходные данные'!O401-'минимумы и максимумы'!M$2)/('минимумы и максимумы'!M$3-'минимумы и максимумы'!M$2)*100)</f>
        <v>100</v>
      </c>
      <c r="P401" s="1">
        <f>IF('исходные данные'!P401&gt;'минимумы и максимумы'!N$3,100,('исходные данные'!P401-'минимумы и максимумы'!N$2)/('минимумы и максимумы'!N$3-'минимумы и максимумы'!N$2)*100)</f>
        <v>0</v>
      </c>
      <c r="Q401" s="1">
        <f>IF('исходные данные'!Q401&gt;'минимумы и максимумы'!O$3,100,('исходные данные'!Q401-'минимумы и максимумы'!O$2)/('минимумы и максимумы'!O$3-'минимумы и максимумы'!O$2)*100)</f>
        <v>100</v>
      </c>
      <c r="R401" s="1">
        <f>IF('исходные данные'!R401&gt;'минимумы и максимумы'!P$3,100,('исходные данные'!R401-'минимумы и максимумы'!P$2)/('минимумы и максимумы'!P$3-'минимумы и максимумы'!P$2)*100)</f>
        <v>100</v>
      </c>
      <c r="S401" s="1">
        <f>IF('исходные данные'!S401&gt;'минимумы и максимумы'!Q$3,100,('исходные данные'!S401-'минимумы и максимумы'!Q$2)/('минимумы и максимумы'!Q$3-'минимумы и максимумы'!Q$2)*100)</f>
        <v>33.333333333333329</v>
      </c>
      <c r="T401" s="1">
        <f>IF('исходные данные'!T401&gt;'минимумы и максимумы'!R$3,100,('исходные данные'!T401-'минимумы и максимумы'!R$2)/('минимумы и максимумы'!R$3-'минимумы и максимумы'!R$2)*100)</f>
        <v>17.949846018477782</v>
      </c>
      <c r="U401" s="1">
        <f>IF('исходные данные'!U401&gt;'минимумы и максимумы'!S$3,100,('исходные данные'!U401-'минимумы и максимумы'!S$2)/('минимумы и максимумы'!S$3-'минимумы и максимумы'!S$2)*100)</f>
        <v>0</v>
      </c>
    </row>
    <row r="402" spans="1:21" x14ac:dyDescent="0.45">
      <c r="A402" s="4">
        <v>519</v>
      </c>
      <c r="B402" s="4">
        <v>0</v>
      </c>
      <c r="C402" s="4">
        <v>0</v>
      </c>
      <c r="D402" s="1">
        <f>IF('исходные данные'!D402&gt;'минимумы и максимумы'!B$3,100,('исходные данные'!D402-'минимумы и максимумы'!B$2)/('минимумы и максимумы'!B$3-'минимумы и максимумы'!B$2)*100)</f>
        <v>0</v>
      </c>
      <c r="E402" s="1">
        <f>IF('исходные данные'!E402&gt;'минимумы и максимумы'!C$3,100,('исходные данные'!E402-'минимумы и максимумы'!C$2)/('минимумы и максимумы'!C$3-'минимумы и максимумы'!C$2)*100)</f>
        <v>0</v>
      </c>
      <c r="F402" s="1">
        <f>IF('исходные данные'!F402&gt;'минимумы и максимумы'!D$3,100,('исходные данные'!F402-'минимумы и максимумы'!D$2)/('минимумы и максимумы'!D$3-'минимумы и максимумы'!D$2)*100)</f>
        <v>0</v>
      </c>
      <c r="G402" s="1">
        <f>IF('исходные данные'!G402&gt;'минимумы и максимумы'!E$3,100,('исходные данные'!G402-'минимумы и максимумы'!E$2)/('минимумы и максимумы'!E$3-'минимумы и максимумы'!E$2)*100)</f>
        <v>20.833333333333336</v>
      </c>
      <c r="H402" s="1">
        <f>IF('исходные данные'!H402&gt;'минимумы и максимумы'!F$3,100,('исходные данные'!H402-'минимумы и максимумы'!F$2)/('минимумы и максимумы'!F$3-'минимумы и максимумы'!F$2)*100)</f>
        <v>16</v>
      </c>
      <c r="I402" s="1">
        <f>IF('исходные данные'!I402&gt;'минимумы и максимумы'!G$3,100,('исходные данные'!I402-'минимумы и максимумы'!G$2)/('минимумы и максимумы'!G$3-'минимумы и максимумы'!G$2)*100)</f>
        <v>5.6603773584905666</v>
      </c>
      <c r="J402" s="1">
        <f>IF('исходные данные'!J402&gt;'минимумы и максимумы'!H$3,100,('исходные данные'!J402-'минимумы и максимумы'!H$2)/('минимумы и максимумы'!H$3-'минимумы и максимумы'!H$2)*100)</f>
        <v>0</v>
      </c>
      <c r="K402" s="1">
        <f>IF('исходные данные'!K402&gt;'минимумы и максимумы'!I$3,100,('исходные данные'!K402-'минимумы и максимумы'!I$2)/('минимумы и максимумы'!I$3-'минимумы и максимумы'!I$2)*100)</f>
        <v>0</v>
      </c>
      <c r="L402" s="1">
        <f>IF('исходные данные'!L402&gt;'минимумы и максимумы'!J$3,100,('исходные данные'!L402-'минимумы и максимумы'!J$2)/('минимумы и максимумы'!J$3-'минимумы и максимумы'!J$2)*100)</f>
        <v>0</v>
      </c>
      <c r="M402" s="1">
        <f>IF('исходные данные'!M402&gt;'минимумы и максимумы'!K$3,100,('исходные данные'!M402-'минимумы и максимумы'!K$2)/('минимумы и максимумы'!K$3-'минимумы и максимумы'!K$2)*100)</f>
        <v>16.129032258064516</v>
      </c>
      <c r="N402" s="1">
        <f>IF('исходные данные'!N402&gt;'минимумы и максимумы'!L$3,100,('исходные данные'!N402-'минимумы и максимумы'!L$2)/('минимумы и максимумы'!L$3-'минимумы и максимумы'!L$2)*100)</f>
        <v>57.201348634263418</v>
      </c>
      <c r="O402" s="1">
        <f>IF('исходные данные'!O402&gt;'минимумы и максимумы'!M$3,100,('исходные данные'!O402-'минимумы и максимумы'!M$2)/('минимумы и максимумы'!M$3-'минимумы и максимумы'!M$2)*100)</f>
        <v>66.666666666666657</v>
      </c>
      <c r="P402" s="1">
        <f>IF('исходные данные'!P402&gt;'минимумы и максимумы'!N$3,100,('исходные данные'!P402-'минимумы и максимумы'!N$2)/('минимумы и максимумы'!N$3-'минимумы и максимумы'!N$2)*100)</f>
        <v>0</v>
      </c>
      <c r="Q402" s="1">
        <f>IF('исходные данные'!Q402&gt;'минимумы и максимумы'!O$3,100,('исходные данные'!Q402-'минимумы и максимумы'!O$2)/('минимумы и максимумы'!O$3-'минимумы и максимумы'!O$2)*100)</f>
        <v>0</v>
      </c>
      <c r="R402" s="1">
        <f>IF('исходные данные'!R402&gt;'минимумы и максимумы'!P$3,100,('исходные данные'!R402-'минимумы и максимумы'!P$2)/('минимумы и максимумы'!P$3-'минимумы и максимумы'!P$2)*100)</f>
        <v>25</v>
      </c>
      <c r="S402" s="1">
        <f>IF('исходные данные'!S402&gt;'минимумы и максимумы'!Q$3,100,('исходные данные'!S402-'минимумы и максимумы'!Q$2)/('минимумы и максимумы'!Q$3-'минимумы и максимумы'!Q$2)*100)</f>
        <v>16.666666666666664</v>
      </c>
      <c r="T402" s="1">
        <f>IF('исходные данные'!T402&gt;'минимумы и максимумы'!R$3,100,('исходные данные'!T402-'минимумы и максимумы'!R$2)/('минимумы и максимумы'!R$3-'минимумы и максимумы'!R$2)*100)</f>
        <v>5.4553453585569738</v>
      </c>
      <c r="U402" s="1">
        <f>IF('исходные данные'!U402&gt;'минимумы и максимумы'!S$3,100,('исходные данные'!U402-'минимумы и максимумы'!S$2)/('минимумы и максимумы'!S$3-'минимумы и максимумы'!S$2)*100)</f>
        <v>0</v>
      </c>
    </row>
    <row r="403" spans="1:21" x14ac:dyDescent="0.45">
      <c r="A403" s="4">
        <v>520</v>
      </c>
      <c r="B403" s="4">
        <v>0</v>
      </c>
      <c r="C403" s="4">
        <v>0</v>
      </c>
      <c r="D403" s="1">
        <f>IF('исходные данные'!D403&gt;'минимумы и максимумы'!B$3,100,('исходные данные'!D403-'минимумы и максимумы'!B$2)/('минимумы и максимумы'!B$3-'минимумы и максимумы'!B$2)*100)</f>
        <v>20</v>
      </c>
      <c r="E403" s="1">
        <f>IF('исходные данные'!E403&gt;'минимумы и максимумы'!C$3,100,('исходные данные'!E403-'минимумы и максимумы'!C$2)/('минимумы и максимумы'!C$3-'минимумы и максимумы'!C$2)*100)</f>
        <v>40</v>
      </c>
      <c r="F403" s="1">
        <f>IF('исходные данные'!F403&gt;'минимумы и максимумы'!D$3,100,('исходные данные'!F403-'минимумы и максимумы'!D$2)/('минимумы и максимумы'!D$3-'минимумы и максимумы'!D$2)*100)</f>
        <v>33.333333333333329</v>
      </c>
      <c r="G403" s="1">
        <f>IF('исходные данные'!G403&gt;'минимумы и максимумы'!E$3,100,('исходные данные'!G403-'минимумы и максимумы'!E$2)/('минимумы и максимумы'!E$3-'минимумы и максимумы'!E$2)*100)</f>
        <v>50</v>
      </c>
      <c r="H403" s="1">
        <f>IF('исходные данные'!H403&gt;'минимумы и максимумы'!F$3,100,('исходные данные'!H403-'минимумы и максимумы'!F$2)/('минимумы и максимумы'!F$3-'минимумы и максимумы'!F$2)*100)</f>
        <v>72</v>
      </c>
      <c r="I403" s="1">
        <f>IF('исходные данные'!I403&gt;'минимумы и максимумы'!G$3,100,('исходные данные'!I403-'минимумы и максимумы'!G$2)/('минимумы и максимумы'!G$3-'минимумы и максимумы'!G$2)*100)</f>
        <v>9.433962264150944</v>
      </c>
      <c r="J403" s="1">
        <f>IF('исходные данные'!J403&gt;'минимумы и максимумы'!H$3,100,('исходные данные'!J403-'минимумы и максимумы'!H$2)/('минимумы и максимумы'!H$3-'минимумы и максимумы'!H$2)*100)</f>
        <v>0</v>
      </c>
      <c r="K403" s="1">
        <f>IF('исходные данные'!K403&gt;'минимумы и максимумы'!I$3,100,('исходные данные'!K403-'минимумы и максимумы'!I$2)/('минимумы и максимумы'!I$3-'минимумы и максимумы'!I$2)*100)</f>
        <v>0</v>
      </c>
      <c r="L403" s="1">
        <f>IF('исходные данные'!L403&gt;'минимумы и максимумы'!J$3,100,('исходные данные'!L403-'минимумы и максимумы'!J$2)/('минимумы и максимумы'!J$3-'минимумы и максимумы'!J$2)*100)</f>
        <v>0</v>
      </c>
      <c r="M403" s="1">
        <f>IF('исходные данные'!M403&gt;'минимумы и максимумы'!K$3,100,('исходные данные'!M403-'минимумы и максимумы'!K$2)/('минимумы и максимумы'!K$3-'минимумы и максимумы'!K$2)*100)</f>
        <v>29.032258064516132</v>
      </c>
      <c r="N403" s="1">
        <f>IF('исходные данные'!N403&gt;'минимумы и максимумы'!L$3,100,('исходные данные'!N403-'минимумы и максимумы'!L$2)/('минимумы и максимумы'!L$3-'минимумы и максимумы'!L$2)*100)</f>
        <v>50.319277869851156</v>
      </c>
      <c r="O403" s="1">
        <f>IF('исходные данные'!O403&gt;'минимумы и максимумы'!M$3,100,('исходные данные'!O403-'минимумы и максимумы'!M$2)/('минимумы и максимумы'!M$3-'минимумы и максимумы'!M$2)*100)</f>
        <v>100</v>
      </c>
      <c r="P403" s="1">
        <f>IF('исходные данные'!P403&gt;'минимумы и максимумы'!N$3,100,('исходные данные'!P403-'минимумы и максимумы'!N$2)/('минимумы и максимумы'!N$3-'минимумы и максимумы'!N$2)*100)</f>
        <v>100</v>
      </c>
      <c r="Q403" s="1">
        <f>IF('исходные данные'!Q403&gt;'минимумы и максимумы'!O$3,100,('исходные данные'!Q403-'минимумы и максимумы'!O$2)/('минимумы и максимумы'!O$3-'минимумы и максимумы'!O$2)*100)</f>
        <v>100</v>
      </c>
      <c r="R403" s="1">
        <f>IF('исходные данные'!R403&gt;'минимумы и максимумы'!P$3,100,('исходные данные'!R403-'минимумы и максимумы'!P$2)/('минимумы и максимумы'!P$3-'минимумы и максимумы'!P$2)*100)</f>
        <v>100</v>
      </c>
      <c r="S403" s="1">
        <f>IF('исходные данные'!S403&gt;'минимумы и максимумы'!Q$3,100,('исходные данные'!S403-'минимумы и максимумы'!Q$2)/('минимумы и максимумы'!Q$3-'минимумы и максимумы'!Q$2)*100)</f>
        <v>66.666666666666657</v>
      </c>
      <c r="T403" s="1">
        <f>IF('исходные данные'!T403&gt;'минимумы и максимумы'!R$3,100,('исходные данные'!T403-'минимумы и максимумы'!R$2)/('минимумы и максимумы'!R$3-'минимумы и максимумы'!R$2)*100)</f>
        <v>76.330840299164109</v>
      </c>
      <c r="U403" s="1">
        <f>IF('исходные данные'!U403&gt;'минимумы и максимумы'!S$3,100,('исходные данные'!U403-'минимумы и максимумы'!S$2)/('минимумы и максимумы'!S$3-'минимумы и максимумы'!S$2)*100)</f>
        <v>33.333333333333329</v>
      </c>
    </row>
    <row r="404" spans="1:21" x14ac:dyDescent="0.45">
      <c r="A404" s="4">
        <v>521</v>
      </c>
      <c r="B404" s="4">
        <v>0</v>
      </c>
      <c r="C404" s="4">
        <v>0</v>
      </c>
      <c r="D404" s="1">
        <f>IF('исходные данные'!D404&gt;'минимумы и максимумы'!B$3,100,('исходные данные'!D404-'минимумы и максимумы'!B$2)/('минимумы и максимумы'!B$3-'минимумы и максимумы'!B$2)*100)</f>
        <v>100</v>
      </c>
      <c r="E404" s="1">
        <f>IF('исходные данные'!E404&gt;'минимумы и максимумы'!C$3,100,('исходные данные'!E404-'минимумы и максимумы'!C$2)/('минимумы и максимумы'!C$3-'минимумы и максимумы'!C$2)*100)</f>
        <v>50</v>
      </c>
      <c r="F404" s="1">
        <f>IF('исходные данные'!F404&gt;'минимумы и максимумы'!D$3,100,('исходные данные'!F404-'минимумы и максимумы'!D$2)/('минимумы и максимумы'!D$3-'минимумы и максимумы'!D$2)*100)</f>
        <v>33.333333333333329</v>
      </c>
      <c r="G404" s="1">
        <f>IF('исходные данные'!G404&gt;'минимумы и максимумы'!E$3,100,('исходные данные'!G404-'минимумы и максимумы'!E$2)/('минимумы и максимумы'!E$3-'минимумы и максимумы'!E$2)*100)</f>
        <v>20.833333333333336</v>
      </c>
      <c r="H404" s="1">
        <f>IF('исходные данные'!H404&gt;'минимумы и максимумы'!F$3,100,('исходные данные'!H404-'минимумы и максимумы'!F$2)/('минимумы и максимумы'!F$3-'минимумы и максимумы'!F$2)*100)</f>
        <v>36</v>
      </c>
      <c r="I404" s="1">
        <f>IF('исходные данные'!I404&gt;'минимумы и максимумы'!G$3,100,('исходные данные'!I404-'минимумы и максимумы'!G$2)/('минимумы и максимумы'!G$3-'минимумы и максимумы'!G$2)*100)</f>
        <v>9.433962264150944</v>
      </c>
      <c r="J404" s="1">
        <f>IF('исходные данные'!J404&gt;'минимумы и максимумы'!H$3,100,('исходные данные'!J404-'минимумы и максимумы'!H$2)/('минимумы и максимумы'!H$3-'минимумы и максимумы'!H$2)*100)</f>
        <v>6.666666666666667</v>
      </c>
      <c r="K404" s="1">
        <f>IF('исходные данные'!K404&gt;'минимумы и максимумы'!I$3,100,('исходные данные'!K404-'минимумы и максимумы'!I$2)/('минимумы и максимумы'!I$3-'минимумы и максимумы'!I$2)*100)</f>
        <v>0</v>
      </c>
      <c r="L404" s="1">
        <f>IF('исходные данные'!L404&gt;'минимумы и максимумы'!J$3,100,('исходные данные'!L404-'минимумы и максимумы'!J$2)/('минимумы и максимумы'!J$3-'минимумы и максимумы'!J$2)*100)</f>
        <v>0</v>
      </c>
      <c r="M404" s="1">
        <f>IF('исходные данные'!M404&gt;'минимумы и максимумы'!K$3,100,('исходные данные'!M404-'минимумы и максимумы'!K$2)/('минимумы и максимумы'!K$3-'минимумы и максимумы'!K$2)*100)</f>
        <v>12.903225806451612</v>
      </c>
      <c r="N404" s="1">
        <f>IF('исходные данные'!N404&gt;'минимумы и максимумы'!L$3,100,('исходные данные'!N404-'минимумы и максимумы'!L$2)/('минимумы и максимумы'!L$3-'минимумы и максимумы'!L$2)*100)</f>
        <v>57.002341259169839</v>
      </c>
      <c r="O404" s="1">
        <f>IF('исходные данные'!O404&gt;'минимумы и максимумы'!M$3,100,('исходные данные'!O404-'минимумы и максимумы'!M$2)/('минимумы и максимумы'!M$3-'минимумы и максимумы'!M$2)*100)</f>
        <v>100</v>
      </c>
      <c r="P404" s="1">
        <f>IF('исходные данные'!P404&gt;'минимумы и максимумы'!N$3,100,('исходные данные'!P404-'минимумы и максимумы'!N$2)/('минимумы и максимумы'!N$3-'минимумы и максимумы'!N$2)*100)</f>
        <v>0</v>
      </c>
      <c r="Q404" s="1">
        <f>IF('исходные данные'!Q404&gt;'минимумы и максимумы'!O$3,100,('исходные данные'!Q404-'минимумы и максимумы'!O$2)/('минимумы и максимумы'!O$3-'минимумы и максимумы'!O$2)*100)</f>
        <v>100</v>
      </c>
      <c r="R404" s="1">
        <f>IF('исходные данные'!R404&gt;'минимумы и максимумы'!P$3,100,('исходные данные'!R404-'минимумы и максимумы'!P$2)/('минимумы и максимумы'!P$3-'минимумы и максимумы'!P$2)*100)</f>
        <v>100</v>
      </c>
      <c r="S404" s="1">
        <f>IF('исходные данные'!S404&gt;'минимумы и максимумы'!Q$3,100,('исходные данные'!S404-'минимумы и максимумы'!Q$2)/('минимумы и максимумы'!Q$3-'минимумы и максимумы'!Q$2)*100)</f>
        <v>50</v>
      </c>
      <c r="T404" s="1">
        <f>IF('исходные данные'!T404&gt;'минимумы и максимумы'!R$3,100,('исходные данные'!T404-'минимумы и максимумы'!R$2)/('минимумы и максимумы'!R$3-'минимумы и максимумы'!R$2)*100)</f>
        <v>79.806423229212498</v>
      </c>
      <c r="U404" s="1">
        <f>IF('исходные данные'!U404&gt;'минимумы и максимумы'!S$3,100,('исходные данные'!U404-'минимумы и максимумы'!S$2)/('минимумы и максимумы'!S$3-'минимумы и максимумы'!S$2)*100)</f>
        <v>33.333333333333329</v>
      </c>
    </row>
    <row r="405" spans="1:21" x14ac:dyDescent="0.45">
      <c r="A405" s="4">
        <v>523</v>
      </c>
      <c r="B405" s="4">
        <v>0</v>
      </c>
      <c r="C405" s="4">
        <v>0</v>
      </c>
      <c r="D405" s="1">
        <f>IF('исходные данные'!D405&gt;'минимумы и максимумы'!B$3,100,('исходные данные'!D405-'минимумы и максимумы'!B$2)/('минимумы и максимумы'!B$3-'минимумы и максимумы'!B$2)*100)</f>
        <v>60</v>
      </c>
      <c r="E405" s="1">
        <f>IF('исходные данные'!E405&gt;'минимумы и максимумы'!C$3,100,('исходные данные'!E405-'минимумы и максимумы'!C$2)/('минимумы и максимумы'!C$3-'минимумы и максимумы'!C$2)*100)</f>
        <v>30</v>
      </c>
      <c r="F405" s="1">
        <f>IF('исходные данные'!F405&gt;'минимумы и максимумы'!D$3,100,('исходные данные'!F405-'минимумы и максимумы'!D$2)/('минимумы и максимумы'!D$3-'минимумы и максимумы'!D$2)*100)</f>
        <v>0</v>
      </c>
      <c r="G405" s="1">
        <f>IF('исходные данные'!G405&gt;'минимумы и максимумы'!E$3,100,('исходные данные'!G405-'минимумы и максимумы'!E$2)/('минимумы и максимумы'!E$3-'минимумы и максимумы'!E$2)*100)</f>
        <v>45.833333333333329</v>
      </c>
      <c r="H405" s="1">
        <f>IF('исходные данные'!H405&gt;'минимумы и максимумы'!F$3,100,('исходные данные'!H405-'минимумы и максимумы'!F$2)/('минимумы и максимумы'!F$3-'минимумы и максимумы'!F$2)*100)</f>
        <v>40</v>
      </c>
      <c r="I405" s="1">
        <f>IF('исходные данные'!I405&gt;'минимумы и максимумы'!G$3,100,('исходные данные'!I405-'минимумы и максимумы'!G$2)/('минимумы и максимумы'!G$3-'минимумы и максимумы'!G$2)*100)</f>
        <v>15.09433962264151</v>
      </c>
      <c r="J405" s="1">
        <f>IF('исходные данные'!J405&gt;'минимумы и максимумы'!H$3,100,('исходные данные'!J405-'минимумы и максимумы'!H$2)/('минимумы и максимумы'!H$3-'минимумы и максимумы'!H$2)*100)</f>
        <v>0</v>
      </c>
      <c r="K405" s="1">
        <f>IF('исходные данные'!K405&gt;'минимумы и максимумы'!I$3,100,('исходные данные'!K405-'минимумы и максимумы'!I$2)/('минимумы и максимумы'!I$3-'минимумы и максимумы'!I$2)*100)</f>
        <v>0</v>
      </c>
      <c r="L405" s="1">
        <f>IF('исходные данные'!L405&gt;'минимумы и максимумы'!J$3,100,('исходные данные'!L405-'минимумы и максимумы'!J$2)/('минимумы и максимумы'!J$3-'минимумы и максимумы'!J$2)*100)</f>
        <v>40</v>
      </c>
      <c r="M405" s="1">
        <f>IF('исходные данные'!M405&gt;'минимумы и максимумы'!K$3,100,('исходные данные'!M405-'минимумы и максимумы'!K$2)/('минимумы и максимумы'!K$3-'минимумы и максимумы'!K$2)*100)</f>
        <v>22.58064516129032</v>
      </c>
      <c r="N405" s="1">
        <f>IF('исходные данные'!N405&gt;'минимумы и максимумы'!L$3,100,('исходные данные'!N405-'минимумы и максимумы'!L$2)/('минимумы и максимумы'!L$3-'минимумы и максимумы'!L$2)*100)</f>
        <v>56.955539003854042</v>
      </c>
      <c r="O405" s="1">
        <f>IF('исходные данные'!O405&gt;'минимумы и максимумы'!M$3,100,('исходные данные'!O405-'минимумы и максимумы'!M$2)/('минимумы и максимумы'!M$3-'минимумы и максимумы'!M$2)*100)</f>
        <v>100</v>
      </c>
      <c r="P405" s="1">
        <f>IF('исходные данные'!P405&gt;'минимумы и максимумы'!N$3,100,('исходные данные'!P405-'минимумы и максимумы'!N$2)/('минимумы и максимумы'!N$3-'минимумы и максимумы'!N$2)*100)</f>
        <v>0</v>
      </c>
      <c r="Q405" s="1">
        <f>IF('исходные данные'!Q405&gt;'минимумы и максимумы'!O$3,100,('исходные данные'!Q405-'минимумы и максимумы'!O$2)/('минимумы и максимумы'!O$3-'минимумы и максимумы'!O$2)*100)</f>
        <v>100</v>
      </c>
      <c r="R405" s="1">
        <f>IF('исходные данные'!R405&gt;'минимумы и максимумы'!P$3,100,('исходные данные'!R405-'минимумы и максимумы'!P$2)/('минимумы и максимумы'!P$3-'минимумы и максимумы'!P$2)*100)</f>
        <v>100</v>
      </c>
      <c r="S405" s="1">
        <f>IF('исходные данные'!S405&gt;'минимумы и максимумы'!Q$3,100,('исходные данные'!S405-'минимумы и максимумы'!Q$2)/('минимумы и максимумы'!Q$3-'минимумы и максимумы'!Q$2)*100)</f>
        <v>33.333333333333329</v>
      </c>
      <c r="T405" s="1">
        <f>IF('исходные данные'!T405&gt;'минимумы и максимумы'!R$3,100,('исходные данные'!T405-'минимумы и максимумы'!R$2)/('минимумы и максимумы'!R$3-'минимумы и максимумы'!R$2)*100)</f>
        <v>25.208974923009237</v>
      </c>
      <c r="U405" s="1">
        <f>IF('исходные данные'!U405&gt;'минимумы и максимумы'!S$3,100,('исходные данные'!U405-'минимумы и максимумы'!S$2)/('минимумы и максимумы'!S$3-'минимумы и максимумы'!S$2)*100)</f>
        <v>0</v>
      </c>
    </row>
    <row r="406" spans="1:21" x14ac:dyDescent="0.45">
      <c r="A406" s="4">
        <v>524</v>
      </c>
      <c r="B406" s="4">
        <v>1</v>
      </c>
      <c r="C406" s="4">
        <v>0</v>
      </c>
      <c r="D406" s="1">
        <f>IF('исходные данные'!D406&gt;'минимумы и максимумы'!B$3,100,('исходные данные'!D406-'минимумы и максимумы'!B$2)/('минимумы и максимумы'!B$3-'минимумы и максимумы'!B$2)*100)</f>
        <v>0</v>
      </c>
      <c r="E406" s="1">
        <f>IF('исходные данные'!E406&gt;'минимумы и максимумы'!C$3,100,('исходные данные'!E406-'минимумы и максимумы'!C$2)/('минимумы и максимумы'!C$3-'минимумы и максимумы'!C$2)*100)</f>
        <v>30</v>
      </c>
      <c r="F406" s="1">
        <f>IF('исходные данные'!F406&gt;'минимумы и максимумы'!D$3,100,('исходные данные'!F406-'минимумы и максимумы'!D$2)/('минимумы и максимумы'!D$3-'минимумы и максимумы'!D$2)*100)</f>
        <v>33.333333333333329</v>
      </c>
      <c r="G406" s="1">
        <f>IF('исходные данные'!G406&gt;'минимумы и максимумы'!E$3,100,('исходные данные'!G406-'минимумы и максимумы'!E$2)/('минимумы и максимумы'!E$3-'минимумы и максимумы'!E$2)*100)</f>
        <v>50</v>
      </c>
      <c r="H406" s="1">
        <f>IF('исходные данные'!H406&gt;'минимумы и максимумы'!F$3,100,('исходные данные'!H406-'минимумы и максимумы'!F$2)/('минимумы и максимумы'!F$3-'минимумы и максимумы'!F$2)*100)</f>
        <v>72</v>
      </c>
      <c r="I406" s="1">
        <f>IF('исходные данные'!I406&gt;'минимумы и максимумы'!G$3,100,('исходные данные'!I406-'минимумы и максимумы'!G$2)/('минимумы и максимумы'!G$3-'минимумы и максимумы'!G$2)*100)</f>
        <v>56.60377358490566</v>
      </c>
      <c r="J406" s="1">
        <f>IF('исходные данные'!J406&gt;'минимумы и максимумы'!H$3,100,('исходные данные'!J406-'минимумы и максимумы'!H$2)/('минимумы и максимумы'!H$3-'минимумы и максимумы'!H$2)*100)</f>
        <v>0</v>
      </c>
      <c r="K406" s="1">
        <f>IF('исходные данные'!K406&gt;'минимумы и максимумы'!I$3,100,('исходные данные'!K406-'минимумы и максимумы'!I$2)/('минимумы и максимумы'!I$3-'минимумы и максимумы'!I$2)*100)</f>
        <v>5.5555555555555554</v>
      </c>
      <c r="L406" s="1">
        <f>IF('исходные данные'!L406&gt;'минимумы и максимумы'!J$3,100,('исходные данные'!L406-'минимумы и максимумы'!J$2)/('минимумы и максимумы'!J$3-'минимумы и максимумы'!J$2)*100)</f>
        <v>100</v>
      </c>
      <c r="M406" s="1">
        <f>IF('исходные данные'!M406&gt;'минимумы и максимумы'!K$3,100,('исходные данные'!M406-'минимумы и максимумы'!K$2)/('минимумы и максимумы'!K$3-'минимумы и максимумы'!K$2)*100)</f>
        <v>25.806451612903224</v>
      </c>
      <c r="N406" s="1">
        <f>IF('исходные данные'!N406&gt;'минимумы и максимумы'!L$3,100,('исходные данные'!N406-'минимумы и максимумы'!L$2)/('минимумы и максимумы'!L$3-'минимумы и максимумы'!L$2)*100)</f>
        <v>51.032111554159073</v>
      </c>
      <c r="O406" s="1">
        <f>IF('исходные данные'!O406&gt;'минимумы и максимумы'!M$3,100,('исходные данные'!O406-'минимумы и максимумы'!M$2)/('минимумы и максимумы'!M$3-'минимумы и максимумы'!M$2)*100)</f>
        <v>100</v>
      </c>
      <c r="P406" s="1">
        <f>IF('исходные данные'!P406&gt;'минимумы и максимумы'!N$3,100,('исходные данные'!P406-'минимумы и максимумы'!N$2)/('минимумы и максимумы'!N$3-'минимумы и максимумы'!N$2)*100)</f>
        <v>0</v>
      </c>
      <c r="Q406" s="1">
        <f>IF('исходные данные'!Q406&gt;'минимумы и максимумы'!O$3,100,('исходные данные'!Q406-'минимумы и максимумы'!O$2)/('минимумы и максимумы'!O$3-'минимумы и максимумы'!O$2)*100)</f>
        <v>100</v>
      </c>
      <c r="R406" s="1">
        <f>IF('исходные данные'!R406&gt;'минимумы и максимумы'!P$3,100,('исходные данные'!R406-'минимумы и максимумы'!P$2)/('минимумы и максимумы'!P$3-'минимумы и максимумы'!P$2)*100)</f>
        <v>100</v>
      </c>
      <c r="S406" s="1">
        <f>IF('исходные данные'!S406&gt;'минимумы и максимумы'!Q$3,100,('исходные данные'!S406-'минимумы и максимумы'!Q$2)/('минимумы и максимумы'!Q$3-'минимумы и максимумы'!Q$2)*100)</f>
        <v>33.333333333333329</v>
      </c>
      <c r="T406" s="1">
        <f>IF('исходные данные'!T406&gt;'минимумы и максимумы'!R$3,100,('исходные данные'!T406-'минимумы и максимумы'!R$2)/('минимумы и максимумы'!R$3-'минимумы и максимумы'!R$2)*100)</f>
        <v>51.825780906291243</v>
      </c>
      <c r="U406" s="1">
        <f>IF('исходные данные'!U406&gt;'минимумы и максимумы'!S$3,100,('исходные данные'!U406-'минимумы и максимумы'!S$2)/('минимумы и максимумы'!S$3-'минимумы и максимумы'!S$2)*100)</f>
        <v>66.666666666666657</v>
      </c>
    </row>
    <row r="407" spans="1:21" x14ac:dyDescent="0.45">
      <c r="A407" s="4">
        <v>525</v>
      </c>
      <c r="B407" s="4">
        <v>0</v>
      </c>
      <c r="C407" s="4">
        <v>0</v>
      </c>
      <c r="D407" s="1">
        <f>IF('исходные данные'!D407&gt;'минимумы и максимумы'!B$3,100,('исходные данные'!D407-'минимумы и максимумы'!B$2)/('минимумы и максимумы'!B$3-'минимумы и максимумы'!B$2)*100)</f>
        <v>60</v>
      </c>
      <c r="E407" s="1">
        <f>IF('исходные данные'!E407&gt;'минимумы и максимумы'!C$3,100,('исходные данные'!E407-'минимумы и максимумы'!C$2)/('минимумы и максимумы'!C$3-'минимумы и максимумы'!C$2)*100)</f>
        <v>40</v>
      </c>
      <c r="F407" s="1">
        <f>IF('исходные данные'!F407&gt;'минимумы и максимумы'!D$3,100,('исходные данные'!F407-'минимумы и максимумы'!D$2)/('минимумы и максимумы'!D$3-'минимумы и максимумы'!D$2)*100)</f>
        <v>33.333333333333329</v>
      </c>
      <c r="G407" s="1">
        <f>IF('исходные данные'!G407&gt;'минимумы и максимумы'!E$3,100,('исходные данные'!G407-'минимумы и максимумы'!E$2)/('минимумы и максимумы'!E$3-'минимумы и максимумы'!E$2)*100)</f>
        <v>25</v>
      </c>
      <c r="H407" s="1">
        <f>IF('исходные данные'!H407&gt;'минимумы и максимумы'!F$3,100,('исходные данные'!H407-'минимумы и максимумы'!F$2)/('минимумы и максимумы'!F$3-'минимумы и максимумы'!F$2)*100)</f>
        <v>48</v>
      </c>
      <c r="I407" s="1">
        <f>IF('исходные данные'!I407&gt;'минимумы и максимумы'!G$3,100,('исходные данные'!I407-'минимумы и максимумы'!G$2)/('минимумы и максимумы'!G$3-'минимумы и максимумы'!G$2)*100)</f>
        <v>13.20754716981132</v>
      </c>
      <c r="J407" s="1">
        <f>IF('исходные данные'!J407&gt;'минимумы и максимумы'!H$3,100,('исходные данные'!J407-'минимумы и максимумы'!H$2)/('минимумы и максимумы'!H$3-'минимумы и максимумы'!H$2)*100)</f>
        <v>0</v>
      </c>
      <c r="K407" s="1">
        <f>IF('исходные данные'!K407&gt;'минимумы и максимумы'!I$3,100,('исходные данные'!K407-'минимумы и максимумы'!I$2)/('минимумы и максимумы'!I$3-'минимумы и максимумы'!I$2)*100)</f>
        <v>0</v>
      </c>
      <c r="L407" s="1">
        <f>IF('исходные данные'!L407&gt;'минимумы и максимумы'!J$3,100,('исходные данные'!L407-'минимумы и максимумы'!J$2)/('минимумы и максимумы'!J$3-'минимумы и максимумы'!J$2)*100)</f>
        <v>0</v>
      </c>
      <c r="M407" s="1">
        <f>IF('исходные данные'!M407&gt;'минимумы и максимумы'!K$3,100,('исходные данные'!M407-'минимумы и максимумы'!K$2)/('минимумы и максимумы'!K$3-'минимумы и максимумы'!K$2)*100)</f>
        <v>74.193548387096769</v>
      </c>
      <c r="N407" s="1">
        <f>IF('исходные данные'!N407&gt;'минимумы и максимумы'!L$3,100,('исходные данные'!N407-'минимумы и максимумы'!L$2)/('минимумы и максимумы'!L$3-'минимумы и максимумы'!L$2)*100)</f>
        <v>49.360787417665684</v>
      </c>
      <c r="O407" s="1">
        <f>IF('исходные данные'!O407&gt;'минимумы и максимумы'!M$3,100,('исходные данные'!O407-'минимумы и максимумы'!M$2)/('минимумы и максимумы'!M$3-'минимумы и максимумы'!M$2)*100)</f>
        <v>66.666666666666657</v>
      </c>
      <c r="P407" s="1">
        <f>IF('исходные данные'!P407&gt;'минимумы и максимумы'!N$3,100,('исходные данные'!P407-'минимумы и максимумы'!N$2)/('минимумы и максимумы'!N$3-'минимумы и максимумы'!N$2)*100)</f>
        <v>0</v>
      </c>
      <c r="Q407" s="1">
        <f>IF('исходные данные'!Q407&gt;'минимумы и максимумы'!O$3,100,('исходные данные'!Q407-'минимумы и максимумы'!O$2)/('минимумы и максимумы'!O$3-'минимумы и максимумы'!O$2)*100)</f>
        <v>0</v>
      </c>
      <c r="R407" s="1">
        <f>IF('исходные данные'!R407&gt;'минимумы и максимумы'!P$3,100,('исходные данные'!R407-'минимумы и максимумы'!P$2)/('минимумы и максимумы'!P$3-'минимумы и максимумы'!P$2)*100)</f>
        <v>25</v>
      </c>
      <c r="S407" s="1">
        <f>IF('исходные данные'!S407&gt;'минимумы и максимумы'!Q$3,100,('исходные данные'!S407-'минимумы и максимумы'!Q$2)/('минимумы и максимумы'!Q$3-'минимумы и максимумы'!Q$2)*100)</f>
        <v>50</v>
      </c>
      <c r="T407" s="1">
        <f>IF('исходные данные'!T407&gt;'минимумы и максимумы'!R$3,100,('исходные данные'!T407-'минимумы и максимумы'!R$2)/('минимумы и максимумы'!R$3-'минимумы и максимумы'!R$2)*100)</f>
        <v>36.47162340519138</v>
      </c>
      <c r="U407" s="1">
        <f>IF('исходные данные'!U407&gt;'минимумы и максимумы'!S$3,100,('исходные данные'!U407-'минимумы и максимумы'!S$2)/('минимумы и максимумы'!S$3-'минимумы и максимумы'!S$2)*100)</f>
        <v>33.333333333333329</v>
      </c>
    </row>
    <row r="408" spans="1:21" x14ac:dyDescent="0.45">
      <c r="A408" s="4">
        <v>528</v>
      </c>
      <c r="B408" s="4">
        <v>0</v>
      </c>
      <c r="C408" s="4">
        <v>1</v>
      </c>
      <c r="D408" s="1">
        <f>IF('исходные данные'!D408&gt;'минимумы и максимумы'!B$3,100,('исходные данные'!D408-'минимумы и максимумы'!B$2)/('минимумы и максимумы'!B$3-'минимумы и максимумы'!B$2)*100)</f>
        <v>0</v>
      </c>
      <c r="E408" s="1">
        <f>IF('исходные данные'!E408&gt;'минимумы и максимумы'!C$3,100,('исходные данные'!E408-'минимумы и максимумы'!C$2)/('минимумы и максимумы'!C$3-'минимумы и максимумы'!C$2)*100)</f>
        <v>0</v>
      </c>
      <c r="F408" s="1">
        <f>IF('исходные данные'!F408&gt;'минимумы и максимумы'!D$3,100,('исходные данные'!F408-'минимумы и максимумы'!D$2)/('минимумы и максимумы'!D$3-'минимумы и максимумы'!D$2)*100)</f>
        <v>0</v>
      </c>
      <c r="G408" s="1">
        <f>IF('исходные данные'!G408&gt;'минимумы и максимумы'!E$3,100,('исходные данные'!G408-'минимумы и максимумы'!E$2)/('минимумы и максимумы'!E$3-'минимумы и максимумы'!E$2)*100)</f>
        <v>8.3333333333333321</v>
      </c>
      <c r="H408" s="1">
        <f>IF('исходные данные'!H408&gt;'минимумы и максимумы'!F$3,100,('исходные данные'!H408-'минимумы и максимумы'!F$2)/('минимумы и максимумы'!F$3-'минимумы и максимумы'!F$2)*100)</f>
        <v>12</v>
      </c>
      <c r="I408" s="1">
        <f>IF('исходные данные'!I408&gt;'минимумы и максимумы'!G$3,100,('исходные данные'!I408-'минимумы и максимумы'!G$2)/('минимумы и максимумы'!G$3-'минимумы и максимумы'!G$2)*100)</f>
        <v>0</v>
      </c>
      <c r="J408" s="1">
        <f>IF('исходные данные'!J408&gt;'минимумы и максимумы'!H$3,100,('исходные данные'!J408-'минимумы и максимумы'!H$2)/('минимумы и максимумы'!H$3-'минимумы и максимумы'!H$2)*100)</f>
        <v>0</v>
      </c>
      <c r="K408" s="1">
        <f>IF('исходные данные'!K408&gt;'минимумы и максимумы'!I$3,100,('исходные данные'!K408-'минимумы и максимумы'!I$2)/('минимумы и максимумы'!I$3-'минимумы и максимумы'!I$2)*100)</f>
        <v>0</v>
      </c>
      <c r="L408" s="1">
        <f>IF('исходные данные'!L408&gt;'минимумы и максимумы'!J$3,100,('исходные данные'!L408-'минимумы и максимумы'!J$2)/('минимумы и максимумы'!J$3-'минимумы и максимумы'!J$2)*100)</f>
        <v>0</v>
      </c>
      <c r="M408" s="1">
        <f>IF('исходные данные'!M408&gt;'минимумы и максимумы'!K$3,100,('исходные данные'!M408-'минимумы и максимумы'!K$2)/('минимумы и максимумы'!K$3-'минимумы и максимумы'!K$2)*100)</f>
        <v>22.58064516129032</v>
      </c>
      <c r="N408" s="1">
        <f>IF('исходные данные'!N408&gt;'минимумы и максимумы'!L$3,100,('исходные данные'!N408-'минимумы и максимумы'!L$2)/('минимумы и максимумы'!L$3-'минимумы и максимумы'!L$2)*100)</f>
        <v>84.006459481282619</v>
      </c>
      <c r="O408" s="1">
        <f>IF('исходные данные'!O408&gt;'минимумы и максимумы'!M$3,100,('исходные данные'!O408-'минимумы и максимумы'!M$2)/('минимумы и максимумы'!M$3-'минимумы и максимумы'!M$2)*100)</f>
        <v>66.666666666666657</v>
      </c>
      <c r="P408" s="1">
        <f>IF('исходные данные'!P408&gt;'минимумы и максимумы'!N$3,100,('исходные данные'!P408-'минимумы и максимумы'!N$2)/('минимумы и максимумы'!N$3-'минимумы и максимумы'!N$2)*100)</f>
        <v>0</v>
      </c>
      <c r="Q408" s="1">
        <f>IF('исходные данные'!Q408&gt;'минимумы и максимумы'!O$3,100,('исходные данные'!Q408-'минимумы и максимумы'!O$2)/('минимумы и максимумы'!O$3-'минимумы и максимумы'!O$2)*100)</f>
        <v>0</v>
      </c>
      <c r="R408" s="1">
        <f>IF('исходные данные'!R408&gt;'минимумы и максимумы'!P$3,100,('исходные данные'!R408-'минимумы и максимумы'!P$2)/('минимумы и максимумы'!P$3-'минимумы и максимумы'!P$2)*100)</f>
        <v>100</v>
      </c>
      <c r="S408" s="1">
        <f>IF('исходные данные'!S408&gt;'минимумы и максимумы'!Q$3,100,('исходные данные'!S408-'минимумы и максимумы'!Q$2)/('минимумы и максимумы'!Q$3-'минимумы и максимумы'!Q$2)*100)</f>
        <v>16.666666666666664</v>
      </c>
      <c r="T408" s="1">
        <f>IF('исходные данные'!T408&gt;'минимумы и максимумы'!R$3,100,('исходные данные'!T408-'минимумы и максимумы'!R$2)/('минимумы и максимумы'!R$3-'минимумы и максимумы'!R$2)*100)</f>
        <v>1.2758468983721953</v>
      </c>
      <c r="U408" s="1">
        <f>IF('исходные данные'!U408&gt;'минимумы и максимумы'!S$3,100,('исходные данные'!U408-'минимумы и максимумы'!S$2)/('минимумы и максимумы'!S$3-'минимумы и максимумы'!S$2)*100)</f>
        <v>0</v>
      </c>
    </row>
    <row r="409" spans="1:21" x14ac:dyDescent="0.45">
      <c r="A409" s="4">
        <v>529</v>
      </c>
      <c r="B409" s="4">
        <v>0</v>
      </c>
      <c r="C409" s="4">
        <v>1</v>
      </c>
      <c r="D409" s="1">
        <f>IF('исходные данные'!D409&gt;'минимумы и максимумы'!B$3,100,('исходные данные'!D409-'минимумы и максимумы'!B$2)/('минимумы и максимумы'!B$3-'минимумы и максимумы'!B$2)*100)</f>
        <v>0</v>
      </c>
      <c r="E409" s="1">
        <f>IF('исходные данные'!E409&gt;'минимумы и максимумы'!C$3,100,('исходные данные'!E409-'минимумы и максимумы'!C$2)/('минимумы и максимумы'!C$3-'минимумы и максимумы'!C$2)*100)</f>
        <v>10</v>
      </c>
      <c r="F409" s="1">
        <f>IF('исходные данные'!F409&gt;'минимумы и максимумы'!D$3,100,('исходные данные'!F409-'минимумы и максимумы'!D$2)/('минимумы и максимумы'!D$3-'минимумы и максимумы'!D$2)*100)</f>
        <v>0</v>
      </c>
      <c r="G409" s="1">
        <f>IF('исходные данные'!G409&gt;'минимумы и максимумы'!E$3,100,('исходные данные'!G409-'минимумы и максимумы'!E$2)/('минимумы и максимумы'!E$3-'минимумы и максимумы'!E$2)*100)</f>
        <v>8.3333333333333321</v>
      </c>
      <c r="H409" s="1">
        <f>IF('исходные данные'!H409&gt;'минимумы и максимумы'!F$3,100,('исходные данные'!H409-'минимумы и максимумы'!F$2)/('минимумы и максимумы'!F$3-'минимумы и максимумы'!F$2)*100)</f>
        <v>12</v>
      </c>
      <c r="I409" s="1">
        <f>IF('исходные данные'!I409&gt;'минимумы и максимумы'!G$3,100,('исходные данные'!I409-'минимумы и максимумы'!G$2)/('минимумы и максимумы'!G$3-'минимумы и максимумы'!G$2)*100)</f>
        <v>0</v>
      </c>
      <c r="J409" s="1">
        <f>IF('исходные данные'!J409&gt;'минимумы и максимумы'!H$3,100,('исходные данные'!J409-'минимумы и максимумы'!H$2)/('минимумы и максимумы'!H$3-'минимумы и максимумы'!H$2)*100)</f>
        <v>0</v>
      </c>
      <c r="K409" s="1">
        <f>IF('исходные данные'!K409&gt;'минимумы и максимумы'!I$3,100,('исходные данные'!K409-'минимумы и максимумы'!I$2)/('минимумы и максимумы'!I$3-'минимумы и максимумы'!I$2)*100)</f>
        <v>0</v>
      </c>
      <c r="L409" s="1">
        <f>IF('исходные данные'!L409&gt;'минимумы и максимумы'!J$3,100,('исходные данные'!L409-'минимумы и максимумы'!J$2)/('минимумы и максимумы'!J$3-'минимумы и максимумы'!J$2)*100)</f>
        <v>0</v>
      </c>
      <c r="M409" s="1">
        <f>IF('исходные данные'!M409&gt;'минимумы и максимумы'!K$3,100,('исходные данные'!M409-'минимумы и максимумы'!K$2)/('минимумы и максимумы'!K$3-'минимумы и максимумы'!K$2)*100)</f>
        <v>9.67741935483871</v>
      </c>
      <c r="N409" s="1">
        <f>IF('исходные данные'!N409&gt;'минимумы и максимумы'!L$3,100,('исходные данные'!N409-'минимумы и максимумы'!L$2)/('минимумы и максимумы'!L$3-'минимумы и максимумы'!L$2)*100)</f>
        <v>83.759786927930122</v>
      </c>
      <c r="O409" s="1">
        <f>IF('исходные данные'!O409&gt;'минимумы и максимумы'!M$3,100,('исходные данные'!O409-'минимумы и максимумы'!M$2)/('минимумы и максимумы'!M$3-'минимумы и максимумы'!M$2)*100)</f>
        <v>66.666666666666657</v>
      </c>
      <c r="P409" s="1">
        <f>IF('исходные данные'!P409&gt;'минимумы и максимумы'!N$3,100,('исходные данные'!P409-'минимумы и максимумы'!N$2)/('минимумы и максимумы'!N$3-'минимумы и максимумы'!N$2)*100)</f>
        <v>0</v>
      </c>
      <c r="Q409" s="1">
        <f>IF('исходные данные'!Q409&gt;'минимумы и максимумы'!O$3,100,('исходные данные'!Q409-'минимумы и максимумы'!O$2)/('минимумы и максимумы'!O$3-'минимумы и максимумы'!O$2)*100)</f>
        <v>0</v>
      </c>
      <c r="R409" s="1">
        <f>IF('исходные данные'!R409&gt;'минимумы и максимумы'!P$3,100,('исходные данные'!R409-'минимумы и максимумы'!P$2)/('минимумы и максимумы'!P$3-'минимумы и максимумы'!P$2)*100)</f>
        <v>100</v>
      </c>
      <c r="S409" s="1">
        <f>IF('исходные данные'!S409&gt;'минимумы и максимумы'!Q$3,100,('исходные данные'!S409-'минимумы и максимумы'!Q$2)/('минимумы и максимумы'!Q$3-'минимумы и максимумы'!Q$2)*100)</f>
        <v>16.666666666666664</v>
      </c>
      <c r="T409" s="1">
        <f>IF('исходные данные'!T409&gt;'минимумы и максимумы'!R$3,100,('исходные данные'!T409-'минимумы и максимумы'!R$2)/('минимумы и максимумы'!R$3-'минимумы и максимумы'!R$2)*100)</f>
        <v>2.5956885173779147</v>
      </c>
      <c r="U409" s="1">
        <f>IF('исходные данные'!U409&gt;'минимумы и максимумы'!S$3,100,('исходные данные'!U409-'минимумы и максимумы'!S$2)/('минимумы и максимумы'!S$3-'минимумы и максимумы'!S$2)*100)</f>
        <v>0</v>
      </c>
    </row>
    <row r="410" spans="1:21" x14ac:dyDescent="0.45">
      <c r="A410" s="4">
        <v>530</v>
      </c>
      <c r="B410" s="4">
        <v>0</v>
      </c>
      <c r="C410" s="4">
        <v>1</v>
      </c>
      <c r="D410" s="1">
        <f>IF('исходные данные'!D410&gt;'минимумы и максимумы'!B$3,100,('исходные данные'!D410-'минимумы и максимумы'!B$2)/('минимумы и максимумы'!B$3-'минимумы и максимумы'!B$2)*100)</f>
        <v>0</v>
      </c>
      <c r="E410" s="1">
        <f>IF('исходные данные'!E410&gt;'минимумы и максимумы'!C$3,100,('исходные данные'!E410-'минимумы и максимумы'!C$2)/('минимумы и максимумы'!C$3-'минимумы и максимумы'!C$2)*100)</f>
        <v>10</v>
      </c>
      <c r="F410" s="1">
        <f>IF('исходные данные'!F410&gt;'минимумы и максимумы'!D$3,100,('исходные данные'!F410-'минимумы и максимумы'!D$2)/('минимумы и максимумы'!D$3-'минимумы и максимумы'!D$2)*100)</f>
        <v>0</v>
      </c>
      <c r="G410" s="1">
        <f>IF('исходные данные'!G410&gt;'минимумы и максимумы'!E$3,100,('исходные данные'!G410-'минимумы и максимумы'!E$2)/('минимумы и максимумы'!E$3-'минимумы и максимумы'!E$2)*100)</f>
        <v>0</v>
      </c>
      <c r="H410" s="1">
        <f>IF('исходные данные'!H410&gt;'минимумы и максимумы'!F$3,100,('исходные данные'!H410-'минимумы и максимумы'!F$2)/('минимумы и максимумы'!F$3-'минимумы и максимумы'!F$2)*100)</f>
        <v>8</v>
      </c>
      <c r="I410" s="1">
        <f>IF('исходные данные'!I410&gt;'минимумы и максимумы'!G$3,100,('исходные данные'!I410-'минимумы и максимумы'!G$2)/('минимумы и максимумы'!G$3-'минимумы и максимумы'!G$2)*100)</f>
        <v>1.8867924528301887</v>
      </c>
      <c r="J410" s="1">
        <f>IF('исходные данные'!J410&gt;'минимумы и максимумы'!H$3,100,('исходные данные'!J410-'минимумы и максимумы'!H$2)/('минимумы и максимумы'!H$3-'минимумы и максимумы'!H$2)*100)</f>
        <v>0</v>
      </c>
      <c r="K410" s="1">
        <f>IF('исходные данные'!K410&gt;'минимумы и максимумы'!I$3,100,('исходные данные'!K410-'минимумы и максимумы'!I$2)/('минимумы и максимумы'!I$3-'минимумы и максимумы'!I$2)*100)</f>
        <v>0</v>
      </c>
      <c r="L410" s="1">
        <f>IF('исходные данные'!L410&gt;'минимумы и максимумы'!J$3,100,('исходные данные'!L410-'минимумы и максимумы'!J$2)/('минимумы и максимумы'!J$3-'минимумы и максимумы'!J$2)*100)</f>
        <v>0</v>
      </c>
      <c r="M410" s="1">
        <f>IF('исходные данные'!M410&gt;'минимумы и максимумы'!K$3,100,('исходные данные'!M410-'минимумы и максимумы'!K$2)/('минимумы и максимумы'!K$3-'минимумы и максимумы'!K$2)*100)</f>
        <v>16.129032258064516</v>
      </c>
      <c r="N410" s="1">
        <f>IF('исходные данные'!N410&gt;'минимумы и максимумы'!L$3,100,('исходные данные'!N410-'минимумы и максимумы'!L$2)/('минимумы и максимумы'!L$3-'минимумы и максимумы'!L$2)*100)</f>
        <v>79.186430496444842</v>
      </c>
      <c r="O410" s="1">
        <f>IF('исходные данные'!O410&gt;'минимумы и максимумы'!M$3,100,('исходные данные'!O410-'минимумы и максимумы'!M$2)/('минимумы и максимумы'!M$3-'минимумы и максимумы'!M$2)*100)</f>
        <v>66.666666666666657</v>
      </c>
      <c r="P410" s="1">
        <f>IF('исходные данные'!P410&gt;'минимумы и максимумы'!N$3,100,('исходные данные'!P410-'минимумы и максимумы'!N$2)/('минимумы и максимумы'!N$3-'минимумы и максимумы'!N$2)*100)</f>
        <v>0</v>
      </c>
      <c r="Q410" s="1">
        <f>IF('исходные данные'!Q410&gt;'минимумы и максимумы'!O$3,100,('исходные данные'!Q410-'минимумы и максимумы'!O$2)/('минимумы и максимумы'!O$3-'минимумы и максимумы'!O$2)*100)</f>
        <v>0</v>
      </c>
      <c r="R410" s="1">
        <f>IF('исходные данные'!R410&gt;'минимумы и максимумы'!P$3,100,('исходные данные'!R410-'минимумы и максимумы'!P$2)/('минимумы и максимумы'!P$3-'минимумы и максимумы'!P$2)*100)</f>
        <v>50</v>
      </c>
      <c r="S410" s="1">
        <f>IF('исходные данные'!S410&gt;'минимумы и максимумы'!Q$3,100,('исходные данные'!S410-'минимумы и максимумы'!Q$2)/('минимумы и максимумы'!Q$3-'минимумы и максимумы'!Q$2)*100)</f>
        <v>50</v>
      </c>
      <c r="T410" s="1">
        <f>IF('исходные данные'!T410&gt;'минимумы и максимумы'!R$3,100,('исходные данные'!T410-'минимумы и максимумы'!R$2)/('минимумы и максимумы'!R$3-'минимумы и максимумы'!R$2)*100)</f>
        <v>6.5992080950285974</v>
      </c>
      <c r="U410" s="1">
        <f>IF('исходные данные'!U410&gt;'минимумы и максимумы'!S$3,100,('исходные данные'!U410-'минимумы и максимумы'!S$2)/('минимумы и максимумы'!S$3-'минимумы и максимумы'!S$2)*100)</f>
        <v>0</v>
      </c>
    </row>
    <row r="411" spans="1:21" x14ac:dyDescent="0.45">
      <c r="A411" s="4">
        <v>531</v>
      </c>
      <c r="B411" s="4">
        <v>0</v>
      </c>
      <c r="C411" s="4">
        <v>0</v>
      </c>
      <c r="D411" s="1">
        <f>IF('исходные данные'!D411&gt;'минимумы и максимумы'!B$3,100,('исходные данные'!D411-'минимумы и максимумы'!B$2)/('минимумы и максимумы'!B$3-'минимумы и максимумы'!B$2)*100)</f>
        <v>20</v>
      </c>
      <c r="E411" s="1">
        <f>IF('исходные данные'!E411&gt;'минимумы и максимумы'!C$3,100,('исходные данные'!E411-'минимумы и максимумы'!C$2)/('минимумы и максимумы'!C$3-'минимумы и максимумы'!C$2)*100)</f>
        <v>10</v>
      </c>
      <c r="F411" s="1">
        <f>IF('исходные данные'!F411&gt;'минимумы и максимумы'!D$3,100,('исходные данные'!F411-'минимумы и максимумы'!D$2)/('минимумы и максимумы'!D$3-'минимумы и максимумы'!D$2)*100)</f>
        <v>0</v>
      </c>
      <c r="G411" s="1">
        <f>IF('исходные данные'!G411&gt;'минимумы и максимумы'!E$3,100,('исходные данные'!G411-'минимумы и максимумы'!E$2)/('минимумы и максимумы'!E$3-'минимумы и максимумы'!E$2)*100)</f>
        <v>0</v>
      </c>
      <c r="H411" s="1">
        <f>IF('исходные данные'!H411&gt;'минимумы и максимумы'!F$3,100,('исходные данные'!H411-'минимумы и максимумы'!F$2)/('минимумы и максимумы'!F$3-'минимумы и максимумы'!F$2)*100)</f>
        <v>0</v>
      </c>
      <c r="I411" s="1">
        <f>IF('исходные данные'!I411&gt;'минимумы и максимумы'!G$3,100,('исходные данные'!I411-'минимумы и максимумы'!G$2)/('минимумы и максимумы'!G$3-'минимумы и максимумы'!G$2)*100)</f>
        <v>0</v>
      </c>
      <c r="J411" s="1">
        <f>IF('исходные данные'!J411&gt;'минимумы и максимумы'!H$3,100,('исходные данные'!J411-'минимумы и максимумы'!H$2)/('минимумы и максимумы'!H$3-'минимумы и максимумы'!H$2)*100)</f>
        <v>0</v>
      </c>
      <c r="K411" s="1">
        <f>IF('исходные данные'!K411&gt;'минимумы и максимумы'!I$3,100,('исходные данные'!K411-'минимумы и максимумы'!I$2)/('минимумы и максимумы'!I$3-'минимумы и максимумы'!I$2)*100)</f>
        <v>0</v>
      </c>
      <c r="L411" s="1">
        <f>IF('исходные данные'!L411&gt;'минимумы и максимумы'!J$3,100,('исходные данные'!L411-'минимумы и максимумы'!J$2)/('минимумы и максимумы'!J$3-'минимумы и максимумы'!J$2)*100)</f>
        <v>0</v>
      </c>
      <c r="M411" s="1">
        <f>IF('исходные данные'!M411&gt;'минимумы и максимумы'!K$3,100,('исходные данные'!M411-'минимумы и максимумы'!K$2)/('минимумы и максимумы'!K$3-'минимумы и максимумы'!K$2)*100)</f>
        <v>16.129032258064516</v>
      </c>
      <c r="N411" s="1">
        <f>IF('исходные данные'!N411&gt;'минимумы и максимумы'!L$3,100,('исходные данные'!N411-'минимумы и максимумы'!L$2)/('минимумы и максимумы'!L$3-'минимумы и максимумы'!L$2)*100)</f>
        <v>78.441501804195298</v>
      </c>
      <c r="O411" s="1">
        <f>IF('исходные данные'!O411&gt;'минимумы и максимумы'!M$3,100,('исходные данные'!O411-'минимумы и максимумы'!M$2)/('минимумы и максимумы'!M$3-'минимумы и максимумы'!M$2)*100)</f>
        <v>100</v>
      </c>
      <c r="P411" s="1">
        <f>IF('исходные данные'!P411&gt;'минимумы и максимумы'!N$3,100,('исходные данные'!P411-'минимумы и максимумы'!N$2)/('минимумы и максимумы'!N$3-'минимумы и максимумы'!N$2)*100)</f>
        <v>100</v>
      </c>
      <c r="Q411" s="1">
        <f>IF('исходные данные'!Q411&gt;'минимумы и максимумы'!O$3,100,('исходные данные'!Q411-'минимумы и максимумы'!O$2)/('минимумы и максимумы'!O$3-'минимумы и максимумы'!O$2)*100)</f>
        <v>100</v>
      </c>
      <c r="R411" s="1">
        <f>IF('исходные данные'!R411&gt;'минимумы и максимумы'!P$3,100,('исходные данные'!R411-'минимумы и максимумы'!P$2)/('минимумы и максимумы'!P$3-'минимумы и максимумы'!P$2)*100)</f>
        <v>25</v>
      </c>
      <c r="S411" s="1">
        <f>IF('исходные данные'!S411&gt;'минимумы и максимумы'!Q$3,100,('исходные данные'!S411-'минимумы и максимумы'!Q$2)/('минимумы и максимумы'!Q$3-'минимумы и максимумы'!Q$2)*100)</f>
        <v>33.333333333333329</v>
      </c>
      <c r="T411" s="1">
        <f>IF('исходные данные'!T411&gt;'минимумы и максимумы'!R$3,100,('исходные данные'!T411-'минимумы и максимумы'!R$2)/('минимумы и максимумы'!R$3-'минимумы и максимумы'!R$2)*100)</f>
        <v>22.613286405631325</v>
      </c>
      <c r="U411" s="1">
        <f>IF('исходные данные'!U411&gt;'минимумы и максимумы'!S$3,100,('исходные данные'!U411-'минимумы и максимумы'!S$2)/('минимумы и максимумы'!S$3-'минимумы и максимумы'!S$2)*100)</f>
        <v>33.333333333333329</v>
      </c>
    </row>
    <row r="412" spans="1:21" x14ac:dyDescent="0.45">
      <c r="A412" s="4">
        <v>532</v>
      </c>
      <c r="B412" s="4">
        <v>0</v>
      </c>
      <c r="C412" s="4">
        <v>0</v>
      </c>
      <c r="D412" s="1">
        <f>IF('исходные данные'!D412&gt;'минимумы и максимумы'!B$3,100,('исходные данные'!D412-'минимумы и максимумы'!B$2)/('минимумы и максимумы'!B$3-'минимумы и максимумы'!B$2)*100)</f>
        <v>0</v>
      </c>
      <c r="E412" s="1">
        <f>IF('исходные данные'!E412&gt;'минимумы и максимумы'!C$3,100,('исходные данные'!E412-'минимумы и максимумы'!C$2)/('минимумы и максимумы'!C$3-'минимумы и максимумы'!C$2)*100)</f>
        <v>0</v>
      </c>
      <c r="F412" s="1">
        <f>IF('исходные данные'!F412&gt;'минимумы и максимумы'!D$3,100,('исходные данные'!F412-'минимумы и максимумы'!D$2)/('минимумы и максимумы'!D$3-'минимумы и максимумы'!D$2)*100)</f>
        <v>0</v>
      </c>
      <c r="G412" s="1">
        <f>IF('исходные данные'!G412&gt;'минимумы и максимумы'!E$3,100,('исходные данные'!G412-'минимумы и максимумы'!E$2)/('минимумы и максимумы'!E$3-'минимумы и максимумы'!E$2)*100)</f>
        <v>12.5</v>
      </c>
      <c r="H412" s="1">
        <f>IF('исходные данные'!H412&gt;'минимумы и максимумы'!F$3,100,('исходные данные'!H412-'минимумы и максимумы'!F$2)/('минимумы и максимумы'!F$3-'минимумы и максимумы'!F$2)*100)</f>
        <v>12</v>
      </c>
      <c r="I412" s="1">
        <f>IF('исходные данные'!I412&gt;'минимумы и максимумы'!G$3,100,('исходные данные'!I412-'минимумы и максимумы'!G$2)/('минимумы и максимумы'!G$3-'минимумы и максимумы'!G$2)*100)</f>
        <v>9.433962264150944</v>
      </c>
      <c r="J412" s="1">
        <f>IF('исходные данные'!J412&gt;'минимумы и максимумы'!H$3,100,('исходные данные'!J412-'минимумы и максимумы'!H$2)/('минимумы и максимумы'!H$3-'минимумы и максимумы'!H$2)*100)</f>
        <v>13.333333333333334</v>
      </c>
      <c r="K412" s="1">
        <f>IF('исходные данные'!K412&gt;'минимумы и максимумы'!I$3,100,('исходные данные'!K412-'минимумы и максимумы'!I$2)/('минимумы и максимумы'!I$3-'минимумы и максимумы'!I$2)*100)</f>
        <v>0</v>
      </c>
      <c r="L412" s="1">
        <f>IF('исходные данные'!L412&gt;'минимумы и максимумы'!J$3,100,('исходные данные'!L412-'минимумы и максимумы'!J$2)/('минимумы и максимумы'!J$3-'минимумы и максимумы'!J$2)*100)</f>
        <v>0</v>
      </c>
      <c r="M412" s="1">
        <f>IF('исходные данные'!M412&gt;'минимумы и максимумы'!K$3,100,('исходные данные'!M412-'минимумы и максимумы'!K$2)/('минимумы и максимумы'!K$3-'минимумы и максимумы'!K$2)*100)</f>
        <v>48.387096774193552</v>
      </c>
      <c r="N412" s="1">
        <f>IF('исходные данные'!N412&gt;'минимумы и максимумы'!L$3,100,('исходные данные'!N412-'минимумы и максимумы'!L$2)/('минимумы и максимумы'!L$3-'минимумы и максимумы'!L$2)*100)</f>
        <v>73.766944104300762</v>
      </c>
      <c r="O412" s="1">
        <f>IF('исходные данные'!O412&gt;'минимумы и максимумы'!M$3,100,('исходные данные'!O412-'минимумы и максимумы'!M$2)/('минимумы и максимумы'!M$3-'минимумы и максимумы'!M$2)*100)</f>
        <v>0</v>
      </c>
      <c r="P412" s="1">
        <f>IF('исходные данные'!P412&gt;'минимумы и максимумы'!N$3,100,('исходные данные'!P412-'минимумы и максимумы'!N$2)/('минимумы и максимумы'!N$3-'минимумы и максимумы'!N$2)*100)</f>
        <v>0</v>
      </c>
      <c r="Q412" s="1">
        <f>IF('исходные данные'!Q412&gt;'минимумы и максимумы'!O$3,100,('исходные данные'!Q412-'минимумы и максимумы'!O$2)/('минимумы и максимумы'!O$3-'минимумы и максимумы'!O$2)*100)</f>
        <v>100</v>
      </c>
      <c r="R412" s="1">
        <f>IF('исходные данные'!R412&gt;'минимумы и максимумы'!P$3,100,('исходные данные'!R412-'минимумы и максимумы'!P$2)/('минимумы и максимумы'!P$3-'минимумы и максимумы'!P$2)*100)</f>
        <v>50</v>
      </c>
      <c r="S412" s="1">
        <f>IF('исходные данные'!S412&gt;'минимумы и максимумы'!Q$3,100,('исходные данные'!S412-'минимумы и максимумы'!Q$2)/('минимумы и максимумы'!Q$3-'минимумы и максимумы'!Q$2)*100)</f>
        <v>33.333333333333329</v>
      </c>
      <c r="T412" s="1">
        <f>IF('исходные данные'!T412&gt;'минимумы и максимумы'!R$3,100,('исходные данные'!T412-'минимумы и максимумы'!R$2)/('минимумы и максимумы'!R$3-'минимумы и максимумы'!R$2)*100)</f>
        <v>8.6669599648042226</v>
      </c>
      <c r="U412" s="1">
        <f>IF('исходные данные'!U412&gt;'минимумы и максимумы'!S$3,100,('исходные данные'!U412-'минимумы и максимумы'!S$2)/('минимумы и максимумы'!S$3-'минимумы и максимумы'!S$2)*100)</f>
        <v>0</v>
      </c>
    </row>
    <row r="413" spans="1:21" x14ac:dyDescent="0.45">
      <c r="A413" s="4">
        <v>533</v>
      </c>
      <c r="B413" s="4">
        <v>0</v>
      </c>
      <c r="C413" s="4">
        <v>0</v>
      </c>
      <c r="D413" s="1">
        <f>IF('исходные данные'!D413&gt;'минимумы и максимумы'!B$3,100,('исходные данные'!D413-'минимумы и максимумы'!B$2)/('минимумы и максимумы'!B$3-'минимумы и максимумы'!B$2)*100)</f>
        <v>0</v>
      </c>
      <c r="E413" s="1">
        <f>IF('исходные данные'!E413&gt;'минимумы и максимумы'!C$3,100,('исходные данные'!E413-'минимумы и максимумы'!C$2)/('минимумы и максимумы'!C$3-'минимумы и максимумы'!C$2)*100)</f>
        <v>0</v>
      </c>
      <c r="F413" s="1">
        <f>IF('исходные данные'!F413&gt;'минимумы и максимумы'!D$3,100,('исходные данные'!F413-'минимумы и максимумы'!D$2)/('минимумы и максимумы'!D$3-'минимумы и максимумы'!D$2)*100)</f>
        <v>0</v>
      </c>
      <c r="G413" s="1">
        <f>IF('исходные данные'!G413&gt;'минимумы и максимумы'!E$3,100,('исходные данные'!G413-'минимумы и максимумы'!E$2)/('минимумы и максимумы'!E$3-'минимумы и максимумы'!E$2)*100)</f>
        <v>12.5</v>
      </c>
      <c r="H413" s="1">
        <f>IF('исходные данные'!H413&gt;'минимумы и максимумы'!F$3,100,('исходные данные'!H413-'минимумы и максимумы'!F$2)/('минимумы и максимумы'!F$3-'минимумы и максимумы'!F$2)*100)</f>
        <v>8</v>
      </c>
      <c r="I413" s="1">
        <f>IF('исходные данные'!I413&gt;'минимумы и максимумы'!G$3,100,('исходные данные'!I413-'минимумы и максимумы'!G$2)/('минимумы и максимумы'!G$3-'минимумы и максимумы'!G$2)*100)</f>
        <v>11.320754716981133</v>
      </c>
      <c r="J413" s="1">
        <f>IF('исходные данные'!J413&gt;'минимумы и максимумы'!H$3,100,('исходные данные'!J413-'минимумы и максимумы'!H$2)/('минимумы и максимумы'!H$3-'минимумы и максимумы'!H$2)*100)</f>
        <v>13.333333333333334</v>
      </c>
      <c r="K413" s="1">
        <f>IF('исходные данные'!K413&gt;'минимумы и максимумы'!I$3,100,('исходные данные'!K413-'минимумы и максимумы'!I$2)/('минимумы и максимумы'!I$3-'минимумы и максимумы'!I$2)*100)</f>
        <v>5.5555555555555554</v>
      </c>
      <c r="L413" s="1">
        <f>IF('исходные данные'!L413&gt;'минимумы и максимумы'!J$3,100,('исходные данные'!L413-'минимумы и максимумы'!J$2)/('минимумы и максимумы'!J$3-'минимумы и максимумы'!J$2)*100)</f>
        <v>0</v>
      </c>
      <c r="M413" s="1">
        <f>IF('исходные данные'!M413&gt;'минимумы и максимумы'!K$3,100,('исходные данные'!M413-'минимумы и максимумы'!K$2)/('минимумы и максимумы'!K$3-'минимумы и максимумы'!K$2)*100)</f>
        <v>45.161290322580641</v>
      </c>
      <c r="N413" s="1">
        <f>IF('исходные данные'!N413&gt;'минимумы и максимумы'!L$3,100,('исходные данные'!N413-'минимумы и максимумы'!L$2)/('минимумы и максимумы'!L$3-'минимумы и максимумы'!L$2)*100)</f>
        <v>73.462601206989774</v>
      </c>
      <c r="O413" s="1">
        <f>IF('исходные данные'!O413&gt;'минимумы и максимумы'!M$3,100,('исходные данные'!O413-'минимумы и максимумы'!M$2)/('минимумы и максимумы'!M$3-'минимумы и максимумы'!M$2)*100)</f>
        <v>66.666666666666657</v>
      </c>
      <c r="P413" s="1">
        <f>IF('исходные данные'!P413&gt;'минимумы и максимумы'!N$3,100,('исходные данные'!P413-'минимумы и максимумы'!N$2)/('минимумы и максимумы'!N$3-'минимумы и максимумы'!N$2)*100)</f>
        <v>100</v>
      </c>
      <c r="Q413" s="1">
        <f>IF('исходные данные'!Q413&gt;'минимумы и максимумы'!O$3,100,('исходные данные'!Q413-'минимумы и максимумы'!O$2)/('минимумы и максимумы'!O$3-'минимумы и максимумы'!O$2)*100)</f>
        <v>100</v>
      </c>
      <c r="R413" s="1">
        <f>IF('исходные данные'!R413&gt;'минимумы и максимумы'!P$3,100,('исходные данные'!R413-'минимумы и максимумы'!P$2)/('минимумы и максимумы'!P$3-'минимумы и максимумы'!P$2)*100)</f>
        <v>50</v>
      </c>
      <c r="S413" s="1">
        <f>IF('исходные данные'!S413&gt;'минимумы и максимумы'!Q$3,100,('исходные данные'!S413-'минимумы и максимумы'!Q$2)/('минимумы и максимумы'!Q$3-'минимумы и максимумы'!Q$2)*100)</f>
        <v>50</v>
      </c>
      <c r="T413" s="1">
        <f>IF('исходные данные'!T413&gt;'минимумы и максимумы'!R$3,100,('исходные данные'!T413-'минимумы и максимумы'!R$2)/('минимумы и максимумы'!R$3-'минимумы и максимумы'!R$2)*100)</f>
        <v>24.109106907171139</v>
      </c>
      <c r="U413" s="1">
        <f>IF('исходные данные'!U413&gt;'минимумы и максимумы'!S$3,100,('исходные данные'!U413-'минимумы и максимумы'!S$2)/('минимумы и максимумы'!S$3-'минимумы и максимумы'!S$2)*100)</f>
        <v>0</v>
      </c>
    </row>
    <row r="414" spans="1:21" x14ac:dyDescent="0.45">
      <c r="A414" s="4">
        <v>534</v>
      </c>
      <c r="B414" s="4">
        <v>0</v>
      </c>
      <c r="C414" s="4">
        <v>0</v>
      </c>
      <c r="D414" s="1">
        <f>IF('исходные данные'!D414&gt;'минимумы и максимумы'!B$3,100,('исходные данные'!D414-'минимумы и максимумы'!B$2)/('минимумы и максимумы'!B$3-'минимумы и максимумы'!B$2)*100)</f>
        <v>0</v>
      </c>
      <c r="E414" s="1">
        <f>IF('исходные данные'!E414&gt;'минимумы и максимумы'!C$3,100,('исходные данные'!E414-'минимумы и максимумы'!C$2)/('минимумы и максимумы'!C$3-'минимумы и максимумы'!C$2)*100)</f>
        <v>0</v>
      </c>
      <c r="F414" s="1">
        <f>IF('исходные данные'!F414&gt;'минимумы и максимумы'!D$3,100,('исходные данные'!F414-'минимумы и максимумы'!D$2)/('минимумы и максимумы'!D$3-'минимумы и максимумы'!D$2)*100)</f>
        <v>0</v>
      </c>
      <c r="G414" s="1">
        <f>IF('исходные данные'!G414&gt;'минимумы и максимумы'!E$3,100,('исходные данные'!G414-'минимумы и максимумы'!E$2)/('минимумы и максимумы'!E$3-'минимумы и максимумы'!E$2)*100)</f>
        <v>12.5</v>
      </c>
      <c r="H414" s="1">
        <f>IF('исходные данные'!H414&gt;'минимумы и максимумы'!F$3,100,('исходные данные'!H414-'минимумы и максимумы'!F$2)/('минимумы и максимумы'!F$3-'минимумы и максимумы'!F$2)*100)</f>
        <v>8</v>
      </c>
      <c r="I414" s="1">
        <f>IF('исходные данные'!I414&gt;'минимумы и максимумы'!G$3,100,('исходные данные'!I414-'минимумы и максимумы'!G$2)/('минимумы и максимумы'!G$3-'минимумы и максимумы'!G$2)*100)</f>
        <v>11.320754716981133</v>
      </c>
      <c r="J414" s="1">
        <f>IF('исходные данные'!J414&gt;'минимумы и максимумы'!H$3,100,('исходные данные'!J414-'минимумы и максимумы'!H$2)/('минимумы и максимумы'!H$3-'минимумы и максимумы'!H$2)*100)</f>
        <v>13.333333333333334</v>
      </c>
      <c r="K414" s="1">
        <f>IF('исходные данные'!K414&gt;'минимумы и максимумы'!I$3,100,('исходные данные'!K414-'минимумы и максимумы'!I$2)/('минимумы и максимумы'!I$3-'минимумы и максимумы'!I$2)*100)</f>
        <v>5.5555555555555554</v>
      </c>
      <c r="L414" s="1">
        <f>IF('исходные данные'!L414&gt;'минимумы и максимумы'!J$3,100,('исходные данные'!L414-'минимумы и максимумы'!J$2)/('минимумы и максимумы'!J$3-'минимумы и максимумы'!J$2)*100)</f>
        <v>0</v>
      </c>
      <c r="M414" s="1">
        <f>IF('исходные данные'!M414&gt;'минимумы и максимумы'!K$3,100,('исходные данные'!M414-'минимумы и максимумы'!K$2)/('минимумы и максимумы'!K$3-'минимумы и максимумы'!K$2)*100)</f>
        <v>45.161290322580641</v>
      </c>
      <c r="N414" s="1">
        <f>IF('исходные данные'!N414&gt;'минимумы и максимумы'!L$3,100,('исходные данные'!N414-'минимумы и максимумы'!L$2)/('минимумы и максимумы'!L$3-'минимумы и максимумы'!L$2)*100)</f>
        <v>73.495615720781856</v>
      </c>
      <c r="O414" s="1">
        <f>IF('исходные данные'!O414&gt;'минимумы и максимумы'!M$3,100,('исходные данные'!O414-'минимумы и максимумы'!M$2)/('минимумы и максимумы'!M$3-'минимумы и максимумы'!M$2)*100)</f>
        <v>66.666666666666657</v>
      </c>
      <c r="P414" s="1">
        <f>IF('исходные данные'!P414&gt;'минимумы и максимумы'!N$3,100,('исходные данные'!P414-'минимумы и максимумы'!N$2)/('минимумы и максимумы'!N$3-'минимумы и максимумы'!N$2)*100)</f>
        <v>0</v>
      </c>
      <c r="Q414" s="1">
        <f>IF('исходные данные'!Q414&gt;'минимумы и максимумы'!O$3,100,('исходные данные'!Q414-'минимумы и максимумы'!O$2)/('минимумы и максимумы'!O$3-'минимумы и максимумы'!O$2)*100)</f>
        <v>0</v>
      </c>
      <c r="R414" s="1">
        <f>IF('исходные данные'!R414&gt;'минимумы и максимумы'!P$3,100,('исходные данные'!R414-'минимумы и максимумы'!P$2)/('минимумы и максимумы'!P$3-'минимумы и максимумы'!P$2)*100)</f>
        <v>50</v>
      </c>
      <c r="S414" s="1">
        <f>IF('исходные данные'!S414&gt;'минимумы и максимумы'!Q$3,100,('исходные данные'!S414-'минимумы и максимумы'!Q$2)/('минимумы и максимумы'!Q$3-'минимумы и максимумы'!Q$2)*100)</f>
        <v>16.666666666666664</v>
      </c>
      <c r="T414" s="1">
        <f>IF('исходные данные'!T414&gt;'минимумы и максимумы'!R$3,100,('исходные данные'!T414-'минимумы и максимумы'!R$2)/('минимумы и максимумы'!R$3-'минимумы и максимумы'!R$2)*100)</f>
        <v>1.6278046634403871</v>
      </c>
      <c r="U414" s="1">
        <f>IF('исходные данные'!U414&gt;'минимумы и максимумы'!S$3,100,('исходные данные'!U414-'минимумы и максимумы'!S$2)/('минимумы и максимумы'!S$3-'минимумы и максимумы'!S$2)*100)</f>
        <v>0</v>
      </c>
    </row>
    <row r="415" spans="1:21" x14ac:dyDescent="0.45">
      <c r="A415" s="4">
        <v>535</v>
      </c>
      <c r="B415" s="4">
        <v>0</v>
      </c>
      <c r="C415" s="4">
        <v>0</v>
      </c>
      <c r="D415" s="1">
        <f>IF('исходные данные'!D415&gt;'минимумы и максимумы'!B$3,100,('исходные данные'!D415-'минимумы и максимумы'!B$2)/('минимумы и максимумы'!B$3-'минимумы и максимумы'!B$2)*100)</f>
        <v>0</v>
      </c>
      <c r="E415" s="1">
        <f>IF('исходные данные'!E415&gt;'минимумы и максимумы'!C$3,100,('исходные данные'!E415-'минимумы и максимумы'!C$2)/('минимумы и максимумы'!C$3-'минимумы и максимумы'!C$2)*100)</f>
        <v>0</v>
      </c>
      <c r="F415" s="1">
        <f>IF('исходные данные'!F415&gt;'минимумы и максимумы'!D$3,100,('исходные данные'!F415-'минимумы и максимумы'!D$2)/('минимумы и максимумы'!D$3-'минимумы и максимумы'!D$2)*100)</f>
        <v>0</v>
      </c>
      <c r="G415" s="1">
        <f>IF('исходные данные'!G415&gt;'минимумы и максимумы'!E$3,100,('исходные данные'!G415-'минимумы и максимумы'!E$2)/('минимумы и максимумы'!E$3-'минимумы и максимумы'!E$2)*100)</f>
        <v>12.5</v>
      </c>
      <c r="H415" s="1">
        <f>IF('исходные данные'!H415&gt;'минимумы и максимумы'!F$3,100,('исходные данные'!H415-'минимумы и максимумы'!F$2)/('минимумы и максимумы'!F$3-'минимумы и максимумы'!F$2)*100)</f>
        <v>8</v>
      </c>
      <c r="I415" s="1">
        <f>IF('исходные данные'!I415&gt;'минимумы и максимумы'!G$3,100,('исходные данные'!I415-'минимумы и максимумы'!G$2)/('минимумы и максимумы'!G$3-'минимумы и максимумы'!G$2)*100)</f>
        <v>11.320754716981133</v>
      </c>
      <c r="J415" s="1">
        <f>IF('исходные данные'!J415&gt;'минимумы и максимумы'!H$3,100,('исходные данные'!J415-'минимумы и максимумы'!H$2)/('минимумы и максимумы'!H$3-'минимумы и максимумы'!H$2)*100)</f>
        <v>13.333333333333334</v>
      </c>
      <c r="K415" s="1">
        <f>IF('исходные данные'!K415&gt;'минимумы и максимумы'!I$3,100,('исходные данные'!K415-'минимумы и максимумы'!I$2)/('минимумы и максимумы'!I$3-'минимумы и максимумы'!I$2)*100)</f>
        <v>5.5555555555555554</v>
      </c>
      <c r="L415" s="1">
        <f>IF('исходные данные'!L415&gt;'минимумы и максимумы'!J$3,100,('исходные данные'!L415-'минимумы и максимумы'!J$2)/('минимумы и максимумы'!J$3-'минимумы и максимумы'!J$2)*100)</f>
        <v>0</v>
      </c>
      <c r="M415" s="1">
        <f>IF('исходные данные'!M415&gt;'минимумы и максимумы'!K$3,100,('исходные данные'!M415-'минимумы и максимумы'!K$2)/('минимумы и максимумы'!K$3-'минимумы и максимумы'!K$2)*100)</f>
        <v>45.161290322580641</v>
      </c>
      <c r="N415" s="1">
        <f>IF('исходные данные'!N415&gt;'минимумы и максимумы'!L$3,100,('исходные данные'!N415-'минимумы и максимумы'!L$2)/('минимумы и максимумы'!L$3-'минимумы и максимумы'!L$2)*100)</f>
        <v>73.199334526239312</v>
      </c>
      <c r="O415" s="1">
        <f>IF('исходные данные'!O415&gt;'минимумы и максимумы'!M$3,100,('исходные данные'!O415-'минимумы и максимумы'!M$2)/('минимумы и максимумы'!M$3-'минимумы и максимумы'!M$2)*100)</f>
        <v>66.666666666666657</v>
      </c>
      <c r="P415" s="1">
        <f>IF('исходные данные'!P415&gt;'минимумы и максимумы'!N$3,100,('исходные данные'!P415-'минимумы и максимумы'!N$2)/('минимумы и максимумы'!N$3-'минимумы и максимумы'!N$2)*100)</f>
        <v>0</v>
      </c>
      <c r="Q415" s="1">
        <f>IF('исходные данные'!Q415&gt;'минимумы и максимумы'!O$3,100,('исходные данные'!Q415-'минимумы и максимумы'!O$2)/('минимумы и максимумы'!O$3-'минимумы и максимумы'!O$2)*100)</f>
        <v>0</v>
      </c>
      <c r="R415" s="1">
        <f>IF('исходные данные'!R415&gt;'минимумы и максимумы'!P$3,100,('исходные данные'!R415-'минимумы и максимумы'!P$2)/('минимумы и максимумы'!P$3-'минимумы и максимумы'!P$2)*100)</f>
        <v>50</v>
      </c>
      <c r="S415" s="1">
        <f>IF('исходные данные'!S415&gt;'минимумы и максимумы'!Q$3,100,('исходные данные'!S415-'минимумы и максимумы'!Q$2)/('минимумы и максимумы'!Q$3-'минимумы и максимумы'!Q$2)*100)</f>
        <v>16.666666666666664</v>
      </c>
      <c r="T415" s="1">
        <f>IF('исходные данные'!T415&gt;'минимумы и максимумы'!R$3,100,('исходные данные'!T415-'минимумы и максимумы'!R$2)/('минимумы и максимумы'!R$3-'минимумы и максимумы'!R$2)*100)</f>
        <v>1.6717993840739112</v>
      </c>
      <c r="U415" s="1">
        <f>IF('исходные данные'!U415&gt;'минимумы и максимумы'!S$3,100,('исходные данные'!U415-'минимумы и максимумы'!S$2)/('минимумы и максимумы'!S$3-'минимумы и максимумы'!S$2)*100)</f>
        <v>0</v>
      </c>
    </row>
    <row r="416" spans="1:21" x14ac:dyDescent="0.45">
      <c r="A416" s="4">
        <v>536</v>
      </c>
      <c r="B416" s="4">
        <v>0</v>
      </c>
      <c r="C416" s="4">
        <v>0</v>
      </c>
      <c r="D416" s="1">
        <f>IF('исходные данные'!D416&gt;'минимумы и максимумы'!B$3,100,('исходные данные'!D416-'минимумы и максимумы'!B$2)/('минимумы и максимумы'!B$3-'минимумы и максимумы'!B$2)*100)</f>
        <v>60</v>
      </c>
      <c r="E416" s="1">
        <f>IF('исходные данные'!E416&gt;'минимумы и максимумы'!C$3,100,('исходные данные'!E416-'минимумы и максимумы'!C$2)/('минимумы и максимумы'!C$3-'минимумы и максимумы'!C$2)*100)</f>
        <v>40</v>
      </c>
      <c r="F416" s="1">
        <f>IF('исходные данные'!F416&gt;'минимумы и максимумы'!D$3,100,('исходные данные'!F416-'минимумы и максимумы'!D$2)/('минимумы и максимумы'!D$3-'минимумы и максимумы'!D$2)*100)</f>
        <v>66.666666666666657</v>
      </c>
      <c r="G416" s="1">
        <f>IF('исходные данные'!G416&gt;'минимумы и максимумы'!E$3,100,('исходные данные'!G416-'минимумы и максимумы'!E$2)/('минимумы и максимумы'!E$3-'минимумы и максимумы'!E$2)*100)</f>
        <v>58.333333333333336</v>
      </c>
      <c r="H416" s="1">
        <f>IF('исходные данные'!H416&gt;'минимумы и максимумы'!F$3,100,('исходные данные'!H416-'минимумы и максимумы'!F$2)/('минимумы и максимумы'!F$3-'минимумы и максимумы'!F$2)*100)</f>
        <v>64</v>
      </c>
      <c r="I416" s="1">
        <f>IF('исходные данные'!I416&gt;'минимумы и максимумы'!G$3,100,('исходные данные'!I416-'минимумы и максимумы'!G$2)/('минимумы и максимумы'!G$3-'минимумы и максимумы'!G$2)*100)</f>
        <v>13.20754716981132</v>
      </c>
      <c r="J416" s="1">
        <f>IF('исходные данные'!J416&gt;'минимумы и максимумы'!H$3,100,('исходные данные'!J416-'минимумы и максимумы'!H$2)/('минимумы и максимумы'!H$3-'минимумы и максимумы'!H$2)*100)</f>
        <v>0</v>
      </c>
      <c r="K416" s="1">
        <f>IF('исходные данные'!K416&gt;'минимумы и максимумы'!I$3,100,('исходные данные'!K416-'минимумы и максимумы'!I$2)/('минимумы и максимумы'!I$3-'минимумы и максимумы'!I$2)*100)</f>
        <v>0</v>
      </c>
      <c r="L416" s="1">
        <f>IF('исходные данные'!L416&gt;'минимумы и максимумы'!J$3,100,('исходные данные'!L416-'минимумы и максимумы'!J$2)/('минимумы и максимумы'!J$3-'минимумы и максимумы'!J$2)*100)</f>
        <v>20</v>
      </c>
      <c r="M416" s="1">
        <f>IF('исходные данные'!M416&gt;'минимумы и максимумы'!K$3,100,('исходные данные'!M416-'минимумы и максимумы'!K$2)/('минимумы и максимумы'!K$3-'минимумы и максимумы'!K$2)*100)</f>
        <v>54.838709677419352</v>
      </c>
      <c r="N416" s="1">
        <f>IF('исходные данные'!N416&gt;'минимумы и максимумы'!L$3,100,('исходные данные'!N416-'минимумы и максимумы'!L$2)/('минимумы и максимумы'!L$3-'минимумы и максимумы'!L$2)*100)</f>
        <v>75.490812796055636</v>
      </c>
      <c r="O416" s="1">
        <f>IF('исходные данные'!O416&gt;'минимумы и максимумы'!M$3,100,('исходные данные'!O416-'минимумы и максимумы'!M$2)/('минимумы и максимумы'!M$3-'минимумы и максимумы'!M$2)*100)</f>
        <v>0</v>
      </c>
      <c r="P416" s="1">
        <f>IF('исходные данные'!P416&gt;'минимумы и максимумы'!N$3,100,('исходные данные'!P416-'минимумы и максимумы'!N$2)/('минимумы и максимумы'!N$3-'минимумы и максимумы'!N$2)*100)</f>
        <v>0</v>
      </c>
      <c r="Q416" s="1">
        <f>IF('исходные данные'!Q416&gt;'минимумы и максимумы'!O$3,100,('исходные данные'!Q416-'минимумы и максимумы'!O$2)/('минимумы и максимумы'!O$3-'минимумы и максимумы'!O$2)*100)</f>
        <v>100</v>
      </c>
      <c r="R416" s="1">
        <f>IF('исходные данные'!R416&gt;'минимумы и максимумы'!P$3,100,('исходные данные'!R416-'минимумы и максимумы'!P$2)/('минимумы и максимумы'!P$3-'минимумы и максимумы'!P$2)*100)</f>
        <v>100</v>
      </c>
      <c r="S416" s="1">
        <f>IF('исходные данные'!S416&gt;'минимумы и максимумы'!Q$3,100,('исходные данные'!S416-'минимумы и максимумы'!Q$2)/('минимумы и максимумы'!Q$3-'минимумы и максимумы'!Q$2)*100)</f>
        <v>33.333333333333329</v>
      </c>
      <c r="T416" s="1">
        <f>IF('исходные данные'!T416&gt;'минимумы и максимумы'!R$3,100,('исходные данные'!T416-'минимумы и максимумы'!R$2)/('минимумы и максимумы'!R$3-'минимумы и максимумы'!R$2)*100)</f>
        <v>28.420589529256489</v>
      </c>
      <c r="U416" s="1">
        <f>IF('исходные данные'!U416&gt;'минимумы и максимумы'!S$3,100,('исходные данные'!U416-'минимумы и максимумы'!S$2)/('минимумы и максимумы'!S$3-'минимумы и максимумы'!S$2)*100)</f>
        <v>66.666666666666657</v>
      </c>
    </row>
    <row r="417" spans="1:21" x14ac:dyDescent="0.45">
      <c r="A417" s="4">
        <v>537</v>
      </c>
      <c r="B417" s="4">
        <v>0</v>
      </c>
      <c r="C417" s="4">
        <v>0</v>
      </c>
      <c r="D417" s="1">
        <f>IF('исходные данные'!D417&gt;'минимумы и максимумы'!B$3,100,('исходные данные'!D417-'минимумы и максимумы'!B$2)/('минимумы и максимумы'!B$3-'минимумы и максимумы'!B$2)*100)</f>
        <v>20</v>
      </c>
      <c r="E417" s="1">
        <f>IF('исходные данные'!E417&gt;'минимумы и максимумы'!C$3,100,('исходные данные'!E417-'минимумы и максимумы'!C$2)/('минимумы и максимумы'!C$3-'минимумы и максимумы'!C$2)*100)</f>
        <v>40</v>
      </c>
      <c r="F417" s="1">
        <f>IF('исходные данные'!F417&gt;'минимумы и максимумы'!D$3,100,('исходные данные'!F417-'минимумы и максимумы'!D$2)/('минимумы и максимумы'!D$3-'минимумы и максимумы'!D$2)*100)</f>
        <v>66.666666666666657</v>
      </c>
      <c r="G417" s="1">
        <f>IF('исходные данные'!G417&gt;'минимумы и максимумы'!E$3,100,('исходные данные'!G417-'минимумы и максимумы'!E$2)/('минимумы и максимумы'!E$3-'минимумы и максимумы'!E$2)*100)</f>
        <v>54.166666666666664</v>
      </c>
      <c r="H417" s="1">
        <f>IF('исходные данные'!H417&gt;'минимумы и максимумы'!F$3,100,('исходные данные'!H417-'минимумы и максимумы'!F$2)/('минимумы и максимумы'!F$3-'минимумы и максимумы'!F$2)*100)</f>
        <v>48</v>
      </c>
      <c r="I417" s="1">
        <f>IF('исходные данные'!I417&gt;'минимумы и максимумы'!G$3,100,('исходные данные'!I417-'минимумы и максимумы'!G$2)/('минимумы и максимумы'!G$3-'минимумы и максимумы'!G$2)*100)</f>
        <v>11.320754716981133</v>
      </c>
      <c r="J417" s="1">
        <f>IF('исходные данные'!J417&gt;'минимумы и максимумы'!H$3,100,('исходные данные'!J417-'минимумы и максимумы'!H$2)/('минимумы и максимумы'!H$3-'минимумы и максимумы'!H$2)*100)</f>
        <v>6.666666666666667</v>
      </c>
      <c r="K417" s="1">
        <f>IF('исходные данные'!K417&gt;'минимумы и максимумы'!I$3,100,('исходные данные'!K417-'минимумы и максимумы'!I$2)/('минимумы и максимумы'!I$3-'минимумы и максимумы'!I$2)*100)</f>
        <v>0</v>
      </c>
      <c r="L417" s="1">
        <f>IF('исходные данные'!L417&gt;'минимумы и максимумы'!J$3,100,('исходные данные'!L417-'минимумы и максимумы'!J$2)/('минимумы и максимумы'!J$3-'минимумы и максимумы'!J$2)*100)</f>
        <v>20</v>
      </c>
      <c r="M417" s="1">
        <f>IF('исходные данные'!M417&gt;'минимумы и максимумы'!K$3,100,('исходные данные'!M417-'минимумы и максимумы'!K$2)/('минимумы и максимумы'!K$3-'минимумы и максимумы'!K$2)*100)</f>
        <v>45.161290322580641</v>
      </c>
      <c r="N417" s="1">
        <f>IF('исходные данные'!N417&gt;'минимумы и максимумы'!L$3,100,('исходные данные'!N417-'минимумы и максимумы'!L$2)/('минимумы и максимумы'!L$3-'минимумы и максимумы'!L$2)*100)</f>
        <v>77.702211163528531</v>
      </c>
      <c r="O417" s="1">
        <f>IF('исходные данные'!O417&gt;'минимумы и максимумы'!M$3,100,('исходные данные'!O417-'минимумы и максимумы'!M$2)/('минимумы и максимумы'!M$3-'минимумы и максимумы'!M$2)*100)</f>
        <v>100</v>
      </c>
      <c r="P417" s="1">
        <f>IF('исходные данные'!P417&gt;'минимумы и максимумы'!N$3,100,('исходные данные'!P417-'минимумы и максимумы'!N$2)/('минимумы и максимумы'!N$3-'минимумы и максимумы'!N$2)*100)</f>
        <v>0</v>
      </c>
      <c r="Q417" s="1">
        <f>IF('исходные данные'!Q417&gt;'минимумы и максимумы'!O$3,100,('исходные данные'!Q417-'минимумы и максимумы'!O$2)/('минимумы и максимумы'!O$3-'минимумы и максимумы'!O$2)*100)</f>
        <v>100</v>
      </c>
      <c r="R417" s="1">
        <f>IF('исходные данные'!R417&gt;'минимумы и максимумы'!P$3,100,('исходные данные'!R417-'минимумы и максимумы'!P$2)/('минимумы и максимумы'!P$3-'минимумы и максимумы'!P$2)*100)</f>
        <v>100</v>
      </c>
      <c r="S417" s="1">
        <f>IF('исходные данные'!S417&gt;'минимумы и максимумы'!Q$3,100,('исходные данные'!S417-'минимумы и максимумы'!Q$2)/('минимумы и максимумы'!Q$3-'минимумы и максимумы'!Q$2)*100)</f>
        <v>83.333333333333343</v>
      </c>
      <c r="T417" s="1">
        <f>IF('исходные данные'!T417&gt;'минимумы и максимумы'!R$3,100,('исходные данные'!T417-'минимумы и максимумы'!R$2)/('минимумы и максимумы'!R$3-'минимумы и максимумы'!R$2)*100)</f>
        <v>28.420589529256489</v>
      </c>
      <c r="U417" s="1">
        <f>IF('исходные данные'!U417&gt;'минимумы и максимумы'!S$3,100,('исходные данные'!U417-'минимумы и максимумы'!S$2)/('минимумы и максимумы'!S$3-'минимумы и максимумы'!S$2)*100)</f>
        <v>0</v>
      </c>
    </row>
    <row r="418" spans="1:21" x14ac:dyDescent="0.45">
      <c r="A418" s="4">
        <v>539</v>
      </c>
      <c r="B418" s="4">
        <v>0</v>
      </c>
      <c r="C418" s="4">
        <v>0</v>
      </c>
      <c r="D418" s="1">
        <f>IF('исходные данные'!D418&gt;'минимумы и максимумы'!B$3,100,('исходные данные'!D418-'минимумы и максимумы'!B$2)/('минимумы и максимумы'!B$3-'минимумы и максимумы'!B$2)*100)</f>
        <v>60</v>
      </c>
      <c r="E418" s="1">
        <f>IF('исходные данные'!E418&gt;'минимумы и максимумы'!C$3,100,('исходные данные'!E418-'минимумы и максимумы'!C$2)/('минимумы и максимумы'!C$3-'минимумы и максимумы'!C$2)*100)</f>
        <v>50</v>
      </c>
      <c r="F418" s="1">
        <f>IF('исходные данные'!F418&gt;'минимумы и максимумы'!D$3,100,('исходные данные'!F418-'минимумы и максимумы'!D$2)/('минимумы и максимумы'!D$3-'минимумы и максимумы'!D$2)*100)</f>
        <v>66.666666666666657</v>
      </c>
      <c r="G418" s="1">
        <f>IF('исходные данные'!G418&gt;'минимумы и максимумы'!E$3,100,('исходные данные'!G418-'минимумы и максимумы'!E$2)/('минимумы и максимумы'!E$3-'минимумы и максимумы'!E$2)*100)</f>
        <v>33.333333333333329</v>
      </c>
      <c r="H418" s="1">
        <f>IF('исходные данные'!H418&gt;'минимумы и максимумы'!F$3,100,('исходные данные'!H418-'минимумы и максимумы'!F$2)/('минимумы и максимумы'!F$3-'минимумы и максимумы'!F$2)*100)</f>
        <v>44</v>
      </c>
      <c r="I418" s="1">
        <f>IF('исходные данные'!I418&gt;'минимумы и максимумы'!G$3,100,('исходные данные'!I418-'минимумы и максимумы'!G$2)/('минимумы и максимумы'!G$3-'минимумы и максимумы'!G$2)*100)</f>
        <v>13.20754716981132</v>
      </c>
      <c r="J418" s="1">
        <f>IF('исходные данные'!J418&gt;'минимумы и максимумы'!H$3,100,('исходные данные'!J418-'минимумы и максимумы'!H$2)/('минимумы и максимумы'!H$3-'минимумы и максимумы'!H$2)*100)</f>
        <v>0</v>
      </c>
      <c r="K418" s="1">
        <f>IF('исходные данные'!K418&gt;'минимумы и максимумы'!I$3,100,('исходные данные'!K418-'минимумы и максимумы'!I$2)/('минимумы и максимумы'!I$3-'минимумы и максимумы'!I$2)*100)</f>
        <v>0</v>
      </c>
      <c r="L418" s="1">
        <f>IF('исходные данные'!L418&gt;'минимумы и максимумы'!J$3,100,('исходные данные'!L418-'минимумы и максимумы'!J$2)/('минимумы и максимумы'!J$3-'минимумы и максимумы'!J$2)*100)</f>
        <v>0</v>
      </c>
      <c r="M418" s="1">
        <f>IF('исходные данные'!M418&gt;'минимумы и максимумы'!K$3,100,('исходные данные'!M418-'минимумы и максимумы'!K$2)/('минимумы и максимумы'!K$3-'минимумы и максимумы'!K$2)*100)</f>
        <v>19.35483870967742</v>
      </c>
      <c r="N418" s="1">
        <f>IF('исходные данные'!N418&gt;'минимумы и максимумы'!L$3,100,('исходные данные'!N418-'минимумы и максимумы'!L$2)/('минимумы и максимумы'!L$3-'минимумы и максимумы'!L$2)*100)</f>
        <v>76.219776982973002</v>
      </c>
      <c r="O418" s="1">
        <f>IF('исходные данные'!O418&gt;'минимумы и максимумы'!M$3,100,('исходные данные'!O418-'минимумы и максимумы'!M$2)/('минимумы и максимумы'!M$3-'минимумы и максимумы'!M$2)*100)</f>
        <v>100</v>
      </c>
      <c r="P418" s="1">
        <f>IF('исходные данные'!P418&gt;'минимумы и максимумы'!N$3,100,('исходные данные'!P418-'минимумы и максимумы'!N$2)/('минимумы и максимумы'!N$3-'минимумы и максимумы'!N$2)*100)</f>
        <v>0</v>
      </c>
      <c r="Q418" s="1">
        <f>IF('исходные данные'!Q418&gt;'минимумы и максимумы'!O$3,100,('исходные данные'!Q418-'минимумы и максимумы'!O$2)/('минимумы и максимумы'!O$3-'минимумы и максимумы'!O$2)*100)</f>
        <v>100</v>
      </c>
      <c r="R418" s="1">
        <f>IF('исходные данные'!R418&gt;'минимумы и максимумы'!P$3,100,('исходные данные'!R418-'минимумы и максимумы'!P$2)/('минимумы и максимумы'!P$3-'минимумы и максимумы'!P$2)*100)</f>
        <v>100</v>
      </c>
      <c r="S418" s="1">
        <f>IF('исходные данные'!S418&gt;'минимумы и максимумы'!Q$3,100,('исходные данные'!S418-'минимумы и максимумы'!Q$2)/('минимумы и максимумы'!Q$3-'минимумы и максимумы'!Q$2)*100)</f>
        <v>33.333333333333329</v>
      </c>
      <c r="T418" s="1">
        <f>IF('исходные данные'!T418&gt;'минимумы и максимумы'!R$3,100,('исходные данные'!T418-'минимумы и максимумы'!R$2)/('минимумы и максимумы'!R$3-'минимумы и максимумы'!R$2)*100)</f>
        <v>11.218653761548614</v>
      </c>
      <c r="U418" s="1">
        <f>IF('исходные данные'!U418&gt;'минимумы и максимумы'!S$3,100,('исходные данные'!U418-'минимумы и максимумы'!S$2)/('минимумы и максимумы'!S$3-'минимумы и максимумы'!S$2)*100)</f>
        <v>0</v>
      </c>
    </row>
    <row r="419" spans="1:21" x14ac:dyDescent="0.45">
      <c r="A419" s="4">
        <v>540</v>
      </c>
      <c r="B419" s="4">
        <v>0</v>
      </c>
      <c r="C419" s="4">
        <v>0</v>
      </c>
      <c r="D419" s="1">
        <f>IF('исходные данные'!D419&gt;'минимумы и максимумы'!B$3,100,('исходные данные'!D419-'минимумы и максимумы'!B$2)/('минимумы и максимумы'!B$3-'минимумы и максимумы'!B$2)*100)</f>
        <v>60</v>
      </c>
      <c r="E419" s="1">
        <f>IF('исходные данные'!E419&gt;'минимумы и максимумы'!C$3,100,('исходные данные'!E419-'минимумы и максимумы'!C$2)/('минимумы и максимумы'!C$3-'минимумы и максимумы'!C$2)*100)</f>
        <v>50</v>
      </c>
      <c r="F419" s="1">
        <f>IF('исходные данные'!F419&gt;'минимумы и максимумы'!D$3,100,('исходные данные'!F419-'минимумы и максимумы'!D$2)/('минимумы и максимумы'!D$3-'минимумы и максимумы'!D$2)*100)</f>
        <v>66.666666666666657</v>
      </c>
      <c r="G419" s="1">
        <f>IF('исходные данные'!G419&gt;'минимумы и максимумы'!E$3,100,('исходные данные'!G419-'минимумы и максимумы'!E$2)/('минимумы и максимумы'!E$3-'минимумы и максимумы'!E$2)*100)</f>
        <v>33.333333333333329</v>
      </c>
      <c r="H419" s="1">
        <f>IF('исходные данные'!H419&gt;'минимумы и максимумы'!F$3,100,('исходные данные'!H419-'минимумы и максимумы'!F$2)/('минимумы и максимумы'!F$3-'минимумы и максимумы'!F$2)*100)</f>
        <v>44</v>
      </c>
      <c r="I419" s="1">
        <f>IF('исходные данные'!I419&gt;'минимумы и максимумы'!G$3,100,('исходные данные'!I419-'минимумы и максимумы'!G$2)/('минимумы и максимумы'!G$3-'минимумы и максимумы'!G$2)*100)</f>
        <v>13.20754716981132</v>
      </c>
      <c r="J419" s="1">
        <f>IF('исходные данные'!J419&gt;'минимумы и максимумы'!H$3,100,('исходные данные'!J419-'минимумы и максимумы'!H$2)/('минимумы и максимумы'!H$3-'минимумы и максимумы'!H$2)*100)</f>
        <v>0</v>
      </c>
      <c r="K419" s="1">
        <f>IF('исходные данные'!K419&gt;'минимумы и максимумы'!I$3,100,('исходные данные'!K419-'минимумы и максимумы'!I$2)/('минимумы и максимумы'!I$3-'минимумы и максимумы'!I$2)*100)</f>
        <v>0</v>
      </c>
      <c r="L419" s="1">
        <f>IF('исходные данные'!L419&gt;'минимумы и максимумы'!J$3,100,('исходные данные'!L419-'минимумы и максимумы'!J$2)/('минимумы и максимумы'!J$3-'минимумы и максимумы'!J$2)*100)</f>
        <v>0</v>
      </c>
      <c r="M419" s="1">
        <f>IF('исходные данные'!M419&gt;'минимумы и максимумы'!K$3,100,('исходные данные'!M419-'минимумы и максимумы'!K$2)/('минимумы и максимумы'!K$3-'минимумы и максимумы'!K$2)*100)</f>
        <v>19.35483870967742</v>
      </c>
      <c r="N419" s="1">
        <f>IF('исходные данные'!N419&gt;'минимумы и максимумы'!L$3,100,('исходные данные'!N419-'минимумы и максимумы'!L$2)/('минимумы и максимумы'!L$3-'минимумы и максимумы'!L$2)*100)</f>
        <v>76.494736989315442</v>
      </c>
      <c r="O419" s="1">
        <f>IF('исходные данные'!O419&gt;'минимумы и максимумы'!M$3,100,('исходные данные'!O419-'минимумы и максимумы'!M$2)/('минимумы и максимумы'!M$3-'минимумы и максимумы'!M$2)*100)</f>
        <v>100</v>
      </c>
      <c r="P419" s="1">
        <f>IF('исходные данные'!P419&gt;'минимумы и максимумы'!N$3,100,('исходные данные'!P419-'минимумы и максимумы'!N$2)/('минимумы и максимумы'!N$3-'минимумы и максимумы'!N$2)*100)</f>
        <v>0</v>
      </c>
      <c r="Q419" s="1">
        <f>IF('исходные данные'!Q419&gt;'минимумы и максимумы'!O$3,100,('исходные данные'!Q419-'минимумы и максимумы'!O$2)/('минимумы и максимумы'!O$3-'минимумы и максимумы'!O$2)*100)</f>
        <v>100</v>
      </c>
      <c r="R419" s="1">
        <f>IF('исходные данные'!R419&gt;'минимумы и максимумы'!P$3,100,('исходные данные'!R419-'минимумы и максимумы'!P$2)/('минимумы и максимумы'!P$3-'минимумы и максимумы'!P$2)*100)</f>
        <v>100</v>
      </c>
      <c r="S419" s="1">
        <f>IF('исходные данные'!S419&gt;'минимумы и максимумы'!Q$3,100,('исходные данные'!S419-'минимумы и максимумы'!Q$2)/('минимумы и максимумы'!Q$3-'минимумы и максимумы'!Q$2)*100)</f>
        <v>33.333333333333329</v>
      </c>
      <c r="T419" s="1">
        <f>IF('исходные данные'!T419&gt;'минимумы и максимумы'!R$3,100,('исходные данные'!T419-'минимумы и максимумы'!R$2)/('минимумы и максимумы'!R$3-'минимумы и максимумы'!R$2)*100)</f>
        <v>20.105587329520457</v>
      </c>
      <c r="U419" s="1">
        <f>IF('исходные данные'!U419&gt;'минимумы и максимумы'!S$3,100,('исходные данные'!U419-'минимумы и максимумы'!S$2)/('минимумы и максимумы'!S$3-'минимумы и максимумы'!S$2)*100)</f>
        <v>0</v>
      </c>
    </row>
    <row r="420" spans="1:21" x14ac:dyDescent="0.45">
      <c r="A420" s="4">
        <v>541</v>
      </c>
      <c r="B420" s="4">
        <v>0</v>
      </c>
      <c r="C420" s="4">
        <v>1</v>
      </c>
      <c r="D420" s="1">
        <f>IF('исходные данные'!D420&gt;'минимумы и максимумы'!B$3,100,('исходные данные'!D420-'минимумы и максимумы'!B$2)/('минимумы и максимумы'!B$3-'минимумы и максимумы'!B$2)*100)</f>
        <v>0</v>
      </c>
      <c r="E420" s="1">
        <f>IF('исходные данные'!E420&gt;'минимумы и максимумы'!C$3,100,('исходные данные'!E420-'минимумы и максимумы'!C$2)/('минимумы и максимумы'!C$3-'минимумы и максимумы'!C$2)*100)</f>
        <v>0</v>
      </c>
      <c r="F420" s="1">
        <f>IF('исходные данные'!F420&gt;'минимумы и максимумы'!D$3,100,('исходные данные'!F420-'минимумы и максимумы'!D$2)/('минимумы и максимумы'!D$3-'минимумы и максимумы'!D$2)*100)</f>
        <v>33.333333333333329</v>
      </c>
      <c r="G420" s="1">
        <f>IF('исходные данные'!G420&gt;'минимумы и максимумы'!E$3,100,('исходные данные'!G420-'минимумы и максимумы'!E$2)/('минимумы и максимумы'!E$3-'минимумы и максимумы'!E$2)*100)</f>
        <v>4.1666666666666661</v>
      </c>
      <c r="H420" s="1">
        <f>IF('исходные данные'!H420&gt;'минимумы и максимумы'!F$3,100,('исходные данные'!H420-'минимумы и максимумы'!F$2)/('минимумы и максимумы'!F$3-'минимумы и максимумы'!F$2)*100)</f>
        <v>8</v>
      </c>
      <c r="I420" s="1">
        <f>IF('исходные данные'!I420&gt;'минимумы и максимумы'!G$3,100,('исходные данные'!I420-'минимумы и максимумы'!G$2)/('минимумы и максимумы'!G$3-'минимумы и максимумы'!G$2)*100)</f>
        <v>1.8867924528301887</v>
      </c>
      <c r="J420" s="1">
        <f>IF('исходные данные'!J420&gt;'минимумы и максимумы'!H$3,100,('исходные данные'!J420-'минимумы и максимумы'!H$2)/('минимумы и максимумы'!H$3-'минимумы и максимумы'!H$2)*100)</f>
        <v>6.666666666666667</v>
      </c>
      <c r="K420" s="1">
        <f>IF('исходные данные'!K420&gt;'минимумы и максимумы'!I$3,100,('исходные данные'!K420-'минимумы и максимумы'!I$2)/('минимумы и максимумы'!I$3-'минимумы и максимумы'!I$2)*100)</f>
        <v>0</v>
      </c>
      <c r="L420" s="1">
        <f>IF('исходные данные'!L420&gt;'минимумы и максимумы'!J$3,100,('исходные данные'!L420-'минимумы и максимумы'!J$2)/('минимумы и максимумы'!J$3-'минимумы и максимумы'!J$2)*100)</f>
        <v>0</v>
      </c>
      <c r="M420" s="1">
        <f>IF('исходные данные'!M420&gt;'минимумы и максимумы'!K$3,100,('исходные данные'!M420-'минимумы и максимумы'!K$2)/('минимумы и максимумы'!K$3-'минимумы и максимумы'!K$2)*100)</f>
        <v>6.4516129032258061</v>
      </c>
      <c r="N420" s="1">
        <f>IF('исходные данные'!N420&gt;'минимумы и максимумы'!L$3,100,('исходные данные'!N420-'минимумы и максимумы'!L$2)/('минимумы и максимумы'!L$3-'минимумы и максимумы'!L$2)*100)</f>
        <v>90.809549148251619</v>
      </c>
      <c r="O420" s="1">
        <f>IF('исходные данные'!O420&gt;'минимумы и максимумы'!M$3,100,('исходные данные'!O420-'минимумы и максимумы'!M$2)/('минимумы и максимумы'!M$3-'минимумы и максимумы'!M$2)*100)</f>
        <v>66.666666666666657</v>
      </c>
      <c r="P420" s="1">
        <f>IF('исходные данные'!P420&gt;'минимумы и максимумы'!N$3,100,('исходные данные'!P420-'минимумы и максимумы'!N$2)/('минимумы и максимумы'!N$3-'минимумы и максимумы'!N$2)*100)</f>
        <v>0</v>
      </c>
      <c r="Q420" s="1">
        <f>IF('исходные данные'!Q420&gt;'минимумы и максимумы'!O$3,100,('исходные данные'!Q420-'минимумы и максимумы'!O$2)/('минимумы и максимумы'!O$3-'минимумы и максимумы'!O$2)*100)</f>
        <v>100</v>
      </c>
      <c r="R420" s="1">
        <f>IF('исходные данные'!R420&gt;'минимумы и максимумы'!P$3,100,('исходные данные'!R420-'минимумы и максимумы'!P$2)/('минимумы и максимумы'!P$3-'минимумы и максимумы'!P$2)*100)</f>
        <v>100</v>
      </c>
      <c r="S420" s="1">
        <f>IF('исходные данные'!S420&gt;'минимумы и максимумы'!Q$3,100,('исходные данные'!S420-'минимумы и максимумы'!Q$2)/('минимумы и максимумы'!Q$3-'минимумы и максимумы'!Q$2)*100)</f>
        <v>50</v>
      </c>
      <c r="T420" s="1">
        <f>IF('исходные данные'!T420&gt;'минимумы и максимумы'!R$3,100,('исходные данные'!T420-'минимумы и максимумы'!R$2)/('минимумы и максимумы'!R$3-'минимумы и максимумы'!R$2)*100)</f>
        <v>24.769027716674</v>
      </c>
      <c r="U420" s="1">
        <f>IF('исходные данные'!U420&gt;'минимумы и максимумы'!S$3,100,('исходные данные'!U420-'минимумы и максимумы'!S$2)/('минимумы и максимумы'!S$3-'минимумы и максимумы'!S$2)*100)</f>
        <v>0</v>
      </c>
    </row>
    <row r="421" spans="1:21" x14ac:dyDescent="0.45">
      <c r="A421" s="4">
        <v>542</v>
      </c>
      <c r="B421" s="4">
        <v>0</v>
      </c>
      <c r="C421" s="4">
        <v>0</v>
      </c>
      <c r="D421" s="1">
        <f>IF('исходные данные'!D421&gt;'минимумы и максимумы'!B$3,100,('исходные данные'!D421-'минимумы и максимумы'!B$2)/('минимумы и максимумы'!B$3-'минимумы и максимумы'!B$2)*100)</f>
        <v>0</v>
      </c>
      <c r="E421" s="1">
        <f>IF('исходные данные'!E421&gt;'минимумы и максимумы'!C$3,100,('исходные данные'!E421-'минимумы и максимумы'!C$2)/('минимумы и максимумы'!C$3-'минимумы и максимумы'!C$2)*100)</f>
        <v>0</v>
      </c>
      <c r="F421" s="1">
        <f>IF('исходные данные'!F421&gt;'минимумы и максимумы'!D$3,100,('исходные данные'!F421-'минимумы и максимумы'!D$2)/('минимумы и максимумы'!D$3-'минимумы и максимумы'!D$2)*100)</f>
        <v>0</v>
      </c>
      <c r="G421" s="1">
        <f>IF('исходные данные'!G421&gt;'минимумы и максимумы'!E$3,100,('исходные данные'!G421-'минимумы и максимумы'!E$2)/('минимумы и максимумы'!E$3-'минимумы и максимумы'!E$2)*100)</f>
        <v>4.1666666666666661</v>
      </c>
      <c r="H421" s="1">
        <f>IF('исходные данные'!H421&gt;'минимумы и максимумы'!F$3,100,('исходные данные'!H421-'минимумы и максимумы'!F$2)/('минимумы и максимумы'!F$3-'минимумы и максимумы'!F$2)*100)</f>
        <v>8</v>
      </c>
      <c r="I421" s="1">
        <f>IF('исходные данные'!I421&gt;'минимумы и максимумы'!G$3,100,('исходные данные'!I421-'минимумы и максимумы'!G$2)/('минимумы и максимумы'!G$3-'минимумы и максимумы'!G$2)*100)</f>
        <v>0</v>
      </c>
      <c r="J421" s="1">
        <f>IF('исходные данные'!J421&gt;'минимумы и максимумы'!H$3,100,('исходные данные'!J421-'минимумы и максимумы'!H$2)/('минимумы и максимумы'!H$3-'минимумы и максимумы'!H$2)*100)</f>
        <v>0</v>
      </c>
      <c r="K421" s="1">
        <f>IF('исходные данные'!K421&gt;'минимумы и максимумы'!I$3,100,('исходные данные'!K421-'минимумы и максимумы'!I$2)/('минимумы и максимумы'!I$3-'минимумы и максимумы'!I$2)*100)</f>
        <v>0</v>
      </c>
      <c r="L421" s="1">
        <f>IF('исходные данные'!L421&gt;'минимумы и максимумы'!J$3,100,('исходные данные'!L421-'минимумы и максимумы'!J$2)/('минимумы и максимумы'!J$3-'минимумы и максимумы'!J$2)*100)</f>
        <v>0</v>
      </c>
      <c r="M421" s="1">
        <f>IF('исходные данные'!M421&gt;'минимумы и максимумы'!K$3,100,('исходные данные'!M421-'минимумы и максимумы'!K$2)/('минимумы и максимумы'!K$3-'минимумы и максимумы'!K$2)*100)</f>
        <v>9.67741935483871</v>
      </c>
      <c r="N421" s="1">
        <f>IF('исходные данные'!N421&gt;'минимумы и максимумы'!L$3,100,('исходные данные'!N421-'минимумы и максимумы'!L$2)/('минимумы и максимумы'!L$3-'минимумы и максимумы'!L$2)*100)</f>
        <v>94.77842424640653</v>
      </c>
      <c r="O421" s="1">
        <f>IF('исходные данные'!O421&gt;'минимумы и максимумы'!M$3,100,('исходные данные'!O421-'минимумы и максимумы'!M$2)/('минимумы и максимумы'!M$3-'минимумы и максимумы'!M$2)*100)</f>
        <v>0</v>
      </c>
      <c r="P421" s="1">
        <f>IF('исходные данные'!P421&gt;'минимумы и максимумы'!N$3,100,('исходные данные'!P421-'минимумы и максимумы'!N$2)/('минимумы и максимумы'!N$3-'минимумы и максимумы'!N$2)*100)</f>
        <v>0</v>
      </c>
      <c r="Q421" s="1">
        <f>IF('исходные данные'!Q421&gt;'минимумы и максимумы'!O$3,100,('исходные данные'!Q421-'минимумы и максимумы'!O$2)/('минимумы и максимумы'!O$3-'минимумы и максимумы'!O$2)*100)</f>
        <v>100</v>
      </c>
      <c r="R421" s="1">
        <f>IF('исходные данные'!R421&gt;'минимумы и максимумы'!P$3,100,('исходные данные'!R421-'минимумы и максимумы'!P$2)/('минимумы и максимумы'!P$3-'минимумы и максимумы'!P$2)*100)</f>
        <v>100</v>
      </c>
      <c r="S421" s="1">
        <f>IF('исходные данные'!S421&gt;'минимумы и максимумы'!Q$3,100,('исходные данные'!S421-'минимумы и максимумы'!Q$2)/('минимумы и максимумы'!Q$3-'минимумы и максимумы'!Q$2)*100)</f>
        <v>33.333333333333329</v>
      </c>
      <c r="T421" s="1">
        <f>IF('исходные данные'!T421&gt;'минимумы и максимумы'!R$3,100,('исходные данные'!T421-'минимумы и максимумы'!R$2)/('минимумы и максимумы'!R$3-'минимумы и максимумы'!R$2)*100)</f>
        <v>9.3268807743070834</v>
      </c>
      <c r="U421" s="1">
        <f>IF('исходные данные'!U421&gt;'минимумы и максимумы'!S$3,100,('исходные данные'!U421-'минимумы и максимумы'!S$2)/('минимумы и максимумы'!S$3-'минимумы и максимумы'!S$2)*100)</f>
        <v>0</v>
      </c>
    </row>
    <row r="422" spans="1:21" x14ac:dyDescent="0.45">
      <c r="A422" s="4">
        <v>543</v>
      </c>
      <c r="B422" s="4">
        <v>0</v>
      </c>
      <c r="C422" s="4">
        <v>0</v>
      </c>
      <c r="D422" s="1">
        <f>IF('исходные данные'!D422&gt;'минимумы и максимумы'!B$3,100,('исходные данные'!D422-'минимумы и максимумы'!B$2)/('минимумы и максимумы'!B$3-'минимумы и максимумы'!B$2)*100)</f>
        <v>0</v>
      </c>
      <c r="E422" s="1">
        <f>IF('исходные данные'!E422&gt;'минимумы и максимумы'!C$3,100,('исходные данные'!E422-'минимумы и максимумы'!C$2)/('минимумы и максимумы'!C$3-'минимумы и максимумы'!C$2)*100)</f>
        <v>10</v>
      </c>
      <c r="F422" s="1">
        <f>IF('исходные данные'!F422&gt;'минимумы и максимумы'!D$3,100,('исходные данные'!F422-'минимумы и максимумы'!D$2)/('минимумы и максимумы'!D$3-'минимумы и максимумы'!D$2)*100)</f>
        <v>33.333333333333329</v>
      </c>
      <c r="G422" s="1">
        <f>IF('исходные данные'!G422&gt;'минимумы и максимумы'!E$3,100,('исходные данные'!G422-'минимумы и максимумы'!E$2)/('минимумы и максимумы'!E$3-'минимумы и максимумы'!E$2)*100)</f>
        <v>0</v>
      </c>
      <c r="H422" s="1">
        <f>IF('исходные данные'!H422&gt;'минимумы и максимумы'!F$3,100,('исходные данные'!H422-'минимумы и максимумы'!F$2)/('минимумы и максимумы'!F$3-'минимумы и максимумы'!F$2)*100)</f>
        <v>0</v>
      </c>
      <c r="I422" s="1">
        <f>IF('исходные данные'!I422&gt;'минимумы и максимумы'!G$3,100,('исходные данные'!I422-'минимумы и максимумы'!G$2)/('минимумы и максимумы'!G$3-'минимумы и максимумы'!G$2)*100)</f>
        <v>0</v>
      </c>
      <c r="J422" s="1">
        <f>IF('исходные данные'!J422&gt;'минимумы и максимумы'!H$3,100,('исходные данные'!J422-'минимумы и максимумы'!H$2)/('минимумы и максимумы'!H$3-'минимумы и максимумы'!H$2)*100)</f>
        <v>0</v>
      </c>
      <c r="K422" s="1">
        <f>IF('исходные данные'!K422&gt;'минимумы и максимумы'!I$3,100,('исходные данные'!K422-'минимумы и максимумы'!I$2)/('минимумы и максимумы'!I$3-'минимумы и максимумы'!I$2)*100)</f>
        <v>0</v>
      </c>
      <c r="L422" s="1">
        <f>IF('исходные данные'!L422&gt;'минимумы и максимумы'!J$3,100,('исходные данные'!L422-'минимумы и максимумы'!J$2)/('минимумы и максимумы'!J$3-'минимумы и максимумы'!J$2)*100)</f>
        <v>0</v>
      </c>
      <c r="M422" s="1">
        <f>IF('исходные данные'!M422&gt;'минимумы и максимумы'!K$3,100,('исходные данные'!M422-'минимумы и максимумы'!K$2)/('минимумы и максимумы'!K$3-'минимумы и максимумы'!K$2)*100)</f>
        <v>6.4516129032258061</v>
      </c>
      <c r="N422" s="1">
        <f>IF('исходные данные'!N422&gt;'минимумы и максимумы'!L$3,100,('исходные данные'!N422-'минимумы и максимумы'!L$2)/('минимумы и максимумы'!L$3-'минимумы и максимумы'!L$2)*100)</f>
        <v>100</v>
      </c>
      <c r="O422" s="1">
        <f>IF('исходные данные'!O422&gt;'минимумы и максимумы'!M$3,100,('исходные данные'!O422-'минимумы и максимумы'!M$2)/('минимумы и максимумы'!M$3-'минимумы и максимумы'!M$2)*100)</f>
        <v>66.666666666666657</v>
      </c>
      <c r="P422" s="1">
        <f>IF('исходные данные'!P422&gt;'минимумы и максимумы'!N$3,100,('исходные данные'!P422-'минимумы и максимумы'!N$2)/('минимумы и максимумы'!N$3-'минимумы и максимумы'!N$2)*100)</f>
        <v>0</v>
      </c>
      <c r="Q422" s="1">
        <f>IF('исходные данные'!Q422&gt;'минимумы и максимумы'!O$3,100,('исходные данные'!Q422-'минимумы и максимумы'!O$2)/('минимумы и максимумы'!O$3-'минимумы и максимумы'!O$2)*100)</f>
        <v>100</v>
      </c>
      <c r="R422" s="1">
        <f>IF('исходные данные'!R422&gt;'минимумы и максимумы'!P$3,100,('исходные данные'!R422-'минимумы и максимумы'!P$2)/('минимумы и максимумы'!P$3-'минимумы и максимумы'!P$2)*100)</f>
        <v>100</v>
      </c>
      <c r="S422" s="1">
        <f>IF('исходные данные'!S422&gt;'минимумы и максимумы'!Q$3,100,('исходные данные'!S422-'минимумы и максимумы'!Q$2)/('минимумы и максимумы'!Q$3-'минимумы и максимумы'!Q$2)*100)</f>
        <v>33.333333333333329</v>
      </c>
      <c r="T422" s="1">
        <f>IF('исходные данные'!T422&gt;'минимумы и максимумы'!R$3,100,('исходные данные'!T422-'минимумы и максимумы'!R$2)/('минимумы и максимумы'!R$3-'минимумы и максимумы'!R$2)*100)</f>
        <v>42.146942366915965</v>
      </c>
      <c r="U422" s="1">
        <f>IF('исходные данные'!U422&gt;'минимумы и максимумы'!S$3,100,('исходные данные'!U422-'минимумы и максимумы'!S$2)/('минимумы и максимумы'!S$3-'минимумы и максимумы'!S$2)*100)</f>
        <v>33.333333333333329</v>
      </c>
    </row>
    <row r="423" spans="1:21" x14ac:dyDescent="0.45">
      <c r="A423" s="4">
        <v>544</v>
      </c>
      <c r="B423" s="4">
        <v>0</v>
      </c>
      <c r="C423" s="4">
        <v>1</v>
      </c>
      <c r="D423" s="1">
        <f>IF('исходные данные'!D423&gt;'минимумы и максимумы'!B$3,100,('исходные данные'!D423-'минимумы и максимумы'!B$2)/('минимумы и максимумы'!B$3-'минимумы и максимумы'!B$2)*100)</f>
        <v>0</v>
      </c>
      <c r="E423" s="1">
        <f>IF('исходные данные'!E423&gt;'минимумы и максимумы'!C$3,100,('исходные данные'!E423-'минимумы и максимумы'!C$2)/('минимумы и максимумы'!C$3-'минимумы и максимумы'!C$2)*100)</f>
        <v>10</v>
      </c>
      <c r="F423" s="1">
        <f>IF('исходные данные'!F423&gt;'минимумы и максимумы'!D$3,100,('исходные данные'!F423-'минимумы и максимумы'!D$2)/('минимумы и максимумы'!D$3-'минимумы и максимумы'!D$2)*100)</f>
        <v>33.333333333333329</v>
      </c>
      <c r="G423" s="1">
        <f>IF('исходные данные'!G423&gt;'минимумы и максимумы'!E$3,100,('исходные данные'!G423-'минимумы и максимумы'!E$2)/('минимумы и максимумы'!E$3-'минимумы и максимумы'!E$2)*100)</f>
        <v>4.1666666666666661</v>
      </c>
      <c r="H423" s="1">
        <f>IF('исходные данные'!H423&gt;'минимумы и максимумы'!F$3,100,('исходные данные'!H423-'минимумы и максимумы'!F$2)/('минимумы и максимумы'!F$3-'минимумы и максимумы'!F$2)*100)</f>
        <v>0</v>
      </c>
      <c r="I423" s="1">
        <f>IF('исходные данные'!I423&gt;'минимумы и максимумы'!G$3,100,('исходные данные'!I423-'минимумы и максимумы'!G$2)/('минимумы и максимумы'!G$3-'минимумы и максимумы'!G$2)*100)</f>
        <v>0</v>
      </c>
      <c r="J423" s="1">
        <f>IF('исходные данные'!J423&gt;'минимумы и максимумы'!H$3,100,('исходные данные'!J423-'минимумы и максимумы'!H$2)/('минимумы и максимумы'!H$3-'минимумы и максимумы'!H$2)*100)</f>
        <v>0</v>
      </c>
      <c r="K423" s="1">
        <f>IF('исходные данные'!K423&gt;'минимумы и максимумы'!I$3,100,('исходные данные'!K423-'минимумы и максимумы'!I$2)/('минимумы и максимумы'!I$3-'минимумы и максимумы'!I$2)*100)</f>
        <v>0</v>
      </c>
      <c r="L423" s="1">
        <f>IF('исходные данные'!L423&gt;'минимумы и максимумы'!J$3,100,('исходные данные'!L423-'минимумы и максимумы'!J$2)/('минимумы и максимумы'!J$3-'минимумы и максимумы'!J$2)*100)</f>
        <v>0</v>
      </c>
      <c r="M423" s="1">
        <f>IF('исходные данные'!M423&gt;'минимумы и максимумы'!K$3,100,('исходные данные'!M423-'минимумы и максимумы'!K$2)/('минимумы и максимумы'!K$3-'минимумы и максимумы'!K$2)*100)</f>
        <v>6.4516129032258061</v>
      </c>
      <c r="N423" s="1">
        <f>IF('исходные данные'!N423&gt;'минимумы и максимумы'!L$3,100,('исходные данные'!N423-'минимумы и максимумы'!L$2)/('минимумы и максимумы'!L$3-'минимумы и максимумы'!L$2)*100)</f>
        <v>100</v>
      </c>
      <c r="O423" s="1">
        <f>IF('исходные данные'!O423&gt;'минимумы и максимумы'!M$3,100,('исходные данные'!O423-'минимумы и максимумы'!M$2)/('минимумы и максимумы'!M$3-'минимумы и максимумы'!M$2)*100)</f>
        <v>0</v>
      </c>
      <c r="P423" s="1">
        <f>IF('исходные данные'!P423&gt;'минимумы и максимумы'!N$3,100,('исходные данные'!P423-'минимумы и максимумы'!N$2)/('минимумы и максимумы'!N$3-'минимумы и максимумы'!N$2)*100)</f>
        <v>0</v>
      </c>
      <c r="Q423" s="1">
        <f>IF('исходные данные'!Q423&gt;'минимумы и максимумы'!O$3,100,('исходные данные'!Q423-'минимумы и максимумы'!O$2)/('минимумы и максимумы'!O$3-'минимумы и максимумы'!O$2)*100)</f>
        <v>100</v>
      </c>
      <c r="R423" s="1">
        <f>IF('исходные данные'!R423&gt;'минимумы и максимумы'!P$3,100,('исходные данные'!R423-'минимумы и максимумы'!P$2)/('минимумы и максимумы'!P$3-'минимумы и максимумы'!P$2)*100)</f>
        <v>100</v>
      </c>
      <c r="S423" s="1">
        <f>IF('исходные данные'!S423&gt;'минимумы и максимумы'!Q$3,100,('исходные данные'!S423-'минимумы и максимумы'!Q$2)/('минимумы и максимумы'!Q$3-'минимумы и максимумы'!Q$2)*100)</f>
        <v>16.666666666666664</v>
      </c>
      <c r="T423" s="1">
        <f>IF('исходные данные'!T423&gt;'минимумы и максимумы'!R$3,100,('исходные данные'!T423-'минимумы и максимумы'!R$2)/('минимумы и максимумы'!R$3-'минимумы и максимумы'!R$2)*100)</f>
        <v>49.97800263968324</v>
      </c>
      <c r="U423" s="1">
        <f>IF('исходные данные'!U423&gt;'минимумы и максимумы'!S$3,100,('исходные данные'!U423-'минимумы и максимумы'!S$2)/('минимумы и максимумы'!S$3-'минимумы и максимумы'!S$2)*100)</f>
        <v>66.666666666666657</v>
      </c>
    </row>
    <row r="424" spans="1:21" x14ac:dyDescent="0.45">
      <c r="A424" s="4">
        <v>545</v>
      </c>
      <c r="B424" s="4">
        <v>0</v>
      </c>
      <c r="C424" s="4">
        <v>0</v>
      </c>
      <c r="D424" s="1">
        <f>IF('исходные данные'!D424&gt;'минимумы и максимумы'!B$3,100,('исходные данные'!D424-'минимумы и максимумы'!B$2)/('минимумы и максимумы'!B$3-'минимумы и максимумы'!B$2)*100)</f>
        <v>0</v>
      </c>
      <c r="E424" s="1">
        <f>IF('исходные данные'!E424&gt;'минимумы и максимумы'!C$3,100,('исходные данные'!E424-'минимумы и максимумы'!C$2)/('минимумы и максимумы'!C$3-'минимумы и максимумы'!C$2)*100)</f>
        <v>0</v>
      </c>
      <c r="F424" s="1">
        <f>IF('исходные данные'!F424&gt;'минимумы и максимумы'!D$3,100,('исходные данные'!F424-'минимумы и максимумы'!D$2)/('минимумы и максимумы'!D$3-'минимумы и максимумы'!D$2)*100)</f>
        <v>0</v>
      </c>
      <c r="G424" s="1">
        <f>IF('исходные данные'!G424&gt;'минимумы и максимумы'!E$3,100,('исходные данные'!G424-'минимумы и максимумы'!E$2)/('минимумы и максимумы'!E$3-'минимумы и максимумы'!E$2)*100)</f>
        <v>0</v>
      </c>
      <c r="H424" s="1">
        <f>IF('исходные данные'!H424&gt;'минимумы и максимумы'!F$3,100,('исходные данные'!H424-'минимумы и максимумы'!F$2)/('минимумы и максимумы'!F$3-'минимумы и максимумы'!F$2)*100)</f>
        <v>0</v>
      </c>
      <c r="I424" s="1">
        <f>IF('исходные данные'!I424&gt;'минимумы и максимумы'!G$3,100,('исходные данные'!I424-'минимумы и максимумы'!G$2)/('минимумы и максимумы'!G$3-'минимумы и максимумы'!G$2)*100)</f>
        <v>0</v>
      </c>
      <c r="J424" s="1">
        <f>IF('исходные данные'!J424&gt;'минимумы и максимумы'!H$3,100,('исходные данные'!J424-'минимумы и максимумы'!H$2)/('минимумы и максимумы'!H$3-'минимумы и максимумы'!H$2)*100)</f>
        <v>0</v>
      </c>
      <c r="K424" s="1">
        <f>IF('исходные данные'!K424&gt;'минимумы и максимумы'!I$3,100,('исходные данные'!K424-'минимумы и максимумы'!I$2)/('минимумы и максимумы'!I$3-'минимумы и максимумы'!I$2)*100)</f>
        <v>0</v>
      </c>
      <c r="L424" s="1">
        <f>IF('исходные данные'!L424&gt;'минимумы и максимумы'!J$3,100,('исходные данные'!L424-'минимумы и максимумы'!J$2)/('минимумы и максимумы'!J$3-'минимумы и максимумы'!J$2)*100)</f>
        <v>0</v>
      </c>
      <c r="M424" s="1">
        <f>IF('исходные данные'!M424&gt;'минимумы и максимумы'!K$3,100,('исходные данные'!M424-'минимумы и максимумы'!K$2)/('минимумы и максимумы'!K$3-'минимумы и максимумы'!K$2)*100)</f>
        <v>6.4516129032258061</v>
      </c>
      <c r="N424" s="1">
        <f>IF('исходные данные'!N424&gt;'минимумы и максимумы'!L$3,100,('исходные данные'!N424-'минимумы и максимумы'!L$2)/('минимумы и максимумы'!L$3-'минимумы и максимумы'!L$2)*100)</f>
        <v>99.259392261501333</v>
      </c>
      <c r="O424" s="1">
        <f>IF('исходные данные'!O424&gt;'минимумы и максимумы'!M$3,100,('исходные данные'!O424-'минимумы и максимумы'!M$2)/('минимумы и максимумы'!M$3-'минимумы и максимумы'!M$2)*100)</f>
        <v>66.666666666666657</v>
      </c>
      <c r="P424" s="1">
        <f>IF('исходные данные'!P424&gt;'минимумы и максимумы'!N$3,100,('исходные данные'!P424-'минимумы и максимумы'!N$2)/('минимумы и максимумы'!N$3-'минимумы и максимумы'!N$2)*100)</f>
        <v>0</v>
      </c>
      <c r="Q424" s="1">
        <f>IF('исходные данные'!Q424&gt;'минимумы и максимумы'!O$3,100,('исходные данные'!Q424-'минимумы и максимумы'!O$2)/('минимумы и максимумы'!O$3-'минимумы и максимумы'!O$2)*100)</f>
        <v>100</v>
      </c>
      <c r="R424" s="1">
        <f>IF('исходные данные'!R424&gt;'минимумы и максимумы'!P$3,100,('исходные данные'!R424-'минимумы и максимумы'!P$2)/('минимумы и максимумы'!P$3-'минимумы и максимумы'!P$2)*100)</f>
        <v>100</v>
      </c>
      <c r="S424" s="1">
        <f>IF('исходные данные'!S424&gt;'минимумы и максимумы'!Q$3,100,('исходные данные'!S424-'минимумы и максимумы'!Q$2)/('минимумы и максимумы'!Q$3-'минимумы и максимумы'!Q$2)*100)</f>
        <v>100</v>
      </c>
      <c r="T424" s="1">
        <f>IF('исходные данные'!T424&gt;'минимумы и максимумы'!R$3,100,('исходные данные'!T424-'минимумы и максимумы'!R$2)/('минимумы и максимумы'!R$3-'минимумы и максимумы'!R$2)*100)</f>
        <v>50.197976242850864</v>
      </c>
      <c r="U424" s="1">
        <f>IF('исходные данные'!U424&gt;'минимумы и максимумы'!S$3,100,('исходные данные'!U424-'минимумы и максимумы'!S$2)/('минимумы и максимумы'!S$3-'минимумы и максимумы'!S$2)*100)</f>
        <v>0</v>
      </c>
    </row>
    <row r="425" spans="1:21" x14ac:dyDescent="0.45">
      <c r="A425" s="4">
        <v>546</v>
      </c>
      <c r="B425" s="4">
        <v>0</v>
      </c>
      <c r="C425" s="4">
        <v>0</v>
      </c>
      <c r="D425" s="1">
        <f>IF('исходные данные'!D425&gt;'минимумы и максимумы'!B$3,100,('исходные данные'!D425-'минимумы и максимумы'!B$2)/('минимумы и максимумы'!B$3-'минимумы и максимумы'!B$2)*100)</f>
        <v>0</v>
      </c>
      <c r="E425" s="1">
        <f>IF('исходные данные'!E425&gt;'минимумы и максимумы'!C$3,100,('исходные данные'!E425-'минимумы и максимумы'!C$2)/('минимумы и максимумы'!C$3-'минимумы и максимумы'!C$2)*100)</f>
        <v>0</v>
      </c>
      <c r="F425" s="1">
        <f>IF('исходные данные'!F425&gt;'минимумы и максимумы'!D$3,100,('исходные данные'!F425-'минимумы и максимумы'!D$2)/('минимумы и максимумы'!D$3-'минимумы и максимумы'!D$2)*100)</f>
        <v>0</v>
      </c>
      <c r="G425" s="1">
        <f>IF('исходные данные'!G425&gt;'минимумы и максимумы'!E$3,100,('исходные данные'!G425-'минимумы и максимумы'!E$2)/('минимумы и максимумы'!E$3-'минимумы и максимумы'!E$2)*100)</f>
        <v>0</v>
      </c>
      <c r="H425" s="1">
        <f>IF('исходные данные'!H425&gt;'минимумы и максимумы'!F$3,100,('исходные данные'!H425-'минимумы и максимумы'!F$2)/('минимумы и максимумы'!F$3-'минимумы и максимумы'!F$2)*100)</f>
        <v>0</v>
      </c>
      <c r="I425" s="1">
        <f>IF('исходные данные'!I425&gt;'минимумы и максимумы'!G$3,100,('исходные данные'!I425-'минимумы и максимумы'!G$2)/('минимумы и максимумы'!G$3-'минимумы и максимумы'!G$2)*100)</f>
        <v>0</v>
      </c>
      <c r="J425" s="1">
        <f>IF('исходные данные'!J425&gt;'минимумы и максимумы'!H$3,100,('исходные данные'!J425-'минимумы и максимумы'!H$2)/('минимумы и максимумы'!H$3-'минимумы и максимумы'!H$2)*100)</f>
        <v>0</v>
      </c>
      <c r="K425" s="1">
        <f>IF('исходные данные'!K425&gt;'минимумы и максимумы'!I$3,100,('исходные данные'!K425-'минимумы и максимумы'!I$2)/('минимумы и максимумы'!I$3-'минимумы и максимумы'!I$2)*100)</f>
        <v>0</v>
      </c>
      <c r="L425" s="1">
        <f>IF('исходные данные'!L425&gt;'минимумы и максимумы'!J$3,100,('исходные данные'!L425-'минимумы и максимумы'!J$2)/('минимумы и максимумы'!J$3-'минимумы и максимумы'!J$2)*100)</f>
        <v>0</v>
      </c>
      <c r="M425" s="1">
        <f>IF('исходные данные'!M425&gt;'минимумы и максимумы'!K$3,100,('исходные данные'!M425-'минимумы и максимумы'!K$2)/('минимумы и максимумы'!K$3-'минимумы и максимумы'!K$2)*100)</f>
        <v>6.4516129032258061</v>
      </c>
      <c r="N425" s="1">
        <f>IF('исходные данные'!N425&gt;'минимумы и максимумы'!L$3,100,('исходные данные'!N425-'минимумы и максимумы'!L$2)/('минимумы и максимумы'!L$3-'минимумы и максимумы'!L$2)*100)</f>
        <v>99.492655993761076</v>
      </c>
      <c r="O425" s="1">
        <f>IF('исходные данные'!O425&gt;'минимумы и максимумы'!M$3,100,('исходные данные'!O425-'минимумы и максимумы'!M$2)/('минимумы и максимумы'!M$3-'минимумы и максимумы'!M$2)*100)</f>
        <v>66.666666666666657</v>
      </c>
      <c r="P425" s="1">
        <f>IF('исходные данные'!P425&gt;'минимумы и максимумы'!N$3,100,('исходные данные'!P425-'минимумы и максимумы'!N$2)/('минимумы и максимумы'!N$3-'минимумы и максимумы'!N$2)*100)</f>
        <v>0</v>
      </c>
      <c r="Q425" s="1">
        <f>IF('исходные данные'!Q425&gt;'минимумы и максимумы'!O$3,100,('исходные данные'!Q425-'минимумы и максимумы'!O$2)/('минимумы и максимумы'!O$3-'минимумы и максимумы'!O$2)*100)</f>
        <v>100</v>
      </c>
      <c r="R425" s="1">
        <f>IF('исходные данные'!R425&gt;'минимумы и максимумы'!P$3,100,('исходные данные'!R425-'минимумы и максимумы'!P$2)/('минимумы и максимумы'!P$3-'минимумы и максимумы'!P$2)*100)</f>
        <v>100</v>
      </c>
      <c r="S425" s="1">
        <f>IF('исходные данные'!S425&gt;'минимумы и максимумы'!Q$3,100,('исходные данные'!S425-'минимумы и максимумы'!Q$2)/('минимумы и максимумы'!Q$3-'минимумы и максимумы'!Q$2)*100)</f>
        <v>100</v>
      </c>
      <c r="T425" s="1">
        <f>IF('исходные данные'!T425&gt;'минимумы и максимумы'!R$3,100,('исходные данные'!T425-'минимумы и максимумы'!R$2)/('минимумы и максимумы'!R$3-'минимумы и максимумы'!R$2)*100)</f>
        <v>50.637923449186097</v>
      </c>
      <c r="U425" s="1">
        <f>IF('исходные данные'!U425&gt;'минимумы и максимумы'!S$3,100,('исходные данные'!U425-'минимумы и максимумы'!S$2)/('минимумы и максимумы'!S$3-'минимумы и максимумы'!S$2)*100)</f>
        <v>0</v>
      </c>
    </row>
    <row r="426" spans="1:21" x14ac:dyDescent="0.45">
      <c r="A426" s="4">
        <v>547</v>
      </c>
      <c r="B426" s="4">
        <v>1</v>
      </c>
      <c r="C426" s="4">
        <v>0</v>
      </c>
      <c r="D426" s="1">
        <f>IF('исходные данные'!D426&gt;'минимумы и максимумы'!B$3,100,('исходные данные'!D426-'минимумы и максимумы'!B$2)/('минимумы и максимумы'!B$3-'минимумы и максимумы'!B$2)*100)</f>
        <v>20</v>
      </c>
      <c r="E426" s="1">
        <f>IF('исходные данные'!E426&gt;'минимумы и максимумы'!C$3,100,('исходные данные'!E426-'минимумы и максимумы'!C$2)/('минимумы и максимумы'!C$3-'минимумы и максимумы'!C$2)*100)</f>
        <v>10</v>
      </c>
      <c r="F426" s="1">
        <f>IF('исходные данные'!F426&gt;'минимумы и максимумы'!D$3,100,('исходные данные'!F426-'минимумы и максимумы'!D$2)/('минимумы и максимумы'!D$3-'минимумы и максимумы'!D$2)*100)</f>
        <v>33.333333333333329</v>
      </c>
      <c r="G426" s="1">
        <f>IF('исходные данные'!G426&gt;'минимумы и максимумы'!E$3,100,('исходные данные'!G426-'минимумы и максимумы'!E$2)/('минимумы и максимумы'!E$3-'минимумы и максимумы'!E$2)*100)</f>
        <v>8.3333333333333321</v>
      </c>
      <c r="H426" s="1">
        <f>IF('исходные данные'!H426&gt;'минимумы и максимумы'!F$3,100,('исходные данные'!H426-'минимумы и максимумы'!F$2)/('минимумы и максимумы'!F$3-'минимумы и максимумы'!F$2)*100)</f>
        <v>8</v>
      </c>
      <c r="I426" s="1">
        <f>IF('исходные данные'!I426&gt;'минимумы и максимумы'!G$3,100,('исходные данные'!I426-'минимумы и максимумы'!G$2)/('минимумы и максимумы'!G$3-'минимумы и максимумы'!G$2)*100)</f>
        <v>5.6603773584905666</v>
      </c>
      <c r="J426" s="1">
        <f>IF('исходные данные'!J426&gt;'минимумы и максимумы'!H$3,100,('исходные данные'!J426-'минимумы и максимумы'!H$2)/('минимумы и максимумы'!H$3-'минимумы и максимумы'!H$2)*100)</f>
        <v>0</v>
      </c>
      <c r="K426" s="1">
        <f>IF('исходные данные'!K426&gt;'минимумы и максимумы'!I$3,100,('исходные данные'!K426-'минимумы и максимумы'!I$2)/('минимумы и максимумы'!I$3-'минимумы и максимумы'!I$2)*100)</f>
        <v>0</v>
      </c>
      <c r="L426" s="1">
        <f>IF('исходные данные'!L426&gt;'минимумы и максимумы'!J$3,100,('исходные данные'!L426-'минимумы и максимумы'!J$2)/('минимумы и максимумы'!J$3-'минимумы и максимумы'!J$2)*100)</f>
        <v>0</v>
      </c>
      <c r="M426" s="1">
        <f>IF('исходные данные'!M426&gt;'минимумы и максимумы'!K$3,100,('исходные данные'!M426-'минимумы и максимумы'!K$2)/('минимумы и максимумы'!K$3-'минимумы и максимумы'!K$2)*100)</f>
        <v>19.35483870967742</v>
      </c>
      <c r="N426" s="1">
        <f>IF('исходные данные'!N426&gt;'минимумы и максимумы'!L$3,100,('исходные данные'!N426-'минимумы и максимумы'!L$2)/('минимумы и максимумы'!L$3-'минимумы и максимумы'!L$2)*100)</f>
        <v>100</v>
      </c>
      <c r="O426" s="1">
        <f>IF('исходные данные'!O426&gt;'минимумы и максимумы'!M$3,100,('исходные данные'!O426-'минимумы и максимумы'!M$2)/('минимумы и максимумы'!M$3-'минимумы и максимумы'!M$2)*100)</f>
        <v>100</v>
      </c>
      <c r="P426" s="1">
        <f>IF('исходные данные'!P426&gt;'минимумы и максимумы'!N$3,100,('исходные данные'!P426-'минимумы и максимумы'!N$2)/('минимумы и максимумы'!N$3-'минимумы и максимумы'!N$2)*100)</f>
        <v>0</v>
      </c>
      <c r="Q426" s="1">
        <f>IF('исходные данные'!Q426&gt;'минимумы и максимумы'!O$3,100,('исходные данные'!Q426-'минимумы и максимумы'!O$2)/('минимумы и максимумы'!O$3-'минимумы и максимумы'!O$2)*100)</f>
        <v>100</v>
      </c>
      <c r="R426" s="1">
        <f>IF('исходные данные'!R426&gt;'минимумы и максимумы'!P$3,100,('исходные данные'!R426-'минимумы и максимумы'!P$2)/('минимумы и максимумы'!P$3-'минимумы и максимумы'!P$2)*100)</f>
        <v>100</v>
      </c>
      <c r="S426" s="1">
        <f>IF('исходные данные'!S426&gt;'минимумы и максимумы'!Q$3,100,('исходные данные'!S426-'минимумы и максимумы'!Q$2)/('минимумы и максимумы'!Q$3-'минимумы и максимумы'!Q$2)*100)</f>
        <v>33.333333333333329</v>
      </c>
      <c r="T426" s="1">
        <f>IF('исходные данные'!T426&gt;'минимумы и максимумы'!R$3,100,('исходные данные'!T426-'минимумы и максимумы'!R$2)/('минимумы и максимумы'!R$3-'минимумы и максимумы'!R$2)*100)</f>
        <v>19.049714034315883</v>
      </c>
      <c r="U426" s="1">
        <f>IF('исходные данные'!U426&gt;'минимумы и максимумы'!S$3,100,('исходные данные'!U426-'минимумы и максимумы'!S$2)/('минимумы и максимумы'!S$3-'минимумы и максимумы'!S$2)*100)</f>
        <v>0</v>
      </c>
    </row>
    <row r="427" spans="1:21" x14ac:dyDescent="0.45">
      <c r="A427" s="4">
        <v>548</v>
      </c>
      <c r="B427" s="4">
        <v>1</v>
      </c>
      <c r="C427" s="4">
        <v>0</v>
      </c>
      <c r="D427" s="1">
        <f>IF('исходные данные'!D427&gt;'минимумы и максимумы'!B$3,100,('исходные данные'!D427-'минимумы и максимумы'!B$2)/('минимумы и максимумы'!B$3-'минимумы и максимумы'!B$2)*100)</f>
        <v>0</v>
      </c>
      <c r="E427" s="1">
        <f>IF('исходные данные'!E427&gt;'минимумы и максимумы'!C$3,100,('исходные данные'!E427-'минимумы и максимумы'!C$2)/('минимумы и максимумы'!C$3-'минимумы и максимумы'!C$2)*100)</f>
        <v>0</v>
      </c>
      <c r="F427" s="1">
        <f>IF('исходные данные'!F427&gt;'минимумы и максимумы'!D$3,100,('исходные данные'!F427-'минимумы и максимумы'!D$2)/('минимумы и максимумы'!D$3-'минимумы и максимумы'!D$2)*100)</f>
        <v>0</v>
      </c>
      <c r="G427" s="1">
        <f>IF('исходные данные'!G427&gt;'минимумы и максимумы'!E$3,100,('исходные данные'!G427-'минимумы и максимумы'!E$2)/('минимумы и максимумы'!E$3-'минимумы и максимумы'!E$2)*100)</f>
        <v>0</v>
      </c>
      <c r="H427" s="1">
        <f>IF('исходные данные'!H427&gt;'минимумы и максимумы'!F$3,100,('исходные данные'!H427-'минимумы и максимумы'!F$2)/('минимумы и максимумы'!F$3-'минимумы и максимумы'!F$2)*100)</f>
        <v>0</v>
      </c>
      <c r="I427" s="1">
        <f>IF('исходные данные'!I427&gt;'минимумы и максимумы'!G$3,100,('исходные данные'!I427-'минимумы и максимумы'!G$2)/('минимумы и максимумы'!G$3-'минимумы и максимумы'!G$2)*100)</f>
        <v>0</v>
      </c>
      <c r="J427" s="1">
        <f>IF('исходные данные'!J427&gt;'минимумы и максимумы'!H$3,100,('исходные данные'!J427-'минимумы и максимумы'!H$2)/('минимумы и максимумы'!H$3-'минимумы и максимумы'!H$2)*100)</f>
        <v>0</v>
      </c>
      <c r="K427" s="1">
        <f>IF('исходные данные'!K427&gt;'минимумы и максимумы'!I$3,100,('исходные данные'!K427-'минимумы и максимумы'!I$2)/('минимумы и максимумы'!I$3-'минимумы и максимумы'!I$2)*100)</f>
        <v>0</v>
      </c>
      <c r="L427" s="1">
        <f>IF('исходные данные'!L427&gt;'минимумы и максимумы'!J$3,100,('исходные данные'!L427-'минимумы и максимумы'!J$2)/('минимумы и максимумы'!J$3-'минимумы и максимумы'!J$2)*100)</f>
        <v>0</v>
      </c>
      <c r="M427" s="1">
        <f>IF('исходные данные'!M427&gt;'минимумы и максимумы'!K$3,100,('исходные данные'!M427-'минимумы и максимумы'!K$2)/('минимумы и максимумы'!K$3-'минимумы и максимумы'!K$2)*100)</f>
        <v>0</v>
      </c>
      <c r="N427" s="1">
        <f>IF('исходные данные'!N427&gt;'минимумы и максимумы'!L$3,100,('исходные данные'!N427-'минимумы и максимумы'!L$2)/('минимумы и максимумы'!L$3-'минимумы и максимумы'!L$2)*100)</f>
        <v>73.694035421384697</v>
      </c>
      <c r="O427" s="1">
        <f>IF('исходные данные'!O427&gt;'минимумы и максимумы'!M$3,100,('исходные данные'!O427-'минимумы и максимумы'!M$2)/('минимумы и максимумы'!M$3-'минимумы и максимумы'!M$2)*100)</f>
        <v>66.666666666666657</v>
      </c>
      <c r="P427" s="1">
        <f>IF('исходные данные'!P427&gt;'минимумы и максимумы'!N$3,100,('исходные данные'!P427-'минимумы и максимумы'!N$2)/('минимумы и максимумы'!N$3-'минимумы и максимумы'!N$2)*100)</f>
        <v>0</v>
      </c>
      <c r="Q427" s="1">
        <f>IF('исходные данные'!Q427&gt;'минимумы и максимумы'!O$3,100,('исходные данные'!Q427-'минимумы и максимумы'!O$2)/('минимумы и максимумы'!O$3-'минимумы и максимумы'!O$2)*100)</f>
        <v>100</v>
      </c>
      <c r="R427" s="1">
        <f>IF('исходные данные'!R427&gt;'минимумы и максимумы'!P$3,100,('исходные данные'!R427-'минимумы и максимумы'!P$2)/('минимумы и максимумы'!P$3-'минимумы и максимумы'!P$2)*100)</f>
        <v>75</v>
      </c>
      <c r="S427" s="1">
        <f>IF('исходные данные'!S427&gt;'минимумы и максимумы'!Q$3,100,('исходные данные'!S427-'минимумы и максимумы'!Q$2)/('минимумы и максимумы'!Q$3-'минимумы и максимумы'!Q$2)*100)</f>
        <v>33.333333333333329</v>
      </c>
      <c r="T427" s="1">
        <f>IF('исходные данные'!T427&gt;'минимумы и максимумы'!R$3,100,('исходные данные'!T427-'минимумы и максимумы'!R$2)/('минимумы и максимумы'!R$3-'минимумы и максимумы'!R$2)*100)</f>
        <v>10.118785745710515</v>
      </c>
      <c r="U427" s="1">
        <f>IF('исходные данные'!U427&gt;'минимумы и максимумы'!S$3,100,('исходные данные'!U427-'минимумы и максимумы'!S$2)/('минимумы и максимумы'!S$3-'минимумы и максимумы'!S$2)*100)</f>
        <v>0</v>
      </c>
    </row>
    <row r="428" spans="1:21" x14ac:dyDescent="0.45">
      <c r="A428" s="4">
        <v>549</v>
      </c>
      <c r="B428" s="4">
        <v>0</v>
      </c>
      <c r="C428" s="4">
        <v>0</v>
      </c>
      <c r="D428" s="1">
        <f>IF('исходные данные'!D428&gt;'минимумы и максимумы'!B$3,100,('исходные данные'!D428-'минимумы и максимумы'!B$2)/('минимумы и максимумы'!B$3-'минимумы и максимумы'!B$2)*100)</f>
        <v>0</v>
      </c>
      <c r="E428" s="1">
        <f>IF('исходные данные'!E428&gt;'минимумы и максимумы'!C$3,100,('исходные данные'!E428-'минимумы и максимумы'!C$2)/('минимумы и максимумы'!C$3-'минимумы и максимумы'!C$2)*100)</f>
        <v>0</v>
      </c>
      <c r="F428" s="1">
        <f>IF('исходные данные'!F428&gt;'минимумы и максимумы'!D$3,100,('исходные данные'!F428-'минимумы и максимумы'!D$2)/('минимумы и максимумы'!D$3-'минимумы и максимумы'!D$2)*100)</f>
        <v>0</v>
      </c>
      <c r="G428" s="1">
        <f>IF('исходные данные'!G428&gt;'минимумы и максимумы'!E$3,100,('исходные данные'!G428-'минимумы и максимумы'!E$2)/('минимумы и максимумы'!E$3-'минимумы и максимумы'!E$2)*100)</f>
        <v>0</v>
      </c>
      <c r="H428" s="1">
        <f>IF('исходные данные'!H428&gt;'минимумы и максимумы'!F$3,100,('исходные данные'!H428-'минимумы и максимумы'!F$2)/('минимумы и максимумы'!F$3-'минимумы и максимумы'!F$2)*100)</f>
        <v>0</v>
      </c>
      <c r="I428" s="1">
        <f>IF('исходные данные'!I428&gt;'минимумы и максимумы'!G$3,100,('исходные данные'!I428-'минимумы и максимумы'!G$2)/('минимумы и максимумы'!G$3-'минимумы и максимумы'!G$2)*100)</f>
        <v>0</v>
      </c>
      <c r="J428" s="1">
        <f>IF('исходные данные'!J428&gt;'минимумы и максимумы'!H$3,100,('исходные данные'!J428-'минимумы и максимумы'!H$2)/('минимумы и максимумы'!H$3-'минимумы и максимумы'!H$2)*100)</f>
        <v>0</v>
      </c>
      <c r="K428" s="1">
        <f>IF('исходные данные'!K428&gt;'минимумы и максимумы'!I$3,100,('исходные данные'!K428-'минимумы и максимумы'!I$2)/('минимумы и максимумы'!I$3-'минимумы и максимумы'!I$2)*100)</f>
        <v>0</v>
      </c>
      <c r="L428" s="1">
        <f>IF('исходные данные'!L428&gt;'минимумы и максимумы'!J$3,100,('исходные данные'!L428-'минимумы и максимумы'!J$2)/('минимумы и максимумы'!J$3-'минимумы и максимумы'!J$2)*100)</f>
        <v>0</v>
      </c>
      <c r="M428" s="1">
        <f>IF('исходные данные'!M428&gt;'минимумы и максимумы'!K$3,100,('исходные данные'!M428-'минимумы и максимумы'!K$2)/('минимумы и максимумы'!K$3-'минимумы и максимумы'!K$2)*100)</f>
        <v>0</v>
      </c>
      <c r="N428" s="1">
        <f>IF('исходные данные'!N428&gt;'минимумы и максимумы'!L$3,100,('исходные данные'!N428-'минимумы и максимумы'!L$2)/('минимумы и максимумы'!L$3-'минимумы и максимумы'!L$2)*100)</f>
        <v>73.112570010377127</v>
      </c>
      <c r="O428" s="1">
        <f>IF('исходные данные'!O428&gt;'минимумы и максимумы'!M$3,100,('исходные данные'!O428-'минимумы и максимумы'!M$2)/('минимумы и максимумы'!M$3-'минимумы и максимумы'!M$2)*100)</f>
        <v>0</v>
      </c>
      <c r="P428" s="1">
        <f>IF('исходные данные'!P428&gt;'минимумы и максимумы'!N$3,100,('исходные данные'!P428-'минимумы и максимумы'!N$2)/('минимумы и максимумы'!N$3-'минимумы и максимумы'!N$2)*100)</f>
        <v>0</v>
      </c>
      <c r="Q428" s="1">
        <f>IF('исходные данные'!Q428&gt;'минимумы и максимумы'!O$3,100,('исходные данные'!Q428-'минимумы и максимумы'!O$2)/('минимумы и максимумы'!O$3-'минимумы и максимумы'!O$2)*100)</f>
        <v>100</v>
      </c>
      <c r="R428" s="1">
        <f>IF('исходные данные'!R428&gt;'минимумы и максимумы'!P$3,100,('исходные данные'!R428-'минимумы и максимумы'!P$2)/('минимумы и максимумы'!P$3-'минимумы и максимумы'!P$2)*100)</f>
        <v>75</v>
      </c>
      <c r="S428" s="1">
        <f>IF('исходные данные'!S428&gt;'минимумы и максимумы'!Q$3,100,('исходные данные'!S428-'минимумы и максимумы'!Q$2)/('минимумы и максимумы'!Q$3-'минимумы и максимумы'!Q$2)*100)</f>
        <v>33.333333333333329</v>
      </c>
      <c r="T428" s="1">
        <f>IF('исходные данные'!T428&gt;'минимумы и максимумы'!R$3,100,('исходные данные'!T428-'минимумы и максимумы'!R$2)/('минимумы и максимумы'!R$3-'минимумы и максимумы'!R$2)*100)</f>
        <v>10.074791025076991</v>
      </c>
      <c r="U428" s="1">
        <f>IF('исходные данные'!U428&gt;'минимумы и максимумы'!S$3,100,('исходные данные'!U428-'минимумы и максимумы'!S$2)/('минимумы и максимумы'!S$3-'минимумы и максимумы'!S$2)*100)</f>
        <v>0</v>
      </c>
    </row>
    <row r="429" spans="1:21" x14ac:dyDescent="0.45">
      <c r="A429" s="4">
        <v>550</v>
      </c>
      <c r="B429" s="4">
        <v>0</v>
      </c>
      <c r="C429" s="4">
        <v>1</v>
      </c>
      <c r="D429" s="1">
        <f>IF('исходные данные'!D429&gt;'минимумы и максимумы'!B$3,100,('исходные данные'!D429-'минимумы и максимумы'!B$2)/('минимумы и максимумы'!B$3-'минимумы и максимумы'!B$2)*100)</f>
        <v>0</v>
      </c>
      <c r="E429" s="1">
        <f>IF('исходные данные'!E429&gt;'минимумы и максимумы'!C$3,100,('исходные данные'!E429-'минимумы и максимумы'!C$2)/('минимумы и максимумы'!C$3-'минимумы и максимумы'!C$2)*100)</f>
        <v>10</v>
      </c>
      <c r="F429" s="1">
        <f>IF('исходные данные'!F429&gt;'минимумы и максимумы'!D$3,100,('исходные данные'!F429-'минимумы и максимумы'!D$2)/('минимумы и максимумы'!D$3-'минимумы и максимумы'!D$2)*100)</f>
        <v>0</v>
      </c>
      <c r="G429" s="1">
        <f>IF('исходные данные'!G429&gt;'минимумы и максимумы'!E$3,100,('исходные данные'!G429-'минимумы и максимумы'!E$2)/('минимумы и максимумы'!E$3-'минимумы и максимумы'!E$2)*100)</f>
        <v>4.1666666666666661</v>
      </c>
      <c r="H429" s="1">
        <f>IF('исходные данные'!H429&gt;'минимумы и максимумы'!F$3,100,('исходные данные'!H429-'минимумы и максимумы'!F$2)/('минимумы и максимумы'!F$3-'минимумы и максимумы'!F$2)*100)</f>
        <v>16</v>
      </c>
      <c r="I429" s="1">
        <f>IF('исходные данные'!I429&gt;'минимумы и максимумы'!G$3,100,('исходные данные'!I429-'минимумы и максимумы'!G$2)/('минимумы и максимумы'!G$3-'минимумы и максимумы'!G$2)*100)</f>
        <v>3.7735849056603774</v>
      </c>
      <c r="J429" s="1">
        <f>IF('исходные данные'!J429&gt;'минимумы и максимумы'!H$3,100,('исходные данные'!J429-'минимумы и максимумы'!H$2)/('минимумы и максимумы'!H$3-'минимумы и максимумы'!H$2)*100)</f>
        <v>13.333333333333334</v>
      </c>
      <c r="K429" s="1">
        <f>IF('исходные данные'!K429&gt;'минимумы и максимумы'!I$3,100,('исходные данные'!K429-'минимумы и максимумы'!I$2)/('минимумы и максимумы'!I$3-'минимумы и максимумы'!I$2)*100)</f>
        <v>0</v>
      </c>
      <c r="L429" s="1">
        <f>IF('исходные данные'!L429&gt;'минимумы и максимумы'!J$3,100,('исходные данные'!L429-'минимумы и максимумы'!J$2)/('минимумы и максимумы'!J$3-'минимумы и максимумы'!J$2)*100)</f>
        <v>0</v>
      </c>
      <c r="M429" s="1">
        <f>IF('исходные данные'!M429&gt;'минимумы и максимумы'!K$3,100,('исходные данные'!M429-'минимумы и максимумы'!K$2)/('минимумы и максимумы'!K$3-'минимумы и максимумы'!K$2)*100)</f>
        <v>19.35483870967742</v>
      </c>
      <c r="N429" s="1">
        <f>IF('исходные данные'!N429&gt;'минимумы и максимумы'!L$3,100,('исходные данные'!N429-'минимумы и максимумы'!L$2)/('минимумы и максимумы'!L$3-'минимумы и максимумы'!L$2)*100)</f>
        <v>71.111313538459882</v>
      </c>
      <c r="O429" s="1">
        <f>IF('исходные данные'!O429&gt;'минимумы и максимумы'!M$3,100,('исходные данные'!O429-'минимумы и максимумы'!M$2)/('минимумы и максимумы'!M$3-'минимумы и максимумы'!M$2)*100)</f>
        <v>66.666666666666657</v>
      </c>
      <c r="P429" s="1">
        <f>IF('исходные данные'!P429&gt;'минимумы и максимумы'!N$3,100,('исходные данные'!P429-'минимумы и максимумы'!N$2)/('минимумы и максимумы'!N$3-'минимумы и максимумы'!N$2)*100)</f>
        <v>0</v>
      </c>
      <c r="Q429" s="1">
        <f>IF('исходные данные'!Q429&gt;'минимумы и максимумы'!O$3,100,('исходные данные'!Q429-'минимумы и максимумы'!O$2)/('минимумы и максимумы'!O$3-'минимумы и максимумы'!O$2)*100)</f>
        <v>100</v>
      </c>
      <c r="R429" s="1">
        <f>IF('исходные данные'!R429&gt;'минимумы и максимумы'!P$3,100,('исходные данные'!R429-'минимумы и максимумы'!P$2)/('минимумы и максимумы'!P$3-'минимумы и максимумы'!P$2)*100)</f>
        <v>100</v>
      </c>
      <c r="S429" s="1">
        <f>IF('исходные данные'!S429&gt;'минимумы и максимумы'!Q$3,100,('исходные данные'!S429-'минимумы и максимумы'!Q$2)/('минимумы и максимумы'!Q$3-'минимумы и максимумы'!Q$2)*100)</f>
        <v>33.333333333333329</v>
      </c>
      <c r="T429" s="1">
        <f>IF('исходные данные'!T429&gt;'минимумы и максимумы'!R$3,100,('исходные данные'!T429-'минимумы и максимумы'!R$2)/('минимумы и максимумы'!R$3-'минимумы и максимумы'!R$2)*100)</f>
        <v>8.5349758029036522</v>
      </c>
      <c r="U429" s="1">
        <f>IF('исходные данные'!U429&gt;'минимумы и максимумы'!S$3,100,('исходные данные'!U429-'минимумы и максимумы'!S$2)/('минимумы и максимумы'!S$3-'минимумы и максимумы'!S$2)*100)</f>
        <v>0</v>
      </c>
    </row>
    <row r="430" spans="1:21" x14ac:dyDescent="0.45">
      <c r="A430" s="4">
        <v>551</v>
      </c>
      <c r="B430" s="4">
        <v>0</v>
      </c>
      <c r="C430" s="4">
        <v>0</v>
      </c>
      <c r="D430" s="1">
        <f>IF('исходные данные'!D430&gt;'минимумы и максимумы'!B$3,100,('исходные данные'!D430-'минимумы и максимумы'!B$2)/('минимумы и максимумы'!B$3-'минимумы и максимумы'!B$2)*100)</f>
        <v>100</v>
      </c>
      <c r="E430" s="1">
        <f>IF('исходные данные'!E430&gt;'минимумы и максимумы'!C$3,100,('исходные данные'!E430-'минимумы и максимумы'!C$2)/('минимумы и максимумы'!C$3-'минимумы и максимумы'!C$2)*100)</f>
        <v>30</v>
      </c>
      <c r="F430" s="1">
        <f>IF('исходные данные'!F430&gt;'минимумы и максимумы'!D$3,100,('исходные данные'!F430-'минимумы и максимумы'!D$2)/('минимумы и максимумы'!D$3-'минимумы и максимумы'!D$2)*100)</f>
        <v>33.333333333333329</v>
      </c>
      <c r="G430" s="1">
        <f>IF('исходные данные'!G430&gt;'минимумы и максимумы'!E$3,100,('исходные данные'!G430-'минимумы и максимумы'!E$2)/('минимумы и максимумы'!E$3-'минимумы и максимумы'!E$2)*100)</f>
        <v>83.333333333333343</v>
      </c>
      <c r="H430" s="1">
        <f>IF('исходные данные'!H430&gt;'минимумы и максимумы'!F$3,100,('исходные данные'!H430-'минимумы и максимумы'!F$2)/('минимумы и максимумы'!F$3-'минимумы и максимумы'!F$2)*100)</f>
        <v>52</v>
      </c>
      <c r="I430" s="1">
        <f>IF('исходные данные'!I430&gt;'минимумы и максимумы'!G$3,100,('исходные данные'!I430-'минимумы и максимумы'!G$2)/('минимумы и максимумы'!G$3-'минимумы и максимумы'!G$2)*100)</f>
        <v>100</v>
      </c>
      <c r="J430" s="1">
        <f>IF('исходные данные'!J430&gt;'минимумы и максимумы'!H$3,100,('исходные данные'!J430-'минимумы и максимумы'!H$2)/('минимумы и максимумы'!H$3-'минимумы и максимумы'!H$2)*100)</f>
        <v>100</v>
      </c>
      <c r="K430" s="1">
        <f>IF('исходные данные'!K430&gt;'минимумы и максимумы'!I$3,100,('исходные данные'!K430-'минимумы и максимумы'!I$2)/('минимумы и максимумы'!I$3-'минимумы и максимумы'!I$2)*100)</f>
        <v>100</v>
      </c>
      <c r="L430" s="1">
        <f>IF('исходные данные'!L430&gt;'минимумы и максимумы'!J$3,100,('исходные данные'!L430-'минимумы и максимумы'!J$2)/('минимумы и максимумы'!J$3-'минимумы и максимумы'!J$2)*100)</f>
        <v>80</v>
      </c>
      <c r="M430" s="1">
        <f>IF('исходные данные'!M430&gt;'минимумы и максимумы'!K$3,100,('исходные данные'!M430-'минимумы и максимумы'!K$2)/('минимумы и максимумы'!K$3-'минимумы и максимумы'!K$2)*100)</f>
        <v>41.935483870967744</v>
      </c>
      <c r="N430" s="1">
        <f>IF('исходные данные'!N430&gt;'минимумы и максимумы'!L$3,100,('исходные данные'!N430-'минимумы и максимумы'!L$2)/('минимумы и максимумы'!L$3-'минимумы и максимумы'!L$2)*100)</f>
        <v>5.1724160898232334</v>
      </c>
      <c r="O430" s="1">
        <f>IF('исходные данные'!O430&gt;'минимумы и максимумы'!M$3,100,('исходные данные'!O430-'минимумы и максимумы'!M$2)/('минимумы и максимумы'!M$3-'минимумы и максимумы'!M$2)*100)</f>
        <v>0</v>
      </c>
      <c r="P430" s="1">
        <f>IF('исходные данные'!P430&gt;'минимумы и максимумы'!N$3,100,('исходные данные'!P430-'минимумы и максимумы'!N$2)/('минимумы и максимумы'!N$3-'минимумы и максимумы'!N$2)*100)</f>
        <v>100</v>
      </c>
      <c r="Q430" s="1">
        <f>IF('исходные данные'!Q430&gt;'минимумы и максимумы'!O$3,100,('исходные данные'!Q430-'минимумы и максимумы'!O$2)/('минимумы и максимумы'!O$3-'минимумы и максимумы'!O$2)*100)</f>
        <v>100</v>
      </c>
      <c r="R430" s="1">
        <f>IF('исходные данные'!R430&gt;'минимумы и максимумы'!P$3,100,('исходные данные'!R430-'минимумы и максимумы'!P$2)/('минимумы и максимумы'!P$3-'минимумы и максимумы'!P$2)*100)</f>
        <v>100</v>
      </c>
      <c r="S430" s="1">
        <f>IF('исходные данные'!S430&gt;'минимумы и максимумы'!Q$3,100,('исходные данные'!S430-'минимумы и максимумы'!Q$2)/('минимумы и максимумы'!Q$3-'минимумы и максимумы'!Q$2)*100)</f>
        <v>33.333333333333329</v>
      </c>
      <c r="T430" s="1">
        <f>IF('исходные данные'!T430&gt;'минимумы и максимумы'!R$3,100,('исходные данные'!T430-'минимумы и максимумы'!R$2)/('минимумы и максимумы'!R$3-'минимумы и максимумы'!R$2)*100)</f>
        <v>93.180818301803782</v>
      </c>
      <c r="U430" s="1">
        <f>IF('исходные данные'!U430&gt;'минимумы и максимумы'!S$3,100,('исходные данные'!U430-'минимумы и максимумы'!S$2)/('минимумы и максимумы'!S$3-'минимумы и максимумы'!S$2)*100)</f>
        <v>0</v>
      </c>
    </row>
    <row r="431" spans="1:21" x14ac:dyDescent="0.45">
      <c r="A431" s="4">
        <v>552</v>
      </c>
      <c r="B431" s="4">
        <v>0</v>
      </c>
      <c r="C431" s="4">
        <v>0</v>
      </c>
      <c r="D431" s="1">
        <f>IF('исходные данные'!D431&gt;'минимумы и максимумы'!B$3,100,('исходные данные'!D431-'минимумы и максимумы'!B$2)/('минимумы и максимумы'!B$3-'минимумы и максимумы'!B$2)*100)</f>
        <v>20</v>
      </c>
      <c r="E431" s="1">
        <f>IF('исходные данные'!E431&gt;'минимумы и максимумы'!C$3,100,('исходные данные'!E431-'минимумы и максимумы'!C$2)/('минимумы и максимумы'!C$3-'минимумы и максимумы'!C$2)*100)</f>
        <v>70</v>
      </c>
      <c r="F431" s="1">
        <f>IF('исходные данные'!F431&gt;'минимумы и максимумы'!D$3,100,('исходные данные'!F431-'минимумы и максимумы'!D$2)/('минимумы и максимумы'!D$3-'минимумы и максимумы'!D$2)*100)</f>
        <v>0</v>
      </c>
      <c r="G431" s="1">
        <f>IF('исходные данные'!G431&gt;'минимумы и максимумы'!E$3,100,('исходные данные'!G431-'минимумы и максимумы'!E$2)/('минимумы и максимумы'!E$3-'минимумы и максимумы'!E$2)*100)</f>
        <v>45.833333333333329</v>
      </c>
      <c r="H431" s="1">
        <f>IF('исходные данные'!H431&gt;'минимумы и максимумы'!F$3,100,('исходные данные'!H431-'минимумы и максимумы'!F$2)/('минимумы и максимумы'!F$3-'минимумы и максимумы'!F$2)*100)</f>
        <v>68</v>
      </c>
      <c r="I431" s="1">
        <f>IF('исходные данные'!I431&gt;'минимумы и максимумы'!G$3,100,('исходные данные'!I431-'минимумы и максимумы'!G$2)/('минимумы и максимумы'!G$3-'минимумы и максимумы'!G$2)*100)</f>
        <v>94.339622641509436</v>
      </c>
      <c r="J431" s="1">
        <f>IF('исходные данные'!J431&gt;'минимумы и максимумы'!H$3,100,('исходные данные'!J431-'минимумы и максимумы'!H$2)/('минимумы и максимумы'!H$3-'минимумы и максимумы'!H$2)*100)</f>
        <v>13.333333333333334</v>
      </c>
      <c r="K431" s="1">
        <f>IF('исходные данные'!K431&gt;'минимумы и максимумы'!I$3,100,('исходные данные'!K431-'минимумы и максимумы'!I$2)/('минимумы и максимумы'!I$3-'минимумы и максимумы'!I$2)*100)</f>
        <v>16.666666666666664</v>
      </c>
      <c r="L431" s="1">
        <f>IF('исходные данные'!L431&gt;'минимумы и максимумы'!J$3,100,('исходные данные'!L431-'минимумы и максимумы'!J$2)/('минимумы и максимумы'!J$3-'минимумы и максимумы'!J$2)*100)</f>
        <v>0</v>
      </c>
      <c r="M431" s="1">
        <f>IF('исходные данные'!M431&gt;'минимумы и максимумы'!K$3,100,('исходные данные'!M431-'минимумы и максимумы'!K$2)/('минимумы и максимумы'!K$3-'минимумы и максимумы'!K$2)*100)</f>
        <v>22.58064516129032</v>
      </c>
      <c r="N431" s="1">
        <f>IF('исходные данные'!N431&gt;'минимумы и максимумы'!L$3,100,('исходные данные'!N431-'минимумы и максимумы'!L$2)/('минимумы и максимумы'!L$3-'минимумы и максимумы'!L$2)*100)</f>
        <v>17.617915012503381</v>
      </c>
      <c r="O431" s="1">
        <f>IF('исходные данные'!O431&gt;'минимумы и максимумы'!M$3,100,('исходные данные'!O431-'минимумы и максимумы'!M$2)/('минимумы и максимумы'!M$3-'минимумы и максимумы'!M$2)*100)</f>
        <v>66.666666666666657</v>
      </c>
      <c r="P431" s="1">
        <f>IF('исходные данные'!P431&gt;'минимумы и максимумы'!N$3,100,('исходные данные'!P431-'минимумы и максимумы'!N$2)/('минимумы и максимумы'!N$3-'минимумы и максимумы'!N$2)*100)</f>
        <v>100</v>
      </c>
      <c r="Q431" s="1">
        <f>IF('исходные данные'!Q431&gt;'минимумы и максимумы'!O$3,100,('исходные данные'!Q431-'минимумы и максимумы'!O$2)/('минимумы и максимумы'!O$3-'минимумы и максимумы'!O$2)*100)</f>
        <v>100</v>
      </c>
      <c r="R431" s="1">
        <f>IF('исходные данные'!R431&gt;'минимумы и максимумы'!P$3,100,('исходные данные'!R431-'минимумы и максимумы'!P$2)/('минимумы и максимумы'!P$3-'минимумы и максимумы'!P$2)*100)</f>
        <v>75</v>
      </c>
      <c r="S431" s="1">
        <f>IF('исходные данные'!S431&gt;'минимумы и максимумы'!Q$3,100,('исходные данные'!S431-'минимумы и максимумы'!Q$2)/('минимумы и максимумы'!Q$3-'минимумы и максимумы'!Q$2)*100)</f>
        <v>33.333333333333329</v>
      </c>
      <c r="T431" s="1">
        <f>IF('исходные данные'!T431&gt;'минимумы и максимумы'!R$3,100,('исходные данные'!T431-'минимумы и максимумы'!R$2)/('минимумы и максимумы'!R$3-'минимумы и максимумы'!R$2)*100)</f>
        <v>21.469423669159703</v>
      </c>
      <c r="U431" s="1">
        <f>IF('исходные данные'!U431&gt;'минимумы и максимумы'!S$3,100,('исходные данные'!U431-'минимумы и максимумы'!S$2)/('минимумы и максимумы'!S$3-'минимумы и максимумы'!S$2)*100)</f>
        <v>33.333333333333329</v>
      </c>
    </row>
    <row r="432" spans="1:21" x14ac:dyDescent="0.45">
      <c r="A432" s="5">
        <v>553</v>
      </c>
      <c r="B432" s="5">
        <v>0</v>
      </c>
      <c r="C432" s="5">
        <v>0</v>
      </c>
      <c r="D432" s="1">
        <f>IF('исходные данные'!D432&gt;'минимумы и максимумы'!B$3,100,('исходные данные'!D432-'минимумы и максимумы'!B$2)/('минимумы и максимумы'!B$3-'минимумы и максимумы'!B$2)*100)</f>
        <v>0</v>
      </c>
      <c r="E432" s="1">
        <f>IF('исходные данные'!E432&gt;'минимумы и максимумы'!C$3,100,('исходные данные'!E432-'минимумы и максимумы'!C$2)/('минимумы и максимумы'!C$3-'минимумы и максимумы'!C$2)*100)</f>
        <v>0</v>
      </c>
      <c r="F432" s="1">
        <f>IF('исходные данные'!F432&gt;'минимумы и максимумы'!D$3,100,('исходные данные'!F432-'минимумы и максимумы'!D$2)/('минимумы и максимумы'!D$3-'минимумы и максимумы'!D$2)*100)</f>
        <v>0</v>
      </c>
      <c r="G432" s="1">
        <f>IF('исходные данные'!G432&gt;'минимумы и максимумы'!E$3,100,('исходные данные'!G432-'минимумы и максимумы'!E$2)/('минимумы и максимумы'!E$3-'минимумы и максимумы'!E$2)*100)</f>
        <v>0</v>
      </c>
      <c r="H432" s="1">
        <f>IF('исходные данные'!H432&gt;'минимумы и максимумы'!F$3,100,('исходные данные'!H432-'минимумы и максимумы'!F$2)/('минимумы и максимумы'!F$3-'минимумы и максимумы'!F$2)*100)</f>
        <v>0</v>
      </c>
      <c r="I432" s="1">
        <f>IF('исходные данные'!I432&gt;'минимумы и максимумы'!G$3,100,('исходные данные'!I432-'минимумы и максимумы'!G$2)/('минимумы и максимумы'!G$3-'минимумы и максимумы'!G$2)*100)</f>
        <v>3.7735849056603774</v>
      </c>
      <c r="J432" s="1">
        <f>IF('исходные данные'!J432&gt;'минимумы и максимумы'!H$3,100,('исходные данные'!J432-'минимумы и максимумы'!H$2)/('минимумы и максимумы'!H$3-'минимумы и максимумы'!H$2)*100)</f>
        <v>0</v>
      </c>
      <c r="K432" s="1">
        <f>IF('исходные данные'!K432&gt;'минимумы и максимумы'!I$3,100,('исходные данные'!K432-'минимумы и максимумы'!I$2)/('минимумы и максимумы'!I$3-'минимумы и максимумы'!I$2)*100)</f>
        <v>0</v>
      </c>
      <c r="L432" s="1">
        <f>IF('исходные данные'!L432&gt;'минимумы и максимумы'!J$3,100,('исходные данные'!L432-'минимумы и максимумы'!J$2)/('минимумы и максимумы'!J$3-'минимумы и максимумы'!J$2)*100)</f>
        <v>0</v>
      </c>
      <c r="M432" s="1">
        <f>IF('исходные данные'!M432&gt;'минимумы и максимумы'!K$3,100,('исходные данные'!M432-'минимумы и максимумы'!K$2)/('минимумы и максимумы'!K$3-'минимумы и максимумы'!K$2)*100)</f>
        <v>9.67741935483871</v>
      </c>
      <c r="N432" s="1">
        <f>IF('исходные данные'!N432&gt;'минимумы и максимумы'!L$3,100,('исходные данные'!N432-'минимумы и максимумы'!L$2)/('минимумы и максимумы'!L$3-'минимумы и максимумы'!L$2)*100)</f>
        <v>41.93702237560678</v>
      </c>
      <c r="O432" s="1">
        <f>IF('исходные данные'!O432&gt;'минимумы и максимумы'!M$3,100,('исходные данные'!O432-'минимумы и максимумы'!M$2)/('минимумы и максимумы'!M$3-'минимумы и максимумы'!M$2)*100)</f>
        <v>33.333333333333329</v>
      </c>
      <c r="P432" s="1">
        <f>IF('исходные данные'!P432&gt;'минимумы и максимумы'!N$3,100,('исходные данные'!P432-'минимумы и максимумы'!N$2)/('минимумы и максимумы'!N$3-'минимумы и максимумы'!N$2)*100)</f>
        <v>0</v>
      </c>
      <c r="Q432" s="1">
        <f>IF('исходные данные'!Q432&gt;'минимумы и максимумы'!O$3,100,('исходные данные'!Q432-'минимумы и максимумы'!O$2)/('минимумы и максимумы'!O$3-'минимумы и максимумы'!O$2)*100)</f>
        <v>0</v>
      </c>
      <c r="R432" s="1">
        <f>IF('исходные данные'!R432&gt;'минимумы и максимумы'!P$3,100,('исходные данные'!R432-'минимумы и максимумы'!P$2)/('минимумы и максимумы'!P$3-'минимумы и максимумы'!P$2)*100)</f>
        <v>75</v>
      </c>
      <c r="S432" s="1">
        <f>IF('исходные данные'!S432&gt;'минимумы и максимумы'!Q$3,100,('исходные данные'!S432-'минимумы и максимумы'!Q$2)/('минимумы и максимумы'!Q$3-'минимумы и максимумы'!Q$2)*100)</f>
        <v>16.666666666666664</v>
      </c>
      <c r="T432" s="1">
        <f>IF('исходные данные'!T432&gt;'минимумы и максимумы'!R$3,100,('исходные данные'!T432-'минимумы и максимумы'!R$2)/('минимумы и максимумы'!R$3-'минимумы и максимумы'!R$2)*100)</f>
        <v>51.385833699956009</v>
      </c>
      <c r="U432" s="1">
        <f>IF('исходные данные'!U432&gt;'минимумы и максимумы'!S$3,100,('исходные данные'!U432-'минимумы и максимумы'!S$2)/('минимумы и максимумы'!S$3-'минимумы и максимумы'!S$2)*100)</f>
        <v>66.666666666666657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32A9-53EB-4D3A-8F50-08D0649BD843}">
  <dimension ref="A1:U432"/>
  <sheetViews>
    <sheetView workbookViewId="0">
      <selection activeCell="D3" sqref="D3"/>
    </sheetView>
  </sheetViews>
  <sheetFormatPr defaultRowHeight="14.25" x14ac:dyDescent="0.45"/>
  <sheetData>
    <row r="1" spans="1:21" x14ac:dyDescent="0.45">
      <c r="A1" s="4" t="s">
        <v>21</v>
      </c>
      <c r="B1" s="4" t="s">
        <v>22</v>
      </c>
      <c r="C1" s="4" t="s">
        <v>23</v>
      </c>
      <c r="D1" t="s">
        <v>0</v>
      </c>
      <c r="E1" t="s">
        <v>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9</v>
      </c>
      <c r="N1" t="s">
        <v>17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45">
      <c r="A2" s="4">
        <v>1</v>
      </c>
      <c r="B2" s="4">
        <v>0</v>
      </c>
      <c r="C2" s="4">
        <v>0</v>
      </c>
      <c r="D2" s="1">
        <f>IF('исходные данные'!D2&gt;'минимумы и максимумы'!B$4,100,('исходные данные'!D2-'минимумы и максимумы'!B$2)/('минимумы и максимумы'!B$4-'минимумы и максимумы'!B$2)*100)</f>
        <v>50</v>
      </c>
      <c r="E2" s="1">
        <f>IF('исходные данные'!E2&gt;'минимумы и максимумы'!C$4,100,('исходные данные'!E2-'минимумы и максимумы'!C$2)/('минимумы и максимумы'!C$4-'минимумы и максимумы'!C$2)*100)</f>
        <v>50</v>
      </c>
      <c r="F2" s="1">
        <f>IF('исходные данные'!F2&gt;'минимумы и максимумы'!D$4,100,('исходные данные'!F2-'минимумы и максимумы'!D$2)/('минимумы и максимумы'!D$4-'минимумы и максимумы'!D$2)*100)</f>
        <v>25</v>
      </c>
      <c r="G2" s="1">
        <f>IF('исходные данные'!G2&gt;'минимумы и максимумы'!E$4,100,('исходные данные'!G2-'минимумы и максимумы'!E$2)/('минимумы и максимумы'!E$4-'минимумы и максимумы'!E$2)*100)</f>
        <v>43.243243243243242</v>
      </c>
      <c r="H2" s="1">
        <f>IF('исходные данные'!H2&gt;'минимумы и максимумы'!F$4,100,('исходные данные'!H2-'минимумы и максимумы'!F$2)/('минимумы и максимумы'!F$4-'минимумы и максимумы'!F$2)*100)</f>
        <v>52.631578947368418</v>
      </c>
      <c r="I2" s="1">
        <f>IF('исходные данные'!I2&gt;'минимумы и максимумы'!G$4,100,('исходные данные'!I2-'минимумы и максимумы'!G$2)/('минимумы и максимумы'!G$4-'минимумы и максимумы'!G$2)*100)</f>
        <v>75.903614457831324</v>
      </c>
      <c r="J2" s="1">
        <f>IF('исходные данные'!J2&gt;'минимумы и максимумы'!H$4,100,('исходные данные'!J2-'минимумы и максимумы'!H$2)/('минимумы и максимумы'!H$4-'минимумы и максимумы'!H$2)*100)</f>
        <v>91.666666666666657</v>
      </c>
      <c r="K2" s="1">
        <f>IF('исходные данные'!K2&gt;'минимумы и максимумы'!I$4,100,('исходные данные'!K2-'минимумы и максимумы'!I$2)/('минимумы и максимумы'!I$4-'минимумы и максимумы'!I$2)*100)</f>
        <v>21.428571428571427</v>
      </c>
      <c r="L2" s="1">
        <f>IF('исходные данные'!L2&gt;'минимумы и максимумы'!J$4,100,('исходные данные'!L2-'минимумы и максимумы'!J$2)/('минимумы и максимумы'!J$4-'минимумы и максимумы'!J$2)*100)</f>
        <v>100</v>
      </c>
      <c r="M2" s="1">
        <f>IF('исходные данные'!M2&gt;'минимумы и максимумы'!K$4,100,('исходные данные'!M2-'минимумы и максимумы'!K$2)/('минимумы и максимумы'!K$4-'минимумы и максимумы'!K$2)*100)</f>
        <v>31.914893617021278</v>
      </c>
      <c r="N2" s="1">
        <f>IF('исходные данные'!N2&gt;'минимумы и максимумы'!L$4,100,('исходные данные'!N2-'минимумы и максимумы'!L$2)/('минимумы и максимумы'!L$4-'минимумы и максимумы'!L$2)*100)</f>
        <v>8.84561490485018</v>
      </c>
      <c r="O2" s="1">
        <f>IF('исходные данные'!O2&gt;'минимумы и максимумы'!M$4,100,('исходные данные'!O2-'минимумы и максимумы'!M$2)/('минимумы и максимумы'!M$4-'минимумы и максимумы'!M$2)*100)</f>
        <v>33.333333333333329</v>
      </c>
      <c r="P2" s="1">
        <f>IF('исходные данные'!P2&gt;'минимумы и максимумы'!N$4,100,('исходные данные'!P2-'минимумы и максимумы'!N$2)/('минимумы и максимумы'!N$4-'минимумы и максимумы'!N$2)*100)</f>
        <v>100</v>
      </c>
      <c r="Q2" s="1">
        <f>IF('исходные данные'!Q2&gt;'минимумы и максимумы'!O$4,100,('исходные данные'!Q2-'минимумы и максимумы'!O$2)/('минимумы и максимумы'!O$4-'минимумы и максимумы'!O$2)*100)</f>
        <v>100</v>
      </c>
      <c r="R2" s="1">
        <f>IF('исходные данные'!R2&gt;'минимумы и максимумы'!P$4,100,('исходные данные'!R2-'минимумы и максимумы'!P$2)/('минимумы и максимумы'!P$4-'минимумы и максимумы'!P$2)*100)</f>
        <v>75</v>
      </c>
      <c r="S2" s="1">
        <f>IF('исходные данные'!S2&gt;'минимумы и максимумы'!Q$4,100,('исходные данные'!S2-'минимумы и максимумы'!Q$2)/('минимумы и максимумы'!Q$4-'минимумы и максимумы'!Q$2)*100)</f>
        <v>33.333333333333329</v>
      </c>
      <c r="T2" s="1">
        <f>IF('исходные данные'!T2&gt;'минимумы и максимумы'!R$4,100,('исходные данные'!T2-'минимумы и максимумы'!R$2)/('минимумы и максимумы'!R$4-'минимумы и максимумы'!R$2)*100)</f>
        <v>32.623705408515534</v>
      </c>
      <c r="U2" s="1">
        <f>IF('исходные данные'!U2&gt;'минимумы и максимумы'!S$4,100,('исходные данные'!U2-'минимумы и максимумы'!S$2)/('минимумы и максимумы'!S$4-'минимумы и максимумы'!S$2)*100)</f>
        <v>100</v>
      </c>
    </row>
    <row r="3" spans="1:21" x14ac:dyDescent="0.45">
      <c r="A3" s="4">
        <v>2</v>
      </c>
      <c r="B3" s="4">
        <v>0</v>
      </c>
      <c r="C3" s="4">
        <v>0</v>
      </c>
      <c r="D3" s="1">
        <f>IF('исходные данные'!D3&gt;'минимумы и максимумы'!B$4,100,('исходные данные'!D3-'минимумы и максимумы'!B$2)/('минимумы и максимумы'!B$4-'минимумы и максимумы'!B$2)*100)</f>
        <v>0</v>
      </c>
      <c r="E3" s="1">
        <f>IF('исходные данные'!E3&gt;'минимумы и максимумы'!C$4,100,('исходные данные'!E3-'минимумы и максимумы'!C$2)/('минимумы и максимумы'!C$4-'минимумы и максимумы'!C$2)*100)</f>
        <v>0</v>
      </c>
      <c r="F3" s="1">
        <f>IF('исходные данные'!F3&gt;'минимумы и максимумы'!D$4,100,('исходные данные'!F3-'минимумы и максимумы'!D$2)/('минимумы и максимумы'!D$4-'минимумы и максимумы'!D$2)*100)</f>
        <v>0</v>
      </c>
      <c r="G3" s="1">
        <f>IF('исходные данные'!G3&gt;'минимумы и максимумы'!E$4,100,('исходные данные'!G3-'минимумы и максимумы'!E$2)/('минимумы и максимумы'!E$4-'минимумы и максимумы'!E$2)*100)</f>
        <v>0</v>
      </c>
      <c r="H3" s="1">
        <f>IF('исходные данные'!H3&gt;'минимумы и максимумы'!F$4,100,('исходные данные'!H3-'минимумы и максимумы'!F$2)/('минимумы и максимумы'!F$4-'минимумы и максимумы'!F$2)*100)</f>
        <v>0</v>
      </c>
      <c r="I3" s="1">
        <f>IF('исходные данные'!I3&gt;'минимумы и максимумы'!G$4,100,('исходные данные'!I3-'минимумы и максимумы'!G$2)/('минимумы и максимумы'!G$4-'минимумы и максимумы'!G$2)*100)</f>
        <v>1.2048192771084338</v>
      </c>
      <c r="J3" s="1">
        <f>IF('исходные данные'!J3&gt;'минимумы и максимумы'!H$4,100,('исходные данные'!J3-'минимумы и максимумы'!H$2)/('минимумы и максимумы'!H$4-'минимумы и максимумы'!H$2)*100)</f>
        <v>0</v>
      </c>
      <c r="K3" s="1">
        <f>IF('исходные данные'!K3&gt;'минимумы и максимумы'!I$4,100,('исходные данные'!K3-'минимумы и максимумы'!I$2)/('минимумы и максимумы'!I$4-'минимумы и максимумы'!I$2)*100)</f>
        <v>3.5714285714285712</v>
      </c>
      <c r="L3" s="1">
        <f>IF('исходные данные'!L3&gt;'минимумы и максимумы'!J$4,100,('исходные данные'!L3-'минимумы и максимумы'!J$2)/('минимумы и максимумы'!J$4-'минимумы и максимумы'!J$2)*100)</f>
        <v>0</v>
      </c>
      <c r="M3" s="1">
        <f>IF('исходные данные'!M3&gt;'минимумы и максимумы'!K$4,100,('исходные данные'!M3-'минимумы и максимумы'!K$2)/('минимумы и максимумы'!K$4-'минимумы и максимумы'!K$2)*100)</f>
        <v>2.1276595744680851</v>
      </c>
      <c r="N3" s="1">
        <f>IF('исходные данные'!N3&gt;'минимумы и максимумы'!L$4,100,('исходные данные'!N3-'минимумы и максимумы'!L$2)/('минимумы и максимумы'!L$4-'минимумы и максимумы'!L$2)*100)</f>
        <v>12.039424561534044</v>
      </c>
      <c r="O3" s="1">
        <f>IF('исходные данные'!O3&gt;'минимумы и максимумы'!M$4,100,('исходные данные'!O3-'минимумы и максимумы'!M$2)/('минимумы и максимумы'!M$4-'минимумы и максимумы'!M$2)*100)</f>
        <v>0</v>
      </c>
      <c r="P3" s="1">
        <f>IF('исходные данные'!P3&gt;'минимумы и максимумы'!N$4,100,('исходные данные'!P3-'минимумы и максимумы'!N$2)/('минимумы и максимумы'!N$4-'минимумы и максимумы'!N$2)*100)</f>
        <v>100</v>
      </c>
      <c r="Q3" s="1">
        <f>IF('исходные данные'!Q3&gt;'минимумы и максимумы'!O$4,100,('исходные данные'!Q3-'минимумы и максимумы'!O$2)/('минимумы и максимумы'!O$4-'минимумы и максимумы'!O$2)*100)</f>
        <v>0</v>
      </c>
      <c r="R3" s="1">
        <f>IF('исходные данные'!R3&gt;'минимумы и максимумы'!P$4,100,('исходные данные'!R3-'минимумы и максимумы'!P$2)/('минимумы и максимумы'!P$4-'минимумы и максимумы'!P$2)*100)</f>
        <v>25</v>
      </c>
      <c r="S3" s="1">
        <f>IF('исходные данные'!S3&gt;'минимумы и максимумы'!Q$4,100,('исходные данные'!S3-'минимумы и максимумы'!Q$2)/('минимумы и максимумы'!Q$4-'минимумы и максимумы'!Q$2)*100)</f>
        <v>22.222222222222221</v>
      </c>
      <c r="T3" s="1">
        <f>IF('исходные данные'!T3&gt;'минимумы и максимумы'!R$4,100,('исходные данные'!T3-'минимумы и максимумы'!R$2)/('минимумы и максимумы'!R$4-'минимумы и максимумы'!R$2)*100)</f>
        <v>100</v>
      </c>
      <c r="U3" s="1">
        <f>IF('исходные данные'!U3&gt;'минимумы и максимумы'!S$4,100,('исходные данные'!U3-'минимумы и максимумы'!S$2)/('минимумы и максимумы'!S$4-'минимумы и максимумы'!S$2)*100)</f>
        <v>33.333333333333329</v>
      </c>
    </row>
    <row r="4" spans="1:21" x14ac:dyDescent="0.45">
      <c r="A4" s="4">
        <v>3</v>
      </c>
      <c r="B4" s="4">
        <v>0</v>
      </c>
      <c r="C4" s="4">
        <v>0</v>
      </c>
      <c r="D4" s="1">
        <f>IF('исходные данные'!D4&gt;'минимумы и максимумы'!B$4,100,('исходные данные'!D4-'минимумы и максимумы'!B$2)/('минимумы и максимумы'!B$4-'минимумы и максимумы'!B$2)*100)</f>
        <v>50</v>
      </c>
      <c r="E4" s="1">
        <f>IF('исходные данные'!E4&gt;'минимумы и максимумы'!C$4,100,('исходные данные'!E4-'минимумы и максимумы'!C$2)/('минимумы и максимумы'!C$4-'минимумы и максимумы'!C$2)*100)</f>
        <v>25</v>
      </c>
      <c r="F4" s="1">
        <f>IF('исходные данные'!F4&gt;'минимумы и максимумы'!D$4,100,('исходные данные'!F4-'минимумы и максимумы'!D$2)/('минимумы и максимумы'!D$4-'минимумы и максимумы'!D$2)*100)</f>
        <v>0</v>
      </c>
      <c r="G4" s="1">
        <f>IF('исходные данные'!G4&gt;'минимумы и максимумы'!E$4,100,('исходные данные'!G4-'минимумы и максимумы'!E$2)/('минимумы и максимумы'!E$4-'минимумы и максимумы'!E$2)*100)</f>
        <v>24.324324324324326</v>
      </c>
      <c r="H4" s="1">
        <f>IF('исходные данные'!H4&gt;'минимумы и максимумы'!F$4,100,('исходные данные'!H4-'минимумы и максимумы'!F$2)/('минимумы и максимумы'!F$4-'минимумы и максимумы'!F$2)*100)</f>
        <v>23.684210526315788</v>
      </c>
      <c r="I4" s="1">
        <f>IF('исходные данные'!I4&gt;'минимумы и максимумы'!G$4,100,('исходные данные'!I4-'минимумы и максимумы'!G$2)/('минимумы и максимумы'!G$4-'минимумы и максимумы'!G$2)*100)</f>
        <v>63.855421686746979</v>
      </c>
      <c r="J4" s="1">
        <f>IF('исходные данные'!J4&gt;'минимумы и максимумы'!H$4,100,('исходные данные'!J4-'минимумы и максимумы'!H$2)/('минимумы и максимумы'!H$4-'минимумы и максимумы'!H$2)*100)</f>
        <v>50</v>
      </c>
      <c r="K4" s="1">
        <f>IF('исходные данные'!K4&gt;'минимумы и максимумы'!I$4,100,('исходные данные'!K4-'минимумы и максимумы'!I$2)/('минимумы и максимумы'!I$4-'минимумы и максимумы'!I$2)*100)</f>
        <v>17.857142857142858</v>
      </c>
      <c r="L4" s="1">
        <f>IF('исходные данные'!L4&gt;'минимумы и максимумы'!J$4,100,('исходные данные'!L4-'минимумы и максимумы'!J$2)/('минимумы и максимумы'!J$4-'минимумы и максимумы'!J$2)*100)</f>
        <v>25</v>
      </c>
      <c r="M4" s="1">
        <f>IF('исходные данные'!M4&gt;'минимумы и максимумы'!K$4,100,('исходные данные'!M4-'минимумы и максимумы'!K$2)/('минимумы и максимумы'!K$4-'минимумы и максимумы'!K$2)*100)</f>
        <v>25.531914893617021</v>
      </c>
      <c r="N4" s="1">
        <f>IF('исходные данные'!N4&gt;'минимумы и максимумы'!L$4,100,('исходные данные'!N4-'минимумы и максимумы'!L$2)/('минимумы и максимумы'!L$4-'минимумы и максимумы'!L$2)*100)</f>
        <v>5.9801113103538555</v>
      </c>
      <c r="O4" s="1">
        <f>IF('исходные данные'!O4&gt;'минимумы и максимумы'!M$4,100,('исходные данные'!O4-'минимумы и максимумы'!M$2)/('минимумы и максимумы'!M$4-'минимумы и максимумы'!M$2)*100)</f>
        <v>0</v>
      </c>
      <c r="P4" s="1">
        <f>IF('исходные данные'!P4&gt;'минимумы и максимумы'!N$4,100,('исходные данные'!P4-'минимумы и максимумы'!N$2)/('минимумы и максимумы'!N$4-'минимумы и максимумы'!N$2)*100)</f>
        <v>0</v>
      </c>
      <c r="Q4" s="1">
        <f>IF('исходные данные'!Q4&gt;'минимумы и максимумы'!O$4,100,('исходные данные'!Q4-'минимумы и максимумы'!O$2)/('минимумы и максимумы'!O$4-'минимумы и максимумы'!O$2)*100)</f>
        <v>100</v>
      </c>
      <c r="R4" s="1">
        <f>IF('исходные данные'!R4&gt;'минимумы и максимумы'!P$4,100,('исходные данные'!R4-'минимумы и максимумы'!P$2)/('минимумы и максимумы'!P$4-'минимумы и максимумы'!P$2)*100)</f>
        <v>75</v>
      </c>
      <c r="S4" s="1">
        <f>IF('исходные данные'!S4&gt;'минимумы и максимумы'!Q$4,100,('исходные данные'!S4-'минимумы и максимумы'!Q$2)/('минимумы и максимумы'!Q$4-'минимумы и максимумы'!Q$2)*100)</f>
        <v>22.222222222222221</v>
      </c>
      <c r="T4" s="1">
        <f>IF('исходные данные'!T4&gt;'минимумы и максимумы'!R$4,100,('исходные данные'!T4-'минимумы и максимумы'!R$2)/('минимумы и максимумы'!R$4-'минимумы и максимумы'!R$2)*100)</f>
        <v>5.4372842347525898</v>
      </c>
      <c r="U4" s="1">
        <f>IF('исходные данные'!U4&gt;'минимумы и максимумы'!S$4,100,('исходные данные'!U4-'минимумы и максимумы'!S$2)/('минимумы и максимумы'!S$4-'минимумы и максимумы'!S$2)*100)</f>
        <v>33.333333333333329</v>
      </c>
    </row>
    <row r="5" spans="1:21" x14ac:dyDescent="0.45">
      <c r="A5" s="4">
        <v>5</v>
      </c>
      <c r="B5" s="4">
        <v>0</v>
      </c>
      <c r="C5" s="4">
        <v>0</v>
      </c>
      <c r="D5" s="1">
        <f>IF('исходные данные'!D5&gt;'минимумы и максимумы'!B$4,100,('исходные данные'!D5-'минимумы и максимумы'!B$2)/('минимумы и максимумы'!B$4-'минимумы и максимумы'!B$2)*100)</f>
        <v>25</v>
      </c>
      <c r="E5" s="1">
        <f>IF('исходные данные'!E5&gt;'минимумы и максимумы'!C$4,100,('исходные данные'!E5-'минимумы и максимумы'!C$2)/('минимумы и максимумы'!C$4-'минимумы и максимумы'!C$2)*100)</f>
        <v>43.75</v>
      </c>
      <c r="F5" s="1">
        <f>IF('исходные данные'!F5&gt;'минимумы и максимумы'!D$4,100,('исходные данные'!F5-'минимумы и максимумы'!D$2)/('минимумы и максимумы'!D$4-'минимумы и максимумы'!D$2)*100)</f>
        <v>0</v>
      </c>
      <c r="G5" s="1">
        <f>IF('исходные данные'!G5&gt;'минимумы и максимумы'!E$4,100,('исходные данные'!G5-'минимумы и максимумы'!E$2)/('минимумы и максимумы'!E$4-'минимумы и максимумы'!E$2)*100)</f>
        <v>16.216216216216218</v>
      </c>
      <c r="H5" s="1">
        <f>IF('исходные данные'!H5&gt;'минимумы и максимумы'!F$4,100,('исходные данные'!H5-'минимумы и максимумы'!F$2)/('минимумы и максимумы'!F$4-'минимумы и максимумы'!F$2)*100)</f>
        <v>13.157894736842104</v>
      </c>
      <c r="I5" s="1">
        <f>IF('исходные данные'!I5&gt;'минимумы и максимумы'!G$4,100,('исходные данные'!I5-'минимумы и максимумы'!G$2)/('минимумы и максимумы'!G$4-'минимумы и максимумы'!G$2)*100)</f>
        <v>66.265060240963862</v>
      </c>
      <c r="J5" s="1">
        <f>IF('исходные данные'!J5&gt;'минимумы и максимумы'!H$4,100,('исходные данные'!J5-'минимумы и максимумы'!H$2)/('минимумы и максимумы'!H$4-'минимумы и максимумы'!H$2)*100)</f>
        <v>29.166666666666668</v>
      </c>
      <c r="K5" s="1">
        <f>IF('исходные данные'!K5&gt;'минимумы и максимумы'!I$4,100,('исходные данные'!K5-'минимумы и максимумы'!I$2)/('минимумы и максимумы'!I$4-'минимумы и максимумы'!I$2)*100)</f>
        <v>3.5714285714285712</v>
      </c>
      <c r="L5" s="1">
        <f>IF('исходные данные'!L5&gt;'минимумы и максимумы'!J$4,100,('исходные данные'!L5-'минимумы и максимумы'!J$2)/('минимумы и максимумы'!J$4-'минимумы и максимумы'!J$2)*100)</f>
        <v>37.5</v>
      </c>
      <c r="M5" s="1">
        <f>IF('исходные данные'!M5&gt;'минимумы и максимумы'!K$4,100,('исходные данные'!M5-'минимумы и максимумы'!K$2)/('минимумы и максимумы'!K$4-'минимумы и максимумы'!K$2)*100)</f>
        <v>19.148936170212767</v>
      </c>
      <c r="N5" s="1">
        <f>IF('исходные данные'!N5&gt;'минимумы и максимумы'!L$4,100,('исходные данные'!N5-'минимумы и максимумы'!L$2)/('минимумы и максимумы'!L$4-'минимумы и максимумы'!L$2)*100)</f>
        <v>6.2967859985017789</v>
      </c>
      <c r="O5" s="1">
        <f>IF('исходные данные'!O5&gt;'минимумы и максимумы'!M$4,100,('исходные данные'!O5-'минимумы и максимумы'!M$2)/('минимумы и максимумы'!M$4-'минимумы и максимумы'!M$2)*100)</f>
        <v>66.666666666666657</v>
      </c>
      <c r="P5" s="1">
        <f>IF('исходные данные'!P5&gt;'минимумы и максимумы'!N$4,100,('исходные данные'!P5-'минимумы и максимумы'!N$2)/('минимумы и максимумы'!N$4-'минимумы и максимумы'!N$2)*100)</f>
        <v>100</v>
      </c>
      <c r="Q5" s="1">
        <f>IF('исходные данные'!Q5&gt;'минимумы и максимумы'!O$4,100,('исходные данные'!Q5-'минимумы и максимумы'!O$2)/('минимумы и максимумы'!O$4-'минимумы и максимумы'!O$2)*100)</f>
        <v>100</v>
      </c>
      <c r="R5" s="1">
        <f>IF('исходные данные'!R5&gt;'минимумы и максимумы'!P$4,100,('исходные данные'!R5-'минимумы и максимумы'!P$2)/('минимумы и максимумы'!P$4-'минимумы и максимумы'!P$2)*100)</f>
        <v>75</v>
      </c>
      <c r="S5" s="1">
        <f>IF('исходные данные'!S5&gt;'минимумы и максимумы'!Q$4,100,('исходные данные'!S5-'минимумы и максимумы'!Q$2)/('минимумы и максимумы'!Q$4-'минимумы и максимумы'!Q$2)*100)</f>
        <v>33.333333333333329</v>
      </c>
      <c r="T5" s="1">
        <f>IF('исходные данные'!T5&gt;'минимумы и максимумы'!R$4,100,('исходные данные'!T5-'минимумы и максимумы'!R$2)/('минимумы и максимумы'!R$4-'минимумы и максимумы'!R$2)*100)</f>
        <v>18.555811277330264</v>
      </c>
      <c r="U5" s="1">
        <f>IF('исходные данные'!U5&gt;'минимумы и максимумы'!S$4,100,('исходные данные'!U5-'минимумы и максимумы'!S$2)/('минимумы и максимумы'!S$4-'минимумы и максимумы'!S$2)*100)</f>
        <v>66.666666666666657</v>
      </c>
    </row>
    <row r="6" spans="1:21" x14ac:dyDescent="0.45">
      <c r="A6" s="4">
        <v>6</v>
      </c>
      <c r="B6" s="4">
        <v>0</v>
      </c>
      <c r="C6" s="4">
        <v>0</v>
      </c>
      <c r="D6" s="1">
        <f>IF('исходные данные'!D6&gt;'минимумы и максимумы'!B$4,100,('исходные данные'!D6-'минимумы и максимумы'!B$2)/('минимумы и максимумы'!B$4-'минимумы и максимумы'!B$2)*100)</f>
        <v>50</v>
      </c>
      <c r="E6" s="1">
        <f>IF('исходные данные'!E6&gt;'минимумы и максимумы'!C$4,100,('исходные данные'!E6-'минимумы и максимумы'!C$2)/('минимумы и максимумы'!C$4-'минимумы и максимумы'!C$2)*100)</f>
        <v>37.5</v>
      </c>
      <c r="F6" s="1">
        <f>IF('исходные данные'!F6&gt;'минимумы и максимумы'!D$4,100,('исходные данные'!F6-'минимумы и максимумы'!D$2)/('минимумы и максимумы'!D$4-'минимумы и максимумы'!D$2)*100)</f>
        <v>0</v>
      </c>
      <c r="G6" s="1">
        <f>IF('исходные данные'!G6&gt;'минимумы и максимумы'!E$4,100,('исходные данные'!G6-'минимумы и максимумы'!E$2)/('минимумы и максимумы'!E$4-'минимумы и максимумы'!E$2)*100)</f>
        <v>13.513513513513514</v>
      </c>
      <c r="H6" s="1">
        <f>IF('исходные данные'!H6&gt;'минимумы и максимумы'!F$4,100,('исходные данные'!H6-'минимумы и максимумы'!F$2)/('минимумы и максимумы'!F$4-'минимумы и максимумы'!F$2)*100)</f>
        <v>13.157894736842104</v>
      </c>
      <c r="I6" s="1">
        <f>IF('исходные данные'!I6&gt;'минимумы и максимумы'!G$4,100,('исходные данные'!I6-'минимумы и максимумы'!G$2)/('минимумы и максимумы'!G$4-'минимумы и максимумы'!G$2)*100)</f>
        <v>65.060240963855421</v>
      </c>
      <c r="J6" s="1">
        <f>IF('исходные данные'!J6&gt;'минимумы и максимумы'!H$4,100,('исходные данные'!J6-'минимумы и максимумы'!H$2)/('минимумы и максимумы'!H$4-'минимумы и максимумы'!H$2)*100)</f>
        <v>37.5</v>
      </c>
      <c r="K6" s="1">
        <f>IF('исходные данные'!K6&gt;'минимумы и максимумы'!I$4,100,('исходные данные'!K6-'минимумы и максимумы'!I$2)/('минимумы и максимумы'!I$4-'минимумы и максимумы'!I$2)*100)</f>
        <v>3.5714285714285712</v>
      </c>
      <c r="L6" s="1">
        <f>IF('исходные данные'!L6&gt;'минимумы и максимумы'!J$4,100,('исходные данные'!L6-'минимумы и максимумы'!J$2)/('минимумы и максимумы'!J$4-'минимумы и максимумы'!J$2)*100)</f>
        <v>37.5</v>
      </c>
      <c r="M6" s="1">
        <f>IF('исходные данные'!M6&gt;'минимумы и максимумы'!K$4,100,('исходные данные'!M6-'минимумы и максимумы'!K$2)/('минимумы и максимумы'!K$4-'минимумы и максимумы'!K$2)*100)</f>
        <v>19.148936170212767</v>
      </c>
      <c r="N6" s="1">
        <f>IF('исходные данные'!N6&gt;'минимумы и максимумы'!L$4,100,('исходные данные'!N6-'минимумы и максимумы'!L$2)/('минимумы и максимумы'!L$4-'минимумы и максимумы'!L$2)*100)</f>
        <v>6.4776105433159383</v>
      </c>
      <c r="O6" s="1">
        <f>IF('исходные данные'!O6&gt;'минимумы и максимумы'!M$4,100,('исходные данные'!O6-'минимумы и максимумы'!M$2)/('минимумы и максимумы'!M$4-'минимумы и максимумы'!M$2)*100)</f>
        <v>100</v>
      </c>
      <c r="P6" s="1">
        <f>IF('исходные данные'!P6&gt;'минимумы и максимумы'!N$4,100,('исходные данные'!P6-'минимумы и максимумы'!N$2)/('минимумы и максимумы'!N$4-'минимумы и максимумы'!N$2)*100)</f>
        <v>100</v>
      </c>
      <c r="Q6" s="1">
        <f>IF('исходные данные'!Q6&gt;'минимумы и максимумы'!O$4,100,('исходные данные'!Q6-'минимумы и максимумы'!O$2)/('минимумы и максимумы'!O$4-'минимумы и максимумы'!O$2)*100)</f>
        <v>100</v>
      </c>
      <c r="R6" s="1">
        <f>IF('исходные данные'!R6&gt;'минимумы и максимумы'!P$4,100,('исходные данные'!R6-'минимумы и максимумы'!P$2)/('минимумы и максимумы'!P$4-'минимумы и максимумы'!P$2)*100)</f>
        <v>100</v>
      </c>
      <c r="S6" s="1">
        <f>IF('исходные данные'!S6&gt;'минимумы и максимумы'!Q$4,100,('исходные данные'!S6-'минимумы и максимумы'!Q$2)/('минимумы и максимумы'!Q$4-'минимумы и максимумы'!Q$2)*100)</f>
        <v>22.222222222222221</v>
      </c>
      <c r="T6" s="1">
        <f>IF('исходные данные'!T6&gt;'минимумы и максимумы'!R$4,100,('исходные данные'!T6-'минимумы и максимумы'!R$2)/('минимумы и максимумы'!R$4-'минимумы и максимумы'!R$2)*100)</f>
        <v>37.16915995397008</v>
      </c>
      <c r="U6" s="1">
        <f>IF('исходные данные'!U6&gt;'минимумы и максимумы'!S$4,100,('исходные данные'!U6-'минимумы и максимумы'!S$2)/('минимумы и максимумы'!S$4-'минимумы и максимумы'!S$2)*100)</f>
        <v>100</v>
      </c>
    </row>
    <row r="7" spans="1:21" x14ac:dyDescent="0.45">
      <c r="A7" s="4">
        <v>7</v>
      </c>
      <c r="B7" s="4">
        <v>0</v>
      </c>
      <c r="C7" s="4">
        <v>0</v>
      </c>
      <c r="D7" s="1">
        <f>IF('исходные данные'!D7&gt;'минимумы и максимумы'!B$4,100,('исходные данные'!D7-'минимумы и максимумы'!B$2)/('минимумы и максимумы'!B$4-'минимумы и максимумы'!B$2)*100)</f>
        <v>50</v>
      </c>
      <c r="E7" s="1">
        <f>IF('исходные данные'!E7&gt;'минимумы и максимумы'!C$4,100,('исходные данные'!E7-'минимумы и максимумы'!C$2)/('минимумы и максимумы'!C$4-'минимумы и максимумы'!C$2)*100)</f>
        <v>37.5</v>
      </c>
      <c r="F7" s="1">
        <f>IF('исходные данные'!F7&gt;'минимумы и максимумы'!D$4,100,('исходные данные'!F7-'минимумы и максимумы'!D$2)/('минимумы и максимумы'!D$4-'минимумы и максимумы'!D$2)*100)</f>
        <v>0</v>
      </c>
      <c r="G7" s="1">
        <f>IF('исходные данные'!G7&gt;'минимумы и максимумы'!E$4,100,('исходные данные'!G7-'минимумы и максимумы'!E$2)/('минимумы и максимумы'!E$4-'минимумы и максимумы'!E$2)*100)</f>
        <v>18.918918918918919</v>
      </c>
      <c r="H7" s="1">
        <f>IF('исходные данные'!H7&gt;'минимумы и максимумы'!F$4,100,('исходные данные'!H7-'минимумы и максимумы'!F$2)/('минимумы и максимумы'!F$4-'минимумы и максимумы'!F$2)*100)</f>
        <v>23.684210526315788</v>
      </c>
      <c r="I7" s="1">
        <f>IF('исходные данные'!I7&gt;'минимумы и максимумы'!G$4,100,('исходные данные'!I7-'минимумы и максимумы'!G$2)/('минимумы и максимумы'!G$4-'минимумы и максимумы'!G$2)*100)</f>
        <v>77.108433734939766</v>
      </c>
      <c r="J7" s="1">
        <f>IF('исходные данные'!J7&gt;'минимумы и максимумы'!H$4,100,('исходные данные'!J7-'минимумы и максимумы'!H$2)/('минимумы и максимумы'!H$4-'минимумы и максимумы'!H$2)*100)</f>
        <v>54.166666666666664</v>
      </c>
      <c r="K7" s="1">
        <f>IF('исходные данные'!K7&gt;'минимумы и максимумы'!I$4,100,('исходные данные'!K7-'минимумы и максимумы'!I$2)/('минимумы и максимумы'!I$4-'минимумы и максимумы'!I$2)*100)</f>
        <v>14.285714285714285</v>
      </c>
      <c r="L7" s="1">
        <f>IF('исходные данные'!L7&gt;'минимумы и максимумы'!J$4,100,('исходные данные'!L7-'минимумы и максимумы'!J$2)/('минимумы и максимумы'!J$4-'минимумы и максимумы'!J$2)*100)</f>
        <v>37.5</v>
      </c>
      <c r="M7" s="1">
        <f>IF('исходные данные'!M7&gt;'минимумы и максимумы'!K$4,100,('исходные данные'!M7-'минимумы и максимумы'!K$2)/('минимумы и максимумы'!K$4-'минимумы и максимумы'!K$2)*100)</f>
        <v>17.021276595744681</v>
      </c>
      <c r="N7" s="1">
        <f>IF('исходные данные'!N7&gt;'минимумы и максимумы'!L$4,100,('исходные данные'!N7-'минимумы и максимумы'!L$2)/('минимумы и максимумы'!L$4-'минимумы и максимумы'!L$2)*100)</f>
        <v>7.0490164636247812</v>
      </c>
      <c r="O7" s="1">
        <f>IF('исходные данные'!O7&gt;'минимумы и максимумы'!M$4,100,('исходные данные'!O7-'минимумы и максимумы'!M$2)/('минимумы и максимумы'!M$4-'минимумы и максимумы'!M$2)*100)</f>
        <v>33.333333333333329</v>
      </c>
      <c r="P7" s="1">
        <f>IF('исходные данные'!P7&gt;'минимумы и максимумы'!N$4,100,('исходные данные'!P7-'минимумы и максимумы'!N$2)/('минимумы и максимумы'!N$4-'минимумы и максимумы'!N$2)*100)</f>
        <v>0</v>
      </c>
      <c r="Q7" s="1">
        <f>IF('исходные данные'!Q7&gt;'минимумы и максимумы'!O$4,100,('исходные данные'!Q7-'минимумы и максимумы'!O$2)/('минимумы и максимумы'!O$4-'минимумы и максимумы'!O$2)*100)</f>
        <v>100</v>
      </c>
      <c r="R7" s="1">
        <f>IF('исходные данные'!R7&gt;'минимумы и максимумы'!P$4,100,('исходные данные'!R7-'минимумы и максимумы'!P$2)/('минимумы и максимумы'!P$4-'минимумы и максимумы'!P$2)*100)</f>
        <v>100</v>
      </c>
      <c r="S7" s="1">
        <f>IF('исходные данные'!S7&gt;'минимумы и максимумы'!Q$4,100,('исходные данные'!S7-'минимумы и максимумы'!Q$2)/('минимумы и максимумы'!Q$4-'минимумы и максимумы'!Q$2)*100)</f>
        <v>22.222222222222221</v>
      </c>
      <c r="T7" s="1">
        <f>IF('исходные данные'!T7&gt;'минимумы и максимумы'!R$4,100,('исходные данные'!T7-'минимумы и максимумы'!R$2)/('минимумы и максимумы'!R$4-'минимумы и максимумы'!R$2)*100)</f>
        <v>26.294591484464902</v>
      </c>
      <c r="U7" s="1">
        <f>IF('исходные данные'!U7&gt;'минимумы и максимумы'!S$4,100,('исходные данные'!U7-'минимумы и максимумы'!S$2)/('минимумы и максимумы'!S$4-'минимумы и максимумы'!S$2)*100)</f>
        <v>100</v>
      </c>
    </row>
    <row r="8" spans="1:21" x14ac:dyDescent="0.45">
      <c r="A8" s="4">
        <v>17</v>
      </c>
      <c r="B8" s="4">
        <v>0</v>
      </c>
      <c r="C8" s="4">
        <v>0</v>
      </c>
      <c r="D8" s="1">
        <f>IF('исходные данные'!D8&gt;'минимумы и максимумы'!B$4,100,('исходные данные'!D8-'минимумы и максимумы'!B$2)/('минимумы и максимумы'!B$4-'минимумы и максимумы'!B$2)*100)</f>
        <v>0</v>
      </c>
      <c r="E8" s="1">
        <f>IF('исходные данные'!E8&gt;'минимумы и максимумы'!C$4,100,('исходные данные'!E8-'минимумы и максимумы'!C$2)/('минимумы и максимумы'!C$4-'минимумы и максимумы'!C$2)*100)</f>
        <v>0</v>
      </c>
      <c r="F8" s="1">
        <f>IF('исходные данные'!F8&gt;'минимумы и максимумы'!D$4,100,('исходные данные'!F8-'минимумы и максимумы'!D$2)/('минимумы и максимумы'!D$4-'минимумы и максимумы'!D$2)*100)</f>
        <v>0</v>
      </c>
      <c r="G8" s="1">
        <f>IF('исходные данные'!G8&gt;'минимумы и максимумы'!E$4,100,('исходные данные'!G8-'минимумы и максимумы'!E$2)/('минимумы и максимумы'!E$4-'минимумы и максимумы'!E$2)*100)</f>
        <v>8.1081081081081088</v>
      </c>
      <c r="H8" s="1">
        <f>IF('исходные данные'!H8&gt;'минимумы и максимумы'!F$4,100,('исходные данные'!H8-'минимумы и максимумы'!F$2)/('минимумы и максимумы'!F$4-'минимумы и максимумы'!F$2)*100)</f>
        <v>5.2631578947368416</v>
      </c>
      <c r="I8" s="1">
        <f>IF('исходные данные'!I8&gt;'минимумы и максимумы'!G$4,100,('исходные данные'!I8-'минимумы и максимумы'!G$2)/('минимумы и максимумы'!G$4-'минимумы и максимумы'!G$2)*100)</f>
        <v>43.373493975903614</v>
      </c>
      <c r="J8" s="1">
        <f>IF('исходные данные'!J8&gt;'минимумы и максимумы'!H$4,100,('исходные данные'!J8-'минимумы и максимумы'!H$2)/('минимумы и максимумы'!H$4-'минимумы и максимумы'!H$2)*100)</f>
        <v>4.1666666666666661</v>
      </c>
      <c r="K8" s="1">
        <f>IF('исходные данные'!K8&gt;'минимумы и максимумы'!I$4,100,('исходные данные'!K8-'минимумы и максимумы'!I$2)/('минимумы и максимумы'!I$4-'минимумы и максимумы'!I$2)*100)</f>
        <v>0</v>
      </c>
      <c r="L8" s="1">
        <f>IF('исходные данные'!L8&gt;'минимумы и максимумы'!J$4,100,('исходные данные'!L8-'минимумы и максимумы'!J$2)/('минимумы и максимумы'!J$4-'минимумы и максимумы'!J$2)*100)</f>
        <v>0</v>
      </c>
      <c r="M8" s="1">
        <f>IF('исходные данные'!M8&gt;'минимумы и максимумы'!K$4,100,('исходные данные'!M8-'минимумы и максимумы'!K$2)/('минимумы и максимумы'!K$4-'минимумы и максимумы'!K$2)*100)</f>
        <v>14.893617021276595</v>
      </c>
      <c r="N8" s="1">
        <f>IF('исходные данные'!N8&gt;'минимумы и максимумы'!L$4,100,('исходные данные'!N8-'минимумы и максимумы'!L$2)/('минимумы и максимумы'!L$4-'минимумы и максимумы'!L$2)*100)</f>
        <v>16.074444283162794</v>
      </c>
      <c r="O8" s="1">
        <f>IF('исходные данные'!O8&gt;'минимумы и максимумы'!M$4,100,('исходные данные'!O8-'минимумы и максимумы'!M$2)/('минимумы и максимумы'!M$4-'минимумы и максимумы'!M$2)*100)</f>
        <v>66.666666666666657</v>
      </c>
      <c r="P8" s="1">
        <f>IF('исходные данные'!P8&gt;'минимумы и максимумы'!N$4,100,('исходные данные'!P8-'минимумы и максимумы'!N$2)/('минимумы и максимумы'!N$4-'минимумы и максимумы'!N$2)*100)</f>
        <v>0</v>
      </c>
      <c r="Q8" s="1">
        <f>IF('исходные данные'!Q8&gt;'минимумы и максимумы'!O$4,100,('исходные данные'!Q8-'минимумы и максимумы'!O$2)/('минимумы и максимумы'!O$4-'минимумы и максимумы'!O$2)*100)</f>
        <v>100</v>
      </c>
      <c r="R8" s="1">
        <f>IF('исходные данные'!R8&gt;'минимумы и максимумы'!P$4,100,('исходные данные'!R8-'минимумы и максимумы'!P$2)/('минимумы и максимумы'!P$4-'минимумы и максимумы'!P$2)*100)</f>
        <v>75</v>
      </c>
      <c r="S8" s="1">
        <f>IF('исходные данные'!S8&gt;'минимумы и максимумы'!Q$4,100,('исходные данные'!S8-'минимумы и максимумы'!Q$2)/('минимумы и максимумы'!Q$4-'минимумы и максимумы'!Q$2)*100)</f>
        <v>22.222222222222221</v>
      </c>
      <c r="T8" s="1">
        <f>IF('исходные данные'!T8&gt;'минимумы и максимумы'!R$4,100,('исходные данные'!T8-'минимумы и максимумы'!R$2)/('минимумы и максимумы'!R$4-'минимумы и максимумы'!R$2)*100)</f>
        <v>3.9988492520138093</v>
      </c>
      <c r="U8" s="1">
        <f>IF('исходные данные'!U8&gt;'минимумы и максимумы'!S$4,100,('исходные данные'!U8-'минимумы и максимумы'!S$2)/('минимумы и максимумы'!S$4-'минимумы и максимумы'!S$2)*100)</f>
        <v>0</v>
      </c>
    </row>
    <row r="9" spans="1:21" x14ac:dyDescent="0.45">
      <c r="A9" s="4">
        <v>20</v>
      </c>
      <c r="B9" s="4">
        <v>0</v>
      </c>
      <c r="C9" s="4">
        <v>0</v>
      </c>
      <c r="D9" s="1">
        <f>IF('исходные данные'!D9&gt;'минимумы и максимумы'!B$4,100,('исходные данные'!D9-'минимумы и максимумы'!B$2)/('минимумы и максимумы'!B$4-'минимумы и максимумы'!B$2)*100)</f>
        <v>12.5</v>
      </c>
      <c r="E9" s="1">
        <f>IF('исходные данные'!E9&gt;'минимумы и максимумы'!C$4,100,('исходные данные'!E9-'минимумы и максимумы'!C$2)/('минимумы и максимумы'!C$4-'минимумы и максимумы'!C$2)*100)</f>
        <v>6.25</v>
      </c>
      <c r="F9" s="1">
        <f>IF('исходные данные'!F9&gt;'минимумы и максимумы'!D$4,100,('исходные данные'!F9-'минимумы и максимумы'!D$2)/('минимумы и максимумы'!D$4-'минимумы и максимумы'!D$2)*100)</f>
        <v>25</v>
      </c>
      <c r="G9" s="1">
        <f>IF('исходные данные'!G9&gt;'минимумы и максимумы'!E$4,100,('исходные данные'!G9-'минимумы и максимумы'!E$2)/('минимумы и максимумы'!E$4-'минимумы и максимумы'!E$2)*100)</f>
        <v>24.324324324324326</v>
      </c>
      <c r="H9" s="1">
        <f>IF('исходные данные'!H9&gt;'минимумы и максимумы'!F$4,100,('исходные данные'!H9-'минимумы и максимумы'!F$2)/('минимумы и максимумы'!F$4-'минимумы и максимумы'!F$2)*100)</f>
        <v>21.052631578947366</v>
      </c>
      <c r="I9" s="1">
        <f>IF('исходные данные'!I9&gt;'минимумы и максимумы'!G$4,100,('исходные данные'!I9-'минимумы и максимумы'!G$2)/('минимумы и максимумы'!G$4-'минимумы и максимумы'!G$2)*100)</f>
        <v>22.891566265060241</v>
      </c>
      <c r="J9" s="1">
        <f>IF('исходные данные'!J9&gt;'минимумы и максимумы'!H$4,100,('исходные данные'!J9-'минимумы и максимумы'!H$2)/('минимумы и максимумы'!H$4-'минимумы и максимумы'!H$2)*100)</f>
        <v>37.5</v>
      </c>
      <c r="K9" s="1">
        <f>IF('исходные данные'!K9&gt;'минимумы и максимумы'!I$4,100,('исходные данные'!K9-'минимумы и максимумы'!I$2)/('минимумы и максимумы'!I$4-'минимумы и максимумы'!I$2)*100)</f>
        <v>46.428571428571431</v>
      </c>
      <c r="L9" s="1">
        <f>IF('исходные данные'!L9&gt;'минимумы и максимумы'!J$4,100,('исходные данные'!L9-'минимумы и максимумы'!J$2)/('минимумы и максимумы'!J$4-'минимумы и максимумы'!J$2)*100)</f>
        <v>37.5</v>
      </c>
      <c r="M9" s="1">
        <f>IF('исходные данные'!M9&gt;'минимумы и максимумы'!K$4,100,('исходные данные'!M9-'минимумы и максимумы'!K$2)/('минимумы и максимумы'!K$4-'минимумы и максимумы'!K$2)*100)</f>
        <v>34.042553191489361</v>
      </c>
      <c r="N9" s="1">
        <f>IF('исходные данные'!N9&gt;'минимумы и максимумы'!L$4,100,('исходные данные'!N9-'минимумы и максимумы'!L$2)/('минимумы и максимумы'!L$4-'минимумы и максимумы'!L$2)*100)</f>
        <v>12.462856927064326</v>
      </c>
      <c r="O9" s="1">
        <f>IF('исходные данные'!O9&gt;'минимумы и максимумы'!M$4,100,('исходные данные'!O9-'минимумы и максимумы'!M$2)/('минимумы и максимумы'!M$4-'минимумы и максимумы'!M$2)*100)</f>
        <v>33.333333333333329</v>
      </c>
      <c r="P9" s="1">
        <f>IF('исходные данные'!P9&gt;'минимумы и максимумы'!N$4,100,('исходные данные'!P9-'минимумы и максимумы'!N$2)/('минимумы и максимумы'!N$4-'минимумы и максимумы'!N$2)*100)</f>
        <v>100</v>
      </c>
      <c r="Q9" s="1">
        <f>IF('исходные данные'!Q9&gt;'минимумы и максимумы'!O$4,100,('исходные данные'!Q9-'минимумы и максимумы'!O$2)/('минимумы и максимумы'!O$4-'минимумы и максимумы'!O$2)*100)</f>
        <v>100</v>
      </c>
      <c r="R9" s="1">
        <f>IF('исходные данные'!R9&gt;'минимумы и максимумы'!P$4,100,('исходные данные'!R9-'минимумы и максимумы'!P$2)/('минимумы и максимумы'!P$4-'минимумы и максимумы'!P$2)*100)</f>
        <v>75</v>
      </c>
      <c r="S9" s="1">
        <f>IF('исходные данные'!S9&gt;'минимумы и максимумы'!Q$4,100,('исходные данные'!S9-'минимумы и максимумы'!Q$2)/('минимумы и максимумы'!Q$4-'минимумы и максимумы'!Q$2)*100)</f>
        <v>33.333333333333329</v>
      </c>
      <c r="T9" s="1">
        <f>IF('исходные данные'!T9&gt;'минимумы и максимумы'!R$4,100,('исходные данные'!T9-'минимумы и максимумы'!R$2)/('минимумы и максимумы'!R$4-'минимумы и максимумы'!R$2)*100)</f>
        <v>37.715765247410815</v>
      </c>
      <c r="U9" s="1">
        <f>IF('исходные данные'!U9&gt;'минимумы и максимумы'!S$4,100,('исходные данные'!U9-'минимумы и максимумы'!S$2)/('минимумы и максимумы'!S$4-'минимумы и максимумы'!S$2)*100)</f>
        <v>66.666666666666657</v>
      </c>
    </row>
    <row r="10" spans="1:21" x14ac:dyDescent="0.45">
      <c r="A10" s="4">
        <v>21</v>
      </c>
      <c r="B10" s="4">
        <v>0</v>
      </c>
      <c r="C10" s="4">
        <v>1</v>
      </c>
      <c r="D10" s="1">
        <f>IF('исходные данные'!D10&gt;'минимумы и максимумы'!B$4,100,('исходные данные'!D10-'минимумы и максимумы'!B$2)/('минимумы и максимумы'!B$4-'минимумы и максимумы'!B$2)*100)</f>
        <v>12.5</v>
      </c>
      <c r="E10" s="1">
        <f>IF('исходные данные'!E10&gt;'минимумы и максимумы'!C$4,100,('исходные данные'!E10-'минимумы и максимумы'!C$2)/('минимумы и максимумы'!C$4-'минимумы и максимумы'!C$2)*100)</f>
        <v>18.75</v>
      </c>
      <c r="F10" s="1">
        <f>IF('исходные данные'!F10&gt;'минимумы и максимумы'!D$4,100,('исходные данные'!F10-'минимумы и максимумы'!D$2)/('минимумы и максимумы'!D$4-'минимумы и максимумы'!D$2)*100)</f>
        <v>0</v>
      </c>
      <c r="G10" s="1">
        <f>IF('исходные данные'!G10&gt;'минимумы и максимумы'!E$4,100,('исходные данные'!G10-'минимумы и максимумы'!E$2)/('минимумы и максимумы'!E$4-'минимумы и максимумы'!E$2)*100)</f>
        <v>24.324324324324326</v>
      </c>
      <c r="H10" s="1">
        <f>IF('исходные данные'!H10&gt;'минимумы и максимумы'!F$4,100,('исходные данные'!H10-'минимумы и максимумы'!F$2)/('минимумы и максимумы'!F$4-'минимумы и максимумы'!F$2)*100)</f>
        <v>28.947368421052634</v>
      </c>
      <c r="I10" s="1">
        <f>IF('исходные данные'!I10&gt;'минимумы и максимумы'!G$4,100,('исходные данные'!I10-'минимумы и максимумы'!G$2)/('минимумы и максимумы'!G$4-'минимумы и максимумы'!G$2)*100)</f>
        <v>38.554216867469883</v>
      </c>
      <c r="J10" s="1">
        <f>IF('исходные данные'!J10&gt;'минимумы и максимумы'!H$4,100,('исходные данные'!J10-'минимумы и максимумы'!H$2)/('минимумы и максимумы'!H$4-'минимумы и максимумы'!H$2)*100)</f>
        <v>29.166666666666668</v>
      </c>
      <c r="K10" s="1">
        <f>IF('исходные данные'!K10&gt;'минимумы и максимумы'!I$4,100,('исходные данные'!K10-'минимумы и максимумы'!I$2)/('минимумы и максимумы'!I$4-'минимумы и максимумы'!I$2)*100)</f>
        <v>0</v>
      </c>
      <c r="L10" s="1">
        <f>IF('исходные данные'!L10&gt;'минимумы и максимумы'!J$4,100,('исходные данные'!L10-'минимумы и максимумы'!J$2)/('минимумы и максимумы'!J$4-'минимумы и максимумы'!J$2)*100)</f>
        <v>0</v>
      </c>
      <c r="M10" s="1">
        <f>IF('исходные данные'!M10&gt;'минимумы и максимумы'!K$4,100,('исходные данные'!M10-'минимумы и максимумы'!K$2)/('минимумы и максимумы'!K$4-'минимумы и максимумы'!K$2)*100)</f>
        <v>21.276595744680851</v>
      </c>
      <c r="N10" s="1">
        <f>IF('исходные данные'!N10&gt;'минимумы и максимумы'!L$4,100,('исходные данные'!N10-'минимумы и максимумы'!L$2)/('минимумы и максимумы'!L$4-'минимумы и максимумы'!L$2)*100)</f>
        <v>15.405980053999615</v>
      </c>
      <c r="O10" s="1">
        <f>IF('исходные данные'!O10&gt;'минимумы и максимумы'!M$4,100,('исходные данные'!O10-'минимумы и максимумы'!M$2)/('минимумы и максимумы'!M$4-'минимумы и максимумы'!M$2)*100)</f>
        <v>0</v>
      </c>
      <c r="P10" s="1">
        <f>IF('исходные данные'!P10&gt;'минимумы и максимумы'!N$4,100,('исходные данные'!P10-'минимумы и максимумы'!N$2)/('минимумы и максимумы'!N$4-'минимумы и максимумы'!N$2)*100)</f>
        <v>0</v>
      </c>
      <c r="Q10" s="1">
        <f>IF('исходные данные'!Q10&gt;'минимумы и максимумы'!O$4,100,('исходные данные'!Q10-'минимумы и максимумы'!O$2)/('минимумы и максимумы'!O$4-'минимумы и максимумы'!O$2)*100)</f>
        <v>100</v>
      </c>
      <c r="R10" s="1">
        <f>IF('исходные данные'!R10&gt;'минимумы и максимумы'!P$4,100,('исходные данные'!R10-'минимумы и максимумы'!P$2)/('минимумы и максимумы'!P$4-'минимумы и максимумы'!P$2)*100)</f>
        <v>100</v>
      </c>
      <c r="S10" s="1">
        <f>IF('исходные данные'!S10&gt;'минимумы и максимумы'!Q$4,100,('исходные данные'!S10-'минимумы и максимумы'!Q$2)/('минимумы и максимумы'!Q$4-'минимумы и максимумы'!Q$2)*100)</f>
        <v>33.333333333333329</v>
      </c>
      <c r="T10" s="1">
        <f>IF('исходные данные'!T10&gt;'минимумы и максимумы'!R$4,100,('исходные данные'!T10-'минимумы и максимумы'!R$2)/('минимумы и максимумы'!R$4-'минимумы и максимумы'!R$2)*100)</f>
        <v>11.507479861910241</v>
      </c>
      <c r="U10" s="1">
        <f>IF('исходные данные'!U10&gt;'минимумы и максимумы'!S$4,100,('исходные данные'!U10-'минимумы и максимумы'!S$2)/('минимумы и максимумы'!S$4-'минимумы и максимумы'!S$2)*100)</f>
        <v>100</v>
      </c>
    </row>
    <row r="11" spans="1:21" x14ac:dyDescent="0.45">
      <c r="A11" s="4">
        <v>22</v>
      </c>
      <c r="B11" s="4">
        <v>0</v>
      </c>
      <c r="C11" s="4">
        <v>0</v>
      </c>
      <c r="D11" s="1">
        <f>IF('исходные данные'!D11&gt;'минимумы и максимумы'!B$4,100,('исходные данные'!D11-'минимумы и максимумы'!B$2)/('минимумы и максимумы'!B$4-'минимумы и максимумы'!B$2)*100)</f>
        <v>50</v>
      </c>
      <c r="E11" s="1">
        <f>IF('исходные данные'!E11&gt;'минимумы и максимумы'!C$4,100,('исходные данные'!E11-'минимумы и максимумы'!C$2)/('минимумы и максимумы'!C$4-'минимумы и максимумы'!C$2)*100)</f>
        <v>37.5</v>
      </c>
      <c r="F11" s="1">
        <f>IF('исходные данные'!F11&gt;'минимумы и максимумы'!D$4,100,('исходные данные'!F11-'минимумы и максимумы'!D$2)/('минимумы и максимумы'!D$4-'минимумы и максимумы'!D$2)*100)</f>
        <v>0</v>
      </c>
      <c r="G11" s="1">
        <f>IF('исходные данные'!G11&gt;'минимумы и максимумы'!E$4,100,('исходные данные'!G11-'минимумы и максимумы'!E$2)/('минимумы и максимумы'!E$4-'минимумы и максимумы'!E$2)*100)</f>
        <v>13.513513513513514</v>
      </c>
      <c r="H11" s="1">
        <f>IF('исходные данные'!H11&gt;'минимумы и максимумы'!F$4,100,('исходные данные'!H11-'минимумы и максимумы'!F$2)/('минимумы и максимумы'!F$4-'минимумы и максимумы'!F$2)*100)</f>
        <v>13.157894736842104</v>
      </c>
      <c r="I11" s="1">
        <f>IF('исходные данные'!I11&gt;'минимумы и максимумы'!G$4,100,('исходные данные'!I11-'минимумы и максимумы'!G$2)/('минимумы и максимумы'!G$4-'минимумы и максимумы'!G$2)*100)</f>
        <v>19.277108433734941</v>
      </c>
      <c r="J11" s="1">
        <f>IF('исходные данные'!J11&gt;'минимумы и максимумы'!H$4,100,('исходные данные'!J11-'минимумы и максимумы'!H$2)/('минимумы и максимумы'!H$4-'минимумы и максимумы'!H$2)*100)</f>
        <v>12.5</v>
      </c>
      <c r="K11" s="1">
        <f>IF('исходные данные'!K11&gt;'минимумы и максимумы'!I$4,100,('исходные данные'!K11-'минимумы и максимумы'!I$2)/('минимумы и максимумы'!I$4-'минимумы и максимумы'!I$2)*100)</f>
        <v>28.571428571428569</v>
      </c>
      <c r="L11" s="1">
        <f>IF('исходные данные'!L11&gt;'минимумы и максимумы'!J$4,100,('исходные данные'!L11-'минимумы и максимумы'!J$2)/('минимумы и максимумы'!J$4-'минимумы и максимумы'!J$2)*100)</f>
        <v>0</v>
      </c>
      <c r="M11" s="1">
        <f>IF('исходные данные'!M11&gt;'минимумы и максимумы'!K$4,100,('исходные данные'!M11-'минимумы и максимумы'!K$2)/('минимумы и максимумы'!K$4-'минимумы и максимумы'!K$2)*100)</f>
        <v>36.170212765957451</v>
      </c>
      <c r="N11" s="1">
        <f>IF('исходные данные'!N11&gt;'минимумы и максимумы'!L$4,100,('исходные данные'!N11-'минимумы и максимумы'!L$2)/('минимумы и максимумы'!L$4-'минимумы и максимумы'!L$2)*100)</f>
        <v>11.903507208999279</v>
      </c>
      <c r="O11" s="1">
        <f>IF('исходные данные'!O11&gt;'минимумы и максимумы'!M$4,100,('исходные данные'!O11-'минимумы и максимумы'!M$2)/('минимумы и максимумы'!M$4-'минимумы и максимумы'!M$2)*100)</f>
        <v>100</v>
      </c>
      <c r="P11" s="1">
        <f>IF('исходные данные'!P11&gt;'минимумы и максимумы'!N$4,100,('исходные данные'!P11-'минимумы и максимумы'!N$2)/('минимумы и максимумы'!N$4-'минимумы и максимумы'!N$2)*100)</f>
        <v>0</v>
      </c>
      <c r="Q11" s="1">
        <f>IF('исходные данные'!Q11&gt;'минимумы и максимумы'!O$4,100,('исходные данные'!Q11-'минимумы и максимумы'!O$2)/('минимумы и максимумы'!O$4-'минимумы и максимумы'!O$2)*100)</f>
        <v>100</v>
      </c>
      <c r="R11" s="1">
        <f>IF('исходные данные'!R11&gt;'минимумы и максимумы'!P$4,100,('исходные данные'!R11-'минимумы и максимумы'!P$2)/('минимумы и максимумы'!P$4-'минимумы и максимумы'!P$2)*100)</f>
        <v>75</v>
      </c>
      <c r="S11" s="1">
        <f>IF('исходные данные'!S11&gt;'минимумы и максимумы'!Q$4,100,('исходные данные'!S11-'минимумы и максимумы'!Q$2)/('минимумы и максимумы'!Q$4-'минимумы и максимумы'!Q$2)*100)</f>
        <v>44.444444444444443</v>
      </c>
      <c r="T11" s="1">
        <f>IF('исходные данные'!T11&gt;'минимумы и максимумы'!R$4,100,('исходные данные'!T11-'минимумы и максимумы'!R$2)/('минимумы и максимумы'!R$4-'минимумы и максимумы'!R$2)*100)</f>
        <v>26.783659378596088</v>
      </c>
      <c r="U11" s="1">
        <f>IF('исходные данные'!U11&gt;'минимумы и максимумы'!S$4,100,('исходные данные'!U11-'минимумы и максимумы'!S$2)/('минимумы и максимумы'!S$4-'минимумы и максимумы'!S$2)*100)</f>
        <v>0</v>
      </c>
    </row>
    <row r="12" spans="1:21" x14ac:dyDescent="0.45">
      <c r="A12" s="4">
        <v>27</v>
      </c>
      <c r="B12" s="4">
        <v>1</v>
      </c>
      <c r="C12" s="4">
        <v>0</v>
      </c>
      <c r="D12" s="1">
        <f>IF('исходные данные'!D12&gt;'минимумы и максимумы'!B$4,100,('исходные данные'!D12-'минимумы и максимумы'!B$2)/('минимумы и максимумы'!B$4-'минимумы и максимумы'!B$2)*100)</f>
        <v>50</v>
      </c>
      <c r="E12" s="1">
        <f>IF('исходные данные'!E12&gt;'минимумы и максимумы'!C$4,100,('исходные данные'!E12-'минимумы и максимумы'!C$2)/('минимумы и максимумы'!C$4-'минимумы и максимумы'!C$2)*100)</f>
        <v>37.5</v>
      </c>
      <c r="F12" s="1">
        <f>IF('исходные данные'!F12&gt;'минимумы и максимумы'!D$4,100,('исходные данные'!F12-'минимумы и максимумы'!D$2)/('минимумы и максимумы'!D$4-'минимумы и максимумы'!D$2)*100)</f>
        <v>25</v>
      </c>
      <c r="G12" s="1">
        <f>IF('исходные данные'!G12&gt;'минимумы и максимумы'!E$4,100,('исходные данные'!G12-'минимумы и максимумы'!E$2)/('минимумы и максимумы'!E$4-'минимумы и максимумы'!E$2)*100)</f>
        <v>54.054054054054056</v>
      </c>
      <c r="H12" s="1">
        <f>IF('исходные данные'!H12&gt;'минимумы и максимумы'!F$4,100,('исходные данные'!H12-'минимумы и максимумы'!F$2)/('минимумы и максимумы'!F$4-'минимумы и максимумы'!F$2)*100)</f>
        <v>52.631578947368418</v>
      </c>
      <c r="I12" s="1">
        <f>IF('исходные данные'!I12&gt;'минимумы и максимумы'!G$4,100,('исходные данные'!I12-'минимумы и максимумы'!G$2)/('минимумы и максимумы'!G$4-'минимумы и максимумы'!G$2)*100)</f>
        <v>54.216867469879517</v>
      </c>
      <c r="J12" s="1">
        <f>IF('исходные данные'!J12&gt;'минимумы и максимумы'!H$4,100,('исходные данные'!J12-'минимумы и максимумы'!H$2)/('минимумы и максимумы'!H$4-'минимумы и максимумы'!H$2)*100)</f>
        <v>54.166666666666664</v>
      </c>
      <c r="K12" s="1">
        <f>IF('исходные данные'!K12&gt;'минимумы и максимумы'!I$4,100,('исходные данные'!K12-'минимумы и максимумы'!I$2)/('минимумы и максимумы'!I$4-'минимумы и максимумы'!I$2)*100)</f>
        <v>17.857142857142858</v>
      </c>
      <c r="L12" s="1">
        <f>IF('исходные данные'!L12&gt;'минимумы и максимумы'!J$4,100,('исходные данные'!L12-'минимумы и максимумы'!J$2)/('минимумы и максимумы'!J$4-'минимумы и максимумы'!J$2)*100)</f>
        <v>100</v>
      </c>
      <c r="M12" s="1">
        <f>IF('исходные данные'!M12&gt;'минимумы и максимумы'!K$4,100,('исходные данные'!M12-'минимумы и максимумы'!K$2)/('минимумы и максимумы'!K$4-'минимумы и максимумы'!K$2)*100)</f>
        <v>36.170212765957451</v>
      </c>
      <c r="N12" s="1">
        <f>IF('исходные данные'!N12&gt;'минимумы и максимумы'!L$4,100,('исходные данные'!N12-'минимумы и максимумы'!L$2)/('минимумы и максимумы'!L$4-'минимумы и максимумы'!L$2)*100)</f>
        <v>9.8945802292343714</v>
      </c>
      <c r="O12" s="1">
        <f>IF('исходные данные'!O12&gt;'минимумы и максимумы'!M$4,100,('исходные данные'!O12-'минимумы и максимумы'!M$2)/('минимумы и максимумы'!M$4-'минимумы и максимумы'!M$2)*100)</f>
        <v>66.666666666666657</v>
      </c>
      <c r="P12" s="1">
        <f>IF('исходные данные'!P12&gt;'минимумы и максимумы'!N$4,100,('исходные данные'!P12-'минимумы и максимумы'!N$2)/('минимумы и максимумы'!N$4-'минимумы и максимумы'!N$2)*100)</f>
        <v>100</v>
      </c>
      <c r="Q12" s="1">
        <f>IF('исходные данные'!Q12&gt;'минимумы и максимумы'!O$4,100,('исходные данные'!Q12-'минимумы и максимумы'!O$2)/('минимумы и максимумы'!O$4-'минимумы и максимумы'!O$2)*100)</f>
        <v>100</v>
      </c>
      <c r="R12" s="1">
        <f>IF('исходные данные'!R12&gt;'минимумы и максимумы'!P$4,100,('исходные данные'!R12-'минимумы и максимумы'!P$2)/('минимумы и максимумы'!P$4-'минимумы и максимумы'!P$2)*100)</f>
        <v>100</v>
      </c>
      <c r="S12" s="1">
        <f>IF('исходные данные'!S12&gt;'минимумы и максимумы'!Q$4,100,('исходные данные'!S12-'минимумы и максимумы'!Q$2)/('минимумы и максимумы'!Q$4-'минимумы и максимумы'!Q$2)*100)</f>
        <v>22.222222222222221</v>
      </c>
      <c r="T12" s="1">
        <f>IF('исходные данные'!T12&gt;'минимумы и максимумы'!R$4,100,('исходные данные'!T12-'минимумы и максимумы'!R$2)/('минимумы и максимумы'!R$4-'минимумы и максимумы'!R$2)*100)</f>
        <v>7.8826237054085162</v>
      </c>
      <c r="U12" s="1">
        <f>IF('исходные данные'!U12&gt;'минимумы и максимумы'!S$4,100,('исходные данные'!U12-'минимумы и максимумы'!S$2)/('минимумы и максимумы'!S$4-'минимумы и максимумы'!S$2)*100)</f>
        <v>33.333333333333329</v>
      </c>
    </row>
    <row r="13" spans="1:21" x14ac:dyDescent="0.45">
      <c r="A13" s="4">
        <v>29</v>
      </c>
      <c r="B13" s="4">
        <v>0</v>
      </c>
      <c r="C13" s="4">
        <v>0</v>
      </c>
      <c r="D13" s="1">
        <f>IF('исходные данные'!D13&gt;'минимумы и максимумы'!B$4,100,('исходные данные'!D13-'минимумы и максимумы'!B$2)/('минимумы и максимумы'!B$4-'минимумы и максимумы'!B$2)*100)</f>
        <v>87.5</v>
      </c>
      <c r="E13" s="1">
        <f>IF('исходные данные'!E13&gt;'минимумы и максимумы'!C$4,100,('исходные данные'!E13-'минимумы и максимумы'!C$2)/('минимумы и максимумы'!C$4-'минимумы и максимумы'!C$2)*100)</f>
        <v>31.25</v>
      </c>
      <c r="F13" s="1">
        <f>IF('исходные данные'!F13&gt;'минимумы и максимумы'!D$4,100,('исходные данные'!F13-'минимумы и максимумы'!D$2)/('минимумы и максимумы'!D$4-'минимумы и максимумы'!D$2)*100)</f>
        <v>50</v>
      </c>
      <c r="G13" s="1">
        <f>IF('исходные данные'!G13&gt;'минимумы и максимумы'!E$4,100,('исходные данные'!G13-'минимумы и максимумы'!E$2)/('минимумы и максимумы'!E$4-'минимумы и максимумы'!E$2)*100)</f>
        <v>37.837837837837839</v>
      </c>
      <c r="H13" s="1">
        <f>IF('исходные данные'!H13&gt;'минимумы и максимумы'!F$4,100,('исходные данные'!H13-'минимумы и максимумы'!F$2)/('минимумы и максимумы'!F$4-'минимумы и максимумы'!F$2)*100)</f>
        <v>42.105263157894733</v>
      </c>
      <c r="I13" s="1">
        <f>IF('исходные данные'!I13&gt;'минимумы и максимумы'!G$4,100,('исходные данные'!I13-'минимумы и максимумы'!G$2)/('минимумы и максимумы'!G$4-'минимумы и максимумы'!G$2)*100)</f>
        <v>60.24096385542169</v>
      </c>
      <c r="J13" s="1">
        <f>IF('исходные данные'!J13&gt;'минимумы и максимумы'!H$4,100,('исходные данные'!J13-'минимумы и максимумы'!H$2)/('минимумы и максимумы'!H$4-'минимумы и максимумы'!H$2)*100)</f>
        <v>66.666666666666657</v>
      </c>
      <c r="K13" s="1">
        <f>IF('исходные данные'!K13&gt;'минимумы и максимумы'!I$4,100,('исходные данные'!K13-'минимумы и максимумы'!I$2)/('минимумы и максимумы'!I$4-'минимумы и максимумы'!I$2)*100)</f>
        <v>46.428571428571431</v>
      </c>
      <c r="L13" s="1">
        <f>IF('исходные данные'!L13&gt;'минимумы и максимумы'!J$4,100,('исходные данные'!L13-'минимумы и максимумы'!J$2)/('минимумы и максимумы'!J$4-'минимумы и максимумы'!J$2)*100)</f>
        <v>87.5</v>
      </c>
      <c r="M13" s="1">
        <f>IF('исходные данные'!M13&gt;'минимумы и максимумы'!K$4,100,('исходные данные'!M13-'минимумы и максимумы'!K$2)/('минимумы и максимумы'!K$4-'минимумы и максимумы'!K$2)*100)</f>
        <v>42.553191489361701</v>
      </c>
      <c r="N13" s="1">
        <f>IF('исходные данные'!N13&gt;'минимумы и максимумы'!L$4,100,('исходные данные'!N13-'минимумы и максимумы'!L$2)/('минимумы и максимумы'!L$4-'минимумы и максимумы'!L$2)*100)</f>
        <v>8.0680205978017359</v>
      </c>
      <c r="O13" s="1">
        <f>IF('исходные данные'!O13&gt;'минимумы и максимумы'!M$4,100,('исходные данные'!O13-'минимумы и максимумы'!M$2)/('минимумы и максимумы'!M$4-'минимумы и максимумы'!M$2)*100)</f>
        <v>66.666666666666657</v>
      </c>
      <c r="P13" s="1">
        <f>IF('исходные данные'!P13&gt;'минимумы и максимумы'!N$4,100,('исходные данные'!P13-'минимумы и максимумы'!N$2)/('минимумы и максимумы'!N$4-'минимумы и максимумы'!N$2)*100)</f>
        <v>100</v>
      </c>
      <c r="Q13" s="1">
        <f>IF('исходные данные'!Q13&gt;'минимумы и максимумы'!O$4,100,('исходные данные'!Q13-'минимумы и максимумы'!O$2)/('минимумы и максимумы'!O$4-'минимумы и максимумы'!O$2)*100)</f>
        <v>100</v>
      </c>
      <c r="R13" s="1">
        <f>IF('исходные данные'!R13&gt;'минимумы и максимумы'!P$4,100,('исходные данные'!R13-'минимумы и максимумы'!P$2)/('минимумы и максимумы'!P$4-'минимумы и максимумы'!P$2)*100)</f>
        <v>100</v>
      </c>
      <c r="S13" s="1">
        <f>IF('исходные данные'!S13&gt;'минимумы и максимумы'!Q$4,100,('исходные данные'!S13-'минимумы и максимумы'!Q$2)/('минимумы и максимумы'!Q$4-'минимумы и максимумы'!Q$2)*100)</f>
        <v>22.222222222222221</v>
      </c>
      <c r="T13" s="1">
        <f>IF('исходные данные'!T13&gt;'минимумы и максимумы'!R$4,100,('исходные данные'!T13-'минимумы и максимумы'!R$2)/('минимумы и максимумы'!R$4-'минимумы и максимумы'!R$2)*100)</f>
        <v>11.018411967779057</v>
      </c>
      <c r="U13" s="1">
        <f>IF('исходные данные'!U13&gt;'минимумы и максимумы'!S$4,100,('исходные данные'!U13-'минимумы и максимумы'!S$2)/('минимумы и максимумы'!S$4-'минимумы и максимумы'!S$2)*100)</f>
        <v>66.666666666666657</v>
      </c>
    </row>
    <row r="14" spans="1:21" x14ac:dyDescent="0.45">
      <c r="A14" s="4">
        <v>30</v>
      </c>
      <c r="B14" s="4">
        <v>1</v>
      </c>
      <c r="C14" s="4">
        <v>0</v>
      </c>
      <c r="D14" s="1">
        <f>IF('исходные данные'!D14&gt;'минимумы и максимумы'!B$4,100,('исходные данные'!D14-'минимумы и максимумы'!B$2)/('минимумы и максимумы'!B$4-'минимумы и максимумы'!B$2)*100)</f>
        <v>87.5</v>
      </c>
      <c r="E14" s="1">
        <f>IF('исходные данные'!E14&gt;'минимумы и максимумы'!C$4,100,('исходные данные'!E14-'минимумы и максимумы'!C$2)/('минимумы и максимумы'!C$4-'минимумы и максимумы'!C$2)*100)</f>
        <v>31.25</v>
      </c>
      <c r="F14" s="1">
        <f>IF('исходные данные'!F14&gt;'минимумы и максимумы'!D$4,100,('исходные данные'!F14-'минимумы и максимумы'!D$2)/('минимумы и максимумы'!D$4-'минимумы и максимумы'!D$2)*100)</f>
        <v>50</v>
      </c>
      <c r="G14" s="1">
        <f>IF('исходные данные'!G14&gt;'минимумы и максимумы'!E$4,100,('исходные данные'!G14-'минимумы и максимумы'!E$2)/('минимумы и максимумы'!E$4-'минимумы и максимумы'!E$2)*100)</f>
        <v>37.837837837837839</v>
      </c>
      <c r="H14" s="1">
        <f>IF('исходные данные'!H14&gt;'минимумы и максимумы'!F$4,100,('исходные данные'!H14-'минимумы и максимумы'!F$2)/('минимумы и максимумы'!F$4-'минимумы и максимумы'!F$2)*100)</f>
        <v>42.105263157894733</v>
      </c>
      <c r="I14" s="1">
        <f>IF('исходные данные'!I14&gt;'минимумы и максимумы'!G$4,100,('исходные данные'!I14-'минимумы и максимумы'!G$2)/('минимумы и максимумы'!G$4-'минимумы и максимумы'!G$2)*100)</f>
        <v>60.24096385542169</v>
      </c>
      <c r="J14" s="1">
        <f>IF('исходные данные'!J14&gt;'минимумы и максимумы'!H$4,100,('исходные данные'!J14-'минимумы и максимумы'!H$2)/('минимумы и максимумы'!H$4-'минимумы и максимумы'!H$2)*100)</f>
        <v>66.666666666666657</v>
      </c>
      <c r="K14" s="1">
        <f>IF('исходные данные'!K14&gt;'минимумы и максимумы'!I$4,100,('исходные данные'!K14-'минимумы и максимумы'!I$2)/('минимумы и максимумы'!I$4-'минимумы и максимумы'!I$2)*100)</f>
        <v>46.428571428571431</v>
      </c>
      <c r="L14" s="1">
        <f>IF('исходные данные'!L14&gt;'минимумы и максимумы'!J$4,100,('исходные данные'!L14-'минимумы и максимумы'!J$2)/('минимумы и максимумы'!J$4-'минимумы и максимумы'!J$2)*100)</f>
        <v>87.5</v>
      </c>
      <c r="M14" s="1">
        <f>IF('исходные данные'!M14&gt;'минимумы и максимумы'!K$4,100,('исходные данные'!M14-'минимумы и максимумы'!K$2)/('минимумы и максимумы'!K$4-'минимумы и максимумы'!K$2)*100)</f>
        <v>42.553191489361701</v>
      </c>
      <c r="N14" s="1">
        <f>IF('исходные данные'!N14&gt;'минимумы и максимумы'!L$4,100,('исходные данные'!N14-'минимумы и максимумы'!L$2)/('минимумы и максимумы'!L$4-'минимумы и максимумы'!L$2)*100)</f>
        <v>8.3445622703131956</v>
      </c>
      <c r="O14" s="1">
        <f>IF('исходные данные'!O14&gt;'минимумы и максимумы'!M$4,100,('исходные данные'!O14-'минимумы и максимумы'!M$2)/('минимумы и максимумы'!M$4-'минимумы и максимумы'!M$2)*100)</f>
        <v>66.666666666666657</v>
      </c>
      <c r="P14" s="1">
        <f>IF('исходные данные'!P14&gt;'минимумы и максимумы'!N$4,100,('исходные данные'!P14-'минимумы и максимумы'!N$2)/('минимумы и максимумы'!N$4-'минимумы и максимумы'!N$2)*100)</f>
        <v>0</v>
      </c>
      <c r="Q14" s="1">
        <f>IF('исходные данные'!Q14&gt;'минимумы и максимумы'!O$4,100,('исходные данные'!Q14-'минимумы и максимумы'!O$2)/('минимумы и максимумы'!O$4-'минимумы и максимумы'!O$2)*100)</f>
        <v>100</v>
      </c>
      <c r="R14" s="1">
        <f>IF('исходные данные'!R14&gt;'минимумы и максимумы'!P$4,100,('исходные данные'!R14-'минимумы и максимумы'!P$2)/('минимумы и максимумы'!P$4-'минимумы и максимумы'!P$2)*100)</f>
        <v>100</v>
      </c>
      <c r="S14" s="1">
        <f>IF('исходные данные'!S14&gt;'минимумы и максимумы'!Q$4,100,('исходные данные'!S14-'минимумы и максимумы'!Q$2)/('минимумы и максимумы'!Q$4-'минимумы и максимумы'!Q$2)*100)</f>
        <v>44.444444444444443</v>
      </c>
      <c r="T14" s="1">
        <f>IF('исходные данные'!T14&gt;'минимумы и максимумы'!R$4,100,('исходные данные'!T14-'минимумы и максимумы'!R$2)/('минимумы и максимумы'!R$4-'минимумы и максимумы'!R$2)*100)</f>
        <v>30.350978135788264</v>
      </c>
      <c r="U14" s="1">
        <f>IF('исходные данные'!U14&gt;'минимумы и максимумы'!S$4,100,('исходные данные'!U14-'минимумы и максимумы'!S$2)/('минимумы и максимумы'!S$4-'минимумы и максимумы'!S$2)*100)</f>
        <v>66.666666666666657</v>
      </c>
    </row>
    <row r="15" spans="1:21" x14ac:dyDescent="0.45">
      <c r="A15" s="4">
        <v>31</v>
      </c>
      <c r="B15" s="4">
        <v>0</v>
      </c>
      <c r="C15" s="4">
        <v>0</v>
      </c>
      <c r="D15" s="1">
        <f>IF('исходные данные'!D15&gt;'минимумы и максимумы'!B$4,100,('исходные данные'!D15-'минимумы и максимумы'!B$2)/('минимумы и максимумы'!B$4-'минимумы и максимумы'!B$2)*100)</f>
        <v>87.5</v>
      </c>
      <c r="E15" s="1">
        <f>IF('исходные данные'!E15&gt;'минимумы и максимумы'!C$4,100,('исходные данные'!E15-'минимумы и максимумы'!C$2)/('минимумы и максимумы'!C$4-'минимумы и максимумы'!C$2)*100)</f>
        <v>31.25</v>
      </c>
      <c r="F15" s="1">
        <f>IF('исходные данные'!F15&gt;'минимумы и максимумы'!D$4,100,('исходные данные'!F15-'минимумы и максимумы'!D$2)/('минимумы и максимумы'!D$4-'минимумы и максимумы'!D$2)*100)</f>
        <v>50</v>
      </c>
      <c r="G15" s="1">
        <f>IF('исходные данные'!G15&gt;'минимумы и максимумы'!E$4,100,('исходные данные'!G15-'минимумы и максимумы'!E$2)/('минимумы и максимумы'!E$4-'минимумы и максимумы'!E$2)*100)</f>
        <v>59.45945945945946</v>
      </c>
      <c r="H15" s="1">
        <f>IF('исходные данные'!H15&gt;'минимумы и максимумы'!F$4,100,('исходные данные'!H15-'минимумы и максимумы'!F$2)/('минимумы и максимумы'!F$4-'минимумы и максимумы'!F$2)*100)</f>
        <v>65.789473684210535</v>
      </c>
      <c r="I15" s="1">
        <f>IF('исходные данные'!I15&gt;'минимумы и максимумы'!G$4,100,('исходные данные'!I15-'минимумы и максимумы'!G$2)/('минимумы и максимумы'!G$4-'минимумы и максимумы'!G$2)*100)</f>
        <v>91.566265060240966</v>
      </c>
      <c r="J15" s="1">
        <f>IF('исходные данные'!J15&gt;'минимумы и максимумы'!H$4,100,('исходные данные'!J15-'минимумы и максимумы'!H$2)/('минимумы и максимумы'!H$4-'минимумы и максимумы'!H$2)*100)</f>
        <v>87.5</v>
      </c>
      <c r="K15" s="1">
        <f>IF('исходные данные'!K15&gt;'минимумы и максимумы'!I$4,100,('исходные данные'!K15-'минимумы и максимумы'!I$2)/('минимумы и максимумы'!I$4-'минимумы и максимумы'!I$2)*100)</f>
        <v>39.285714285714285</v>
      </c>
      <c r="L15" s="1">
        <f>IF('исходные данные'!L15&gt;'минимумы и максимумы'!J$4,100,('исходные данные'!L15-'минимумы и максимумы'!J$2)/('минимумы и максимумы'!J$4-'минимумы и максимумы'!J$2)*100)</f>
        <v>100</v>
      </c>
      <c r="M15" s="1">
        <f>IF('исходные данные'!M15&gt;'минимумы и максимумы'!K$4,100,('исходные данные'!M15-'минимумы и максимумы'!K$2)/('минимумы и максимумы'!K$4-'минимумы и максимумы'!K$2)*100)</f>
        <v>51.063829787234042</v>
      </c>
      <c r="N15" s="1">
        <f>IF('исходные данные'!N15&gt;'минимумы и максимумы'!L$4,100,('исходные данные'!N15-'минимумы и максимумы'!L$2)/('минимумы и максимумы'!L$4-'минимумы и максимумы'!L$2)*100)</f>
        <v>7.942711415972413</v>
      </c>
      <c r="O15" s="1">
        <f>IF('исходные данные'!O15&gt;'минимумы и максимумы'!M$4,100,('исходные данные'!O15-'минимумы и максимумы'!M$2)/('минимумы и максимумы'!M$4-'минимумы и максимумы'!M$2)*100)</f>
        <v>33.333333333333329</v>
      </c>
      <c r="P15" s="1">
        <f>IF('исходные данные'!P15&gt;'минимумы и максимумы'!N$4,100,('исходные данные'!P15-'минимумы и максимумы'!N$2)/('минимумы и максимумы'!N$4-'минимумы и максимумы'!N$2)*100)</f>
        <v>100</v>
      </c>
      <c r="Q15" s="1">
        <f>IF('исходные данные'!Q15&gt;'минимумы и максимумы'!O$4,100,('исходные данные'!Q15-'минимумы и максимумы'!O$2)/('минимумы и максимумы'!O$4-'минимумы и максимумы'!O$2)*100)</f>
        <v>100</v>
      </c>
      <c r="R15" s="1">
        <f>IF('исходные данные'!R15&gt;'минимумы и максимумы'!P$4,100,('исходные данные'!R15-'минимумы и максимумы'!P$2)/('минимумы и максимумы'!P$4-'минимумы и максимумы'!P$2)*100)</f>
        <v>100</v>
      </c>
      <c r="S15" s="1">
        <f>IF('исходные данные'!S15&gt;'минимумы и максимумы'!Q$4,100,('исходные данные'!S15-'минимумы и максимумы'!Q$2)/('минимумы и максимумы'!Q$4-'минимумы и максимумы'!Q$2)*100)</f>
        <v>22.222222222222221</v>
      </c>
      <c r="T15" s="1">
        <f>IF('исходные данные'!T15&gt;'минимумы и максимумы'!R$4,100,('исходные данные'!T15-'минимумы и максимумы'!R$2)/('минимумы и максимумы'!R$4-'минимумы и максимумы'!R$2)*100)</f>
        <v>7.1921749136939006</v>
      </c>
      <c r="U15" s="1">
        <f>IF('исходные данные'!U15&gt;'минимумы и максимумы'!S$4,100,('исходные данные'!U15-'минимумы и максимумы'!S$2)/('минимумы и максимумы'!S$4-'минимумы и максимумы'!S$2)*100)</f>
        <v>0</v>
      </c>
    </row>
    <row r="16" spans="1:21" x14ac:dyDescent="0.45">
      <c r="A16" s="4">
        <v>32</v>
      </c>
      <c r="B16" s="4">
        <v>0</v>
      </c>
      <c r="C16" s="4">
        <v>0</v>
      </c>
      <c r="D16" s="1">
        <f>IF('исходные данные'!D16&gt;'минимумы и максимумы'!B$4,100,('исходные данные'!D16-'минимумы и максимумы'!B$2)/('минимумы и максимумы'!B$4-'минимумы и максимумы'!B$2)*100)</f>
        <v>87.5</v>
      </c>
      <c r="E16" s="1">
        <f>IF('исходные данные'!E16&gt;'минимумы и максимумы'!C$4,100,('исходные данные'!E16-'минимумы и максимумы'!C$2)/('минимумы и максимумы'!C$4-'минимумы и максимумы'!C$2)*100)</f>
        <v>18.75</v>
      </c>
      <c r="F16" s="1">
        <f>IF('исходные данные'!F16&gt;'минимумы и максимумы'!D$4,100,('исходные данные'!F16-'минимумы и максимумы'!D$2)/('минимумы и максимумы'!D$4-'минимумы и максимумы'!D$2)*100)</f>
        <v>50</v>
      </c>
      <c r="G16" s="1">
        <f>IF('исходные данные'!G16&gt;'минимумы и максимумы'!E$4,100,('исходные данные'!G16-'минимумы и максимумы'!E$2)/('минимумы и максимумы'!E$4-'минимумы и максимумы'!E$2)*100)</f>
        <v>48.648648648648653</v>
      </c>
      <c r="H16" s="1">
        <f>IF('исходные данные'!H16&gt;'минимумы и максимумы'!F$4,100,('исходные данные'!H16-'минимумы и максимумы'!F$2)/('минимумы и максимумы'!F$4-'минимумы и максимумы'!F$2)*100)</f>
        <v>47.368421052631575</v>
      </c>
      <c r="I16" s="1">
        <f>IF('исходные данные'!I16&gt;'минимумы и максимумы'!G$4,100,('исходные данные'!I16-'минимумы и максимумы'!G$2)/('минимумы и максимумы'!G$4-'минимумы и максимумы'!G$2)*100)</f>
        <v>84.337349397590373</v>
      </c>
      <c r="J16" s="1">
        <f>IF('исходные данные'!J16&gt;'минимумы и максимумы'!H$4,100,('исходные данные'!J16-'минимумы и максимумы'!H$2)/('минимумы и максимумы'!H$4-'минимумы и максимумы'!H$2)*100)</f>
        <v>87.5</v>
      </c>
      <c r="K16" s="1">
        <f>IF('исходные данные'!K16&gt;'минимумы и максимумы'!I$4,100,('исходные данные'!K16-'минимумы и максимумы'!I$2)/('минимумы и максимумы'!I$4-'минимумы и максимумы'!I$2)*100)</f>
        <v>21.428571428571427</v>
      </c>
      <c r="L16" s="1">
        <f>IF('исходные данные'!L16&gt;'минимумы и максимумы'!J$4,100,('исходные данные'!L16-'минимумы и максимумы'!J$2)/('минимумы и максимумы'!J$4-'минимумы и максимумы'!J$2)*100)</f>
        <v>87.5</v>
      </c>
      <c r="M16" s="1">
        <f>IF('исходные данные'!M16&gt;'минимумы и максимумы'!K$4,100,('исходные данные'!M16-'минимумы и максимумы'!K$2)/('минимумы и максимумы'!K$4-'минимумы и максимумы'!K$2)*100)</f>
        <v>40.425531914893611</v>
      </c>
      <c r="N16" s="1">
        <f>IF('исходные данные'!N16&gt;'минимумы и максимумы'!L$4,100,('исходные данные'!N16-'минимумы и максимумы'!L$2)/('минимумы и максимумы'!L$4-'минимумы и максимумы'!L$2)*100)</f>
        <v>7.2202926593872716</v>
      </c>
      <c r="O16" s="1">
        <f>IF('исходные данные'!O16&gt;'минимумы и максимумы'!M$4,100,('исходные данные'!O16-'минимумы и максимумы'!M$2)/('минимумы и максимумы'!M$4-'минимумы и максимумы'!M$2)*100)</f>
        <v>66.666666666666657</v>
      </c>
      <c r="P16" s="1">
        <f>IF('исходные данные'!P16&gt;'минимумы и максимумы'!N$4,100,('исходные данные'!P16-'минимумы и максимумы'!N$2)/('минимумы и максимумы'!N$4-'минимумы и максимумы'!N$2)*100)</f>
        <v>0</v>
      </c>
      <c r="Q16" s="1">
        <f>IF('исходные данные'!Q16&gt;'минимумы и максимумы'!O$4,100,('исходные данные'!Q16-'минимумы и максимумы'!O$2)/('минимумы и максимумы'!O$4-'минимумы и максимумы'!O$2)*100)</f>
        <v>100</v>
      </c>
      <c r="R16" s="1">
        <f>IF('исходные данные'!R16&gt;'минимумы и максимумы'!P$4,100,('исходные данные'!R16-'минимумы и максимумы'!P$2)/('минимумы и максимумы'!P$4-'минимумы и максимумы'!P$2)*100)</f>
        <v>75</v>
      </c>
      <c r="S16" s="1">
        <f>IF('исходные данные'!S16&gt;'минимумы и максимумы'!Q$4,100,('исходные данные'!S16-'минимумы и максимумы'!Q$2)/('минимумы и максимумы'!Q$4-'минимумы и максимумы'!Q$2)*100)</f>
        <v>22.222222222222221</v>
      </c>
      <c r="T16" s="1">
        <f>IF('исходные данные'!T16&gt;'минимумы и максимумы'!R$4,100,('исходные данные'!T16-'минимумы и максимумы'!R$2)/('минимумы и максимумы'!R$4-'минимумы и максимумы'!R$2)*100)</f>
        <v>6.9332566168009198</v>
      </c>
      <c r="U16" s="1">
        <f>IF('исходные данные'!U16&gt;'минимумы и максимумы'!S$4,100,('исходные данные'!U16-'минимумы и максимумы'!S$2)/('минимумы и максимумы'!S$4-'минимумы и максимумы'!S$2)*100)</f>
        <v>0</v>
      </c>
    </row>
    <row r="17" spans="1:21" x14ac:dyDescent="0.45">
      <c r="A17" s="4">
        <v>33</v>
      </c>
      <c r="B17" s="4">
        <v>0</v>
      </c>
      <c r="C17" s="4">
        <v>0</v>
      </c>
      <c r="D17" s="1">
        <f>IF('исходные данные'!D17&gt;'минимумы и максимумы'!B$4,100,('исходные данные'!D17-'минимумы и максимумы'!B$2)/('минимумы и максимумы'!B$4-'минимумы и максимумы'!B$2)*100)</f>
        <v>62.5</v>
      </c>
      <c r="E17" s="1">
        <f>IF('исходные данные'!E17&gt;'минимумы и максимумы'!C$4,100,('исходные данные'!E17-'минимумы и максимумы'!C$2)/('минимумы и максимумы'!C$4-'минимумы и максимумы'!C$2)*100)</f>
        <v>18.75</v>
      </c>
      <c r="F17" s="1">
        <f>IF('исходные данные'!F17&gt;'минимумы и максимумы'!D$4,100,('исходные данные'!F17-'минимумы и максимумы'!D$2)/('минимумы и максимумы'!D$4-'минимумы и максимумы'!D$2)*100)</f>
        <v>25</v>
      </c>
      <c r="G17" s="1">
        <f>IF('исходные данные'!G17&gt;'минимумы и максимумы'!E$4,100,('исходные данные'!G17-'минимумы и максимумы'!E$2)/('минимумы и максимумы'!E$4-'минимумы и максимумы'!E$2)*100)</f>
        <v>32.432432432432435</v>
      </c>
      <c r="H17" s="1">
        <f>IF('исходные данные'!H17&gt;'минимумы и максимумы'!F$4,100,('исходные данные'!H17-'минимумы и максимумы'!F$2)/('минимумы и максимумы'!F$4-'минимумы и максимумы'!F$2)*100)</f>
        <v>39.473684210526315</v>
      </c>
      <c r="I17" s="1">
        <f>IF('исходные данные'!I17&gt;'минимумы и максимумы'!G$4,100,('исходные данные'!I17-'минимумы и максимумы'!G$2)/('минимумы и максимумы'!G$4-'минимумы и максимумы'!G$2)*100)</f>
        <v>61.445783132530117</v>
      </c>
      <c r="J17" s="1">
        <f>IF('исходные данные'!J17&gt;'минимумы и максимумы'!H$4,100,('исходные данные'!J17-'минимумы и максимумы'!H$2)/('минимумы и максимумы'!H$4-'минимумы и максимумы'!H$2)*100)</f>
        <v>79.166666666666657</v>
      </c>
      <c r="K17" s="1">
        <f>IF('исходные данные'!K17&gt;'минимумы и максимумы'!I$4,100,('исходные данные'!K17-'минимумы и максимумы'!I$2)/('минимумы и максимумы'!I$4-'минимумы и максимумы'!I$2)*100)</f>
        <v>21.428571428571427</v>
      </c>
      <c r="L17" s="1">
        <f>IF('исходные данные'!L17&gt;'минимумы и максимумы'!J$4,100,('исходные данные'!L17-'минимумы и максимумы'!J$2)/('минимумы и максимумы'!J$4-'минимумы и максимумы'!J$2)*100)</f>
        <v>50</v>
      </c>
      <c r="M17" s="1">
        <f>IF('исходные данные'!M17&gt;'минимумы и максимумы'!K$4,100,('исходные данные'!M17-'минимумы и максимумы'!K$2)/('минимумы и максимумы'!K$4-'минимумы и максимумы'!K$2)*100)</f>
        <v>36.170212765957451</v>
      </c>
      <c r="N17" s="1">
        <f>IF('исходные данные'!N17&gt;'минимумы и максимумы'!L$4,100,('исходные данные'!N17-'минимумы и максимумы'!L$2)/('минимумы и максимумы'!L$4-'минимумы и максимумы'!L$2)*100)</f>
        <v>6.9545931878381637</v>
      </c>
      <c r="O17" s="1">
        <f>IF('исходные данные'!O17&gt;'минимумы и максимумы'!M$4,100,('исходные данные'!O17-'минимумы и максимумы'!M$2)/('минимумы и максимумы'!M$4-'минимумы и максимумы'!M$2)*100)</f>
        <v>66.666666666666657</v>
      </c>
      <c r="P17" s="1">
        <f>IF('исходные данные'!P17&gt;'минимумы и максимумы'!N$4,100,('исходные данные'!P17-'минимумы и максимумы'!N$2)/('минимумы и максимумы'!N$4-'минимумы и максимумы'!N$2)*100)</f>
        <v>0</v>
      </c>
      <c r="Q17" s="1">
        <f>IF('исходные данные'!Q17&gt;'минимумы и максимумы'!O$4,100,('исходные данные'!Q17-'минимумы и максимумы'!O$2)/('минимумы и максимумы'!O$4-'минимумы и максимумы'!O$2)*100)</f>
        <v>100</v>
      </c>
      <c r="R17" s="1">
        <f>IF('исходные данные'!R17&gt;'минимумы и максимумы'!P$4,100,('исходные данные'!R17-'минимумы и максимумы'!P$2)/('минимумы и максимумы'!P$4-'минимумы и максимумы'!P$2)*100)</f>
        <v>75</v>
      </c>
      <c r="S17" s="1">
        <f>IF('исходные данные'!S17&gt;'минимумы и максимумы'!Q$4,100,('исходные данные'!S17-'минимумы и максимумы'!Q$2)/('минимумы и максимумы'!Q$4-'минимумы и максимумы'!Q$2)*100)</f>
        <v>22.222222222222221</v>
      </c>
      <c r="T17" s="1">
        <f>IF('исходные данные'!T17&gt;'минимумы и максимумы'!R$4,100,('исходные данные'!T17-'минимумы и максимумы'!R$2)/('минимумы и максимумы'!R$4-'минимумы и максимумы'!R$2)*100)</f>
        <v>4.6892980437284235</v>
      </c>
      <c r="U17" s="1">
        <f>IF('исходные данные'!U17&gt;'минимумы и максимумы'!S$4,100,('исходные данные'!U17-'минимумы и максимумы'!S$2)/('минимумы и максимумы'!S$4-'минимумы и максимумы'!S$2)*100)</f>
        <v>0</v>
      </c>
    </row>
    <row r="18" spans="1:21" x14ac:dyDescent="0.45">
      <c r="A18" s="4">
        <v>34</v>
      </c>
      <c r="B18" s="4">
        <v>1</v>
      </c>
      <c r="C18" s="4">
        <v>0</v>
      </c>
      <c r="D18" s="1">
        <f>IF('исходные данные'!D18&gt;'минимумы и максимумы'!B$4,100,('исходные данные'!D18-'минимумы и максимумы'!B$2)/('минимумы и максимумы'!B$4-'минимумы и максимумы'!B$2)*100)</f>
        <v>0</v>
      </c>
      <c r="E18" s="1">
        <f>IF('исходные данные'!E18&gt;'минимумы и максимумы'!C$4,100,('исходные данные'!E18-'минимумы и максимумы'!C$2)/('минимумы и максимумы'!C$4-'минимумы и максимумы'!C$2)*100)</f>
        <v>31.25</v>
      </c>
      <c r="F18" s="1">
        <f>IF('исходные данные'!F18&gt;'минимумы и максимумы'!D$4,100,('исходные данные'!F18-'минимумы и максимумы'!D$2)/('минимумы и максимумы'!D$4-'минимумы и максимумы'!D$2)*100)</f>
        <v>25</v>
      </c>
      <c r="G18" s="1">
        <f>IF('исходные данные'!G18&gt;'минимумы и максимумы'!E$4,100,('исходные данные'!G18-'минимумы и максимумы'!E$2)/('минимумы и максимумы'!E$4-'минимумы и максимумы'!E$2)*100)</f>
        <v>27.027027027027028</v>
      </c>
      <c r="H18" s="1">
        <f>IF('исходные данные'!H18&gt;'минимумы и максимумы'!F$4,100,('исходные данные'!H18-'минимумы и максимумы'!F$2)/('минимумы и максимумы'!F$4-'минимумы и максимумы'!F$2)*100)</f>
        <v>28.947368421052634</v>
      </c>
      <c r="I18" s="1">
        <f>IF('исходные данные'!I18&gt;'минимумы и максимумы'!G$4,100,('исходные данные'!I18-'минимумы и максимумы'!G$2)/('минимумы и максимумы'!G$4-'минимумы и максимумы'!G$2)*100)</f>
        <v>31.325301204819279</v>
      </c>
      <c r="J18" s="1">
        <f>IF('исходные данные'!J18&gt;'минимумы и максимумы'!H$4,100,('исходные данные'!J18-'минимумы и максимумы'!H$2)/('минимумы и максимумы'!H$4-'минимумы и максимумы'!H$2)*100)</f>
        <v>16.666666666666664</v>
      </c>
      <c r="K18" s="1">
        <f>IF('исходные данные'!K18&gt;'минимумы и максимумы'!I$4,100,('исходные данные'!K18-'минимумы и максимумы'!I$2)/('минимумы и максимумы'!I$4-'минимумы и максимумы'!I$2)*100)</f>
        <v>64.285714285714292</v>
      </c>
      <c r="L18" s="1">
        <f>IF('исходные данные'!L18&gt;'минимумы и максимумы'!J$4,100,('исходные данные'!L18-'минимумы и максимумы'!J$2)/('минимумы и максимумы'!J$4-'минимумы и максимумы'!J$2)*100)</f>
        <v>50</v>
      </c>
      <c r="M18" s="1">
        <f>IF('исходные данные'!M18&gt;'минимумы и максимумы'!K$4,100,('исходные данные'!M18-'минимумы и максимумы'!K$2)/('минимумы и максимумы'!K$4-'минимумы и максимумы'!K$2)*100)</f>
        <v>14.893617021276595</v>
      </c>
      <c r="N18" s="1">
        <f>IF('исходные данные'!N18&gt;'минимумы и максимумы'!L$4,100,('исходные данные'!N18-'минимумы и максимумы'!L$2)/('минимумы и максимумы'!L$4-'минимумы и максимумы'!L$2)*100)</f>
        <v>9.4422754282003449</v>
      </c>
      <c r="O18" s="1">
        <f>IF('исходные данные'!O18&gt;'минимумы и максимумы'!M$4,100,('исходные данные'!O18-'минимумы и максимумы'!M$2)/('минимумы и максимумы'!M$4-'минимумы и максимумы'!M$2)*100)</f>
        <v>66.666666666666657</v>
      </c>
      <c r="P18" s="1">
        <f>IF('исходные данные'!P18&gt;'минимумы и максимумы'!N$4,100,('исходные данные'!P18-'минимумы и максимумы'!N$2)/('минимумы и максимумы'!N$4-'минимумы и максимумы'!N$2)*100)</f>
        <v>100</v>
      </c>
      <c r="Q18" s="1">
        <f>IF('исходные данные'!Q18&gt;'минимумы и максимумы'!O$4,100,('исходные данные'!Q18-'минимумы и максимумы'!O$2)/('минимумы и максимумы'!O$4-'минимумы и максимумы'!O$2)*100)</f>
        <v>100</v>
      </c>
      <c r="R18" s="1">
        <f>IF('исходные данные'!R18&gt;'минимумы и максимумы'!P$4,100,('исходные данные'!R18-'минимумы и максимумы'!P$2)/('минимумы и максимумы'!P$4-'минимумы и максимумы'!P$2)*100)</f>
        <v>75</v>
      </c>
      <c r="S18" s="1">
        <f>IF('исходные данные'!S18&gt;'минимумы и максимумы'!Q$4,100,('исходные данные'!S18-'минимумы и максимумы'!Q$2)/('минимумы и максимумы'!Q$4-'минимумы и максимумы'!Q$2)*100)</f>
        <v>33.333333333333329</v>
      </c>
      <c r="T18" s="1">
        <f>IF('исходные данные'!T18&gt;'минимумы и максимумы'!R$4,100,('исходные данные'!T18-'минимумы и максимумы'!R$2)/('минимумы и максимумы'!R$4-'минимумы и максимумы'!R$2)*100)</f>
        <v>18.613348676639816</v>
      </c>
      <c r="U18" s="1">
        <f>IF('исходные данные'!U18&gt;'минимумы и максимумы'!S$4,100,('исходные данные'!U18-'минимумы и максимумы'!S$2)/('минимумы и максимумы'!S$4-'минимумы и максимумы'!S$2)*100)</f>
        <v>66.666666666666657</v>
      </c>
    </row>
    <row r="19" spans="1:21" x14ac:dyDescent="0.45">
      <c r="A19" s="4">
        <v>35</v>
      </c>
      <c r="B19" s="4">
        <v>0</v>
      </c>
      <c r="C19" s="4">
        <v>0</v>
      </c>
      <c r="D19" s="1">
        <f>IF('исходные данные'!D19&gt;'минимумы и максимумы'!B$4,100,('исходные данные'!D19-'минимумы и максимумы'!B$2)/('минимумы и максимумы'!B$4-'минимумы и максимумы'!B$2)*100)</f>
        <v>0</v>
      </c>
      <c r="E19" s="1">
        <f>IF('исходные данные'!E19&gt;'минимумы и максимумы'!C$4,100,('исходные данные'!E19-'минимумы и максимумы'!C$2)/('минимумы и максимумы'!C$4-'минимумы и максимумы'!C$2)*100)</f>
        <v>31.25</v>
      </c>
      <c r="F19" s="1">
        <f>IF('исходные данные'!F19&gt;'минимумы и максимумы'!D$4,100,('исходные данные'!F19-'минимумы и максимумы'!D$2)/('минимумы и максимумы'!D$4-'минимумы и максимумы'!D$2)*100)</f>
        <v>25</v>
      </c>
      <c r="G19" s="1">
        <f>IF('исходные данные'!G19&gt;'минимумы и максимумы'!E$4,100,('исходные данные'!G19-'минимумы и максимумы'!E$2)/('минимумы и максимумы'!E$4-'минимумы и максимумы'!E$2)*100)</f>
        <v>27.027027027027028</v>
      </c>
      <c r="H19" s="1">
        <f>IF('исходные данные'!H19&gt;'минимумы и максимумы'!F$4,100,('исходные данные'!H19-'минимумы и максимумы'!F$2)/('минимумы и максимумы'!F$4-'минимумы и максимумы'!F$2)*100)</f>
        <v>28.947368421052634</v>
      </c>
      <c r="I19" s="1">
        <f>IF('исходные данные'!I19&gt;'минимумы и максимумы'!G$4,100,('исходные данные'!I19-'минимумы и максимумы'!G$2)/('минимумы и максимумы'!G$4-'минимумы и максимумы'!G$2)*100)</f>
        <v>31.325301204819279</v>
      </c>
      <c r="J19" s="1">
        <f>IF('исходные данные'!J19&gt;'минимумы и максимумы'!H$4,100,('исходные данные'!J19-'минимумы и максимумы'!H$2)/('минимумы и максимумы'!H$4-'минимумы и максимумы'!H$2)*100)</f>
        <v>16.666666666666664</v>
      </c>
      <c r="K19" s="1">
        <f>IF('исходные данные'!K19&gt;'минимумы и максимумы'!I$4,100,('исходные данные'!K19-'минимумы и максимумы'!I$2)/('минимумы и максимумы'!I$4-'минимумы и максимумы'!I$2)*100)</f>
        <v>64.285714285714292</v>
      </c>
      <c r="L19" s="1">
        <f>IF('исходные данные'!L19&gt;'минимумы и максимумы'!J$4,100,('исходные данные'!L19-'минимумы и максимумы'!J$2)/('минимумы и максимумы'!J$4-'минимумы и максимумы'!J$2)*100)</f>
        <v>50</v>
      </c>
      <c r="M19" s="1">
        <f>IF('исходные данные'!M19&gt;'минимумы и максимумы'!K$4,100,('исходные данные'!M19-'минимумы и максимумы'!K$2)/('минимумы и максимумы'!K$4-'минимумы и максимумы'!K$2)*100)</f>
        <v>14.893617021276595</v>
      </c>
      <c r="N19" s="1">
        <f>IF('исходные данные'!N19&gt;'минимумы и максимумы'!L$4,100,('исходные данные'!N19-'минимумы и максимумы'!L$2)/('минимумы и максимумы'!L$4-'минимумы и максимумы'!L$2)*100)</f>
        <v>9.6643059017511295</v>
      </c>
      <c r="O19" s="1">
        <f>IF('исходные данные'!O19&gt;'минимумы и максимумы'!M$4,100,('исходные данные'!O19-'минимумы и максимумы'!M$2)/('минимумы и максимумы'!M$4-'минимумы и максимумы'!M$2)*100)</f>
        <v>66.666666666666657</v>
      </c>
      <c r="P19" s="1">
        <f>IF('исходные данные'!P19&gt;'минимумы и максимумы'!N$4,100,('исходные данные'!P19-'минимумы и максимумы'!N$2)/('минимумы и максимумы'!N$4-'минимумы и максимумы'!N$2)*100)</f>
        <v>100</v>
      </c>
      <c r="Q19" s="1">
        <f>IF('исходные данные'!Q19&gt;'минимумы и максимумы'!O$4,100,('исходные данные'!Q19-'минимумы и максимумы'!O$2)/('минимумы и максимумы'!O$4-'минимумы и максимумы'!O$2)*100)</f>
        <v>100</v>
      </c>
      <c r="R19" s="1">
        <f>IF('исходные данные'!R19&gt;'минимумы и максимумы'!P$4,100,('исходные данные'!R19-'минимумы и максимумы'!P$2)/('минимумы и максимумы'!P$4-'минимумы и максимумы'!P$2)*100)</f>
        <v>75</v>
      </c>
      <c r="S19" s="1">
        <f>IF('исходные данные'!S19&gt;'минимумы и максимумы'!Q$4,100,('исходные данные'!S19-'минимумы и максимумы'!Q$2)/('минимумы и максимумы'!Q$4-'минимумы и максимумы'!Q$2)*100)</f>
        <v>22.222222222222221</v>
      </c>
      <c r="T19" s="1">
        <f>IF('исходные данные'!T19&gt;'минимумы и максимумы'!R$4,100,('исходные данные'!T19-'минимумы и максимумы'!R$2)/('минимумы и максимумы'!R$4-'минимумы и максимумы'!R$2)*100)</f>
        <v>4.0851553509781358</v>
      </c>
      <c r="U19" s="1">
        <f>IF('исходные данные'!U19&gt;'минимумы и максимумы'!S$4,100,('исходные данные'!U19-'минимумы и максимумы'!S$2)/('минимумы и максимумы'!S$4-'минимумы и максимумы'!S$2)*100)</f>
        <v>0</v>
      </c>
    </row>
    <row r="20" spans="1:21" x14ac:dyDescent="0.45">
      <c r="A20" s="4">
        <v>36</v>
      </c>
      <c r="B20" s="4">
        <v>0</v>
      </c>
      <c r="C20" s="4">
        <v>0</v>
      </c>
      <c r="D20" s="1">
        <f>IF('исходные данные'!D20&gt;'минимумы и максимумы'!B$4,100,('исходные данные'!D20-'минимумы и максимумы'!B$2)/('минимумы и максимумы'!B$4-'минимумы и максимумы'!B$2)*100)</f>
        <v>0</v>
      </c>
      <c r="E20" s="1">
        <f>IF('исходные данные'!E20&gt;'минимумы и максимумы'!C$4,100,('исходные данные'!E20-'минимумы и максимумы'!C$2)/('минимумы и максимумы'!C$4-'минимумы и максимумы'!C$2)*100)</f>
        <v>25</v>
      </c>
      <c r="F20" s="1">
        <f>IF('исходные данные'!F20&gt;'минимумы и максимумы'!D$4,100,('исходные данные'!F20-'минимумы и максимумы'!D$2)/('минимумы и максимумы'!D$4-'минимумы и максимумы'!D$2)*100)</f>
        <v>25</v>
      </c>
      <c r="G20" s="1">
        <f>IF('исходные данные'!G20&gt;'минимумы и максимумы'!E$4,100,('исходные данные'!G20-'минимумы и максимумы'!E$2)/('минимумы и максимумы'!E$4-'минимумы и максимумы'!E$2)*100)</f>
        <v>37.837837837837839</v>
      </c>
      <c r="H20" s="1">
        <f>IF('исходные данные'!H20&gt;'минимумы и максимумы'!F$4,100,('исходные данные'!H20-'минимумы и максимумы'!F$2)/('минимумы и максимумы'!F$4-'минимумы и максимумы'!F$2)*100)</f>
        <v>36.84210526315789</v>
      </c>
      <c r="I20" s="1">
        <f>IF('исходные данные'!I20&gt;'минимумы и максимумы'!G$4,100,('исходные данные'!I20-'минимумы и максимумы'!G$2)/('минимумы и максимумы'!G$4-'минимумы и максимумы'!G$2)*100)</f>
        <v>26.506024096385545</v>
      </c>
      <c r="J20" s="1">
        <f>IF('исходные данные'!J20&gt;'минимумы и максимумы'!H$4,100,('исходные данные'!J20-'минимумы и максимумы'!H$2)/('минимумы и максимумы'!H$4-'минимумы и максимумы'!H$2)*100)</f>
        <v>8.3333333333333321</v>
      </c>
      <c r="K20" s="1">
        <f>IF('исходные данные'!K20&gt;'минимумы и максимумы'!I$4,100,('исходные данные'!K20-'минимумы и максимумы'!I$2)/('минимумы и максимумы'!I$4-'минимумы и максимумы'!I$2)*100)</f>
        <v>64.285714285714292</v>
      </c>
      <c r="L20" s="1">
        <f>IF('исходные данные'!L20&gt;'минимумы и максимумы'!J$4,100,('исходные данные'!L20-'минимумы и максимумы'!J$2)/('минимумы и максимумы'!J$4-'минимумы и максимумы'!J$2)*100)</f>
        <v>50</v>
      </c>
      <c r="M20" s="1">
        <f>IF('исходные данные'!M20&gt;'минимумы и максимумы'!K$4,100,('исходные данные'!M20-'минимумы и максимумы'!K$2)/('минимумы и максимумы'!K$4-'минимумы и максимумы'!K$2)*100)</f>
        <v>12.76595744680851</v>
      </c>
      <c r="N20" s="1">
        <f>IF('исходные данные'!N20&gt;'минимумы и максимумы'!L$4,100,('исходные данные'!N20-'минимумы и максимумы'!L$2)/('минимумы и максимумы'!L$4-'минимумы и максимумы'!L$2)*100)</f>
        <v>9.6643059017511295</v>
      </c>
      <c r="O20" s="1">
        <f>IF('исходные данные'!O20&gt;'минимумы и максимумы'!M$4,100,('исходные данные'!O20-'минимумы и максимумы'!M$2)/('минимумы и максимумы'!M$4-'минимумы и максимумы'!M$2)*100)</f>
        <v>66.666666666666657</v>
      </c>
      <c r="P20" s="1">
        <f>IF('исходные данные'!P20&gt;'минимумы и максимумы'!N$4,100,('исходные данные'!P20-'минимумы и максимумы'!N$2)/('минимумы и максимумы'!N$4-'минимумы и максимумы'!N$2)*100)</f>
        <v>0</v>
      </c>
      <c r="Q20" s="1">
        <f>IF('исходные данные'!Q20&gt;'минимумы и максимумы'!O$4,100,('исходные данные'!Q20-'минимумы и максимумы'!O$2)/('минимумы и максимумы'!O$4-'минимумы и максимумы'!O$2)*100)</f>
        <v>100</v>
      </c>
      <c r="R20" s="1">
        <f>IF('исходные данные'!R20&gt;'минимумы и максимумы'!P$4,100,('исходные данные'!R20-'минимумы и максимумы'!P$2)/('минимумы и максимумы'!P$4-'минимумы и максимумы'!P$2)*100)</f>
        <v>75</v>
      </c>
      <c r="S20" s="1">
        <f>IF('исходные данные'!S20&gt;'минимумы и максимумы'!Q$4,100,('исходные данные'!S20-'минимумы и максимумы'!Q$2)/('минимумы и максимумы'!Q$4-'минимумы и максимумы'!Q$2)*100)</f>
        <v>55.555555555555557</v>
      </c>
      <c r="T20" s="1">
        <f>IF('исходные данные'!T20&gt;'минимумы и максимумы'!R$4,100,('исходные данные'!T20-'минимумы и максимумы'!R$2)/('минимумы и максимумы'!R$4-'минимумы и максимумы'!R$2)*100)</f>
        <v>12.715765247410818</v>
      </c>
      <c r="U20" s="1">
        <f>IF('исходные данные'!U20&gt;'минимумы и максимумы'!S$4,100,('исходные данные'!U20-'минимумы и максимумы'!S$2)/('минимумы и максимумы'!S$4-'минимумы и максимумы'!S$2)*100)</f>
        <v>0</v>
      </c>
    </row>
    <row r="21" spans="1:21" x14ac:dyDescent="0.45">
      <c r="A21" s="4">
        <v>42</v>
      </c>
      <c r="B21" s="4">
        <v>0</v>
      </c>
      <c r="C21" s="4">
        <v>0</v>
      </c>
      <c r="D21" s="1">
        <f>IF('исходные данные'!D21&gt;'минимумы и максимумы'!B$4,100,('исходные данные'!D21-'минимумы и максимумы'!B$2)/('минимумы и максимумы'!B$4-'минимумы и максимумы'!B$2)*100)</f>
        <v>25</v>
      </c>
      <c r="E21" s="1">
        <f>IF('исходные данные'!E21&gt;'минимумы и максимумы'!C$4,100,('исходные данные'!E21-'минимумы и максимумы'!C$2)/('минимумы и максимумы'!C$4-'минимумы и максимумы'!C$2)*100)</f>
        <v>18.75</v>
      </c>
      <c r="F21" s="1">
        <f>IF('исходные данные'!F21&gt;'минимумы и максимумы'!D$4,100,('исходные данные'!F21-'минимумы и максимумы'!D$2)/('минимумы и максимумы'!D$4-'минимумы и максимумы'!D$2)*100)</f>
        <v>25</v>
      </c>
      <c r="G21" s="1">
        <f>IF('исходные данные'!G21&gt;'минимумы и максимумы'!E$4,100,('исходные данные'!G21-'минимумы и максимумы'!E$2)/('минимумы и максимумы'!E$4-'минимумы и максимумы'!E$2)*100)</f>
        <v>37.837837837837839</v>
      </c>
      <c r="H21" s="1">
        <f>IF('исходные данные'!H21&gt;'минимумы и максимумы'!F$4,100,('исходные данные'!H21-'минимумы и максимумы'!F$2)/('минимумы и максимумы'!F$4-'минимумы и максимумы'!F$2)*100)</f>
        <v>28.947368421052634</v>
      </c>
      <c r="I21" s="1">
        <f>IF('исходные данные'!I21&gt;'минимумы и максимумы'!G$4,100,('исходные данные'!I21-'минимумы и максимумы'!G$2)/('минимумы и максимумы'!G$4-'минимумы и максимумы'!G$2)*100)</f>
        <v>37.349397590361441</v>
      </c>
      <c r="J21" s="1">
        <f>IF('исходные данные'!J21&gt;'минимумы и максимумы'!H$4,100,('исходные данные'!J21-'минимумы и максимумы'!H$2)/('минимумы и максимумы'!H$4-'минимумы и максимумы'!H$2)*100)</f>
        <v>41.666666666666671</v>
      </c>
      <c r="K21" s="1">
        <f>IF('исходные данные'!K21&gt;'минимумы и максимумы'!I$4,100,('исходные данные'!K21-'минимумы и максимумы'!I$2)/('минимумы и максимумы'!I$4-'минимумы и максимумы'!I$2)*100)</f>
        <v>28.571428571428569</v>
      </c>
      <c r="L21" s="1">
        <f>IF('исходные данные'!L21&gt;'минимумы и максимумы'!J$4,100,('исходные данные'!L21-'минимумы и максимумы'!J$2)/('минимумы и максимумы'!J$4-'минимумы и максимумы'!J$2)*100)</f>
        <v>87.5</v>
      </c>
      <c r="M21" s="1">
        <f>IF('исходные данные'!M21&gt;'минимумы и максимумы'!K$4,100,('исходные данные'!M21-'минимумы и максимумы'!K$2)/('минимумы и максимумы'!K$4-'минимумы и максимумы'!K$2)*100)</f>
        <v>19.148936170212767</v>
      </c>
      <c r="N21" s="1">
        <f>IF('исходные данные'!N21&gt;'минимумы и максимумы'!L$4,100,('исходные данные'!N21-'минимумы и максимумы'!L$2)/('минимумы и максимумы'!L$4-'минимумы и максимумы'!L$2)*100)</f>
        <v>10.420688696101463</v>
      </c>
      <c r="O21" s="1">
        <f>IF('исходные данные'!O21&gt;'минимумы и максимумы'!M$4,100,('исходные данные'!O21-'минимумы и максимумы'!M$2)/('минимумы и максимумы'!M$4-'минимумы и максимумы'!M$2)*100)</f>
        <v>66.666666666666657</v>
      </c>
      <c r="P21" s="1">
        <f>IF('исходные данные'!P21&gt;'минимумы и максимумы'!N$4,100,('исходные данные'!P21-'минимумы и максимумы'!N$2)/('минимумы и максимумы'!N$4-'минимумы и максимумы'!N$2)*100)</f>
        <v>0</v>
      </c>
      <c r="Q21" s="1">
        <f>IF('исходные данные'!Q21&gt;'минимумы и максимумы'!O$4,100,('исходные данные'!Q21-'минимумы и максимумы'!O$2)/('минимумы и максимумы'!O$4-'минимумы и максимумы'!O$2)*100)</f>
        <v>100</v>
      </c>
      <c r="R21" s="1">
        <f>IF('исходные данные'!R21&gt;'минимумы и максимумы'!P$4,100,('исходные данные'!R21-'минимумы и максимумы'!P$2)/('минимумы и максимумы'!P$4-'минимумы и максимумы'!P$2)*100)</f>
        <v>75</v>
      </c>
      <c r="S21" s="1">
        <f>IF('исходные данные'!S21&gt;'минимумы и максимумы'!Q$4,100,('исходные данные'!S21-'минимумы и максимумы'!Q$2)/('минимумы и максимумы'!Q$4-'минимумы и максимумы'!Q$2)*100)</f>
        <v>22.222222222222221</v>
      </c>
      <c r="T21" s="1">
        <f>IF('исходные данные'!T21&gt;'минимумы и максимумы'!R$4,100,('исходные данные'!T21-'минимумы и максимумы'!R$2)/('минимумы и максимумы'!R$4-'минимумы и максимумы'!R$2)*100)</f>
        <v>4.1714614499424627</v>
      </c>
      <c r="U21" s="1">
        <f>IF('исходные данные'!U21&gt;'минимумы и максимумы'!S$4,100,('исходные данные'!U21-'минимумы и максимумы'!S$2)/('минимумы и максимумы'!S$4-'минимумы и максимумы'!S$2)*100)</f>
        <v>0</v>
      </c>
    </row>
    <row r="22" spans="1:21" x14ac:dyDescent="0.45">
      <c r="A22" s="4">
        <v>43</v>
      </c>
      <c r="B22" s="4">
        <v>1</v>
      </c>
      <c r="C22" s="4">
        <v>0</v>
      </c>
      <c r="D22" s="1">
        <f>IF('исходные данные'!D22&gt;'минимумы и максимумы'!B$4,100,('исходные данные'!D22-'минимумы и максимумы'!B$2)/('минимумы и максимумы'!B$4-'минимумы и максимумы'!B$2)*100)</f>
        <v>0</v>
      </c>
      <c r="E22" s="1">
        <f>IF('исходные данные'!E22&gt;'минимумы и максимумы'!C$4,100,('исходные данные'!E22-'минимумы и максимумы'!C$2)/('минимумы и максимумы'!C$4-'минимумы и максимумы'!C$2)*100)</f>
        <v>25</v>
      </c>
      <c r="F22" s="1">
        <f>IF('исходные данные'!F22&gt;'минимумы и максимумы'!D$4,100,('исходные данные'!F22-'минимумы и максимумы'!D$2)/('минимумы и максимумы'!D$4-'минимумы и максимумы'!D$2)*100)</f>
        <v>25</v>
      </c>
      <c r="G22" s="1">
        <f>IF('исходные данные'!G22&gt;'минимумы и максимумы'!E$4,100,('исходные данные'!G22-'минимумы и максимумы'!E$2)/('минимумы и максимумы'!E$4-'минимумы и максимумы'!E$2)*100)</f>
        <v>32.432432432432435</v>
      </c>
      <c r="H22" s="1">
        <f>IF('исходные данные'!H22&gt;'минимумы и максимумы'!F$4,100,('исходные данные'!H22-'минимумы и максимумы'!F$2)/('минимумы и максимумы'!F$4-'минимумы и максимумы'!F$2)*100)</f>
        <v>21.052631578947366</v>
      </c>
      <c r="I22" s="1">
        <f>IF('исходные данные'!I22&gt;'минимумы и максимумы'!G$4,100,('исходные данные'!I22-'минимумы и максимумы'!G$2)/('минимумы и максимумы'!G$4-'минимумы и максимумы'!G$2)*100)</f>
        <v>15.66265060240964</v>
      </c>
      <c r="J22" s="1">
        <f>IF('исходные данные'!J22&gt;'минимумы и максимумы'!H$4,100,('исходные данные'!J22-'минимумы и максимумы'!H$2)/('минимумы и максимумы'!H$4-'минимумы и максимумы'!H$2)*100)</f>
        <v>12.5</v>
      </c>
      <c r="K22" s="1">
        <f>IF('исходные данные'!K22&gt;'минимумы и максимумы'!I$4,100,('исходные данные'!K22-'минимумы и максимумы'!I$2)/('минимумы и максимумы'!I$4-'минимумы и максимумы'!I$2)*100)</f>
        <v>32.142857142857146</v>
      </c>
      <c r="L22" s="1">
        <f>IF('исходные данные'!L22&gt;'минимумы и максимумы'!J$4,100,('исходные данные'!L22-'минимумы и максимумы'!J$2)/('минимумы и максимумы'!J$4-'минимумы и максимумы'!J$2)*100)</f>
        <v>0</v>
      </c>
      <c r="M22" s="1">
        <f>IF('исходные данные'!M22&gt;'минимумы и максимумы'!K$4,100,('исходные данные'!M22-'минимумы и максимумы'!K$2)/('минимумы и максимумы'!K$4-'минимумы и максимумы'!K$2)*100)</f>
        <v>6.3829787234042552</v>
      </c>
      <c r="N22" s="1">
        <f>IF('исходные данные'!N22&gt;'минимумы и максимумы'!L$4,100,('исходные данные'!N22-'минимумы и максимумы'!L$2)/('минимумы и максимумы'!L$4-'минимумы и максимумы'!L$2)*100)</f>
        <v>11.755193726831601</v>
      </c>
      <c r="O22" s="1">
        <f>IF('исходные данные'!O22&gt;'минимумы и максимумы'!M$4,100,('исходные данные'!O22-'минимумы и максимумы'!M$2)/('минимумы и максимумы'!M$4-'минимумы и максимумы'!M$2)*100)</f>
        <v>100</v>
      </c>
      <c r="P22" s="1">
        <f>IF('исходные данные'!P22&gt;'минимумы и максимумы'!N$4,100,('исходные данные'!P22-'минимумы и максимумы'!N$2)/('минимумы и максимумы'!N$4-'минимумы и максимумы'!N$2)*100)</f>
        <v>0</v>
      </c>
      <c r="Q22" s="1">
        <f>IF('исходные данные'!Q22&gt;'минимумы и максимумы'!O$4,100,('исходные данные'!Q22-'минимумы и максимумы'!O$2)/('минимумы и максимумы'!O$4-'минимумы и максимумы'!O$2)*100)</f>
        <v>100</v>
      </c>
      <c r="R22" s="1">
        <f>IF('исходные данные'!R22&gt;'минимумы и максимумы'!P$4,100,('исходные данные'!R22-'минимумы и максимумы'!P$2)/('минимумы и максимумы'!P$4-'минимумы и максимумы'!P$2)*100)</f>
        <v>75</v>
      </c>
      <c r="S22" s="1">
        <f>IF('исходные данные'!S22&gt;'минимумы и максимумы'!Q$4,100,('исходные данные'!S22-'минимумы и максимумы'!Q$2)/('минимумы и максимумы'!Q$4-'минимумы и максимумы'!Q$2)*100)</f>
        <v>33.333333333333329</v>
      </c>
      <c r="T22" s="1">
        <f>IF('исходные данные'!T22&gt;'минимумы и максимумы'!R$4,100,('исходные данные'!T22-'минимумы и максимумы'!R$2)/('минимумы и максимумы'!R$4-'минимумы и максимумы'!R$2)*100)</f>
        <v>37.715765247410815</v>
      </c>
      <c r="U22" s="1">
        <f>IF('исходные данные'!U22&gt;'минимумы и максимумы'!S$4,100,('исходные данные'!U22-'минимумы и максимумы'!S$2)/('минимумы и максимумы'!S$4-'минимумы и максимумы'!S$2)*100)</f>
        <v>100</v>
      </c>
    </row>
    <row r="23" spans="1:21" x14ac:dyDescent="0.45">
      <c r="A23" s="4">
        <v>44</v>
      </c>
      <c r="B23" s="4">
        <v>0</v>
      </c>
      <c r="C23" s="4">
        <v>0</v>
      </c>
      <c r="D23" s="1">
        <f>IF('исходные данные'!D23&gt;'минимумы и максимумы'!B$4,100,('исходные данные'!D23-'минимумы и максимумы'!B$2)/('минимумы и максимумы'!B$4-'минимумы и максимумы'!B$2)*100)</f>
        <v>25</v>
      </c>
      <c r="E23" s="1">
        <f>IF('исходные данные'!E23&gt;'минимумы и максимумы'!C$4,100,('исходные данные'!E23-'минимумы и максимумы'!C$2)/('минимумы и максимумы'!C$4-'минимумы и максимумы'!C$2)*100)</f>
        <v>31.25</v>
      </c>
      <c r="F23" s="1">
        <f>IF('исходные данные'!F23&gt;'минимумы и максимумы'!D$4,100,('исходные данные'!F23-'минимумы и максимумы'!D$2)/('минимумы и максимумы'!D$4-'минимумы и максимумы'!D$2)*100)</f>
        <v>0</v>
      </c>
      <c r="G23" s="1">
        <f>IF('исходные данные'!G23&gt;'минимумы и максимумы'!E$4,100,('исходные данные'!G23-'минимумы и максимумы'!E$2)/('минимумы и максимумы'!E$4-'минимумы и максимумы'!E$2)*100)</f>
        <v>21.621621621621621</v>
      </c>
      <c r="H23" s="1">
        <f>IF('исходные данные'!H23&gt;'минимумы и максимумы'!F$4,100,('исходные данные'!H23-'минимумы и максимумы'!F$2)/('минимумы и максимумы'!F$4-'минимумы и максимумы'!F$2)*100)</f>
        <v>28.947368421052634</v>
      </c>
      <c r="I23" s="1">
        <f>IF('исходные данные'!I23&gt;'минимумы и максимумы'!G$4,100,('исходные данные'!I23-'минимумы и максимумы'!G$2)/('минимумы и максимумы'!G$4-'минимумы и максимумы'!G$2)*100)</f>
        <v>13.253012048192772</v>
      </c>
      <c r="J23" s="1">
        <f>IF('исходные данные'!J23&gt;'минимумы и максимумы'!H$4,100,('исходные данные'!J23-'минимумы и максимумы'!H$2)/('минимумы и максимумы'!H$4-'минимумы и максимумы'!H$2)*100)</f>
        <v>4.1666666666666661</v>
      </c>
      <c r="K23" s="1">
        <f>IF('исходные данные'!K23&gt;'минимумы и максимумы'!I$4,100,('исходные данные'!K23-'минимумы и максимумы'!I$2)/('минимумы и максимумы'!I$4-'минимумы и максимумы'!I$2)*100)</f>
        <v>0</v>
      </c>
      <c r="L23" s="1">
        <f>IF('исходные данные'!L23&gt;'минимумы и максимумы'!J$4,100,('исходные данные'!L23-'минимумы и максимумы'!J$2)/('минимумы и максимумы'!J$4-'минимумы и максимумы'!J$2)*100)</f>
        <v>12.5</v>
      </c>
      <c r="M23" s="1">
        <f>IF('исходные данные'!M23&gt;'минимумы и максимумы'!K$4,100,('исходные данные'!M23-'минимумы и максимумы'!K$2)/('минимумы и максимумы'!K$4-'минимумы и максимумы'!K$2)*100)</f>
        <v>12.76595744680851</v>
      </c>
      <c r="N23" s="1">
        <f>IF('исходные данные'!N23&gt;'минимумы и максимумы'!L$4,100,('исходные данные'!N23-'минимумы и максимумы'!L$2)/('минимумы и максимумы'!L$4-'минимумы и максимумы'!L$2)*100)</f>
        <v>17.435391253051606</v>
      </c>
      <c r="O23" s="1">
        <f>IF('исходные данные'!O23&gt;'минимумы и максимумы'!M$4,100,('исходные данные'!O23-'минимумы и максимумы'!M$2)/('минимумы и максимумы'!M$4-'минимумы и максимумы'!M$2)*100)</f>
        <v>100</v>
      </c>
      <c r="P23" s="1">
        <f>IF('исходные данные'!P23&gt;'минимумы и максимумы'!N$4,100,('исходные данные'!P23-'минимумы и максимумы'!N$2)/('минимумы и максимумы'!N$4-'минимумы и максимумы'!N$2)*100)</f>
        <v>0</v>
      </c>
      <c r="Q23" s="1">
        <f>IF('исходные данные'!Q23&gt;'минимумы и максимумы'!O$4,100,('исходные данные'!Q23-'минимумы и максимумы'!O$2)/('минимумы и максимумы'!O$4-'минимумы и максимумы'!O$2)*100)</f>
        <v>0</v>
      </c>
      <c r="R23" s="1">
        <f>IF('исходные данные'!R23&gt;'минимумы и максимумы'!P$4,100,('исходные данные'!R23-'минимумы и максимумы'!P$2)/('минимумы и максимумы'!P$4-'минимумы и максимумы'!P$2)*100)</f>
        <v>100</v>
      </c>
      <c r="S23" s="1">
        <f>IF('исходные данные'!S23&gt;'минимумы и максимумы'!Q$4,100,('исходные данные'!S23-'минимумы и максимумы'!Q$2)/('минимумы и максимумы'!Q$4-'минимумы и максимумы'!Q$2)*100)</f>
        <v>22.222222222222221</v>
      </c>
      <c r="T23" s="1">
        <f>IF('исходные данные'!T23&gt;'минимумы и максимумы'!R$4,100,('исходные данные'!T23-'минимумы и максимумы'!R$2)/('минимумы и максимумы'!R$4-'минимумы и максимумы'!R$2)*100)</f>
        <v>39.672036823935557</v>
      </c>
      <c r="U23" s="1">
        <f>IF('исходные данные'!U23&gt;'минимумы и максимумы'!S$4,100,('исходные данные'!U23-'минимумы и максимумы'!S$2)/('минимумы и максимумы'!S$4-'минимумы и максимумы'!S$2)*100)</f>
        <v>0</v>
      </c>
    </row>
    <row r="24" spans="1:21" x14ac:dyDescent="0.45">
      <c r="A24" s="4">
        <v>46</v>
      </c>
      <c r="B24" s="4">
        <v>0</v>
      </c>
      <c r="C24" s="4">
        <v>0</v>
      </c>
      <c r="D24" s="1">
        <f>IF('исходные данные'!D24&gt;'минимумы и максимумы'!B$4,100,('исходные данные'!D24-'минимумы и максимумы'!B$2)/('минимумы и максимумы'!B$4-'минимумы и максимумы'!B$2)*100)</f>
        <v>37.5</v>
      </c>
      <c r="E24" s="1">
        <f>IF('исходные данные'!E24&gt;'минимумы и максимумы'!C$4,100,('исходные данные'!E24-'минимумы и максимумы'!C$2)/('минимумы и максимумы'!C$4-'минимумы и максимумы'!C$2)*100)</f>
        <v>43.75</v>
      </c>
      <c r="F24" s="1">
        <f>IF('исходные данные'!F24&gt;'минимумы и максимумы'!D$4,100,('исходные данные'!F24-'минимумы и максимумы'!D$2)/('минимумы и максимумы'!D$4-'минимумы и максимумы'!D$2)*100)</f>
        <v>25</v>
      </c>
      <c r="G24" s="1">
        <f>IF('исходные данные'!G24&gt;'минимумы и максимумы'!E$4,100,('исходные данные'!G24-'минимумы и максимумы'!E$2)/('минимумы и максимумы'!E$4-'минимумы и максимумы'!E$2)*100)</f>
        <v>24.324324324324326</v>
      </c>
      <c r="H24" s="1">
        <f>IF('исходные данные'!H24&gt;'минимумы и максимумы'!F$4,100,('исходные данные'!H24-'минимумы и максимумы'!F$2)/('минимумы и максимумы'!F$4-'минимумы и максимумы'!F$2)*100)</f>
        <v>39.473684210526315</v>
      </c>
      <c r="I24" s="1">
        <f>IF('исходные данные'!I24&gt;'минимумы и максимумы'!G$4,100,('исходные данные'!I24-'минимумы и максимумы'!G$2)/('минимумы и максимумы'!G$4-'минимумы и максимумы'!G$2)*100)</f>
        <v>12.048192771084338</v>
      </c>
      <c r="J24" s="1">
        <f>IF('исходные данные'!J24&gt;'минимумы и максимумы'!H$4,100,('исходные данные'!J24-'минимумы и максимумы'!H$2)/('минимумы и максимумы'!H$4-'минимумы и максимумы'!H$2)*100)</f>
        <v>4.1666666666666661</v>
      </c>
      <c r="K24" s="1">
        <f>IF('исходные данные'!K24&gt;'минимумы и максимумы'!I$4,100,('исходные данные'!K24-'минимумы и максимумы'!I$2)/('минимумы и максимумы'!I$4-'минимумы и максимумы'!I$2)*100)</f>
        <v>0</v>
      </c>
      <c r="L24" s="1">
        <f>IF('исходные данные'!L24&gt;'минимумы и максимумы'!J$4,100,('исходные данные'!L24-'минимумы и максимумы'!J$2)/('минимумы и максимумы'!J$4-'минимумы и максимумы'!J$2)*100)</f>
        <v>25</v>
      </c>
      <c r="M24" s="1">
        <f>IF('исходные данные'!M24&gt;'минимумы и максимумы'!K$4,100,('исходные данные'!M24-'минимумы и максимумы'!K$2)/('минимумы и максимумы'!K$4-'минимумы и максимумы'!K$2)*100)</f>
        <v>21.276595744680851</v>
      </c>
      <c r="N24" s="1">
        <f>IF('исходные данные'!N24&gt;'минимумы и максимумы'!L$4,100,('исходные данные'!N24-'минимумы и максимумы'!L$2)/('минимумы и максимумы'!L$4-'минимумы и максимумы'!L$2)*100)</f>
        <v>17.34176195175932</v>
      </c>
      <c r="O24" s="1">
        <f>IF('исходные данные'!O24&gt;'минимумы и максимумы'!M$4,100,('исходные данные'!O24-'минимумы и максимумы'!M$2)/('минимумы и максимумы'!M$4-'минимумы и максимумы'!M$2)*100)</f>
        <v>100</v>
      </c>
      <c r="P24" s="1">
        <f>IF('исходные данные'!P24&gt;'минимумы и максимумы'!N$4,100,('исходные данные'!P24-'минимумы и максимумы'!N$2)/('минимумы и максимумы'!N$4-'минимумы и максимумы'!N$2)*100)</f>
        <v>0</v>
      </c>
      <c r="Q24" s="1">
        <f>IF('исходные данные'!Q24&gt;'минимумы и максимумы'!O$4,100,('исходные данные'!Q24-'минимумы и максимумы'!O$2)/('минимумы и максимумы'!O$4-'минимумы и максимумы'!O$2)*100)</f>
        <v>0</v>
      </c>
      <c r="R24" s="1">
        <f>IF('исходные данные'!R24&gt;'минимумы и максимумы'!P$4,100,('исходные данные'!R24-'минимумы и максимумы'!P$2)/('минимумы и максимумы'!P$4-'минимумы и максимумы'!P$2)*100)</f>
        <v>100</v>
      </c>
      <c r="S24" s="1">
        <f>IF('исходные данные'!S24&gt;'минимумы и максимумы'!Q$4,100,('исходные данные'!S24-'минимумы и максимумы'!Q$2)/('минимумы и максимумы'!Q$4-'минимумы и максимумы'!Q$2)*100)</f>
        <v>22.222222222222221</v>
      </c>
      <c r="T24" s="1">
        <f>IF('исходные данные'!T24&gt;'минимумы и максимумы'!R$4,100,('исходные данные'!T24-'минимумы и максимумы'!R$2)/('минимумы и максимумы'!R$4-'минимумы и максимумы'!R$2)*100)</f>
        <v>2.3014959723820483</v>
      </c>
      <c r="U24" s="1">
        <f>IF('исходные данные'!U24&gt;'минимумы и максимумы'!S$4,100,('исходные данные'!U24-'минимумы и максимумы'!S$2)/('минимумы и максимумы'!S$4-'минимумы и максимумы'!S$2)*100)</f>
        <v>0</v>
      </c>
    </row>
    <row r="25" spans="1:21" x14ac:dyDescent="0.45">
      <c r="A25" s="4">
        <v>48</v>
      </c>
      <c r="B25" s="4">
        <v>0</v>
      </c>
      <c r="C25" s="4">
        <v>0</v>
      </c>
      <c r="D25" s="1">
        <f>IF('исходные данные'!D25&gt;'минимумы и максимумы'!B$4,100,('исходные данные'!D25-'минимумы и максимумы'!B$2)/('минимумы и максимумы'!B$4-'минимумы и максимумы'!B$2)*100)</f>
        <v>0</v>
      </c>
      <c r="E25" s="1">
        <f>IF('исходные данные'!E25&gt;'минимумы и максимумы'!C$4,100,('исходные данные'!E25-'минимумы и максимумы'!C$2)/('минимумы и максимумы'!C$4-'минимумы и максимумы'!C$2)*100)</f>
        <v>18.75</v>
      </c>
      <c r="F25" s="1">
        <f>IF('исходные данные'!F25&gt;'минимумы и максимумы'!D$4,100,('исходные данные'!F25-'минимумы и максимумы'!D$2)/('минимумы и максимумы'!D$4-'минимумы и максимумы'!D$2)*100)</f>
        <v>25</v>
      </c>
      <c r="G25" s="1">
        <f>IF('исходные данные'!G25&gt;'минимумы и максимумы'!E$4,100,('исходные данные'!G25-'минимумы и максимумы'!E$2)/('минимумы и максимумы'!E$4-'минимумы и максимумы'!E$2)*100)</f>
        <v>13.513513513513514</v>
      </c>
      <c r="H25" s="1">
        <f>IF('исходные данные'!H25&gt;'минимумы и максимумы'!F$4,100,('исходные данные'!H25-'минимумы и максимумы'!F$2)/('минимумы и максимумы'!F$4-'минимумы и максимумы'!F$2)*100)</f>
        <v>23.684210526315788</v>
      </c>
      <c r="I25" s="1">
        <f>IF('исходные данные'!I25&gt;'минимумы и максимумы'!G$4,100,('исходные данные'!I25-'минимумы и максимумы'!G$2)/('минимумы и максимумы'!G$4-'минимумы и максимумы'!G$2)*100)</f>
        <v>15.66265060240964</v>
      </c>
      <c r="J25" s="1">
        <f>IF('исходные данные'!J25&gt;'минимумы и максимумы'!H$4,100,('исходные данные'!J25-'минимумы и максимумы'!H$2)/('минимумы и максимумы'!H$4-'минимумы и максимумы'!H$2)*100)</f>
        <v>4.1666666666666661</v>
      </c>
      <c r="K25" s="1">
        <f>IF('исходные данные'!K25&gt;'минимумы и максимумы'!I$4,100,('исходные данные'!K25-'минимумы и максимумы'!I$2)/('минимумы и максимумы'!I$4-'минимумы и максимумы'!I$2)*100)</f>
        <v>21.428571428571427</v>
      </c>
      <c r="L25" s="1">
        <f>IF('исходные данные'!L25&gt;'минимумы и максимумы'!J$4,100,('исходные данные'!L25-'минимумы и максимумы'!J$2)/('минимумы и максимумы'!J$4-'минимумы и максимумы'!J$2)*100)</f>
        <v>0</v>
      </c>
      <c r="M25" s="1">
        <f>IF('исходные данные'!M25&gt;'минимумы и максимумы'!K$4,100,('исходные данные'!M25-'минимумы и максимумы'!K$2)/('минимумы и максимумы'!K$4-'минимумы и максимумы'!K$2)*100)</f>
        <v>14.893617021276595</v>
      </c>
      <c r="N25" s="1">
        <f>IF('исходные данные'!N25&gt;'минимумы и максимумы'!L$4,100,('исходные данные'!N25-'минимумы и максимумы'!L$2)/('минимумы и максимумы'!L$4-'минимумы и максимумы'!L$2)*100)</f>
        <v>11.646540764581195</v>
      </c>
      <c r="O25" s="1">
        <f>IF('исходные данные'!O25&gt;'минимумы и максимумы'!M$4,100,('исходные данные'!O25-'минимумы и максимумы'!M$2)/('минимумы и максимумы'!M$4-'минимумы и максимумы'!M$2)*100)</f>
        <v>100</v>
      </c>
      <c r="P25" s="1">
        <f>IF('исходные данные'!P25&gt;'минимумы и максимумы'!N$4,100,('исходные данные'!P25-'минимумы и максимумы'!N$2)/('минимумы и максимумы'!N$4-'минимумы и максимумы'!N$2)*100)</f>
        <v>0</v>
      </c>
      <c r="Q25" s="1">
        <f>IF('исходные данные'!Q25&gt;'минимумы и максимумы'!O$4,100,('исходные данные'!Q25-'минимумы и максимумы'!O$2)/('минимумы и максимумы'!O$4-'минимумы и максимумы'!O$2)*100)</f>
        <v>0</v>
      </c>
      <c r="R25" s="1">
        <f>IF('исходные данные'!R25&gt;'минимумы и максимумы'!P$4,100,('исходные данные'!R25-'минимумы и максимумы'!P$2)/('минимумы и максимумы'!P$4-'минимумы и максимумы'!P$2)*100)</f>
        <v>75</v>
      </c>
      <c r="S25" s="1">
        <f>IF('исходные данные'!S25&gt;'минимумы и максимумы'!Q$4,100,('исходные данные'!S25-'минимумы и максимумы'!Q$2)/('минимумы и максимумы'!Q$4-'минимумы и максимумы'!Q$2)*100)</f>
        <v>11.111111111111111</v>
      </c>
      <c r="T25" s="1">
        <f>IF('исходные данные'!T25&gt;'минимумы и максимумы'!R$4,100,('исходные данные'!T25-'минимумы и максимумы'!R$2)/('минимумы и максимумы'!R$4-'минимумы и максимумы'!R$2)*100)</f>
        <v>1.3233601841196778</v>
      </c>
      <c r="U25" s="1">
        <f>IF('исходные данные'!U25&gt;'минимумы и максимумы'!S$4,100,('исходные данные'!U25-'минимумы и максимумы'!S$2)/('минимумы и максимумы'!S$4-'минимумы и максимумы'!S$2)*100)</f>
        <v>0</v>
      </c>
    </row>
    <row r="26" spans="1:21" x14ac:dyDescent="0.45">
      <c r="A26" s="4">
        <v>49</v>
      </c>
      <c r="B26" s="4">
        <v>0</v>
      </c>
      <c r="C26" s="4">
        <v>0</v>
      </c>
      <c r="D26" s="1">
        <f>IF('исходные данные'!D26&gt;'минимумы и максимумы'!B$4,100,('исходные данные'!D26-'минимумы и максимумы'!B$2)/('минимумы и максимумы'!B$4-'минимумы и максимумы'!B$2)*100)</f>
        <v>0</v>
      </c>
      <c r="E26" s="1">
        <f>IF('исходные данные'!E26&gt;'минимумы и максимумы'!C$4,100,('исходные данные'!E26-'минимумы и максимумы'!C$2)/('минимумы и максимумы'!C$4-'минимумы и максимумы'!C$2)*100)</f>
        <v>18.75</v>
      </c>
      <c r="F26" s="1">
        <f>IF('исходные данные'!F26&gt;'минимумы и максимумы'!D$4,100,('исходные данные'!F26-'минимумы и максимумы'!D$2)/('минимумы и максимумы'!D$4-'минимумы и максимумы'!D$2)*100)</f>
        <v>0</v>
      </c>
      <c r="G26" s="1">
        <f>IF('исходные данные'!G26&gt;'минимумы и максимумы'!E$4,100,('исходные данные'!G26-'минимумы и максимумы'!E$2)/('минимумы и максимумы'!E$4-'минимумы и максимумы'!E$2)*100)</f>
        <v>21.621621621621621</v>
      </c>
      <c r="H26" s="1">
        <f>IF('исходные данные'!H26&gt;'минимумы и максимумы'!F$4,100,('исходные данные'!H26-'минимумы и максимумы'!F$2)/('минимумы и максимумы'!F$4-'минимумы и максимумы'!F$2)*100)</f>
        <v>23.684210526315788</v>
      </c>
      <c r="I26" s="1">
        <f>IF('исходные данные'!I26&gt;'минимумы и максимумы'!G$4,100,('исходные данные'!I26-'минимумы и максимумы'!G$2)/('минимумы и максимумы'!G$4-'минимумы и максимумы'!G$2)*100)</f>
        <v>9.6385542168674707</v>
      </c>
      <c r="J26" s="1">
        <f>IF('исходные данные'!J26&gt;'минимумы и максимумы'!H$4,100,('исходные данные'!J26-'минимумы и максимумы'!H$2)/('минимумы и максимумы'!H$4-'минимумы и максимумы'!H$2)*100)</f>
        <v>4.1666666666666661</v>
      </c>
      <c r="K26" s="1">
        <f>IF('исходные данные'!K26&gt;'минимумы и максимумы'!I$4,100,('исходные данные'!K26-'минимумы и максимумы'!I$2)/('минимумы и максимумы'!I$4-'минимумы и максимумы'!I$2)*100)</f>
        <v>25</v>
      </c>
      <c r="L26" s="1">
        <f>IF('исходные данные'!L26&gt;'минимумы и максимумы'!J$4,100,('исходные данные'!L26-'минимумы и максимумы'!J$2)/('минимумы и максимумы'!J$4-'минимумы и максимумы'!J$2)*100)</f>
        <v>0</v>
      </c>
      <c r="M26" s="1">
        <f>IF('исходные данные'!M26&gt;'минимумы и максимумы'!K$4,100,('исходные данные'!M26-'минимумы и максимумы'!K$2)/('минимумы и максимумы'!K$4-'минимумы и максимумы'!K$2)*100)</f>
        <v>17.021276595744681</v>
      </c>
      <c r="N26" s="1">
        <f>IF('исходные данные'!N26&gt;'минимумы и максимумы'!L$4,100,('исходные данные'!N26-'минимумы и максимумы'!L$2)/('минимумы и максимумы'!L$4-'минимумы и максимумы'!L$2)*100)</f>
        <v>11.86639155125871</v>
      </c>
      <c r="O26" s="1">
        <f>IF('исходные данные'!O26&gt;'минимумы и максимумы'!M$4,100,('исходные данные'!O26-'минимумы и максимумы'!M$2)/('минимумы и максимумы'!M$4-'минимумы и максимумы'!M$2)*100)</f>
        <v>100</v>
      </c>
      <c r="P26" s="1">
        <f>IF('исходные данные'!P26&gt;'минимумы и максимумы'!N$4,100,('исходные данные'!P26-'минимумы и максимумы'!N$2)/('минимумы и максимумы'!N$4-'минимумы и максимумы'!N$2)*100)</f>
        <v>0</v>
      </c>
      <c r="Q26" s="1">
        <f>IF('исходные данные'!Q26&gt;'минимумы и максимумы'!O$4,100,('исходные данные'!Q26-'минимумы и максимумы'!O$2)/('минимумы и максимумы'!O$4-'минимумы и максимумы'!O$2)*100)</f>
        <v>0</v>
      </c>
      <c r="R26" s="1">
        <f>IF('исходные данные'!R26&gt;'минимумы и максимумы'!P$4,100,('исходные данные'!R26-'минимумы и максимумы'!P$2)/('минимумы и максимумы'!P$4-'минимумы и максимумы'!P$2)*100)</f>
        <v>75</v>
      </c>
      <c r="S26" s="1">
        <f>IF('исходные данные'!S26&gt;'минимумы и максимумы'!Q$4,100,('исходные данные'!S26-'минимумы и максимумы'!Q$2)/('минимумы и максимумы'!Q$4-'минимумы и максимумы'!Q$2)*100)</f>
        <v>66.666666666666657</v>
      </c>
      <c r="T26" s="1">
        <f>IF('исходные данные'!T26&gt;'минимумы и максимумы'!R$4,100,('исходные данные'!T26-'минимумы и максимумы'!R$2)/('минимумы и максимумы'!R$4-'минимумы и максимумы'!R$2)*100)</f>
        <v>100</v>
      </c>
      <c r="U26" s="1">
        <f>IF('исходные данные'!U26&gt;'минимумы и максимумы'!S$4,100,('исходные данные'!U26-'минимумы и максимумы'!S$2)/('минимумы и максимумы'!S$4-'минимумы и максимумы'!S$2)*100)</f>
        <v>100</v>
      </c>
    </row>
    <row r="27" spans="1:21" x14ac:dyDescent="0.45">
      <c r="A27" s="4">
        <v>50</v>
      </c>
      <c r="B27" s="4">
        <v>0</v>
      </c>
      <c r="C27" s="4">
        <v>0</v>
      </c>
      <c r="D27" s="1">
        <f>IF('исходные данные'!D27&gt;'минимумы и максимумы'!B$4,100,('исходные данные'!D27-'минимумы и максимумы'!B$2)/('минимумы и максимумы'!B$4-'минимумы и максимумы'!B$2)*100)</f>
        <v>0</v>
      </c>
      <c r="E27" s="1">
        <f>IF('исходные данные'!E27&gt;'минимумы и максимумы'!C$4,100,('исходные данные'!E27-'минимумы и максимумы'!C$2)/('минимумы и максимумы'!C$4-'минимумы и максимумы'!C$2)*100)</f>
        <v>6.25</v>
      </c>
      <c r="F27" s="1">
        <f>IF('исходные данные'!F27&gt;'минимумы и максимумы'!D$4,100,('исходные данные'!F27-'минимумы и максимумы'!D$2)/('минимумы и максимумы'!D$4-'минимумы и максимумы'!D$2)*100)</f>
        <v>0</v>
      </c>
      <c r="G27" s="1">
        <f>IF('исходные данные'!G27&gt;'минимумы и максимумы'!E$4,100,('исходные данные'!G27-'минимумы и максимумы'!E$2)/('минимумы и максимумы'!E$4-'минимумы и максимумы'!E$2)*100)</f>
        <v>2.7027027027027026</v>
      </c>
      <c r="H27" s="1">
        <f>IF('исходные данные'!H27&gt;'минимумы и максимумы'!F$4,100,('исходные данные'!H27-'минимумы и максимумы'!F$2)/('минимумы и максимумы'!F$4-'минимумы и максимумы'!F$2)*100)</f>
        <v>5.2631578947368416</v>
      </c>
      <c r="I27" s="1">
        <f>IF('исходные данные'!I27&gt;'минимумы и максимумы'!G$4,100,('исходные данные'!I27-'минимумы и максимумы'!G$2)/('минимумы и максимумы'!G$4-'минимумы и максимумы'!G$2)*100)</f>
        <v>3.6144578313253009</v>
      </c>
      <c r="J27" s="1">
        <f>IF('исходные данные'!J27&gt;'минимумы и максимумы'!H$4,100,('исходные данные'!J27-'минимумы и максимумы'!H$2)/('минимумы и максимумы'!H$4-'минимумы и максимумы'!H$2)*100)</f>
        <v>0</v>
      </c>
      <c r="K27" s="1">
        <f>IF('исходные данные'!K27&gt;'минимумы и максимумы'!I$4,100,('исходные данные'!K27-'минимумы и максимумы'!I$2)/('минимумы и максимумы'!I$4-'минимумы и максимумы'!I$2)*100)</f>
        <v>3.5714285714285712</v>
      </c>
      <c r="L27" s="1">
        <f>IF('исходные данные'!L27&gt;'минимумы и максимумы'!J$4,100,('исходные данные'!L27-'минимумы и максимумы'!J$2)/('минимумы и максимумы'!J$4-'минимумы и максимумы'!J$2)*100)</f>
        <v>0</v>
      </c>
      <c r="M27" s="1">
        <f>IF('исходные данные'!M27&gt;'минимумы и максимумы'!K$4,100,('исходные данные'!M27-'минимумы и максимумы'!K$2)/('минимумы и максимумы'!K$4-'минимумы и максимумы'!K$2)*100)</f>
        <v>4.2553191489361701</v>
      </c>
      <c r="N27" s="1">
        <f>IF('исходные данные'!N27&gt;'минимумы и максимумы'!L$4,100,('исходные данные'!N27-'минимумы и максимумы'!L$2)/('минимумы и максимумы'!L$4-'минимумы и максимумы'!L$2)*100)</f>
        <v>16.462764268628817</v>
      </c>
      <c r="O27" s="1">
        <f>IF('исходные данные'!O27&gt;'минимумы и максимумы'!M$4,100,('исходные данные'!O27-'минимумы и максимумы'!M$2)/('минимумы и максимумы'!M$4-'минимумы и максимумы'!M$2)*100)</f>
        <v>66.666666666666657</v>
      </c>
      <c r="P27" s="1">
        <f>IF('исходные данные'!P27&gt;'минимумы и максимумы'!N$4,100,('исходные данные'!P27-'минимумы и максимумы'!N$2)/('минимумы и максимумы'!N$4-'минимумы и максимумы'!N$2)*100)</f>
        <v>100</v>
      </c>
      <c r="Q27" s="1">
        <f>IF('исходные данные'!Q27&gt;'минимумы и максимумы'!O$4,100,('исходные данные'!Q27-'минимумы и максимумы'!O$2)/('минимумы и максимумы'!O$4-'минимумы и максимумы'!O$2)*100)</f>
        <v>100</v>
      </c>
      <c r="R27" s="1">
        <f>IF('исходные данные'!R27&gt;'минимумы и максимумы'!P$4,100,('исходные данные'!R27-'минимумы и максимумы'!P$2)/('минимумы и максимумы'!P$4-'минимумы и максимумы'!P$2)*100)</f>
        <v>50</v>
      </c>
      <c r="S27" s="1">
        <f>IF('исходные данные'!S27&gt;'минимумы и максимумы'!Q$4,100,('исходные данные'!S27-'минимумы и максимумы'!Q$2)/('минимумы и максимумы'!Q$4-'минимумы и максимумы'!Q$2)*100)</f>
        <v>22.222222222222221</v>
      </c>
      <c r="T27" s="1">
        <f>IF('исходные данные'!T27&gt;'минимумы и максимумы'!R$4,100,('исходные данные'!T27-'минимумы и максимумы'!R$2)/('минимумы и максимумы'!R$4-'минимумы и максимумы'!R$2)*100)</f>
        <v>14.787111622554661</v>
      </c>
      <c r="U27" s="1">
        <f>IF('исходные данные'!U27&gt;'минимумы и максимумы'!S$4,100,('исходные данные'!U27-'минимумы и максимумы'!S$2)/('минимумы и максимумы'!S$4-'минимумы и максимумы'!S$2)*100)</f>
        <v>33.333333333333329</v>
      </c>
    </row>
    <row r="28" spans="1:21" x14ac:dyDescent="0.45">
      <c r="A28" s="4">
        <v>53</v>
      </c>
      <c r="B28" s="4">
        <v>0</v>
      </c>
      <c r="C28" s="4">
        <v>0</v>
      </c>
      <c r="D28" s="1">
        <f>IF('исходные данные'!D28&gt;'минимумы и максимумы'!B$4,100,('исходные данные'!D28-'минимумы и максимумы'!B$2)/('минимумы и максимумы'!B$4-'минимумы и максимумы'!B$2)*100)</f>
        <v>25</v>
      </c>
      <c r="E28" s="1">
        <f>IF('исходные данные'!E28&gt;'минимумы и максимумы'!C$4,100,('исходные данные'!E28-'минимумы и максимумы'!C$2)/('минимумы и максимумы'!C$4-'минимумы и максимумы'!C$2)*100)</f>
        <v>12.5</v>
      </c>
      <c r="F28" s="1">
        <f>IF('исходные данные'!F28&gt;'минимумы и максимумы'!D$4,100,('исходные данные'!F28-'минимумы и максимумы'!D$2)/('минимумы и максимумы'!D$4-'минимумы и максимумы'!D$2)*100)</f>
        <v>0</v>
      </c>
      <c r="G28" s="1">
        <f>IF('исходные данные'!G28&gt;'минимумы и максимумы'!E$4,100,('исходные данные'!G28-'минимумы и максимумы'!E$2)/('минимумы и максимумы'!E$4-'минимумы и максимумы'!E$2)*100)</f>
        <v>8.1081081081081088</v>
      </c>
      <c r="H28" s="1">
        <f>IF('исходные данные'!H28&gt;'минимумы и максимумы'!F$4,100,('исходные данные'!H28-'минимумы и максимумы'!F$2)/('минимумы и максимумы'!F$4-'минимумы и максимумы'!F$2)*100)</f>
        <v>7.8947368421052628</v>
      </c>
      <c r="I28" s="1">
        <f>IF('исходные данные'!I28&gt;'минимумы и максимумы'!G$4,100,('исходные данные'!I28-'минимумы и максимумы'!G$2)/('минимумы и максимумы'!G$4-'минимумы и максимумы'!G$2)*100)</f>
        <v>9.6385542168674707</v>
      </c>
      <c r="J28" s="1">
        <f>IF('исходные данные'!J28&gt;'минимумы и максимумы'!H$4,100,('исходные данные'!J28-'минимумы и максимумы'!H$2)/('минимумы и максимумы'!H$4-'минимумы и максимумы'!H$2)*100)</f>
        <v>0</v>
      </c>
      <c r="K28" s="1">
        <f>IF('исходные данные'!K28&gt;'минимумы и максимумы'!I$4,100,('исходные данные'!K28-'минимумы и максимумы'!I$2)/('минимумы и максимумы'!I$4-'минимумы и максимумы'!I$2)*100)</f>
        <v>0</v>
      </c>
      <c r="L28" s="1">
        <f>IF('исходные данные'!L28&gt;'минимумы и максимумы'!J$4,100,('исходные данные'!L28-'минимумы и максимумы'!J$2)/('минимумы и максимумы'!J$4-'минимумы и максимумы'!J$2)*100)</f>
        <v>0</v>
      </c>
      <c r="M28" s="1">
        <f>IF('исходные данные'!M28&gt;'минимумы и максимумы'!K$4,100,('исходные данные'!M28-'минимумы и максимумы'!K$2)/('минимумы и максимумы'!K$4-'минимумы и максимумы'!K$2)*100)</f>
        <v>6.3829787234042552</v>
      </c>
      <c r="N28" s="1">
        <f>IF('исходные данные'!N28&gt;'минимумы и максимумы'!L$4,100,('исходные данные'!N28-'минимумы и максимумы'!L$2)/('минимумы и максимумы'!L$4-'минимумы и максимумы'!L$2)*100)</f>
        <v>13.888870199013123</v>
      </c>
      <c r="O28" s="1">
        <f>IF('исходные данные'!O28&gt;'минимумы и максимумы'!M$4,100,('исходные данные'!O28-'минимумы и максимумы'!M$2)/('минимумы и максимумы'!M$4-'минимумы и максимумы'!M$2)*100)</f>
        <v>33.333333333333329</v>
      </c>
      <c r="P28" s="1">
        <f>IF('исходные данные'!P28&gt;'минимумы и максимумы'!N$4,100,('исходные данные'!P28-'минимумы и максимумы'!N$2)/('минимумы и максимумы'!N$4-'минимумы и максимумы'!N$2)*100)</f>
        <v>100</v>
      </c>
      <c r="Q28" s="1">
        <f>IF('исходные данные'!Q28&gt;'минимумы и максимумы'!O$4,100,('исходные данные'!Q28-'минимумы и максимумы'!O$2)/('минимумы и максимумы'!O$4-'минимумы и максимумы'!O$2)*100)</f>
        <v>0</v>
      </c>
      <c r="R28" s="1">
        <f>IF('исходные данные'!R28&gt;'минимумы и максимумы'!P$4,100,('исходные данные'!R28-'минимумы и максимумы'!P$2)/('минимумы и максимумы'!P$4-'минимумы и максимумы'!P$2)*100)</f>
        <v>100</v>
      </c>
      <c r="S28" s="1">
        <f>IF('исходные данные'!S28&gt;'минимумы и максимумы'!Q$4,100,('исходные данные'!S28-'минимумы и максимумы'!Q$2)/('минимумы и максимумы'!Q$4-'минимумы и максимумы'!Q$2)*100)</f>
        <v>77.777777777777786</v>
      </c>
      <c r="T28" s="1">
        <f>IF('исходные данные'!T28&gt;'минимумы и максимумы'!R$4,100,('исходные данные'!T28-'минимумы и максимумы'!R$2)/('минимумы и максимумы'!R$4-'минимумы и максимумы'!R$2)*100)</f>
        <v>41.369390103567319</v>
      </c>
      <c r="U28" s="1">
        <f>IF('исходные данные'!U28&gt;'минимумы и максимумы'!S$4,100,('исходные данные'!U28-'минимумы и максимумы'!S$2)/('минимумы и максимумы'!S$4-'минимумы и максимумы'!S$2)*100)</f>
        <v>0</v>
      </c>
    </row>
    <row r="29" spans="1:21" x14ac:dyDescent="0.45">
      <c r="A29" s="4">
        <v>54</v>
      </c>
      <c r="B29" s="4">
        <v>0</v>
      </c>
      <c r="C29" s="4">
        <v>0</v>
      </c>
      <c r="D29" s="1">
        <f>IF('исходные данные'!D29&gt;'минимумы и максимумы'!B$4,100,('исходные данные'!D29-'минимумы и максимумы'!B$2)/('минимумы и максимумы'!B$4-'минимумы и максимумы'!B$2)*100)</f>
        <v>25</v>
      </c>
      <c r="E29" s="1">
        <f>IF('исходные данные'!E29&gt;'минимумы и максимумы'!C$4,100,('исходные данные'!E29-'минимумы и максимумы'!C$2)/('минимумы и максимумы'!C$4-'минимумы и максимумы'!C$2)*100)</f>
        <v>12.5</v>
      </c>
      <c r="F29" s="1">
        <f>IF('исходные данные'!F29&gt;'минимумы и максимумы'!D$4,100,('исходные данные'!F29-'минимумы и максимумы'!D$2)/('минимумы и максимумы'!D$4-'минимумы и максимумы'!D$2)*100)</f>
        <v>0</v>
      </c>
      <c r="G29" s="1">
        <f>IF('исходные данные'!G29&gt;'минимумы и максимумы'!E$4,100,('исходные данные'!G29-'минимумы и максимумы'!E$2)/('минимумы и максимумы'!E$4-'минимумы и максимумы'!E$2)*100)</f>
        <v>5.4054054054054053</v>
      </c>
      <c r="H29" s="1">
        <f>IF('исходные данные'!H29&gt;'минимумы и максимумы'!F$4,100,('исходные данные'!H29-'минимумы и максимумы'!F$2)/('минимумы и максимумы'!F$4-'минимумы и максимумы'!F$2)*100)</f>
        <v>7.8947368421052628</v>
      </c>
      <c r="I29" s="1">
        <f>IF('исходные данные'!I29&gt;'минимумы и максимумы'!G$4,100,('исходные данные'!I29-'минимумы и максимумы'!G$2)/('минимумы и максимумы'!G$4-'минимумы и максимумы'!G$2)*100)</f>
        <v>7.2289156626506017</v>
      </c>
      <c r="J29" s="1">
        <f>IF('исходные данные'!J29&gt;'минимумы и максимумы'!H$4,100,('исходные данные'!J29-'минимумы и максимумы'!H$2)/('минимумы и максимумы'!H$4-'минимумы и максимумы'!H$2)*100)</f>
        <v>0</v>
      </c>
      <c r="K29" s="1">
        <f>IF('исходные данные'!K29&gt;'минимумы и максимумы'!I$4,100,('исходные данные'!K29-'минимумы и максимумы'!I$2)/('минимумы и максимумы'!I$4-'минимумы и максимумы'!I$2)*100)</f>
        <v>0</v>
      </c>
      <c r="L29" s="1">
        <f>IF('исходные данные'!L29&gt;'минимумы и максимумы'!J$4,100,('исходные данные'!L29-'минимумы и максимумы'!J$2)/('минимумы и максимумы'!J$4-'минимумы и максимумы'!J$2)*100)</f>
        <v>0</v>
      </c>
      <c r="M29" s="1">
        <f>IF('исходные данные'!M29&gt;'минимумы и максимумы'!K$4,100,('исходные данные'!M29-'минимумы и максимумы'!K$2)/('минимумы и максимумы'!K$4-'минимумы и максимумы'!K$2)*100)</f>
        <v>10.638297872340425</v>
      </c>
      <c r="N29" s="1">
        <f>IF('исходные данные'!N29&gt;'минимумы и максимумы'!L$4,100,('исходные данные'!N29-'минимумы и максимумы'!L$2)/('минимумы и максимумы'!L$4-'минимумы и максимумы'!L$2)*100)</f>
        <v>13.201557421202642</v>
      </c>
      <c r="O29" s="1">
        <f>IF('исходные данные'!O29&gt;'минимумы и максимумы'!M$4,100,('исходные данные'!O29-'минимумы и максимумы'!M$2)/('минимумы и максимумы'!M$4-'минимумы и максимумы'!M$2)*100)</f>
        <v>0</v>
      </c>
      <c r="P29" s="1">
        <f>IF('исходные данные'!P29&gt;'минимумы и максимумы'!N$4,100,('исходные данные'!P29-'минимумы и максимумы'!N$2)/('минимумы и максимумы'!N$4-'минимумы и максимумы'!N$2)*100)</f>
        <v>0</v>
      </c>
      <c r="Q29" s="1">
        <f>IF('исходные данные'!Q29&gt;'минимумы и максимумы'!O$4,100,('исходные данные'!Q29-'минимумы и максимумы'!O$2)/('минимумы и максимумы'!O$4-'минимумы и максимумы'!O$2)*100)</f>
        <v>0</v>
      </c>
      <c r="R29" s="1">
        <f>IF('исходные данные'!R29&gt;'минимумы и максимумы'!P$4,100,('исходные данные'!R29-'минимумы и максимумы'!P$2)/('минимумы и максимумы'!P$4-'минимумы и максимумы'!P$2)*100)</f>
        <v>100</v>
      </c>
      <c r="S29" s="1">
        <f>IF('исходные данные'!S29&gt;'минимумы и максимумы'!Q$4,100,('исходные данные'!S29-'минимумы и максимумы'!Q$2)/('минимумы и максимумы'!Q$4-'минимумы и максимумы'!Q$2)*100)</f>
        <v>11.111111111111111</v>
      </c>
      <c r="T29" s="1">
        <f>IF('исходные данные'!T29&gt;'минимумы и максимумы'!R$4,100,('исходные данные'!T29-'минимумы и максимумы'!R$2)/('минимумы и максимумы'!R$4-'минимумы и максимумы'!R$2)*100)</f>
        <v>19.073647871116226</v>
      </c>
      <c r="U29" s="1">
        <f>IF('исходные данные'!U29&gt;'минимумы и максимумы'!S$4,100,('исходные данные'!U29-'минимумы и максимумы'!S$2)/('минимумы и максимумы'!S$4-'минимумы и максимумы'!S$2)*100)</f>
        <v>0</v>
      </c>
    </row>
    <row r="30" spans="1:21" x14ac:dyDescent="0.45">
      <c r="A30" s="4">
        <v>55</v>
      </c>
      <c r="B30" s="4">
        <v>0</v>
      </c>
      <c r="C30" s="4">
        <v>1</v>
      </c>
      <c r="D30" s="1">
        <f>IF('исходные данные'!D30&gt;'минимумы и максимумы'!B$4,100,('исходные данные'!D30-'минимумы и максимумы'!B$2)/('минимумы и максимумы'!B$4-'минимумы и максимумы'!B$2)*100)</f>
        <v>25</v>
      </c>
      <c r="E30" s="1">
        <f>IF('исходные данные'!E30&gt;'минимумы и максимумы'!C$4,100,('исходные данные'!E30-'минимумы и максимумы'!C$2)/('минимумы и максимумы'!C$4-'минимумы и максимумы'!C$2)*100)</f>
        <v>37.5</v>
      </c>
      <c r="F30" s="1">
        <f>IF('исходные данные'!F30&gt;'минимумы и максимумы'!D$4,100,('исходные данные'!F30-'минимумы и максимумы'!D$2)/('минимумы и максимумы'!D$4-'минимумы и максимумы'!D$2)*100)</f>
        <v>0</v>
      </c>
      <c r="G30" s="1">
        <f>IF('исходные данные'!G30&gt;'минимумы и максимумы'!E$4,100,('исходные данные'!G30-'минимумы и максимумы'!E$2)/('минимумы и максимумы'!E$4-'минимумы и максимумы'!E$2)*100)</f>
        <v>10.810810810810811</v>
      </c>
      <c r="H30" s="1">
        <f>IF('исходные данные'!H30&gt;'минимумы и максимумы'!F$4,100,('исходные данные'!H30-'минимумы и максимумы'!F$2)/('минимумы и максимумы'!F$4-'минимумы и максимумы'!F$2)*100)</f>
        <v>10.526315789473683</v>
      </c>
      <c r="I30" s="1">
        <f>IF('исходные данные'!I30&gt;'минимумы и максимумы'!G$4,100,('исходные данные'!I30-'минимумы и максимумы'!G$2)/('минимумы и максимумы'!G$4-'минимумы и максимумы'!G$2)*100)</f>
        <v>4.8192771084337354</v>
      </c>
      <c r="J30" s="1">
        <f>IF('исходные данные'!J30&gt;'минимумы и максимумы'!H$4,100,('исходные данные'!J30-'минимумы и максимумы'!H$2)/('минимумы и максимумы'!H$4-'минимумы и максимумы'!H$2)*100)</f>
        <v>0</v>
      </c>
      <c r="K30" s="1">
        <f>IF('исходные данные'!K30&gt;'минимумы и максимумы'!I$4,100,('исходные данные'!K30-'минимумы и максимумы'!I$2)/('минимумы и максимумы'!I$4-'минимумы и максимумы'!I$2)*100)</f>
        <v>0</v>
      </c>
      <c r="L30" s="1">
        <f>IF('исходные данные'!L30&gt;'минимумы и максимумы'!J$4,100,('исходные данные'!L30-'минимумы и максимумы'!J$2)/('минимумы и максимумы'!J$4-'минимумы и максимумы'!J$2)*100)</f>
        <v>0</v>
      </c>
      <c r="M30" s="1">
        <f>IF('исходные данные'!M30&gt;'минимумы и максимумы'!K$4,100,('исходные данные'!M30-'минимумы и максимумы'!K$2)/('минимумы и максимумы'!K$4-'минимумы и максимумы'!K$2)*100)</f>
        <v>14.893617021276595</v>
      </c>
      <c r="N30" s="1">
        <f>IF('исходные данные'!N30&gt;'минимумы и максимумы'!L$4,100,('исходные данные'!N30-'минимумы и максимумы'!L$2)/('минимумы и максимумы'!L$4-'минимумы и максимумы'!L$2)*100)</f>
        <v>12.681950060390715</v>
      </c>
      <c r="O30" s="1">
        <f>IF('исходные данные'!O30&gt;'минимумы и максимумы'!M$4,100,('исходные данные'!O30-'минимумы и максимумы'!M$2)/('минимумы и максимумы'!M$4-'минимумы и максимумы'!M$2)*100)</f>
        <v>66.666666666666657</v>
      </c>
      <c r="P30" s="1">
        <f>IF('исходные данные'!P30&gt;'минимумы и максимумы'!N$4,100,('исходные данные'!P30-'минимумы и максимумы'!N$2)/('минимумы и максимумы'!N$4-'минимумы и максимумы'!N$2)*100)</f>
        <v>0</v>
      </c>
      <c r="Q30" s="1">
        <f>IF('исходные данные'!Q30&gt;'минимумы и максимумы'!O$4,100,('исходные данные'!Q30-'минимумы и максимумы'!O$2)/('минимумы и максимумы'!O$4-'минимумы и максимумы'!O$2)*100)</f>
        <v>100</v>
      </c>
      <c r="R30" s="1">
        <f>IF('исходные данные'!R30&gt;'минимумы и максимумы'!P$4,100,('исходные данные'!R30-'минимумы и максимумы'!P$2)/('минимумы и максимумы'!P$4-'минимумы и максимумы'!P$2)*100)</f>
        <v>75</v>
      </c>
      <c r="S30" s="1">
        <f>IF('исходные данные'!S30&gt;'минимумы и максимумы'!Q$4,100,('исходные данные'!S30-'минимумы и максимумы'!Q$2)/('минимумы и максимумы'!Q$4-'минимумы и максимумы'!Q$2)*100)</f>
        <v>22.222222222222221</v>
      </c>
      <c r="T30" s="1">
        <f>IF('исходные данные'!T30&gt;'минимумы и максимумы'!R$4,100,('исходные данные'!T30-'минимумы и максимумы'!R$2)/('минимумы и максимумы'!R$4-'минимумы и максимумы'!R$2)*100)</f>
        <v>45.512082853855006</v>
      </c>
      <c r="U30" s="1">
        <f>IF('исходные данные'!U30&gt;'минимумы и максимумы'!S$4,100,('исходные данные'!U30-'минимумы и максимумы'!S$2)/('минимумы и максимумы'!S$4-'минимумы и максимумы'!S$2)*100)</f>
        <v>0</v>
      </c>
    </row>
    <row r="31" spans="1:21" x14ac:dyDescent="0.45">
      <c r="A31" s="4">
        <v>56</v>
      </c>
      <c r="B31" s="4">
        <v>0</v>
      </c>
      <c r="C31" s="4">
        <v>1</v>
      </c>
      <c r="D31" s="1">
        <f>IF('исходные данные'!D31&gt;'минимумы и максимумы'!B$4,100,('исходные данные'!D31-'минимумы и максимумы'!B$2)/('минимумы и максимумы'!B$4-'минимумы и максимумы'!B$2)*100)</f>
        <v>12.5</v>
      </c>
      <c r="E31" s="1">
        <f>IF('исходные данные'!E31&gt;'минимумы и максимумы'!C$4,100,('исходные данные'!E31-'минимумы и максимумы'!C$2)/('минимумы и максимумы'!C$4-'минимумы и максимумы'!C$2)*100)</f>
        <v>6.25</v>
      </c>
      <c r="F31" s="1">
        <f>IF('исходные данные'!F31&gt;'минимумы и максимумы'!D$4,100,('исходные данные'!F31-'минимумы и максимумы'!D$2)/('минимумы и максимумы'!D$4-'минимумы и максимумы'!D$2)*100)</f>
        <v>0</v>
      </c>
      <c r="G31" s="1">
        <f>IF('исходные данные'!G31&gt;'минимумы и максимумы'!E$4,100,('исходные данные'!G31-'минимумы и максимумы'!E$2)/('минимумы и максимумы'!E$4-'минимумы и максимумы'!E$2)*100)</f>
        <v>0</v>
      </c>
      <c r="H31" s="1">
        <f>IF('исходные данные'!H31&gt;'минимумы и максимумы'!F$4,100,('исходные данные'!H31-'минимумы и максимумы'!F$2)/('минимумы и максимумы'!F$4-'минимумы и максимумы'!F$2)*100)</f>
        <v>0</v>
      </c>
      <c r="I31" s="1">
        <f>IF('исходные данные'!I31&gt;'минимумы и максимумы'!G$4,100,('исходные данные'!I31-'минимумы и максимумы'!G$2)/('минимумы и максимумы'!G$4-'минимумы и максимумы'!G$2)*100)</f>
        <v>0</v>
      </c>
      <c r="J31" s="1">
        <f>IF('исходные данные'!J31&gt;'минимумы и максимумы'!H$4,100,('исходные данные'!J31-'минимумы и максимумы'!H$2)/('минимумы и максимумы'!H$4-'минимумы и максимумы'!H$2)*100)</f>
        <v>0</v>
      </c>
      <c r="K31" s="1">
        <f>IF('исходные данные'!K31&gt;'минимумы и максимумы'!I$4,100,('исходные данные'!K31-'минимумы и максимумы'!I$2)/('минимумы и максимумы'!I$4-'минимумы и максимумы'!I$2)*100)</f>
        <v>0</v>
      </c>
      <c r="L31" s="1">
        <f>IF('исходные данные'!L31&gt;'минимумы и максимумы'!J$4,100,('исходные данные'!L31-'минимумы и максимумы'!J$2)/('минимумы и максимумы'!J$4-'минимумы и максимумы'!J$2)*100)</f>
        <v>0</v>
      </c>
      <c r="M31" s="1">
        <f>IF('исходные данные'!M31&gt;'минимумы и максимумы'!K$4,100,('исходные данные'!M31-'минимумы и максимумы'!K$2)/('минимумы и максимумы'!K$4-'минимумы и максимумы'!K$2)*100)</f>
        <v>0</v>
      </c>
      <c r="N31" s="1">
        <f>IF('исходные данные'!N31&gt;'минимумы и максимумы'!L$4,100,('исходные данные'!N31-'минимумы и максимумы'!L$2)/('минимумы и максимумы'!L$4-'минимумы и максимумы'!L$2)*100)</f>
        <v>15.834996607419097</v>
      </c>
      <c r="O31" s="1">
        <f>IF('исходные данные'!O31&gt;'минимумы и максимумы'!M$4,100,('исходные данные'!O31-'минимумы и максимумы'!M$2)/('минимумы и максимумы'!M$4-'минимумы и максимумы'!M$2)*100)</f>
        <v>0</v>
      </c>
      <c r="P31" s="1">
        <f>IF('исходные данные'!P31&gt;'минимумы и максимумы'!N$4,100,('исходные данные'!P31-'минимумы и максимумы'!N$2)/('минимумы и максимумы'!N$4-'минимумы и максимумы'!N$2)*100)</f>
        <v>0</v>
      </c>
      <c r="Q31" s="1">
        <f>IF('исходные данные'!Q31&gt;'минимумы и максимумы'!O$4,100,('исходные данные'!Q31-'минимумы и максимумы'!O$2)/('минимумы и максимумы'!O$4-'минимумы и максимумы'!O$2)*100)</f>
        <v>100</v>
      </c>
      <c r="R31" s="1">
        <f>IF('исходные данные'!R31&gt;'минимумы и максимумы'!P$4,100,('исходные данные'!R31-'минимумы и максимумы'!P$2)/('минимумы и максимумы'!P$4-'минимумы и максимумы'!P$2)*100)</f>
        <v>50</v>
      </c>
      <c r="S31" s="1">
        <f>IF('исходные данные'!S31&gt;'минимумы и максимумы'!Q$4,100,('исходные данные'!S31-'минимумы и максимумы'!Q$2)/('минимумы и максимумы'!Q$4-'минимумы и максимумы'!Q$2)*100)</f>
        <v>33.333333333333329</v>
      </c>
      <c r="T31" s="1">
        <f>IF('исходные данные'!T31&gt;'минимумы и максимумы'!R$4,100,('исходные данные'!T31-'минимумы и максимумы'!R$2)/('минимумы и максимумы'!R$4-'минимумы и максимумы'!R$2)*100)</f>
        <v>13.003452243958574</v>
      </c>
      <c r="U31" s="1">
        <f>IF('исходные данные'!U31&gt;'минимумы и максимумы'!S$4,100,('исходные данные'!U31-'минимумы и максимумы'!S$2)/('минимумы и максимумы'!S$4-'минимумы и максимумы'!S$2)*100)</f>
        <v>33.333333333333329</v>
      </c>
    </row>
    <row r="32" spans="1:21" x14ac:dyDescent="0.45">
      <c r="A32" s="4">
        <v>57</v>
      </c>
      <c r="B32" s="4">
        <v>0</v>
      </c>
      <c r="C32" s="4">
        <v>0</v>
      </c>
      <c r="D32" s="1">
        <f>IF('исходные данные'!D32&gt;'минимумы и максимумы'!B$4,100,('исходные данные'!D32-'минимумы и максимумы'!B$2)/('минимумы и максимумы'!B$4-'минимумы и максимумы'!B$2)*100)</f>
        <v>25</v>
      </c>
      <c r="E32" s="1">
        <f>IF('исходные данные'!E32&gt;'минимумы и максимумы'!C$4,100,('исходные данные'!E32-'минимумы и максимумы'!C$2)/('минимумы и максимумы'!C$4-'минимумы и максимумы'!C$2)*100)</f>
        <v>12.5</v>
      </c>
      <c r="F32" s="1">
        <f>IF('исходные данные'!F32&gt;'минимумы и максимумы'!D$4,100,('исходные данные'!F32-'минимумы и максимумы'!D$2)/('минимумы и максимумы'!D$4-'минимумы и максимумы'!D$2)*100)</f>
        <v>0</v>
      </c>
      <c r="G32" s="1">
        <f>IF('исходные данные'!G32&gt;'минимумы и максимумы'!E$4,100,('исходные данные'!G32-'минимумы и максимумы'!E$2)/('минимумы и максимумы'!E$4-'минимумы и максимумы'!E$2)*100)</f>
        <v>16.216216216216218</v>
      </c>
      <c r="H32" s="1">
        <f>IF('исходные данные'!H32&gt;'минимумы и максимумы'!F$4,100,('исходные данные'!H32-'минимумы и максимумы'!F$2)/('минимумы и максимумы'!F$4-'минимумы и максимумы'!F$2)*100)</f>
        <v>7.8947368421052628</v>
      </c>
      <c r="I32" s="1">
        <f>IF('исходные данные'!I32&gt;'минимумы и максимумы'!G$4,100,('исходные данные'!I32-'минимумы и максимумы'!G$2)/('минимумы и максимумы'!G$4-'минимумы и максимумы'!G$2)*100)</f>
        <v>8.4337349397590362</v>
      </c>
      <c r="J32" s="1">
        <f>IF('исходные данные'!J32&gt;'минимумы и максимумы'!H$4,100,('исходные данные'!J32-'минимумы и максимумы'!H$2)/('минимумы и максимумы'!H$4-'минимумы и максимумы'!H$2)*100)</f>
        <v>0</v>
      </c>
      <c r="K32" s="1">
        <f>IF('исходные данные'!K32&gt;'минимумы и максимумы'!I$4,100,('исходные данные'!K32-'минимумы и максимумы'!I$2)/('минимумы и максимумы'!I$4-'минимумы и максимумы'!I$2)*100)</f>
        <v>3.5714285714285712</v>
      </c>
      <c r="L32" s="1">
        <f>IF('исходные данные'!L32&gt;'минимумы и максимумы'!J$4,100,('исходные данные'!L32-'минимумы и максимумы'!J$2)/('минимумы и максимумы'!J$4-'минимумы и максимумы'!J$2)*100)</f>
        <v>12.5</v>
      </c>
      <c r="M32" s="1">
        <f>IF('исходные данные'!M32&gt;'минимумы и максимумы'!K$4,100,('исходные данные'!M32-'минимумы и максимумы'!K$2)/('минимумы и максимумы'!K$4-'минимумы и максимумы'!K$2)*100)</f>
        <v>8.5106382978723403</v>
      </c>
      <c r="N32" s="1">
        <f>IF('исходные данные'!N32&gt;'минимумы и максимумы'!L$4,100,('исходные данные'!N32-'минимумы и максимумы'!L$2)/('минимумы и максимумы'!L$4-'минимумы и максимумы'!L$2)*100)</f>
        <v>12.929883263785372</v>
      </c>
      <c r="O32" s="1">
        <f>IF('исходные данные'!O32&gt;'минимумы и максимумы'!M$4,100,('исходные данные'!O32-'минимумы и максимумы'!M$2)/('минимумы и максимумы'!M$4-'минимумы и максимумы'!M$2)*100)</f>
        <v>0</v>
      </c>
      <c r="P32" s="1">
        <f>IF('исходные данные'!P32&gt;'минимумы и максимумы'!N$4,100,('исходные данные'!P32-'минимумы и максимумы'!N$2)/('минимумы и максимумы'!N$4-'минимумы и максимумы'!N$2)*100)</f>
        <v>100</v>
      </c>
      <c r="Q32" s="1">
        <f>IF('исходные данные'!Q32&gt;'минимумы и максимумы'!O$4,100,('исходные данные'!Q32-'минимумы и максимумы'!O$2)/('минимумы и максимумы'!O$4-'минимумы и максимумы'!O$2)*100)</f>
        <v>0</v>
      </c>
      <c r="R32" s="1">
        <f>IF('исходные данные'!R32&gt;'минимумы и максимумы'!P$4,100,('исходные данные'!R32-'минимумы и максимумы'!P$2)/('минимумы и максимумы'!P$4-'минимумы и максимумы'!P$2)*100)</f>
        <v>100</v>
      </c>
      <c r="S32" s="1">
        <f>IF('исходные данные'!S32&gt;'минимумы и максимумы'!Q$4,100,('исходные данные'!S32-'минимумы и максимумы'!Q$2)/('минимумы и максимумы'!Q$4-'минимумы и максимумы'!Q$2)*100)</f>
        <v>66.666666666666657</v>
      </c>
      <c r="T32" s="1">
        <f>IF('исходные данные'!T32&gt;'минимумы и максимумы'!R$4,100,('исходные данные'!T32-'минимумы и максимумы'!R$2)/('минимумы и максимумы'!R$4-'минимумы и максимумы'!R$2)*100)</f>
        <v>39.182968929804375</v>
      </c>
      <c r="U32" s="1">
        <f>IF('исходные данные'!U32&gt;'минимумы и максимумы'!S$4,100,('исходные данные'!U32-'минимумы и максимумы'!S$2)/('минимумы и максимумы'!S$4-'минимумы и максимумы'!S$2)*100)</f>
        <v>0</v>
      </c>
    </row>
    <row r="33" spans="1:21" x14ac:dyDescent="0.45">
      <c r="A33" s="4">
        <v>58</v>
      </c>
      <c r="B33" s="4">
        <v>0</v>
      </c>
      <c r="C33" s="4">
        <v>0</v>
      </c>
      <c r="D33" s="1">
        <f>IF('исходные данные'!D33&gt;'минимумы и максимумы'!B$4,100,('исходные данные'!D33-'минимумы и максимумы'!B$2)/('минимумы и максимумы'!B$4-'минимумы и максимумы'!B$2)*100)</f>
        <v>25</v>
      </c>
      <c r="E33" s="1">
        <f>IF('исходные данные'!E33&gt;'минимумы и максимумы'!C$4,100,('исходные данные'!E33-'минимумы и максимумы'!C$2)/('минимумы и максимумы'!C$4-'минимумы и максимумы'!C$2)*100)</f>
        <v>56.25</v>
      </c>
      <c r="F33" s="1">
        <f>IF('исходные данные'!F33&gt;'минимумы и максимумы'!D$4,100,('исходные данные'!F33-'минимумы и максимумы'!D$2)/('минимумы и максимумы'!D$4-'минимумы и максимумы'!D$2)*100)</f>
        <v>25</v>
      </c>
      <c r="G33" s="1">
        <f>IF('исходные данные'!G33&gt;'минимумы и максимумы'!E$4,100,('исходные данные'!G33-'минимумы и максимумы'!E$2)/('минимумы и максимумы'!E$4-'минимумы и максимумы'!E$2)*100)</f>
        <v>21.621621621621621</v>
      </c>
      <c r="H33" s="1">
        <f>IF('исходные данные'!H33&gt;'минимумы и максимумы'!F$4,100,('исходные данные'!H33-'минимумы и максимумы'!F$2)/('минимумы и максимумы'!F$4-'минимумы и максимумы'!F$2)*100)</f>
        <v>13.157894736842104</v>
      </c>
      <c r="I33" s="1">
        <f>IF('исходные данные'!I33&gt;'минимумы и максимумы'!G$4,100,('исходные данные'!I33-'минимумы и максимумы'!G$2)/('минимумы и максимумы'!G$4-'минимумы и максимумы'!G$2)*100)</f>
        <v>18.072289156626507</v>
      </c>
      <c r="J33" s="1">
        <f>IF('исходные данные'!J33&gt;'минимумы и максимумы'!H$4,100,('исходные данные'!J33-'минимумы и максимумы'!H$2)/('минимумы и максимумы'!H$4-'минимумы и максимумы'!H$2)*100)</f>
        <v>4.1666666666666661</v>
      </c>
      <c r="K33" s="1">
        <f>IF('исходные данные'!K33&gt;'минимумы и максимумы'!I$4,100,('исходные данные'!K33-'минимумы и максимумы'!I$2)/('минимумы и максимумы'!I$4-'минимумы и максимумы'!I$2)*100)</f>
        <v>32.142857142857146</v>
      </c>
      <c r="L33" s="1">
        <f>IF('исходные данные'!L33&gt;'минимумы и максимумы'!J$4,100,('исходные данные'!L33-'минимумы и максимумы'!J$2)/('минимумы и максимумы'!J$4-'минимумы и максимумы'!J$2)*100)</f>
        <v>12.5</v>
      </c>
      <c r="M33" s="1">
        <f>IF('исходные данные'!M33&gt;'минимумы и максимумы'!K$4,100,('исходные данные'!M33-'минимумы и максимумы'!K$2)/('минимумы и максимумы'!K$4-'минимумы и максимумы'!K$2)*100)</f>
        <v>19.148936170212767</v>
      </c>
      <c r="N33" s="1">
        <f>IF('исходные данные'!N33&gt;'минимумы и максимумы'!L$4,100,('исходные данные'!N33-'минимумы и максимумы'!L$2)/('минимумы и максимумы'!L$4-'минимумы и максимумы'!L$2)*100)</f>
        <v>11.517896350371819</v>
      </c>
      <c r="O33" s="1">
        <f>IF('исходные данные'!O33&gt;'минимумы и максимумы'!M$4,100,('исходные данные'!O33-'минимумы и максимумы'!M$2)/('минимумы и максимумы'!M$4-'минимумы и максимумы'!M$2)*100)</f>
        <v>33.333333333333329</v>
      </c>
      <c r="P33" s="1">
        <f>IF('исходные данные'!P33&gt;'минимумы и максимумы'!N$4,100,('исходные данные'!P33-'минимумы и максимумы'!N$2)/('минимумы и максимумы'!N$4-'минимумы и максимумы'!N$2)*100)</f>
        <v>0</v>
      </c>
      <c r="Q33" s="1">
        <f>IF('исходные данные'!Q33&gt;'минимумы и максимумы'!O$4,100,('исходные данные'!Q33-'минимумы и максимумы'!O$2)/('минимумы и максимумы'!O$4-'минимумы и максимумы'!O$2)*100)</f>
        <v>100</v>
      </c>
      <c r="R33" s="1">
        <f>IF('исходные данные'!R33&gt;'минимумы и максимумы'!P$4,100,('исходные данные'!R33-'минимумы и максимумы'!P$2)/('минимумы и максимумы'!P$4-'минимумы и максимумы'!P$2)*100)</f>
        <v>75</v>
      </c>
      <c r="S33" s="1">
        <f>IF('исходные данные'!S33&gt;'минимумы и максимумы'!Q$4,100,('исходные данные'!S33-'минимумы и максимумы'!Q$2)/('минимумы и максимумы'!Q$4-'минимумы и максимумы'!Q$2)*100)</f>
        <v>44.444444444444443</v>
      </c>
      <c r="T33" s="1">
        <f>IF('исходные данные'!T33&gt;'минимумы и максимумы'!R$4,100,('исходные данные'!T33-'минимумы и максимумы'!R$2)/('минимумы и максимумы'!R$4-'минимумы и максимумы'!R$2)*100)</f>
        <v>8.8032220943613346</v>
      </c>
      <c r="U33" s="1">
        <f>IF('исходные данные'!U33&gt;'минимумы и максимумы'!S$4,100,('исходные данные'!U33-'минимумы и максимумы'!S$2)/('минимумы и максимумы'!S$4-'минимумы и максимумы'!S$2)*100)</f>
        <v>0</v>
      </c>
    </row>
    <row r="34" spans="1:21" x14ac:dyDescent="0.45">
      <c r="A34" s="4">
        <v>59</v>
      </c>
      <c r="B34" s="4">
        <v>0</v>
      </c>
      <c r="C34" s="4">
        <v>0</v>
      </c>
      <c r="D34" s="1">
        <f>IF('исходные данные'!D34&gt;'минимумы и максимумы'!B$4,100,('исходные данные'!D34-'минимумы и максимумы'!B$2)/('минимумы и максимумы'!B$4-'минимумы и максимумы'!B$2)*100)</f>
        <v>12.5</v>
      </c>
      <c r="E34" s="1">
        <f>IF('исходные данные'!E34&gt;'минимумы и максимумы'!C$4,100,('исходные данные'!E34-'минимумы и максимумы'!C$2)/('минимумы и максимумы'!C$4-'минимумы и максимумы'!C$2)*100)</f>
        <v>37.5</v>
      </c>
      <c r="F34" s="1">
        <f>IF('исходные данные'!F34&gt;'минимумы и максимумы'!D$4,100,('исходные данные'!F34-'минимумы и максимумы'!D$2)/('минимумы и максимумы'!D$4-'минимумы и максимумы'!D$2)*100)</f>
        <v>25</v>
      </c>
      <c r="G34" s="1">
        <f>IF('исходные данные'!G34&gt;'минимумы и максимумы'!E$4,100,('исходные данные'!G34-'минимумы и максимумы'!E$2)/('минимумы и максимумы'!E$4-'минимумы и максимумы'!E$2)*100)</f>
        <v>16.216216216216218</v>
      </c>
      <c r="H34" s="1">
        <f>IF('исходные данные'!H34&gt;'минимумы и максимумы'!F$4,100,('исходные данные'!H34-'минимумы и максимумы'!F$2)/('минимумы и максимумы'!F$4-'минимумы и максимумы'!F$2)*100)</f>
        <v>13.157894736842104</v>
      </c>
      <c r="I34" s="1">
        <f>IF('исходные данные'!I34&gt;'минимумы и максимумы'!G$4,100,('исходные данные'!I34-'минимумы и максимумы'!G$2)/('минимумы и максимумы'!G$4-'минимумы и максимумы'!G$2)*100)</f>
        <v>24.096385542168676</v>
      </c>
      <c r="J34" s="1">
        <f>IF('исходные данные'!J34&gt;'минимумы и максимумы'!H$4,100,('исходные данные'!J34-'минимумы и максимумы'!H$2)/('минимумы и максимумы'!H$4-'минимумы и максимумы'!H$2)*100)</f>
        <v>8.3333333333333321</v>
      </c>
      <c r="K34" s="1">
        <f>IF('исходные данные'!K34&gt;'минимумы и максимумы'!I$4,100,('исходные данные'!K34-'минимумы и максимумы'!I$2)/('минимумы и максимумы'!I$4-'минимумы и максимумы'!I$2)*100)</f>
        <v>39.285714285714285</v>
      </c>
      <c r="L34" s="1">
        <f>IF('исходные данные'!L34&gt;'минимумы и максимумы'!J$4,100,('исходные данные'!L34-'минимумы и максимумы'!J$2)/('минимумы и максимумы'!J$4-'минимумы и максимумы'!J$2)*100)</f>
        <v>0</v>
      </c>
      <c r="M34" s="1">
        <f>IF('исходные данные'!M34&gt;'минимумы и максимумы'!K$4,100,('исходные данные'!M34-'минимумы и максимумы'!K$2)/('минимумы и максимумы'!K$4-'минимумы и максимумы'!K$2)*100)</f>
        <v>19.148936170212767</v>
      </c>
      <c r="N34" s="1">
        <f>IF('исходные данные'!N34&gt;'минимумы и максимумы'!L$4,100,('исходные данные'!N34-'минимумы и максимумы'!L$2)/('минимумы и максимумы'!L$4-'минимумы и максимумы'!L$2)*100)</f>
        <v>10.391777042762875</v>
      </c>
      <c r="O34" s="1">
        <f>IF('исходные данные'!O34&gt;'минимумы и максимумы'!M$4,100,('исходные данные'!O34-'минимумы и максимумы'!M$2)/('минимумы и максимумы'!M$4-'минимумы и максимумы'!M$2)*100)</f>
        <v>33.333333333333329</v>
      </c>
      <c r="P34" s="1">
        <f>IF('исходные данные'!P34&gt;'минимумы и максимумы'!N$4,100,('исходные данные'!P34-'минимумы и максимумы'!N$2)/('минимумы и максимумы'!N$4-'минимумы и максимумы'!N$2)*100)</f>
        <v>0</v>
      </c>
      <c r="Q34" s="1">
        <f>IF('исходные данные'!Q34&gt;'минимумы и максимумы'!O$4,100,('исходные данные'!Q34-'минимумы и максимумы'!O$2)/('минимумы и максимумы'!O$4-'минимумы и максимумы'!O$2)*100)</f>
        <v>0</v>
      </c>
      <c r="R34" s="1">
        <f>IF('исходные данные'!R34&gt;'минимумы и максимумы'!P$4,100,('исходные данные'!R34-'минимумы и максимумы'!P$2)/('минимумы и максимумы'!P$4-'минимумы и максимумы'!P$2)*100)</f>
        <v>75</v>
      </c>
      <c r="S34" s="1">
        <f>IF('исходные данные'!S34&gt;'минимумы и максимумы'!Q$4,100,('исходные данные'!S34-'минимумы и максимумы'!Q$2)/('минимумы и максимумы'!Q$4-'минимумы и максимумы'!Q$2)*100)</f>
        <v>22.222222222222221</v>
      </c>
      <c r="T34" s="1">
        <f>IF('исходные данные'!T34&gt;'минимумы и максимумы'!R$4,100,('исходные данные'!T34-'минимумы и максимумы'!R$2)/('минимумы и максимумы'!R$4-'минимумы и максимумы'!R$2)*100)</f>
        <v>22.756041426927503</v>
      </c>
      <c r="U34" s="1">
        <f>IF('исходные данные'!U34&gt;'минимумы и максимумы'!S$4,100,('исходные данные'!U34-'минимумы и максимумы'!S$2)/('минимумы и максимумы'!S$4-'минимумы и максимумы'!S$2)*100)</f>
        <v>33.333333333333329</v>
      </c>
    </row>
    <row r="35" spans="1:21" x14ac:dyDescent="0.45">
      <c r="A35" s="4">
        <v>61</v>
      </c>
      <c r="B35" s="4">
        <v>0</v>
      </c>
      <c r="C35" s="4">
        <v>0</v>
      </c>
      <c r="D35" s="1">
        <f>IF('исходные данные'!D35&gt;'минимумы и максимумы'!B$4,100,('исходные данные'!D35-'минимумы и максимумы'!B$2)/('минимумы и максимумы'!B$4-'минимумы и максимумы'!B$2)*100)</f>
        <v>12.5</v>
      </c>
      <c r="E35" s="1">
        <f>IF('исходные данные'!E35&gt;'минимумы и максимумы'!C$4,100,('исходные данные'!E35-'минимумы и максимумы'!C$2)/('минимумы и максимумы'!C$4-'минимумы и максимумы'!C$2)*100)</f>
        <v>56.25</v>
      </c>
      <c r="F35" s="1">
        <f>IF('исходные данные'!F35&gt;'минимумы и максимумы'!D$4,100,('исходные данные'!F35-'минимумы и максимумы'!D$2)/('минимумы и максимумы'!D$4-'минимумы и максимумы'!D$2)*100)</f>
        <v>25</v>
      </c>
      <c r="G35" s="1">
        <f>IF('исходные данные'!G35&gt;'минимумы и максимумы'!E$4,100,('исходные данные'!G35-'минимумы и максимумы'!E$2)/('минимумы и максимумы'!E$4-'минимумы и максимумы'!E$2)*100)</f>
        <v>10.810810810810811</v>
      </c>
      <c r="H35" s="1">
        <f>IF('исходные данные'!H35&gt;'минимумы и максимумы'!F$4,100,('исходные данные'!H35-'минимумы и максимумы'!F$2)/('минимумы и максимумы'!F$4-'минимумы и максимумы'!F$2)*100)</f>
        <v>10.526315789473683</v>
      </c>
      <c r="I35" s="1">
        <f>IF('исходные данные'!I35&gt;'минимумы и максимумы'!G$4,100,('исходные данные'!I35-'минимумы и максимумы'!G$2)/('минимумы и максимумы'!G$4-'минимумы и максимумы'!G$2)*100)</f>
        <v>12.048192771084338</v>
      </c>
      <c r="J35" s="1">
        <f>IF('исходные данные'!J35&gt;'минимумы и максимумы'!H$4,100,('исходные данные'!J35-'минимумы и максимумы'!H$2)/('минимумы и максимумы'!H$4-'минимумы и максимумы'!H$2)*100)</f>
        <v>4.1666666666666661</v>
      </c>
      <c r="K35" s="1">
        <f>IF('исходные данные'!K35&gt;'минимумы и максимумы'!I$4,100,('исходные данные'!K35-'минимумы и максимумы'!I$2)/('минимумы и максимумы'!I$4-'минимумы и максимумы'!I$2)*100)</f>
        <v>28.571428571428569</v>
      </c>
      <c r="L35" s="1">
        <f>IF('исходные данные'!L35&gt;'минимумы и максимумы'!J$4,100,('исходные данные'!L35-'минимумы и максимумы'!J$2)/('минимумы и максимумы'!J$4-'минимумы и максимумы'!J$2)*100)</f>
        <v>0</v>
      </c>
      <c r="M35" s="1">
        <f>IF('исходные данные'!M35&gt;'минимумы и максимумы'!K$4,100,('исходные данные'!M35-'минимумы и максимумы'!K$2)/('минимумы и максимумы'!K$4-'минимумы и максимумы'!K$2)*100)</f>
        <v>23.404255319148938</v>
      </c>
      <c r="N35" s="1">
        <f>IF('исходные данные'!N35&gt;'минимумы и максимумы'!L$4,100,('исходные данные'!N35-'минимумы и максимумы'!L$2)/('минимумы и максимумы'!L$4-'минимумы и максимумы'!L$2)*100)</f>
        <v>10.504408373660461</v>
      </c>
      <c r="O35" s="1">
        <f>IF('исходные данные'!O35&gt;'минимумы и максимумы'!M$4,100,('исходные данные'!O35-'минимумы и максимумы'!M$2)/('минимумы и максимумы'!M$4-'минимумы и максимумы'!M$2)*100)</f>
        <v>100</v>
      </c>
      <c r="P35" s="1">
        <f>IF('исходные данные'!P35&gt;'минимумы и максимумы'!N$4,100,('исходные данные'!P35-'минимумы и максимумы'!N$2)/('минимумы и максимумы'!N$4-'минимумы и максимумы'!N$2)*100)</f>
        <v>0</v>
      </c>
      <c r="Q35" s="1">
        <f>IF('исходные данные'!Q35&gt;'минимумы и максимумы'!O$4,100,('исходные данные'!Q35-'минимумы и максимумы'!O$2)/('минимумы и максимумы'!O$4-'минимумы и максимумы'!O$2)*100)</f>
        <v>100</v>
      </c>
      <c r="R35" s="1">
        <f>IF('исходные данные'!R35&gt;'минимумы и максимумы'!P$4,100,('исходные данные'!R35-'минимумы и максимумы'!P$2)/('минимумы и максимумы'!P$4-'минимумы и максимумы'!P$2)*100)</f>
        <v>100</v>
      </c>
      <c r="S35" s="1">
        <f>IF('исходные данные'!S35&gt;'минимумы и максимумы'!Q$4,100,('исходные данные'!S35-'минимумы и максимумы'!Q$2)/('минимумы и максимумы'!Q$4-'минимумы и максимумы'!Q$2)*100)</f>
        <v>22.222222222222221</v>
      </c>
      <c r="T35" s="1">
        <f>IF('исходные данные'!T35&gt;'минимумы и максимумы'!R$4,100,('исходные данные'!T35-'минимумы и максимумы'!R$2)/('минимумы и максимумы'!R$4-'минимумы и максимумы'!R$2)*100)</f>
        <v>11.162255466052933</v>
      </c>
      <c r="U35" s="1">
        <f>IF('исходные данные'!U35&gt;'минимумы и максимумы'!S$4,100,('исходные данные'!U35-'минимумы и максимумы'!S$2)/('минимумы и максимумы'!S$4-'минимумы и максимумы'!S$2)*100)</f>
        <v>33.333333333333329</v>
      </c>
    </row>
    <row r="36" spans="1:21" x14ac:dyDescent="0.45">
      <c r="A36" s="4">
        <v>65</v>
      </c>
      <c r="B36" s="4">
        <v>0</v>
      </c>
      <c r="C36" s="4">
        <v>0</v>
      </c>
      <c r="D36" s="1">
        <f>IF('исходные данные'!D36&gt;'минимумы и максимумы'!B$4,100,('исходные данные'!D36-'минимумы и максимумы'!B$2)/('минимумы и максимумы'!B$4-'минимумы и максимумы'!B$2)*100)</f>
        <v>12.5</v>
      </c>
      <c r="E36" s="1">
        <f>IF('исходные данные'!E36&gt;'минимумы и максимумы'!C$4,100,('исходные данные'!E36-'минимумы и максимумы'!C$2)/('минимумы и максимумы'!C$4-'минимумы и максимумы'!C$2)*100)</f>
        <v>0</v>
      </c>
      <c r="F36" s="1">
        <f>IF('исходные данные'!F36&gt;'минимумы и максимумы'!D$4,100,('исходные данные'!F36-'минимумы и максимумы'!D$2)/('минимумы и максимумы'!D$4-'минимумы и максимумы'!D$2)*100)</f>
        <v>0</v>
      </c>
      <c r="G36" s="1">
        <f>IF('исходные данные'!G36&gt;'минимумы и максимумы'!E$4,100,('исходные данные'!G36-'минимумы и максимумы'!E$2)/('минимумы и максимумы'!E$4-'минимумы и максимумы'!E$2)*100)</f>
        <v>8.1081081081081088</v>
      </c>
      <c r="H36" s="1">
        <f>IF('исходные данные'!H36&gt;'минимумы и максимумы'!F$4,100,('исходные данные'!H36-'минимумы и максимумы'!F$2)/('минимумы и максимумы'!F$4-'минимумы и максимумы'!F$2)*100)</f>
        <v>2.6315789473684208</v>
      </c>
      <c r="I36" s="1">
        <f>IF('исходные данные'!I36&gt;'минимумы и максимумы'!G$4,100,('исходные данные'!I36-'минимумы и максимумы'!G$2)/('минимумы и максимумы'!G$4-'минимумы и максимумы'!G$2)*100)</f>
        <v>18.072289156626507</v>
      </c>
      <c r="J36" s="1">
        <f>IF('исходные данные'!J36&gt;'минимумы и максимумы'!H$4,100,('исходные данные'!J36-'минимумы и максимумы'!H$2)/('минимумы и максимумы'!H$4-'минимумы и максимумы'!H$2)*100)</f>
        <v>8.3333333333333321</v>
      </c>
      <c r="K36" s="1">
        <f>IF('исходные данные'!K36&gt;'минимумы и максимумы'!I$4,100,('исходные данные'!K36-'минимумы и максимумы'!I$2)/('минимумы и максимумы'!I$4-'минимумы и максимумы'!I$2)*100)</f>
        <v>7.1428571428571423</v>
      </c>
      <c r="L36" s="1">
        <f>IF('исходные данные'!L36&gt;'минимумы и максимумы'!J$4,100,('исходные данные'!L36-'минимумы и максимумы'!J$2)/('минимумы и максимумы'!J$4-'минимумы и максимумы'!J$2)*100)</f>
        <v>37.5</v>
      </c>
      <c r="M36" s="1">
        <f>IF('исходные данные'!M36&gt;'минимумы и максимумы'!K$4,100,('исходные данные'!M36-'минимумы и максимумы'!K$2)/('минимумы и максимумы'!K$4-'минимумы и максимумы'!K$2)*100)</f>
        <v>19.148936170212767</v>
      </c>
      <c r="N36" s="1">
        <f>IF('исходные данные'!N36&gt;'минимумы и максимумы'!L$4,100,('исходные данные'!N36-'минимумы и максимумы'!L$2)/('минимумы и максимумы'!L$4-'минимумы и максимумы'!L$2)*100)</f>
        <v>7.6495159583560319</v>
      </c>
      <c r="O36" s="1">
        <f>IF('исходные данные'!O36&gt;'минимумы и максимумы'!M$4,100,('исходные данные'!O36-'минимумы и максимумы'!M$2)/('минимумы и максимумы'!M$4-'минимумы и максимумы'!M$2)*100)</f>
        <v>100</v>
      </c>
      <c r="P36" s="1">
        <f>IF('исходные данные'!P36&gt;'минимумы и максимумы'!N$4,100,('исходные данные'!P36-'минимумы и максимумы'!N$2)/('минимумы и максимумы'!N$4-'минимумы и максимумы'!N$2)*100)</f>
        <v>100</v>
      </c>
      <c r="Q36" s="1">
        <f>IF('исходные данные'!Q36&gt;'минимумы и максимумы'!O$4,100,('исходные данные'!Q36-'минимумы и максимумы'!O$2)/('минимумы и максимумы'!O$4-'минимумы и максимумы'!O$2)*100)</f>
        <v>100</v>
      </c>
      <c r="R36" s="1">
        <f>IF('исходные данные'!R36&gt;'минимумы и максимумы'!P$4,100,('исходные данные'!R36-'минимумы и максимумы'!P$2)/('минимумы и максимумы'!P$4-'минимумы и максимумы'!P$2)*100)</f>
        <v>75</v>
      </c>
      <c r="S36" s="1">
        <f>IF('исходные данные'!S36&gt;'минимумы и максимумы'!Q$4,100,('исходные данные'!S36-'минимумы и максимумы'!Q$2)/('минимумы и максимумы'!Q$4-'минимумы и максимумы'!Q$2)*100)</f>
        <v>55.555555555555557</v>
      </c>
      <c r="T36" s="1">
        <f>IF('исходные данные'!T36&gt;'минимумы и максимумы'!R$4,100,('исходные данные'!T36-'минимумы и максимумы'!R$2)/('минимумы и максимумы'!R$4-'минимумы и максимумы'!R$2)*100)</f>
        <v>100</v>
      </c>
      <c r="U36" s="1">
        <f>IF('исходные данные'!U36&gt;'минимумы и максимумы'!S$4,100,('исходные данные'!U36-'минимумы и максимумы'!S$2)/('минимумы и максимумы'!S$4-'минимумы и максимумы'!S$2)*100)</f>
        <v>100</v>
      </c>
    </row>
    <row r="37" spans="1:21" x14ac:dyDescent="0.45">
      <c r="A37" s="4">
        <v>69</v>
      </c>
      <c r="B37" s="4">
        <v>0</v>
      </c>
      <c r="C37" s="4">
        <v>0</v>
      </c>
      <c r="D37" s="1">
        <f>IF('исходные данные'!D37&gt;'минимумы и максимумы'!B$4,100,('исходные данные'!D37-'минимумы и максимумы'!B$2)/('минимумы и максимумы'!B$4-'минимумы и максимумы'!B$2)*100)</f>
        <v>0</v>
      </c>
      <c r="E37" s="1">
        <f>IF('исходные данные'!E37&gt;'минимумы и максимумы'!C$4,100,('исходные данные'!E37-'минимумы и максимумы'!C$2)/('минимумы и максимумы'!C$4-'минимумы и максимумы'!C$2)*100)</f>
        <v>6.25</v>
      </c>
      <c r="F37" s="1">
        <f>IF('исходные данные'!F37&gt;'минимумы и максимумы'!D$4,100,('исходные данные'!F37-'минимумы и максимумы'!D$2)/('минимумы и максимумы'!D$4-'минимумы и максимумы'!D$2)*100)</f>
        <v>0</v>
      </c>
      <c r="G37" s="1">
        <f>IF('исходные данные'!G37&gt;'минимумы и максимумы'!E$4,100,('исходные данные'!G37-'минимумы и максимумы'!E$2)/('минимумы и максимумы'!E$4-'минимумы и максимумы'!E$2)*100)</f>
        <v>0</v>
      </c>
      <c r="H37" s="1">
        <f>IF('исходные данные'!H37&gt;'минимумы и максимумы'!F$4,100,('исходные данные'!H37-'минимумы и максимумы'!F$2)/('минимумы и максимумы'!F$4-'минимумы и максимумы'!F$2)*100)</f>
        <v>2.6315789473684208</v>
      </c>
      <c r="I37" s="1">
        <f>IF('исходные данные'!I37&gt;'минимумы и максимумы'!G$4,100,('исходные данные'!I37-'минимумы и максимумы'!G$2)/('минимумы и максимумы'!G$4-'минимумы и максимумы'!G$2)*100)</f>
        <v>12.048192771084338</v>
      </c>
      <c r="J37" s="1">
        <f>IF('исходные данные'!J37&gt;'минимумы и максимумы'!H$4,100,('исходные данные'!J37-'минимумы и максимумы'!H$2)/('минимумы и максимумы'!H$4-'минимумы и максимумы'!H$2)*100)</f>
        <v>8.3333333333333321</v>
      </c>
      <c r="K37" s="1">
        <f>IF('исходные данные'!K37&gt;'минимумы и максимумы'!I$4,100,('исходные данные'!K37-'минимумы и максимумы'!I$2)/('минимумы и максимумы'!I$4-'минимумы и максимумы'!I$2)*100)</f>
        <v>0</v>
      </c>
      <c r="L37" s="1">
        <f>IF('исходные данные'!L37&gt;'минимумы и максимумы'!J$4,100,('исходные данные'!L37-'минимумы и максимумы'!J$2)/('минимумы и максимумы'!J$4-'минимумы и максимумы'!J$2)*100)</f>
        <v>0</v>
      </c>
      <c r="M37" s="1">
        <f>IF('исходные данные'!M37&gt;'минимумы и максимумы'!K$4,100,('исходные данные'!M37-'минимумы и максимумы'!K$2)/('минимумы и максимумы'!K$4-'минимумы и максимумы'!K$2)*100)</f>
        <v>8.5106382978723403</v>
      </c>
      <c r="N37" s="1">
        <f>IF('исходные данные'!N37&gt;'минимумы и максимумы'!L$4,100,('исходные данные'!N37-'минимумы и максимумы'!L$2)/('минимумы и максимумы'!L$4-'минимумы и максимумы'!L$2)*100)</f>
        <v>6.6840120741346443</v>
      </c>
      <c r="O37" s="1">
        <f>IF('исходные данные'!O37&gt;'минимумы и максимумы'!M$4,100,('исходные данные'!O37-'минимумы и максимумы'!M$2)/('минимумы и максимумы'!M$4-'минимумы и максимумы'!M$2)*100)</f>
        <v>0</v>
      </c>
      <c r="P37" s="1">
        <f>IF('исходные данные'!P37&gt;'минимумы и максимумы'!N$4,100,('исходные данные'!P37-'минимумы и максимумы'!N$2)/('минимумы и максимумы'!N$4-'минимумы и максимумы'!N$2)*100)</f>
        <v>0</v>
      </c>
      <c r="Q37" s="1">
        <f>IF('исходные данные'!Q37&gt;'минимумы и максимумы'!O$4,100,('исходные данные'!Q37-'минимумы и максимумы'!O$2)/('минимумы и максимумы'!O$4-'минимумы и максимумы'!O$2)*100)</f>
        <v>0</v>
      </c>
      <c r="R37" s="1">
        <f>IF('исходные данные'!R37&gt;'минимумы и максимумы'!P$4,100,('исходные данные'!R37-'минимумы и максимумы'!P$2)/('минимумы и максимумы'!P$4-'минимумы и максимумы'!P$2)*100)</f>
        <v>75</v>
      </c>
      <c r="S37" s="1">
        <f>IF('исходные данные'!S37&gt;'минимумы и максимумы'!Q$4,100,('исходные данные'!S37-'минимумы и максимумы'!Q$2)/('минимумы и максимумы'!Q$4-'минимумы и максимумы'!Q$2)*100)</f>
        <v>11.111111111111111</v>
      </c>
      <c r="T37" s="1">
        <f>IF('исходные данные'!T37&gt;'минимумы и максимумы'!R$4,100,('исходные данные'!T37-'минимумы и максимумы'!R$2)/('минимумы и максимумы'!R$4-'минимумы и максимумы'!R$2)*100)</f>
        <v>4.9482163406214035</v>
      </c>
      <c r="U37" s="1">
        <f>IF('исходные данные'!U37&gt;'минимумы и максимумы'!S$4,100,('исходные данные'!U37-'минимумы и максимумы'!S$2)/('минимумы и максимумы'!S$4-'минимумы и максимумы'!S$2)*100)</f>
        <v>33.333333333333329</v>
      </c>
    </row>
    <row r="38" spans="1:21" x14ac:dyDescent="0.45">
      <c r="A38" s="4">
        <v>72</v>
      </c>
      <c r="B38" s="4">
        <v>1</v>
      </c>
      <c r="C38" s="4">
        <v>0</v>
      </c>
      <c r="D38" s="1">
        <f>IF('исходные данные'!D38&gt;'минимумы и максимумы'!B$4,100,('исходные данные'!D38-'минимумы и максимумы'!B$2)/('минимумы и максимумы'!B$4-'минимумы и максимумы'!B$2)*100)</f>
        <v>12.5</v>
      </c>
      <c r="E38" s="1">
        <f>IF('исходные данные'!E38&gt;'минимумы и максимумы'!C$4,100,('исходные данные'!E38-'минимумы и максимумы'!C$2)/('минимумы и максимумы'!C$4-'минимумы и максимумы'!C$2)*100)</f>
        <v>12.5</v>
      </c>
      <c r="F38" s="1">
        <f>IF('исходные данные'!F38&gt;'минимумы и максимумы'!D$4,100,('исходные данные'!F38-'минимумы и максимумы'!D$2)/('минимумы и максимумы'!D$4-'минимумы и максимумы'!D$2)*100)</f>
        <v>75</v>
      </c>
      <c r="G38" s="1">
        <f>IF('исходные данные'!G38&gt;'минимумы и максимумы'!E$4,100,('исходные данные'!G38-'минимумы и максимумы'!E$2)/('минимумы и максимумы'!E$4-'минимумы и максимумы'!E$2)*100)</f>
        <v>21.621621621621621</v>
      </c>
      <c r="H38" s="1">
        <f>IF('исходные данные'!H38&gt;'минимумы и максимумы'!F$4,100,('исходные данные'!H38-'минимумы и максимумы'!F$2)/('минимумы и максимумы'!F$4-'минимумы и максимумы'!F$2)*100)</f>
        <v>7.8947368421052628</v>
      </c>
      <c r="I38" s="1">
        <f>IF('исходные данные'!I38&gt;'минимумы и максимумы'!G$4,100,('исходные данные'!I38-'минимумы и максимумы'!G$2)/('минимумы и максимумы'!G$4-'минимумы и максимумы'!G$2)*100)</f>
        <v>22.891566265060241</v>
      </c>
      <c r="J38" s="1">
        <f>IF('исходные данные'!J38&gt;'минимумы и максимумы'!H$4,100,('исходные данные'!J38-'минимумы и максимумы'!H$2)/('минимумы и максимумы'!H$4-'минимумы и максимумы'!H$2)*100)</f>
        <v>12.5</v>
      </c>
      <c r="K38" s="1">
        <f>IF('исходные данные'!K38&gt;'минимумы и максимумы'!I$4,100,('исходные данные'!K38-'минимумы и максимумы'!I$2)/('минимумы и максимумы'!I$4-'минимумы и максимумы'!I$2)*100)</f>
        <v>3.5714285714285712</v>
      </c>
      <c r="L38" s="1">
        <f>IF('исходные данные'!L38&gt;'минимумы и максимумы'!J$4,100,('исходные данные'!L38-'минимумы и максимумы'!J$2)/('минимумы и максимумы'!J$4-'минимумы и максимумы'!J$2)*100)</f>
        <v>12.5</v>
      </c>
      <c r="M38" s="1">
        <f>IF('исходные данные'!M38&gt;'минимумы и максимумы'!K$4,100,('исходные данные'!M38-'минимумы и максимумы'!K$2)/('минимумы и максимумы'!K$4-'минимумы и максимумы'!K$2)*100)</f>
        <v>27.659574468085108</v>
      </c>
      <c r="N38" s="1">
        <f>IF('исходные данные'!N38&gt;'минимумы и максимумы'!L$4,100,('исходные данные'!N38-'минимумы и максимумы'!L$2)/('минимумы и максимумы'!L$4-'минимумы и максимумы'!L$2)*100)</f>
        <v>6.9183462548937298</v>
      </c>
      <c r="O38" s="1">
        <f>IF('исходные данные'!O38&gt;'минимумы и максимумы'!M$4,100,('исходные данные'!O38-'минимумы и максимумы'!M$2)/('минимумы и максимумы'!M$4-'минимумы и максимумы'!M$2)*100)</f>
        <v>100</v>
      </c>
      <c r="P38" s="1">
        <f>IF('исходные данные'!P38&gt;'минимумы и максимумы'!N$4,100,('исходные данные'!P38-'минимумы и максимумы'!N$2)/('минимумы и максимумы'!N$4-'минимумы и максимумы'!N$2)*100)</f>
        <v>0</v>
      </c>
      <c r="Q38" s="1">
        <f>IF('исходные данные'!Q38&gt;'минимумы и максимумы'!O$4,100,('исходные данные'!Q38-'минимумы и максимумы'!O$2)/('минимумы и максимумы'!O$4-'минимумы и максимумы'!O$2)*100)</f>
        <v>100</v>
      </c>
      <c r="R38" s="1">
        <f>IF('исходные данные'!R38&gt;'минимумы и максимумы'!P$4,100,('исходные данные'!R38-'минимумы и максимумы'!P$2)/('минимумы и максимумы'!P$4-'минимумы и максимумы'!P$2)*100)</f>
        <v>100</v>
      </c>
      <c r="S38" s="1">
        <f>IF('исходные данные'!S38&gt;'минимумы и максимумы'!Q$4,100,('исходные данные'!S38-'минимумы и максимумы'!Q$2)/('минимумы и максимумы'!Q$4-'минимумы и максимумы'!Q$2)*100)</f>
        <v>22.222222222222221</v>
      </c>
      <c r="T38" s="1">
        <f>IF('исходные данные'!T38&gt;'минимумы и максимумы'!R$4,100,('исходные данные'!T38-'минимумы и максимумы'!R$2)/('минимумы и максимумы'!R$4-'минимумы и максимумы'!R$2)*100)</f>
        <v>13.003452243958574</v>
      </c>
      <c r="U38" s="1">
        <f>IF('исходные данные'!U38&gt;'минимумы и максимумы'!S$4,100,('исходные данные'!U38-'минимумы и максимумы'!S$2)/('минимумы и максимумы'!S$4-'минимумы и максимумы'!S$2)*100)</f>
        <v>0</v>
      </c>
    </row>
    <row r="39" spans="1:21" x14ac:dyDescent="0.45">
      <c r="A39" s="4">
        <v>73</v>
      </c>
      <c r="B39" s="4">
        <v>1</v>
      </c>
      <c r="C39" s="4">
        <v>0</v>
      </c>
      <c r="D39" s="1">
        <f>IF('исходные данные'!D39&gt;'минимумы и максимумы'!B$4,100,('исходные данные'!D39-'минимумы и максимумы'!B$2)/('минимумы и максимумы'!B$4-'минимумы и максимумы'!B$2)*100)</f>
        <v>0</v>
      </c>
      <c r="E39" s="1">
        <f>IF('исходные данные'!E39&gt;'минимумы и максимумы'!C$4,100,('исходные данные'!E39-'минимумы и максимумы'!C$2)/('минимумы и максимумы'!C$4-'минимумы и максимумы'!C$2)*100)</f>
        <v>0</v>
      </c>
      <c r="F39" s="1">
        <f>IF('исходные данные'!F39&gt;'минимумы и максимумы'!D$4,100,('исходные данные'!F39-'минимумы и максимумы'!D$2)/('минимумы и максимумы'!D$4-'минимумы и максимумы'!D$2)*100)</f>
        <v>75</v>
      </c>
      <c r="G39" s="1">
        <f>IF('исходные данные'!G39&gt;'минимумы и максимумы'!E$4,100,('исходные данные'!G39-'минимумы и максимумы'!E$2)/('минимумы и максимумы'!E$4-'минимумы и максимумы'!E$2)*100)</f>
        <v>18.918918918918919</v>
      </c>
      <c r="H39" s="1">
        <f>IF('исходные данные'!H39&gt;'минимумы и максимумы'!F$4,100,('исходные данные'!H39-'минимумы и максимумы'!F$2)/('минимумы и максимумы'!F$4-'минимумы и максимумы'!F$2)*100)</f>
        <v>13.157894736842104</v>
      </c>
      <c r="I39" s="1">
        <f>IF('исходные данные'!I39&gt;'минимумы и максимумы'!G$4,100,('исходные данные'!I39-'минимумы и максимумы'!G$2)/('минимумы и максимумы'!G$4-'минимумы и максимумы'!G$2)*100)</f>
        <v>31.325301204819279</v>
      </c>
      <c r="J39" s="1">
        <f>IF('исходные данные'!J39&gt;'минимумы и максимумы'!H$4,100,('исходные данные'!J39-'минимумы и максимумы'!H$2)/('минимумы и максимумы'!H$4-'минимумы и максимумы'!H$2)*100)</f>
        <v>12.5</v>
      </c>
      <c r="K39" s="1">
        <f>IF('исходные данные'!K39&gt;'минимумы и максимумы'!I$4,100,('исходные данные'!K39-'минимумы и максимумы'!I$2)/('минимумы и максимумы'!I$4-'минимумы и максимумы'!I$2)*100)</f>
        <v>28.571428571428569</v>
      </c>
      <c r="L39" s="1">
        <f>IF('исходные данные'!L39&gt;'минимумы и максимумы'!J$4,100,('исходные данные'!L39-'минимумы и максимумы'!J$2)/('минимумы и максимумы'!J$4-'минимумы и максимумы'!J$2)*100)</f>
        <v>37.5</v>
      </c>
      <c r="M39" s="1">
        <f>IF('исходные данные'!M39&gt;'минимумы и максимумы'!K$4,100,('исходные данные'!M39-'минимумы и максимумы'!K$2)/('минимумы и максимумы'!K$4-'минимумы и максимумы'!K$2)*100)</f>
        <v>25.531914893617021</v>
      </c>
      <c r="N39" s="1">
        <f>IF('исходные данные'!N39&gt;'минимумы и максимумы'!L$4,100,('исходные данные'!N39-'минимумы и максимумы'!L$2)/('минимумы и максимумы'!L$4-'минимумы и максимумы'!L$2)*100)</f>
        <v>8.2408105078029141</v>
      </c>
      <c r="O39" s="1">
        <f>IF('исходные данные'!O39&gt;'минимумы и максимумы'!M$4,100,('исходные данные'!O39-'минимумы и максимумы'!M$2)/('минимумы и максимумы'!M$4-'минимумы и максимумы'!M$2)*100)</f>
        <v>66.666666666666657</v>
      </c>
      <c r="P39" s="1">
        <f>IF('исходные данные'!P39&gt;'минимумы и максимумы'!N$4,100,('исходные данные'!P39-'минимумы и максимумы'!N$2)/('минимумы и максимумы'!N$4-'минимумы и максимумы'!N$2)*100)</f>
        <v>0</v>
      </c>
      <c r="Q39" s="1">
        <f>IF('исходные данные'!Q39&gt;'минимумы и максимумы'!O$4,100,('исходные данные'!Q39-'минимумы и максимумы'!O$2)/('минимумы и максимумы'!O$4-'минимумы и максимумы'!O$2)*100)</f>
        <v>100</v>
      </c>
      <c r="R39" s="1">
        <f>IF('исходные данные'!R39&gt;'минимумы и максимумы'!P$4,100,('исходные данные'!R39-'минимумы и максимумы'!P$2)/('минимумы и максимумы'!P$4-'минимумы и максимумы'!P$2)*100)</f>
        <v>100</v>
      </c>
      <c r="S39" s="1">
        <f>IF('исходные данные'!S39&gt;'минимумы и максимумы'!Q$4,100,('исходные данные'!S39-'минимумы и максимумы'!Q$2)/('минимумы и максимумы'!Q$4-'минимумы и максимумы'!Q$2)*100)</f>
        <v>55.555555555555557</v>
      </c>
      <c r="T39" s="1">
        <f>IF('исходные данные'!T39&gt;'минимумы и максимумы'!R$4,100,('исходные данные'!T39-'минимумы и максимумы'!R$2)/('минимумы и максимумы'!R$4-'минимумы и максимумы'!R$2)*100)</f>
        <v>13.981588032220943</v>
      </c>
      <c r="U39" s="1">
        <f>IF('исходные данные'!U39&gt;'минимумы и максимумы'!S$4,100,('исходные данные'!U39-'минимумы и максимумы'!S$2)/('минимумы и максимумы'!S$4-'минимумы и максимумы'!S$2)*100)</f>
        <v>33.333333333333329</v>
      </c>
    </row>
    <row r="40" spans="1:21" x14ac:dyDescent="0.45">
      <c r="A40" s="4">
        <v>74</v>
      </c>
      <c r="B40" s="4">
        <v>1</v>
      </c>
      <c r="C40" s="4">
        <v>0</v>
      </c>
      <c r="D40" s="1">
        <f>IF('исходные данные'!D40&gt;'минимумы и максимумы'!B$4,100,('исходные данные'!D40-'минимумы и максимумы'!B$2)/('минимумы и максимумы'!B$4-'минимумы и максимумы'!B$2)*100)</f>
        <v>0</v>
      </c>
      <c r="E40" s="1">
        <f>IF('исходные данные'!E40&gt;'минимумы и максимумы'!C$4,100,('исходные данные'!E40-'минимумы и максимумы'!C$2)/('минимумы и максимумы'!C$4-'минимумы и максимумы'!C$2)*100)</f>
        <v>0</v>
      </c>
      <c r="F40" s="1">
        <f>IF('исходные данные'!F40&gt;'минимумы и максимумы'!D$4,100,('исходные данные'!F40-'минимумы и максимумы'!D$2)/('минимумы и максимумы'!D$4-'минимумы и максимумы'!D$2)*100)</f>
        <v>75</v>
      </c>
      <c r="G40" s="1">
        <f>IF('исходные данные'!G40&gt;'минимумы и максимумы'!E$4,100,('исходные данные'!G40-'минимумы и максимумы'!E$2)/('минимумы и максимумы'!E$4-'минимумы и максимумы'!E$2)*100)</f>
        <v>18.918918918918919</v>
      </c>
      <c r="H40" s="1">
        <f>IF('исходные данные'!H40&gt;'минимумы и максимумы'!F$4,100,('исходные данные'!H40-'минимумы и максимумы'!F$2)/('минимумы и максимумы'!F$4-'минимумы и максимумы'!F$2)*100)</f>
        <v>13.157894736842104</v>
      </c>
      <c r="I40" s="1">
        <f>IF('исходные данные'!I40&gt;'минимумы и максимумы'!G$4,100,('исходные данные'!I40-'минимумы и максимумы'!G$2)/('минимумы и максимумы'!G$4-'минимумы и максимумы'!G$2)*100)</f>
        <v>31.325301204819279</v>
      </c>
      <c r="J40" s="1">
        <f>IF('исходные данные'!J40&gt;'минимумы и максимумы'!H$4,100,('исходные данные'!J40-'минимумы и максимумы'!H$2)/('минимумы и максимумы'!H$4-'минимумы и максимумы'!H$2)*100)</f>
        <v>12.5</v>
      </c>
      <c r="K40" s="1">
        <f>IF('исходные данные'!K40&gt;'минимумы и максимумы'!I$4,100,('исходные данные'!K40-'минимумы и максимумы'!I$2)/('минимумы и максимумы'!I$4-'минимумы и максимумы'!I$2)*100)</f>
        <v>28.571428571428569</v>
      </c>
      <c r="L40" s="1">
        <f>IF('исходные данные'!L40&gt;'минимумы и максимумы'!J$4,100,('исходные данные'!L40-'минимумы и максимумы'!J$2)/('минимумы и максимумы'!J$4-'минимумы и максимумы'!J$2)*100)</f>
        <v>37.5</v>
      </c>
      <c r="M40" s="1">
        <f>IF('исходные данные'!M40&gt;'минимумы и максимумы'!K$4,100,('исходные данные'!M40-'минимумы и максимумы'!K$2)/('минимумы и максимумы'!K$4-'минимумы и максимумы'!K$2)*100)</f>
        <v>25.531914893617021</v>
      </c>
      <c r="N40" s="1">
        <f>IF('исходные данные'!N40&gt;'минимумы и максимумы'!L$4,100,('исходные данные'!N40-'минимумы и максимумы'!L$2)/('минимумы и максимумы'!L$4-'минимумы и максимумы'!L$2)*100)</f>
        <v>8.2408105078029141</v>
      </c>
      <c r="O40" s="1">
        <f>IF('исходные данные'!O40&gt;'минимумы и максимумы'!M$4,100,('исходные данные'!O40-'минимумы и максимумы'!M$2)/('минимумы и максимумы'!M$4-'минимумы и максимумы'!M$2)*100)</f>
        <v>66.666666666666657</v>
      </c>
      <c r="P40" s="1">
        <f>IF('исходные данные'!P40&gt;'минимумы и максимумы'!N$4,100,('исходные данные'!P40-'минимумы и максимумы'!N$2)/('минимумы и максимумы'!N$4-'минимумы и максимумы'!N$2)*100)</f>
        <v>0</v>
      </c>
      <c r="Q40" s="1">
        <f>IF('исходные данные'!Q40&gt;'минимумы и максимумы'!O$4,100,('исходные данные'!Q40-'минимумы и максимумы'!O$2)/('минимумы и максимумы'!O$4-'минимумы и максимумы'!O$2)*100)</f>
        <v>100</v>
      </c>
      <c r="R40" s="1">
        <f>IF('исходные данные'!R40&gt;'минимумы и максимумы'!P$4,100,('исходные данные'!R40-'минимумы и максимумы'!P$2)/('минимумы и максимумы'!P$4-'минимумы и максимумы'!P$2)*100)</f>
        <v>100</v>
      </c>
      <c r="S40" s="1">
        <f>IF('исходные данные'!S40&gt;'минимумы и максимумы'!Q$4,100,('исходные данные'!S40-'минимумы и максимумы'!Q$2)/('минимумы и максимумы'!Q$4-'минимумы и максимумы'!Q$2)*100)</f>
        <v>55.555555555555557</v>
      </c>
      <c r="T40" s="1">
        <f>IF('исходные данные'!T40&gt;'минимумы и максимумы'!R$4,100,('исходные данные'!T40-'минимумы и максимумы'!R$2)/('минимумы и максимумы'!R$4-'минимумы и максимумы'!R$2)*100)</f>
        <v>10.184119677790564</v>
      </c>
      <c r="U40" s="1">
        <f>IF('исходные данные'!U40&gt;'минимумы и максимумы'!S$4,100,('исходные данные'!U40-'минимумы и максимумы'!S$2)/('минимумы и максимумы'!S$4-'минимумы и максимумы'!S$2)*100)</f>
        <v>66.666666666666657</v>
      </c>
    </row>
    <row r="41" spans="1:21" x14ac:dyDescent="0.45">
      <c r="A41" s="4">
        <v>75</v>
      </c>
      <c r="B41" s="4">
        <v>0</v>
      </c>
      <c r="C41" s="4">
        <v>0</v>
      </c>
      <c r="D41" s="1">
        <f>IF('исходные данные'!D41&gt;'минимумы и максимумы'!B$4,100,('исходные данные'!D41-'минимумы и максимумы'!B$2)/('минимумы и максимумы'!B$4-'минимумы и максимумы'!B$2)*100)</f>
        <v>62.5</v>
      </c>
      <c r="E41" s="1">
        <f>IF('исходные данные'!E41&gt;'минимумы и максимумы'!C$4,100,('исходные данные'!E41-'минимумы и максимумы'!C$2)/('минимумы и максимумы'!C$4-'минимумы и максимумы'!C$2)*100)</f>
        <v>56.25</v>
      </c>
      <c r="F41" s="1">
        <f>IF('исходные данные'!F41&gt;'минимумы и максимумы'!D$4,100,('исходные данные'!F41-'минимумы и максимумы'!D$2)/('минимумы и максимумы'!D$4-'минимумы и максимумы'!D$2)*100)</f>
        <v>75</v>
      </c>
      <c r="G41" s="1">
        <f>IF('исходные данные'!G41&gt;'минимумы и максимумы'!E$4,100,('исходные данные'!G41-'минимумы и максимумы'!E$2)/('минимумы и максимумы'!E$4-'минимумы и максимумы'!E$2)*100)</f>
        <v>51.351351351351347</v>
      </c>
      <c r="H41" s="1">
        <f>IF('исходные данные'!H41&gt;'минимумы и максимумы'!F$4,100,('исходные данные'!H41-'минимумы и максимумы'!F$2)/('минимумы и максимумы'!F$4-'минимумы и максимумы'!F$2)*100)</f>
        <v>36.84210526315789</v>
      </c>
      <c r="I41" s="1">
        <f>IF('исходные данные'!I41&gt;'минимумы и максимумы'!G$4,100,('исходные данные'!I41-'минимумы и максимумы'!G$2)/('минимумы и максимумы'!G$4-'минимумы и максимумы'!G$2)*100)</f>
        <v>51.807228915662648</v>
      </c>
      <c r="J41" s="1">
        <f>IF('исходные данные'!J41&gt;'минимумы и максимумы'!H$4,100,('исходные данные'!J41-'минимумы и максимумы'!H$2)/('минимумы и максимумы'!H$4-'минимумы и максимумы'!H$2)*100)</f>
        <v>91.666666666666657</v>
      </c>
      <c r="K41" s="1">
        <f>IF('исходные данные'!K41&gt;'минимумы и максимумы'!I$4,100,('исходные данные'!K41-'минимумы и максимумы'!I$2)/('минимумы и максимумы'!I$4-'минимумы и максимумы'!I$2)*100)</f>
        <v>25</v>
      </c>
      <c r="L41" s="1">
        <f>IF('исходные данные'!L41&gt;'минимумы и максимумы'!J$4,100,('исходные данные'!L41-'минимумы и максимумы'!J$2)/('минимумы и максимумы'!J$4-'минимумы и максимумы'!J$2)*100)</f>
        <v>75</v>
      </c>
      <c r="M41" s="1">
        <f>IF('исходные данные'!M41&gt;'минимумы и максимумы'!K$4,100,('исходные данные'!M41-'минимумы и максимумы'!K$2)/('минимумы и максимумы'!K$4-'минимумы и максимумы'!K$2)*100)</f>
        <v>25.531914893617021</v>
      </c>
      <c r="N41" s="1">
        <f>IF('исходные данные'!N41&gt;'минимумы и максимумы'!L$4,100,('исходные данные'!N41-'минимумы и максимумы'!L$2)/('минимумы и максимумы'!L$4-'минимумы и максимумы'!L$2)*100)</f>
        <v>7.7243847291214145</v>
      </c>
      <c r="O41" s="1">
        <f>IF('исходные данные'!O41&gt;'минимумы и максимумы'!M$4,100,('исходные данные'!O41-'минимумы и максимумы'!M$2)/('минимумы и максимумы'!M$4-'минимумы и максимумы'!M$2)*100)</f>
        <v>33.333333333333329</v>
      </c>
      <c r="P41" s="1">
        <f>IF('исходные данные'!P41&gt;'минимумы и максимумы'!N$4,100,('исходные данные'!P41-'минимумы и максимумы'!N$2)/('минимумы и максимумы'!N$4-'минимумы и максимумы'!N$2)*100)</f>
        <v>0</v>
      </c>
      <c r="Q41" s="1">
        <f>IF('исходные данные'!Q41&gt;'минимумы и максимумы'!O$4,100,('исходные данные'!Q41-'минимумы и максимумы'!O$2)/('минимумы и максимумы'!O$4-'минимумы и максимумы'!O$2)*100)</f>
        <v>100</v>
      </c>
      <c r="R41" s="1">
        <f>IF('исходные данные'!R41&gt;'минимумы и максимумы'!P$4,100,('исходные данные'!R41-'минимумы и максимумы'!P$2)/('минимумы и максимумы'!P$4-'минимумы и максимумы'!P$2)*100)</f>
        <v>100</v>
      </c>
      <c r="S41" s="1">
        <f>IF('исходные данные'!S41&gt;'минимумы и максимумы'!Q$4,100,('исходные данные'!S41-'минимумы и максимумы'!Q$2)/('минимумы и максимумы'!Q$4-'минимумы и максимумы'!Q$2)*100)</f>
        <v>77.777777777777786</v>
      </c>
      <c r="T41" s="1">
        <f>IF('исходные данные'!T41&gt;'минимумы и максимумы'!R$4,100,('исходные данные'!T41-'минимумы и максимумы'!R$2)/('минимумы и максимумы'!R$4-'минимумы и максимумы'!R$2)*100)</f>
        <v>48.906789413118531</v>
      </c>
      <c r="U41" s="1">
        <f>IF('исходные данные'!U41&gt;'минимумы и максимумы'!S$4,100,('исходные данные'!U41-'минимумы и максимумы'!S$2)/('минимумы и максимумы'!S$4-'минимумы и максимумы'!S$2)*100)</f>
        <v>100</v>
      </c>
    </row>
    <row r="42" spans="1:21" x14ac:dyDescent="0.45">
      <c r="A42" s="4">
        <v>76</v>
      </c>
      <c r="B42" s="4">
        <v>1</v>
      </c>
      <c r="C42" s="4">
        <v>0</v>
      </c>
      <c r="D42" s="1">
        <f>IF('исходные данные'!D42&gt;'минимумы и максимумы'!B$4,100,('исходные данные'!D42-'минимумы и максимумы'!B$2)/('минимумы и максимумы'!B$4-'минимумы и максимумы'!B$2)*100)</f>
        <v>50</v>
      </c>
      <c r="E42" s="1">
        <f>IF('исходные данные'!E42&gt;'минимумы и максимумы'!C$4,100,('исходные данные'!E42-'минимумы и максимумы'!C$2)/('минимумы и максимумы'!C$4-'минимумы и максимумы'!C$2)*100)</f>
        <v>62.5</v>
      </c>
      <c r="F42" s="1">
        <f>IF('исходные данные'!F42&gt;'минимумы и максимумы'!D$4,100,('исходные данные'!F42-'минимумы и максимумы'!D$2)/('минимумы и максимумы'!D$4-'минимумы и максимумы'!D$2)*100)</f>
        <v>25</v>
      </c>
      <c r="G42" s="1">
        <f>IF('исходные данные'!G42&gt;'минимумы и максимумы'!E$4,100,('исходные данные'!G42-'минимумы и максимумы'!E$2)/('минимумы и максимумы'!E$4-'минимумы и максимумы'!E$2)*100)</f>
        <v>59.45945945945946</v>
      </c>
      <c r="H42" s="1">
        <f>IF('исходные данные'!H42&gt;'минимумы и максимумы'!F$4,100,('исходные данные'!H42-'минимумы и максимумы'!F$2)/('минимумы и максимумы'!F$4-'минимумы и максимумы'!F$2)*100)</f>
        <v>47.368421052631575</v>
      </c>
      <c r="I42" s="1">
        <f>IF('исходные данные'!I42&gt;'минимумы и максимумы'!G$4,100,('исходные данные'!I42-'минимумы и максимумы'!G$2)/('минимумы и максимумы'!G$4-'минимумы и максимумы'!G$2)*100)</f>
        <v>87.951807228915655</v>
      </c>
      <c r="J42" s="1">
        <f>IF('исходные данные'!J42&gt;'минимумы и максимумы'!H$4,100,('исходные данные'!J42-'минимумы и максимумы'!H$2)/('минимумы и максимумы'!H$4-'минимумы и максимумы'!H$2)*100)</f>
        <v>87.5</v>
      </c>
      <c r="K42" s="1">
        <f>IF('исходные данные'!K42&gt;'минимумы и максимумы'!I$4,100,('исходные данные'!K42-'минимумы и максимумы'!I$2)/('минимумы и максимумы'!I$4-'минимумы и максимумы'!I$2)*100)</f>
        <v>17.857142857142858</v>
      </c>
      <c r="L42" s="1">
        <f>IF('исходные данные'!L42&gt;'минимумы и максимумы'!J$4,100,('исходные данные'!L42-'минимумы и максимумы'!J$2)/('минимумы и максимумы'!J$4-'минимумы и максимумы'!J$2)*100)</f>
        <v>25</v>
      </c>
      <c r="M42" s="1">
        <f>IF('исходные данные'!M42&gt;'минимумы и максимумы'!K$4,100,('исходные данные'!M42-'минимумы и максимумы'!K$2)/('минимумы и максимумы'!K$4-'минимумы и максимумы'!K$2)*100)</f>
        <v>25.531914893617021</v>
      </c>
      <c r="N42" s="1">
        <f>IF('исходные данные'!N42&gt;'минимумы и максимумы'!L$4,100,('исходные данные'!N42-'минимумы и максимумы'!L$2)/('минимумы и максимумы'!L$4-'минимумы и максимумы'!L$2)*100)</f>
        <v>7.7239770159484262</v>
      </c>
      <c r="O42" s="1">
        <f>IF('исходные данные'!O42&gt;'минимумы и максимумы'!M$4,100,('исходные данные'!O42-'минимумы и максимумы'!M$2)/('минимумы и максимумы'!M$4-'минимумы и максимумы'!M$2)*100)</f>
        <v>100</v>
      </c>
      <c r="P42" s="1">
        <f>IF('исходные данные'!P42&gt;'минимумы и максимумы'!N$4,100,('исходные данные'!P42-'минимумы и максимумы'!N$2)/('минимумы и максимумы'!N$4-'минимумы и максимумы'!N$2)*100)</f>
        <v>0</v>
      </c>
      <c r="Q42" s="1">
        <f>IF('исходные данные'!Q42&gt;'минимумы и максимумы'!O$4,100,('исходные данные'!Q42-'минимумы и максимумы'!O$2)/('минимумы и максимумы'!O$4-'минимумы и максимумы'!O$2)*100)</f>
        <v>100</v>
      </c>
      <c r="R42" s="1">
        <f>IF('исходные данные'!R42&gt;'минимумы и максимумы'!P$4,100,('исходные данные'!R42-'минимумы и максимумы'!P$2)/('минимумы и максимумы'!P$4-'минимумы и максимумы'!P$2)*100)</f>
        <v>100</v>
      </c>
      <c r="S42" s="1">
        <f>IF('исходные данные'!S42&gt;'минимумы и максимумы'!Q$4,100,('исходные данные'!S42-'минимумы и максимумы'!Q$2)/('минимумы и максимумы'!Q$4-'минимумы и максимумы'!Q$2)*100)</f>
        <v>44.444444444444443</v>
      </c>
      <c r="T42" s="1">
        <f>IF('исходные данные'!T42&gt;'минимумы и максимумы'!R$4,100,('исходные данные'!T42-'минимумы и максимумы'!R$2)/('минимумы и максимумы'!R$4-'минимумы и максимумы'!R$2)*100)</f>
        <v>8.0264672036823939</v>
      </c>
      <c r="U42" s="1">
        <f>IF('исходные данные'!U42&gt;'минимумы и максимумы'!S$4,100,('исходные данные'!U42-'минимумы и максимумы'!S$2)/('минимумы и максимумы'!S$4-'минимумы и максимумы'!S$2)*100)</f>
        <v>0</v>
      </c>
    </row>
    <row r="43" spans="1:21" x14ac:dyDescent="0.45">
      <c r="A43" s="4">
        <v>77</v>
      </c>
      <c r="B43" s="4">
        <v>1</v>
      </c>
      <c r="C43" s="4">
        <v>0</v>
      </c>
      <c r="D43" s="1">
        <f>IF('исходные данные'!D43&gt;'минимумы и максимумы'!B$4,100,('исходные данные'!D43-'минимумы и максимумы'!B$2)/('минимумы и максимумы'!B$4-'минимумы и максимумы'!B$2)*100)</f>
        <v>100</v>
      </c>
      <c r="E43" s="1">
        <f>IF('исходные данные'!E43&gt;'минимумы и максимумы'!C$4,100,('исходные данные'!E43-'минимумы и максимумы'!C$2)/('минимумы и максимумы'!C$4-'минимумы и максимумы'!C$2)*100)</f>
        <v>81.25</v>
      </c>
      <c r="F43" s="1">
        <f>IF('исходные данные'!F43&gt;'минимумы и максимумы'!D$4,100,('исходные данные'!F43-'минимумы и максимумы'!D$2)/('минимумы и максимумы'!D$4-'минимумы и максимумы'!D$2)*100)</f>
        <v>0</v>
      </c>
      <c r="G43" s="1">
        <f>IF('исходные данные'!G43&gt;'минимумы и максимумы'!E$4,100,('исходные данные'!G43-'минимумы и максимумы'!E$2)/('минимумы и максимумы'!E$4-'минимумы и максимумы'!E$2)*100)</f>
        <v>32.432432432432435</v>
      </c>
      <c r="H43" s="1">
        <f>IF('исходные данные'!H43&gt;'минимумы и максимумы'!F$4,100,('исходные данные'!H43-'минимумы и максимумы'!F$2)/('минимумы и максимумы'!F$4-'минимумы и максимумы'!F$2)*100)</f>
        <v>42.105263157894733</v>
      </c>
      <c r="I43" s="1">
        <f>IF('исходные данные'!I43&gt;'минимумы и максимумы'!G$4,100,('исходные данные'!I43-'минимумы и максимумы'!G$2)/('минимумы и максимумы'!G$4-'минимумы и максимумы'!G$2)*100)</f>
        <v>74.698795180722882</v>
      </c>
      <c r="J43" s="1">
        <f>IF('исходные данные'!J43&gt;'минимумы и максимумы'!H$4,100,('исходные данные'!J43-'минимумы и максимумы'!H$2)/('минимумы и максимумы'!H$4-'минимумы и максимумы'!H$2)*100)</f>
        <v>41.666666666666671</v>
      </c>
      <c r="K43" s="1">
        <f>IF('исходные данные'!K43&gt;'минимумы и максимумы'!I$4,100,('исходные данные'!K43-'минимумы и максимумы'!I$2)/('минимумы и максимумы'!I$4-'минимумы и максимумы'!I$2)*100)</f>
        <v>78.571428571428569</v>
      </c>
      <c r="L43" s="1">
        <f>IF('исходные данные'!L43&gt;'минимумы и максимумы'!J$4,100,('исходные данные'!L43-'минимумы и максимумы'!J$2)/('минимумы и максимумы'!J$4-'минимумы и максимумы'!J$2)*100)</f>
        <v>100</v>
      </c>
      <c r="M43" s="1">
        <f>IF('исходные данные'!M43&gt;'минимумы и максимумы'!K$4,100,('исходные данные'!M43-'минимумы и максимумы'!K$2)/('минимумы и максимумы'!K$4-'минимумы и максимумы'!K$2)*100)</f>
        <v>42.553191489361701</v>
      </c>
      <c r="N43" s="1">
        <f>IF('исходные данные'!N43&gt;'минимумы и максимумы'!L$4,100,('исходные данные'!N43-'минимумы и максимумы'!L$2)/('минимумы и максимумы'!L$4-'минимумы и максимумы'!L$2)*100)</f>
        <v>9.4602007542487527</v>
      </c>
      <c r="O43" s="1">
        <f>IF('исходные данные'!O43&gt;'минимумы и максимумы'!M$4,100,('исходные данные'!O43-'минимумы и максимумы'!M$2)/('минимумы и максимумы'!M$4-'минимумы и максимумы'!M$2)*100)</f>
        <v>33.333333333333329</v>
      </c>
      <c r="P43" s="1">
        <f>IF('исходные данные'!P43&gt;'минимумы и максимумы'!N$4,100,('исходные данные'!P43-'минимумы и максимумы'!N$2)/('минимумы и максимумы'!N$4-'минимумы и максимумы'!N$2)*100)</f>
        <v>0</v>
      </c>
      <c r="Q43" s="1">
        <f>IF('исходные данные'!Q43&gt;'минимумы и максимумы'!O$4,100,('исходные данные'!Q43-'минимумы и максимумы'!O$2)/('минимумы и максимумы'!O$4-'минимумы и максимумы'!O$2)*100)</f>
        <v>100</v>
      </c>
      <c r="R43" s="1">
        <f>IF('исходные данные'!R43&gt;'минимумы и максимумы'!P$4,100,('исходные данные'!R43-'минимумы и максимумы'!P$2)/('минимумы и максимумы'!P$4-'минимумы и максимумы'!P$2)*100)</f>
        <v>100</v>
      </c>
      <c r="S43" s="1">
        <f>IF('исходные данные'!S43&gt;'минимумы и максимумы'!Q$4,100,('исходные данные'!S43-'минимумы и максимумы'!Q$2)/('минимумы и максимумы'!Q$4-'минимумы и максимумы'!Q$2)*100)</f>
        <v>55.555555555555557</v>
      </c>
      <c r="T43" s="1">
        <f>IF('исходные данные'!T43&gt;'минимумы и максимумы'!R$4,100,('исходные данные'!T43-'минимумы и максимумы'!R$2)/('минимумы и максимумы'!R$4-'минимумы и максимумы'!R$2)*100)</f>
        <v>17.174913693901036</v>
      </c>
      <c r="U43" s="1">
        <f>IF('исходные данные'!U43&gt;'минимумы и максимумы'!S$4,100,('исходные данные'!U43-'минимумы и максимумы'!S$2)/('минимумы и максимумы'!S$4-'минимумы и максимумы'!S$2)*100)</f>
        <v>33.333333333333329</v>
      </c>
    </row>
    <row r="44" spans="1:21" x14ac:dyDescent="0.45">
      <c r="A44" s="4">
        <v>79</v>
      </c>
      <c r="B44" s="4">
        <v>0</v>
      </c>
      <c r="C44" s="4">
        <v>0</v>
      </c>
      <c r="D44" s="1">
        <f>IF('исходные данные'!D44&gt;'минимумы и максимумы'!B$4,100,('исходные данные'!D44-'минимумы и максимумы'!B$2)/('минимумы и максимумы'!B$4-'минимумы и максимумы'!B$2)*100)</f>
        <v>37.5</v>
      </c>
      <c r="E44" s="1">
        <f>IF('исходные данные'!E44&gt;'минимумы и максимумы'!C$4,100,('исходные данные'!E44-'минимумы и максимумы'!C$2)/('минимумы и максимумы'!C$4-'минимумы и максимумы'!C$2)*100)</f>
        <v>56.25</v>
      </c>
      <c r="F44" s="1">
        <f>IF('исходные данные'!F44&gt;'минимумы и максимумы'!D$4,100,('исходные данные'!F44-'минимумы и максимумы'!D$2)/('минимумы и максимумы'!D$4-'минимумы и максимумы'!D$2)*100)</f>
        <v>25</v>
      </c>
      <c r="G44" s="1">
        <f>IF('исходные данные'!G44&gt;'минимумы и максимумы'!E$4,100,('исходные данные'!G44-'минимумы и максимумы'!E$2)/('минимумы и максимумы'!E$4-'минимумы и максимумы'!E$2)*100)</f>
        <v>16.216216216216218</v>
      </c>
      <c r="H44" s="1">
        <f>IF('исходные данные'!H44&gt;'минимумы и максимумы'!F$4,100,('исходные данные'!H44-'минимумы и максимумы'!F$2)/('минимумы и максимумы'!F$4-'минимумы и максимумы'!F$2)*100)</f>
        <v>23.684210526315788</v>
      </c>
      <c r="I44" s="1">
        <f>IF('исходные данные'!I44&gt;'минимумы и максимумы'!G$4,100,('исходные данные'!I44-'минимумы и максимумы'!G$2)/('минимумы и максимумы'!G$4-'минимумы и максимумы'!G$2)*100)</f>
        <v>25.301204819277107</v>
      </c>
      <c r="J44" s="1">
        <f>IF('исходные данные'!J44&gt;'минимумы и максимумы'!H$4,100,('исходные данные'!J44-'минимумы и максимумы'!H$2)/('минимумы и максимумы'!H$4-'минимумы и максимумы'!H$2)*100)</f>
        <v>12.5</v>
      </c>
      <c r="K44" s="1">
        <f>IF('исходные данные'!K44&gt;'минимумы и максимумы'!I$4,100,('исходные данные'!K44-'минимумы и максимумы'!I$2)/('минимумы и максимумы'!I$4-'минимумы и максимумы'!I$2)*100)</f>
        <v>32.142857142857146</v>
      </c>
      <c r="L44" s="1">
        <f>IF('исходные данные'!L44&gt;'минимумы и максимумы'!J$4,100,('исходные данные'!L44-'минимумы и максимумы'!J$2)/('минимумы и максимумы'!J$4-'минимумы и максимумы'!J$2)*100)</f>
        <v>37.5</v>
      </c>
      <c r="M44" s="1">
        <f>IF('исходные данные'!M44&gt;'минимумы и максимумы'!K$4,100,('исходные данные'!M44-'минимумы и максимумы'!K$2)/('минимумы и максимумы'!K$4-'минимумы и максимумы'!K$2)*100)</f>
        <v>34.042553191489361</v>
      </c>
      <c r="N44" s="1">
        <f>IF('исходные данные'!N44&gt;'минимумы и максимумы'!L$4,100,('исходные данные'!N44-'минимумы и максимумы'!L$2)/('минимумы и максимумы'!L$4-'минимумы и максимумы'!L$2)*100)</f>
        <v>9.6664016622982363</v>
      </c>
      <c r="O44" s="1">
        <f>IF('исходные данные'!O44&gt;'минимумы и максимумы'!M$4,100,('исходные данные'!O44-'минимумы и максимумы'!M$2)/('минимумы и максимумы'!M$4-'минимумы и максимумы'!M$2)*100)</f>
        <v>66.666666666666657</v>
      </c>
      <c r="P44" s="1">
        <f>IF('исходные данные'!P44&gt;'минимумы и максимумы'!N$4,100,('исходные данные'!P44-'минимумы и максимумы'!N$2)/('минимумы и максимумы'!N$4-'минимумы и максимумы'!N$2)*100)</f>
        <v>0</v>
      </c>
      <c r="Q44" s="1">
        <f>IF('исходные данные'!Q44&gt;'минимумы и максимумы'!O$4,100,('исходные данные'!Q44-'минимумы и максимумы'!O$2)/('минимумы и максимумы'!O$4-'минимумы и максимумы'!O$2)*100)</f>
        <v>0</v>
      </c>
      <c r="R44" s="1">
        <f>IF('исходные данные'!R44&gt;'минимумы и максимумы'!P$4,100,('исходные данные'!R44-'минимумы и максимумы'!P$2)/('минимумы и максимумы'!P$4-'минимумы и максимумы'!P$2)*100)</f>
        <v>25</v>
      </c>
      <c r="S44" s="1">
        <f>IF('исходные данные'!S44&gt;'минимумы и максимумы'!Q$4,100,('исходные данные'!S44-'минимумы и максимумы'!Q$2)/('минимумы и максимумы'!Q$4-'минимумы и максимумы'!Q$2)*100)</f>
        <v>44.444444444444443</v>
      </c>
      <c r="T44" s="1">
        <f>IF('исходные данные'!T44&gt;'минимумы и максимумы'!R$4,100,('исходные данные'!T44-'минимумы и максимумы'!R$2)/('минимумы и максимумы'!R$4-'минимумы и максимумы'!R$2)*100)</f>
        <v>63.895281933256619</v>
      </c>
      <c r="U44" s="1">
        <f>IF('исходные данные'!U44&gt;'минимумы и максимумы'!S$4,100,('исходные данные'!U44-'минимумы и максимумы'!S$2)/('минимумы и максимумы'!S$4-'минимумы и максимумы'!S$2)*100)</f>
        <v>0</v>
      </c>
    </row>
    <row r="45" spans="1:21" x14ac:dyDescent="0.45">
      <c r="A45" s="4">
        <v>81</v>
      </c>
      <c r="B45" s="4">
        <v>1</v>
      </c>
      <c r="C45" s="4">
        <v>0</v>
      </c>
      <c r="D45" s="1">
        <f>IF('исходные данные'!D45&gt;'минимумы и максимумы'!B$4,100,('исходные данные'!D45-'минимумы и максимумы'!B$2)/('минимумы и максимумы'!B$4-'минимумы и максимумы'!B$2)*100)</f>
        <v>12.5</v>
      </c>
      <c r="E45" s="1">
        <f>IF('исходные данные'!E45&gt;'минимумы и максимумы'!C$4,100,('исходные данные'!E45-'минимумы и максимумы'!C$2)/('минимумы и максимумы'!C$4-'минимумы и максимумы'!C$2)*100)</f>
        <v>12.5</v>
      </c>
      <c r="F45" s="1">
        <f>IF('исходные данные'!F45&gt;'минимумы и максимумы'!D$4,100,('исходные данные'!F45-'минимумы и максимумы'!D$2)/('минимумы и максимумы'!D$4-'минимумы и максимумы'!D$2)*100)</f>
        <v>75</v>
      </c>
      <c r="G45" s="1">
        <f>IF('исходные данные'!G45&gt;'минимумы и максимумы'!E$4,100,('исходные данные'!G45-'минимумы и максимумы'!E$2)/('минимумы и максимумы'!E$4-'минимумы и максимумы'!E$2)*100)</f>
        <v>24.324324324324326</v>
      </c>
      <c r="H45" s="1">
        <f>IF('исходные данные'!H45&gt;'минимумы и максимумы'!F$4,100,('исходные данные'!H45-'минимумы и максимумы'!F$2)/('минимумы и максимумы'!F$4-'минимумы и максимумы'!F$2)*100)</f>
        <v>15.789473684210526</v>
      </c>
      <c r="I45" s="1">
        <f>IF('исходные данные'!I45&gt;'минимумы и максимумы'!G$4,100,('исходные данные'!I45-'минимумы и максимумы'!G$2)/('минимумы и максимумы'!G$4-'минимумы и максимумы'!G$2)*100)</f>
        <v>40.963855421686745</v>
      </c>
      <c r="J45" s="1">
        <f>IF('исходные данные'!J45&gt;'минимумы и максимумы'!H$4,100,('исходные данные'!J45-'минимумы и максимумы'!H$2)/('минимумы и максимумы'!H$4-'минимумы и максимумы'!H$2)*100)</f>
        <v>20.833333333333336</v>
      </c>
      <c r="K45" s="1">
        <f>IF('исходные данные'!K45&gt;'минимумы и максимумы'!I$4,100,('исходные данные'!K45-'минимумы и максимумы'!I$2)/('минимумы и максимумы'!I$4-'минимумы и максимумы'!I$2)*100)</f>
        <v>57.142857142857139</v>
      </c>
      <c r="L45" s="1">
        <f>IF('исходные данные'!L45&gt;'минимумы и максимумы'!J$4,100,('исходные данные'!L45-'минимумы и максимумы'!J$2)/('минимумы и максимумы'!J$4-'минимумы и максимумы'!J$2)*100)</f>
        <v>25</v>
      </c>
      <c r="M45" s="1">
        <f>IF('исходные данные'!M45&gt;'минимумы и максимумы'!K$4,100,('исходные данные'!M45-'минимумы и максимумы'!K$2)/('минимумы и максимумы'!K$4-'минимумы и максимумы'!K$2)*100)</f>
        <v>36.170212765957451</v>
      </c>
      <c r="N45" s="1">
        <f>IF('исходные данные'!N45&gt;'минимумы и максимумы'!L$4,100,('исходные данные'!N45-'минимумы и максимумы'!L$2)/('минимумы и максимумы'!L$4-'минимумы и максимумы'!L$2)*100)</f>
        <v>8.5324923837024329</v>
      </c>
      <c r="O45" s="1">
        <f>IF('исходные данные'!O45&gt;'минимумы и максимумы'!M$4,100,('исходные данные'!O45-'минимумы и максимумы'!M$2)/('минимумы и максимумы'!M$4-'минимумы и максимумы'!M$2)*100)</f>
        <v>66.666666666666657</v>
      </c>
      <c r="P45" s="1">
        <f>IF('исходные данные'!P45&gt;'минимумы и максимумы'!N$4,100,('исходные данные'!P45-'минимумы и максимумы'!N$2)/('минимумы и максимумы'!N$4-'минимумы и максимумы'!N$2)*100)</f>
        <v>0</v>
      </c>
      <c r="Q45" s="1">
        <f>IF('исходные данные'!Q45&gt;'минимумы и максимумы'!O$4,100,('исходные данные'!Q45-'минимумы и максимумы'!O$2)/('минимумы и максимумы'!O$4-'минимумы и максимумы'!O$2)*100)</f>
        <v>100</v>
      </c>
      <c r="R45" s="1">
        <f>IF('исходные данные'!R45&gt;'минимумы и максимумы'!P$4,100,('исходные данные'!R45-'минимумы и максимумы'!P$2)/('минимумы и максимумы'!P$4-'минимумы и максимумы'!P$2)*100)</f>
        <v>75</v>
      </c>
      <c r="S45" s="1">
        <f>IF('исходные данные'!S45&gt;'минимумы и максимумы'!Q$4,100,('исходные данные'!S45-'минимумы и максимумы'!Q$2)/('минимумы и максимумы'!Q$4-'минимумы и максимумы'!Q$2)*100)</f>
        <v>33.333333333333329</v>
      </c>
      <c r="T45" s="1">
        <f>IF('исходные данные'!T45&gt;'минимумы и максимумы'!R$4,100,('исходные данные'!T45-'минимумы и максимумы'!R$2)/('минимумы и максимумы'!R$4-'минимумы и максимумы'!R$2)*100)</f>
        <v>19.303797468354432</v>
      </c>
      <c r="U45" s="1">
        <f>IF('исходные данные'!U45&gt;'минимумы и максимумы'!S$4,100,('исходные данные'!U45-'минимумы и максимумы'!S$2)/('минимумы и максимумы'!S$4-'минимумы и максимумы'!S$2)*100)</f>
        <v>0</v>
      </c>
    </row>
    <row r="46" spans="1:21" x14ac:dyDescent="0.45">
      <c r="A46" s="4">
        <v>85</v>
      </c>
      <c r="B46" s="4">
        <v>1</v>
      </c>
      <c r="C46" s="4">
        <v>0</v>
      </c>
      <c r="D46" s="1">
        <f>IF('исходные данные'!D46&gt;'минимумы и максимумы'!B$4,100,('исходные данные'!D46-'минимумы и максимумы'!B$2)/('минимумы и максимумы'!B$4-'минимумы и максимумы'!B$2)*100)</f>
        <v>62.5</v>
      </c>
      <c r="E46" s="1">
        <f>IF('исходные данные'!E46&gt;'минимумы и максимумы'!C$4,100,('исходные данные'!E46-'минимумы и максимумы'!C$2)/('минимумы и максимумы'!C$4-'минимумы и максимумы'!C$2)*100)</f>
        <v>56.25</v>
      </c>
      <c r="F46" s="1">
        <f>IF('исходные данные'!F46&gt;'минимумы и максимумы'!D$4,100,('исходные данные'!F46-'минимумы и максимумы'!D$2)/('минимумы и максимумы'!D$4-'минимумы и максимумы'!D$2)*100)</f>
        <v>50</v>
      </c>
      <c r="G46" s="1">
        <f>IF('исходные данные'!G46&gt;'минимумы и максимумы'!E$4,100,('исходные данные'!G46-'минимумы и максимумы'!E$2)/('минимумы и максимумы'!E$4-'минимумы и максимумы'!E$2)*100)</f>
        <v>27.027027027027028</v>
      </c>
      <c r="H46" s="1">
        <f>IF('исходные данные'!H46&gt;'минимумы и максимумы'!F$4,100,('исходные данные'!H46-'минимумы и максимумы'!F$2)/('минимумы и максимумы'!F$4-'минимумы и максимумы'!F$2)*100)</f>
        <v>36.84210526315789</v>
      </c>
      <c r="I46" s="1">
        <f>IF('исходные данные'!I46&gt;'минимумы и максимумы'!G$4,100,('исходные данные'!I46-'минимумы и максимумы'!G$2)/('минимумы и максимумы'!G$4-'минимумы и максимумы'!G$2)*100)</f>
        <v>42.168674698795186</v>
      </c>
      <c r="J46" s="1">
        <f>IF('исходные данные'!J46&gt;'минимумы и максимумы'!H$4,100,('исходные данные'!J46-'минимумы и максимумы'!H$2)/('минимумы и максимумы'!H$4-'минимумы и максимумы'!H$2)*100)</f>
        <v>25</v>
      </c>
      <c r="K46" s="1">
        <f>IF('исходные данные'!K46&gt;'минимумы и максимумы'!I$4,100,('исходные данные'!K46-'минимумы и максимумы'!I$2)/('минимумы и максимумы'!I$4-'минимумы и максимумы'!I$2)*100)</f>
        <v>32.142857142857146</v>
      </c>
      <c r="L46" s="1">
        <f>IF('исходные данные'!L46&gt;'минимумы и максимумы'!J$4,100,('исходные данные'!L46-'минимумы и максимумы'!J$2)/('минимумы и максимумы'!J$4-'минимумы и максимумы'!J$2)*100)</f>
        <v>62.5</v>
      </c>
      <c r="M46" s="1">
        <f>IF('исходные данные'!M46&gt;'минимумы и максимумы'!K$4,100,('исходные данные'!M46-'минимумы и максимумы'!K$2)/('минимумы и максимумы'!K$4-'минимумы и максимумы'!K$2)*100)</f>
        <v>53.191489361702125</v>
      </c>
      <c r="N46" s="1">
        <f>IF('исходные данные'!N46&gt;'минимумы и максимумы'!L$4,100,('исходные данные'!N46-'минимумы и максимумы'!L$2)/('минимумы и максимумы'!L$4-'минимумы и максимумы'!L$2)*100)</f>
        <v>12.425428672636214</v>
      </c>
      <c r="O46" s="1">
        <f>IF('исходные данные'!O46&gt;'минимумы и максимумы'!M$4,100,('исходные данные'!O46-'минимумы и максимумы'!M$2)/('минимумы и максимумы'!M$4-'минимумы и максимумы'!M$2)*100)</f>
        <v>100</v>
      </c>
      <c r="P46" s="1">
        <f>IF('исходные данные'!P46&gt;'минимумы и максимумы'!N$4,100,('исходные данные'!P46-'минимумы и максимумы'!N$2)/('минимумы и максимумы'!N$4-'минимумы и максимумы'!N$2)*100)</f>
        <v>100</v>
      </c>
      <c r="Q46" s="1">
        <f>IF('исходные данные'!Q46&gt;'минимумы и максимумы'!O$4,100,('исходные данные'!Q46-'минимумы и максимумы'!O$2)/('минимумы и максимумы'!O$4-'минимумы и максимумы'!O$2)*100)</f>
        <v>100</v>
      </c>
      <c r="R46" s="1">
        <f>IF('исходные данные'!R46&gt;'минимумы и максимумы'!P$4,100,('исходные данные'!R46-'минимумы и максимумы'!P$2)/('минимумы и максимумы'!P$4-'минимумы и максимумы'!P$2)*100)</f>
        <v>100</v>
      </c>
      <c r="S46" s="1">
        <f>IF('исходные данные'!S46&gt;'минимумы и максимумы'!Q$4,100,('исходные данные'!S46-'минимумы и максимумы'!Q$2)/('минимумы и максимумы'!Q$4-'минимумы и максимумы'!Q$2)*100)</f>
        <v>33.333333333333329</v>
      </c>
      <c r="T46" s="1">
        <f>IF('исходные данные'!T46&gt;'минимумы и максимумы'!R$4,100,('исходные данные'!T46-'минимумы и максимумы'!R$2)/('минимумы и максимумы'!R$4-'минимумы и максимумы'!R$2)*100)</f>
        <v>9.0046029919447648</v>
      </c>
      <c r="U46" s="1">
        <f>IF('исходные данные'!U46&gt;'минимумы и максимумы'!S$4,100,('исходные данные'!U46-'минимумы и максимумы'!S$2)/('минимумы и максимумы'!S$4-'минимумы и максимумы'!S$2)*100)</f>
        <v>33.333333333333329</v>
      </c>
    </row>
    <row r="47" spans="1:21" x14ac:dyDescent="0.45">
      <c r="A47" s="4">
        <v>87</v>
      </c>
      <c r="B47" s="4">
        <v>0</v>
      </c>
      <c r="C47" s="4">
        <v>0</v>
      </c>
      <c r="D47" s="1">
        <f>IF('исходные данные'!D47&gt;'минимумы и максимумы'!B$4,100,('исходные данные'!D47-'минимумы и максимумы'!B$2)/('минимумы и максимумы'!B$4-'минимумы и максимумы'!B$2)*100)</f>
        <v>62.5</v>
      </c>
      <c r="E47" s="1">
        <f>IF('исходные данные'!E47&gt;'минимумы и максимумы'!C$4,100,('исходные данные'!E47-'минимумы и максимумы'!C$2)/('минимумы и максимумы'!C$4-'минимумы и максимумы'!C$2)*100)</f>
        <v>56.25</v>
      </c>
      <c r="F47" s="1">
        <f>IF('исходные данные'!F47&gt;'минимумы и максимумы'!D$4,100,('исходные данные'!F47-'минимумы и максимумы'!D$2)/('минимумы и максимумы'!D$4-'минимумы и максимумы'!D$2)*100)</f>
        <v>50</v>
      </c>
      <c r="G47" s="1">
        <f>IF('исходные данные'!G47&gt;'минимумы и максимумы'!E$4,100,('исходные данные'!G47-'минимумы и максимумы'!E$2)/('минимумы и максимумы'!E$4-'минимумы и максимумы'!E$2)*100)</f>
        <v>21.621621621621621</v>
      </c>
      <c r="H47" s="1">
        <f>IF('исходные данные'!H47&gt;'минимумы и максимумы'!F$4,100,('исходные данные'!H47-'минимумы и максимумы'!F$2)/('минимумы и максимумы'!F$4-'минимумы и максимумы'!F$2)*100)</f>
        <v>26.315789473684209</v>
      </c>
      <c r="I47" s="1">
        <f>IF('исходные данные'!I47&gt;'минимумы и максимумы'!G$4,100,('исходные данные'!I47-'минимумы и максимумы'!G$2)/('минимумы и максимумы'!G$4-'минимумы и максимумы'!G$2)*100)</f>
        <v>32.53012048192771</v>
      </c>
      <c r="J47" s="1">
        <f>IF('исходные данные'!J47&gt;'минимумы и максимумы'!H$4,100,('исходные данные'!J47-'минимумы и максимумы'!H$2)/('минимумы и максимумы'!H$4-'минимумы и максимумы'!H$2)*100)</f>
        <v>16.666666666666664</v>
      </c>
      <c r="K47" s="1">
        <f>IF('исходные данные'!K47&gt;'минимумы и максимумы'!I$4,100,('исходные данные'!K47-'минимумы и максимумы'!I$2)/('минимумы и максимумы'!I$4-'минимумы и максимумы'!I$2)*100)</f>
        <v>25</v>
      </c>
      <c r="L47" s="1">
        <f>IF('исходные данные'!L47&gt;'минимумы и максимумы'!J$4,100,('исходные данные'!L47-'минимумы и максимумы'!J$2)/('минимумы и максимумы'!J$4-'минимумы и максимумы'!J$2)*100)</f>
        <v>62.5</v>
      </c>
      <c r="M47" s="1">
        <f>IF('исходные данные'!M47&gt;'минимумы и максимумы'!K$4,100,('исходные данные'!M47-'минимумы и максимумы'!K$2)/('минимумы и максимумы'!K$4-'минимумы и максимумы'!K$2)*100)</f>
        <v>40.425531914893611</v>
      </c>
      <c r="N47" s="1">
        <f>IF('исходные данные'!N47&gt;'минимумы и максимумы'!L$4,100,('исходные данные'!N47-'минимумы и максимумы'!L$2)/('минимумы и максимумы'!L$4-'минимумы и максимумы'!L$2)*100)</f>
        <v>12.892380401250058</v>
      </c>
      <c r="O47" s="1">
        <f>IF('исходные данные'!O47&gt;'минимумы и максимумы'!M$4,100,('исходные данные'!O47-'минимумы и максимумы'!M$2)/('минимумы и максимумы'!M$4-'минимумы и максимумы'!M$2)*100)</f>
        <v>100</v>
      </c>
      <c r="P47" s="1">
        <f>IF('исходные данные'!P47&gt;'минимумы и максимумы'!N$4,100,('исходные данные'!P47-'минимумы и максимумы'!N$2)/('минимумы и максимумы'!N$4-'минимумы и максимумы'!N$2)*100)</f>
        <v>0</v>
      </c>
      <c r="Q47" s="1">
        <f>IF('исходные данные'!Q47&gt;'минимумы и максимумы'!O$4,100,('исходные данные'!Q47-'минимумы и максимумы'!O$2)/('минимумы и максимумы'!O$4-'минимумы и максимумы'!O$2)*100)</f>
        <v>0</v>
      </c>
      <c r="R47" s="1">
        <f>IF('исходные данные'!R47&gt;'минимумы и максимумы'!P$4,100,('исходные данные'!R47-'минимумы и максимумы'!P$2)/('минимумы и максимумы'!P$4-'минимумы и максимумы'!P$2)*100)</f>
        <v>100</v>
      </c>
      <c r="S47" s="1">
        <f>IF('исходные данные'!S47&gt;'минимумы и максимумы'!Q$4,100,('исходные данные'!S47-'минимумы и максимумы'!Q$2)/('минимумы и максимумы'!Q$4-'минимумы и максимумы'!Q$2)*100)</f>
        <v>22.222222222222221</v>
      </c>
      <c r="T47" s="1">
        <f>IF('исходные данные'!T47&gt;'минимумы и максимумы'!R$4,100,('исходные данные'!T47-'минимумы и максимумы'!R$2)/('минимумы и максимумы'!R$4-'минимумы и максимумы'!R$2)*100)</f>
        <v>1.6973532796317605</v>
      </c>
      <c r="U47" s="1">
        <f>IF('исходные данные'!U47&gt;'минимумы и максимумы'!S$4,100,('исходные данные'!U47-'минимумы и максимумы'!S$2)/('минимумы и максимумы'!S$4-'минимумы и максимумы'!S$2)*100)</f>
        <v>33.333333333333329</v>
      </c>
    </row>
    <row r="48" spans="1:21" x14ac:dyDescent="0.45">
      <c r="A48" s="4">
        <v>90</v>
      </c>
      <c r="B48" s="4">
        <v>0</v>
      </c>
      <c r="C48" s="4">
        <v>0</v>
      </c>
      <c r="D48" s="1">
        <f>IF('исходные данные'!D48&gt;'минимумы и максимумы'!B$4,100,('исходные данные'!D48-'минимумы и максимумы'!B$2)/('минимумы и максимумы'!B$4-'минимумы и максимумы'!B$2)*100)</f>
        <v>0</v>
      </c>
      <c r="E48" s="1">
        <f>IF('исходные данные'!E48&gt;'минимумы и максимумы'!C$4,100,('исходные данные'!E48-'минимумы и максимумы'!C$2)/('минимумы и максимумы'!C$4-'минимумы и максимумы'!C$2)*100)</f>
        <v>43.75</v>
      </c>
      <c r="F48" s="1">
        <f>IF('исходные данные'!F48&gt;'минимумы и максимумы'!D$4,100,('исходные данные'!F48-'минимумы и максимумы'!D$2)/('минимумы и максимумы'!D$4-'минимумы и максимумы'!D$2)*100)</f>
        <v>25</v>
      </c>
      <c r="G48" s="1">
        <f>IF('исходные данные'!G48&gt;'минимумы и максимумы'!E$4,100,('исходные данные'!G48-'минимумы и максимумы'!E$2)/('минимумы и максимумы'!E$4-'минимумы и максимумы'!E$2)*100)</f>
        <v>18.918918918918919</v>
      </c>
      <c r="H48" s="1">
        <f>IF('исходные данные'!H48&gt;'минимумы и максимумы'!F$4,100,('исходные данные'!H48-'минимумы и максимумы'!F$2)/('минимумы и максимумы'!F$4-'минимумы и максимумы'!F$2)*100)</f>
        <v>18.421052631578945</v>
      </c>
      <c r="I48" s="1">
        <f>IF('исходные данные'!I48&gt;'минимумы и максимумы'!G$4,100,('исходные данные'!I48-'минимумы и максимумы'!G$2)/('минимумы и максимумы'!G$4-'минимумы и максимумы'!G$2)*100)</f>
        <v>12.048192771084338</v>
      </c>
      <c r="J48" s="1">
        <f>IF('исходные данные'!J48&gt;'минимумы и максимумы'!H$4,100,('исходные данные'!J48-'минимумы и максимумы'!H$2)/('минимумы и максимумы'!H$4-'минимумы и максимумы'!H$2)*100)</f>
        <v>8.3333333333333321</v>
      </c>
      <c r="K48" s="1">
        <f>IF('исходные данные'!K48&gt;'минимумы и максимумы'!I$4,100,('исходные данные'!K48-'минимумы и максимумы'!I$2)/('минимумы и максимумы'!I$4-'минимумы и максимумы'!I$2)*100)</f>
        <v>25</v>
      </c>
      <c r="L48" s="1">
        <f>IF('исходные данные'!L48&gt;'минимумы и максимумы'!J$4,100,('исходные данные'!L48-'минимумы и максимумы'!J$2)/('минимумы и максимумы'!J$4-'минимумы и максимумы'!J$2)*100)</f>
        <v>12.5</v>
      </c>
      <c r="M48" s="1">
        <f>IF('исходные данные'!M48&gt;'минимумы и максимумы'!K$4,100,('исходные данные'!M48-'минимумы и максимумы'!K$2)/('минимумы и максимумы'!K$4-'минимумы и максимумы'!K$2)*100)</f>
        <v>36.170212765957451</v>
      </c>
      <c r="N48" s="1">
        <f>IF('исходные данные'!N48&gt;'минимумы и максимумы'!L$4,100,('исходные данные'!N48-'минимумы и максимумы'!L$2)/('минимумы и максимумы'!L$4-'минимумы и максимумы'!L$2)*100)</f>
        <v>13.967635603416657</v>
      </c>
      <c r="O48" s="1">
        <f>IF('исходные данные'!O48&gt;'минимумы и максимумы'!M$4,100,('исходные данные'!O48-'минимумы и максимумы'!M$2)/('минимумы и максимумы'!M$4-'минимумы и максимумы'!M$2)*100)</f>
        <v>0</v>
      </c>
      <c r="P48" s="1">
        <f>IF('исходные данные'!P48&gt;'минимумы и максимумы'!N$4,100,('исходные данные'!P48-'минимумы и максимумы'!N$2)/('минимумы и максимумы'!N$4-'минимумы и максимумы'!N$2)*100)</f>
        <v>0</v>
      </c>
      <c r="Q48" s="1">
        <f>IF('исходные данные'!Q48&gt;'минимумы и максимумы'!O$4,100,('исходные данные'!Q48-'минимумы и максимумы'!O$2)/('минимумы и максимумы'!O$4-'минимумы и максимумы'!O$2)*100)</f>
        <v>100</v>
      </c>
      <c r="R48" s="1">
        <f>IF('исходные данные'!R48&gt;'минимумы и максимумы'!P$4,100,('исходные данные'!R48-'минимумы и максимумы'!P$2)/('минимумы и максимумы'!P$4-'минимумы и максимумы'!P$2)*100)</f>
        <v>100</v>
      </c>
      <c r="S48" s="1">
        <f>IF('исходные данные'!S48&gt;'минимумы и максимумы'!Q$4,100,('исходные данные'!S48-'минимумы и максимумы'!Q$2)/('минимумы и максимумы'!Q$4-'минимумы и максимумы'!Q$2)*100)</f>
        <v>22.222222222222221</v>
      </c>
      <c r="T48" s="1">
        <f>IF('исходные данные'!T48&gt;'минимумы и максимумы'!R$4,100,('исходные данные'!T48-'минимумы и максимумы'!R$2)/('минимумы и максимумы'!R$4-'минимумы и максимумы'!R$2)*100)</f>
        <v>2.2439585730724971</v>
      </c>
      <c r="U48" s="1">
        <f>IF('исходные данные'!U48&gt;'минимумы и максимумы'!S$4,100,('исходные данные'!U48-'минимумы и максимумы'!S$2)/('минимумы и максимумы'!S$4-'минимумы и максимумы'!S$2)*100)</f>
        <v>0</v>
      </c>
    </row>
    <row r="49" spans="1:21" x14ac:dyDescent="0.45">
      <c r="A49" s="4">
        <v>92</v>
      </c>
      <c r="B49" s="4">
        <v>0</v>
      </c>
      <c r="C49" s="4">
        <v>0</v>
      </c>
      <c r="D49" s="1">
        <f>IF('исходные данные'!D49&gt;'минимумы и максимумы'!B$4,100,('исходные данные'!D49-'минимумы и максимумы'!B$2)/('минимумы и максимумы'!B$4-'минимумы и максимумы'!B$2)*100)</f>
        <v>12.5</v>
      </c>
      <c r="E49" s="1">
        <f>IF('исходные данные'!E49&gt;'минимумы и максимумы'!C$4,100,('исходные данные'!E49-'минимумы и максимумы'!C$2)/('минимумы и максимумы'!C$4-'минимумы и максимумы'!C$2)*100)</f>
        <v>25</v>
      </c>
      <c r="F49" s="1">
        <f>IF('исходные данные'!F49&gt;'минимумы и максимумы'!D$4,100,('исходные данные'!F49-'минимумы и максимумы'!D$2)/('минимумы и максимумы'!D$4-'минимумы и максимумы'!D$2)*100)</f>
        <v>25</v>
      </c>
      <c r="G49" s="1">
        <f>IF('исходные данные'!G49&gt;'минимумы и максимумы'!E$4,100,('исходные данные'!G49-'минимумы и максимумы'!E$2)/('минимумы и максимумы'!E$4-'минимумы и максимумы'!E$2)*100)</f>
        <v>13.513513513513514</v>
      </c>
      <c r="H49" s="1">
        <f>IF('исходные данные'!H49&gt;'минимумы и максимумы'!F$4,100,('исходные данные'!H49-'минимумы и максимумы'!F$2)/('минимумы и максимумы'!F$4-'минимумы и максимумы'!F$2)*100)</f>
        <v>18.421052631578945</v>
      </c>
      <c r="I49" s="1">
        <f>IF('исходные данные'!I49&gt;'минимумы и максимумы'!G$4,100,('исходные данные'!I49-'минимумы и максимумы'!G$2)/('минимумы и максимумы'!G$4-'минимумы и максимумы'!G$2)*100)</f>
        <v>9.6385542168674707</v>
      </c>
      <c r="J49" s="1">
        <f>IF('исходные данные'!J49&gt;'минимумы и максимумы'!H$4,100,('исходные данные'!J49-'минимумы и максимумы'!H$2)/('минимумы и максимумы'!H$4-'минимумы и максимумы'!H$2)*100)</f>
        <v>8.3333333333333321</v>
      </c>
      <c r="K49" s="1">
        <f>IF('исходные данные'!K49&gt;'минимумы и максимумы'!I$4,100,('исходные данные'!K49-'минимумы и максимумы'!I$2)/('минимумы и максимумы'!I$4-'минимумы и максимумы'!I$2)*100)</f>
        <v>25</v>
      </c>
      <c r="L49" s="1">
        <f>IF('исходные данные'!L49&gt;'минимумы и максимумы'!J$4,100,('исходные данные'!L49-'минимумы и максимумы'!J$2)/('минимумы и максимумы'!J$4-'минимумы и максимумы'!J$2)*100)</f>
        <v>12.5</v>
      </c>
      <c r="M49" s="1">
        <f>IF('исходные данные'!M49&gt;'минимумы и максимумы'!K$4,100,('исходные данные'!M49-'минимумы и максимумы'!K$2)/('минимумы и максимумы'!K$4-'минимумы и максимумы'!K$2)*100)</f>
        <v>36.170212765957451</v>
      </c>
      <c r="N49" s="1">
        <f>IF('исходные данные'!N49&gt;'минимумы и максимумы'!L$4,100,('исходные данные'!N49-'минимумы и максимумы'!L$2)/('минимумы и максимумы'!L$4-'минимумы и максимумы'!L$2)*100)</f>
        <v>14.215842046025776</v>
      </c>
      <c r="O49" s="1">
        <f>IF('исходные данные'!O49&gt;'минимумы и максимумы'!M$4,100,('исходные данные'!O49-'минимумы и максимумы'!M$2)/('минимумы и максимумы'!M$4-'минимумы и максимумы'!M$2)*100)</f>
        <v>33.333333333333329</v>
      </c>
      <c r="P49" s="1">
        <f>IF('исходные данные'!P49&gt;'минимумы и максимумы'!N$4,100,('исходные данные'!P49-'минимумы и максимумы'!N$2)/('минимумы и максимумы'!N$4-'минимумы и максимумы'!N$2)*100)</f>
        <v>0</v>
      </c>
      <c r="Q49" s="1">
        <f>IF('исходные данные'!Q49&gt;'минимумы и максимумы'!O$4,100,('исходные данные'!Q49-'минимумы и максимумы'!O$2)/('минимумы и максимумы'!O$4-'минимумы и максимумы'!O$2)*100)</f>
        <v>100</v>
      </c>
      <c r="R49" s="1">
        <f>IF('исходные данные'!R49&gt;'минимумы и максимумы'!P$4,100,('исходные данные'!R49-'минимумы и максимумы'!P$2)/('минимумы и максимумы'!P$4-'минимумы и максимумы'!P$2)*100)</f>
        <v>100</v>
      </c>
      <c r="S49" s="1">
        <f>IF('исходные данные'!S49&gt;'минимумы и максимумы'!Q$4,100,('исходные данные'!S49-'минимумы и максимумы'!Q$2)/('минимумы и максимумы'!Q$4-'минимумы и максимумы'!Q$2)*100)</f>
        <v>22.222222222222221</v>
      </c>
      <c r="T49" s="1">
        <f>IF('исходные данные'!T49&gt;'минимумы и максимумы'!R$4,100,('исходные данные'!T49-'минимумы и максимумы'!R$2)/('минимумы и максимумы'!R$4-'минимумы и максимумы'!R$2)*100)</f>
        <v>12.255466052934407</v>
      </c>
      <c r="U49" s="1">
        <f>IF('исходные данные'!U49&gt;'минимумы и максимумы'!S$4,100,('исходные данные'!U49-'минимумы и максимумы'!S$2)/('минимумы и максимумы'!S$4-'минимумы и максимумы'!S$2)*100)</f>
        <v>33.333333333333329</v>
      </c>
    </row>
    <row r="50" spans="1:21" x14ac:dyDescent="0.45">
      <c r="A50" s="4">
        <v>96</v>
      </c>
      <c r="B50" s="4">
        <v>0</v>
      </c>
      <c r="C50" s="4">
        <v>0</v>
      </c>
      <c r="D50" s="1">
        <f>IF('исходные данные'!D50&gt;'минимумы и максимумы'!B$4,100,('исходные данные'!D50-'минимумы и максимумы'!B$2)/('минимумы и максимумы'!B$4-'минимумы и максимумы'!B$2)*100)</f>
        <v>37.5</v>
      </c>
      <c r="E50" s="1">
        <f>IF('исходные данные'!E50&gt;'минимумы и максимумы'!C$4,100,('исходные данные'!E50-'минимумы и максимумы'!C$2)/('минимумы и максимумы'!C$4-'минимумы и максимумы'!C$2)*100)</f>
        <v>18.75</v>
      </c>
      <c r="F50" s="1">
        <f>IF('исходные данные'!F50&gt;'минимумы и максимумы'!D$4,100,('исходные данные'!F50-'минимумы и максимумы'!D$2)/('минимумы и максимумы'!D$4-'минимумы и максимумы'!D$2)*100)</f>
        <v>50</v>
      </c>
      <c r="G50" s="1">
        <f>IF('исходные данные'!G50&gt;'минимумы и максимумы'!E$4,100,('исходные данные'!G50-'минимумы и максимумы'!E$2)/('минимумы и максимумы'!E$4-'минимумы и максимумы'!E$2)*100)</f>
        <v>54.054054054054056</v>
      </c>
      <c r="H50" s="1">
        <f>IF('исходные данные'!H50&gt;'минимумы и максимумы'!F$4,100,('исходные данные'!H50-'минимумы и максимумы'!F$2)/('минимумы и максимумы'!F$4-'минимумы и максимумы'!F$2)*100)</f>
        <v>52.631578947368418</v>
      </c>
      <c r="I50" s="1">
        <f>IF('исходные данные'!I50&gt;'минимумы и максимумы'!G$4,100,('исходные данные'!I50-'минимумы и максимумы'!G$2)/('минимумы и максимумы'!G$4-'минимумы и максимумы'!G$2)*100)</f>
        <v>69.879518072289159</v>
      </c>
      <c r="J50" s="1">
        <f>IF('исходные данные'!J50&gt;'минимумы и максимумы'!H$4,100,('исходные данные'!J50-'минимумы и максимумы'!H$2)/('минимумы и максимумы'!H$4-'минимумы и максимумы'!H$2)*100)</f>
        <v>58.333333333333336</v>
      </c>
      <c r="K50" s="1">
        <f>IF('исходные данные'!K50&gt;'минимумы и максимумы'!I$4,100,('исходные данные'!K50-'минимумы и максимумы'!I$2)/('минимумы и максимумы'!I$4-'минимумы и максимумы'!I$2)*100)</f>
        <v>28.571428571428569</v>
      </c>
      <c r="L50" s="1">
        <f>IF('исходные данные'!L50&gt;'минимумы и максимумы'!J$4,100,('исходные данные'!L50-'минимумы и максимумы'!J$2)/('минимумы и максимумы'!J$4-'минимумы и максимумы'!J$2)*100)</f>
        <v>100</v>
      </c>
      <c r="M50" s="1">
        <f>IF('исходные данные'!M50&gt;'минимумы и максимумы'!K$4,100,('исходные данные'!M50-'минимумы и максимумы'!K$2)/('минимумы и максимумы'!K$4-'минимумы и максимумы'!K$2)*100)</f>
        <v>25.531914893617021</v>
      </c>
      <c r="N50" s="1">
        <f>IF('исходные данные'!N50&gt;'минимумы и максимумы'!L$4,100,('исходные данные'!N50-'минимумы и максимумы'!L$2)/('минимумы и максимумы'!L$4-'минимумы и максимумы'!L$2)*100)</f>
        <v>8.6697278711308297</v>
      </c>
      <c r="O50" s="1">
        <f>IF('исходные данные'!O50&gt;'минимумы и максимумы'!M$4,100,('исходные данные'!O50-'минимумы и максимумы'!M$2)/('минимумы и максимумы'!M$4-'минимумы и максимумы'!M$2)*100)</f>
        <v>100</v>
      </c>
      <c r="P50" s="1">
        <f>IF('исходные данные'!P50&gt;'минимумы и максимумы'!N$4,100,('исходные данные'!P50-'минимумы и максимумы'!N$2)/('минимумы и максимумы'!N$4-'минимумы и максимумы'!N$2)*100)</f>
        <v>0</v>
      </c>
      <c r="Q50" s="1">
        <f>IF('исходные данные'!Q50&gt;'минимумы и максимумы'!O$4,100,('исходные данные'!Q50-'минимумы и максимумы'!O$2)/('минимумы и максимумы'!O$4-'минимумы и максимумы'!O$2)*100)</f>
        <v>100</v>
      </c>
      <c r="R50" s="1">
        <f>IF('исходные данные'!R50&gt;'минимумы и максимумы'!P$4,100,('исходные данные'!R50-'минимумы и максимумы'!P$2)/('минимумы и максимумы'!P$4-'минимумы и максимумы'!P$2)*100)</f>
        <v>100</v>
      </c>
      <c r="S50" s="1">
        <f>IF('исходные данные'!S50&gt;'минимумы и максимумы'!Q$4,100,('исходные данные'!S50-'минимумы и максимумы'!Q$2)/('минимумы и максимумы'!Q$4-'минимумы и максимумы'!Q$2)*100)</f>
        <v>33.333333333333329</v>
      </c>
      <c r="T50" s="1">
        <f>IF('исходные данные'!T50&gt;'минимумы и максимумы'!R$4,100,('исходные данные'!T50-'минимумы и максимумы'!R$2)/('минимумы и максимумы'!R$4-'минимумы и максимумы'!R$2)*100)</f>
        <v>7.5373993095512084</v>
      </c>
      <c r="U50" s="1">
        <f>IF('исходные данные'!U50&gt;'минимумы и максимумы'!S$4,100,('исходные данные'!U50-'минимумы и максимумы'!S$2)/('минимумы и максимумы'!S$4-'минимумы и максимумы'!S$2)*100)</f>
        <v>33.333333333333329</v>
      </c>
    </row>
    <row r="51" spans="1:21" x14ac:dyDescent="0.45">
      <c r="A51" s="4">
        <v>97</v>
      </c>
      <c r="B51" s="4">
        <v>0</v>
      </c>
      <c r="C51" s="4">
        <v>0</v>
      </c>
      <c r="D51" s="1">
        <f>IF('исходные данные'!D51&gt;'минимумы и максимумы'!B$4,100,('исходные данные'!D51-'минимумы и максимумы'!B$2)/('минимумы и максимумы'!B$4-'минимумы и максимумы'!B$2)*100)</f>
        <v>37.5</v>
      </c>
      <c r="E51" s="1">
        <f>IF('исходные данные'!E51&gt;'минимумы и максимумы'!C$4,100,('исходные данные'!E51-'минимумы и максимумы'!C$2)/('минимумы и максимумы'!C$4-'минимумы и максимумы'!C$2)*100)</f>
        <v>18.75</v>
      </c>
      <c r="F51" s="1">
        <f>IF('исходные данные'!F51&gt;'минимумы и максимумы'!D$4,100,('исходные данные'!F51-'минимумы и максимумы'!D$2)/('минимумы и максимумы'!D$4-'минимумы и максимумы'!D$2)*100)</f>
        <v>25</v>
      </c>
      <c r="G51" s="1">
        <f>IF('исходные данные'!G51&gt;'минимумы и максимумы'!E$4,100,('исходные данные'!G51-'минимумы и максимумы'!E$2)/('минимумы и максимумы'!E$4-'минимумы и максимумы'!E$2)*100)</f>
        <v>59.45945945945946</v>
      </c>
      <c r="H51" s="1">
        <f>IF('исходные данные'!H51&gt;'минимумы и максимумы'!F$4,100,('исходные данные'!H51-'минимумы и максимумы'!F$2)/('минимумы и максимумы'!F$4-'минимумы и максимумы'!F$2)*100)</f>
        <v>44.736842105263158</v>
      </c>
      <c r="I51" s="1">
        <f>IF('исходные данные'!I51&gt;'минимумы и максимумы'!G$4,100,('исходные данные'!I51-'минимумы и максимумы'!G$2)/('минимумы и максимумы'!G$4-'минимумы и максимумы'!G$2)*100)</f>
        <v>97.590361445783131</v>
      </c>
      <c r="J51" s="1">
        <f>IF('исходные данные'!J51&gt;'минимумы и максимумы'!H$4,100,('исходные данные'!J51-'минимумы и максимумы'!H$2)/('минимумы и максимумы'!H$4-'минимумы и максимумы'!H$2)*100)</f>
        <v>50</v>
      </c>
      <c r="K51" s="1">
        <f>IF('исходные данные'!K51&gt;'минимумы и максимумы'!I$4,100,('исходные данные'!K51-'минимумы и максимумы'!I$2)/('минимумы и максимумы'!I$4-'минимумы и максимумы'!I$2)*100)</f>
        <v>32.142857142857146</v>
      </c>
      <c r="L51" s="1">
        <f>IF('исходные данные'!L51&gt;'минимумы и максимумы'!J$4,100,('исходные данные'!L51-'минимумы и максимумы'!J$2)/('минимумы и максимумы'!J$4-'минимумы и максимумы'!J$2)*100)</f>
        <v>87.5</v>
      </c>
      <c r="M51" s="1">
        <f>IF('исходные данные'!M51&gt;'минимумы и максимумы'!K$4,100,('исходные данные'!M51-'минимумы и максимумы'!K$2)/('минимумы и максимумы'!K$4-'минимумы и максимумы'!K$2)*100)</f>
        <v>29.787234042553191</v>
      </c>
      <c r="N51" s="1">
        <f>IF('исходные данные'!N51&gt;'минимумы и максимумы'!L$4,100,('исходные данные'!N51-'минимумы и максимумы'!L$2)/('минимумы и максимумы'!L$4-'минимумы и максимумы'!L$2)*100)</f>
        <v>8.7778230398204773</v>
      </c>
      <c r="O51" s="1">
        <f>IF('исходные данные'!O51&gt;'минимумы и максимумы'!M$4,100,('исходные данные'!O51-'минимумы и максимумы'!M$2)/('минимумы и максимумы'!M$4-'минимумы и максимумы'!M$2)*100)</f>
        <v>66.666666666666657</v>
      </c>
      <c r="P51" s="1">
        <f>IF('исходные данные'!P51&gt;'минимумы и максимумы'!N$4,100,('исходные данные'!P51-'минимумы и максимумы'!N$2)/('минимумы и максимумы'!N$4-'минимумы и максимумы'!N$2)*100)</f>
        <v>0</v>
      </c>
      <c r="Q51" s="1">
        <f>IF('исходные данные'!Q51&gt;'минимумы и максимумы'!O$4,100,('исходные данные'!Q51-'минимумы и максимумы'!O$2)/('минимумы и максимумы'!O$4-'минимумы и максимумы'!O$2)*100)</f>
        <v>100</v>
      </c>
      <c r="R51" s="1">
        <f>IF('исходные данные'!R51&gt;'минимумы и максимумы'!P$4,100,('исходные данные'!R51-'минимумы и максимумы'!P$2)/('минимумы и максимумы'!P$4-'минимумы и максимумы'!P$2)*100)</f>
        <v>100</v>
      </c>
      <c r="S51" s="1">
        <f>IF('исходные данные'!S51&gt;'минимумы и максимумы'!Q$4,100,('исходные данные'!S51-'минимумы и максимумы'!Q$2)/('минимумы и максимумы'!Q$4-'минимумы и максимумы'!Q$2)*100)</f>
        <v>33.333333333333329</v>
      </c>
      <c r="T51" s="1">
        <f>IF('исходные данные'!T51&gt;'минимумы и максимумы'!R$4,100,('исходные данные'!T51-'минимумы и максимумы'!R$2)/('минимумы и максимумы'!R$4-'минимумы и максимумы'!R$2)*100)</f>
        <v>5.7249712313003451</v>
      </c>
      <c r="U51" s="1">
        <f>IF('исходные данные'!U51&gt;'минимумы и максимумы'!S$4,100,('исходные данные'!U51-'минимумы и максимумы'!S$2)/('минимумы и максимумы'!S$4-'минимумы и максимумы'!S$2)*100)</f>
        <v>33.333333333333329</v>
      </c>
    </row>
    <row r="52" spans="1:21" x14ac:dyDescent="0.45">
      <c r="A52" s="4">
        <v>98</v>
      </c>
      <c r="B52" s="4">
        <v>0</v>
      </c>
      <c r="C52" s="4">
        <v>0</v>
      </c>
      <c r="D52" s="1">
        <f>IF('исходные данные'!D52&gt;'минимумы и максимумы'!B$4,100,('исходные данные'!D52-'минимумы и максимумы'!B$2)/('минимумы и максимумы'!B$4-'минимумы и максимумы'!B$2)*100)</f>
        <v>12.5</v>
      </c>
      <c r="E52" s="1">
        <f>IF('исходные данные'!E52&gt;'минимумы и максимумы'!C$4,100,('исходные данные'!E52-'минимумы и максимумы'!C$2)/('минимумы и максимумы'!C$4-'минимумы и максимумы'!C$2)*100)</f>
        <v>50</v>
      </c>
      <c r="F52" s="1">
        <f>IF('исходные данные'!F52&gt;'минимумы и максимумы'!D$4,100,('исходные данные'!F52-'минимумы и максимумы'!D$2)/('минимумы и максимумы'!D$4-'минимумы и максимумы'!D$2)*100)</f>
        <v>0</v>
      </c>
      <c r="G52" s="1">
        <f>IF('исходные данные'!G52&gt;'минимумы и максимумы'!E$4,100,('исходные данные'!G52-'минимумы и максимумы'!E$2)/('минимумы и максимумы'!E$4-'минимумы и максимумы'!E$2)*100)</f>
        <v>67.567567567567565</v>
      </c>
      <c r="H52" s="1">
        <f>IF('исходные данные'!H52&gt;'минимумы и максимумы'!F$4,100,('исходные данные'!H52-'минимумы и максимумы'!F$2)/('минимумы и максимумы'!F$4-'минимумы и максимумы'!F$2)*100)</f>
        <v>60.526315789473685</v>
      </c>
      <c r="I52" s="1">
        <f>IF('исходные данные'!I52&gt;'минимумы и максимумы'!G$4,100,('исходные данные'!I52-'минимумы и максимумы'!G$2)/('минимумы и максимумы'!G$4-'минимумы и максимумы'!G$2)*100)</f>
        <v>100</v>
      </c>
      <c r="J52" s="1">
        <f>IF('исходные данные'!J52&gt;'минимумы и максимумы'!H$4,100,('исходные данные'!J52-'минимумы и максимумы'!H$2)/('минимумы и максимумы'!H$4-'минимумы и максимумы'!H$2)*100)</f>
        <v>70.833333333333343</v>
      </c>
      <c r="K52" s="1">
        <f>IF('исходные данные'!K52&gt;'минимумы и максимумы'!I$4,100,('исходные данные'!K52-'минимумы и максимумы'!I$2)/('минимумы и максимумы'!I$4-'минимумы и максимумы'!I$2)*100)</f>
        <v>32.142857142857146</v>
      </c>
      <c r="L52" s="1">
        <f>IF('исходные данные'!L52&gt;'минимумы и максимумы'!J$4,100,('исходные данные'!L52-'минимумы и максимумы'!J$2)/('минимумы и максимумы'!J$4-'минимумы и максимумы'!J$2)*100)</f>
        <v>75</v>
      </c>
      <c r="M52" s="1">
        <f>IF('исходные данные'!M52&gt;'минимумы и максимумы'!K$4,100,('исходные данные'!M52-'минимумы и максимумы'!K$2)/('минимумы и максимумы'!K$4-'минимумы и максимумы'!K$2)*100)</f>
        <v>21.276595744680851</v>
      </c>
      <c r="N52" s="1">
        <f>IF('исходные данные'!N52&gt;'минимумы и максимумы'!L$4,100,('исходные данные'!N52-'минимумы и максимумы'!L$2)/('минимумы и максимумы'!L$4-'минимумы и максимумы'!L$2)*100)</f>
        <v>9.5579940210602405</v>
      </c>
      <c r="O52" s="1">
        <f>IF('исходные данные'!O52&gt;'минимумы и максимумы'!M$4,100,('исходные данные'!O52-'минимумы и максимумы'!M$2)/('минимумы и максимумы'!M$4-'минимумы и максимумы'!M$2)*100)</f>
        <v>0</v>
      </c>
      <c r="P52" s="1">
        <f>IF('исходные данные'!P52&gt;'минимумы и максимумы'!N$4,100,('исходные данные'!P52-'минимумы и максимумы'!N$2)/('минимумы и максимумы'!N$4-'минимумы и максимумы'!N$2)*100)</f>
        <v>0</v>
      </c>
      <c r="Q52" s="1">
        <f>IF('исходные данные'!Q52&gt;'минимумы и максимумы'!O$4,100,('исходные данные'!Q52-'минимумы и максимумы'!O$2)/('минимумы и максимумы'!O$4-'минимумы и максимумы'!O$2)*100)</f>
        <v>100</v>
      </c>
      <c r="R52" s="1">
        <f>IF('исходные данные'!R52&gt;'минимумы и максимумы'!P$4,100,('исходные данные'!R52-'минимумы и максимумы'!P$2)/('минимумы и максимумы'!P$4-'минимумы и максимумы'!P$2)*100)</f>
        <v>100</v>
      </c>
      <c r="S52" s="1">
        <f>IF('исходные данные'!S52&gt;'минимумы и максимумы'!Q$4,100,('исходные данные'!S52-'минимумы и максимумы'!Q$2)/('минимумы и максимумы'!Q$4-'минимумы и максимумы'!Q$2)*100)</f>
        <v>22.222222222222221</v>
      </c>
      <c r="T52" s="1">
        <f>IF('исходные данные'!T52&gt;'минимумы и максимумы'!R$4,100,('исходные данные'!T52-'минимумы и максимумы'!R$2)/('минимумы и максимумы'!R$4-'минимумы и максимумы'!R$2)*100)</f>
        <v>10.443037974683545</v>
      </c>
      <c r="U52" s="1">
        <f>IF('исходные данные'!U52&gt;'минимумы и максимумы'!S$4,100,('исходные данные'!U52-'минимумы и максимумы'!S$2)/('минимумы и максимумы'!S$4-'минимумы и максимумы'!S$2)*100)</f>
        <v>66.666666666666657</v>
      </c>
    </row>
    <row r="53" spans="1:21" x14ac:dyDescent="0.45">
      <c r="A53" s="4">
        <v>100</v>
      </c>
      <c r="B53" s="4">
        <v>0</v>
      </c>
      <c r="C53" s="4">
        <v>0</v>
      </c>
      <c r="D53" s="1">
        <f>IF('исходные данные'!D53&gt;'минимумы и максимумы'!B$4,100,('исходные данные'!D53-'минимумы и максимумы'!B$2)/('минимумы и максимумы'!B$4-'минимумы и максимумы'!B$2)*100)</f>
        <v>62.5</v>
      </c>
      <c r="E53" s="1">
        <f>IF('исходные данные'!E53&gt;'минимумы и максимумы'!C$4,100,('исходные данные'!E53-'минимумы и максимумы'!C$2)/('минимумы и максимумы'!C$4-'минимумы и максимумы'!C$2)*100)</f>
        <v>25</v>
      </c>
      <c r="F53" s="1">
        <f>IF('исходные данные'!F53&gt;'минимумы и максимумы'!D$4,100,('исходные данные'!F53-'минимумы и максимумы'!D$2)/('минимумы и максимумы'!D$4-'минимумы и максимумы'!D$2)*100)</f>
        <v>25</v>
      </c>
      <c r="G53" s="1">
        <f>IF('исходные данные'!G53&gt;'минимумы и максимумы'!E$4,100,('исходные данные'!G53-'минимумы и максимумы'!E$2)/('минимумы и максимумы'!E$4-'минимумы и максимумы'!E$2)*100)</f>
        <v>48.648648648648653</v>
      </c>
      <c r="H53" s="1">
        <f>IF('исходные данные'!H53&gt;'минимумы и максимумы'!F$4,100,('исходные данные'!H53-'минимумы и максимумы'!F$2)/('минимумы и максимумы'!F$4-'минимумы и максимумы'!F$2)*100)</f>
        <v>47.368421052631575</v>
      </c>
      <c r="I53" s="1">
        <f>IF('исходные данные'!I53&gt;'минимумы и максимумы'!G$4,100,('исходные данные'!I53-'минимумы и максимумы'!G$2)/('минимумы и максимумы'!G$4-'минимумы и максимумы'!G$2)*100)</f>
        <v>74.698795180722882</v>
      </c>
      <c r="J53" s="1">
        <f>IF('исходные данные'!J53&gt;'минимумы и максимумы'!H$4,100,('исходные данные'!J53-'минимумы и максимумы'!H$2)/('минимумы и максимумы'!H$4-'минимумы и максимумы'!H$2)*100)</f>
        <v>29.166666666666668</v>
      </c>
      <c r="K53" s="1">
        <f>IF('исходные данные'!K53&gt;'минимумы и максимумы'!I$4,100,('исходные данные'!K53-'минимумы и максимумы'!I$2)/('минимумы и максимумы'!I$4-'минимумы и максимумы'!I$2)*100)</f>
        <v>25</v>
      </c>
      <c r="L53" s="1">
        <f>IF('исходные данные'!L53&gt;'минимумы и максимумы'!J$4,100,('исходные данные'!L53-'минимумы и максимумы'!J$2)/('минимумы и максимумы'!J$4-'минимумы и максимумы'!J$2)*100)</f>
        <v>87.5</v>
      </c>
      <c r="M53" s="1">
        <f>IF('исходные данные'!M53&gt;'минимумы и максимумы'!K$4,100,('исходные данные'!M53-'минимумы и максимумы'!K$2)/('минимумы и максимумы'!K$4-'минимумы и максимумы'!K$2)*100)</f>
        <v>25.531914893617021</v>
      </c>
      <c r="N53" s="1">
        <f>IF('исходные данные'!N53&gt;'минимумы и максимумы'!L$4,100,('исходные данные'!N53-'минимумы и максимумы'!L$2)/('минимумы и максимумы'!L$4-'минимумы и максимумы'!L$2)*100)</f>
        <v>9.6093952046610109</v>
      </c>
      <c r="O53" s="1">
        <f>IF('исходные данные'!O53&gt;'минимумы и максимумы'!M$4,100,('исходные данные'!O53-'минимумы и максимумы'!M$2)/('минимумы и максимумы'!M$4-'минимумы и максимумы'!M$2)*100)</f>
        <v>66.666666666666657</v>
      </c>
      <c r="P53" s="1">
        <f>IF('исходные данные'!P53&gt;'минимумы и максимумы'!N$4,100,('исходные данные'!P53-'минимумы и максимумы'!N$2)/('минимумы и максимумы'!N$4-'минимумы и максимумы'!N$2)*100)</f>
        <v>0</v>
      </c>
      <c r="Q53" s="1">
        <f>IF('исходные данные'!Q53&gt;'минимумы и максимумы'!O$4,100,('исходные данные'!Q53-'минимумы и максимумы'!O$2)/('минимумы и максимумы'!O$4-'минимумы и максимумы'!O$2)*100)</f>
        <v>100</v>
      </c>
      <c r="R53" s="1">
        <f>IF('исходные данные'!R53&gt;'минимумы и максимумы'!P$4,100,('исходные данные'!R53-'минимумы и максимумы'!P$2)/('минимумы и максимумы'!P$4-'минимумы и максимумы'!P$2)*100)</f>
        <v>100</v>
      </c>
      <c r="S53" s="1">
        <f>IF('исходные данные'!S53&gt;'минимумы и максимумы'!Q$4,100,('исходные данные'!S53-'минимумы и максимумы'!Q$2)/('минимумы и максимумы'!Q$4-'минимумы и максимумы'!Q$2)*100)</f>
        <v>66.666666666666657</v>
      </c>
      <c r="T53" s="1">
        <f>IF('исходные данные'!T53&gt;'минимумы и максимумы'!R$4,100,('исходные данные'!T53-'минимумы и максимумы'!R$2)/('минимумы и максимумы'!R$4-'минимумы и максимумы'!R$2)*100)</f>
        <v>4.5742232451093212</v>
      </c>
      <c r="U53" s="1">
        <f>IF('исходные данные'!U53&gt;'минимумы и максимумы'!S$4,100,('исходные данные'!U53-'минимумы и максимумы'!S$2)/('минимумы и максимумы'!S$4-'минимумы и максимумы'!S$2)*100)</f>
        <v>0</v>
      </c>
    </row>
    <row r="54" spans="1:21" x14ac:dyDescent="0.45">
      <c r="A54" s="4">
        <v>103</v>
      </c>
      <c r="B54" s="4">
        <v>0</v>
      </c>
      <c r="C54" s="4">
        <v>0</v>
      </c>
      <c r="D54" s="1">
        <f>IF('исходные данные'!D54&gt;'минимумы и максимумы'!B$4,100,('исходные данные'!D54-'минимумы и максимумы'!B$2)/('минимумы и максимумы'!B$4-'минимумы и максимумы'!B$2)*100)</f>
        <v>37.5</v>
      </c>
      <c r="E54" s="1">
        <f>IF('исходные данные'!E54&gt;'минимумы и максимумы'!C$4,100,('исходные данные'!E54-'минимумы и максимумы'!C$2)/('минимумы и максимумы'!C$4-'минимумы и максимумы'!C$2)*100)</f>
        <v>50</v>
      </c>
      <c r="F54" s="1">
        <f>IF('исходные данные'!F54&gt;'минимумы и максимумы'!D$4,100,('исходные данные'!F54-'минимумы и максимумы'!D$2)/('минимумы и максимумы'!D$4-'минимумы и максимумы'!D$2)*100)</f>
        <v>25</v>
      </c>
      <c r="G54" s="1">
        <f>IF('исходные данные'!G54&gt;'минимумы и максимумы'!E$4,100,('исходные данные'!G54-'минимумы и максимумы'!E$2)/('минимумы и максимумы'!E$4-'минимумы и максимумы'!E$2)*100)</f>
        <v>24.324324324324326</v>
      </c>
      <c r="H54" s="1">
        <f>IF('исходные данные'!H54&gt;'минимумы и максимумы'!F$4,100,('исходные данные'!H54-'минимумы и максимумы'!F$2)/('минимумы и максимумы'!F$4-'минимумы и максимумы'!F$2)*100)</f>
        <v>18.421052631578945</v>
      </c>
      <c r="I54" s="1">
        <f>IF('исходные данные'!I54&gt;'минимумы и максимумы'!G$4,100,('исходные данные'!I54-'минимумы и максимумы'!G$2)/('минимумы и максимумы'!G$4-'минимумы и максимумы'!G$2)*100)</f>
        <v>34.939759036144579</v>
      </c>
      <c r="J54" s="1">
        <f>IF('исходные данные'!J54&gt;'минимумы и максимумы'!H$4,100,('исходные данные'!J54-'минимумы и максимумы'!H$2)/('минимумы и максимумы'!H$4-'минимумы и максимумы'!H$2)*100)</f>
        <v>16.666666666666664</v>
      </c>
      <c r="K54" s="1">
        <f>IF('исходные данные'!K54&gt;'минимумы и максимумы'!I$4,100,('исходные данные'!K54-'минимумы и максимумы'!I$2)/('минимумы и максимумы'!I$4-'минимумы и максимумы'!I$2)*100)</f>
        <v>46.428571428571431</v>
      </c>
      <c r="L54" s="1">
        <f>IF('исходные данные'!L54&gt;'минимумы и максимумы'!J$4,100,('исходные данные'!L54-'минимумы и максимумы'!J$2)/('минимумы и максимумы'!J$4-'минимумы и максимумы'!J$2)*100)</f>
        <v>12.5</v>
      </c>
      <c r="M54" s="1">
        <f>IF('исходные данные'!M54&gt;'минимумы и максимумы'!K$4,100,('исходные данные'!M54-'минимумы и максимумы'!K$2)/('минимумы и максимумы'!K$4-'минимумы и максимумы'!K$2)*100)</f>
        <v>19.148936170212767</v>
      </c>
      <c r="N54" s="1">
        <f>IF('исходные данные'!N54&gt;'минимумы и максимумы'!L$4,100,('исходные данные'!N54-'минимумы и максимумы'!L$2)/('минимумы и максимумы'!L$4-'минимумы и максимумы'!L$2)*100)</f>
        <v>11.971457833646429</v>
      </c>
      <c r="O54" s="1">
        <f>IF('исходные данные'!O54&gt;'минимумы и максимумы'!M$4,100,('исходные данные'!O54-'минимумы и максимумы'!M$2)/('минимумы и максимумы'!M$4-'минимумы и максимумы'!M$2)*100)</f>
        <v>66.666666666666657</v>
      </c>
      <c r="P54" s="1">
        <f>IF('исходные данные'!P54&gt;'минимумы и максимумы'!N$4,100,('исходные данные'!P54-'минимумы и максимумы'!N$2)/('минимумы и максимумы'!N$4-'минимумы и максимумы'!N$2)*100)</f>
        <v>0</v>
      </c>
      <c r="Q54" s="1">
        <f>IF('исходные данные'!Q54&gt;'минимумы и максимумы'!O$4,100,('исходные данные'!Q54-'минимумы и максимумы'!O$2)/('минимумы и максимумы'!O$4-'минимумы и максимумы'!O$2)*100)</f>
        <v>0</v>
      </c>
      <c r="R54" s="1">
        <f>IF('исходные данные'!R54&gt;'минимумы и максимумы'!P$4,100,('исходные данные'!R54-'минимумы и максимумы'!P$2)/('минимумы и максимумы'!P$4-'минимумы и максимумы'!P$2)*100)</f>
        <v>100</v>
      </c>
      <c r="S54" s="1">
        <f>IF('исходные данные'!S54&gt;'минимумы и максимумы'!Q$4,100,('исходные данные'!S54-'минимумы и максимумы'!Q$2)/('минимумы и максимумы'!Q$4-'минимумы и максимумы'!Q$2)*100)</f>
        <v>22.222222222222221</v>
      </c>
      <c r="T54" s="1">
        <f>IF('исходные данные'!T54&gt;'минимумы и максимумы'!R$4,100,('исходные данные'!T54-'минимумы и максимумы'!R$2)/('минимумы и максимумы'!R$4-'минимумы и максимумы'!R$2)*100)</f>
        <v>42.865362485615648</v>
      </c>
      <c r="U54" s="1">
        <f>IF('исходные данные'!U54&gt;'минимумы и максимумы'!S$4,100,('исходные данные'!U54-'минимумы и максимумы'!S$2)/('минимумы и максимумы'!S$4-'минимумы и максимумы'!S$2)*100)</f>
        <v>0</v>
      </c>
    </row>
    <row r="55" spans="1:21" x14ac:dyDescent="0.45">
      <c r="A55" s="4">
        <v>105</v>
      </c>
      <c r="B55" s="4">
        <v>0</v>
      </c>
      <c r="C55" s="4">
        <v>0</v>
      </c>
      <c r="D55" s="1">
        <f>IF('исходные данные'!D55&gt;'минимумы и максимумы'!B$4,100,('исходные данные'!D55-'минимумы и максимумы'!B$2)/('минимумы и максимумы'!B$4-'минимумы и максимумы'!B$2)*100)</f>
        <v>50</v>
      </c>
      <c r="E55" s="1">
        <f>IF('исходные данные'!E55&gt;'минимумы и максимумы'!C$4,100,('исходные данные'!E55-'минимумы и максимумы'!C$2)/('минимумы и максимумы'!C$4-'минимумы и максимумы'!C$2)*100)</f>
        <v>43.75</v>
      </c>
      <c r="F55" s="1">
        <f>IF('исходные данные'!F55&gt;'минимумы и максимумы'!D$4,100,('исходные данные'!F55-'минимумы и максимумы'!D$2)/('минимумы и максимумы'!D$4-'минимумы и максимумы'!D$2)*100)</f>
        <v>0</v>
      </c>
      <c r="G55" s="1">
        <f>IF('исходные данные'!G55&gt;'минимумы и максимумы'!E$4,100,('исходные данные'!G55-'минимумы и максимумы'!E$2)/('минимумы и максимумы'!E$4-'минимумы и максимумы'!E$2)*100)</f>
        <v>54.054054054054056</v>
      </c>
      <c r="H55" s="1">
        <f>IF('исходные данные'!H55&gt;'минимумы и максимумы'!F$4,100,('исходные данные'!H55-'минимумы и максимумы'!F$2)/('минимумы и максимумы'!F$4-'минимумы и максимумы'!F$2)*100)</f>
        <v>23.684210526315788</v>
      </c>
      <c r="I55" s="1">
        <f>IF('исходные данные'!I55&gt;'минимумы и максимумы'!G$4,100,('исходные данные'!I55-'минимумы и максимумы'!G$2)/('минимумы и максимумы'!G$4-'минимумы и максимумы'!G$2)*100)</f>
        <v>51.807228915662648</v>
      </c>
      <c r="J55" s="1">
        <f>IF('исходные данные'!J55&gt;'минимумы и максимумы'!H$4,100,('исходные данные'!J55-'минимумы и максимумы'!H$2)/('минимумы и максимумы'!H$4-'минимумы и максимумы'!H$2)*100)</f>
        <v>62.5</v>
      </c>
      <c r="K55" s="1">
        <f>IF('исходные данные'!K55&gt;'минимумы и максимумы'!I$4,100,('исходные данные'!K55-'минимумы и максимумы'!I$2)/('минимумы и максимумы'!I$4-'минимумы и максимумы'!I$2)*100)</f>
        <v>25</v>
      </c>
      <c r="L55" s="1">
        <f>IF('исходные данные'!L55&gt;'минимумы и максимумы'!J$4,100,('исходные данные'!L55-'минимумы и максимумы'!J$2)/('минимумы и максимумы'!J$4-'минимумы и максимумы'!J$2)*100)</f>
        <v>37.5</v>
      </c>
      <c r="M55" s="1">
        <f>IF('исходные данные'!M55&gt;'минимумы и максимумы'!K$4,100,('исходные данные'!M55-'минимумы и максимумы'!K$2)/('минимумы и максимумы'!K$4-'минимумы и максимумы'!K$2)*100)</f>
        <v>27.659574468085108</v>
      </c>
      <c r="N55" s="1">
        <f>IF('исходные данные'!N55&gt;'минимумы и максимумы'!L$4,100,('исходные данные'!N55-'минимумы и максимумы'!L$2)/('минимумы и максимумы'!L$4-'минимумы и максимумы'!L$2)*100)</f>
        <v>6.3402773752457033</v>
      </c>
      <c r="O55" s="1">
        <f>IF('исходные данные'!O55&gt;'минимумы и максимумы'!M$4,100,('исходные данные'!O55-'минимумы и максимумы'!M$2)/('минимумы и максимумы'!M$4-'минимумы и максимумы'!M$2)*100)</f>
        <v>100</v>
      </c>
      <c r="P55" s="1">
        <f>IF('исходные данные'!P55&gt;'минимумы и максимумы'!N$4,100,('исходные данные'!P55-'минимумы и максимумы'!N$2)/('минимумы и максимумы'!N$4-'минимумы и максимумы'!N$2)*100)</f>
        <v>100</v>
      </c>
      <c r="Q55" s="1">
        <f>IF('исходные данные'!Q55&gt;'минимумы и максимумы'!O$4,100,('исходные данные'!Q55-'минимумы и максимумы'!O$2)/('минимумы и максимумы'!O$4-'минимумы и максимумы'!O$2)*100)</f>
        <v>100</v>
      </c>
      <c r="R55" s="1">
        <f>IF('исходные данные'!R55&gt;'минимумы и максимумы'!P$4,100,('исходные данные'!R55-'минимумы и максимумы'!P$2)/('минимумы и максимумы'!P$4-'минимумы и максимумы'!P$2)*100)</f>
        <v>100</v>
      </c>
      <c r="S55" s="1">
        <f>IF('исходные данные'!S55&gt;'минимумы и максимумы'!Q$4,100,('исходные данные'!S55-'минимумы и максимумы'!Q$2)/('минимумы и максимумы'!Q$4-'минимумы и максимумы'!Q$2)*100)</f>
        <v>33.333333333333329</v>
      </c>
      <c r="T55" s="1">
        <f>IF('исходные данные'!T55&gt;'минимумы и максимумы'!R$4,100,('исходные данные'!T55-'минимумы и максимумы'!R$2)/('минимумы и максимумы'!R$4-'минимумы и максимумы'!R$2)*100)</f>
        <v>55.955120828538554</v>
      </c>
      <c r="U55" s="1">
        <f>IF('исходные данные'!U55&gt;'минимумы и максимумы'!S$4,100,('исходные данные'!U55-'минимумы и максимумы'!S$2)/('минимумы и максимумы'!S$4-'минимумы и максимумы'!S$2)*100)</f>
        <v>100</v>
      </c>
    </row>
    <row r="56" spans="1:21" x14ac:dyDescent="0.45">
      <c r="A56" s="4">
        <v>106</v>
      </c>
      <c r="B56" s="4">
        <v>0</v>
      </c>
      <c r="C56" s="4">
        <v>0</v>
      </c>
      <c r="D56" s="1">
        <f>IF('исходные данные'!D56&gt;'минимумы и максимумы'!B$4,100,('исходные данные'!D56-'минимумы и максимумы'!B$2)/('минимумы и максимумы'!B$4-'минимумы и максимумы'!B$2)*100)</f>
        <v>50</v>
      </c>
      <c r="E56" s="1">
        <f>IF('исходные данные'!E56&gt;'минимумы и максимумы'!C$4,100,('исходные данные'!E56-'минимумы и максимумы'!C$2)/('минимумы и максимумы'!C$4-'минимумы и максимумы'!C$2)*100)</f>
        <v>43.75</v>
      </c>
      <c r="F56" s="1">
        <f>IF('исходные данные'!F56&gt;'минимумы и максимумы'!D$4,100,('исходные данные'!F56-'минимумы и максимумы'!D$2)/('минимумы и максимумы'!D$4-'минимумы и максимумы'!D$2)*100)</f>
        <v>0</v>
      </c>
      <c r="G56" s="1">
        <f>IF('исходные данные'!G56&gt;'минимумы и максимумы'!E$4,100,('исходные данные'!G56-'минимумы и максимумы'!E$2)/('минимумы и максимумы'!E$4-'минимумы и максимумы'!E$2)*100)</f>
        <v>54.054054054054056</v>
      </c>
      <c r="H56" s="1">
        <f>IF('исходные данные'!H56&gt;'минимумы и максимумы'!F$4,100,('исходные данные'!H56-'минимумы и максимумы'!F$2)/('минимумы и максимумы'!F$4-'минимумы и максимумы'!F$2)*100)</f>
        <v>23.684210526315788</v>
      </c>
      <c r="I56" s="1">
        <f>IF('исходные данные'!I56&gt;'минимумы и максимумы'!G$4,100,('исходные данные'!I56-'минимумы и максимумы'!G$2)/('минимумы и максимумы'!G$4-'минимумы и максимумы'!G$2)*100)</f>
        <v>51.807228915662648</v>
      </c>
      <c r="J56" s="1">
        <f>IF('исходные данные'!J56&gt;'минимумы и максимумы'!H$4,100,('исходные данные'!J56-'минимумы и максимумы'!H$2)/('минимумы и максимумы'!H$4-'минимумы и максимумы'!H$2)*100)</f>
        <v>62.5</v>
      </c>
      <c r="K56" s="1">
        <f>IF('исходные данные'!K56&gt;'минимумы и максимумы'!I$4,100,('исходные данные'!K56-'минимумы и максимумы'!I$2)/('минимумы и максимумы'!I$4-'минимумы и максимумы'!I$2)*100)</f>
        <v>25</v>
      </c>
      <c r="L56" s="1">
        <f>IF('исходные данные'!L56&gt;'минимумы и максимумы'!J$4,100,('исходные данные'!L56-'минимумы и максимумы'!J$2)/('минимумы и максимумы'!J$4-'минимумы и максимумы'!J$2)*100)</f>
        <v>37.5</v>
      </c>
      <c r="M56" s="1">
        <f>IF('исходные данные'!M56&gt;'минимумы и максимумы'!K$4,100,('исходные данные'!M56-'минимумы и максимумы'!K$2)/('минимумы и максимумы'!K$4-'минимумы и максимумы'!K$2)*100)</f>
        <v>27.659574468085108</v>
      </c>
      <c r="N56" s="1">
        <f>IF('исходные данные'!N56&gt;'минимумы и максимумы'!L$4,100,('исходные данные'!N56-'минимумы и максимумы'!L$2)/('минимумы и максимумы'!L$4-'минимумы и максимумы'!L$2)*100)</f>
        <v>6.1174399787117988</v>
      </c>
      <c r="O56" s="1">
        <f>IF('исходные данные'!O56&gt;'минимумы и максимумы'!M$4,100,('исходные данные'!O56-'минимумы и максимумы'!M$2)/('минимумы и максимумы'!M$4-'минимумы и максимумы'!M$2)*100)</f>
        <v>100</v>
      </c>
      <c r="P56" s="1">
        <f>IF('исходные данные'!P56&gt;'минимумы и максимумы'!N$4,100,('исходные данные'!P56-'минимумы и максимумы'!N$2)/('минимумы и максимумы'!N$4-'минимумы и максимумы'!N$2)*100)</f>
        <v>100</v>
      </c>
      <c r="Q56" s="1">
        <f>IF('исходные данные'!Q56&gt;'минимумы и максимумы'!O$4,100,('исходные данные'!Q56-'минимумы и максимумы'!O$2)/('минимумы и максимумы'!O$4-'минимумы и максимумы'!O$2)*100)</f>
        <v>100</v>
      </c>
      <c r="R56" s="1">
        <f>IF('исходные данные'!R56&gt;'минимумы и максимумы'!P$4,100,('исходные данные'!R56-'минимумы и максимумы'!P$2)/('минимумы и максимумы'!P$4-'минимумы и максимумы'!P$2)*100)</f>
        <v>100</v>
      </c>
      <c r="S56" s="1">
        <f>IF('исходные данные'!S56&gt;'минимумы и максимумы'!Q$4,100,('исходные данные'!S56-'минимумы и максимумы'!Q$2)/('минимумы и максимумы'!Q$4-'минимумы и максимумы'!Q$2)*100)</f>
        <v>22.222222222222221</v>
      </c>
      <c r="T56" s="1">
        <f>IF('исходные данные'!T56&gt;'минимумы и максимумы'!R$4,100,('исходные данные'!T56-'минимумы и максимумы'!R$2)/('минимумы и максимумы'!R$4-'минимумы и максимумы'!R$2)*100)</f>
        <v>70.0517836593786</v>
      </c>
      <c r="U56" s="1">
        <f>IF('исходные данные'!U56&gt;'минимумы и максимумы'!S$4,100,('исходные данные'!U56-'минимумы и максимумы'!S$2)/('минимумы и максимумы'!S$4-'минимумы и максимумы'!S$2)*100)</f>
        <v>100</v>
      </c>
    </row>
    <row r="57" spans="1:21" x14ac:dyDescent="0.45">
      <c r="A57" s="4">
        <v>107</v>
      </c>
      <c r="B57" s="4">
        <v>0</v>
      </c>
      <c r="C57" s="4">
        <v>0</v>
      </c>
      <c r="D57" s="1">
        <f>IF('исходные данные'!D57&gt;'минимумы и максимумы'!B$4,100,('исходные данные'!D57-'минимумы и максимумы'!B$2)/('минимумы и максимумы'!B$4-'минимумы и максимумы'!B$2)*100)</f>
        <v>12.5</v>
      </c>
      <c r="E57" s="1">
        <f>IF('исходные данные'!E57&gt;'минимумы и максимумы'!C$4,100,('исходные данные'!E57-'минимумы и максимумы'!C$2)/('минимумы и максимумы'!C$4-'минимумы и максимумы'!C$2)*100)</f>
        <v>12.5</v>
      </c>
      <c r="F57" s="1">
        <f>IF('исходные данные'!F57&gt;'минимумы и максимумы'!D$4,100,('исходные данные'!F57-'минимумы и максимумы'!D$2)/('минимумы и максимумы'!D$4-'минимумы и максимумы'!D$2)*100)</f>
        <v>0</v>
      </c>
      <c r="G57" s="1">
        <f>IF('исходные данные'!G57&gt;'минимумы и максимумы'!E$4,100,('исходные данные'!G57-'минимумы и максимумы'!E$2)/('минимумы и максимумы'!E$4-'минимумы и максимумы'!E$2)*100)</f>
        <v>18.918918918918919</v>
      </c>
      <c r="H57" s="1">
        <f>IF('исходные данные'!H57&gt;'минимумы и максимумы'!F$4,100,('исходные данные'!H57-'минимумы и максимумы'!F$2)/('минимумы и максимумы'!F$4-'минимумы и максимумы'!F$2)*100)</f>
        <v>7.8947368421052628</v>
      </c>
      <c r="I57" s="1">
        <f>IF('исходные данные'!I57&gt;'минимумы и максимумы'!G$4,100,('исходные данные'!I57-'минимумы и максимумы'!G$2)/('минимумы и максимумы'!G$4-'минимумы и максимумы'!G$2)*100)</f>
        <v>12.048192771084338</v>
      </c>
      <c r="J57" s="1">
        <f>IF('исходные данные'!J57&gt;'минимумы и максимумы'!H$4,100,('исходные данные'!J57-'минимумы и максимумы'!H$2)/('минимумы и максимумы'!H$4-'минимумы и максимумы'!H$2)*100)</f>
        <v>16.666666666666664</v>
      </c>
      <c r="K57" s="1">
        <f>IF('исходные данные'!K57&gt;'минимумы и максимумы'!I$4,100,('исходные данные'!K57-'минимумы и максимумы'!I$2)/('минимумы и максимумы'!I$4-'минимумы и максимумы'!I$2)*100)</f>
        <v>14.285714285714285</v>
      </c>
      <c r="L57" s="1">
        <f>IF('исходные данные'!L57&gt;'минимумы и максимумы'!J$4,100,('исходные данные'!L57-'минимумы и максимумы'!J$2)/('минимумы и максимумы'!J$4-'минимумы и максимумы'!J$2)*100)</f>
        <v>12.5</v>
      </c>
      <c r="M57" s="1">
        <f>IF('исходные данные'!M57&gt;'минимумы и максимумы'!K$4,100,('исходные данные'!M57-'минимумы и максимумы'!K$2)/('минимумы и максимумы'!K$4-'минимумы и максимумы'!K$2)*100)</f>
        <v>8.5106382978723403</v>
      </c>
      <c r="N57" s="1">
        <f>IF('исходные данные'!N57&gt;'минимумы и максимумы'!L$4,100,('исходные данные'!N57-'минимумы и максимумы'!L$2)/('минимумы и максимумы'!L$4-'минимумы и максимумы'!L$2)*100)</f>
        <v>5.4046731623350865</v>
      </c>
      <c r="O57" s="1">
        <f>IF('исходные данные'!O57&gt;'минимумы и максимумы'!M$4,100,('исходные данные'!O57-'минимумы и максимумы'!M$2)/('минимумы и максимумы'!M$4-'минимумы и максимумы'!M$2)*100)</f>
        <v>33.333333333333329</v>
      </c>
      <c r="P57" s="1">
        <f>IF('исходные данные'!P57&gt;'минимумы и максимумы'!N$4,100,('исходные данные'!P57-'минимумы и максимумы'!N$2)/('минимумы и максимумы'!N$4-'минимумы и максимумы'!N$2)*100)</f>
        <v>0</v>
      </c>
      <c r="Q57" s="1">
        <f>IF('исходные данные'!Q57&gt;'минимумы и максимумы'!O$4,100,('исходные данные'!Q57-'минимумы и максимумы'!O$2)/('минимумы и максимумы'!O$4-'минимумы и максимумы'!O$2)*100)</f>
        <v>0</v>
      </c>
      <c r="R57" s="1">
        <f>IF('исходные данные'!R57&gt;'минимумы и максимумы'!P$4,100,('исходные данные'!R57-'минимумы и максимумы'!P$2)/('минимумы и максимумы'!P$4-'минимумы и максимумы'!P$2)*100)</f>
        <v>100</v>
      </c>
      <c r="S57" s="1">
        <f>IF('исходные данные'!S57&gt;'минимумы и максимумы'!Q$4,100,('исходные данные'!S57-'минимумы и максимумы'!Q$2)/('минимумы и максимумы'!Q$4-'минимумы и максимумы'!Q$2)*100)</f>
        <v>33.333333333333329</v>
      </c>
      <c r="T57" s="1">
        <f>IF('исходные данные'!T57&gt;'минимумы и максимумы'!R$4,100,('исходные данные'!T57-'минимумы и максимумы'!R$2)/('минимумы и максимумы'!R$4-'минимумы и максимумы'!R$2)*100)</f>
        <v>10.040276179516686</v>
      </c>
      <c r="U57" s="1">
        <f>IF('исходные данные'!U57&gt;'минимумы и максимумы'!S$4,100,('исходные данные'!U57-'минимумы и максимумы'!S$2)/('минимумы и максимумы'!S$4-'минимумы и максимумы'!S$2)*100)</f>
        <v>0</v>
      </c>
    </row>
    <row r="58" spans="1:21" x14ac:dyDescent="0.45">
      <c r="A58" s="4">
        <v>108</v>
      </c>
      <c r="B58" s="4">
        <v>0</v>
      </c>
      <c r="C58" s="4">
        <v>0</v>
      </c>
      <c r="D58" s="1">
        <f>IF('исходные данные'!D58&gt;'минимумы и максимумы'!B$4,100,('исходные данные'!D58-'минимумы и максимумы'!B$2)/('минимумы и максимумы'!B$4-'минимумы и максимумы'!B$2)*100)</f>
        <v>62.5</v>
      </c>
      <c r="E58" s="1">
        <f>IF('исходные данные'!E58&gt;'минимумы и максимумы'!C$4,100,('исходные данные'!E58-'минимумы и максимумы'!C$2)/('минимумы и максимумы'!C$4-'минимумы и максимумы'!C$2)*100)</f>
        <v>37.5</v>
      </c>
      <c r="F58" s="1">
        <f>IF('исходные данные'!F58&gt;'минимумы и максимумы'!D$4,100,('исходные данные'!F58-'минимумы и максимумы'!D$2)/('минимумы и максимумы'!D$4-'минимумы и максимумы'!D$2)*100)</f>
        <v>0</v>
      </c>
      <c r="G58" s="1">
        <f>IF('исходные данные'!G58&gt;'минимумы и максимумы'!E$4,100,('исходные данные'!G58-'минимумы и максимумы'!E$2)/('минимумы и максимумы'!E$4-'минимумы и максимумы'!E$2)*100)</f>
        <v>37.837837837837839</v>
      </c>
      <c r="H58" s="1">
        <f>IF('исходные данные'!H58&gt;'минимумы и максимумы'!F$4,100,('исходные данные'!H58-'минимумы и максимумы'!F$2)/('минимумы и максимумы'!F$4-'минимумы и максимумы'!F$2)*100)</f>
        <v>26.315789473684209</v>
      </c>
      <c r="I58" s="1">
        <f>IF('исходные данные'!I58&gt;'минимумы и максимумы'!G$4,100,('исходные данные'!I58-'минимумы и максимумы'!G$2)/('минимумы и максимумы'!G$4-'минимумы и максимумы'!G$2)*100)</f>
        <v>100</v>
      </c>
      <c r="J58" s="1">
        <f>IF('исходные данные'!J58&gt;'минимумы и максимумы'!H$4,100,('исходные данные'!J58-'минимумы и максимумы'!H$2)/('минимумы и максимумы'!H$4-'минимумы и максимумы'!H$2)*100)</f>
        <v>100</v>
      </c>
      <c r="K58" s="1">
        <f>IF('исходные данные'!K58&gt;'минимумы и максимумы'!I$4,100,('исходные данные'!K58-'минимумы и максимумы'!I$2)/('минимумы и максимумы'!I$4-'минимумы и максимумы'!I$2)*100)</f>
        <v>17.857142857142858</v>
      </c>
      <c r="L58" s="1">
        <f>IF('исходные данные'!L58&gt;'минимумы и максимумы'!J$4,100,('исходные данные'!L58-'минимумы и максимумы'!J$2)/('минимумы и максимумы'!J$4-'минимумы и максимумы'!J$2)*100)</f>
        <v>37.5</v>
      </c>
      <c r="M58" s="1">
        <f>IF('исходные данные'!M58&gt;'минимумы и максимумы'!K$4,100,('исходные данные'!M58-'минимумы и максимумы'!K$2)/('минимумы и максимумы'!K$4-'минимумы и максимумы'!K$2)*100)</f>
        <v>29.787234042553191</v>
      </c>
      <c r="N58" s="1">
        <f>IF('исходные данные'!N58&gt;'минимумы и максимумы'!L$4,100,('исходные данные'!N58-'минимумы и максимумы'!L$2)/('минимумы и максимумы'!L$4-'минимумы и максимумы'!L$2)*100)</f>
        <v>4.5981507159230608</v>
      </c>
      <c r="O58" s="1">
        <f>IF('исходные данные'!O58&gt;'минимумы и максимумы'!M$4,100,('исходные данные'!O58-'минимумы и максимумы'!M$2)/('минимумы и максимумы'!M$4-'минимумы и максимумы'!M$2)*100)</f>
        <v>100</v>
      </c>
      <c r="P58" s="1">
        <f>IF('исходные данные'!P58&gt;'минимумы и максимумы'!N$4,100,('исходные данные'!P58-'минимумы и максимумы'!N$2)/('минимумы и максимумы'!N$4-'минимумы и максимумы'!N$2)*100)</f>
        <v>100</v>
      </c>
      <c r="Q58" s="1">
        <f>IF('исходные данные'!Q58&gt;'минимумы и максимумы'!O$4,100,('исходные данные'!Q58-'минимумы и максимумы'!O$2)/('минимумы и максимумы'!O$4-'минимумы и максимумы'!O$2)*100)</f>
        <v>100</v>
      </c>
      <c r="R58" s="1">
        <f>IF('исходные данные'!R58&gt;'минимумы и максимумы'!P$4,100,('исходные данные'!R58-'минимумы и максимумы'!P$2)/('минимумы и максимумы'!P$4-'минимумы и максимумы'!P$2)*100)</f>
        <v>75</v>
      </c>
      <c r="S58" s="1">
        <f>IF('исходные данные'!S58&gt;'минимумы и максимумы'!Q$4,100,('исходные данные'!S58-'минимумы и максимумы'!Q$2)/('минимумы и максимумы'!Q$4-'минимумы и максимумы'!Q$2)*100)</f>
        <v>33.333333333333329</v>
      </c>
      <c r="T58" s="1">
        <f>IF('исходные данные'!T58&gt;'минимумы и максимумы'!R$4,100,('исходные данные'!T58-'минимумы и максимумы'!R$2)/('минимумы и максимумы'!R$4-'минимумы и максимумы'!R$2)*100)</f>
        <v>38.23360184119678</v>
      </c>
      <c r="U58" s="1">
        <f>IF('исходные данные'!U58&gt;'минимумы и максимумы'!S$4,100,('исходные данные'!U58-'минимумы и максимумы'!S$2)/('минимумы и максимумы'!S$4-'минимумы и максимумы'!S$2)*100)</f>
        <v>0</v>
      </c>
    </row>
    <row r="59" spans="1:21" x14ac:dyDescent="0.45">
      <c r="A59" s="4">
        <v>109</v>
      </c>
      <c r="B59" s="4">
        <v>0</v>
      </c>
      <c r="C59" s="4">
        <v>0</v>
      </c>
      <c r="D59" s="1">
        <f>IF('исходные данные'!D59&gt;'минимумы и максимумы'!B$4,100,('исходные данные'!D59-'минимумы и максимумы'!B$2)/('минимумы и максимумы'!B$4-'минимумы и максимумы'!B$2)*100)</f>
        <v>62.5</v>
      </c>
      <c r="E59" s="1">
        <f>IF('исходные данные'!E59&gt;'минимумы и максимумы'!C$4,100,('исходные данные'!E59-'минимумы и максимумы'!C$2)/('минимумы и максимумы'!C$4-'минимумы и максимумы'!C$2)*100)</f>
        <v>37.5</v>
      </c>
      <c r="F59" s="1">
        <f>IF('исходные данные'!F59&gt;'минимумы и максимумы'!D$4,100,('исходные данные'!F59-'минимумы и максимумы'!D$2)/('минимумы и максимумы'!D$4-'минимумы и максимумы'!D$2)*100)</f>
        <v>0</v>
      </c>
      <c r="G59" s="1">
        <f>IF('исходные данные'!G59&gt;'минимумы и максимумы'!E$4,100,('исходные данные'!G59-'минимумы и максимумы'!E$2)/('минимумы и максимумы'!E$4-'минимумы и максимумы'!E$2)*100)</f>
        <v>37.837837837837839</v>
      </c>
      <c r="H59" s="1">
        <f>IF('исходные данные'!H59&gt;'минимумы и максимумы'!F$4,100,('исходные данные'!H59-'минимумы и максимумы'!F$2)/('минимумы и максимумы'!F$4-'минимумы и максимумы'!F$2)*100)</f>
        <v>26.315789473684209</v>
      </c>
      <c r="I59" s="1">
        <f>IF('исходные данные'!I59&gt;'минимумы и максимумы'!G$4,100,('исходные данные'!I59-'минимумы и максимумы'!G$2)/('минимумы и максимумы'!G$4-'минимумы и максимумы'!G$2)*100)</f>
        <v>100</v>
      </c>
      <c r="J59" s="1">
        <f>IF('исходные данные'!J59&gt;'минимумы и максимумы'!H$4,100,('исходные данные'!J59-'минимумы и максимумы'!H$2)/('минимумы и максимумы'!H$4-'минимумы и максимумы'!H$2)*100)</f>
        <v>100</v>
      </c>
      <c r="K59" s="1">
        <f>IF('исходные данные'!K59&gt;'минимумы и максимумы'!I$4,100,('исходные данные'!K59-'минимумы и максимумы'!I$2)/('минимумы и максимумы'!I$4-'минимумы и максимумы'!I$2)*100)</f>
        <v>17.857142857142858</v>
      </c>
      <c r="L59" s="1">
        <f>IF('исходные данные'!L59&gt;'минимумы и максимумы'!J$4,100,('исходные данные'!L59-'минимумы и максимумы'!J$2)/('минимумы и максимумы'!J$4-'минимумы и максимумы'!J$2)*100)</f>
        <v>37.5</v>
      </c>
      <c r="M59" s="1">
        <f>IF('исходные данные'!M59&gt;'минимумы и максимумы'!K$4,100,('исходные данные'!M59-'минимумы и максимумы'!K$2)/('минимумы и максимумы'!K$4-'минимумы и максимумы'!K$2)*100)</f>
        <v>29.787234042553191</v>
      </c>
      <c r="N59" s="1">
        <f>IF('исходные данные'!N59&gt;'минимумы и максимумы'!L$4,100,('исходные данные'!N59-'минимумы и максимумы'!L$2)/('минимумы и максимумы'!L$4-'минимумы и максимумы'!L$2)*100)</f>
        <v>4.9149224960250422</v>
      </c>
      <c r="O59" s="1">
        <f>IF('исходные данные'!O59&gt;'минимумы и максимумы'!M$4,100,('исходные данные'!O59-'минимумы и максимумы'!M$2)/('минимумы и максимумы'!M$4-'минимумы и максимумы'!M$2)*100)</f>
        <v>100</v>
      </c>
      <c r="P59" s="1">
        <f>IF('исходные данные'!P59&gt;'минимумы и максимумы'!N$4,100,('исходные данные'!P59-'минимумы и максимумы'!N$2)/('минимумы и максимумы'!N$4-'минимумы и максимумы'!N$2)*100)</f>
        <v>100</v>
      </c>
      <c r="Q59" s="1">
        <f>IF('исходные данные'!Q59&gt;'минимумы и максимумы'!O$4,100,('исходные данные'!Q59-'минимумы и максимумы'!O$2)/('минимумы и максимумы'!O$4-'минимумы и максимумы'!O$2)*100)</f>
        <v>100</v>
      </c>
      <c r="R59" s="1">
        <f>IF('исходные данные'!R59&gt;'минимумы и максимумы'!P$4,100,('исходные данные'!R59-'минимумы и максимумы'!P$2)/('минимумы и максимумы'!P$4-'минимумы и максимумы'!P$2)*100)</f>
        <v>75</v>
      </c>
      <c r="S59" s="1">
        <f>IF('исходные данные'!S59&gt;'минимумы и максимумы'!Q$4,100,('исходные данные'!S59-'минимумы и максимумы'!Q$2)/('минимумы и максимумы'!Q$4-'минимумы и максимумы'!Q$2)*100)</f>
        <v>22.222222222222221</v>
      </c>
      <c r="T59" s="1">
        <f>IF('исходные данные'!T59&gt;'минимумы и максимумы'!R$4,100,('исходные данные'!T59-'минимумы и максимумы'!R$2)/('минимумы и максимумы'!R$4-'минимумы и максимумы'!R$2)*100)</f>
        <v>9.6950517836593786</v>
      </c>
      <c r="U59" s="1">
        <f>IF('исходные данные'!U59&gt;'минимумы и максимумы'!S$4,100,('исходные данные'!U59-'минимумы и максимумы'!S$2)/('минимумы и максимумы'!S$4-'минимумы и максимумы'!S$2)*100)</f>
        <v>0</v>
      </c>
    </row>
    <row r="60" spans="1:21" x14ac:dyDescent="0.45">
      <c r="A60" s="4">
        <v>110</v>
      </c>
      <c r="B60" s="4">
        <v>0</v>
      </c>
      <c r="C60" s="4">
        <v>0</v>
      </c>
      <c r="D60" s="1">
        <f>IF('исходные данные'!D60&gt;'минимумы и максимумы'!B$4,100,('исходные данные'!D60-'минимумы и максимумы'!B$2)/('минимумы и максимумы'!B$4-'минимумы и максимумы'!B$2)*100)</f>
        <v>62.5</v>
      </c>
      <c r="E60" s="1">
        <f>IF('исходные данные'!E60&gt;'минимумы и максимумы'!C$4,100,('исходные данные'!E60-'минимумы и максимумы'!C$2)/('минимумы и максимумы'!C$4-'минимумы и максимумы'!C$2)*100)</f>
        <v>37.5</v>
      </c>
      <c r="F60" s="1">
        <f>IF('исходные данные'!F60&gt;'минимумы и максимумы'!D$4,100,('исходные данные'!F60-'минимумы и максимумы'!D$2)/('минимумы и максимумы'!D$4-'минимумы и максимумы'!D$2)*100)</f>
        <v>0</v>
      </c>
      <c r="G60" s="1">
        <f>IF('исходные данные'!G60&gt;'минимумы и максимумы'!E$4,100,('исходные данные'!G60-'минимумы и максимумы'!E$2)/('минимумы и максимумы'!E$4-'минимумы и максимумы'!E$2)*100)</f>
        <v>37.837837837837839</v>
      </c>
      <c r="H60" s="1">
        <f>IF('исходные данные'!H60&gt;'минимумы и максимумы'!F$4,100,('исходные данные'!H60-'минимумы и максимумы'!F$2)/('минимумы и максимумы'!F$4-'минимумы и максимумы'!F$2)*100)</f>
        <v>26.315789473684209</v>
      </c>
      <c r="I60" s="1">
        <f>IF('исходные данные'!I60&gt;'минимумы и максимумы'!G$4,100,('исходные данные'!I60-'минимумы и максимумы'!G$2)/('минимумы и максимумы'!G$4-'минимумы и максимумы'!G$2)*100)</f>
        <v>100</v>
      </c>
      <c r="J60" s="1">
        <f>IF('исходные данные'!J60&gt;'минимумы и максимумы'!H$4,100,('исходные данные'!J60-'минимумы и максимумы'!H$2)/('минимумы и максимумы'!H$4-'минимумы и максимумы'!H$2)*100)</f>
        <v>100</v>
      </c>
      <c r="K60" s="1">
        <f>IF('исходные данные'!K60&gt;'минимумы и максимумы'!I$4,100,('исходные данные'!K60-'минимумы и максимумы'!I$2)/('минимумы и максимумы'!I$4-'минимумы и максимумы'!I$2)*100)</f>
        <v>17.857142857142858</v>
      </c>
      <c r="L60" s="1">
        <f>IF('исходные данные'!L60&gt;'минимумы и максимумы'!J$4,100,('исходные данные'!L60-'минимумы и максимумы'!J$2)/('минимумы и максимумы'!J$4-'минимумы и максимумы'!J$2)*100)</f>
        <v>37.5</v>
      </c>
      <c r="M60" s="1">
        <f>IF('исходные данные'!M60&gt;'минимумы и максимумы'!K$4,100,('исходные данные'!M60-'минимумы и максимумы'!K$2)/('минимумы и максимумы'!K$4-'минимумы и максимумы'!K$2)*100)</f>
        <v>29.787234042553191</v>
      </c>
      <c r="N60" s="1">
        <f>IF('исходные данные'!N60&gt;'минимумы и максимумы'!L$4,100,('исходные данные'!N60-'минимумы и максимумы'!L$2)/('минимумы и максимумы'!L$4-'минимумы и максимумы'!L$2)*100)</f>
        <v>4.5981507159230608</v>
      </c>
      <c r="O60" s="1">
        <f>IF('исходные данные'!O60&gt;'минимумы и максимумы'!M$4,100,('исходные данные'!O60-'минимумы и максимумы'!M$2)/('минимумы и максимумы'!M$4-'минимумы и максимумы'!M$2)*100)</f>
        <v>100</v>
      </c>
      <c r="P60" s="1">
        <f>IF('исходные данные'!P60&gt;'минимумы и максимумы'!N$4,100,('исходные данные'!P60-'минимумы и максимумы'!N$2)/('минимумы и максимумы'!N$4-'минимумы и максимумы'!N$2)*100)</f>
        <v>100</v>
      </c>
      <c r="Q60" s="1">
        <f>IF('исходные данные'!Q60&gt;'минимумы и максимумы'!O$4,100,('исходные данные'!Q60-'минимумы и максимумы'!O$2)/('минимумы и максимумы'!O$4-'минимумы и максимумы'!O$2)*100)</f>
        <v>100</v>
      </c>
      <c r="R60" s="1">
        <f>IF('исходные данные'!R60&gt;'минимумы и максимумы'!P$4,100,('исходные данные'!R60-'минимумы и максимумы'!P$2)/('минимумы и максимумы'!P$4-'минимумы и максимумы'!P$2)*100)</f>
        <v>75</v>
      </c>
      <c r="S60" s="1">
        <f>IF('исходные данные'!S60&gt;'минимумы и максимумы'!Q$4,100,('исходные данные'!S60-'минимумы и максимумы'!Q$2)/('минимумы и максимумы'!Q$4-'минимумы и максимумы'!Q$2)*100)</f>
        <v>33.333333333333329</v>
      </c>
      <c r="T60" s="1">
        <f>IF('исходные данные'!T60&gt;'минимумы и максимумы'!R$4,100,('исходные данные'!T60-'минимумы и максимумы'!R$2)/('минимумы и максимумы'!R$4-'минимумы и максимумы'!R$2)*100)</f>
        <v>8.4867663981588031</v>
      </c>
      <c r="U60" s="1">
        <f>IF('исходные данные'!U60&gt;'минимумы и максимумы'!S$4,100,('исходные данные'!U60-'минимумы и максимумы'!S$2)/('минимумы и максимумы'!S$4-'минимумы и максимумы'!S$2)*100)</f>
        <v>0</v>
      </c>
    </row>
    <row r="61" spans="1:21" x14ac:dyDescent="0.45">
      <c r="A61" s="4">
        <v>111</v>
      </c>
      <c r="B61" s="4">
        <v>0</v>
      </c>
      <c r="C61" s="4">
        <v>0</v>
      </c>
      <c r="D61" s="1">
        <f>IF('исходные данные'!D61&gt;'минимумы и максимумы'!B$4,100,('исходные данные'!D61-'минимумы и максимумы'!B$2)/('минимумы и максимумы'!B$4-'минимумы и максимумы'!B$2)*100)</f>
        <v>62.5</v>
      </c>
      <c r="E61" s="1">
        <f>IF('исходные данные'!E61&gt;'минимумы и максимумы'!C$4,100,('исходные данные'!E61-'минимумы и максимумы'!C$2)/('минимумы и максимумы'!C$4-'минимумы и максимумы'!C$2)*100)</f>
        <v>37.5</v>
      </c>
      <c r="F61" s="1">
        <f>IF('исходные данные'!F61&gt;'минимумы и максимумы'!D$4,100,('исходные данные'!F61-'минимумы и максимумы'!D$2)/('минимумы и максимумы'!D$4-'минимумы и максимумы'!D$2)*100)</f>
        <v>0</v>
      </c>
      <c r="G61" s="1">
        <f>IF('исходные данные'!G61&gt;'минимумы и максимумы'!E$4,100,('исходные данные'!G61-'минимумы и максимумы'!E$2)/('минимумы и максимумы'!E$4-'минимумы и максимумы'!E$2)*100)</f>
        <v>37.837837837837839</v>
      </c>
      <c r="H61" s="1">
        <f>IF('исходные данные'!H61&gt;'минимумы и максимумы'!F$4,100,('исходные данные'!H61-'минимумы и максимумы'!F$2)/('минимумы и максимумы'!F$4-'минимумы и максимумы'!F$2)*100)</f>
        <v>26.315789473684209</v>
      </c>
      <c r="I61" s="1">
        <f>IF('исходные данные'!I61&gt;'минимумы и максимумы'!G$4,100,('исходные данные'!I61-'минимумы и максимумы'!G$2)/('минимумы и максимумы'!G$4-'минимумы и максимумы'!G$2)*100)</f>
        <v>100</v>
      </c>
      <c r="J61" s="1">
        <f>IF('исходные данные'!J61&gt;'минимумы и максимумы'!H$4,100,('исходные данные'!J61-'минимумы и максимумы'!H$2)/('минимумы и максимумы'!H$4-'минимумы и максимумы'!H$2)*100)</f>
        <v>100</v>
      </c>
      <c r="K61" s="1">
        <f>IF('исходные данные'!K61&gt;'минимумы и максимумы'!I$4,100,('исходные данные'!K61-'минимумы и максимумы'!I$2)/('минимумы и максимумы'!I$4-'минимумы и максимумы'!I$2)*100)</f>
        <v>17.857142857142858</v>
      </c>
      <c r="L61" s="1">
        <f>IF('исходные данные'!L61&gt;'минимумы и максимумы'!J$4,100,('исходные данные'!L61-'минимумы и максимумы'!J$2)/('минимумы и максимумы'!J$4-'минимумы и максимумы'!J$2)*100)</f>
        <v>37.5</v>
      </c>
      <c r="M61" s="1">
        <f>IF('исходные данные'!M61&gt;'минимумы и максимумы'!K$4,100,('исходные данные'!M61-'минимумы и максимумы'!K$2)/('минимумы и максимумы'!K$4-'минимумы и максимумы'!K$2)*100)</f>
        <v>29.787234042553191</v>
      </c>
      <c r="N61" s="1">
        <f>IF('исходные данные'!N61&gt;'минимумы и максимумы'!L$4,100,('исходные данные'!N61-'минимумы и максимумы'!L$2)/('минимумы и максимумы'!L$4-'минимумы и максимумы'!L$2)*100)</f>
        <v>4.9149224960250422</v>
      </c>
      <c r="O61" s="1">
        <f>IF('исходные данные'!O61&gt;'минимумы и максимумы'!M$4,100,('исходные данные'!O61-'минимумы и максимумы'!M$2)/('минимумы и максимумы'!M$4-'минимумы и максимумы'!M$2)*100)</f>
        <v>66.666666666666657</v>
      </c>
      <c r="P61" s="1">
        <f>IF('исходные данные'!P61&gt;'минимумы и максимумы'!N$4,100,('исходные данные'!P61-'минимумы и максимумы'!N$2)/('минимумы и максимумы'!N$4-'минимумы и максимумы'!N$2)*100)</f>
        <v>100</v>
      </c>
      <c r="Q61" s="1">
        <f>IF('исходные данные'!Q61&gt;'минимумы и максимумы'!O$4,100,('исходные данные'!Q61-'минимумы и максимумы'!O$2)/('минимумы и максимумы'!O$4-'минимумы и максимумы'!O$2)*100)</f>
        <v>100</v>
      </c>
      <c r="R61" s="1">
        <f>IF('исходные данные'!R61&gt;'минимумы и максимумы'!P$4,100,('исходные данные'!R61-'минимумы и максимумы'!P$2)/('минимумы и максимумы'!P$4-'минимумы и максимумы'!P$2)*100)</f>
        <v>75</v>
      </c>
      <c r="S61" s="1">
        <f>IF('исходные данные'!S61&gt;'минимумы и максимумы'!Q$4,100,('исходные данные'!S61-'минимумы и максимумы'!Q$2)/('минимумы и максимумы'!Q$4-'минимумы и максимумы'!Q$2)*100)</f>
        <v>33.333333333333329</v>
      </c>
      <c r="T61" s="1">
        <f>IF('исходные данные'!T61&gt;'минимумы и максимумы'!R$4,100,('исходные данные'!T61-'минимумы и максимумы'!R$2)/('минимумы и максимумы'!R$4-'минимумы и максимумы'!R$2)*100)</f>
        <v>24.108170310701958</v>
      </c>
      <c r="U61" s="1">
        <f>IF('исходные данные'!U61&gt;'минимумы и максимумы'!S$4,100,('исходные данные'!U61-'минимумы и максимумы'!S$2)/('минимумы и максимумы'!S$4-'минимумы и максимумы'!S$2)*100)</f>
        <v>0</v>
      </c>
    </row>
    <row r="62" spans="1:21" x14ac:dyDescent="0.45">
      <c r="A62" s="4">
        <v>112</v>
      </c>
      <c r="B62" s="4">
        <v>0</v>
      </c>
      <c r="C62" s="4">
        <v>0</v>
      </c>
      <c r="D62" s="1">
        <f>IF('исходные данные'!D62&gt;'минимумы и максимумы'!B$4,100,('исходные данные'!D62-'минимумы и максимумы'!B$2)/('минимумы и максимумы'!B$4-'минимумы и максимумы'!B$2)*100)</f>
        <v>50</v>
      </c>
      <c r="E62" s="1">
        <f>IF('исходные данные'!E62&gt;'минимумы и максимумы'!C$4,100,('исходные данные'!E62-'минимумы и максимумы'!C$2)/('минимумы и максимумы'!C$4-'минимумы и максимумы'!C$2)*100)</f>
        <v>25</v>
      </c>
      <c r="F62" s="1">
        <f>IF('исходные данные'!F62&gt;'минимумы и максимумы'!D$4,100,('исходные данные'!F62-'минимумы и максимумы'!D$2)/('минимумы и максимумы'!D$4-'минимумы и максимумы'!D$2)*100)</f>
        <v>0</v>
      </c>
      <c r="G62" s="1">
        <f>IF('исходные данные'!G62&gt;'минимумы и максимумы'!E$4,100,('исходные данные'!G62-'минимумы и максимумы'!E$2)/('минимумы и максимумы'!E$4-'минимумы и максимумы'!E$2)*100)</f>
        <v>43.243243243243242</v>
      </c>
      <c r="H62" s="1">
        <f>IF('исходные данные'!H62&gt;'минимумы и максимумы'!F$4,100,('исходные данные'!H62-'минимумы и максимумы'!F$2)/('минимумы и максимумы'!F$4-'минимумы и максимумы'!F$2)*100)</f>
        <v>36.84210526315789</v>
      </c>
      <c r="I62" s="1">
        <f>IF('исходные данные'!I62&gt;'минимумы и максимумы'!G$4,100,('исходные данные'!I62-'минимумы и максимумы'!G$2)/('минимумы и максимумы'!G$4-'минимумы и максимумы'!G$2)*100)</f>
        <v>100</v>
      </c>
      <c r="J62" s="1">
        <f>IF('исходные данные'!J62&gt;'минимумы и максимумы'!H$4,100,('исходные данные'!J62-'минимумы и максимумы'!H$2)/('минимумы и максимумы'!H$4-'минимумы и максимумы'!H$2)*100)</f>
        <v>100</v>
      </c>
      <c r="K62" s="1">
        <f>IF('исходные данные'!K62&gt;'минимумы и максимумы'!I$4,100,('исходные данные'!K62-'минимумы и максимумы'!I$2)/('минимумы и максимумы'!I$4-'минимумы и максимумы'!I$2)*100)</f>
        <v>64.285714285714292</v>
      </c>
      <c r="L62" s="1">
        <f>IF('исходные данные'!L62&gt;'минимумы и максимумы'!J$4,100,('исходные данные'!L62-'минимумы и максимумы'!J$2)/('минимумы и максимумы'!J$4-'минимумы и максимумы'!J$2)*100)</f>
        <v>100</v>
      </c>
      <c r="M62" s="1">
        <f>IF('исходные данные'!M62&gt;'минимумы и максимумы'!K$4,100,('исходные данные'!M62-'минимумы и максимумы'!K$2)/('минимумы и максимумы'!K$4-'минимумы и максимумы'!K$2)*100)</f>
        <v>29.787234042553191</v>
      </c>
      <c r="N62" s="1">
        <f>IF('исходные данные'!N62&gt;'минимумы и максимумы'!L$4,100,('исходные данные'!N62-'минимумы и максимумы'!L$2)/('минимумы и максимумы'!L$4-'минимумы и максимумы'!L$2)*100)</f>
        <v>4.5981507159230608</v>
      </c>
      <c r="O62" s="1">
        <f>IF('исходные данные'!O62&gt;'минимумы и максимумы'!M$4,100,('исходные данные'!O62-'минимумы и максимумы'!M$2)/('минимумы и максимумы'!M$4-'минимумы и максимумы'!M$2)*100)</f>
        <v>100</v>
      </c>
      <c r="P62" s="1">
        <f>IF('исходные данные'!P62&gt;'минимумы и максимумы'!N$4,100,('исходные данные'!P62-'минимумы и максимумы'!N$2)/('минимумы и максимумы'!N$4-'минимумы и максимумы'!N$2)*100)</f>
        <v>0</v>
      </c>
      <c r="Q62" s="1">
        <f>IF('исходные данные'!Q62&gt;'минимумы и максимумы'!O$4,100,('исходные данные'!Q62-'минимумы и максимумы'!O$2)/('минимумы и максимумы'!O$4-'минимумы и максимумы'!O$2)*100)</f>
        <v>100</v>
      </c>
      <c r="R62" s="1">
        <f>IF('исходные данные'!R62&gt;'минимумы и максимумы'!P$4,100,('исходные данные'!R62-'минимумы и максимумы'!P$2)/('минимумы и максимумы'!P$4-'минимумы и максимумы'!P$2)*100)</f>
        <v>100</v>
      </c>
      <c r="S62" s="1">
        <f>IF('исходные данные'!S62&gt;'минимумы и максимумы'!Q$4,100,('исходные данные'!S62-'минимумы и максимумы'!Q$2)/('минимумы и максимумы'!Q$4-'минимумы и максимумы'!Q$2)*100)</f>
        <v>33.333333333333329</v>
      </c>
      <c r="T62" s="1">
        <f>IF('исходные данные'!T62&gt;'минимумы и максимумы'!R$4,100,('исходные данные'!T62-'минимумы и максимумы'!R$2)/('минимумы и максимумы'!R$4-'минимумы и максимумы'!R$2)*100)</f>
        <v>24.510932105868815</v>
      </c>
      <c r="U62" s="1">
        <f>IF('исходные данные'!U62&gt;'минимумы и максимумы'!S$4,100,('исходные данные'!U62-'минимумы и максимумы'!S$2)/('минимумы и максимумы'!S$4-'минимумы и максимумы'!S$2)*100)</f>
        <v>100</v>
      </c>
    </row>
    <row r="63" spans="1:21" x14ac:dyDescent="0.45">
      <c r="A63" s="4">
        <v>113</v>
      </c>
      <c r="B63" s="4">
        <v>0</v>
      </c>
      <c r="C63" s="4">
        <v>0</v>
      </c>
      <c r="D63" s="1">
        <f>IF('исходные данные'!D63&gt;'минимумы и максимумы'!B$4,100,('исходные данные'!D63-'минимумы и максимумы'!B$2)/('минимумы и максимумы'!B$4-'минимумы и максимумы'!B$2)*100)</f>
        <v>37.5</v>
      </c>
      <c r="E63" s="1">
        <f>IF('исходные данные'!E63&gt;'минимумы и максимумы'!C$4,100,('исходные данные'!E63-'минимумы и максимумы'!C$2)/('минимумы и максимумы'!C$4-'минимумы и максимумы'!C$2)*100)</f>
        <v>12.5</v>
      </c>
      <c r="F63" s="1">
        <f>IF('исходные данные'!F63&gt;'минимумы и максимумы'!D$4,100,('исходные данные'!F63-'минимумы и максимумы'!D$2)/('минимумы и максимумы'!D$4-'минимумы и максимумы'!D$2)*100)</f>
        <v>0</v>
      </c>
      <c r="G63" s="1">
        <f>IF('исходные данные'!G63&gt;'минимумы и максимумы'!E$4,100,('исходные данные'!G63-'минимумы и максимумы'!E$2)/('минимумы и максимумы'!E$4-'минимумы и максимумы'!E$2)*100)</f>
        <v>37.837837837837839</v>
      </c>
      <c r="H63" s="1">
        <f>IF('исходные данные'!H63&gt;'минимумы и максимумы'!F$4,100,('исходные данные'!H63-'минимумы и максимумы'!F$2)/('минимумы и максимумы'!F$4-'минимумы и максимумы'!F$2)*100)</f>
        <v>42.105263157894733</v>
      </c>
      <c r="I63" s="1">
        <f>IF('исходные данные'!I63&gt;'минимумы и максимумы'!G$4,100,('исходные данные'!I63-'минимумы и максимумы'!G$2)/('минимумы и максимумы'!G$4-'минимумы и максимумы'!G$2)*100)</f>
        <v>100</v>
      </c>
      <c r="J63" s="1">
        <f>IF('исходные данные'!J63&gt;'минимумы и максимумы'!H$4,100,('исходные данные'!J63-'минимумы и максимумы'!H$2)/('минимумы и максимумы'!H$4-'минимумы и максимумы'!H$2)*100)</f>
        <v>100</v>
      </c>
      <c r="K63" s="1">
        <f>IF('исходные данные'!K63&gt;'минимумы и максимумы'!I$4,100,('исходные данные'!K63-'минимумы и максимумы'!I$2)/('минимумы и максимумы'!I$4-'минимумы и максимумы'!I$2)*100)</f>
        <v>64.285714285714292</v>
      </c>
      <c r="L63" s="1">
        <f>IF('исходные данные'!L63&gt;'минимумы и максимумы'!J$4,100,('исходные данные'!L63-'минимумы и максимумы'!J$2)/('минимумы и максимумы'!J$4-'минимумы и максимумы'!J$2)*100)</f>
        <v>100</v>
      </c>
      <c r="M63" s="1">
        <f>IF('исходные данные'!M63&gt;'минимумы и максимумы'!K$4,100,('исходные данные'!M63-'минимумы и максимумы'!K$2)/('минимумы и максимумы'!K$4-'минимумы и максимумы'!K$2)*100)</f>
        <v>40.425531914893611</v>
      </c>
      <c r="N63" s="1">
        <f>IF('исходные данные'!N63&gt;'минимумы и максимумы'!L$4,100,('исходные данные'!N63-'минимумы и максимумы'!L$2)/('минимумы и максимумы'!L$4-'минимумы и максимумы'!L$2)*100)</f>
        <v>4.6054247199149589</v>
      </c>
      <c r="O63" s="1">
        <f>IF('исходные данные'!O63&gt;'минимумы и максимумы'!M$4,100,('исходные данные'!O63-'минимумы и максимумы'!M$2)/('минимумы и максимумы'!M$4-'минимумы и максимумы'!M$2)*100)</f>
        <v>100</v>
      </c>
      <c r="P63" s="1">
        <f>IF('исходные данные'!P63&gt;'минимумы и максимумы'!N$4,100,('исходные данные'!P63-'минимумы и максимумы'!N$2)/('минимумы и максимумы'!N$4-'минимумы и максимумы'!N$2)*100)</f>
        <v>100</v>
      </c>
      <c r="Q63" s="1">
        <f>IF('исходные данные'!Q63&gt;'минимумы и максимумы'!O$4,100,('исходные данные'!Q63-'минимумы и максимумы'!O$2)/('минимумы и максимумы'!O$4-'минимумы и максимумы'!O$2)*100)</f>
        <v>100</v>
      </c>
      <c r="R63" s="1">
        <f>IF('исходные данные'!R63&gt;'минимумы и максимумы'!P$4,100,('исходные данные'!R63-'минимумы и максимумы'!P$2)/('минимумы и максимумы'!P$4-'минимумы и максимумы'!P$2)*100)</f>
        <v>75</v>
      </c>
      <c r="S63" s="1">
        <f>IF('исходные данные'!S63&gt;'минимумы и максимумы'!Q$4,100,('исходные данные'!S63-'минимумы и максимумы'!Q$2)/('минимумы и максимумы'!Q$4-'минимумы и максимумы'!Q$2)*100)</f>
        <v>44.444444444444443</v>
      </c>
      <c r="T63" s="1">
        <f>IF('исходные данные'!T63&gt;'минимумы и максимумы'!R$4,100,('исходные данные'!T63-'минимумы и максимумы'!R$2)/('минимумы и максимумы'!R$4-'минимумы и максимумы'!R$2)*100)</f>
        <v>23.158803222094363</v>
      </c>
      <c r="U63" s="1">
        <f>IF('исходные данные'!U63&gt;'минимумы и максимумы'!S$4,100,('исходные данные'!U63-'минимумы и максимумы'!S$2)/('минимумы и максимумы'!S$4-'минимумы и максимумы'!S$2)*100)</f>
        <v>0</v>
      </c>
    </row>
    <row r="64" spans="1:21" x14ac:dyDescent="0.45">
      <c r="A64" s="4">
        <v>116</v>
      </c>
      <c r="B64" s="4">
        <v>0</v>
      </c>
      <c r="C64" s="4">
        <v>0</v>
      </c>
      <c r="D64" s="1">
        <f>IF('исходные данные'!D64&gt;'минимумы и максимумы'!B$4,100,('исходные данные'!D64-'минимумы и максимумы'!B$2)/('минимумы и максимумы'!B$4-'минимумы и максимумы'!B$2)*100)</f>
        <v>25</v>
      </c>
      <c r="E64" s="1">
        <f>IF('исходные данные'!E64&gt;'минимумы и максимумы'!C$4,100,('исходные данные'!E64-'минимумы и максимумы'!C$2)/('минимумы и максимумы'!C$4-'минимумы и максимумы'!C$2)*100)</f>
        <v>12.5</v>
      </c>
      <c r="F64" s="1">
        <f>IF('исходные данные'!F64&gt;'минимумы и максимумы'!D$4,100,('исходные данные'!F64-'минимумы и максимумы'!D$2)/('минимумы и максимумы'!D$4-'минимумы и максимумы'!D$2)*100)</f>
        <v>0</v>
      </c>
      <c r="G64" s="1">
        <f>IF('исходные данные'!G64&gt;'минимумы и максимумы'!E$4,100,('исходные данные'!G64-'минимумы и максимумы'!E$2)/('минимумы и максимумы'!E$4-'минимумы и максимумы'!E$2)*100)</f>
        <v>43.243243243243242</v>
      </c>
      <c r="H64" s="1">
        <f>IF('исходные данные'!H64&gt;'минимумы и максимумы'!F$4,100,('исходные данные'!H64-'минимумы и максимумы'!F$2)/('минимумы и максимумы'!F$4-'минимумы и максимумы'!F$2)*100)</f>
        <v>44.736842105263158</v>
      </c>
      <c r="I64" s="1">
        <f>IF('исходные данные'!I64&gt;'минимумы и максимумы'!G$4,100,('исходные данные'!I64-'минимумы и максимумы'!G$2)/('минимумы и максимумы'!G$4-'минимумы и максимумы'!G$2)*100)</f>
        <v>100</v>
      </c>
      <c r="J64" s="1">
        <f>IF('исходные данные'!J64&gt;'минимумы и максимумы'!H$4,100,('исходные данные'!J64-'минимумы и максимумы'!H$2)/('минимумы и максимумы'!H$4-'минимумы и максимумы'!H$2)*100)</f>
        <v>100</v>
      </c>
      <c r="K64" s="1">
        <f>IF('исходные данные'!K64&gt;'минимумы и максимумы'!I$4,100,('исходные данные'!K64-'минимумы и максимумы'!I$2)/('минимумы и максимумы'!I$4-'минимумы и максимумы'!I$2)*100)</f>
        <v>71.428571428571431</v>
      </c>
      <c r="L64" s="1">
        <f>IF('исходные данные'!L64&gt;'минимумы и максимумы'!J$4,100,('исходные данные'!L64-'минимумы и максимумы'!J$2)/('минимумы и максимумы'!J$4-'минимумы и максимумы'!J$2)*100)</f>
        <v>100</v>
      </c>
      <c r="M64" s="1">
        <f>IF('исходные данные'!M64&gt;'минимумы и максимумы'!K$4,100,('исходные данные'!M64-'минимумы и максимумы'!K$2)/('минимумы и максимумы'!K$4-'минимумы и максимумы'!K$2)*100)</f>
        <v>42.553191489361701</v>
      </c>
      <c r="N64" s="1">
        <f>IF('исходные данные'!N64&gt;'минимумы и максимумы'!L$4,100,('исходные данные'!N64-'минимумы и максимумы'!L$2)/('минимумы и максимумы'!L$4-'минимумы и максимумы'!L$2)*100)</f>
        <v>3.9568477986869723</v>
      </c>
      <c r="O64" s="1">
        <f>IF('исходные данные'!O64&gt;'минимумы и максимумы'!M$4,100,('исходные данные'!O64-'минимумы и максимумы'!M$2)/('минимумы и максимумы'!M$4-'минимумы и максимумы'!M$2)*100)</f>
        <v>100</v>
      </c>
      <c r="P64" s="1">
        <f>IF('исходные данные'!P64&gt;'минимумы и максимумы'!N$4,100,('исходные данные'!P64-'минимумы и максимумы'!N$2)/('минимумы и максимумы'!N$4-'минимумы и максимумы'!N$2)*100)</f>
        <v>100</v>
      </c>
      <c r="Q64" s="1">
        <f>IF('исходные данные'!Q64&gt;'минимумы и максимумы'!O$4,100,('исходные данные'!Q64-'минимумы и максимумы'!O$2)/('минимумы и максимумы'!O$4-'минимумы и максимумы'!O$2)*100)</f>
        <v>100</v>
      </c>
      <c r="R64" s="1">
        <f>IF('исходные данные'!R64&gt;'минимумы и максимумы'!P$4,100,('исходные данные'!R64-'минимумы и максимумы'!P$2)/('минимумы и максимумы'!P$4-'минимумы и максимумы'!P$2)*100)</f>
        <v>75</v>
      </c>
      <c r="S64" s="1">
        <f>IF('исходные данные'!S64&gt;'минимумы и максимумы'!Q$4,100,('исходные данные'!S64-'минимумы и максимумы'!Q$2)/('минимумы и максимумы'!Q$4-'минимумы и максимумы'!Q$2)*100)</f>
        <v>33.333333333333329</v>
      </c>
      <c r="T64" s="1">
        <f>IF('исходные данные'!T64&gt;'минимумы и максимумы'!R$4,100,('исходные данные'!T64-'минимумы и максимумы'!R$2)/('минимумы и максимумы'!R$4-'минимумы и максимумы'!R$2)*100)</f>
        <v>15.794016110471807</v>
      </c>
      <c r="U64" s="1">
        <f>IF('исходные данные'!U64&gt;'минимумы и максимумы'!S$4,100,('исходные данные'!U64-'минимумы и максимумы'!S$2)/('минимумы и максимумы'!S$4-'минимумы и максимумы'!S$2)*100)</f>
        <v>0</v>
      </c>
    </row>
    <row r="65" spans="1:21" x14ac:dyDescent="0.45">
      <c r="A65" s="4">
        <v>117</v>
      </c>
      <c r="B65" s="4">
        <v>0</v>
      </c>
      <c r="C65" s="4">
        <v>0</v>
      </c>
      <c r="D65" s="1">
        <f>IF('исходные данные'!D65&gt;'минимумы и максимумы'!B$4,100,('исходные данные'!D65-'минимумы и максимумы'!B$2)/('минимумы и максимумы'!B$4-'минимумы и максимумы'!B$2)*100)</f>
        <v>25</v>
      </c>
      <c r="E65" s="1">
        <f>IF('исходные данные'!E65&gt;'минимумы и максимумы'!C$4,100,('исходные данные'!E65-'минимумы и максимумы'!C$2)/('минимумы и максимумы'!C$4-'минимумы и максимумы'!C$2)*100)</f>
        <v>12.5</v>
      </c>
      <c r="F65" s="1">
        <f>IF('исходные данные'!F65&gt;'минимумы и максимумы'!D$4,100,('исходные данные'!F65-'минимумы и максимумы'!D$2)/('минимумы и максимумы'!D$4-'минимумы и максимумы'!D$2)*100)</f>
        <v>0</v>
      </c>
      <c r="G65" s="1">
        <f>IF('исходные данные'!G65&gt;'минимумы и максимумы'!E$4,100,('исходные данные'!G65-'минимумы и максимумы'!E$2)/('минимумы и максимумы'!E$4-'минимумы и максимумы'!E$2)*100)</f>
        <v>35.135135135135137</v>
      </c>
      <c r="H65" s="1">
        <f>IF('исходные данные'!H65&gt;'минимумы и максимумы'!F$4,100,('исходные данные'!H65-'минимумы и максимумы'!F$2)/('минимумы и максимумы'!F$4-'минимумы и максимумы'!F$2)*100)</f>
        <v>31.578947368421051</v>
      </c>
      <c r="I65" s="1">
        <f>IF('исходные данные'!I65&gt;'минимумы и максимумы'!G$4,100,('исходные данные'!I65-'минимумы и максимумы'!G$2)/('минимумы и максимумы'!G$4-'минимумы и максимумы'!G$2)*100)</f>
        <v>100</v>
      </c>
      <c r="J65" s="1">
        <f>IF('исходные данные'!J65&gt;'минимумы и максимумы'!H$4,100,('исходные данные'!J65-'минимумы и максимумы'!H$2)/('минимумы и максимумы'!H$4-'минимумы и максимумы'!H$2)*100)</f>
        <v>100</v>
      </c>
      <c r="K65" s="1">
        <f>IF('исходные данные'!K65&gt;'минимумы и максимумы'!I$4,100,('исходные данные'!K65-'минимумы и максимумы'!I$2)/('минимумы и максимумы'!I$4-'минимумы и максимумы'!I$2)*100)</f>
        <v>60.714285714285708</v>
      </c>
      <c r="L65" s="1">
        <f>IF('исходные данные'!L65&gt;'минимумы и максимумы'!J$4,100,('исходные данные'!L65-'минимумы и максимумы'!J$2)/('минимумы и максимумы'!J$4-'минимумы и максимумы'!J$2)*100)</f>
        <v>100</v>
      </c>
      <c r="M65" s="1">
        <f>IF('исходные данные'!M65&gt;'минимумы и максимумы'!K$4,100,('исходные данные'!M65-'минимумы и максимумы'!K$2)/('минимумы и максимумы'!K$4-'минимумы и максимумы'!K$2)*100)</f>
        <v>44.680851063829785</v>
      </c>
      <c r="N65" s="1">
        <f>IF('исходные данные'!N65&gt;'минимумы и максимумы'!L$4,100,('исходные данные'!N65-'минимумы и максимумы'!L$2)/('минимумы и максимумы'!L$4-'минимумы и максимумы'!L$2)*100)</f>
        <v>3.996045828829021</v>
      </c>
      <c r="O65" s="1">
        <f>IF('исходные данные'!O65&gt;'минимумы и максимумы'!M$4,100,('исходные данные'!O65-'минимумы и максимумы'!M$2)/('минимумы и максимумы'!M$4-'минимумы и максимумы'!M$2)*100)</f>
        <v>100</v>
      </c>
      <c r="P65" s="1">
        <f>IF('исходные данные'!P65&gt;'минимумы и максимумы'!N$4,100,('исходные данные'!P65-'минимумы и максимумы'!N$2)/('минимумы и максимумы'!N$4-'минимумы и максимумы'!N$2)*100)</f>
        <v>100</v>
      </c>
      <c r="Q65" s="1">
        <f>IF('исходные данные'!Q65&gt;'минимумы и максимумы'!O$4,100,('исходные данные'!Q65-'минимумы и максимумы'!O$2)/('минимумы и максимумы'!O$4-'минимумы и максимумы'!O$2)*100)</f>
        <v>100</v>
      </c>
      <c r="R65" s="1">
        <f>IF('исходные данные'!R65&gt;'минимумы и максимумы'!P$4,100,('исходные данные'!R65-'минимумы и максимумы'!P$2)/('минимумы и максимумы'!P$4-'минимумы и максимумы'!P$2)*100)</f>
        <v>75</v>
      </c>
      <c r="S65" s="1">
        <f>IF('исходные данные'!S65&gt;'минимумы и максимумы'!Q$4,100,('исходные данные'!S65-'минимумы и максимумы'!Q$2)/('минимумы и максимумы'!Q$4-'минимумы и максимумы'!Q$2)*100)</f>
        <v>33.333333333333329</v>
      </c>
      <c r="T65" s="1">
        <f>IF('исходные данные'!T65&gt;'минимумы и максимумы'!R$4,100,('исходные данные'!T65-'минимумы и максимумы'!R$2)/('минимумы и максимумы'!R$4-'минимумы и максимумы'!R$2)*100)</f>
        <v>13.291139240506327</v>
      </c>
      <c r="U65" s="1">
        <f>IF('исходные данные'!U65&gt;'минимумы и максимумы'!S$4,100,('исходные данные'!U65-'минимумы и максимумы'!S$2)/('минимумы и максимумы'!S$4-'минимумы и максимумы'!S$2)*100)</f>
        <v>0</v>
      </c>
    </row>
    <row r="66" spans="1:21" x14ac:dyDescent="0.45">
      <c r="A66" s="4">
        <v>118</v>
      </c>
      <c r="B66" s="4">
        <v>0</v>
      </c>
      <c r="C66" s="4">
        <v>0</v>
      </c>
      <c r="D66" s="1">
        <f>IF('исходные данные'!D66&gt;'минимумы и максимумы'!B$4,100,('исходные данные'!D66-'минимумы и максимумы'!B$2)/('минимумы и максимумы'!B$4-'минимумы и максимумы'!B$2)*100)</f>
        <v>25</v>
      </c>
      <c r="E66" s="1">
        <f>IF('исходные данные'!E66&gt;'минимумы и максимумы'!C$4,100,('исходные данные'!E66-'минимумы и максимумы'!C$2)/('минимумы и максимумы'!C$4-'минимумы и максимумы'!C$2)*100)</f>
        <v>12.5</v>
      </c>
      <c r="F66" s="1">
        <f>IF('исходные данные'!F66&gt;'минимумы и максимумы'!D$4,100,('исходные данные'!F66-'минимумы и максимумы'!D$2)/('минимумы и максимумы'!D$4-'минимумы и максимумы'!D$2)*100)</f>
        <v>0</v>
      </c>
      <c r="G66" s="1">
        <f>IF('исходные данные'!G66&gt;'минимумы и максимумы'!E$4,100,('исходные данные'!G66-'минимумы и максимумы'!E$2)/('минимумы и максимумы'!E$4-'минимумы и максимумы'!E$2)*100)</f>
        <v>35.135135135135137</v>
      </c>
      <c r="H66" s="1">
        <f>IF('исходные данные'!H66&gt;'минимумы и максимумы'!F$4,100,('исходные данные'!H66-'минимумы и максимумы'!F$2)/('минимумы и максимумы'!F$4-'минимумы и максимумы'!F$2)*100)</f>
        <v>31.578947368421051</v>
      </c>
      <c r="I66" s="1">
        <f>IF('исходные данные'!I66&gt;'минимумы и максимумы'!G$4,100,('исходные данные'!I66-'минимумы и максимумы'!G$2)/('минимумы и максимумы'!G$4-'минимумы и максимумы'!G$2)*100)</f>
        <v>100</v>
      </c>
      <c r="J66" s="1">
        <f>IF('исходные данные'!J66&gt;'минимумы и максимумы'!H$4,100,('исходные данные'!J66-'минимумы и максимумы'!H$2)/('минимумы и максимумы'!H$4-'минимумы и максимумы'!H$2)*100)</f>
        <v>100</v>
      </c>
      <c r="K66" s="1">
        <f>IF('исходные данные'!K66&gt;'минимумы и максимумы'!I$4,100,('исходные данные'!K66-'минимумы и максимумы'!I$2)/('минимумы и максимумы'!I$4-'минимумы и максимумы'!I$2)*100)</f>
        <v>60.714285714285708</v>
      </c>
      <c r="L66" s="1">
        <f>IF('исходные данные'!L66&gt;'минимумы и максимумы'!J$4,100,('исходные данные'!L66-'минимумы и максимумы'!J$2)/('минимумы и максимумы'!J$4-'минимумы и максимумы'!J$2)*100)</f>
        <v>100</v>
      </c>
      <c r="M66" s="1">
        <f>IF('исходные данные'!M66&gt;'минимумы и максимумы'!K$4,100,('исходные данные'!M66-'минимумы и максимумы'!K$2)/('минимумы и максимумы'!K$4-'минимумы и максимумы'!K$2)*100)</f>
        <v>44.680851063829785</v>
      </c>
      <c r="N66" s="1">
        <f>IF('исходные данные'!N66&gt;'минимумы и максимумы'!L$4,100,('исходные данные'!N66-'минимумы и максимумы'!L$2)/('минимумы и максимумы'!L$4-'минимумы и максимумы'!L$2)*100)</f>
        <v>4.1180897558698639</v>
      </c>
      <c r="O66" s="1">
        <f>IF('исходные данные'!O66&gt;'минимумы и максимумы'!M$4,100,('исходные данные'!O66-'минимумы и максимумы'!M$2)/('минимумы и максимумы'!M$4-'минимумы и максимумы'!M$2)*100)</f>
        <v>100</v>
      </c>
      <c r="P66" s="1">
        <f>IF('исходные данные'!P66&gt;'минимумы и максимумы'!N$4,100,('исходные данные'!P66-'минимумы и максимумы'!N$2)/('минимумы и максимумы'!N$4-'минимумы и максимумы'!N$2)*100)</f>
        <v>100</v>
      </c>
      <c r="Q66" s="1">
        <f>IF('исходные данные'!Q66&gt;'минимумы и максимумы'!O$4,100,('исходные данные'!Q66-'минимумы и максимумы'!O$2)/('минимумы и максимумы'!O$4-'минимумы и максимумы'!O$2)*100)</f>
        <v>100</v>
      </c>
      <c r="R66" s="1">
        <f>IF('исходные данные'!R66&gt;'минимумы и максимумы'!P$4,100,('исходные данные'!R66-'минимумы и максимумы'!P$2)/('минимумы и максимумы'!P$4-'минимумы и максимумы'!P$2)*100)</f>
        <v>75</v>
      </c>
      <c r="S66" s="1">
        <f>IF('исходные данные'!S66&gt;'минимумы и максимумы'!Q$4,100,('исходные данные'!S66-'минимумы и максимумы'!Q$2)/('минимумы и максимумы'!Q$4-'минимумы и максимумы'!Q$2)*100)</f>
        <v>33.333333333333329</v>
      </c>
      <c r="T66" s="1">
        <f>IF('исходные данные'!T66&gt;'минимумы и максимумы'!R$4,100,('исходные данные'!T66-'минимумы и максимумы'!R$2)/('минимумы и максимумы'!R$4-'минимумы и максимумы'!R$2)*100)</f>
        <v>13.003452243958574</v>
      </c>
      <c r="U66" s="1">
        <f>IF('исходные данные'!U66&gt;'минимумы и максимумы'!S$4,100,('исходные данные'!U66-'минимумы и максимумы'!S$2)/('минимумы и максимумы'!S$4-'минимумы и максимумы'!S$2)*100)</f>
        <v>0</v>
      </c>
    </row>
    <row r="67" spans="1:21" x14ac:dyDescent="0.45">
      <c r="A67" s="4">
        <v>119</v>
      </c>
      <c r="B67" s="4">
        <v>0</v>
      </c>
      <c r="C67" s="4">
        <v>0</v>
      </c>
      <c r="D67" s="1">
        <f>IF('исходные данные'!D67&gt;'минимумы и максимумы'!B$4,100,('исходные данные'!D67-'минимумы и максимумы'!B$2)/('минимумы и максимумы'!B$4-'минимумы и максимумы'!B$2)*100)</f>
        <v>25</v>
      </c>
      <c r="E67" s="1">
        <f>IF('исходные данные'!E67&gt;'минимумы и максимумы'!C$4,100,('исходные данные'!E67-'минимумы и максимумы'!C$2)/('минимумы и максимумы'!C$4-'минимумы и максимумы'!C$2)*100)</f>
        <v>12.5</v>
      </c>
      <c r="F67" s="1">
        <f>IF('исходные данные'!F67&gt;'минимумы и максимумы'!D$4,100,('исходные данные'!F67-'минимумы и максимумы'!D$2)/('минимумы и максимумы'!D$4-'минимумы и максимумы'!D$2)*100)</f>
        <v>0</v>
      </c>
      <c r="G67" s="1">
        <f>IF('исходные данные'!G67&gt;'минимумы и максимумы'!E$4,100,('исходные данные'!G67-'минимумы и максимумы'!E$2)/('минимумы и максимумы'!E$4-'минимумы и максимумы'!E$2)*100)</f>
        <v>35.135135135135137</v>
      </c>
      <c r="H67" s="1">
        <f>IF('исходные данные'!H67&gt;'минимумы и максимумы'!F$4,100,('исходные данные'!H67-'минимумы и максимумы'!F$2)/('минимумы и максимумы'!F$4-'минимумы и максимумы'!F$2)*100)</f>
        <v>31.578947368421051</v>
      </c>
      <c r="I67" s="1">
        <f>IF('исходные данные'!I67&gt;'минимумы и максимумы'!G$4,100,('исходные данные'!I67-'минимумы и максимумы'!G$2)/('минимумы и максимумы'!G$4-'минимумы и максимумы'!G$2)*100)</f>
        <v>100</v>
      </c>
      <c r="J67" s="1">
        <f>IF('исходные данные'!J67&gt;'минимумы и максимумы'!H$4,100,('исходные данные'!J67-'минимумы и максимумы'!H$2)/('минимумы и максимумы'!H$4-'минимумы и максимумы'!H$2)*100)</f>
        <v>100</v>
      </c>
      <c r="K67" s="1">
        <f>IF('исходные данные'!K67&gt;'минимумы и максимумы'!I$4,100,('исходные данные'!K67-'минимумы и максимумы'!I$2)/('минимумы и максимумы'!I$4-'минимумы и максимумы'!I$2)*100)</f>
        <v>60.714285714285708</v>
      </c>
      <c r="L67" s="1">
        <f>IF('исходные данные'!L67&gt;'минимумы и максимумы'!J$4,100,('исходные данные'!L67-'минимумы и максимумы'!J$2)/('минимумы и максимумы'!J$4-'минимумы и максимумы'!J$2)*100)</f>
        <v>100</v>
      </c>
      <c r="M67" s="1">
        <f>IF('исходные данные'!M67&gt;'минимумы и максимумы'!K$4,100,('исходные данные'!M67-'минимумы и максимумы'!K$2)/('минимумы и максимумы'!K$4-'минимумы и максимумы'!K$2)*100)</f>
        <v>44.680851063829785</v>
      </c>
      <c r="N67" s="1">
        <f>IF('исходные данные'!N67&gt;'минимумы и максимумы'!L$4,100,('исходные данные'!N67-'минимумы и максимумы'!L$2)/('минимумы и максимумы'!L$4-'минимумы и максимумы'!L$2)*100)</f>
        <v>4.01449246132995</v>
      </c>
      <c r="O67" s="1">
        <f>IF('исходные данные'!O67&gt;'минимумы и максимумы'!M$4,100,('исходные данные'!O67-'минимумы и максимумы'!M$2)/('минимумы и максимумы'!M$4-'минимумы и максимумы'!M$2)*100)</f>
        <v>100</v>
      </c>
      <c r="P67" s="1">
        <f>IF('исходные данные'!P67&gt;'минимумы и максимумы'!N$4,100,('исходные данные'!P67-'минимумы и максимумы'!N$2)/('минимумы и максимумы'!N$4-'минимумы и максимумы'!N$2)*100)</f>
        <v>100</v>
      </c>
      <c r="Q67" s="1">
        <f>IF('исходные данные'!Q67&gt;'минимумы и максимумы'!O$4,100,('исходные данные'!Q67-'минимумы и максимумы'!O$2)/('минимумы и максимумы'!O$4-'минимумы и максимумы'!O$2)*100)</f>
        <v>100</v>
      </c>
      <c r="R67" s="1">
        <f>IF('исходные данные'!R67&gt;'минимумы и максимумы'!P$4,100,('исходные данные'!R67-'минимумы и максимумы'!P$2)/('минимумы и максимумы'!P$4-'минимумы и максимумы'!P$2)*100)</f>
        <v>75</v>
      </c>
      <c r="S67" s="1">
        <f>IF('исходные данные'!S67&gt;'минимумы и максимумы'!Q$4,100,('исходные данные'!S67-'минимумы и максимумы'!Q$2)/('минимумы и максимумы'!Q$4-'минимумы и максимумы'!Q$2)*100)</f>
        <v>22.222222222222221</v>
      </c>
      <c r="T67" s="1">
        <f>IF('исходные данные'!T67&gt;'минимумы и максимумы'!R$4,100,('исходные данные'!T67-'минимумы и максимумы'!R$2)/('минимумы и максимумы'!R$4-'минимумы и максимумы'!R$2)*100)</f>
        <v>13.34867663981588</v>
      </c>
      <c r="U67" s="1">
        <f>IF('исходные данные'!U67&gt;'минимумы и максимумы'!S$4,100,('исходные данные'!U67-'минимумы и максимумы'!S$2)/('минимумы и максимумы'!S$4-'минимумы и максимумы'!S$2)*100)</f>
        <v>0</v>
      </c>
    </row>
    <row r="68" spans="1:21" x14ac:dyDescent="0.45">
      <c r="A68" s="4">
        <v>120</v>
      </c>
      <c r="B68" s="4">
        <v>0</v>
      </c>
      <c r="C68" s="4">
        <v>0</v>
      </c>
      <c r="D68" s="1">
        <f>IF('исходные данные'!D68&gt;'минимумы и максимумы'!B$4,100,('исходные данные'!D68-'минимумы и максимумы'!B$2)/('минимумы и максимумы'!B$4-'минимумы и максимумы'!B$2)*100)</f>
        <v>50</v>
      </c>
      <c r="E68" s="1">
        <f>IF('исходные данные'!E68&gt;'минимумы и максимумы'!C$4,100,('исходные данные'!E68-'минимумы и максимумы'!C$2)/('минимумы и максимумы'!C$4-'минимумы и максимумы'!C$2)*100)</f>
        <v>12.5</v>
      </c>
      <c r="F68" s="1">
        <f>IF('исходные данные'!F68&gt;'минимумы и максимумы'!D$4,100,('исходные данные'!F68-'минимумы и максимумы'!D$2)/('минимумы и максимумы'!D$4-'минимумы и максимумы'!D$2)*100)</f>
        <v>0</v>
      </c>
      <c r="G68" s="1">
        <f>IF('исходные данные'!G68&gt;'минимумы и максимумы'!E$4,100,('исходные данные'!G68-'минимумы и максимумы'!E$2)/('минимумы и максимумы'!E$4-'минимумы и максимумы'!E$2)*100)</f>
        <v>32.432432432432435</v>
      </c>
      <c r="H68" s="1">
        <f>IF('исходные данные'!H68&gt;'минимумы и максимумы'!F$4,100,('исходные данные'!H68-'минимумы и максимумы'!F$2)/('минимумы и максимумы'!F$4-'минимумы и максимумы'!F$2)*100)</f>
        <v>15.789473684210526</v>
      </c>
      <c r="I68" s="1">
        <f>IF('исходные данные'!I68&gt;'минимумы и максимумы'!G$4,100,('исходные данные'!I68-'минимумы и максимумы'!G$2)/('минимумы и максимумы'!G$4-'минимумы и максимумы'!G$2)*100)</f>
        <v>100</v>
      </c>
      <c r="J68" s="1">
        <f>IF('исходные данные'!J68&gt;'минимумы и максимумы'!H$4,100,('исходные данные'!J68-'минимумы и максимумы'!H$2)/('минимумы и максимумы'!H$4-'минимумы и максимумы'!H$2)*100)</f>
        <v>100</v>
      </c>
      <c r="K68" s="1">
        <f>IF('исходные данные'!K68&gt;'минимумы и максимумы'!I$4,100,('исходные данные'!K68-'минимумы и максимумы'!I$2)/('минимумы и максимумы'!I$4-'минимумы и максимумы'!I$2)*100)</f>
        <v>25</v>
      </c>
      <c r="L68" s="1">
        <f>IF('исходные данные'!L68&gt;'минимумы и максимумы'!J$4,100,('исходные данные'!L68-'минимумы и максимумы'!J$2)/('минимумы и максимумы'!J$4-'минимумы и максимумы'!J$2)*100)</f>
        <v>87.5</v>
      </c>
      <c r="M68" s="1">
        <f>IF('исходные данные'!M68&gt;'минимумы и максимумы'!K$4,100,('исходные данные'!M68-'минимумы и максимумы'!K$2)/('минимумы и максимумы'!K$4-'минимумы и максимумы'!K$2)*100)</f>
        <v>29.787234042553191</v>
      </c>
      <c r="N68" s="1">
        <f>IF('исходные данные'!N68&gt;'минимумы и максимумы'!L$4,100,('исходные данные'!N68-'минимумы и максимумы'!L$2)/('минимумы и максимумы'!L$4-'минимумы и максимумы'!L$2)*100)</f>
        <v>4.01449246132995</v>
      </c>
      <c r="O68" s="1">
        <f>IF('исходные данные'!O68&gt;'минимумы и максимумы'!M$4,100,('исходные данные'!O68-'минимумы и максимумы'!M$2)/('минимумы и максимумы'!M$4-'минимумы и максимумы'!M$2)*100)</f>
        <v>100</v>
      </c>
      <c r="P68" s="1">
        <f>IF('исходные данные'!P68&gt;'минимумы и максимумы'!N$4,100,('исходные данные'!P68-'минимумы и максимумы'!N$2)/('минимумы и максимумы'!N$4-'минимумы и максимумы'!N$2)*100)</f>
        <v>100</v>
      </c>
      <c r="Q68" s="1">
        <f>IF('исходные данные'!Q68&gt;'минимумы и максимумы'!O$4,100,('исходные данные'!Q68-'минимумы и максимумы'!O$2)/('минимумы и максимумы'!O$4-'минимумы и максимумы'!O$2)*100)</f>
        <v>100</v>
      </c>
      <c r="R68" s="1">
        <f>IF('исходные данные'!R68&gt;'минимумы и максимумы'!P$4,100,('исходные данные'!R68-'минимумы и максимумы'!P$2)/('минимумы и максимумы'!P$4-'минимумы и максимумы'!P$2)*100)</f>
        <v>75</v>
      </c>
      <c r="S68" s="1">
        <f>IF('исходные данные'!S68&gt;'минимумы и максимумы'!Q$4,100,('исходные данные'!S68-'минимумы и максимумы'!Q$2)/('минимумы и максимумы'!Q$4-'минимумы и максимумы'!Q$2)*100)</f>
        <v>22.222222222222221</v>
      </c>
      <c r="T68" s="1">
        <f>IF('исходные данные'!T68&gt;'минимумы и максимумы'!R$4,100,('исходные данные'!T68-'минимумы и максимумы'!R$2)/('минимумы и максимумы'!R$4-'минимумы и максимумы'!R$2)*100)</f>
        <v>12.83084004602992</v>
      </c>
      <c r="U68" s="1">
        <f>IF('исходные данные'!U68&gt;'минимумы и максимумы'!S$4,100,('исходные данные'!U68-'минимумы и максимумы'!S$2)/('минимумы и максимумы'!S$4-'минимумы и максимумы'!S$2)*100)</f>
        <v>0</v>
      </c>
    </row>
    <row r="69" spans="1:21" x14ac:dyDescent="0.45">
      <c r="A69" s="4">
        <v>121</v>
      </c>
      <c r="B69" s="4">
        <v>0</v>
      </c>
      <c r="C69" s="4">
        <v>0</v>
      </c>
      <c r="D69" s="1">
        <f>IF('исходные данные'!D69&gt;'минимумы и максимумы'!B$4,100,('исходные данные'!D69-'минимумы и максимумы'!B$2)/('минимумы и максимумы'!B$4-'минимумы и максимумы'!B$2)*100)</f>
        <v>50</v>
      </c>
      <c r="E69" s="1">
        <f>IF('исходные данные'!E69&gt;'минимумы и максимумы'!C$4,100,('исходные данные'!E69-'минимумы и максимумы'!C$2)/('минимумы и максимумы'!C$4-'минимумы и максимумы'!C$2)*100)</f>
        <v>12.5</v>
      </c>
      <c r="F69" s="1">
        <f>IF('исходные данные'!F69&gt;'минимумы и максимумы'!D$4,100,('исходные данные'!F69-'минимумы и максимумы'!D$2)/('минимумы и максимумы'!D$4-'минимумы и максимумы'!D$2)*100)</f>
        <v>0</v>
      </c>
      <c r="G69" s="1">
        <f>IF('исходные данные'!G69&gt;'минимумы и максимумы'!E$4,100,('исходные данные'!G69-'минимумы и максимумы'!E$2)/('минимумы и максимумы'!E$4-'минимумы и максимумы'!E$2)*100)</f>
        <v>32.432432432432435</v>
      </c>
      <c r="H69" s="1">
        <f>IF('исходные данные'!H69&gt;'минимумы и максимумы'!F$4,100,('исходные данные'!H69-'минимумы и максимумы'!F$2)/('минимумы и максимумы'!F$4-'минимумы и максимумы'!F$2)*100)</f>
        <v>15.789473684210526</v>
      </c>
      <c r="I69" s="1">
        <f>IF('исходные данные'!I69&gt;'минимумы и максимумы'!G$4,100,('исходные данные'!I69-'минимумы и максимумы'!G$2)/('минимумы и максимумы'!G$4-'минимумы и максимумы'!G$2)*100)</f>
        <v>100</v>
      </c>
      <c r="J69" s="1">
        <f>IF('исходные данные'!J69&gt;'минимумы и максимумы'!H$4,100,('исходные данные'!J69-'минимумы и максимумы'!H$2)/('минимумы и максимумы'!H$4-'минимумы и максимумы'!H$2)*100)</f>
        <v>100</v>
      </c>
      <c r="K69" s="1">
        <f>IF('исходные данные'!K69&gt;'минимумы и максимумы'!I$4,100,('исходные данные'!K69-'минимумы и максимумы'!I$2)/('минимумы и максимумы'!I$4-'минимумы и максимумы'!I$2)*100)</f>
        <v>25</v>
      </c>
      <c r="L69" s="1">
        <f>IF('исходные данные'!L69&gt;'минимумы и максимумы'!J$4,100,('исходные данные'!L69-'минимумы и максимумы'!J$2)/('минимумы и максимумы'!J$4-'минимумы и максимумы'!J$2)*100)</f>
        <v>87.5</v>
      </c>
      <c r="M69" s="1">
        <f>IF('исходные данные'!M69&gt;'минимумы и максимумы'!K$4,100,('исходные данные'!M69-'минимумы и максимумы'!K$2)/('минимумы и максимумы'!K$4-'минимумы и максимумы'!K$2)*100)</f>
        <v>29.787234042553191</v>
      </c>
      <c r="N69" s="1">
        <f>IF('исходные данные'!N69&gt;'минимумы и максимумы'!L$4,100,('исходные данные'!N69-'минимумы и максимумы'!L$2)/('минимумы и максимумы'!L$4-'минимумы и максимумы'!L$2)*100)</f>
        <v>4.1180897558698639</v>
      </c>
      <c r="O69" s="1">
        <f>IF('исходные данные'!O69&gt;'минимумы и максимумы'!M$4,100,('исходные данные'!O69-'минимумы и максимумы'!M$2)/('минимумы и максимумы'!M$4-'минимумы и максимумы'!M$2)*100)</f>
        <v>100</v>
      </c>
      <c r="P69" s="1">
        <f>IF('исходные данные'!P69&gt;'минимумы и максимумы'!N$4,100,('исходные данные'!P69-'минимумы и максимумы'!N$2)/('минимумы и максимумы'!N$4-'минимумы и максимумы'!N$2)*100)</f>
        <v>100</v>
      </c>
      <c r="Q69" s="1">
        <f>IF('исходные данные'!Q69&gt;'минимумы и максимумы'!O$4,100,('исходные данные'!Q69-'минимумы и максимумы'!O$2)/('минимумы и максимумы'!O$4-'минимумы и максимумы'!O$2)*100)</f>
        <v>100</v>
      </c>
      <c r="R69" s="1">
        <f>IF('исходные данные'!R69&gt;'минимумы и максимумы'!P$4,100,('исходные данные'!R69-'минимумы и максимумы'!P$2)/('минимумы и максимумы'!P$4-'минимумы и максимумы'!P$2)*100)</f>
        <v>75</v>
      </c>
      <c r="S69" s="1">
        <f>IF('исходные данные'!S69&gt;'минимумы и максимумы'!Q$4,100,('исходные данные'!S69-'минимумы и максимумы'!Q$2)/('минимумы и максимумы'!Q$4-'минимумы и максимумы'!Q$2)*100)</f>
        <v>33.333333333333329</v>
      </c>
      <c r="T69" s="1">
        <f>IF('исходные данные'!T69&gt;'минимумы и максимумы'!R$4,100,('исходные данные'!T69-'минимумы и максимумы'!R$2)/('минимумы и максимумы'!R$4-'минимумы и максимумы'!R$2)*100)</f>
        <v>27.675489067894134</v>
      </c>
      <c r="U69" s="1">
        <f>IF('исходные данные'!U69&gt;'минимумы и максимумы'!S$4,100,('исходные данные'!U69-'минимумы и максимумы'!S$2)/('минимумы и максимумы'!S$4-'минимумы и максимумы'!S$2)*100)</f>
        <v>0</v>
      </c>
    </row>
    <row r="70" spans="1:21" x14ac:dyDescent="0.45">
      <c r="A70" s="4">
        <v>122</v>
      </c>
      <c r="B70" s="4">
        <v>0</v>
      </c>
      <c r="C70" s="4">
        <v>0</v>
      </c>
      <c r="D70" s="1">
        <f>IF('исходные данные'!D70&gt;'минимумы и максимумы'!B$4,100,('исходные данные'!D70-'минимумы и максимумы'!B$2)/('минимумы и максимумы'!B$4-'минимумы и максимумы'!B$2)*100)</f>
        <v>37.5</v>
      </c>
      <c r="E70" s="1">
        <f>IF('исходные данные'!E70&gt;'минимумы и максимумы'!C$4,100,('исходные данные'!E70-'минимумы и максимумы'!C$2)/('минимумы и максимумы'!C$4-'минимумы и максимумы'!C$2)*100)</f>
        <v>6.25</v>
      </c>
      <c r="F70" s="1">
        <f>IF('исходные данные'!F70&gt;'минимумы и максимумы'!D$4,100,('исходные данные'!F70-'минимумы и максимумы'!D$2)/('минимумы и максимумы'!D$4-'минимумы и максимумы'!D$2)*100)</f>
        <v>0</v>
      </c>
      <c r="G70" s="1">
        <f>IF('исходные данные'!G70&gt;'минимумы и максимумы'!E$4,100,('исходные данные'!G70-'минимумы и максимумы'!E$2)/('минимумы и максимумы'!E$4-'минимумы и максимумы'!E$2)*100)</f>
        <v>27.027027027027028</v>
      </c>
      <c r="H70" s="1">
        <f>IF('исходные данные'!H70&gt;'минимумы и максимумы'!F$4,100,('исходные данные'!H70-'минимумы и максимумы'!F$2)/('минимумы и максимумы'!F$4-'минимумы и максимумы'!F$2)*100)</f>
        <v>18.421052631578945</v>
      </c>
      <c r="I70" s="1">
        <f>IF('исходные данные'!I70&gt;'минимумы и максимумы'!G$4,100,('исходные данные'!I70-'минимумы и максимумы'!G$2)/('минимумы и максимумы'!G$4-'минимумы и максимумы'!G$2)*100)</f>
        <v>87.951807228915655</v>
      </c>
      <c r="J70" s="1">
        <f>IF('исходные данные'!J70&gt;'минимумы и максимумы'!H$4,100,('исходные данные'!J70-'минимумы и максимумы'!H$2)/('минимумы и максимумы'!H$4-'минимумы и максимумы'!H$2)*100)</f>
        <v>100</v>
      </c>
      <c r="K70" s="1">
        <f>IF('исходные данные'!K70&gt;'минимумы и максимумы'!I$4,100,('исходные данные'!K70-'минимумы и максимумы'!I$2)/('минимумы и максимумы'!I$4-'минимумы и максимумы'!I$2)*100)</f>
        <v>17.857142857142858</v>
      </c>
      <c r="L70" s="1">
        <f>IF('исходные данные'!L70&gt;'минимумы и максимумы'!J$4,100,('исходные данные'!L70-'минимумы и максимумы'!J$2)/('минимумы и максимумы'!J$4-'минимумы и максимумы'!J$2)*100)</f>
        <v>100</v>
      </c>
      <c r="M70" s="1">
        <f>IF('исходные данные'!M70&gt;'минимумы и максимумы'!K$4,100,('исходные данные'!M70-'минимумы и максимумы'!K$2)/('минимумы и максимумы'!K$4-'минимумы и максимумы'!K$2)*100)</f>
        <v>31.914893617021278</v>
      </c>
      <c r="N70" s="1">
        <f>IF('исходные данные'!N70&gt;'минимумы и максимумы'!L$4,100,('исходные данные'!N70-'минимумы и максимумы'!L$2)/('минимумы и максимумы'!L$4-'минимумы и максимумы'!L$2)*100)</f>
        <v>4.3408457192319654</v>
      </c>
      <c r="O70" s="1">
        <f>IF('исходные данные'!O70&gt;'минимумы и максимумы'!M$4,100,('исходные данные'!O70-'минимумы и максимумы'!M$2)/('минимумы и максимумы'!M$4-'минимумы и максимумы'!M$2)*100)</f>
        <v>100</v>
      </c>
      <c r="P70" s="1">
        <f>IF('исходные данные'!P70&gt;'минимумы и максимумы'!N$4,100,('исходные данные'!P70-'минимумы и максимумы'!N$2)/('минимумы и максимумы'!N$4-'минимумы и максимумы'!N$2)*100)</f>
        <v>100</v>
      </c>
      <c r="Q70" s="1">
        <f>IF('исходные данные'!Q70&gt;'минимумы и максимумы'!O$4,100,('исходные данные'!Q70-'минимумы и максимумы'!O$2)/('минимумы и максимумы'!O$4-'минимумы и максимумы'!O$2)*100)</f>
        <v>100</v>
      </c>
      <c r="R70" s="1">
        <f>IF('исходные данные'!R70&gt;'минимумы и максимумы'!P$4,100,('исходные данные'!R70-'минимумы и максимумы'!P$2)/('минимумы и максимумы'!P$4-'минимумы и максимумы'!P$2)*100)</f>
        <v>75</v>
      </c>
      <c r="S70" s="1">
        <f>IF('исходные данные'!S70&gt;'минимумы и максимумы'!Q$4,100,('исходные данные'!S70-'минимумы и максимумы'!Q$2)/('минимумы и максимумы'!Q$4-'минимумы и максимумы'!Q$2)*100)</f>
        <v>44.444444444444443</v>
      </c>
      <c r="T70" s="1">
        <f>IF('исходные данные'!T70&gt;'минимумы и максимумы'!R$4,100,('исходные данные'!T70-'минимумы и максимумы'!R$2)/('минимумы и максимумы'!R$4-'минимумы и максимумы'!R$2)*100)</f>
        <v>17.232451093210589</v>
      </c>
      <c r="U70" s="1">
        <f>IF('исходные данные'!U70&gt;'минимумы и максимумы'!S$4,100,('исходные данные'!U70-'минимумы и максимумы'!S$2)/('минимумы и максимумы'!S$4-'минимумы и максимумы'!S$2)*100)</f>
        <v>0</v>
      </c>
    </row>
    <row r="71" spans="1:21" x14ac:dyDescent="0.45">
      <c r="A71" s="4">
        <v>123</v>
      </c>
      <c r="B71" s="4">
        <v>0</v>
      </c>
      <c r="C71" s="4">
        <v>0</v>
      </c>
      <c r="D71" s="1">
        <f>IF('исходные данные'!D71&gt;'минимумы и максимумы'!B$4,100,('исходные данные'!D71-'минимумы и максимумы'!B$2)/('минимумы и максимумы'!B$4-'минимумы и максимумы'!B$2)*100)</f>
        <v>25</v>
      </c>
      <c r="E71" s="1">
        <f>IF('исходные данные'!E71&gt;'минимумы и максимумы'!C$4,100,('исходные данные'!E71-'минимумы и максимумы'!C$2)/('минимумы и максимумы'!C$4-'минимумы и максимумы'!C$2)*100)</f>
        <v>68.75</v>
      </c>
      <c r="F71" s="1">
        <f>IF('исходные данные'!F71&gt;'минимумы и максимумы'!D$4,100,('исходные данные'!F71-'минимумы и максимумы'!D$2)/('минимумы и максимумы'!D$4-'минимумы и максимумы'!D$2)*100)</f>
        <v>0</v>
      </c>
      <c r="G71" s="1">
        <f>IF('исходные данные'!G71&gt;'минимумы и максимумы'!E$4,100,('исходные данные'!G71-'минимумы и максимумы'!E$2)/('минимумы и максимумы'!E$4-'минимумы и максимумы'!E$2)*100)</f>
        <v>78.378378378378372</v>
      </c>
      <c r="H71" s="1">
        <f>IF('исходные данные'!H71&gt;'минимумы и максимумы'!F$4,100,('исходные данные'!H71-'минимумы и максимумы'!F$2)/('минимумы и максимумы'!F$4-'минимумы и максимумы'!F$2)*100)</f>
        <v>68.421052631578945</v>
      </c>
      <c r="I71" s="1">
        <f>IF('исходные данные'!I71&gt;'минимумы и максимумы'!G$4,100,('исходные данные'!I71-'минимумы и максимумы'!G$2)/('минимумы и максимумы'!G$4-'минимумы и максимумы'!G$2)*100)</f>
        <v>100</v>
      </c>
      <c r="J71" s="1">
        <f>IF('исходные данные'!J71&gt;'минимумы и максимумы'!H$4,100,('исходные данные'!J71-'минимумы и максимумы'!H$2)/('минимумы и максимумы'!H$4-'минимумы и максимумы'!H$2)*100)</f>
        <v>100</v>
      </c>
      <c r="K71" s="1">
        <f>IF('исходные данные'!K71&gt;'минимумы и максимумы'!I$4,100,('исходные данные'!K71-'минимумы и максимумы'!I$2)/('минимумы и максимумы'!I$4-'минимумы и максимумы'!I$2)*100)</f>
        <v>71.428571428571431</v>
      </c>
      <c r="L71" s="1">
        <f>IF('исходные данные'!L71&gt;'минимумы и максимумы'!J$4,100,('исходные данные'!L71-'минимумы и максимумы'!J$2)/('минимумы и максимумы'!J$4-'минимумы и максимумы'!J$2)*100)</f>
        <v>100</v>
      </c>
      <c r="M71" s="1">
        <f>IF('исходные данные'!M71&gt;'минимумы и максимумы'!K$4,100,('исходные данные'!M71-'минимумы и максимумы'!K$2)/('минимумы и максимумы'!K$4-'минимумы и максимумы'!K$2)*100)</f>
        <v>40.425531914893611</v>
      </c>
      <c r="N71" s="1">
        <f>IF('исходные данные'!N71&gt;'минимумы и максимумы'!L$4,100,('исходные данные'!N71-'минимумы и максимумы'!L$2)/('минимумы и максимумы'!L$4-'минимумы и максимумы'!L$2)*100)</f>
        <v>8.4791566000525567</v>
      </c>
      <c r="O71" s="1">
        <f>IF('исходные данные'!O71&gt;'минимумы и максимумы'!M$4,100,('исходные данные'!O71-'минимумы и максимумы'!M$2)/('минимумы и максимумы'!M$4-'минимумы и максимумы'!M$2)*100)</f>
        <v>100</v>
      </c>
      <c r="P71" s="1">
        <f>IF('исходные данные'!P71&gt;'минимумы и максимумы'!N$4,100,('исходные данные'!P71-'минимумы и максимумы'!N$2)/('минимумы и максимумы'!N$4-'минимумы и максимумы'!N$2)*100)</f>
        <v>0</v>
      </c>
      <c r="Q71" s="1">
        <f>IF('исходные данные'!Q71&gt;'минимумы и максимумы'!O$4,100,('исходные данные'!Q71-'минимумы и максимумы'!O$2)/('минимумы и максимумы'!O$4-'минимумы и максимумы'!O$2)*100)</f>
        <v>100</v>
      </c>
      <c r="R71" s="1">
        <f>IF('исходные данные'!R71&gt;'минимумы и максимумы'!P$4,100,('исходные данные'!R71-'минимумы и максимумы'!P$2)/('минимумы и максимумы'!P$4-'минимумы и максимумы'!P$2)*100)</f>
        <v>100</v>
      </c>
      <c r="S71" s="1">
        <f>IF('исходные данные'!S71&gt;'минимумы и максимумы'!Q$4,100,('исходные данные'!S71-'минимумы и максимумы'!Q$2)/('минимумы и максимумы'!Q$4-'минимумы и максимумы'!Q$2)*100)</f>
        <v>22.222222222222221</v>
      </c>
      <c r="T71" s="1">
        <f>IF('исходные данные'!T71&gt;'минимумы и максимумы'!R$4,100,('исходные данные'!T71-'минимумы и максимумы'!R$2)/('минимумы и максимумы'!R$4-'минимумы и максимумы'!R$2)*100)</f>
        <v>35.35673187571922</v>
      </c>
      <c r="U71" s="1">
        <f>IF('исходные данные'!U71&gt;'минимумы и максимумы'!S$4,100,('исходные данные'!U71-'минимумы и максимумы'!S$2)/('минимумы и максимумы'!S$4-'минимумы и максимумы'!S$2)*100)</f>
        <v>100</v>
      </c>
    </row>
    <row r="72" spans="1:21" x14ac:dyDescent="0.45">
      <c r="A72" s="4">
        <v>124</v>
      </c>
      <c r="B72" s="4">
        <v>0</v>
      </c>
      <c r="C72" s="4">
        <v>0</v>
      </c>
      <c r="D72" s="1">
        <f>IF('исходные данные'!D72&gt;'минимумы и максимумы'!B$4,100,('исходные данные'!D72-'минимумы и максимумы'!B$2)/('минимумы и максимумы'!B$4-'минимумы и максимумы'!B$2)*100)</f>
        <v>50</v>
      </c>
      <c r="E72" s="1">
        <f>IF('исходные данные'!E72&gt;'минимумы и максимумы'!C$4,100,('исходные данные'!E72-'минимумы и максимумы'!C$2)/('минимумы и максимумы'!C$4-'минимумы и максимумы'!C$2)*100)</f>
        <v>56.25</v>
      </c>
      <c r="F72" s="1">
        <f>IF('исходные данные'!F72&gt;'минимумы и максимумы'!D$4,100,('исходные данные'!F72-'минимумы и максимумы'!D$2)/('минимумы и максимумы'!D$4-'минимумы и максимумы'!D$2)*100)</f>
        <v>25</v>
      </c>
      <c r="G72" s="1">
        <f>IF('исходные данные'!G72&gt;'минимумы и максимумы'!E$4,100,('исходные данные'!G72-'минимумы и максимумы'!E$2)/('минимумы и максимумы'!E$4-'минимумы и максимумы'!E$2)*100)</f>
        <v>67.567567567567565</v>
      </c>
      <c r="H72" s="1">
        <f>IF('исходные данные'!H72&gt;'минимумы и максимумы'!F$4,100,('исходные данные'!H72-'минимумы и максимумы'!F$2)/('минимумы и максимумы'!F$4-'минимумы и максимумы'!F$2)*100)</f>
        <v>63.157894736842103</v>
      </c>
      <c r="I72" s="1">
        <f>IF('исходные данные'!I72&gt;'минимумы и максимумы'!G$4,100,('исходные данные'!I72-'минимумы и максимумы'!G$2)/('минимумы и максимумы'!G$4-'минимумы и максимумы'!G$2)*100)</f>
        <v>100</v>
      </c>
      <c r="J72" s="1">
        <f>IF('исходные данные'!J72&gt;'минимумы и максимумы'!H$4,100,('исходные данные'!J72-'минимумы и максимумы'!H$2)/('минимумы и максимумы'!H$4-'минимумы и максимумы'!H$2)*100)</f>
        <v>100</v>
      </c>
      <c r="K72" s="1">
        <f>IF('исходные данные'!K72&gt;'минимумы и максимумы'!I$4,100,('исходные данные'!K72-'минимумы и максимумы'!I$2)/('минимумы и максимумы'!I$4-'минимумы и максимумы'!I$2)*100)</f>
        <v>82.142857142857139</v>
      </c>
      <c r="L72" s="1">
        <f>IF('исходные данные'!L72&gt;'минимумы и максимумы'!J$4,100,('исходные данные'!L72-'минимумы и максимумы'!J$2)/('минимумы и максимумы'!J$4-'минимумы и максимумы'!J$2)*100)</f>
        <v>100</v>
      </c>
      <c r="M72" s="1">
        <f>IF('исходные данные'!M72&gt;'минимумы и максимумы'!K$4,100,('исходные данные'!M72-'минимумы и максимумы'!K$2)/('минимумы и максимумы'!K$4-'минимумы и максимумы'!K$2)*100)</f>
        <v>40.425531914893611</v>
      </c>
      <c r="N72" s="1">
        <f>IF('исходные данные'!N72&gt;'минимумы и максимумы'!L$4,100,('исходные данные'!N72-'минимумы и максимумы'!L$2)/('минимумы и максимумы'!L$4-'минимумы и максимумы'!L$2)*100)</f>
        <v>8.9787202046093721</v>
      </c>
      <c r="O72" s="1">
        <f>IF('исходные данные'!O72&gt;'минимумы и максимумы'!M$4,100,('исходные данные'!O72-'минимумы и максимумы'!M$2)/('минимумы и максимумы'!M$4-'минимумы и максимумы'!M$2)*100)</f>
        <v>33.333333333333329</v>
      </c>
      <c r="P72" s="1">
        <f>IF('исходные данные'!P72&gt;'минимумы и максимумы'!N$4,100,('исходные данные'!P72-'минимумы и максимумы'!N$2)/('минимумы и максимумы'!N$4-'минимумы и максимумы'!N$2)*100)</f>
        <v>0</v>
      </c>
      <c r="Q72" s="1">
        <f>IF('исходные данные'!Q72&gt;'минимумы и максимумы'!O$4,100,('исходные данные'!Q72-'минимумы и максимумы'!O$2)/('минимумы и максимумы'!O$4-'минимумы и максимумы'!O$2)*100)</f>
        <v>100</v>
      </c>
      <c r="R72" s="1">
        <f>IF('исходные данные'!R72&gt;'минимумы и максимумы'!P$4,100,('исходные данные'!R72-'минимумы и максимумы'!P$2)/('минимумы и максимумы'!P$4-'минимумы и максимумы'!P$2)*100)</f>
        <v>100</v>
      </c>
      <c r="S72" s="1">
        <f>IF('исходные данные'!S72&gt;'минимумы и максимумы'!Q$4,100,('исходные данные'!S72-'минимумы и максимумы'!Q$2)/('минимумы и максимумы'!Q$4-'минимумы и максимумы'!Q$2)*100)</f>
        <v>33.333333333333329</v>
      </c>
      <c r="T72" s="1">
        <f>IF('исходные данные'!T72&gt;'минимумы и максимумы'!R$4,100,('исходные данные'!T72-'минимумы и максимумы'!R$2)/('минимумы и максимумы'!R$4-'минимумы и максимумы'!R$2)*100)</f>
        <v>42.836593785960872</v>
      </c>
      <c r="U72" s="1">
        <f>IF('исходные данные'!U72&gt;'минимумы и максимумы'!S$4,100,('исходные данные'!U72-'минимумы и максимумы'!S$2)/('минимумы и максимумы'!S$4-'минимумы и максимумы'!S$2)*100)</f>
        <v>100</v>
      </c>
    </row>
    <row r="73" spans="1:21" x14ac:dyDescent="0.45">
      <c r="A73" s="4">
        <v>125</v>
      </c>
      <c r="B73" s="4">
        <v>1</v>
      </c>
      <c r="C73" s="4">
        <v>0</v>
      </c>
      <c r="D73" s="1">
        <f>IF('исходные данные'!D73&gt;'минимумы и максимумы'!B$4,100,('исходные данные'!D73-'минимумы и максимумы'!B$2)/('минимумы и максимумы'!B$4-'минимумы и максимумы'!B$2)*100)</f>
        <v>50</v>
      </c>
      <c r="E73" s="1">
        <f>IF('исходные данные'!E73&gt;'минимумы и максимумы'!C$4,100,('исходные данные'!E73-'минимумы и максимумы'!C$2)/('минимумы и максимумы'!C$4-'минимумы и максимумы'!C$2)*100)</f>
        <v>37.5</v>
      </c>
      <c r="F73" s="1">
        <f>IF('исходные данные'!F73&gt;'минимумы и максимумы'!D$4,100,('исходные данные'!F73-'минимумы и максимумы'!D$2)/('минимумы и максимумы'!D$4-'минимумы и максимумы'!D$2)*100)</f>
        <v>0</v>
      </c>
      <c r="G73" s="1">
        <f>IF('исходные данные'!G73&gt;'минимумы и максимумы'!E$4,100,('исходные данные'!G73-'минимумы и максимумы'!E$2)/('минимумы и максимумы'!E$4-'минимумы и максимумы'!E$2)*100)</f>
        <v>56.756756756756758</v>
      </c>
      <c r="H73" s="1">
        <f>IF('исходные данные'!H73&gt;'минимумы и максимумы'!F$4,100,('исходные данные'!H73-'минимумы и максимумы'!F$2)/('минимумы и максимумы'!F$4-'минимумы и максимумы'!F$2)*100)</f>
        <v>65.789473684210535</v>
      </c>
      <c r="I73" s="1">
        <f>IF('исходные данные'!I73&gt;'минимумы и максимумы'!G$4,100,('исходные данные'!I73-'минимумы и максимумы'!G$2)/('минимумы и максимумы'!G$4-'минимумы и максимумы'!G$2)*100)</f>
        <v>89.156626506024097</v>
      </c>
      <c r="J73" s="1">
        <f>IF('исходные данные'!J73&gt;'минимумы и максимумы'!H$4,100,('исходные данные'!J73-'минимумы и максимумы'!H$2)/('минимумы и максимумы'!H$4-'минимумы и максимумы'!H$2)*100)</f>
        <v>70.833333333333343</v>
      </c>
      <c r="K73" s="1">
        <f>IF('исходные данные'!K73&gt;'минимумы и максимумы'!I$4,100,('исходные данные'!K73-'минимумы и максимумы'!I$2)/('минимумы и максимумы'!I$4-'минимумы и максимумы'!I$2)*100)</f>
        <v>64.285714285714292</v>
      </c>
      <c r="L73" s="1">
        <f>IF('исходные данные'!L73&gt;'минимумы и максимумы'!J$4,100,('исходные данные'!L73-'минимумы и максимумы'!J$2)/('минимумы и максимумы'!J$4-'минимумы и максимумы'!J$2)*100)</f>
        <v>100</v>
      </c>
      <c r="M73" s="1">
        <f>IF('исходные данные'!M73&gt;'минимумы и максимумы'!K$4,100,('исходные данные'!M73-'минимумы и максимумы'!K$2)/('минимумы и максимумы'!K$4-'минимумы и максимумы'!K$2)*100)</f>
        <v>27.659574468085108</v>
      </c>
      <c r="N73" s="1">
        <f>IF('исходные данные'!N73&gt;'минимумы и максимумы'!L$4,100,('исходные данные'!N73-'минимумы и максимумы'!L$2)/('минимумы и максимумы'!L$4-'минимумы и максимумы'!L$2)*100)</f>
        <v>9.7744172842954633</v>
      </c>
      <c r="O73" s="1">
        <f>IF('исходные данные'!O73&gt;'минимумы и максимумы'!M$4,100,('исходные данные'!O73-'минимумы и максимумы'!M$2)/('минимумы и максимумы'!M$4-'минимумы и максимумы'!M$2)*100)</f>
        <v>66.666666666666657</v>
      </c>
      <c r="P73" s="1">
        <f>IF('исходные данные'!P73&gt;'минимумы и максимумы'!N$4,100,('исходные данные'!P73-'минимумы и максимумы'!N$2)/('минимумы и максимумы'!N$4-'минимумы и максимумы'!N$2)*100)</f>
        <v>0</v>
      </c>
      <c r="Q73" s="1">
        <f>IF('исходные данные'!Q73&gt;'минимумы и максимумы'!O$4,100,('исходные данные'!Q73-'минимумы и максимумы'!O$2)/('минимумы и максимумы'!O$4-'минимумы и максимумы'!O$2)*100)</f>
        <v>100</v>
      </c>
      <c r="R73" s="1">
        <f>IF('исходные данные'!R73&gt;'минимумы и максимумы'!P$4,100,('исходные данные'!R73-'минимумы и максимумы'!P$2)/('минимумы и максимумы'!P$4-'минимумы и максимумы'!P$2)*100)</f>
        <v>100</v>
      </c>
      <c r="S73" s="1">
        <f>IF('исходные данные'!S73&gt;'минимумы и максимумы'!Q$4,100,('исходные данные'!S73-'минимумы и максимумы'!Q$2)/('минимумы и максимумы'!Q$4-'минимумы и максимумы'!Q$2)*100)</f>
        <v>22.222222222222221</v>
      </c>
      <c r="T73" s="1">
        <f>IF('исходные данные'!T73&gt;'минимумы и максимумы'!R$4,100,('исходные данные'!T73-'минимумы и максимумы'!R$2)/('минимумы и максимумы'!R$4-'минимумы и максимумы'!R$2)*100)</f>
        <v>13.780207134637514</v>
      </c>
      <c r="U73" s="1">
        <f>IF('исходные данные'!U73&gt;'минимумы и максимумы'!S$4,100,('исходные данные'!U73-'минимумы и максимумы'!S$2)/('минимумы и максимумы'!S$4-'минимумы и максимумы'!S$2)*100)</f>
        <v>33.333333333333329</v>
      </c>
    </row>
    <row r="74" spans="1:21" x14ac:dyDescent="0.45">
      <c r="A74" s="4">
        <v>126</v>
      </c>
      <c r="B74" s="4">
        <v>1</v>
      </c>
      <c r="C74" s="4">
        <v>0</v>
      </c>
      <c r="D74" s="1">
        <f>IF('исходные данные'!D74&gt;'минимумы и максимумы'!B$4,100,('исходные данные'!D74-'минимумы и максимумы'!B$2)/('минимумы и максимумы'!B$4-'минимумы и максимумы'!B$2)*100)</f>
        <v>62.5</v>
      </c>
      <c r="E74" s="1">
        <f>IF('исходные данные'!E74&gt;'минимумы и максимумы'!C$4,100,('исходные данные'!E74-'минимумы и максимумы'!C$2)/('минимумы и максимумы'!C$4-'минимумы и максимумы'!C$2)*100)</f>
        <v>31.25</v>
      </c>
      <c r="F74" s="1">
        <f>IF('исходные данные'!F74&gt;'минимумы и максимумы'!D$4,100,('исходные данные'!F74-'минимумы и максимумы'!D$2)/('минимумы и максимумы'!D$4-'минимумы и максимумы'!D$2)*100)</f>
        <v>0</v>
      </c>
      <c r="G74" s="1">
        <f>IF('исходные данные'!G74&gt;'минимумы и максимумы'!E$4,100,('исходные данные'!G74-'минимумы и максимумы'!E$2)/('минимумы и максимумы'!E$4-'минимумы и максимумы'!E$2)*100)</f>
        <v>67.567567567567565</v>
      </c>
      <c r="H74" s="1">
        <f>IF('исходные данные'!H74&gt;'минимумы и максимумы'!F$4,100,('исходные данные'!H74-'минимумы и максимумы'!F$2)/('минимумы и максимумы'!F$4-'минимумы и максимумы'!F$2)*100)</f>
        <v>76.31578947368422</v>
      </c>
      <c r="I74" s="1">
        <f>IF('исходные данные'!I74&gt;'минимумы и максимумы'!G$4,100,('исходные данные'!I74-'минимумы и максимумы'!G$2)/('минимумы и максимумы'!G$4-'минимумы и максимумы'!G$2)*100)</f>
        <v>100</v>
      </c>
      <c r="J74" s="1">
        <f>IF('исходные данные'!J74&gt;'минимумы и максимумы'!H$4,100,('исходные данные'!J74-'минимумы и максимумы'!H$2)/('минимумы и максимумы'!H$4-'минимумы и максимумы'!H$2)*100)</f>
        <v>100</v>
      </c>
      <c r="K74" s="1">
        <f>IF('исходные данные'!K74&gt;'минимумы и максимумы'!I$4,100,('исходные данные'!K74-'минимумы и максимумы'!I$2)/('минимумы и максимумы'!I$4-'минимумы и максимумы'!I$2)*100)</f>
        <v>67.857142857142861</v>
      </c>
      <c r="L74" s="1">
        <f>IF('исходные данные'!L74&gt;'минимумы и максимумы'!J$4,100,('исходные данные'!L74-'минимумы и максимумы'!J$2)/('минимумы и максимумы'!J$4-'минимумы и максимумы'!J$2)*100)</f>
        <v>100</v>
      </c>
      <c r="M74" s="1">
        <f>IF('исходные данные'!M74&gt;'минимумы и максимумы'!K$4,100,('исходные данные'!M74-'минимумы и максимумы'!K$2)/('минимумы и максимумы'!K$4-'минимумы и максимумы'!K$2)*100)</f>
        <v>31.914893617021278</v>
      </c>
      <c r="N74" s="1">
        <f>IF('исходные данные'!N74&gt;'минимумы и максимумы'!L$4,100,('исходные данные'!N74-'минимумы и максимумы'!L$2)/('минимумы и максимумы'!L$4-'минимумы и максимумы'!L$2)*100)</f>
        <v>9.459125802452597</v>
      </c>
      <c r="O74" s="1">
        <f>IF('исходные данные'!O74&gt;'минимумы и максимумы'!M$4,100,('исходные данные'!O74-'минимумы и максимумы'!M$2)/('минимумы и максимумы'!M$4-'минимумы и максимумы'!M$2)*100)</f>
        <v>66.666666666666657</v>
      </c>
      <c r="P74" s="1">
        <f>IF('исходные данные'!P74&gt;'минимумы и максимумы'!N$4,100,('исходные данные'!P74-'минимумы и максимумы'!N$2)/('минимумы и максимумы'!N$4-'минимумы и максимумы'!N$2)*100)</f>
        <v>0</v>
      </c>
      <c r="Q74" s="1">
        <f>IF('исходные данные'!Q74&gt;'минимумы и максимумы'!O$4,100,('исходные данные'!Q74-'минимумы и максимумы'!O$2)/('минимумы и максимумы'!O$4-'минимумы и максимумы'!O$2)*100)</f>
        <v>100</v>
      </c>
      <c r="R74" s="1">
        <f>IF('исходные данные'!R74&gt;'минимумы и максимумы'!P$4,100,('исходные данные'!R74-'минимумы и максимумы'!P$2)/('минимумы и максимумы'!P$4-'минимумы и максимумы'!P$2)*100)</f>
        <v>100</v>
      </c>
      <c r="S74" s="1">
        <f>IF('исходные данные'!S74&gt;'минимумы и максимумы'!Q$4,100,('исходные данные'!S74-'минимумы и максимумы'!Q$2)/('минимумы и максимумы'!Q$4-'минимумы и максимумы'!Q$2)*100)</f>
        <v>33.333333333333329</v>
      </c>
      <c r="T74" s="1">
        <f>IF('исходные данные'!T74&gt;'минимумы и максимумы'!R$4,100,('исходные данные'!T74-'минимумы и максимумы'!R$2)/('минимумы и максимумы'!R$4-'минимумы и максимумы'!R$2)*100)</f>
        <v>14.499424626006904</v>
      </c>
      <c r="U74" s="1">
        <f>IF('исходные данные'!U74&gt;'минимумы и максимумы'!S$4,100,('исходные данные'!U74-'минимумы и максимумы'!S$2)/('минимумы и максимумы'!S$4-'минимумы и максимумы'!S$2)*100)</f>
        <v>33.333333333333329</v>
      </c>
    </row>
    <row r="75" spans="1:21" x14ac:dyDescent="0.45">
      <c r="A75" s="4">
        <v>127</v>
      </c>
      <c r="B75" s="4">
        <v>0</v>
      </c>
      <c r="C75" s="4">
        <v>0</v>
      </c>
      <c r="D75" s="1">
        <f>IF('исходные данные'!D75&gt;'минимумы и максимумы'!B$4,100,('исходные данные'!D75-'минимумы и максимумы'!B$2)/('минимумы и максимумы'!B$4-'минимумы и максимумы'!B$2)*100)</f>
        <v>62.5</v>
      </c>
      <c r="E75" s="1">
        <f>IF('исходные данные'!E75&gt;'минимумы и максимумы'!C$4,100,('исходные данные'!E75-'минимумы и максимумы'!C$2)/('минимумы и максимумы'!C$4-'минимумы и максимумы'!C$2)*100)</f>
        <v>31.25</v>
      </c>
      <c r="F75" s="1">
        <f>IF('исходные данные'!F75&gt;'минимумы и максимумы'!D$4,100,('исходные данные'!F75-'минимумы и максимумы'!D$2)/('минимумы и максимумы'!D$4-'минимумы и максимумы'!D$2)*100)</f>
        <v>0</v>
      </c>
      <c r="G75" s="1">
        <f>IF('исходные данные'!G75&gt;'минимумы и максимумы'!E$4,100,('исходные данные'!G75-'минимумы и максимумы'!E$2)/('минимумы и максимумы'!E$4-'минимумы и максимумы'!E$2)*100)</f>
        <v>67.567567567567565</v>
      </c>
      <c r="H75" s="1">
        <f>IF('исходные данные'!H75&gt;'минимумы и максимумы'!F$4,100,('исходные данные'!H75-'минимумы и максимумы'!F$2)/('минимумы и максимумы'!F$4-'минимумы и максимумы'!F$2)*100)</f>
        <v>76.31578947368422</v>
      </c>
      <c r="I75" s="1">
        <f>IF('исходные данные'!I75&gt;'минимумы и максимумы'!G$4,100,('исходные данные'!I75-'минимумы и максимумы'!G$2)/('минимумы и максимумы'!G$4-'минимумы и максимумы'!G$2)*100)</f>
        <v>100</v>
      </c>
      <c r="J75" s="1">
        <f>IF('исходные данные'!J75&gt;'минимумы и максимумы'!H$4,100,('исходные данные'!J75-'минимумы и максимумы'!H$2)/('минимумы и максимумы'!H$4-'минимумы и максимумы'!H$2)*100)</f>
        <v>100</v>
      </c>
      <c r="K75" s="1">
        <f>IF('исходные данные'!K75&gt;'минимумы и максимумы'!I$4,100,('исходные данные'!K75-'минимумы и максимумы'!I$2)/('минимумы и максимумы'!I$4-'минимумы и максимумы'!I$2)*100)</f>
        <v>67.857142857142861</v>
      </c>
      <c r="L75" s="1">
        <f>IF('исходные данные'!L75&gt;'минимумы и максимумы'!J$4,100,('исходные данные'!L75-'минимумы и максимумы'!J$2)/('минимумы и максимумы'!J$4-'минимумы и максимумы'!J$2)*100)</f>
        <v>100</v>
      </c>
      <c r="M75" s="1">
        <f>IF('исходные данные'!M75&gt;'минимумы и максимумы'!K$4,100,('исходные данные'!M75-'минимумы и максимумы'!K$2)/('минимумы и максимумы'!K$4-'минимумы и максимумы'!K$2)*100)</f>
        <v>31.914893617021278</v>
      </c>
      <c r="N75" s="1">
        <f>IF('исходные данные'!N75&gt;'минимумы и максимумы'!L$4,100,('исходные данные'!N75-'минимумы и максимумы'!L$2)/('минимумы и максимумы'!L$4-'минимумы и максимумы'!L$2)*100)</f>
        <v>9.459125802452597</v>
      </c>
      <c r="O75" s="1">
        <f>IF('исходные данные'!O75&gt;'минимумы и максимумы'!M$4,100,('исходные данные'!O75-'минимумы и максимумы'!M$2)/('минимумы и максимумы'!M$4-'минимумы и максимумы'!M$2)*100)</f>
        <v>66.666666666666657</v>
      </c>
      <c r="P75" s="1">
        <f>IF('исходные данные'!P75&gt;'минимумы и максимумы'!N$4,100,('исходные данные'!P75-'минимумы и максимумы'!N$2)/('минимумы и максимумы'!N$4-'минимумы и максимумы'!N$2)*100)</f>
        <v>100</v>
      </c>
      <c r="Q75" s="1">
        <f>IF('исходные данные'!Q75&gt;'минимумы и максимумы'!O$4,100,('исходные данные'!Q75-'минимумы и максимумы'!O$2)/('минимумы и максимумы'!O$4-'минимумы и максимумы'!O$2)*100)</f>
        <v>100</v>
      </c>
      <c r="R75" s="1">
        <f>IF('исходные данные'!R75&gt;'минимумы и максимумы'!P$4,100,('исходные данные'!R75-'минимумы и максимумы'!P$2)/('минимумы и максимумы'!P$4-'минимумы и максимумы'!P$2)*100)</f>
        <v>100</v>
      </c>
      <c r="S75" s="1">
        <f>IF('исходные данные'!S75&gt;'минимумы и максимумы'!Q$4,100,('исходные данные'!S75-'минимумы и максимумы'!Q$2)/('минимумы и максимумы'!Q$4-'минимумы и максимумы'!Q$2)*100)</f>
        <v>22.222222222222221</v>
      </c>
      <c r="T75" s="1">
        <f>IF('исходные данные'!T75&gt;'минимумы и максимумы'!R$4,100,('исходные данные'!T75-'минимумы и максимумы'!R$2)/('минимумы и максимумы'!R$4-'минимумы и максимумы'!R$2)*100)</f>
        <v>12.341772151898734</v>
      </c>
      <c r="U75" s="1">
        <f>IF('исходные данные'!U75&gt;'минимумы и максимумы'!S$4,100,('исходные данные'!U75-'минимумы и максимумы'!S$2)/('минимумы и максимумы'!S$4-'минимумы и максимумы'!S$2)*100)</f>
        <v>33.333333333333329</v>
      </c>
    </row>
    <row r="76" spans="1:21" x14ac:dyDescent="0.45">
      <c r="A76" s="4">
        <v>129</v>
      </c>
      <c r="B76" s="4">
        <v>0</v>
      </c>
      <c r="C76" s="4">
        <v>0</v>
      </c>
      <c r="D76" s="1">
        <f>IF('исходные данные'!D76&gt;'минимумы и максимумы'!B$4,100,('исходные данные'!D76-'минимумы и максимумы'!B$2)/('минимумы и максимумы'!B$4-'минимумы и максимумы'!B$2)*100)</f>
        <v>50</v>
      </c>
      <c r="E76" s="1">
        <f>IF('исходные данные'!E76&gt;'минимумы и максимумы'!C$4,100,('исходные данные'!E76-'минимумы и максимумы'!C$2)/('минимумы и максимумы'!C$4-'минимумы и максимумы'!C$2)*100)</f>
        <v>37.5</v>
      </c>
      <c r="F76" s="1">
        <f>IF('исходные данные'!F76&gt;'минимумы и максимумы'!D$4,100,('исходные данные'!F76-'минимумы и максимумы'!D$2)/('минимумы и максимумы'!D$4-'минимумы и максимумы'!D$2)*100)</f>
        <v>0</v>
      </c>
      <c r="G76" s="1">
        <f>IF('исходные данные'!G76&gt;'минимумы и максимумы'!E$4,100,('исходные данные'!G76-'минимумы и максимумы'!E$2)/('минимумы и максимумы'!E$4-'минимумы и максимумы'!E$2)*100)</f>
        <v>48.648648648648653</v>
      </c>
      <c r="H76" s="1">
        <f>IF('исходные данные'!H76&gt;'минимумы и максимумы'!F$4,100,('исходные данные'!H76-'минимумы и максимумы'!F$2)/('минимумы и максимумы'!F$4-'минимумы и максимумы'!F$2)*100)</f>
        <v>57.894736842105267</v>
      </c>
      <c r="I76" s="1">
        <f>IF('исходные данные'!I76&gt;'минимумы и максимумы'!G$4,100,('исходные данные'!I76-'минимумы и максимумы'!G$2)/('минимумы и максимумы'!G$4-'минимумы и максимумы'!G$2)*100)</f>
        <v>61.445783132530117</v>
      </c>
      <c r="J76" s="1">
        <f>IF('исходные данные'!J76&gt;'минимумы и максимумы'!H$4,100,('исходные данные'!J76-'минимумы и максимумы'!H$2)/('минимумы и максимумы'!H$4-'минимумы и максимумы'!H$2)*100)</f>
        <v>58.333333333333336</v>
      </c>
      <c r="K76" s="1">
        <f>IF('исходные данные'!K76&gt;'минимумы и максимумы'!I$4,100,('исходные данные'!K76-'минимумы и максимумы'!I$2)/('минимумы и максимумы'!I$4-'минимумы и максимумы'!I$2)*100)</f>
        <v>67.857142857142861</v>
      </c>
      <c r="L76" s="1">
        <f>IF('исходные данные'!L76&gt;'минимумы и максимумы'!J$4,100,('исходные данные'!L76-'минимумы и максимумы'!J$2)/('минимумы и максимумы'!J$4-'минимумы и максимумы'!J$2)*100)</f>
        <v>87.5</v>
      </c>
      <c r="M76" s="1">
        <f>IF('исходные данные'!M76&gt;'минимумы и максимумы'!K$4,100,('исходные данные'!M76-'минимумы и максимумы'!K$2)/('минимумы и максимумы'!K$4-'минимумы и максимумы'!K$2)*100)</f>
        <v>17.021276595744681</v>
      </c>
      <c r="N76" s="1">
        <f>IF('исходные данные'!N76&gt;'минимумы и максимумы'!L$4,100,('исходные данные'!N76-'минимумы и максимумы'!L$2)/('минимумы и максимумы'!L$4-'минимумы и максимумы'!L$2)*100)</f>
        <v>9.6731055951464562</v>
      </c>
      <c r="O76" s="1">
        <f>IF('исходные данные'!O76&gt;'минимумы и максимумы'!M$4,100,('исходные данные'!O76-'минимумы и максимумы'!M$2)/('минимумы и максимумы'!M$4-'минимумы и максимумы'!M$2)*100)</f>
        <v>66.666666666666657</v>
      </c>
      <c r="P76" s="1">
        <f>IF('исходные данные'!P76&gt;'минимумы и максимумы'!N$4,100,('исходные данные'!P76-'минимумы и максимумы'!N$2)/('минимумы и максимумы'!N$4-'минимумы и максимумы'!N$2)*100)</f>
        <v>0</v>
      </c>
      <c r="Q76" s="1">
        <f>IF('исходные данные'!Q76&gt;'минимумы и максимумы'!O$4,100,('исходные данные'!Q76-'минимумы и максимумы'!O$2)/('минимумы и максимумы'!O$4-'минимумы и максимумы'!O$2)*100)</f>
        <v>100</v>
      </c>
      <c r="R76" s="1">
        <f>IF('исходные данные'!R76&gt;'минимумы и максимумы'!P$4,100,('исходные данные'!R76-'минимумы и максимумы'!P$2)/('минимумы и максимумы'!P$4-'минимумы и максимумы'!P$2)*100)</f>
        <v>100</v>
      </c>
      <c r="S76" s="1">
        <f>IF('исходные данные'!S76&gt;'минимумы и максимумы'!Q$4,100,('исходные данные'!S76-'минимумы и максимумы'!Q$2)/('минимумы и максимумы'!Q$4-'минимумы и максимумы'!Q$2)*100)</f>
        <v>44.444444444444443</v>
      </c>
      <c r="T76" s="1">
        <f>IF('исходные данные'!T76&gt;'минимумы и максимумы'!R$4,100,('исходные данные'!T76-'минимумы и максимумы'!R$2)/('минимумы и максимумы'!R$4-'минимумы и максимумы'!R$2)*100)</f>
        <v>14.2692750287687</v>
      </c>
      <c r="U76" s="1">
        <f>IF('исходные данные'!U76&gt;'минимумы и максимумы'!S$4,100,('исходные данные'!U76-'минимумы и максимумы'!S$2)/('минимумы и максимумы'!S$4-'минимумы и максимумы'!S$2)*100)</f>
        <v>33.333333333333329</v>
      </c>
    </row>
    <row r="77" spans="1:21" x14ac:dyDescent="0.45">
      <c r="A77" s="4">
        <v>131</v>
      </c>
      <c r="B77" s="4">
        <v>1</v>
      </c>
      <c r="C77" s="4">
        <v>0</v>
      </c>
      <c r="D77" s="1">
        <f>IF('исходные данные'!D77&gt;'минимумы и максимумы'!B$4,100,('исходные данные'!D77-'минимумы и максимумы'!B$2)/('минимумы и максимумы'!B$4-'минимумы и максимумы'!B$2)*100)</f>
        <v>50</v>
      </c>
      <c r="E77" s="1">
        <f>IF('исходные данные'!E77&gt;'минимумы и максимумы'!C$4,100,('исходные данные'!E77-'минимумы и максимумы'!C$2)/('минимумы и максимумы'!C$4-'минимумы и максимумы'!C$2)*100)</f>
        <v>50</v>
      </c>
      <c r="F77" s="1">
        <f>IF('исходные данные'!F77&gt;'минимумы и максимумы'!D$4,100,('исходные данные'!F77-'минимумы и максимумы'!D$2)/('минимумы и максимумы'!D$4-'минимумы и максимумы'!D$2)*100)</f>
        <v>0</v>
      </c>
      <c r="G77" s="1">
        <f>IF('исходные данные'!G77&gt;'минимумы и максимумы'!E$4,100,('исходные данные'!G77-'минимумы и максимумы'!E$2)/('минимумы и максимумы'!E$4-'минимумы и максимумы'!E$2)*100)</f>
        <v>43.243243243243242</v>
      </c>
      <c r="H77" s="1">
        <f>IF('исходные данные'!H77&gt;'минимумы и максимумы'!F$4,100,('исходные данные'!H77-'минимумы и максимумы'!F$2)/('минимумы и максимумы'!F$4-'минимумы и максимумы'!F$2)*100)</f>
        <v>55.26315789473685</v>
      </c>
      <c r="I77" s="1">
        <f>IF('исходные данные'!I77&gt;'минимумы и максимумы'!G$4,100,('исходные данные'!I77-'минимумы и максимумы'!G$2)/('минимумы и максимумы'!G$4-'минимумы и максимумы'!G$2)*100)</f>
        <v>83.132530120481931</v>
      </c>
      <c r="J77" s="1">
        <f>IF('исходные данные'!J77&gt;'минимумы и максимумы'!H$4,100,('исходные данные'!J77-'минимумы и максимумы'!H$2)/('минимумы и максимумы'!H$4-'минимумы и максимумы'!H$2)*100)</f>
        <v>54.166666666666664</v>
      </c>
      <c r="K77" s="1">
        <f>IF('исходные данные'!K77&gt;'минимумы и максимумы'!I$4,100,('исходные данные'!K77-'минимумы и максимумы'!I$2)/('минимумы и максимумы'!I$4-'минимумы и максимумы'!I$2)*100)</f>
        <v>89.285714285714292</v>
      </c>
      <c r="L77" s="1">
        <f>IF('исходные данные'!L77&gt;'минимумы и максимумы'!J$4,100,('исходные данные'!L77-'минимумы и максимумы'!J$2)/('минимумы и максимумы'!J$4-'минимумы и максимумы'!J$2)*100)</f>
        <v>100</v>
      </c>
      <c r="M77" s="1">
        <f>IF('исходные данные'!M77&gt;'минимумы и максимумы'!K$4,100,('исходные данные'!M77-'минимумы и максимумы'!K$2)/('минимумы и максимумы'!K$4-'минимумы и максимумы'!K$2)*100)</f>
        <v>27.659574468085108</v>
      </c>
      <c r="N77" s="1">
        <f>IF('исходные данные'!N77&gt;'минимумы и максимумы'!L$4,100,('исходные данные'!N77-'минимумы и максимумы'!L$2)/('минимумы и максимумы'!L$4-'минимумы и максимумы'!L$2)*100)</f>
        <v>9.9243729585708227</v>
      </c>
      <c r="O77" s="1">
        <f>IF('исходные данные'!O77&gt;'минимумы и максимумы'!M$4,100,('исходные данные'!O77-'минимумы и максимумы'!M$2)/('минимумы и максимумы'!M$4-'минимумы и максимумы'!M$2)*100)</f>
        <v>100</v>
      </c>
      <c r="P77" s="1">
        <f>IF('исходные данные'!P77&gt;'минимумы и максимумы'!N$4,100,('исходные данные'!P77-'минимумы и максимумы'!N$2)/('минимумы и максимумы'!N$4-'минимумы и максимумы'!N$2)*100)</f>
        <v>100</v>
      </c>
      <c r="Q77" s="1">
        <f>IF('исходные данные'!Q77&gt;'минимумы и максимумы'!O$4,100,('исходные данные'!Q77-'минимумы и максимумы'!O$2)/('минимумы и максимумы'!O$4-'минимумы и максимумы'!O$2)*100)</f>
        <v>100</v>
      </c>
      <c r="R77" s="1">
        <f>IF('исходные данные'!R77&gt;'минимумы и максимумы'!P$4,100,('исходные данные'!R77-'минимумы и максимумы'!P$2)/('минимумы и максимумы'!P$4-'минимумы и максимумы'!P$2)*100)</f>
        <v>100</v>
      </c>
      <c r="S77" s="1">
        <f>IF('исходные данные'!S77&gt;'минимумы и максимумы'!Q$4,100,('исходные данные'!S77-'минимумы и максимумы'!Q$2)/('минимумы и максимумы'!Q$4-'минимумы и максимумы'!Q$2)*100)</f>
        <v>44.444444444444443</v>
      </c>
      <c r="T77" s="1">
        <f>IF('исходные данные'!T77&gt;'минимумы и максимумы'!R$4,100,('исходные данные'!T77-'минимумы и максимумы'!R$2)/('минимумы и максимумы'!R$4-'минимумы и максимумы'!R$2)*100)</f>
        <v>18.757192174913694</v>
      </c>
      <c r="U77" s="1">
        <f>IF('исходные данные'!U77&gt;'минимумы и максимумы'!S$4,100,('исходные данные'!U77-'минимумы и максимумы'!S$2)/('минимумы и максимумы'!S$4-'минимумы и максимумы'!S$2)*100)</f>
        <v>33.333333333333329</v>
      </c>
    </row>
    <row r="78" spans="1:21" x14ac:dyDescent="0.45">
      <c r="A78" s="4">
        <v>133</v>
      </c>
      <c r="B78" s="4">
        <v>1</v>
      </c>
      <c r="C78" s="4">
        <v>0</v>
      </c>
      <c r="D78" s="1">
        <f>IF('исходные данные'!D78&gt;'минимумы и максимумы'!B$4,100,('исходные данные'!D78-'минимумы и максимумы'!B$2)/('минимумы и максимумы'!B$4-'минимумы и максимумы'!B$2)*100)</f>
        <v>100</v>
      </c>
      <c r="E78" s="1">
        <f>IF('исходные данные'!E78&gt;'минимумы и максимумы'!C$4,100,('исходные данные'!E78-'минимумы и максимумы'!C$2)/('минимумы и максимумы'!C$4-'минимумы и максимумы'!C$2)*100)</f>
        <v>56.25</v>
      </c>
      <c r="F78" s="1">
        <f>IF('исходные данные'!F78&gt;'минимумы и максимумы'!D$4,100,('исходные данные'!F78-'минимумы и максимумы'!D$2)/('минимумы и максимумы'!D$4-'минимумы и максимумы'!D$2)*100)</f>
        <v>50</v>
      </c>
      <c r="G78" s="1">
        <f>IF('исходные данные'!G78&gt;'минимумы и максимумы'!E$4,100,('исходные данные'!G78-'минимумы и максимумы'!E$2)/('минимумы и максимумы'!E$4-'минимумы и максимумы'!E$2)*100)</f>
        <v>51.351351351351347</v>
      </c>
      <c r="H78" s="1">
        <f>IF('исходные данные'!H78&gt;'минимумы и максимумы'!F$4,100,('исходные данные'!H78-'минимумы и максимумы'!F$2)/('минимумы и максимумы'!F$4-'минимумы и максимумы'!F$2)*100)</f>
        <v>21.052631578947366</v>
      </c>
      <c r="I78" s="1">
        <f>IF('исходные данные'!I78&gt;'минимумы и максимумы'!G$4,100,('исходные данные'!I78-'минимумы и максимумы'!G$2)/('минимумы и максимумы'!G$4-'минимумы и максимумы'!G$2)*100)</f>
        <v>100</v>
      </c>
      <c r="J78" s="1">
        <f>IF('исходные данные'!J78&gt;'минимумы и максимумы'!H$4,100,('исходные данные'!J78-'минимумы и максимумы'!H$2)/('минимумы и максимумы'!H$4-'минимумы и максимумы'!H$2)*100)</f>
        <v>100</v>
      </c>
      <c r="K78" s="1">
        <f>IF('исходные данные'!K78&gt;'минимумы и максимумы'!I$4,100,('исходные данные'!K78-'минимумы и максимумы'!I$2)/('минимумы и максимумы'!I$4-'минимумы и максимумы'!I$2)*100)</f>
        <v>60.714285714285708</v>
      </c>
      <c r="L78" s="1">
        <f>IF('исходные данные'!L78&gt;'минимумы и максимумы'!J$4,100,('исходные данные'!L78-'минимумы и максимумы'!J$2)/('минимумы и максимумы'!J$4-'минимумы и максимумы'!J$2)*100)</f>
        <v>100</v>
      </c>
      <c r="M78" s="1">
        <f>IF('исходные данные'!M78&gt;'минимумы и максимумы'!K$4,100,('исходные данные'!M78-'минимумы и максимумы'!K$2)/('минимумы и максимумы'!K$4-'минимумы и максимумы'!K$2)*100)</f>
        <v>38.297872340425535</v>
      </c>
      <c r="N78" s="1">
        <f>IF('исходные данные'!N78&gt;'минимумы и максимумы'!L$4,100,('исходные данные'!N78-'минимумы и максимумы'!L$2)/('минимумы и максимумы'!L$4-'минимумы и максимумы'!L$2)*100)</f>
        <v>7.0377694629331256</v>
      </c>
      <c r="O78" s="1">
        <f>IF('исходные данные'!O78&gt;'минимумы и максимумы'!M$4,100,('исходные данные'!O78-'минимумы и максимумы'!M$2)/('минимумы и максимумы'!M$4-'минимумы и максимумы'!M$2)*100)</f>
        <v>100</v>
      </c>
      <c r="P78" s="1">
        <f>IF('исходные данные'!P78&gt;'минимумы и максимумы'!N$4,100,('исходные данные'!P78-'минимумы и максимумы'!N$2)/('минимумы и максимумы'!N$4-'минимумы и максимумы'!N$2)*100)</f>
        <v>0</v>
      </c>
      <c r="Q78" s="1">
        <f>IF('исходные данные'!Q78&gt;'минимумы и максимумы'!O$4,100,('исходные данные'!Q78-'минимумы и максимумы'!O$2)/('минимумы и максимумы'!O$4-'минимумы и максимумы'!O$2)*100)</f>
        <v>100</v>
      </c>
      <c r="R78" s="1">
        <f>IF('исходные данные'!R78&gt;'минимумы и максимумы'!P$4,100,('исходные данные'!R78-'минимумы и максимумы'!P$2)/('минимумы и максимумы'!P$4-'минимумы и максимумы'!P$2)*100)</f>
        <v>100</v>
      </c>
      <c r="S78" s="1">
        <f>IF('исходные данные'!S78&gt;'минимумы и максимумы'!Q$4,100,('исходные данные'!S78-'минимумы и максимумы'!Q$2)/('минимумы и максимумы'!Q$4-'минимумы и максимумы'!Q$2)*100)</f>
        <v>33.333333333333329</v>
      </c>
      <c r="T78" s="1">
        <f>IF('исходные данные'!T78&gt;'минимумы и максимумы'!R$4,100,('исходные данные'!T78-'минимумы и максимумы'!R$2)/('минимумы и максимумы'!R$4-'минимумы и максимумы'!R$2)*100)</f>
        <v>20.310701956271576</v>
      </c>
      <c r="U78" s="1">
        <f>IF('исходные данные'!U78&gt;'минимумы и максимумы'!S$4,100,('исходные данные'!U78-'минимумы и максимумы'!S$2)/('минимумы и максимумы'!S$4-'минимумы и максимумы'!S$2)*100)</f>
        <v>66.666666666666657</v>
      </c>
    </row>
    <row r="79" spans="1:21" x14ac:dyDescent="0.45">
      <c r="A79" s="4">
        <v>134</v>
      </c>
      <c r="B79" s="4">
        <v>0</v>
      </c>
      <c r="C79" s="4">
        <v>0</v>
      </c>
      <c r="D79" s="1">
        <f>IF('исходные данные'!D79&gt;'минимумы и максимумы'!B$4,100,('исходные данные'!D79-'минимумы и максимумы'!B$2)/('минимумы и максимумы'!B$4-'минимумы и максимумы'!B$2)*100)</f>
        <v>75</v>
      </c>
      <c r="E79" s="1">
        <f>IF('исходные данные'!E79&gt;'минимумы и максимумы'!C$4,100,('исходные данные'!E79-'минимумы и максимумы'!C$2)/('минимумы и максимумы'!C$4-'минимумы и максимумы'!C$2)*100)</f>
        <v>81.25</v>
      </c>
      <c r="F79" s="1">
        <f>IF('исходные данные'!F79&gt;'минимумы и максимумы'!D$4,100,('исходные данные'!F79-'минимумы и максимумы'!D$2)/('минимумы и максимумы'!D$4-'минимумы и максимумы'!D$2)*100)</f>
        <v>25</v>
      </c>
      <c r="G79" s="1">
        <f>IF('исходные данные'!G79&gt;'минимумы и максимумы'!E$4,100,('исходные данные'!G79-'минимумы и максимумы'!E$2)/('минимумы и максимумы'!E$4-'минимумы и максимумы'!E$2)*100)</f>
        <v>59.45945945945946</v>
      </c>
      <c r="H79" s="1">
        <f>IF('исходные данные'!H79&gt;'минимумы и максимумы'!F$4,100,('исходные данные'!H79-'минимумы и максимумы'!F$2)/('минимумы и максимумы'!F$4-'минимумы и максимумы'!F$2)*100)</f>
        <v>31.578947368421051</v>
      </c>
      <c r="I79" s="1">
        <f>IF('исходные данные'!I79&gt;'минимумы и максимумы'!G$4,100,('исходные данные'!I79-'минимумы и максимумы'!G$2)/('минимумы и максимумы'!G$4-'минимумы и максимумы'!G$2)*100)</f>
        <v>100</v>
      </c>
      <c r="J79" s="1">
        <f>IF('исходные данные'!J79&gt;'минимумы и максимумы'!H$4,100,('исходные данные'!J79-'минимумы и максимумы'!H$2)/('минимумы и максимумы'!H$4-'минимумы и максимумы'!H$2)*100)</f>
        <v>100</v>
      </c>
      <c r="K79" s="1">
        <f>IF('исходные данные'!K79&gt;'минимумы и максимумы'!I$4,100,('исходные данные'!K79-'минимумы и максимумы'!I$2)/('минимумы и максимумы'!I$4-'минимумы и максимумы'!I$2)*100)</f>
        <v>32.142857142857146</v>
      </c>
      <c r="L79" s="1">
        <f>IF('исходные данные'!L79&gt;'минимумы и максимумы'!J$4,100,('исходные данные'!L79-'минимумы и максимумы'!J$2)/('минимумы и максимумы'!J$4-'минимумы и максимумы'!J$2)*100)</f>
        <v>62.5</v>
      </c>
      <c r="M79" s="1">
        <f>IF('исходные данные'!M79&gt;'минимумы и максимумы'!K$4,100,('исходные данные'!M79-'минимумы и максимумы'!K$2)/('минимумы и максимумы'!K$4-'минимумы и максимумы'!K$2)*100)</f>
        <v>14.893617021276595</v>
      </c>
      <c r="N79" s="1">
        <f>IF('исходные данные'!N79&gt;'минимумы и максимумы'!L$4,100,('исходные данные'!N79-'минимумы и максимумы'!L$2)/('минимумы и максимумы'!L$4-'минимумы и максимумы'!L$2)*100)</f>
        <v>7.8493129760934259</v>
      </c>
      <c r="O79" s="1">
        <f>IF('исходные данные'!O79&gt;'минимумы и максимумы'!M$4,100,('исходные данные'!O79-'минимумы и максимумы'!M$2)/('минимумы и максимумы'!M$4-'минимумы и максимумы'!M$2)*100)</f>
        <v>66.666666666666657</v>
      </c>
      <c r="P79" s="1">
        <f>IF('исходные данные'!P79&gt;'минимумы и максимумы'!N$4,100,('исходные данные'!P79-'минимумы и максимумы'!N$2)/('минимумы и максимумы'!N$4-'минимумы и максимумы'!N$2)*100)</f>
        <v>100</v>
      </c>
      <c r="Q79" s="1">
        <f>IF('исходные данные'!Q79&gt;'минимумы и максимумы'!O$4,100,('исходные данные'!Q79-'минимумы и максимумы'!O$2)/('минимумы и максимумы'!O$4-'минимумы и максимумы'!O$2)*100)</f>
        <v>100</v>
      </c>
      <c r="R79" s="1">
        <f>IF('исходные данные'!R79&gt;'минимумы и максимумы'!P$4,100,('исходные данные'!R79-'минимумы и максимумы'!P$2)/('минимумы и максимумы'!P$4-'минимумы и максимумы'!P$2)*100)</f>
        <v>100</v>
      </c>
      <c r="S79" s="1">
        <f>IF('исходные данные'!S79&gt;'минимумы и максимумы'!Q$4,100,('исходные данные'!S79-'минимумы и максимумы'!Q$2)/('минимумы и максимумы'!Q$4-'минимумы и максимумы'!Q$2)*100)</f>
        <v>22.222222222222221</v>
      </c>
      <c r="T79" s="1">
        <f>IF('исходные данные'!T79&gt;'минимумы и максимумы'!R$4,100,('исходные данные'!T79-'минимумы и максимумы'!R$2)/('минимумы и максимумы'!R$4-'минимумы и максимумы'!R$2)*100)</f>
        <v>7.5661680092059838</v>
      </c>
      <c r="U79" s="1">
        <f>IF('исходные данные'!U79&gt;'минимумы и максимумы'!S$4,100,('исходные данные'!U79-'минимумы и максимумы'!S$2)/('минимумы и максимумы'!S$4-'минимумы и максимумы'!S$2)*100)</f>
        <v>66.666666666666657</v>
      </c>
    </row>
    <row r="80" spans="1:21" x14ac:dyDescent="0.45">
      <c r="A80" s="4">
        <v>135</v>
      </c>
      <c r="B80" s="4">
        <v>0</v>
      </c>
      <c r="C80" s="4">
        <v>0</v>
      </c>
      <c r="D80" s="1">
        <f>IF('исходные данные'!D80&gt;'минимумы и максимумы'!B$4,100,('исходные данные'!D80-'минимумы и максимумы'!B$2)/('минимумы и максимумы'!B$4-'минимумы и максимумы'!B$2)*100)</f>
        <v>87.5</v>
      </c>
      <c r="E80" s="1">
        <f>IF('исходные данные'!E80&gt;'минимумы и максимумы'!C$4,100,('исходные данные'!E80-'минимумы и максимумы'!C$2)/('минимумы и максимумы'!C$4-'минимумы и максимумы'!C$2)*100)</f>
        <v>62.5</v>
      </c>
      <c r="F80" s="1">
        <f>IF('исходные данные'!F80&gt;'минимумы и максимумы'!D$4,100,('исходные данные'!F80-'минимумы и максимумы'!D$2)/('минимумы и максимумы'!D$4-'минимумы и максимумы'!D$2)*100)</f>
        <v>0</v>
      </c>
      <c r="G80" s="1">
        <f>IF('исходные данные'!G80&gt;'минимумы и максимумы'!E$4,100,('исходные данные'!G80-'минимумы и максимумы'!E$2)/('минимумы и максимумы'!E$4-'минимумы и максимумы'!E$2)*100)</f>
        <v>72.972972972972968</v>
      </c>
      <c r="H80" s="1">
        <f>IF('исходные данные'!H80&gt;'минимумы и максимумы'!F$4,100,('исходные данные'!H80-'минимумы и максимумы'!F$2)/('минимумы и максимумы'!F$4-'минимумы и максимумы'!F$2)*100)</f>
        <v>44.736842105263158</v>
      </c>
      <c r="I80" s="1">
        <f>IF('исходные данные'!I80&gt;'минимумы и максимумы'!G$4,100,('исходные данные'!I80-'минимумы и максимумы'!G$2)/('минимумы и максимумы'!G$4-'минимумы и максимумы'!G$2)*100)</f>
        <v>100</v>
      </c>
      <c r="J80" s="1">
        <f>IF('исходные данные'!J80&gt;'минимумы и максимумы'!H$4,100,('исходные данные'!J80-'минимумы и максимумы'!H$2)/('минимумы и максимумы'!H$4-'минимумы и максимумы'!H$2)*100)</f>
        <v>100</v>
      </c>
      <c r="K80" s="1">
        <f>IF('исходные данные'!K80&gt;'минимумы и максимумы'!I$4,100,('исходные данные'!K80-'минимумы и максимумы'!I$2)/('минимумы и максимумы'!I$4-'минимумы и максимумы'!I$2)*100)</f>
        <v>39.285714285714285</v>
      </c>
      <c r="L80" s="1">
        <f>IF('исходные данные'!L80&gt;'минимумы и максимумы'!J$4,100,('исходные данные'!L80-'минимумы и максимумы'!J$2)/('минимумы и максимумы'!J$4-'минимумы и максимумы'!J$2)*100)</f>
        <v>62.5</v>
      </c>
      <c r="M80" s="1">
        <f>IF('исходные данные'!M80&gt;'минимумы и максимумы'!K$4,100,('исходные данные'!M80-'минимумы и максимумы'!K$2)/('минимумы и максимумы'!K$4-'минимумы и максимумы'!K$2)*100)</f>
        <v>23.404255319148938</v>
      </c>
      <c r="N80" s="1">
        <f>IF('исходные данные'!N80&gt;'минимумы и максимумы'!L$4,100,('исходные данные'!N80-'минимумы и максимумы'!L$2)/('минимумы и максимумы'!L$4-'минимумы и максимумы'!L$2)*100)</f>
        <v>7.8758243203702918</v>
      </c>
      <c r="O80" s="1">
        <f>IF('исходные данные'!O80&gt;'минимумы и максимумы'!M$4,100,('исходные данные'!O80-'минимумы и максимумы'!M$2)/('минимумы и максимумы'!M$4-'минимумы и максимумы'!M$2)*100)</f>
        <v>100</v>
      </c>
      <c r="P80" s="1">
        <f>IF('исходные данные'!P80&gt;'минимумы и максимумы'!N$4,100,('исходные данные'!P80-'минимумы и максимумы'!N$2)/('минимумы и максимумы'!N$4-'минимумы и максимумы'!N$2)*100)</f>
        <v>100</v>
      </c>
      <c r="Q80" s="1">
        <f>IF('исходные данные'!Q80&gt;'минимумы и максимумы'!O$4,100,('исходные данные'!Q80-'минимумы и максимумы'!O$2)/('минимумы и максимумы'!O$4-'минимумы и максимумы'!O$2)*100)</f>
        <v>100</v>
      </c>
      <c r="R80" s="1">
        <f>IF('исходные данные'!R80&gt;'минимумы и максимумы'!P$4,100,('исходные данные'!R80-'минимумы и максимумы'!P$2)/('минимумы и максимумы'!P$4-'минимумы и максимумы'!P$2)*100)</f>
        <v>100</v>
      </c>
      <c r="S80" s="1">
        <f>IF('исходные данные'!S80&gt;'минимумы и максимумы'!Q$4,100,('исходные данные'!S80-'минимумы и максимумы'!Q$2)/('минимумы и максимумы'!Q$4-'минимумы и максимумы'!Q$2)*100)</f>
        <v>33.333333333333329</v>
      </c>
      <c r="T80" s="1">
        <f>IF('исходные данные'!T80&gt;'минимумы и максимумы'!R$4,100,('исходные данные'!T80-'минимумы и максимумы'!R$2)/('минимумы и максимумы'!R$4-'минимумы и максимумы'!R$2)*100)</f>
        <v>3.5960874568469503</v>
      </c>
      <c r="U80" s="1">
        <f>IF('исходные данные'!U80&gt;'минимумы и максимумы'!S$4,100,('исходные данные'!U80-'минимумы и максимумы'!S$2)/('минимумы и максимумы'!S$4-'минимумы и максимумы'!S$2)*100)</f>
        <v>0</v>
      </c>
    </row>
    <row r="81" spans="1:21" x14ac:dyDescent="0.45">
      <c r="A81" s="4">
        <v>136</v>
      </c>
      <c r="B81" s="4">
        <v>0</v>
      </c>
      <c r="C81" s="4">
        <v>0</v>
      </c>
      <c r="D81" s="1">
        <f>IF('исходные данные'!D81&gt;'минимумы и максимумы'!B$4,100,('исходные данные'!D81-'минимумы и максимумы'!B$2)/('минимумы и максимумы'!B$4-'минимумы и максимумы'!B$2)*100)</f>
        <v>37.5</v>
      </c>
      <c r="E81" s="1">
        <f>IF('исходные данные'!E81&gt;'минимумы и максимумы'!C$4,100,('исходные данные'!E81-'минимумы и максимумы'!C$2)/('минимумы и максимумы'!C$4-'минимумы и максимумы'!C$2)*100)</f>
        <v>68.75</v>
      </c>
      <c r="F81" s="1">
        <f>IF('исходные данные'!F81&gt;'минимумы и максимумы'!D$4,100,('исходные данные'!F81-'минимумы и максимумы'!D$2)/('минимумы и максимумы'!D$4-'минимумы и максимумы'!D$2)*100)</f>
        <v>0</v>
      </c>
      <c r="G81" s="1">
        <f>IF('исходные данные'!G81&gt;'минимумы и максимумы'!E$4,100,('исходные данные'!G81-'минимумы и максимумы'!E$2)/('минимумы и максимумы'!E$4-'минимумы и максимумы'!E$2)*100)</f>
        <v>32.432432432432435</v>
      </c>
      <c r="H81" s="1">
        <f>IF('исходные данные'!H81&gt;'минимумы и максимумы'!F$4,100,('исходные данные'!H81-'минимумы и максимумы'!F$2)/('минимумы и максимумы'!F$4-'минимумы и максимумы'!F$2)*100)</f>
        <v>23.684210526315788</v>
      </c>
      <c r="I81" s="1">
        <f>IF('исходные данные'!I81&gt;'минимумы и максимумы'!G$4,100,('исходные данные'!I81-'минимумы и максимумы'!G$2)/('минимумы и максимумы'!G$4-'минимумы и максимумы'!G$2)*100)</f>
        <v>44.578313253012048</v>
      </c>
      <c r="J81" s="1">
        <f>IF('исходные данные'!J81&gt;'минимумы и максимумы'!H$4,100,('исходные данные'!J81-'минимумы и максимумы'!H$2)/('минимумы и максимумы'!H$4-'минимумы и максимумы'!H$2)*100)</f>
        <v>62.5</v>
      </c>
      <c r="K81" s="1">
        <f>IF('исходные данные'!K81&gt;'минимумы и максимумы'!I$4,100,('исходные данные'!K81-'минимумы и максимумы'!I$2)/('минимумы и максимумы'!I$4-'минимумы и максимумы'!I$2)*100)</f>
        <v>32.142857142857146</v>
      </c>
      <c r="L81" s="1">
        <f>IF('исходные данные'!L81&gt;'минимумы и максимумы'!J$4,100,('исходные данные'!L81-'минимумы и максимумы'!J$2)/('минимумы и максимумы'!J$4-'минимумы и максимумы'!J$2)*100)</f>
        <v>50</v>
      </c>
      <c r="M81" s="1">
        <f>IF('исходные данные'!M81&gt;'минимумы и максимумы'!K$4,100,('исходные данные'!M81-'минимумы и максимумы'!K$2)/('минимумы и максимумы'!K$4-'минимумы и максимумы'!K$2)*100)</f>
        <v>14.893617021276595</v>
      </c>
      <c r="N81" s="1">
        <f>IF('исходные данные'!N81&gt;'минимумы и максимумы'!L$4,100,('исходные данные'!N81-'минимумы и максимумы'!L$2)/('минимумы и максимумы'!L$4-'минимумы и максимумы'!L$2)*100)</f>
        <v>10.163205546826292</v>
      </c>
      <c r="O81" s="1">
        <f>IF('исходные данные'!O81&gt;'минимумы и максимумы'!M$4,100,('исходные данные'!O81-'минимумы и максимумы'!M$2)/('минимумы и максимумы'!M$4-'минимумы и максимумы'!M$2)*100)</f>
        <v>66.666666666666657</v>
      </c>
      <c r="P81" s="1">
        <f>IF('исходные данные'!P81&gt;'минимумы и максимумы'!N$4,100,('исходные данные'!P81-'минимумы и максимумы'!N$2)/('минимумы и максимумы'!N$4-'минимумы и максимумы'!N$2)*100)</f>
        <v>0</v>
      </c>
      <c r="Q81" s="1">
        <f>IF('исходные данные'!Q81&gt;'минимумы и максимумы'!O$4,100,('исходные данные'!Q81-'минимумы и максимумы'!O$2)/('минимумы и максимумы'!O$4-'минимумы и максимумы'!O$2)*100)</f>
        <v>0</v>
      </c>
      <c r="R81" s="1">
        <f>IF('исходные данные'!R81&gt;'минимумы и максимумы'!P$4,100,('исходные данные'!R81-'минимумы и максимумы'!P$2)/('минимумы и максимумы'!P$4-'минимумы и максимумы'!P$2)*100)</f>
        <v>75</v>
      </c>
      <c r="S81" s="1">
        <f>IF('исходные данные'!S81&gt;'минимумы и максимумы'!Q$4,100,('исходные данные'!S81-'минимумы и максимумы'!Q$2)/('минимумы и максимумы'!Q$4-'минимумы и максимумы'!Q$2)*100)</f>
        <v>55.555555555555557</v>
      </c>
      <c r="T81" s="1">
        <f>IF('исходные данные'!T81&gt;'минимумы и максимумы'!R$4,100,('исходные данные'!T81-'минимумы и максимумы'!R$2)/('минимумы и максимумы'!R$4-'минимумы и максимумы'!R$2)*100)</f>
        <v>32.479861910241659</v>
      </c>
      <c r="U81" s="1">
        <f>IF('исходные данные'!U81&gt;'минимумы и максимумы'!S$4,100,('исходные данные'!U81-'минимумы и максимумы'!S$2)/('минимумы и максимумы'!S$4-'минимумы и максимумы'!S$2)*100)</f>
        <v>33.333333333333329</v>
      </c>
    </row>
    <row r="82" spans="1:21" x14ac:dyDescent="0.45">
      <c r="A82" s="4">
        <v>139</v>
      </c>
      <c r="B82" s="4">
        <v>0</v>
      </c>
      <c r="C82" s="4">
        <v>0</v>
      </c>
      <c r="D82" s="1">
        <f>IF('исходные данные'!D82&gt;'минимумы и максимумы'!B$4,100,('исходные данные'!D82-'минимумы и максимумы'!B$2)/('минимумы и максимумы'!B$4-'минимумы и максимумы'!B$2)*100)</f>
        <v>37.5</v>
      </c>
      <c r="E82" s="1">
        <f>IF('исходные данные'!E82&gt;'минимумы и максимумы'!C$4,100,('исходные данные'!E82-'минимумы и максимумы'!C$2)/('минимумы и максимумы'!C$4-'минимумы и максимумы'!C$2)*100)</f>
        <v>43.75</v>
      </c>
      <c r="F82" s="1">
        <f>IF('исходные данные'!F82&gt;'минимумы и максимумы'!D$4,100,('исходные данные'!F82-'минимумы и максимумы'!D$2)/('минимумы и максимумы'!D$4-'минимумы и максимумы'!D$2)*100)</f>
        <v>50</v>
      </c>
      <c r="G82" s="1">
        <f>IF('исходные данные'!G82&gt;'минимумы и максимумы'!E$4,100,('исходные данные'!G82-'минимумы и максимумы'!E$2)/('минимумы и максимумы'!E$4-'минимумы и максимумы'!E$2)*100)</f>
        <v>27.027027027027028</v>
      </c>
      <c r="H82" s="1">
        <f>IF('исходные данные'!H82&gt;'минимумы и максимумы'!F$4,100,('исходные данные'!H82-'минимумы и максимумы'!F$2)/('минимумы и максимумы'!F$4-'минимумы и максимумы'!F$2)*100)</f>
        <v>15.789473684210526</v>
      </c>
      <c r="I82" s="1">
        <f>IF('исходные данные'!I82&gt;'минимумы и максимумы'!G$4,100,('исходные данные'!I82-'минимумы и максимумы'!G$2)/('минимумы и максимумы'!G$4-'минимумы и максимумы'!G$2)*100)</f>
        <v>27.710843373493976</v>
      </c>
      <c r="J82" s="1">
        <f>IF('исходные данные'!J82&gt;'минимумы и максимумы'!H$4,100,('исходные данные'!J82-'минимумы и максимумы'!H$2)/('минимумы и максимумы'!H$4-'минимумы и максимумы'!H$2)*100)</f>
        <v>16.666666666666664</v>
      </c>
      <c r="K82" s="1">
        <f>IF('исходные данные'!K82&gt;'минимумы и максимумы'!I$4,100,('исходные данные'!K82-'минимумы и максимумы'!I$2)/('минимумы и максимумы'!I$4-'минимумы и максимумы'!I$2)*100)</f>
        <v>14.285714285714285</v>
      </c>
      <c r="L82" s="1">
        <f>IF('исходные данные'!L82&gt;'минимумы и максимумы'!J$4,100,('исходные данные'!L82-'минимумы и максимумы'!J$2)/('минимумы и максимумы'!J$4-'минимумы и максимумы'!J$2)*100)</f>
        <v>50</v>
      </c>
      <c r="M82" s="1">
        <f>IF('исходные данные'!M82&gt;'минимумы и максимумы'!K$4,100,('исходные данные'!M82-'минимумы и максимумы'!K$2)/('минимумы и максимумы'!K$4-'минимумы и максимумы'!K$2)*100)</f>
        <v>23.404255319148938</v>
      </c>
      <c r="N82" s="1">
        <f>IF('исходные данные'!N82&gt;'минимумы и максимумы'!L$4,100,('исходные данные'!N82-'минимумы и максимумы'!L$2)/('минимумы и максимумы'!L$4-'минимумы и максимумы'!L$2)*100)</f>
        <v>11.843128879788384</v>
      </c>
      <c r="O82" s="1">
        <f>IF('исходные данные'!O82&gt;'минимумы и максимумы'!M$4,100,('исходные данные'!O82-'минимумы и максимумы'!M$2)/('минимумы и максимумы'!M$4-'минимумы и максимумы'!M$2)*100)</f>
        <v>100</v>
      </c>
      <c r="P82" s="1">
        <f>IF('исходные данные'!P82&gt;'минимумы и максимумы'!N$4,100,('исходные данные'!P82-'минимумы и максимумы'!N$2)/('минимумы и максимумы'!N$4-'минимумы и максимумы'!N$2)*100)</f>
        <v>0</v>
      </c>
      <c r="Q82" s="1">
        <f>IF('исходные данные'!Q82&gt;'минимумы и максимумы'!O$4,100,('исходные данные'!Q82-'минимумы и максимумы'!O$2)/('минимумы и максимумы'!O$4-'минимумы и максимумы'!O$2)*100)</f>
        <v>100</v>
      </c>
      <c r="R82" s="1">
        <f>IF('исходные данные'!R82&gt;'минимумы и максимумы'!P$4,100,('исходные данные'!R82-'минимумы и максимумы'!P$2)/('минимумы и максимумы'!P$4-'минимумы и максимумы'!P$2)*100)</f>
        <v>100</v>
      </c>
      <c r="S82" s="1">
        <f>IF('исходные данные'!S82&gt;'минимумы и максимумы'!Q$4,100,('исходные данные'!S82-'минимумы и максимумы'!Q$2)/('минимумы и максимумы'!Q$4-'минимумы и максимумы'!Q$2)*100)</f>
        <v>22.222222222222221</v>
      </c>
      <c r="T82" s="1">
        <f>IF('исходные данные'!T82&gt;'минимумы и максимумы'!R$4,100,('исходные данные'!T82-'минимумы и максимумы'!R$2)/('минимумы и максимумы'!R$4-'минимумы и максимумы'!R$2)*100)</f>
        <v>22.094361334867664</v>
      </c>
      <c r="U82" s="1">
        <f>IF('исходные данные'!U82&gt;'минимумы и максимумы'!S$4,100,('исходные данные'!U82-'минимумы и максимумы'!S$2)/('минимумы и максимумы'!S$4-'минимумы и максимумы'!S$2)*100)</f>
        <v>0</v>
      </c>
    </row>
    <row r="83" spans="1:21" x14ac:dyDescent="0.45">
      <c r="A83" s="4">
        <v>140</v>
      </c>
      <c r="B83" s="4">
        <v>0</v>
      </c>
      <c r="C83" s="4">
        <v>0</v>
      </c>
      <c r="D83" s="1">
        <f>IF('исходные данные'!D83&gt;'минимумы и максимумы'!B$4,100,('исходные данные'!D83-'минимумы и максимумы'!B$2)/('минимумы и максимумы'!B$4-'минимумы и максимумы'!B$2)*100)</f>
        <v>37.5</v>
      </c>
      <c r="E83" s="1">
        <f>IF('исходные данные'!E83&gt;'минимумы и максимумы'!C$4,100,('исходные данные'!E83-'минимумы и максимумы'!C$2)/('минимумы и максимумы'!C$4-'минимумы и максимумы'!C$2)*100)</f>
        <v>43.75</v>
      </c>
      <c r="F83" s="1">
        <f>IF('исходные данные'!F83&gt;'минимумы и максимумы'!D$4,100,('исходные данные'!F83-'минимумы и максимумы'!D$2)/('минимумы и максимумы'!D$4-'минимумы и максимумы'!D$2)*100)</f>
        <v>50</v>
      </c>
      <c r="G83" s="1">
        <f>IF('исходные данные'!G83&gt;'минимумы и максимумы'!E$4,100,('исходные данные'!G83-'минимумы и максимумы'!E$2)/('минимумы и максимумы'!E$4-'минимумы и максимумы'!E$2)*100)</f>
        <v>27.027027027027028</v>
      </c>
      <c r="H83" s="1">
        <f>IF('исходные данные'!H83&gt;'минимумы и максимумы'!F$4,100,('исходные данные'!H83-'минимумы и максимумы'!F$2)/('минимумы и максимумы'!F$4-'минимумы и максимумы'!F$2)*100)</f>
        <v>15.789473684210526</v>
      </c>
      <c r="I83" s="1">
        <f>IF('исходные данные'!I83&gt;'минимумы и максимумы'!G$4,100,('исходные данные'!I83-'минимумы и максимумы'!G$2)/('минимумы и максимумы'!G$4-'минимумы и максимумы'!G$2)*100)</f>
        <v>27.710843373493976</v>
      </c>
      <c r="J83" s="1">
        <f>IF('исходные данные'!J83&gt;'минимумы и максимумы'!H$4,100,('исходные данные'!J83-'минимумы и максимумы'!H$2)/('минимумы и максимумы'!H$4-'минимумы и максимумы'!H$2)*100)</f>
        <v>16.666666666666664</v>
      </c>
      <c r="K83" s="1">
        <f>IF('исходные данные'!K83&gt;'минимумы и максимумы'!I$4,100,('исходные данные'!K83-'минимумы и максимумы'!I$2)/('минимумы и максимумы'!I$4-'минимумы и максимумы'!I$2)*100)</f>
        <v>14.285714285714285</v>
      </c>
      <c r="L83" s="1">
        <f>IF('исходные данные'!L83&gt;'минимумы и максимумы'!J$4,100,('исходные данные'!L83-'минимумы и максимумы'!J$2)/('минимумы и максимумы'!J$4-'минимумы и максимумы'!J$2)*100)</f>
        <v>50</v>
      </c>
      <c r="M83" s="1">
        <f>IF('исходные данные'!M83&gt;'минимумы и максимумы'!K$4,100,('исходные данные'!M83-'минимумы и максимумы'!K$2)/('минимумы и максимумы'!K$4-'минимумы и максимумы'!K$2)*100)</f>
        <v>23.404255319148938</v>
      </c>
      <c r="N83" s="1">
        <f>IF('исходные данные'!N83&gt;'минимумы и максимумы'!L$4,100,('исходные данные'!N83-'минимумы и максимумы'!L$2)/('минимумы и максимумы'!L$4-'минимумы и максимумы'!L$2)*100)</f>
        <v>12.145756724571037</v>
      </c>
      <c r="O83" s="1">
        <f>IF('исходные данные'!O83&gt;'минимумы и максимумы'!M$4,100,('исходные данные'!O83-'минимумы и максимумы'!M$2)/('минимумы и максимумы'!M$4-'минимумы и максимумы'!M$2)*100)</f>
        <v>66.666666666666657</v>
      </c>
      <c r="P83" s="1">
        <f>IF('исходные данные'!P83&gt;'минимумы и максимумы'!N$4,100,('исходные данные'!P83-'минимумы и максимумы'!N$2)/('минимумы и максимумы'!N$4-'минимумы и максимумы'!N$2)*100)</f>
        <v>0</v>
      </c>
      <c r="Q83" s="1">
        <f>IF('исходные данные'!Q83&gt;'минимумы и максимумы'!O$4,100,('исходные данные'!Q83-'минимумы и максимумы'!O$2)/('минимумы и максимумы'!O$4-'минимумы и максимумы'!O$2)*100)</f>
        <v>100</v>
      </c>
      <c r="R83" s="1">
        <f>IF('исходные данные'!R83&gt;'минимумы и максимумы'!P$4,100,('исходные данные'!R83-'минимумы и максимумы'!P$2)/('минимумы и максимумы'!P$4-'минимумы и максимумы'!P$2)*100)</f>
        <v>75</v>
      </c>
      <c r="S83" s="1">
        <f>IF('исходные данные'!S83&gt;'минимумы и максимумы'!Q$4,100,('исходные данные'!S83-'минимумы и максимумы'!Q$2)/('минимумы и максимумы'!Q$4-'минимумы и максимумы'!Q$2)*100)</f>
        <v>11.111111111111111</v>
      </c>
      <c r="T83" s="1">
        <f>IF('исходные данные'!T83&gt;'минимумы и максимумы'!R$4,100,('исходные данные'!T83-'минимумы и максимумы'!R$2)/('минимумы и максимумы'!R$4-'минимумы и максимумы'!R$2)*100)</f>
        <v>44.99424626006904</v>
      </c>
      <c r="U83" s="1">
        <f>IF('исходные данные'!U83&gt;'минимумы и максимумы'!S$4,100,('исходные данные'!U83-'минимумы и максимумы'!S$2)/('минимумы и максимумы'!S$4-'минимумы и максимумы'!S$2)*100)</f>
        <v>66.666666666666657</v>
      </c>
    </row>
    <row r="84" spans="1:21" x14ac:dyDescent="0.45">
      <c r="A84" s="4">
        <v>141</v>
      </c>
      <c r="B84" s="4">
        <v>0</v>
      </c>
      <c r="C84" s="4">
        <v>0</v>
      </c>
      <c r="D84" s="1">
        <f>IF('исходные данные'!D84&gt;'минимумы и максимумы'!B$4,100,('исходные данные'!D84-'минимумы и максимумы'!B$2)/('минимумы и максимумы'!B$4-'минимумы и максимумы'!B$2)*100)</f>
        <v>62.5</v>
      </c>
      <c r="E84" s="1">
        <f>IF('исходные данные'!E84&gt;'минимумы и максимумы'!C$4,100,('исходные данные'!E84-'минимумы и максимумы'!C$2)/('минимумы и максимумы'!C$4-'минимумы и максимумы'!C$2)*100)</f>
        <v>56.25</v>
      </c>
      <c r="F84" s="1">
        <f>IF('исходные данные'!F84&gt;'минимумы и максимумы'!D$4,100,('исходные данные'!F84-'минимумы и максимумы'!D$2)/('минимумы и максимумы'!D$4-'минимумы и максимумы'!D$2)*100)</f>
        <v>0</v>
      </c>
      <c r="G84" s="1">
        <f>IF('исходные данные'!G84&gt;'минимумы и максимумы'!E$4,100,('исходные данные'!G84-'минимумы и максимумы'!E$2)/('минимумы и максимумы'!E$4-'минимумы и максимумы'!E$2)*100)</f>
        <v>35.135135135135137</v>
      </c>
      <c r="H84" s="1">
        <f>IF('исходные данные'!H84&gt;'минимумы и максимумы'!F$4,100,('исходные данные'!H84-'минимумы и максимумы'!F$2)/('минимумы и максимумы'!F$4-'минимумы и максимумы'!F$2)*100)</f>
        <v>34.210526315789473</v>
      </c>
      <c r="I84" s="1">
        <f>IF('исходные данные'!I84&gt;'минимумы и максимумы'!G$4,100,('исходные данные'!I84-'минимумы и максимумы'!G$2)/('минимумы и максимумы'!G$4-'минимумы и максимумы'!G$2)*100)</f>
        <v>32.53012048192771</v>
      </c>
      <c r="J84" s="1">
        <f>IF('исходные данные'!J84&gt;'минимумы и максимумы'!H$4,100,('исходные данные'!J84-'минимумы и максимумы'!H$2)/('минимумы и максимумы'!H$4-'минимумы и максимумы'!H$2)*100)</f>
        <v>33.333333333333329</v>
      </c>
      <c r="K84" s="1">
        <f>IF('исходные данные'!K84&gt;'минимумы и максимумы'!I$4,100,('исходные данные'!K84-'минимумы и максимумы'!I$2)/('минимумы и максимумы'!I$4-'минимумы и максимумы'!I$2)*100)</f>
        <v>10.714285714285714</v>
      </c>
      <c r="L84" s="1">
        <f>IF('исходные данные'!L84&gt;'минимумы и максимумы'!J$4,100,('исходные данные'!L84-'минимумы и максимумы'!J$2)/('минимумы и максимумы'!J$4-'минимумы и максимумы'!J$2)*100)</f>
        <v>37.5</v>
      </c>
      <c r="M84" s="1">
        <f>IF('исходные данные'!M84&gt;'минимумы и максимумы'!K$4,100,('исходные данные'!M84-'минимумы и максимумы'!K$2)/('минимумы и максимумы'!K$4-'минимумы и максимумы'!K$2)*100)</f>
        <v>23.404255319148938</v>
      </c>
      <c r="N84" s="1">
        <f>IF('исходные данные'!N84&gt;'минимумы и максимумы'!L$4,100,('исходные данные'!N84-'минимумы и максимумы'!L$2)/('минимумы и максимумы'!L$4-'минимумы и максимумы'!L$2)*100)</f>
        <v>11.231557766618899</v>
      </c>
      <c r="O84" s="1">
        <f>IF('исходные данные'!O84&gt;'минимумы и максимумы'!M$4,100,('исходные данные'!O84-'минимумы и максимумы'!M$2)/('минимумы и максимумы'!M$4-'минимумы и максимумы'!M$2)*100)</f>
        <v>100</v>
      </c>
      <c r="P84" s="1">
        <f>IF('исходные данные'!P84&gt;'минимумы и максимумы'!N$4,100,('исходные данные'!P84-'минимумы и максимумы'!N$2)/('минимумы и максимумы'!N$4-'минимумы и максимумы'!N$2)*100)</f>
        <v>100</v>
      </c>
      <c r="Q84" s="1">
        <f>IF('исходные данные'!Q84&gt;'минимумы и максимумы'!O$4,100,('исходные данные'!Q84-'минимумы и максимумы'!O$2)/('минимумы и максимумы'!O$4-'минимумы и максимумы'!O$2)*100)</f>
        <v>100</v>
      </c>
      <c r="R84" s="1">
        <f>IF('исходные данные'!R84&gt;'минимумы и максимумы'!P$4,100,('исходные данные'!R84-'минимумы и максимумы'!P$2)/('минимумы и максимумы'!P$4-'минимумы и максимумы'!P$2)*100)</f>
        <v>100</v>
      </c>
      <c r="S84" s="1">
        <f>IF('исходные данные'!S84&gt;'минимумы и максимумы'!Q$4,100,('исходные данные'!S84-'минимумы и максимумы'!Q$2)/('минимумы и максимумы'!Q$4-'минимумы и максимумы'!Q$2)*100)</f>
        <v>33.333333333333329</v>
      </c>
      <c r="T84" s="1">
        <f>IF('исходные данные'!T84&gt;'минимумы и максимумы'!R$4,100,('исходные данные'!T84-'минимумы и максимумы'!R$2)/('минимумы и максимумы'!R$4-'минимумы и максимумы'!R$2)*100)</f>
        <v>28.624856156501728</v>
      </c>
      <c r="U84" s="1">
        <f>IF('исходные данные'!U84&gt;'минимумы и максимумы'!S$4,100,('исходные данные'!U84-'минимумы и максимумы'!S$2)/('минимумы и максимумы'!S$4-'минимумы и максимумы'!S$2)*100)</f>
        <v>0</v>
      </c>
    </row>
    <row r="85" spans="1:21" x14ac:dyDescent="0.45">
      <c r="A85" s="4">
        <v>142</v>
      </c>
      <c r="B85" s="4">
        <v>0</v>
      </c>
      <c r="C85" s="4">
        <v>0</v>
      </c>
      <c r="D85" s="1">
        <f>IF('исходные данные'!D85&gt;'минимумы и максимумы'!B$4,100,('исходные данные'!D85-'минимумы и максимумы'!B$2)/('минимумы и максимумы'!B$4-'минимумы и максимумы'!B$2)*100)</f>
        <v>37.5</v>
      </c>
      <c r="E85" s="1">
        <f>IF('исходные данные'!E85&gt;'минимумы и максимумы'!C$4,100,('исходные данные'!E85-'минимумы и максимумы'!C$2)/('минимумы и максимумы'!C$4-'минимумы и максимумы'!C$2)*100)</f>
        <v>37.5</v>
      </c>
      <c r="F85" s="1">
        <f>IF('исходные данные'!F85&gt;'минимумы и максимумы'!D$4,100,('исходные данные'!F85-'минимумы и максимумы'!D$2)/('минимумы и максимумы'!D$4-'минимумы и максимумы'!D$2)*100)</f>
        <v>25</v>
      </c>
      <c r="G85" s="1">
        <f>IF('исходные данные'!G85&gt;'минимумы и максимумы'!E$4,100,('исходные данные'!G85-'минимумы и максимумы'!E$2)/('минимумы и максимумы'!E$4-'минимумы и максимумы'!E$2)*100)</f>
        <v>24.324324324324326</v>
      </c>
      <c r="H85" s="1">
        <f>IF('исходные данные'!H85&gt;'минимумы и максимумы'!F$4,100,('исходные данные'!H85-'минимумы и максимумы'!F$2)/('минимумы и максимумы'!F$4-'минимумы и максимумы'!F$2)*100)</f>
        <v>28.947368421052634</v>
      </c>
      <c r="I85" s="1">
        <f>IF('исходные данные'!I85&gt;'минимумы и максимумы'!G$4,100,('исходные данные'!I85-'минимумы и максимумы'!G$2)/('минимумы и максимумы'!G$4-'минимумы и максимумы'!G$2)*100)</f>
        <v>24.096385542168676</v>
      </c>
      <c r="J85" s="1">
        <f>IF('исходные данные'!J85&gt;'минимумы и максимумы'!H$4,100,('исходные данные'!J85-'минимумы и максимумы'!H$2)/('минимумы и максимумы'!H$4-'минимумы и максимумы'!H$2)*100)</f>
        <v>20.833333333333336</v>
      </c>
      <c r="K85" s="1">
        <f>IF('исходные данные'!K85&gt;'минимумы и максимумы'!I$4,100,('исходные данные'!K85-'минимумы и максимумы'!I$2)/('минимумы и максимумы'!I$4-'минимумы и максимумы'!I$2)*100)</f>
        <v>28.571428571428569</v>
      </c>
      <c r="L85" s="1">
        <f>IF('исходные данные'!L85&gt;'минимумы и максимумы'!J$4,100,('исходные данные'!L85-'минимумы и максимумы'!J$2)/('минимумы и максимумы'!J$4-'минимумы и максимумы'!J$2)*100)</f>
        <v>37.5</v>
      </c>
      <c r="M85" s="1">
        <f>IF('исходные данные'!M85&gt;'минимумы и максимумы'!K$4,100,('исходные данные'!M85-'минимумы и максимумы'!K$2)/('минимумы и максимумы'!K$4-'минимумы и максимумы'!K$2)*100)</f>
        <v>27.659574468085108</v>
      </c>
      <c r="N85" s="1">
        <f>IF('исходные данные'!N85&gt;'минимумы и максимумы'!L$4,100,('исходные данные'!N85-'минимумы и максимумы'!L$2)/('минимумы и максимумы'!L$4-'минимумы и максимумы'!L$2)*100)</f>
        <v>11.334732850059128</v>
      </c>
      <c r="O85" s="1">
        <f>IF('исходные данные'!O85&gt;'минимумы и максимумы'!M$4,100,('исходные данные'!O85-'минимумы и максимумы'!M$2)/('минимумы и максимумы'!M$4-'минимумы и максимумы'!M$2)*100)</f>
        <v>100</v>
      </c>
      <c r="P85" s="1">
        <f>IF('исходные данные'!P85&gt;'минимумы и максимумы'!N$4,100,('исходные данные'!P85-'минимумы и максимумы'!N$2)/('минимумы и максимумы'!N$4-'минимумы и максимумы'!N$2)*100)</f>
        <v>0</v>
      </c>
      <c r="Q85" s="1">
        <f>IF('исходные данные'!Q85&gt;'минимумы и максимумы'!O$4,100,('исходные данные'!Q85-'минимумы и максимумы'!O$2)/('минимумы и максимумы'!O$4-'минимумы и максимумы'!O$2)*100)</f>
        <v>100</v>
      </c>
      <c r="R85" s="1">
        <f>IF('исходные данные'!R85&gt;'минимумы и максимумы'!P$4,100,('исходные данные'!R85-'минимумы и максимумы'!P$2)/('минимумы и максимумы'!P$4-'минимумы и максимумы'!P$2)*100)</f>
        <v>100</v>
      </c>
      <c r="S85" s="1">
        <f>IF('исходные данные'!S85&gt;'минимумы и максимумы'!Q$4,100,('исходные данные'!S85-'минимумы и максимумы'!Q$2)/('минимумы и максимумы'!Q$4-'минимумы и максимумы'!Q$2)*100)</f>
        <v>55.555555555555557</v>
      </c>
      <c r="T85" s="1">
        <f>IF('исходные данные'!T85&gt;'минимумы и максимумы'!R$4,100,('исходные данные'!T85-'минимумы и максимумы'!R$2)/('минимумы и максимумы'!R$4-'минимумы и максимумы'!R$2)*100)</f>
        <v>17.433831990794015</v>
      </c>
      <c r="U85" s="1">
        <f>IF('исходные данные'!U85&gt;'минимумы и максимумы'!S$4,100,('исходные данные'!U85-'минимумы и максимумы'!S$2)/('минимумы и максимумы'!S$4-'минимумы и максимумы'!S$2)*100)</f>
        <v>66.666666666666657</v>
      </c>
    </row>
    <row r="86" spans="1:21" x14ac:dyDescent="0.45">
      <c r="A86" s="4">
        <v>143</v>
      </c>
      <c r="B86" s="4">
        <v>0</v>
      </c>
      <c r="C86" s="4">
        <v>0</v>
      </c>
      <c r="D86" s="1">
        <f>IF('исходные данные'!D86&gt;'минимумы и максимумы'!B$4,100,('исходные данные'!D86-'минимумы и максимумы'!B$2)/('минимумы и максимумы'!B$4-'минимумы и максимумы'!B$2)*100)</f>
        <v>62.5</v>
      </c>
      <c r="E86" s="1">
        <f>IF('исходные данные'!E86&gt;'минимумы и максимумы'!C$4,100,('исходные данные'!E86-'минимумы и максимумы'!C$2)/('минимумы и максимумы'!C$4-'минимумы и максимумы'!C$2)*100)</f>
        <v>75</v>
      </c>
      <c r="F86" s="1">
        <f>IF('исходные данные'!F86&gt;'минимумы и максимумы'!D$4,100,('исходные данные'!F86-'минимумы и максимумы'!D$2)/('минимумы и максимумы'!D$4-'минимумы и максимумы'!D$2)*100)</f>
        <v>0</v>
      </c>
      <c r="G86" s="1">
        <f>IF('исходные данные'!G86&gt;'минимумы и максимумы'!E$4,100,('исходные данные'!G86-'минимумы и максимумы'!E$2)/('минимумы и максимумы'!E$4-'минимумы и максимумы'!E$2)*100)</f>
        <v>56.756756756756758</v>
      </c>
      <c r="H86" s="1">
        <f>IF('исходные данные'!H86&gt;'минимумы и максимумы'!F$4,100,('исходные данные'!H86-'минимумы и максимумы'!F$2)/('минимумы и максимумы'!F$4-'минимумы и максимумы'!F$2)*100)</f>
        <v>36.84210526315789</v>
      </c>
      <c r="I86" s="1">
        <f>IF('исходные данные'!I86&gt;'минимумы и максимумы'!G$4,100,('исходные данные'!I86-'минимумы и максимумы'!G$2)/('минимумы и максимумы'!G$4-'минимумы и максимумы'!G$2)*100)</f>
        <v>59.036144578313255</v>
      </c>
      <c r="J86" s="1">
        <f>IF('исходные данные'!J86&gt;'минимумы и максимумы'!H$4,100,('исходные данные'!J86-'минимумы и максимумы'!H$2)/('минимумы и максимумы'!H$4-'минимумы и максимумы'!H$2)*100)</f>
        <v>100</v>
      </c>
      <c r="K86" s="1">
        <f>IF('исходные данные'!K86&gt;'минимумы и максимумы'!I$4,100,('исходные данные'!K86-'минимумы и максимумы'!I$2)/('минимумы и максимумы'!I$4-'минимумы и максимумы'!I$2)*100)</f>
        <v>21.428571428571427</v>
      </c>
      <c r="L86" s="1">
        <f>IF('исходные данные'!L86&gt;'минимумы и максимумы'!J$4,100,('исходные данные'!L86-'минимумы и максимумы'!J$2)/('минимумы и максимумы'!J$4-'минимумы и максимумы'!J$2)*100)</f>
        <v>50</v>
      </c>
      <c r="M86" s="1">
        <f>IF('исходные данные'!M86&gt;'минимумы и максимумы'!K$4,100,('исходные данные'!M86-'минимумы и максимумы'!K$2)/('минимумы и максимумы'!K$4-'минимумы и максимумы'!K$2)*100)</f>
        <v>25.531914893617021</v>
      </c>
      <c r="N86" s="1">
        <f>IF('исходные данные'!N86&gt;'минимумы и максимумы'!L$4,100,('исходные данные'!N86-'минимумы и максимумы'!L$2)/('минимумы и максимумы'!L$4-'минимумы и максимумы'!L$2)*100)</f>
        <v>9.9886022709460001</v>
      </c>
      <c r="O86" s="1">
        <f>IF('исходные данные'!O86&gt;'минимумы и максимумы'!M$4,100,('исходные данные'!O86-'минимумы и максимумы'!M$2)/('минимумы и максимумы'!M$4-'минимумы и максимумы'!M$2)*100)</f>
        <v>100</v>
      </c>
      <c r="P86" s="1">
        <f>IF('исходные данные'!P86&gt;'минимумы и максимумы'!N$4,100,('исходные данные'!P86-'минимумы и максимумы'!N$2)/('минимумы и максимумы'!N$4-'минимумы и максимумы'!N$2)*100)</f>
        <v>0</v>
      </c>
      <c r="Q86" s="1">
        <f>IF('исходные данные'!Q86&gt;'минимумы и максимумы'!O$4,100,('исходные данные'!Q86-'минимумы и максимумы'!O$2)/('минимумы и максимумы'!O$4-'минимумы и максимумы'!O$2)*100)</f>
        <v>100</v>
      </c>
      <c r="R86" s="1">
        <f>IF('исходные данные'!R86&gt;'минимумы и максимумы'!P$4,100,('исходные данные'!R86-'минимумы и максимумы'!P$2)/('минимумы и максимумы'!P$4-'минимумы и максимумы'!P$2)*100)</f>
        <v>100</v>
      </c>
      <c r="S86" s="1">
        <f>IF('исходные данные'!S86&gt;'минимумы и максимумы'!Q$4,100,('исходные данные'!S86-'минимумы и максимумы'!Q$2)/('минимумы и максимумы'!Q$4-'минимумы и максимумы'!Q$2)*100)</f>
        <v>44.444444444444443</v>
      </c>
      <c r="T86" s="1">
        <f>IF('исходные данные'!T86&gt;'минимумы и максимумы'!R$4,100,('исходные данные'!T86-'минимумы и максимумы'!R$2)/('минимумы и максимумы'!R$4-'минимумы и максимумы'!R$2)*100)</f>
        <v>8.57307249712313</v>
      </c>
      <c r="U86" s="1">
        <f>IF('исходные данные'!U86&gt;'минимумы и максимумы'!S$4,100,('исходные данные'!U86-'минимумы и максимумы'!S$2)/('минимумы и максимумы'!S$4-'минимумы и максимумы'!S$2)*100)</f>
        <v>0</v>
      </c>
    </row>
    <row r="87" spans="1:21" x14ac:dyDescent="0.45">
      <c r="A87" s="4">
        <v>144</v>
      </c>
      <c r="B87" s="4">
        <v>0</v>
      </c>
      <c r="C87" s="4">
        <v>0</v>
      </c>
      <c r="D87" s="1">
        <f>IF('исходные данные'!D87&gt;'минимумы и максимумы'!B$4,100,('исходные данные'!D87-'минимумы и максимумы'!B$2)/('минимумы и максимумы'!B$4-'минимумы и максимумы'!B$2)*100)</f>
        <v>50</v>
      </c>
      <c r="E87" s="1">
        <f>IF('исходные данные'!E87&gt;'минимумы и максимумы'!C$4,100,('исходные данные'!E87-'минимумы и максимумы'!C$2)/('минимумы и максимумы'!C$4-'минимумы и максимумы'!C$2)*100)</f>
        <v>43.75</v>
      </c>
      <c r="F87" s="1">
        <f>IF('исходные данные'!F87&gt;'минимумы и максимумы'!D$4,100,('исходные данные'!F87-'минимумы и максимумы'!D$2)/('минимумы и максимумы'!D$4-'минимумы и максимумы'!D$2)*100)</f>
        <v>25</v>
      </c>
      <c r="G87" s="1">
        <f>IF('исходные данные'!G87&gt;'минимумы и максимумы'!E$4,100,('исходные данные'!G87-'минимумы и максимумы'!E$2)/('минимумы и максимумы'!E$4-'минимумы и максимумы'!E$2)*100)</f>
        <v>18.918918918918919</v>
      </c>
      <c r="H87" s="1">
        <f>IF('исходные данные'!H87&gt;'минимумы и максимумы'!F$4,100,('исходные данные'!H87-'минимумы и максимумы'!F$2)/('минимумы и максимумы'!F$4-'минимумы и максимумы'!F$2)*100)</f>
        <v>31.578947368421051</v>
      </c>
      <c r="I87" s="1">
        <f>IF('исходные данные'!I87&gt;'минимумы и максимумы'!G$4,100,('исходные данные'!I87-'минимумы и максимумы'!G$2)/('минимумы и максимумы'!G$4-'минимумы и максимумы'!G$2)*100)</f>
        <v>18.072289156626507</v>
      </c>
      <c r="J87" s="1">
        <f>IF('исходные данные'!J87&gt;'минимумы и максимумы'!H$4,100,('исходные данные'!J87-'минимумы и максимумы'!H$2)/('минимумы и максимумы'!H$4-'минимумы и максимумы'!H$2)*100)</f>
        <v>12.5</v>
      </c>
      <c r="K87" s="1">
        <f>IF('исходные данные'!K87&gt;'минимумы и максимумы'!I$4,100,('исходные данные'!K87-'минимумы и максимумы'!I$2)/('минимумы и максимумы'!I$4-'минимумы и максимумы'!I$2)*100)</f>
        <v>28.571428571428569</v>
      </c>
      <c r="L87" s="1">
        <f>IF('исходные данные'!L87&gt;'минимумы и максимумы'!J$4,100,('исходные данные'!L87-'минимумы и максимумы'!J$2)/('минимумы и максимумы'!J$4-'минимумы и максимумы'!J$2)*100)</f>
        <v>25</v>
      </c>
      <c r="M87" s="1">
        <f>IF('исходные данные'!M87&gt;'минимумы и максимумы'!K$4,100,('исходные данные'!M87-'минимумы и максимумы'!K$2)/('минимумы и максимумы'!K$4-'минимумы и максимумы'!K$2)*100)</f>
        <v>25.531914893617021</v>
      </c>
      <c r="N87" s="1">
        <f>IF('исходные данные'!N87&gt;'минимумы и максимумы'!L$4,100,('исходные данные'!N87-'минимумы и максимумы'!L$2)/('минимумы и максимумы'!L$4-'минимумы и максимумы'!L$2)*100)</f>
        <v>12.016318325313588</v>
      </c>
      <c r="O87" s="1">
        <f>IF('исходные данные'!O87&gt;'минимумы и максимумы'!M$4,100,('исходные данные'!O87-'минимумы и максимумы'!M$2)/('минимумы и максимумы'!M$4-'минимумы и максимумы'!M$2)*100)</f>
        <v>33.333333333333329</v>
      </c>
      <c r="P87" s="1">
        <f>IF('исходные данные'!P87&gt;'минимумы и максимумы'!N$4,100,('исходные данные'!P87-'минимумы и максимумы'!N$2)/('минимумы и максимумы'!N$4-'минимумы и максимумы'!N$2)*100)</f>
        <v>0</v>
      </c>
      <c r="Q87" s="1">
        <f>IF('исходные данные'!Q87&gt;'минимумы и максимумы'!O$4,100,('исходные данные'!Q87-'минимумы и максимумы'!O$2)/('минимумы и максимумы'!O$4-'минимумы и максимумы'!O$2)*100)</f>
        <v>0</v>
      </c>
      <c r="R87" s="1">
        <f>IF('исходные данные'!R87&gt;'минимумы и максимумы'!P$4,100,('исходные данные'!R87-'минимумы и максимумы'!P$2)/('минимумы и максимумы'!P$4-'минимумы и максимумы'!P$2)*100)</f>
        <v>75</v>
      </c>
      <c r="S87" s="1">
        <f>IF('исходные данные'!S87&gt;'минимумы и максимумы'!Q$4,100,('исходные данные'!S87-'минимумы и максимумы'!Q$2)/('минимумы и максимумы'!Q$4-'минимумы и максимумы'!Q$2)*100)</f>
        <v>22.222222222222221</v>
      </c>
      <c r="T87" s="1">
        <f>IF('исходные данные'!T87&gt;'минимумы и максимумы'!R$4,100,('исходные данные'!T87-'минимумы и максимумы'!R$2)/('минимумы и максимумы'!R$4-'минимумы и максимумы'!R$2)*100)</f>
        <v>13.377445339470656</v>
      </c>
      <c r="U87" s="1">
        <f>IF('исходные данные'!U87&gt;'минимумы и максимумы'!S$4,100,('исходные данные'!U87-'минимумы и максимумы'!S$2)/('минимумы и максимумы'!S$4-'минимумы и максимумы'!S$2)*100)</f>
        <v>66.666666666666657</v>
      </c>
    </row>
    <row r="88" spans="1:21" x14ac:dyDescent="0.45">
      <c r="A88" s="4">
        <v>145</v>
      </c>
      <c r="B88" s="4">
        <v>0</v>
      </c>
      <c r="C88" s="4">
        <v>0</v>
      </c>
      <c r="D88" s="1">
        <f>IF('исходные данные'!D88&gt;'минимумы и максимумы'!B$4,100,('исходные данные'!D88-'минимумы и максимумы'!B$2)/('минимумы и максимумы'!B$4-'минимумы и максимумы'!B$2)*100)</f>
        <v>50</v>
      </c>
      <c r="E88" s="1">
        <f>IF('исходные данные'!E88&gt;'минимумы и максимумы'!C$4,100,('исходные данные'!E88-'минимумы и максимумы'!C$2)/('минимумы и максимумы'!C$4-'минимумы и максимумы'!C$2)*100)</f>
        <v>56.25</v>
      </c>
      <c r="F88" s="1">
        <f>IF('исходные данные'!F88&gt;'минимумы и максимумы'!D$4,100,('исходные данные'!F88-'минимумы и максимумы'!D$2)/('минимумы и максимумы'!D$4-'минимумы и максимумы'!D$2)*100)</f>
        <v>25</v>
      </c>
      <c r="G88" s="1">
        <f>IF('исходные данные'!G88&gt;'минимумы и максимумы'!E$4,100,('исходные данные'!G88-'минимумы и максимумы'!E$2)/('минимумы и максимумы'!E$4-'минимумы и максимумы'!E$2)*100)</f>
        <v>27.027027027027028</v>
      </c>
      <c r="H88" s="1">
        <f>IF('исходные данные'!H88&gt;'минимумы и максимумы'!F$4,100,('исходные данные'!H88-'минимумы и максимумы'!F$2)/('минимумы и максимумы'!F$4-'минимумы и максимумы'!F$2)*100)</f>
        <v>34.210526315789473</v>
      </c>
      <c r="I88" s="1">
        <f>IF('исходные данные'!I88&gt;'минимумы и максимумы'!G$4,100,('исходные данные'!I88-'минимумы и максимумы'!G$2)/('минимумы и максимумы'!G$4-'минимумы и максимумы'!G$2)*100)</f>
        <v>21.686746987951807</v>
      </c>
      <c r="J88" s="1">
        <f>IF('исходные данные'!J88&gt;'минимумы и максимумы'!H$4,100,('исходные данные'!J88-'минимумы и максимумы'!H$2)/('минимумы и максимумы'!H$4-'минимумы и максимумы'!H$2)*100)</f>
        <v>16.666666666666664</v>
      </c>
      <c r="K88" s="1">
        <f>IF('исходные данные'!K88&gt;'минимумы и максимумы'!I$4,100,('исходные данные'!K88-'минимумы и максимумы'!I$2)/('минимумы и максимумы'!I$4-'минимумы и максимумы'!I$2)*100)</f>
        <v>25</v>
      </c>
      <c r="L88" s="1">
        <f>IF('исходные данные'!L88&gt;'минимумы и максимумы'!J$4,100,('исходные данные'!L88-'минимумы и максимумы'!J$2)/('минимумы и максимумы'!J$4-'минимумы и максимумы'!J$2)*100)</f>
        <v>12.5</v>
      </c>
      <c r="M88" s="1">
        <f>IF('исходные данные'!M88&gt;'минимумы и максимумы'!K$4,100,('исходные данные'!M88-'минимумы и максимумы'!K$2)/('минимумы и максимумы'!K$4-'минимумы и максимумы'!K$2)*100)</f>
        <v>29.787234042553191</v>
      </c>
      <c r="N88" s="1">
        <f>IF('исходные данные'!N88&gt;'минимумы и максимумы'!L$4,100,('исходные данные'!N88-'минимумы и максимумы'!L$2)/('минимумы и максимумы'!L$4-'минимумы и максимумы'!L$2)*100)</f>
        <v>11.871807287163408</v>
      </c>
      <c r="O88" s="1">
        <f>IF('исходные данные'!O88&gt;'минимумы и максимумы'!M$4,100,('исходные данные'!O88-'минимумы и максимумы'!M$2)/('минимумы и максимумы'!M$4-'минимумы и максимумы'!M$2)*100)</f>
        <v>66.666666666666657</v>
      </c>
      <c r="P88" s="1">
        <f>IF('исходные данные'!P88&gt;'минимумы и максимумы'!N$4,100,('исходные данные'!P88-'минимумы и максимумы'!N$2)/('минимумы и максимумы'!N$4-'минимумы и максимумы'!N$2)*100)</f>
        <v>0</v>
      </c>
      <c r="Q88" s="1">
        <f>IF('исходные данные'!Q88&gt;'минимумы и максимумы'!O$4,100,('исходные данные'!Q88-'минимумы и максимумы'!O$2)/('минимумы и максимумы'!O$4-'минимумы и максимумы'!O$2)*100)</f>
        <v>100</v>
      </c>
      <c r="R88" s="1">
        <f>IF('исходные данные'!R88&gt;'минимумы и максимумы'!P$4,100,('исходные данные'!R88-'минимумы и максимумы'!P$2)/('минимумы и максимумы'!P$4-'минимумы и максимумы'!P$2)*100)</f>
        <v>100</v>
      </c>
      <c r="S88" s="1">
        <f>IF('исходные данные'!S88&gt;'минимумы и максимумы'!Q$4,100,('исходные данные'!S88-'минимумы и максимумы'!Q$2)/('минимумы и максимумы'!Q$4-'минимумы и максимумы'!Q$2)*100)</f>
        <v>66.666666666666657</v>
      </c>
      <c r="T88" s="1">
        <f>IF('исходные данные'!T88&gt;'минимумы и максимумы'!R$4,100,('исходные данные'!T88-'минимумы и максимумы'!R$2)/('минимумы и максимумы'!R$4-'минимумы и максимумы'!R$2)*100)</f>
        <v>76.783659378596099</v>
      </c>
      <c r="U88" s="1">
        <f>IF('исходные данные'!U88&gt;'минимумы и максимумы'!S$4,100,('исходные данные'!U88-'минимумы и максимумы'!S$2)/('минимумы и максимумы'!S$4-'минимумы и максимумы'!S$2)*100)</f>
        <v>66.666666666666657</v>
      </c>
    </row>
    <row r="89" spans="1:21" x14ac:dyDescent="0.45">
      <c r="A89" s="4">
        <v>146</v>
      </c>
      <c r="B89" s="4">
        <v>0</v>
      </c>
      <c r="C89" s="4">
        <v>0</v>
      </c>
      <c r="D89" s="1">
        <f>IF('исходные данные'!D89&gt;'минимумы и максимумы'!B$4,100,('исходные данные'!D89-'минимумы и максимумы'!B$2)/('минимумы и максимумы'!B$4-'минимумы и максимумы'!B$2)*100)</f>
        <v>25</v>
      </c>
      <c r="E89" s="1">
        <f>IF('исходные данные'!E89&gt;'минимумы и максимумы'!C$4,100,('исходные данные'!E89-'минимумы и максимумы'!C$2)/('минимумы и максимумы'!C$4-'минимумы и максимумы'!C$2)*100)</f>
        <v>43.75</v>
      </c>
      <c r="F89" s="1">
        <f>IF('исходные данные'!F89&gt;'минимумы и максимумы'!D$4,100,('исходные данные'!F89-'минимумы и максимумы'!D$2)/('минимумы и максимумы'!D$4-'минимумы и максимумы'!D$2)*100)</f>
        <v>50</v>
      </c>
      <c r="G89" s="1">
        <f>IF('исходные данные'!G89&gt;'минимумы и максимумы'!E$4,100,('исходные данные'!G89-'минимумы и максимумы'!E$2)/('минимумы и максимумы'!E$4-'минимумы и максимумы'!E$2)*100)</f>
        <v>40.54054054054054</v>
      </c>
      <c r="H89" s="1">
        <f>IF('исходные данные'!H89&gt;'минимумы и максимумы'!F$4,100,('исходные данные'!H89-'минимумы и максимумы'!F$2)/('минимумы и максимумы'!F$4-'минимумы и максимумы'!F$2)*100)</f>
        <v>31.578947368421051</v>
      </c>
      <c r="I89" s="1">
        <f>IF('исходные данные'!I89&gt;'минимумы и максимумы'!G$4,100,('исходные данные'!I89-'минимумы и максимумы'!G$2)/('минимумы и максимумы'!G$4-'минимумы и максимумы'!G$2)*100)</f>
        <v>49.397590361445779</v>
      </c>
      <c r="J89" s="1">
        <f>IF('исходные данные'!J89&gt;'минимумы и максимумы'!H$4,100,('исходные данные'!J89-'минимумы и максимумы'!H$2)/('минимумы и максимумы'!H$4-'минимумы и максимумы'!H$2)*100)</f>
        <v>100</v>
      </c>
      <c r="K89" s="1">
        <f>IF('исходные данные'!K89&gt;'минимумы и максимумы'!I$4,100,('исходные данные'!K89-'минимумы и максимумы'!I$2)/('минимумы и максимумы'!I$4-'минимумы и максимумы'!I$2)*100)</f>
        <v>42.857142857142854</v>
      </c>
      <c r="L89" s="1">
        <f>IF('исходные данные'!L89&gt;'минимумы и максимумы'!J$4,100,('исходные данные'!L89-'минимумы и максимумы'!J$2)/('минимумы и максимумы'!J$4-'минимумы и максимумы'!J$2)*100)</f>
        <v>75</v>
      </c>
      <c r="M89" s="1">
        <f>IF('исходные данные'!M89&gt;'минимумы и максимумы'!K$4,100,('исходные данные'!M89-'минимумы и максимумы'!K$2)/('минимумы и максимумы'!K$4-'минимумы и максимумы'!K$2)*100)</f>
        <v>55.319148936170215</v>
      </c>
      <c r="N89" s="1">
        <f>IF('исходные данные'!N89&gt;'минимумы и максимумы'!L$4,100,('исходные данные'!N89-'минимумы и максимумы'!L$2)/('минимумы и максимумы'!L$4-'минимумы и максимумы'!L$2)*100)</f>
        <v>11.988189501102687</v>
      </c>
      <c r="O89" s="1">
        <f>IF('исходные данные'!O89&gt;'минимумы и максимумы'!M$4,100,('исходные данные'!O89-'минимумы и максимумы'!M$2)/('минимумы и максимумы'!M$4-'минимумы и максимумы'!M$2)*100)</f>
        <v>66.666666666666657</v>
      </c>
      <c r="P89" s="1">
        <f>IF('исходные данные'!P89&gt;'минимумы и максимумы'!N$4,100,('исходные данные'!P89-'минимумы и максимумы'!N$2)/('минимумы и максимумы'!N$4-'минимумы и максимумы'!N$2)*100)</f>
        <v>0</v>
      </c>
      <c r="Q89" s="1">
        <f>IF('исходные данные'!Q89&gt;'минимумы и максимумы'!O$4,100,('исходные данные'!Q89-'минимумы и максимумы'!O$2)/('минимумы и максимумы'!O$4-'минимумы и максимумы'!O$2)*100)</f>
        <v>100</v>
      </c>
      <c r="R89" s="1">
        <f>IF('исходные данные'!R89&gt;'минимумы и максимумы'!P$4,100,('исходные данные'!R89-'минимумы и максимумы'!P$2)/('минимумы и максимумы'!P$4-'минимумы и максимумы'!P$2)*100)</f>
        <v>100</v>
      </c>
      <c r="S89" s="1">
        <f>IF('исходные данные'!S89&gt;'минимумы и максимумы'!Q$4,100,('исходные данные'!S89-'минимумы и максимумы'!Q$2)/('минимумы и максимумы'!Q$4-'минимумы и максимумы'!Q$2)*100)</f>
        <v>33.333333333333329</v>
      </c>
      <c r="T89" s="1">
        <f>IF('исходные данные'!T89&gt;'минимумы и максимумы'!R$4,100,('исходные данные'!T89-'минимумы и максимумы'!R$2)/('минимумы и максимумы'!R$4-'минимумы и максимумы'!R$2)*100)</f>
        <v>8.8895281933256616</v>
      </c>
      <c r="U89" s="1">
        <f>IF('исходные данные'!U89&gt;'минимумы и максимумы'!S$4,100,('исходные данные'!U89-'минимумы и максимумы'!S$2)/('минимумы и максимумы'!S$4-'минимумы и максимумы'!S$2)*100)</f>
        <v>33.333333333333329</v>
      </c>
    </row>
    <row r="90" spans="1:21" x14ac:dyDescent="0.45">
      <c r="A90" s="4">
        <v>147</v>
      </c>
      <c r="B90" s="4">
        <v>0</v>
      </c>
      <c r="C90" s="4">
        <v>0</v>
      </c>
      <c r="D90" s="1">
        <f>IF('исходные данные'!D90&gt;'минимумы и максимумы'!B$4,100,('исходные данные'!D90-'минимумы и максимумы'!B$2)/('минимумы и максимумы'!B$4-'минимумы и максимумы'!B$2)*100)</f>
        <v>50</v>
      </c>
      <c r="E90" s="1">
        <f>IF('исходные данные'!E90&gt;'минимумы и максимумы'!C$4,100,('исходные данные'!E90-'минимумы и максимумы'!C$2)/('минимумы и максимумы'!C$4-'минимумы и максимумы'!C$2)*100)</f>
        <v>12.5</v>
      </c>
      <c r="F90" s="1">
        <f>IF('исходные данные'!F90&gt;'минимумы и максимумы'!D$4,100,('исходные данные'!F90-'минимумы и максимумы'!D$2)/('минимумы и максимумы'!D$4-'минимумы и максимумы'!D$2)*100)</f>
        <v>0</v>
      </c>
      <c r="G90" s="1">
        <f>IF('исходные данные'!G90&gt;'минимумы и максимумы'!E$4,100,('исходные данные'!G90-'минимумы и максимумы'!E$2)/('минимумы и максимумы'!E$4-'минимумы и максимумы'!E$2)*100)</f>
        <v>13.513513513513514</v>
      </c>
      <c r="H90" s="1">
        <f>IF('исходные данные'!H90&gt;'минимумы и максимумы'!F$4,100,('исходные данные'!H90-'минимумы и максимумы'!F$2)/('минимумы и максимумы'!F$4-'минимумы и максимумы'!F$2)*100)</f>
        <v>7.8947368421052628</v>
      </c>
      <c r="I90" s="1">
        <f>IF('исходные данные'!I90&gt;'минимумы и максимумы'!G$4,100,('исходные данные'!I90-'минимумы и максимумы'!G$2)/('минимумы и максимумы'!G$4-'минимумы и максимумы'!G$2)*100)</f>
        <v>13.253012048192772</v>
      </c>
      <c r="J90" s="1">
        <f>IF('исходные данные'!J90&gt;'минимумы и максимумы'!H$4,100,('исходные данные'!J90-'минимумы и максимумы'!H$2)/('минимумы и максимумы'!H$4-'минимумы и максимумы'!H$2)*100)</f>
        <v>16.666666666666664</v>
      </c>
      <c r="K90" s="1">
        <f>IF('исходные данные'!K90&gt;'минимумы и максимумы'!I$4,100,('исходные данные'!K90-'минимумы и максимумы'!I$2)/('минимумы и максимумы'!I$4-'минимумы и максимумы'!I$2)*100)</f>
        <v>21.428571428571427</v>
      </c>
      <c r="L90" s="1">
        <f>IF('исходные данные'!L90&gt;'минимумы и максимумы'!J$4,100,('исходные данные'!L90-'минимумы и максимумы'!J$2)/('минимумы и максимумы'!J$4-'минимумы и максимумы'!J$2)*100)</f>
        <v>25</v>
      </c>
      <c r="M90" s="1">
        <f>IF('исходные данные'!M90&gt;'минимумы и максимумы'!K$4,100,('исходные данные'!M90-'минимумы и максимумы'!K$2)/('минимумы и максимумы'!K$4-'минимумы и максимумы'!K$2)*100)</f>
        <v>27.659574468085108</v>
      </c>
      <c r="N90" s="1">
        <f>IF('исходные данные'!N90&gt;'минимумы и максимумы'!L$4,100,('исходные данные'!N90-'минимумы и максимумы'!L$2)/('минимумы и максимумы'!L$4-'минимумы и максимумы'!L$2)*100)</f>
        <v>13.264145927196966</v>
      </c>
      <c r="O90" s="1">
        <f>IF('исходные данные'!O90&gt;'минимумы и максимумы'!M$4,100,('исходные данные'!O90-'минимумы и максимумы'!M$2)/('минимумы и максимумы'!M$4-'минимумы и максимумы'!M$2)*100)</f>
        <v>100</v>
      </c>
      <c r="P90" s="1">
        <f>IF('исходные данные'!P90&gt;'минимумы и максимумы'!N$4,100,('исходные данные'!P90-'минимумы и максимумы'!N$2)/('минимумы и максимумы'!N$4-'минимумы и максимумы'!N$2)*100)</f>
        <v>0</v>
      </c>
      <c r="Q90" s="1">
        <f>IF('исходные данные'!Q90&gt;'минимумы и максимумы'!O$4,100,('исходные данные'!Q90-'минимумы и максимумы'!O$2)/('минимумы и максимумы'!O$4-'минимумы и максимумы'!O$2)*100)</f>
        <v>100</v>
      </c>
      <c r="R90" s="1">
        <f>IF('исходные данные'!R90&gt;'минимумы и максимумы'!P$4,100,('исходные данные'!R90-'минимумы и максимумы'!P$2)/('минимумы и максимумы'!P$4-'минимумы и максимумы'!P$2)*100)</f>
        <v>100</v>
      </c>
      <c r="S90" s="1">
        <f>IF('исходные данные'!S90&gt;'минимумы и максимумы'!Q$4,100,('исходные данные'!S90-'минимумы и максимумы'!Q$2)/('минимумы и максимумы'!Q$4-'минимумы и максимумы'!Q$2)*100)</f>
        <v>22.222222222222221</v>
      </c>
      <c r="T90" s="1">
        <f>IF('исходные данные'!T90&gt;'минимумы и максимумы'!R$4,100,('исходные данные'!T90-'минимумы и максимумы'!R$2)/('минимумы и максимумы'!R$4-'минимумы и максимумы'!R$2)*100)</f>
        <v>5.1208285385500574</v>
      </c>
      <c r="U90" s="1">
        <f>IF('исходные данные'!U90&gt;'минимумы и максимумы'!S$4,100,('исходные данные'!U90-'минимумы и максимумы'!S$2)/('минимумы и максимумы'!S$4-'минимумы и максимумы'!S$2)*100)</f>
        <v>33.333333333333329</v>
      </c>
    </row>
    <row r="91" spans="1:21" x14ac:dyDescent="0.45">
      <c r="A91" s="4">
        <v>148</v>
      </c>
      <c r="B91" s="4">
        <v>0</v>
      </c>
      <c r="C91" s="4">
        <v>0</v>
      </c>
      <c r="D91" s="1">
        <f>IF('исходные данные'!D91&gt;'минимумы и максимумы'!B$4,100,('исходные данные'!D91-'минимумы и максимумы'!B$2)/('минимумы и максимумы'!B$4-'минимумы и максимумы'!B$2)*100)</f>
        <v>12.5</v>
      </c>
      <c r="E91" s="1">
        <f>IF('исходные данные'!E91&gt;'минимумы и максимумы'!C$4,100,('исходные данные'!E91-'минимумы и максимумы'!C$2)/('минимумы и максимумы'!C$4-'минимумы и максимумы'!C$2)*100)</f>
        <v>0</v>
      </c>
      <c r="F91" s="1">
        <f>IF('исходные данные'!F91&gt;'минимумы и максимумы'!D$4,100,('исходные данные'!F91-'минимумы и максимумы'!D$2)/('минимумы и максимумы'!D$4-'минимумы и максимумы'!D$2)*100)</f>
        <v>0</v>
      </c>
      <c r="G91" s="1">
        <f>IF('исходные данные'!G91&gt;'минимумы и максимумы'!E$4,100,('исходные данные'!G91-'минимумы и максимумы'!E$2)/('минимумы и максимумы'!E$4-'минимумы и максимумы'!E$2)*100)</f>
        <v>16.216216216216218</v>
      </c>
      <c r="H91" s="1">
        <f>IF('исходные данные'!H91&gt;'минимумы и максимумы'!F$4,100,('исходные данные'!H91-'минимумы и максимумы'!F$2)/('минимумы и максимумы'!F$4-'минимумы и максимумы'!F$2)*100)</f>
        <v>5.2631578947368416</v>
      </c>
      <c r="I91" s="1">
        <f>IF('исходные данные'!I91&gt;'минимумы и максимумы'!G$4,100,('исходные данные'!I91-'минимумы и максимумы'!G$2)/('минимумы и максимумы'!G$4-'минимумы и максимумы'!G$2)*100)</f>
        <v>28.915662650602407</v>
      </c>
      <c r="J91" s="1">
        <f>IF('исходные данные'!J91&gt;'минимумы и максимумы'!H$4,100,('исходные данные'!J91-'минимумы и максимумы'!H$2)/('минимумы и максимумы'!H$4-'минимумы и максимумы'!H$2)*100)</f>
        <v>25</v>
      </c>
      <c r="K91" s="1">
        <f>IF('исходные данные'!K91&gt;'минимумы и максимумы'!I$4,100,('исходные данные'!K91-'минимумы и максимумы'!I$2)/('минимумы и максимумы'!I$4-'минимумы и максимумы'!I$2)*100)</f>
        <v>25</v>
      </c>
      <c r="L91" s="1">
        <f>IF('исходные данные'!L91&gt;'минимумы и максимумы'!J$4,100,('исходные данные'!L91-'минимумы и максимумы'!J$2)/('минимумы и максимумы'!J$4-'минимумы и максимумы'!J$2)*100)</f>
        <v>25</v>
      </c>
      <c r="M91" s="1">
        <f>IF('исходные данные'!M91&gt;'минимумы и максимумы'!K$4,100,('исходные данные'!M91-'минимумы и максимумы'!K$2)/('минимумы и максимумы'!K$4-'минимумы и максимумы'!K$2)*100)</f>
        <v>34.042553191489361</v>
      </c>
      <c r="N91" s="1">
        <f>IF('исходные данные'!N91&gt;'минимумы и максимумы'!L$4,100,('исходные данные'!N91-'минимумы и максимумы'!L$2)/('минимумы и максимумы'!L$4-'минимумы и максимумы'!L$2)*100)</f>
        <v>13.451418269440554</v>
      </c>
      <c r="O91" s="1">
        <f>IF('исходные данные'!O91&gt;'минимумы и максимумы'!M$4,100,('исходные данные'!O91-'минимумы и максимумы'!M$2)/('минимумы и максимумы'!M$4-'минимумы и максимумы'!M$2)*100)</f>
        <v>33.333333333333329</v>
      </c>
      <c r="P91" s="1">
        <f>IF('исходные данные'!P91&gt;'минимумы и максимумы'!N$4,100,('исходные данные'!P91-'минимумы и максимумы'!N$2)/('минимумы и максимумы'!N$4-'минимумы и максимумы'!N$2)*100)</f>
        <v>0</v>
      </c>
      <c r="Q91" s="1">
        <f>IF('исходные данные'!Q91&gt;'минимумы и максимумы'!O$4,100,('исходные данные'!Q91-'минимумы и максимумы'!O$2)/('минимумы и максимумы'!O$4-'минимумы и максимумы'!O$2)*100)</f>
        <v>0</v>
      </c>
      <c r="R91" s="1">
        <f>IF('исходные данные'!R91&gt;'минимумы и максимумы'!P$4,100,('исходные данные'!R91-'минимумы и максимумы'!P$2)/('минимумы и максимумы'!P$4-'минимумы и максимумы'!P$2)*100)</f>
        <v>100</v>
      </c>
      <c r="S91" s="1">
        <f>IF('исходные данные'!S91&gt;'минимумы и максимумы'!Q$4,100,('исходные данные'!S91-'минимумы и максимумы'!Q$2)/('минимумы и максимумы'!Q$4-'минимумы и максимумы'!Q$2)*100)</f>
        <v>22.222222222222221</v>
      </c>
      <c r="T91" s="1">
        <f>IF('исходные данные'!T91&gt;'минимумы и максимумы'!R$4,100,('исходные данные'!T91-'минимумы и максимумы'!R$2)/('минимумы и максимумы'!R$4-'минимумы и максимумы'!R$2)*100)</f>
        <v>33.601841196777904</v>
      </c>
      <c r="U91" s="1">
        <f>IF('исходные данные'!U91&gt;'минимумы и максимумы'!S$4,100,('исходные данные'!U91-'минимумы и максимумы'!S$2)/('минимумы и максимумы'!S$4-'минимумы и максимумы'!S$2)*100)</f>
        <v>33.333333333333329</v>
      </c>
    </row>
    <row r="92" spans="1:21" x14ac:dyDescent="0.45">
      <c r="A92" s="4">
        <v>149</v>
      </c>
      <c r="B92" s="4">
        <v>0</v>
      </c>
      <c r="C92" s="4">
        <v>0</v>
      </c>
      <c r="D92" s="1">
        <f>IF('исходные данные'!D92&gt;'минимумы и максимумы'!B$4,100,('исходные данные'!D92-'минимумы и максимумы'!B$2)/('минимумы и максимумы'!B$4-'минимумы и максимумы'!B$2)*100)</f>
        <v>12.5</v>
      </c>
      <c r="E92" s="1">
        <f>IF('исходные данные'!E92&gt;'минимумы и максимумы'!C$4,100,('исходные данные'!E92-'минимумы и максимумы'!C$2)/('минимумы и максимумы'!C$4-'минимумы и максимумы'!C$2)*100)</f>
        <v>0</v>
      </c>
      <c r="F92" s="1">
        <f>IF('исходные данные'!F92&gt;'минимумы и максимумы'!D$4,100,('исходные данные'!F92-'минимумы и максимумы'!D$2)/('минимумы и максимумы'!D$4-'минимумы и максимумы'!D$2)*100)</f>
        <v>0</v>
      </c>
      <c r="G92" s="1">
        <f>IF('исходные данные'!G92&gt;'минимумы и максимумы'!E$4,100,('исходные данные'!G92-'минимумы и максимумы'!E$2)/('минимумы и максимумы'!E$4-'минимумы и максимумы'!E$2)*100)</f>
        <v>16.216216216216218</v>
      </c>
      <c r="H92" s="1">
        <f>IF('исходные данные'!H92&gt;'минимумы и максимумы'!F$4,100,('исходные данные'!H92-'минимумы и максимумы'!F$2)/('минимумы и максимумы'!F$4-'минимумы и максимумы'!F$2)*100)</f>
        <v>5.2631578947368416</v>
      </c>
      <c r="I92" s="1">
        <f>IF('исходные данные'!I92&gt;'минимумы и максимумы'!G$4,100,('исходные данные'!I92-'минимумы и максимумы'!G$2)/('минимумы и максимумы'!G$4-'минимумы и максимумы'!G$2)*100)</f>
        <v>28.915662650602407</v>
      </c>
      <c r="J92" s="1">
        <f>IF('исходные данные'!J92&gt;'минимумы и максимумы'!H$4,100,('исходные данные'!J92-'минимумы и максимумы'!H$2)/('минимумы и максимумы'!H$4-'минимумы и максимумы'!H$2)*100)</f>
        <v>25</v>
      </c>
      <c r="K92" s="1">
        <f>IF('исходные данные'!K92&gt;'минимумы и максимумы'!I$4,100,('исходные данные'!K92-'минимумы и максимумы'!I$2)/('минимумы и максимумы'!I$4-'минимумы и максимумы'!I$2)*100)</f>
        <v>25</v>
      </c>
      <c r="L92" s="1">
        <f>IF('исходные данные'!L92&gt;'минимумы и максимумы'!J$4,100,('исходные данные'!L92-'минимумы и максимумы'!J$2)/('минимумы и максимумы'!J$4-'минимумы и максимумы'!J$2)*100)</f>
        <v>25</v>
      </c>
      <c r="M92" s="1">
        <f>IF('исходные данные'!M92&gt;'минимумы и максимумы'!K$4,100,('исходные данные'!M92-'минимумы и максимумы'!K$2)/('минимумы и максимумы'!K$4-'минимумы и максимумы'!K$2)*100)</f>
        <v>34.042553191489361</v>
      </c>
      <c r="N92" s="1">
        <f>IF('исходные данные'!N92&gt;'минимумы и максимумы'!L$4,100,('исходные данные'!N92-'минимумы и максимумы'!L$2)/('минимумы и максимумы'!L$4-'минимумы и максимумы'!L$2)*100)</f>
        <v>13.272411634611947</v>
      </c>
      <c r="O92" s="1">
        <f>IF('исходные данные'!O92&gt;'минимумы и максимумы'!M$4,100,('исходные данные'!O92-'минимумы и максимумы'!M$2)/('минимумы и максимумы'!M$4-'минимумы и максимумы'!M$2)*100)</f>
        <v>33.333333333333329</v>
      </c>
      <c r="P92" s="1">
        <f>IF('исходные данные'!P92&gt;'минимумы и максимумы'!N$4,100,('исходные данные'!P92-'минимумы и максимумы'!N$2)/('минимумы и максимумы'!N$4-'минимумы и максимумы'!N$2)*100)</f>
        <v>0</v>
      </c>
      <c r="Q92" s="1">
        <f>IF('исходные данные'!Q92&gt;'минимумы и максимумы'!O$4,100,('исходные данные'!Q92-'минимумы и максимумы'!O$2)/('минимумы и максимумы'!O$4-'минимумы и максимумы'!O$2)*100)</f>
        <v>0</v>
      </c>
      <c r="R92" s="1">
        <f>IF('исходные данные'!R92&gt;'минимумы и максимумы'!P$4,100,('исходные данные'!R92-'минимумы и максимумы'!P$2)/('минимумы и максимумы'!P$4-'минимумы и максимумы'!P$2)*100)</f>
        <v>100</v>
      </c>
      <c r="S92" s="1">
        <f>IF('исходные данные'!S92&gt;'минимумы и максимумы'!Q$4,100,('исходные данные'!S92-'минимумы и максимумы'!Q$2)/('минимумы и максимумы'!Q$4-'минимумы и максимумы'!Q$2)*100)</f>
        <v>22.222222222222221</v>
      </c>
      <c r="T92" s="1">
        <f>IF('исходные данные'!T92&gt;'минимумы и максимумы'!R$4,100,('исходные данные'!T92-'минимумы и максимумы'!R$2)/('минимумы и максимумы'!R$4-'минимумы и максимумы'!R$2)*100)</f>
        <v>13.693901035673187</v>
      </c>
      <c r="U92" s="1">
        <f>IF('исходные данные'!U92&gt;'минимумы и максимумы'!S$4,100,('исходные данные'!U92-'минимумы и максимумы'!S$2)/('минимумы и максимумы'!S$4-'минимумы и максимумы'!S$2)*100)</f>
        <v>0</v>
      </c>
    </row>
    <row r="93" spans="1:21" x14ac:dyDescent="0.45">
      <c r="A93" s="4">
        <v>150</v>
      </c>
      <c r="B93" s="4">
        <v>0</v>
      </c>
      <c r="C93" s="4">
        <v>0</v>
      </c>
      <c r="D93" s="1">
        <f>IF('исходные данные'!D93&gt;'минимумы и максимумы'!B$4,100,('исходные данные'!D93-'минимумы и максимумы'!B$2)/('минимумы и максимумы'!B$4-'минимумы и максимумы'!B$2)*100)</f>
        <v>12.5</v>
      </c>
      <c r="E93" s="1">
        <f>IF('исходные данные'!E93&gt;'минимумы и максимумы'!C$4,100,('исходные данные'!E93-'минимумы и максимумы'!C$2)/('минимумы и максимумы'!C$4-'минимумы и максимумы'!C$2)*100)</f>
        <v>0</v>
      </c>
      <c r="F93" s="1">
        <f>IF('исходные данные'!F93&gt;'минимумы и максимумы'!D$4,100,('исходные данные'!F93-'минимумы и максимумы'!D$2)/('минимумы и максимумы'!D$4-'минимумы и максимумы'!D$2)*100)</f>
        <v>0</v>
      </c>
      <c r="G93" s="1">
        <f>IF('исходные данные'!G93&gt;'минимумы и максимумы'!E$4,100,('исходные данные'!G93-'минимумы и максимумы'!E$2)/('минимумы и максимумы'!E$4-'минимумы и максимумы'!E$2)*100)</f>
        <v>16.216216216216218</v>
      </c>
      <c r="H93" s="1">
        <f>IF('исходные данные'!H93&gt;'минимумы и максимумы'!F$4,100,('исходные данные'!H93-'минимумы и максимумы'!F$2)/('минимумы и максимумы'!F$4-'минимумы и максимумы'!F$2)*100)</f>
        <v>5.2631578947368416</v>
      </c>
      <c r="I93" s="1">
        <f>IF('исходные данные'!I93&gt;'минимумы и максимумы'!G$4,100,('исходные данные'!I93-'минимумы и максимумы'!G$2)/('минимумы и максимумы'!G$4-'минимумы и максимумы'!G$2)*100)</f>
        <v>28.915662650602407</v>
      </c>
      <c r="J93" s="1">
        <f>IF('исходные данные'!J93&gt;'минимумы и максимумы'!H$4,100,('исходные данные'!J93-'минимумы и максимумы'!H$2)/('минимумы и максимумы'!H$4-'минимумы и максимумы'!H$2)*100)</f>
        <v>25</v>
      </c>
      <c r="K93" s="1">
        <f>IF('исходные данные'!K93&gt;'минимумы и максимумы'!I$4,100,('исходные данные'!K93-'минимумы и максимумы'!I$2)/('минимумы и максимумы'!I$4-'минимумы и максимумы'!I$2)*100)</f>
        <v>25</v>
      </c>
      <c r="L93" s="1">
        <f>IF('исходные данные'!L93&gt;'минимумы и максимумы'!J$4,100,('исходные данные'!L93-'минимумы и максимумы'!J$2)/('минимумы и максимумы'!J$4-'минимумы и максимумы'!J$2)*100)</f>
        <v>25</v>
      </c>
      <c r="M93" s="1">
        <f>IF('исходные данные'!M93&gt;'минимумы и максимумы'!K$4,100,('исходные данные'!M93-'минимумы и максимумы'!K$2)/('минимумы и максимумы'!K$4-'минимумы и максимумы'!K$2)*100)</f>
        <v>34.042553191489361</v>
      </c>
      <c r="N93" s="1">
        <f>IF('исходные данные'!N93&gt;'минимумы и максимумы'!L$4,100,('исходные данные'!N93-'минимумы и максимумы'!L$2)/('минимумы и максимумы'!L$4-'минимумы и максимумы'!L$2)*100)</f>
        <v>13.618592480066875</v>
      </c>
      <c r="O93" s="1">
        <f>IF('исходные данные'!O93&gt;'минимумы и максимумы'!M$4,100,('исходные данные'!O93-'минимумы и максимумы'!M$2)/('минимумы и максимумы'!M$4-'минимумы и максимумы'!M$2)*100)</f>
        <v>33.333333333333329</v>
      </c>
      <c r="P93" s="1">
        <f>IF('исходные данные'!P93&gt;'минимумы и максимумы'!N$4,100,('исходные данные'!P93-'минимумы и максимумы'!N$2)/('минимумы и максимумы'!N$4-'минимумы и максимумы'!N$2)*100)</f>
        <v>0</v>
      </c>
      <c r="Q93" s="1">
        <f>IF('исходные данные'!Q93&gt;'минимумы и максимумы'!O$4,100,('исходные данные'!Q93-'минимумы и максимумы'!O$2)/('минимумы и максимумы'!O$4-'минимумы и максимумы'!O$2)*100)</f>
        <v>100</v>
      </c>
      <c r="R93" s="1">
        <f>IF('исходные данные'!R93&gt;'минимумы и максимумы'!P$4,100,('исходные данные'!R93-'минимумы и максимумы'!P$2)/('минимумы и максимумы'!P$4-'минимумы и максимумы'!P$2)*100)</f>
        <v>75</v>
      </c>
      <c r="S93" s="1">
        <f>IF('исходные данные'!S93&gt;'минимумы и максимумы'!Q$4,100,('исходные данные'!S93-'минимумы и максимумы'!Q$2)/('минимумы и максимумы'!Q$4-'минимумы и максимумы'!Q$2)*100)</f>
        <v>33.333333333333329</v>
      </c>
      <c r="T93" s="1">
        <f>IF('исходные данные'!T93&gt;'минимумы и максимумы'!R$4,100,('исходные данные'!T93-'минимумы и максимумы'!R$2)/('минимумы и максимумы'!R$4-'минимумы и максимумы'!R$2)*100)</f>
        <v>25.604142692750287</v>
      </c>
      <c r="U93" s="1">
        <f>IF('исходные данные'!U93&gt;'минимумы и максимумы'!S$4,100,('исходные данные'!U93-'минимумы и максимумы'!S$2)/('минимумы и максимумы'!S$4-'минимумы и максимумы'!S$2)*100)</f>
        <v>33.333333333333329</v>
      </c>
    </row>
    <row r="94" spans="1:21" x14ac:dyDescent="0.45">
      <c r="A94" s="4">
        <v>151</v>
      </c>
      <c r="B94" s="4">
        <v>0</v>
      </c>
      <c r="C94" s="4">
        <v>0</v>
      </c>
      <c r="D94" s="1">
        <f>IF('исходные данные'!D94&gt;'минимумы и максимумы'!B$4,100,('исходные данные'!D94-'минимумы и максимумы'!B$2)/('минимумы и максимумы'!B$4-'минимумы и максимумы'!B$2)*100)</f>
        <v>12.5</v>
      </c>
      <c r="E94" s="1">
        <f>IF('исходные данные'!E94&gt;'минимумы и максимумы'!C$4,100,('исходные данные'!E94-'минимумы и максимумы'!C$2)/('минимумы и максимумы'!C$4-'минимумы и максимумы'!C$2)*100)</f>
        <v>6.25</v>
      </c>
      <c r="F94" s="1">
        <f>IF('исходные данные'!F94&gt;'минимумы и максимумы'!D$4,100,('исходные данные'!F94-'минимумы и максимумы'!D$2)/('минимумы и максимумы'!D$4-'минимумы и максимумы'!D$2)*100)</f>
        <v>0</v>
      </c>
      <c r="G94" s="1">
        <f>IF('исходные данные'!G94&gt;'минимумы и максимумы'!E$4,100,('исходные данные'!G94-'минимумы и максимумы'!E$2)/('минимумы и максимумы'!E$4-'минимумы и максимумы'!E$2)*100)</f>
        <v>21.621621621621621</v>
      </c>
      <c r="H94" s="1">
        <f>IF('исходные данные'!H94&gt;'минимумы и максимумы'!F$4,100,('исходные данные'!H94-'минимумы и максимумы'!F$2)/('минимумы и максимумы'!F$4-'минимумы и максимумы'!F$2)*100)</f>
        <v>10.526315789473683</v>
      </c>
      <c r="I94" s="1">
        <f>IF('исходные данные'!I94&gt;'минимумы и максимумы'!G$4,100,('исходные данные'!I94-'минимумы и максимумы'!G$2)/('минимумы и максимумы'!G$4-'минимумы и максимумы'!G$2)*100)</f>
        <v>31.325301204819279</v>
      </c>
      <c r="J94" s="1">
        <f>IF('исходные данные'!J94&gt;'минимумы и максимумы'!H$4,100,('исходные данные'!J94-'минимумы и максимумы'!H$2)/('минимумы и максимумы'!H$4-'минимумы и максимумы'!H$2)*100)</f>
        <v>33.333333333333329</v>
      </c>
      <c r="K94" s="1">
        <f>IF('исходные данные'!K94&gt;'минимумы и максимумы'!I$4,100,('исходные данные'!K94-'минимумы и максимумы'!I$2)/('минимумы и максимумы'!I$4-'минимумы и максимумы'!I$2)*100)</f>
        <v>28.571428571428569</v>
      </c>
      <c r="L94" s="1">
        <f>IF('исходные данные'!L94&gt;'минимумы и максимумы'!J$4,100,('исходные данные'!L94-'минимумы и максимумы'!J$2)/('минимумы и максимумы'!J$4-'минимумы и максимумы'!J$2)*100)</f>
        <v>37.5</v>
      </c>
      <c r="M94" s="1">
        <f>IF('исходные данные'!M94&gt;'минимумы и максимумы'!K$4,100,('исходные данные'!M94-'минимумы и максимумы'!K$2)/('минимумы и максимумы'!K$4-'минимумы и максимумы'!K$2)*100)</f>
        <v>36.170212765957451</v>
      </c>
      <c r="N94" s="1">
        <f>IF('исходные данные'!N94&gt;'минимумы и максимумы'!L$4,100,('исходные данные'!N94-'минимумы и максимумы'!L$2)/('минимумы и максимумы'!L$4-'минимумы и максимумы'!L$2)*100)</f>
        <v>13.618592480066875</v>
      </c>
      <c r="O94" s="1">
        <f>IF('исходные данные'!O94&gt;'минимумы и максимумы'!M$4,100,('исходные данные'!O94-'минимумы и максимумы'!M$2)/('минимумы и максимумы'!M$4-'минимумы и максимумы'!M$2)*100)</f>
        <v>0</v>
      </c>
      <c r="P94" s="1">
        <f>IF('исходные данные'!P94&gt;'минимумы и максимумы'!N$4,100,('исходные данные'!P94-'минимумы и максимумы'!N$2)/('минимумы и максимумы'!N$4-'минимумы и максимумы'!N$2)*100)</f>
        <v>0</v>
      </c>
      <c r="Q94" s="1">
        <f>IF('исходные данные'!Q94&gt;'минимумы и максимумы'!O$4,100,('исходные данные'!Q94-'минимумы и максимумы'!O$2)/('минимумы и максимумы'!O$4-'минимумы и максимумы'!O$2)*100)</f>
        <v>100</v>
      </c>
      <c r="R94" s="1">
        <f>IF('исходные данные'!R94&gt;'минимумы и максимумы'!P$4,100,('исходные данные'!R94-'минимумы и максимумы'!P$2)/('минимумы и максимумы'!P$4-'минимумы и максимумы'!P$2)*100)</f>
        <v>75</v>
      </c>
      <c r="S94" s="1">
        <f>IF('исходные данные'!S94&gt;'минимумы и максимумы'!Q$4,100,('исходные данные'!S94-'минимумы и максимумы'!Q$2)/('минимумы и максимумы'!Q$4-'минимумы и максимумы'!Q$2)*100)</f>
        <v>22.222222222222221</v>
      </c>
      <c r="T94" s="1">
        <f>IF('исходные данные'!T94&gt;'минимумы и максимумы'!R$4,100,('исходные данные'!T94-'минимумы и максимумы'!R$2)/('минимумы и максимумы'!R$4-'минимумы и максимумы'!R$2)*100)</f>
        <v>4.6029919447640966</v>
      </c>
      <c r="U94" s="1">
        <f>IF('исходные данные'!U94&gt;'минимумы и максимумы'!S$4,100,('исходные данные'!U94-'минимумы и максимумы'!S$2)/('минимумы и максимумы'!S$4-'минимумы и максимумы'!S$2)*100)</f>
        <v>0</v>
      </c>
    </row>
    <row r="95" spans="1:21" x14ac:dyDescent="0.45">
      <c r="A95" s="4">
        <v>152</v>
      </c>
      <c r="B95" s="4">
        <v>0</v>
      </c>
      <c r="C95" s="4">
        <v>0</v>
      </c>
      <c r="D95" s="1">
        <f>IF('исходные данные'!D95&gt;'минимумы и максимумы'!B$4,100,('исходные данные'!D95-'минимумы и максимумы'!B$2)/('минимумы и максимумы'!B$4-'минимумы и максимумы'!B$2)*100)</f>
        <v>12.5</v>
      </c>
      <c r="E95" s="1">
        <f>IF('исходные данные'!E95&gt;'минимумы и максимумы'!C$4,100,('исходные данные'!E95-'минимумы и максимумы'!C$2)/('минимумы и максимумы'!C$4-'минимумы и максимумы'!C$2)*100)</f>
        <v>25</v>
      </c>
      <c r="F95" s="1">
        <f>IF('исходные данные'!F95&gt;'минимумы и максимумы'!D$4,100,('исходные данные'!F95-'минимумы и максимумы'!D$2)/('минимумы и максимумы'!D$4-'минимумы и максимумы'!D$2)*100)</f>
        <v>0</v>
      </c>
      <c r="G95" s="1">
        <f>IF('исходные данные'!G95&gt;'минимумы и максимумы'!E$4,100,('исходные данные'!G95-'минимумы и максимумы'!E$2)/('минимумы и максимумы'!E$4-'минимумы и максимумы'!E$2)*100)</f>
        <v>27.027027027027028</v>
      </c>
      <c r="H95" s="1">
        <f>IF('исходные данные'!H95&gt;'минимумы и максимумы'!F$4,100,('исходные данные'!H95-'минимумы и максимумы'!F$2)/('минимумы и максимумы'!F$4-'минимумы и максимумы'!F$2)*100)</f>
        <v>23.684210526315788</v>
      </c>
      <c r="I95" s="1">
        <f>IF('исходные данные'!I95&gt;'минимумы и максимумы'!G$4,100,('исходные данные'!I95-'минимумы и максимумы'!G$2)/('минимумы и максимумы'!G$4-'минимумы и максимумы'!G$2)*100)</f>
        <v>100</v>
      </c>
      <c r="J95" s="1">
        <f>IF('исходные данные'!J95&gt;'минимумы и максимумы'!H$4,100,('исходные данные'!J95-'минимумы и максимумы'!H$2)/('минимумы и максимумы'!H$4-'минимумы и максимумы'!H$2)*100)</f>
        <v>100</v>
      </c>
      <c r="K95" s="1">
        <f>IF('исходные данные'!K95&gt;'минимумы и максимумы'!I$4,100,('исходные данные'!K95-'минимумы и максимумы'!I$2)/('минимумы и максимумы'!I$4-'минимумы и максимумы'!I$2)*100)</f>
        <v>75</v>
      </c>
      <c r="L95" s="1">
        <f>IF('исходные данные'!L95&gt;'минимумы и максимумы'!J$4,100,('исходные данные'!L95-'минимумы и максимумы'!J$2)/('минимумы и максимумы'!J$4-'минимумы и максимумы'!J$2)*100)</f>
        <v>87.5</v>
      </c>
      <c r="M95" s="1">
        <f>IF('исходные данные'!M95&gt;'минимумы и максимумы'!K$4,100,('исходные данные'!M95-'минимумы и максимумы'!K$2)/('минимумы и максимумы'!K$4-'минимумы и максимумы'!K$2)*100)</f>
        <v>10.638297872340425</v>
      </c>
      <c r="N95" s="1">
        <f>IF('исходные данные'!N95&gt;'минимумы и максимумы'!L$4,100,('исходные данные'!N95-'минимумы и максимумы'!L$2)/('минимумы и максимумы'!L$4-'минимумы и максимумы'!L$2)*100)</f>
        <v>9.8874846465285877</v>
      </c>
      <c r="O95" s="1">
        <f>IF('исходные данные'!O95&gt;'минимумы и максимумы'!M$4,100,('исходные данные'!O95-'минимумы и максимумы'!M$2)/('минимумы и максимумы'!M$4-'минимумы и максимумы'!M$2)*100)</f>
        <v>66.666666666666657</v>
      </c>
      <c r="P95" s="1">
        <f>IF('исходные данные'!P95&gt;'минимумы и максимумы'!N$4,100,('исходные данные'!P95-'минимумы и максимумы'!N$2)/('минимумы и максимумы'!N$4-'минимумы и максимумы'!N$2)*100)</f>
        <v>0</v>
      </c>
      <c r="Q95" s="1">
        <f>IF('исходные данные'!Q95&gt;'минимумы и максимумы'!O$4,100,('исходные данные'!Q95-'минимумы и максимумы'!O$2)/('минимумы и максимумы'!O$4-'минимумы и максимумы'!O$2)*100)</f>
        <v>0</v>
      </c>
      <c r="R95" s="1">
        <f>IF('исходные данные'!R95&gt;'минимумы и максимумы'!P$4,100,('исходные данные'!R95-'минимумы и максимумы'!P$2)/('минимумы и максимумы'!P$4-'минимумы и максимумы'!P$2)*100)</f>
        <v>75</v>
      </c>
      <c r="S95" s="1">
        <f>IF('исходные данные'!S95&gt;'минимумы и максимумы'!Q$4,100,('исходные данные'!S95-'минимумы и максимумы'!Q$2)/('минимумы и максимумы'!Q$4-'минимумы и максимумы'!Q$2)*100)</f>
        <v>22.222222222222221</v>
      </c>
      <c r="T95" s="1">
        <f>IF('исходные данные'!T95&gt;'минимумы и максимумы'!R$4,100,('исходные данные'!T95-'минимумы и максимумы'!R$2)/('минимумы и максимумы'!R$4-'минимумы и максимумы'!R$2)*100)</f>
        <v>16.196777905638665</v>
      </c>
      <c r="U95" s="1">
        <f>IF('исходные данные'!U95&gt;'минимумы и максимумы'!S$4,100,('исходные данные'!U95-'минимумы и максимумы'!S$2)/('минимумы и максимумы'!S$4-'минимумы и максимумы'!S$2)*100)</f>
        <v>66.666666666666657</v>
      </c>
    </row>
    <row r="96" spans="1:21" x14ac:dyDescent="0.45">
      <c r="A96" s="4">
        <v>153</v>
      </c>
      <c r="B96" s="4">
        <v>1</v>
      </c>
      <c r="C96" s="4">
        <v>0</v>
      </c>
      <c r="D96" s="1">
        <f>IF('исходные данные'!D96&gt;'минимумы и максимумы'!B$4,100,('исходные данные'!D96-'минимумы и максимумы'!B$2)/('минимумы и максимумы'!B$4-'минимумы и максимумы'!B$2)*100)</f>
        <v>12.5</v>
      </c>
      <c r="E96" s="1">
        <f>IF('исходные данные'!E96&gt;'минимумы и максимумы'!C$4,100,('исходные данные'!E96-'минимумы и максимумы'!C$2)/('минимумы и максимумы'!C$4-'минимумы и максимумы'!C$2)*100)</f>
        <v>25</v>
      </c>
      <c r="F96" s="1">
        <f>IF('исходные данные'!F96&gt;'минимумы и максимумы'!D$4,100,('исходные данные'!F96-'минимумы и максимумы'!D$2)/('минимумы и максимумы'!D$4-'минимумы и максимумы'!D$2)*100)</f>
        <v>0</v>
      </c>
      <c r="G96" s="1">
        <f>IF('исходные данные'!G96&gt;'минимумы и максимумы'!E$4,100,('исходные данные'!G96-'минимумы и максимумы'!E$2)/('минимумы и максимумы'!E$4-'минимумы и максимумы'!E$2)*100)</f>
        <v>32.432432432432435</v>
      </c>
      <c r="H96" s="1">
        <f>IF('исходные данные'!H96&gt;'минимумы и максимумы'!F$4,100,('исходные данные'!H96-'минимумы и максимумы'!F$2)/('минимумы и максимумы'!F$4-'минимумы и максимумы'!F$2)*100)</f>
        <v>39.473684210526315</v>
      </c>
      <c r="I96" s="1">
        <f>IF('исходные данные'!I96&gt;'минимумы и максимумы'!G$4,100,('исходные данные'!I96-'минимумы и максимумы'!G$2)/('минимумы и максимумы'!G$4-'минимумы и максимумы'!G$2)*100)</f>
        <v>80.722891566265062</v>
      </c>
      <c r="J96" s="1">
        <f>IF('исходные данные'!J96&gt;'минимумы и максимумы'!H$4,100,('исходные данные'!J96-'минимумы и максимумы'!H$2)/('минимумы и максимумы'!H$4-'минимумы и максимумы'!H$2)*100)</f>
        <v>75</v>
      </c>
      <c r="K96" s="1">
        <f>IF('исходные данные'!K96&gt;'минимумы и максимумы'!I$4,100,('исходные данные'!K96-'минимумы и максимумы'!I$2)/('минимумы и максимумы'!I$4-'минимумы и максимумы'!I$2)*100)</f>
        <v>57.142857142857139</v>
      </c>
      <c r="L96" s="1">
        <f>IF('исходные данные'!L96&gt;'минимумы и максимумы'!J$4,100,('исходные данные'!L96-'минимумы и максимумы'!J$2)/('минимумы и максимумы'!J$4-'минимумы и максимумы'!J$2)*100)</f>
        <v>50</v>
      </c>
      <c r="M96" s="1">
        <f>IF('исходные данные'!M96&gt;'минимумы и максимумы'!K$4,100,('исходные данные'!M96-'минимумы и максимумы'!K$2)/('минимумы и максимумы'!K$4-'минимумы и максимумы'!K$2)*100)</f>
        <v>14.893617021276595</v>
      </c>
      <c r="N96" s="1">
        <f>IF('исходные данные'!N96&gt;'минимумы и максимумы'!L$4,100,('исходные данные'!N96-'минимумы и максимумы'!L$2)/('минимумы и максимумы'!L$4-'минимумы и максимумы'!L$2)*100)</f>
        <v>10.196677204244519</v>
      </c>
      <c r="O96" s="1">
        <f>IF('исходные данные'!O96&gt;'минимумы и максимумы'!M$4,100,('исходные данные'!O96-'минимумы и максимумы'!M$2)/('минимумы и максимумы'!M$4-'минимумы и максимумы'!M$2)*100)</f>
        <v>33.333333333333329</v>
      </c>
      <c r="P96" s="1">
        <f>IF('исходные данные'!P96&gt;'минимумы и максимумы'!N$4,100,('исходные данные'!P96-'минимумы и максимумы'!N$2)/('минимумы и максимумы'!N$4-'минимумы и максимумы'!N$2)*100)</f>
        <v>0</v>
      </c>
      <c r="Q96" s="1">
        <f>IF('исходные данные'!Q96&gt;'минимумы и максимумы'!O$4,100,('исходные данные'!Q96-'минимумы и максимумы'!O$2)/('минимумы и максимумы'!O$4-'минимумы и максимумы'!O$2)*100)</f>
        <v>100</v>
      </c>
      <c r="R96" s="1">
        <f>IF('исходные данные'!R96&gt;'минимумы и максимумы'!P$4,100,('исходные данные'!R96-'минимумы и максимумы'!P$2)/('минимумы и максимумы'!P$4-'минимумы и максимумы'!P$2)*100)</f>
        <v>100</v>
      </c>
      <c r="S96" s="1">
        <f>IF('исходные данные'!S96&gt;'минимумы и максимумы'!Q$4,100,('исходные данные'!S96-'минимумы и максимумы'!Q$2)/('минимумы и максимумы'!Q$4-'минимумы и максимумы'!Q$2)*100)</f>
        <v>44.444444444444443</v>
      </c>
      <c r="T96" s="1">
        <f>IF('исходные данные'!T96&gt;'минимумы и максимумы'!R$4,100,('исходные данные'!T96-'минимумы и максимумы'!R$2)/('минимумы и максимумы'!R$4-'минимумы и максимумы'!R$2)*100)</f>
        <v>16.225546605293438</v>
      </c>
      <c r="U96" s="1">
        <f>IF('исходные данные'!U96&gt;'минимумы и максимумы'!S$4,100,('исходные данные'!U96-'минимумы и максимумы'!S$2)/('минимумы и максимумы'!S$4-'минимумы и максимумы'!S$2)*100)</f>
        <v>66.666666666666657</v>
      </c>
    </row>
    <row r="97" spans="1:21" x14ac:dyDescent="0.45">
      <c r="A97" s="4">
        <v>154</v>
      </c>
      <c r="B97" s="4">
        <v>1</v>
      </c>
      <c r="C97" s="4">
        <v>0</v>
      </c>
      <c r="D97" s="1">
        <f>IF('исходные данные'!D97&gt;'минимумы и максимумы'!B$4,100,('исходные данные'!D97-'минимумы и максимумы'!B$2)/('минимумы и максимумы'!B$4-'минимумы и максимумы'!B$2)*100)</f>
        <v>0</v>
      </c>
      <c r="E97" s="1">
        <f>IF('исходные данные'!E97&gt;'минимумы и максимумы'!C$4,100,('исходные данные'!E97-'минимумы и максимумы'!C$2)/('минимумы и максимумы'!C$4-'минимумы и максимумы'!C$2)*100)</f>
        <v>0</v>
      </c>
      <c r="F97" s="1">
        <f>IF('исходные данные'!F97&gt;'минимумы и максимумы'!D$4,100,('исходные данные'!F97-'минимумы и максимумы'!D$2)/('минимумы и максимумы'!D$4-'минимумы и максимумы'!D$2)*100)</f>
        <v>0</v>
      </c>
      <c r="G97" s="1">
        <f>IF('исходные данные'!G97&gt;'минимумы и максимумы'!E$4,100,('исходные данные'!G97-'минимумы и максимумы'!E$2)/('минимумы и максимумы'!E$4-'минимумы и максимумы'!E$2)*100)</f>
        <v>0</v>
      </c>
      <c r="H97" s="1">
        <f>IF('исходные данные'!H97&gt;'минимумы и максимумы'!F$4,100,('исходные данные'!H97-'минимумы и максимумы'!F$2)/('минимумы и максимумы'!F$4-'минимумы и максимумы'!F$2)*100)</f>
        <v>0</v>
      </c>
      <c r="I97" s="1">
        <f>IF('исходные данные'!I97&gt;'минимумы и максимумы'!G$4,100,('исходные данные'!I97-'минимумы и максимумы'!G$2)/('минимумы и максимумы'!G$4-'минимумы и максимумы'!G$2)*100)</f>
        <v>3.6144578313253009</v>
      </c>
      <c r="J97" s="1">
        <f>IF('исходные данные'!J97&gt;'минимумы и максимумы'!H$4,100,('исходные данные'!J97-'минимумы и максимумы'!H$2)/('минимумы и максимумы'!H$4-'минимумы и максимумы'!H$2)*100)</f>
        <v>20.833333333333336</v>
      </c>
      <c r="K97" s="1">
        <f>IF('исходные данные'!K97&gt;'минимумы и максимумы'!I$4,100,('исходные данные'!K97-'минимумы и максимумы'!I$2)/('минимумы и максимумы'!I$4-'минимумы и максимумы'!I$2)*100)</f>
        <v>3.5714285714285712</v>
      </c>
      <c r="L97" s="1">
        <f>IF('исходные данные'!L97&gt;'минимумы и максимумы'!J$4,100,('исходные данные'!L97-'минимумы и максимумы'!J$2)/('минимумы и максимумы'!J$4-'минимумы и максимумы'!J$2)*100)</f>
        <v>0</v>
      </c>
      <c r="M97" s="1">
        <f>IF('исходные данные'!M97&gt;'минимумы и максимумы'!K$4,100,('исходные данные'!M97-'минимумы и максимумы'!K$2)/('минимумы и максимумы'!K$4-'минимумы и максимумы'!K$2)*100)</f>
        <v>6.3829787234042552</v>
      </c>
      <c r="N97" s="1">
        <f>IF('исходные данные'!N97&gt;'минимумы и максимумы'!L$4,100,('исходные данные'!N97-'минимумы и максимумы'!L$2)/('минимумы и максимумы'!L$4-'минимумы и максимумы'!L$2)*100)</f>
        <v>15.709474869934063</v>
      </c>
      <c r="O97" s="1">
        <f>IF('исходные данные'!O97&gt;'минимумы и максимумы'!M$4,100,('исходные данные'!O97-'минимумы и максимумы'!M$2)/('минимумы и максимумы'!M$4-'минимумы и максимумы'!M$2)*100)</f>
        <v>66.666666666666657</v>
      </c>
      <c r="P97" s="1">
        <f>IF('исходные данные'!P97&gt;'минимумы и максимумы'!N$4,100,('исходные данные'!P97-'минимумы и максимумы'!N$2)/('минимумы и максимумы'!N$4-'минимумы и максимумы'!N$2)*100)</f>
        <v>100</v>
      </c>
      <c r="Q97" s="1">
        <f>IF('исходные данные'!Q97&gt;'минимумы и максимумы'!O$4,100,('исходные данные'!Q97-'минимумы и максимумы'!O$2)/('минимумы и максимумы'!O$4-'минимумы и максимумы'!O$2)*100)</f>
        <v>0</v>
      </c>
      <c r="R97" s="1">
        <f>IF('исходные данные'!R97&gt;'минимумы и максимумы'!P$4,100,('исходные данные'!R97-'минимумы и максимумы'!P$2)/('минимумы и максимумы'!P$4-'минимумы и максимумы'!P$2)*100)</f>
        <v>75</v>
      </c>
      <c r="S97" s="1">
        <f>IF('исходные данные'!S97&gt;'минимумы и максимумы'!Q$4,100,('исходные данные'!S97-'минимумы и максимумы'!Q$2)/('минимумы и максимумы'!Q$4-'минимумы и максимумы'!Q$2)*100)</f>
        <v>22.222222222222221</v>
      </c>
      <c r="T97" s="1">
        <f>IF('исходные данные'!T97&gt;'минимумы и максимумы'!R$4,100,('исходные данные'!T97-'минимумы и максимумы'!R$2)/('минимумы и максимумы'!R$4-'минимумы и максимумы'!R$2)*100)</f>
        <v>25.17261219792865</v>
      </c>
      <c r="U97" s="1">
        <f>IF('исходные данные'!U97&gt;'минимумы и максимумы'!S$4,100,('исходные данные'!U97-'минимумы и максимумы'!S$2)/('минимумы и максимумы'!S$4-'минимумы и максимумы'!S$2)*100)</f>
        <v>0</v>
      </c>
    </row>
    <row r="98" spans="1:21" x14ac:dyDescent="0.45">
      <c r="A98" s="4">
        <v>155</v>
      </c>
      <c r="B98" s="4">
        <v>1</v>
      </c>
      <c r="C98" s="4">
        <v>0</v>
      </c>
      <c r="D98" s="1">
        <f>IF('исходные данные'!D98&gt;'минимумы и максимумы'!B$4,100,('исходные данные'!D98-'минимумы и максимумы'!B$2)/('минимумы и максимумы'!B$4-'минимумы и максимумы'!B$2)*100)</f>
        <v>0</v>
      </c>
      <c r="E98" s="1">
        <f>IF('исходные данные'!E98&gt;'минимумы и максимумы'!C$4,100,('исходные данные'!E98-'минимумы и максимумы'!C$2)/('минимумы и максимумы'!C$4-'минимумы и максимумы'!C$2)*100)</f>
        <v>0</v>
      </c>
      <c r="F98" s="1">
        <f>IF('исходные данные'!F98&gt;'минимумы и максимумы'!D$4,100,('исходные данные'!F98-'минимумы и максимумы'!D$2)/('минимумы и максимумы'!D$4-'минимумы и максимумы'!D$2)*100)</f>
        <v>0</v>
      </c>
      <c r="G98" s="1">
        <f>IF('исходные данные'!G98&gt;'минимумы и максимумы'!E$4,100,('исходные данные'!G98-'минимумы и максимумы'!E$2)/('минимумы и максимумы'!E$4-'минимумы и максимумы'!E$2)*100)</f>
        <v>0</v>
      </c>
      <c r="H98" s="1">
        <f>IF('исходные данные'!H98&gt;'минимумы и максимумы'!F$4,100,('исходные данные'!H98-'минимумы и максимумы'!F$2)/('минимумы и максимумы'!F$4-'минимумы и максимумы'!F$2)*100)</f>
        <v>0</v>
      </c>
      <c r="I98" s="1">
        <f>IF('исходные данные'!I98&gt;'минимумы и максимумы'!G$4,100,('исходные данные'!I98-'минимумы и максимумы'!G$2)/('минимумы и максимумы'!G$4-'минимумы и максимумы'!G$2)*100)</f>
        <v>4.8192771084337354</v>
      </c>
      <c r="J98" s="1">
        <f>IF('исходные данные'!J98&gt;'минимумы и максимумы'!H$4,100,('исходные данные'!J98-'минимумы и максимумы'!H$2)/('минимумы и максимумы'!H$4-'минимумы и максимумы'!H$2)*100)</f>
        <v>29.166666666666668</v>
      </c>
      <c r="K98" s="1">
        <f>IF('исходные данные'!K98&gt;'минимумы и максимумы'!I$4,100,('исходные данные'!K98-'минимумы и максимумы'!I$2)/('минимумы и максимумы'!I$4-'минимумы и максимумы'!I$2)*100)</f>
        <v>3.5714285714285712</v>
      </c>
      <c r="L98" s="1">
        <f>IF('исходные данные'!L98&gt;'минимумы и максимумы'!J$4,100,('исходные данные'!L98-'минимумы и максимумы'!J$2)/('минимумы и максимумы'!J$4-'минимумы и максимумы'!J$2)*100)</f>
        <v>0</v>
      </c>
      <c r="M98" s="1">
        <f>IF('исходные данные'!M98&gt;'минимумы и максимумы'!K$4,100,('исходные данные'!M98-'минимумы и максимумы'!K$2)/('минимумы и максимумы'!K$4-'минимумы и максимумы'!K$2)*100)</f>
        <v>4.2553191489361701</v>
      </c>
      <c r="N98" s="1">
        <f>IF('исходные данные'!N98&gt;'минимумы и максимумы'!L$4,100,('исходные данные'!N98-'минимумы и максимумы'!L$2)/('минимумы и максимумы'!L$4-'минимумы и максимумы'!L$2)*100)</f>
        <v>14.716913847001727</v>
      </c>
      <c r="O98" s="1">
        <f>IF('исходные данные'!O98&gt;'минимумы и максимумы'!M$4,100,('исходные данные'!O98-'минимумы и максимумы'!M$2)/('минимумы и максимумы'!M$4-'минимумы и максимумы'!M$2)*100)</f>
        <v>0</v>
      </c>
      <c r="P98" s="1">
        <f>IF('исходные данные'!P98&gt;'минимумы и максимумы'!N$4,100,('исходные данные'!P98-'минимумы и максимумы'!N$2)/('минимумы и максимумы'!N$4-'минимумы и максимумы'!N$2)*100)</f>
        <v>100</v>
      </c>
      <c r="Q98" s="1">
        <f>IF('исходные данные'!Q98&gt;'минимумы и максимумы'!O$4,100,('исходные данные'!Q98-'минимумы и максимумы'!O$2)/('минимумы и максимумы'!O$4-'минимумы и максимумы'!O$2)*100)</f>
        <v>100</v>
      </c>
      <c r="R98" s="1">
        <f>IF('исходные данные'!R98&gt;'минимумы и максимумы'!P$4,100,('исходные данные'!R98-'минимумы и максимумы'!P$2)/('минимумы и максимумы'!P$4-'минимумы и максимумы'!P$2)*100)</f>
        <v>75</v>
      </c>
      <c r="S98" s="1">
        <f>IF('исходные данные'!S98&gt;'минимумы и максимумы'!Q$4,100,('исходные данные'!S98-'минимумы и максимумы'!Q$2)/('минимумы и максимумы'!Q$4-'минимумы и максимумы'!Q$2)*100)</f>
        <v>22.222222222222221</v>
      </c>
      <c r="T98" s="1">
        <f>IF('исходные данные'!T98&gt;'минимумы и максимумы'!R$4,100,('исходные данные'!T98-'минимумы и максимумы'!R$2)/('минимумы и максимумы'!R$4-'минимумы и максимумы'!R$2)*100)</f>
        <v>6.6743383199079398</v>
      </c>
      <c r="U98" s="1">
        <f>IF('исходные данные'!U98&gt;'минимумы и максимумы'!S$4,100,('исходные данные'!U98-'минимумы и максимумы'!S$2)/('минимумы и максимумы'!S$4-'минимумы и максимумы'!S$2)*100)</f>
        <v>0</v>
      </c>
    </row>
    <row r="99" spans="1:21" x14ac:dyDescent="0.45">
      <c r="A99" s="4">
        <v>156</v>
      </c>
      <c r="B99" s="4">
        <v>0</v>
      </c>
      <c r="C99" s="4">
        <v>0</v>
      </c>
      <c r="D99" s="1">
        <f>IF('исходные данные'!D99&gt;'минимумы и максимумы'!B$4,100,('исходные данные'!D99-'минимумы и максимумы'!B$2)/('минимумы и максимумы'!B$4-'минимумы и максимумы'!B$2)*100)</f>
        <v>0</v>
      </c>
      <c r="E99" s="1">
        <f>IF('исходные данные'!E99&gt;'минимумы и максимумы'!C$4,100,('исходные данные'!E99-'минимумы и максимумы'!C$2)/('минимумы и максимумы'!C$4-'минимумы и максимумы'!C$2)*100)</f>
        <v>18.75</v>
      </c>
      <c r="F99" s="1">
        <f>IF('исходные данные'!F99&gt;'минимумы и максимумы'!D$4,100,('исходные данные'!F99-'минимумы и максимумы'!D$2)/('минимумы и максимумы'!D$4-'минимумы и максимумы'!D$2)*100)</f>
        <v>100</v>
      </c>
      <c r="G99" s="1">
        <f>IF('исходные данные'!G99&gt;'минимумы и максимумы'!E$4,100,('исходные данные'!G99-'минимумы и максимумы'!E$2)/('минимумы и максимумы'!E$4-'минимумы и максимумы'!E$2)*100)</f>
        <v>13.513513513513514</v>
      </c>
      <c r="H99" s="1">
        <f>IF('исходные данные'!H99&gt;'минимумы и максимумы'!F$4,100,('исходные данные'!H99-'минимумы и максимумы'!F$2)/('минимумы и максимумы'!F$4-'минимумы и максимумы'!F$2)*100)</f>
        <v>21.052631578947366</v>
      </c>
      <c r="I99" s="1">
        <f>IF('исходные данные'!I99&gt;'минимумы и максимумы'!G$4,100,('исходные данные'!I99-'минимумы и максимумы'!G$2)/('минимумы и максимумы'!G$4-'минимумы и максимумы'!G$2)*100)</f>
        <v>10.843373493975903</v>
      </c>
      <c r="J99" s="1">
        <f>IF('исходные данные'!J99&gt;'минимумы и максимумы'!H$4,100,('исходные данные'!J99-'минимумы и максимумы'!H$2)/('минимумы и максимумы'!H$4-'минимумы и максимумы'!H$2)*100)</f>
        <v>8.3333333333333321</v>
      </c>
      <c r="K99" s="1">
        <f>IF('исходные данные'!K99&gt;'минимумы и максимумы'!I$4,100,('исходные данные'!K99-'минимумы и максимумы'!I$2)/('минимумы и максимумы'!I$4-'минимумы и максимумы'!I$2)*100)</f>
        <v>10.714285714285714</v>
      </c>
      <c r="L99" s="1">
        <f>IF('исходные данные'!L99&gt;'минимумы и максимумы'!J$4,100,('исходные данные'!L99-'минимумы и максимумы'!J$2)/('минимумы и максимумы'!J$4-'минимумы и максимумы'!J$2)*100)</f>
        <v>0</v>
      </c>
      <c r="M99" s="1">
        <f>IF('исходные данные'!M99&gt;'минимумы и максимумы'!K$4,100,('исходные данные'!M99-'минимумы и максимумы'!K$2)/('минимумы и максимумы'!K$4-'минимумы и максимумы'!K$2)*100)</f>
        <v>10.638297872340425</v>
      </c>
      <c r="N99" s="1">
        <f>IF('исходные данные'!N99&gt;'минимумы и максимумы'!L$4,100,('исходные данные'!N99-'минимумы и максимумы'!L$2)/('минимумы и максимумы'!L$4-'минимумы и максимумы'!L$2)*100)</f>
        <v>12.836000780440363</v>
      </c>
      <c r="O99" s="1">
        <f>IF('исходные данные'!O99&gt;'минимумы и максимумы'!M$4,100,('исходные данные'!O99-'минимумы и максимумы'!M$2)/('минимумы и максимумы'!M$4-'минимумы и максимумы'!M$2)*100)</f>
        <v>100</v>
      </c>
      <c r="P99" s="1">
        <f>IF('исходные данные'!P99&gt;'минимумы и максимумы'!N$4,100,('исходные данные'!P99-'минимумы и максимумы'!N$2)/('минимумы и максимумы'!N$4-'минимумы и максимумы'!N$2)*100)</f>
        <v>100</v>
      </c>
      <c r="Q99" s="1">
        <f>IF('исходные данные'!Q99&gt;'минимумы и максимумы'!O$4,100,('исходные данные'!Q99-'минимумы и максимумы'!O$2)/('минимумы и максимумы'!O$4-'минимумы и максимумы'!O$2)*100)</f>
        <v>100</v>
      </c>
      <c r="R99" s="1">
        <f>IF('исходные данные'!R99&gt;'минимумы и максимумы'!P$4,100,('исходные данные'!R99-'минимумы и максимумы'!P$2)/('минимумы и максимумы'!P$4-'минимумы и максимумы'!P$2)*100)</f>
        <v>75</v>
      </c>
      <c r="S99" s="1">
        <f>IF('исходные данные'!S99&gt;'минимумы и максимумы'!Q$4,100,('исходные данные'!S99-'минимумы и максимумы'!Q$2)/('минимумы и максимумы'!Q$4-'минимумы и максимумы'!Q$2)*100)</f>
        <v>11.111111111111111</v>
      </c>
      <c r="T99" s="1">
        <f>IF('исходные данные'!T99&gt;'минимумы и максимумы'!R$4,100,('исходные данные'!T99-'минимумы и максимумы'!R$2)/('минимумы и максимумы'!R$4-'минимумы и максимумы'!R$2)*100)</f>
        <v>18.181818181818183</v>
      </c>
      <c r="U99" s="1">
        <f>IF('исходные данные'!U99&gt;'минимумы и максимумы'!S$4,100,('исходные данные'!U99-'минимумы и максимумы'!S$2)/('минимумы и максимумы'!S$4-'минимумы и максимумы'!S$2)*100)</f>
        <v>0</v>
      </c>
    </row>
    <row r="100" spans="1:21" x14ac:dyDescent="0.45">
      <c r="A100" s="4">
        <v>157</v>
      </c>
      <c r="B100" s="4">
        <v>0</v>
      </c>
      <c r="C100" s="4">
        <v>0</v>
      </c>
      <c r="D100" s="1">
        <f>IF('исходные данные'!D100&gt;'минимумы и максимумы'!B$4,100,('исходные данные'!D100-'минимумы и максимумы'!B$2)/('минимумы и максимумы'!B$4-'минимумы и максимумы'!B$2)*100)</f>
        <v>12.5</v>
      </c>
      <c r="E100" s="1">
        <f>IF('исходные данные'!E100&gt;'минимумы и максимумы'!C$4,100,('исходные данные'!E100-'минимумы и максимумы'!C$2)/('минимумы и максимумы'!C$4-'минимумы и максимумы'!C$2)*100)</f>
        <v>18.75</v>
      </c>
      <c r="F100" s="1">
        <f>IF('исходные данные'!F100&gt;'минимумы и максимумы'!D$4,100,('исходные данные'!F100-'минимумы и максимумы'!D$2)/('минимумы и максимумы'!D$4-'минимумы и максимумы'!D$2)*100)</f>
        <v>100</v>
      </c>
      <c r="G100" s="1">
        <f>IF('исходные данные'!G100&gt;'минимумы и максимумы'!E$4,100,('исходные данные'!G100-'минимумы и максимумы'!E$2)/('минимумы и максимумы'!E$4-'минимумы и максимумы'!E$2)*100)</f>
        <v>27.027027027027028</v>
      </c>
      <c r="H100" s="1">
        <f>IF('исходные данные'!H100&gt;'минимумы и максимумы'!F$4,100,('исходные данные'!H100-'минимумы и максимумы'!F$2)/('минимумы и максимумы'!F$4-'минимумы и максимумы'!F$2)*100)</f>
        <v>44.736842105263158</v>
      </c>
      <c r="I100" s="1">
        <f>IF('исходные данные'!I100&gt;'минимумы и максимумы'!G$4,100,('исходные данные'!I100-'минимумы и максимумы'!G$2)/('минимумы и максимумы'!G$4-'минимумы и максимумы'!G$2)*100)</f>
        <v>26.506024096385545</v>
      </c>
      <c r="J100" s="1">
        <f>IF('исходные данные'!J100&gt;'минимумы и максимумы'!H$4,100,('исходные данные'!J100-'минимумы и максимумы'!H$2)/('минимумы и максимумы'!H$4-'минимумы и максимумы'!H$2)*100)</f>
        <v>37.5</v>
      </c>
      <c r="K100" s="1">
        <f>IF('исходные данные'!K100&gt;'минимумы и максимумы'!I$4,100,('исходные данные'!K100-'минимумы и максимумы'!I$2)/('минимумы и максимумы'!I$4-'минимумы и максимумы'!I$2)*100)</f>
        <v>17.857142857142858</v>
      </c>
      <c r="L100" s="1">
        <f>IF('исходные данные'!L100&gt;'минимумы и максимумы'!J$4,100,('исходные данные'!L100-'минимумы и максимумы'!J$2)/('минимумы и максимумы'!J$4-'минимумы и максимумы'!J$2)*100)</f>
        <v>0</v>
      </c>
      <c r="M100" s="1">
        <f>IF('исходные данные'!M100&gt;'минимумы и максимумы'!K$4,100,('исходные данные'!M100-'минимумы и максимумы'!K$2)/('минимумы и максимумы'!K$4-'минимумы и максимумы'!K$2)*100)</f>
        <v>4.2553191489361701</v>
      </c>
      <c r="N100" s="1">
        <f>IF('исходные данные'!N100&gt;'минимумы и максимумы'!L$4,100,('исходные данные'!N100-'минимумы и максимумы'!L$2)/('минимумы и максимумы'!L$4-'минимумы и максимумы'!L$2)*100)</f>
        <v>11.630344748174538</v>
      </c>
      <c r="O100" s="1">
        <f>IF('исходные данные'!O100&gt;'минимумы и максимумы'!M$4,100,('исходные данные'!O100-'минимумы и максимумы'!M$2)/('минимумы и максимумы'!M$4-'минимумы и максимумы'!M$2)*100)</f>
        <v>66.666666666666657</v>
      </c>
      <c r="P100" s="1">
        <f>IF('исходные данные'!P100&gt;'минимумы и максимумы'!N$4,100,('исходные данные'!P100-'минимумы и максимумы'!N$2)/('минимумы и максимумы'!N$4-'минимумы и максимумы'!N$2)*100)</f>
        <v>100</v>
      </c>
      <c r="Q100" s="1">
        <f>IF('исходные данные'!Q100&gt;'минимумы и максимумы'!O$4,100,('исходные данные'!Q100-'минимумы и максимумы'!O$2)/('минимумы и максимумы'!O$4-'минимумы и максимумы'!O$2)*100)</f>
        <v>100</v>
      </c>
      <c r="R100" s="1">
        <f>IF('исходные данные'!R100&gt;'минимумы и максимумы'!P$4,100,('исходные данные'!R100-'минимумы и максимумы'!P$2)/('минимумы и максимумы'!P$4-'минимумы и максимумы'!P$2)*100)</f>
        <v>75</v>
      </c>
      <c r="S100" s="1">
        <f>IF('исходные данные'!S100&gt;'минимумы и максимумы'!Q$4,100,('исходные данные'!S100-'минимумы и максимумы'!Q$2)/('минимумы и максимумы'!Q$4-'минимумы и максимумы'!Q$2)*100)</f>
        <v>33.333333333333329</v>
      </c>
      <c r="T100" s="1">
        <f>IF('исходные данные'!T100&gt;'минимумы и максимумы'!R$4,100,('исходные данные'!T100-'минимумы и максимумы'!R$2)/('минимумы и максимумы'!R$4-'минимумы и максимумы'!R$2)*100)</f>
        <v>22.842347525891828</v>
      </c>
      <c r="U100" s="1">
        <f>IF('исходные данные'!U100&gt;'минимумы и максимумы'!S$4,100,('исходные данные'!U100-'минимумы и максимумы'!S$2)/('минимумы и максимумы'!S$4-'минимумы и максимумы'!S$2)*100)</f>
        <v>66.666666666666657</v>
      </c>
    </row>
    <row r="101" spans="1:21" x14ac:dyDescent="0.45">
      <c r="A101" s="4">
        <v>164</v>
      </c>
      <c r="B101" s="4">
        <v>0</v>
      </c>
      <c r="C101" s="4">
        <v>0</v>
      </c>
      <c r="D101" s="1">
        <f>IF('исходные данные'!D101&gt;'минимумы и максимумы'!B$4,100,('исходные данные'!D101-'минимумы и максимумы'!B$2)/('минимумы и максимумы'!B$4-'минимумы и максимумы'!B$2)*100)</f>
        <v>12.5</v>
      </c>
      <c r="E101" s="1">
        <f>IF('исходные данные'!E101&gt;'минимумы и максимумы'!C$4,100,('исходные данные'!E101-'минимумы и максимумы'!C$2)/('минимумы и максимумы'!C$4-'минимумы и максимумы'!C$2)*100)</f>
        <v>18.75</v>
      </c>
      <c r="F101" s="1">
        <f>IF('исходные данные'!F101&gt;'минимумы и максимумы'!D$4,100,('исходные данные'!F101-'минимумы и максимумы'!D$2)/('минимумы и максимумы'!D$4-'минимумы и максимумы'!D$2)*100)</f>
        <v>0</v>
      </c>
      <c r="G101" s="1">
        <f>IF('исходные данные'!G101&gt;'минимумы и максимумы'!E$4,100,('исходные данные'!G101-'минимумы и максимумы'!E$2)/('минимумы и максимумы'!E$4-'минимумы и максимумы'!E$2)*100)</f>
        <v>13.513513513513514</v>
      </c>
      <c r="H101" s="1">
        <f>IF('исходные данные'!H101&gt;'минимумы и максимумы'!F$4,100,('исходные данные'!H101-'минимумы и максимумы'!F$2)/('минимумы и максимумы'!F$4-'минимумы и максимумы'!F$2)*100)</f>
        <v>13.157894736842104</v>
      </c>
      <c r="I101" s="1">
        <f>IF('исходные данные'!I101&gt;'минимумы и максимумы'!G$4,100,('исходные данные'!I101-'минимумы и максимумы'!G$2)/('минимумы и максимумы'!G$4-'минимумы и максимумы'!G$2)*100)</f>
        <v>8.4337349397590362</v>
      </c>
      <c r="J101" s="1">
        <f>IF('исходные данные'!J101&gt;'минимумы и максимумы'!H$4,100,('исходные данные'!J101-'минимумы и максимумы'!H$2)/('минимумы и максимумы'!H$4-'минимумы и максимумы'!H$2)*100)</f>
        <v>29.166666666666668</v>
      </c>
      <c r="K101" s="1">
        <f>IF('исходные данные'!K101&gt;'минимумы и максимумы'!I$4,100,('исходные данные'!K101-'минимумы и максимумы'!I$2)/('минимумы и максимумы'!I$4-'минимумы и максимумы'!I$2)*100)</f>
        <v>10.714285714285714</v>
      </c>
      <c r="L101" s="1">
        <f>IF('исходные данные'!L101&gt;'минимумы и максимумы'!J$4,100,('исходные данные'!L101-'минимумы и максимумы'!J$2)/('минимумы и максимумы'!J$4-'минимумы и максимумы'!J$2)*100)</f>
        <v>0</v>
      </c>
      <c r="M101" s="1">
        <f>IF('исходные данные'!M101&gt;'минимумы и максимумы'!K$4,100,('исходные данные'!M101-'минимумы и максимумы'!K$2)/('минимумы и максимумы'!K$4-'минимумы и максимумы'!K$2)*100)</f>
        <v>4.2553191489361701</v>
      </c>
      <c r="N101" s="1">
        <f>IF('исходные данные'!N101&gt;'минимумы и максимумы'!L$4,100,('исходные данные'!N101-'минимумы и максимумы'!L$2)/('минимумы и максимумы'!L$4-'минимумы и максимумы'!L$2)*100)</f>
        <v>8.4629618283543255</v>
      </c>
      <c r="O101" s="1">
        <f>IF('исходные данные'!O101&gt;'минимумы и максимумы'!M$4,100,('исходные данные'!O101-'минимумы и максимумы'!M$2)/('минимумы и максимумы'!M$4-'минимумы и максимумы'!M$2)*100)</f>
        <v>100</v>
      </c>
      <c r="P101" s="1">
        <f>IF('исходные данные'!P101&gt;'минимумы и максимумы'!N$4,100,('исходные данные'!P101-'минимумы и максимумы'!N$2)/('минимумы и максимумы'!N$4-'минимумы и максимумы'!N$2)*100)</f>
        <v>100</v>
      </c>
      <c r="Q101" s="1">
        <f>IF('исходные данные'!Q101&gt;'минимумы и максимумы'!O$4,100,('исходные данные'!Q101-'минимумы и максимумы'!O$2)/('минимумы и максимумы'!O$4-'минимумы и максимумы'!O$2)*100)</f>
        <v>100</v>
      </c>
      <c r="R101" s="1">
        <f>IF('исходные данные'!R101&gt;'минимумы и максимумы'!P$4,100,('исходные данные'!R101-'минимумы и максимумы'!P$2)/('минимумы и максимумы'!P$4-'минимумы и максимумы'!P$2)*100)</f>
        <v>75</v>
      </c>
      <c r="S101" s="1">
        <f>IF('исходные данные'!S101&gt;'минимумы и максимумы'!Q$4,100,('исходные данные'!S101-'минимумы и максимумы'!Q$2)/('минимумы и максимумы'!Q$4-'минимумы и максимумы'!Q$2)*100)</f>
        <v>11.111111111111111</v>
      </c>
      <c r="T101" s="1">
        <f>IF('исходные данные'!T101&gt;'минимумы и максимумы'!R$4,100,('исходные данные'!T101-'минимумы и максимумы'!R$2)/('минимумы и максимумы'!R$4-'минимумы и максимумы'!R$2)*100)</f>
        <v>5.6674338319907935</v>
      </c>
      <c r="U101" s="1">
        <f>IF('исходные данные'!U101&gt;'минимумы и максимумы'!S$4,100,('исходные данные'!U101-'минимумы и максимумы'!S$2)/('минимумы и максимумы'!S$4-'минимумы и максимумы'!S$2)*100)</f>
        <v>66.666666666666657</v>
      </c>
    </row>
    <row r="102" spans="1:21" x14ac:dyDescent="0.45">
      <c r="A102" s="4">
        <v>165</v>
      </c>
      <c r="B102" s="4">
        <v>0</v>
      </c>
      <c r="C102" s="4">
        <v>0</v>
      </c>
      <c r="D102" s="1">
        <f>IF('исходные данные'!D102&gt;'минимумы и максимумы'!B$4,100,('исходные данные'!D102-'минимумы и максимумы'!B$2)/('минимумы и максимумы'!B$4-'минимумы и максимумы'!B$2)*100)</f>
        <v>75</v>
      </c>
      <c r="E102" s="1">
        <f>IF('исходные данные'!E102&gt;'минимумы и максимумы'!C$4,100,('исходные данные'!E102-'минимумы и максимумы'!C$2)/('минимумы и максимумы'!C$4-'минимумы и максимумы'!C$2)*100)</f>
        <v>56.25</v>
      </c>
      <c r="F102" s="1">
        <f>IF('исходные данные'!F102&gt;'минимумы и максимумы'!D$4,100,('исходные данные'!F102-'минимумы и максимумы'!D$2)/('минимумы и максимумы'!D$4-'минимумы и максимумы'!D$2)*100)</f>
        <v>75</v>
      </c>
      <c r="G102" s="1">
        <f>IF('исходные данные'!G102&gt;'минимумы и максимумы'!E$4,100,('исходные данные'!G102-'минимумы и максимумы'!E$2)/('минимумы и максимумы'!E$4-'минимумы и максимумы'!E$2)*100)</f>
        <v>56.756756756756758</v>
      </c>
      <c r="H102" s="1">
        <f>IF('исходные данные'!H102&gt;'минимумы и максимумы'!F$4,100,('исходные данные'!H102-'минимумы и максимумы'!F$2)/('минимумы и максимумы'!F$4-'минимумы и максимумы'!F$2)*100)</f>
        <v>42.105263157894733</v>
      </c>
      <c r="I102" s="1">
        <f>IF('исходные данные'!I102&gt;'минимумы и максимумы'!G$4,100,('исходные данные'!I102-'минимумы и максимумы'!G$2)/('минимумы и максимумы'!G$4-'минимумы и максимумы'!G$2)*100)</f>
        <v>100</v>
      </c>
      <c r="J102" s="1">
        <f>IF('исходные данные'!J102&gt;'минимумы и максимумы'!H$4,100,('исходные данные'!J102-'минимумы и максимумы'!H$2)/('минимумы и максимумы'!H$4-'минимумы и максимумы'!H$2)*100)</f>
        <v>100</v>
      </c>
      <c r="K102" s="1">
        <f>IF('исходные данные'!K102&gt;'минимумы и максимумы'!I$4,100,('исходные данные'!K102-'минимумы и максимумы'!I$2)/('минимумы и максимумы'!I$4-'минимумы и максимумы'!I$2)*100)</f>
        <v>10.714285714285714</v>
      </c>
      <c r="L102" s="1">
        <f>IF('исходные данные'!L102&gt;'минимумы и максимумы'!J$4,100,('исходные данные'!L102-'минимумы и максимумы'!J$2)/('минимумы и максимумы'!J$4-'минимумы и максимумы'!J$2)*100)</f>
        <v>37.5</v>
      </c>
      <c r="M102" s="1">
        <f>IF('исходные данные'!M102&gt;'минимумы и максимумы'!K$4,100,('исходные данные'!M102-'минимумы и максимумы'!K$2)/('минимумы и максимумы'!K$4-'минимумы и максимумы'!K$2)*100)</f>
        <v>48.936170212765958</v>
      </c>
      <c r="N102" s="1">
        <f>IF('исходные данные'!N102&gt;'минимумы и максимумы'!L$4,100,('исходные данные'!N102-'минимумы и максимумы'!L$2)/('минимумы и максимумы'!L$4-'минимумы и максимумы'!L$2)*100)</f>
        <v>5.5645718318932511</v>
      </c>
      <c r="O102" s="1">
        <f>IF('исходные данные'!O102&gt;'минимумы и максимумы'!M$4,100,('исходные данные'!O102-'минимумы и максимумы'!M$2)/('минимумы и максимумы'!M$4-'минимумы и максимумы'!M$2)*100)</f>
        <v>66.666666666666657</v>
      </c>
      <c r="P102" s="1">
        <f>IF('исходные данные'!P102&gt;'минимумы и максимумы'!N$4,100,('исходные данные'!P102-'минимумы и максимумы'!N$2)/('минимумы и максимумы'!N$4-'минимумы и максимумы'!N$2)*100)</f>
        <v>100</v>
      </c>
      <c r="Q102" s="1">
        <f>IF('исходные данные'!Q102&gt;'минимумы и максимумы'!O$4,100,('исходные данные'!Q102-'минимумы и максимумы'!O$2)/('минимумы и максимумы'!O$4-'минимумы и максимумы'!O$2)*100)</f>
        <v>100</v>
      </c>
      <c r="R102" s="1">
        <f>IF('исходные данные'!R102&gt;'минимумы и максимумы'!P$4,100,('исходные данные'!R102-'минимумы и максимумы'!P$2)/('минимумы и максимумы'!P$4-'минимумы и максимумы'!P$2)*100)</f>
        <v>100</v>
      </c>
      <c r="S102" s="1">
        <f>IF('исходные данные'!S102&gt;'минимумы и максимумы'!Q$4,100,('исходные данные'!S102-'минимумы и максимумы'!Q$2)/('минимумы и максимумы'!Q$4-'минимумы и максимумы'!Q$2)*100)</f>
        <v>44.444444444444443</v>
      </c>
      <c r="T102" s="1">
        <f>IF('исходные данные'!T102&gt;'минимумы и максимумы'!R$4,100,('исходные данные'!T102-'минимумы и максимумы'!R$2)/('минимумы и максимумы'!R$4-'минимумы и максимумы'!R$2)*100)</f>
        <v>87.658227848101262</v>
      </c>
      <c r="U102" s="1">
        <f>IF('исходные данные'!U102&gt;'минимумы и максимумы'!S$4,100,('исходные данные'!U102-'минимумы и максимумы'!S$2)/('минимумы и максимумы'!S$4-'минимумы и максимумы'!S$2)*100)</f>
        <v>100</v>
      </c>
    </row>
    <row r="103" spans="1:21" x14ac:dyDescent="0.45">
      <c r="A103" s="4">
        <v>166</v>
      </c>
      <c r="B103" s="4">
        <v>0</v>
      </c>
      <c r="C103" s="4">
        <v>0</v>
      </c>
      <c r="D103" s="1">
        <f>IF('исходные данные'!D103&gt;'минимумы и максимумы'!B$4,100,('исходные данные'!D103-'минимумы и максимумы'!B$2)/('минимумы и максимумы'!B$4-'минимумы и максимумы'!B$2)*100)</f>
        <v>75</v>
      </c>
      <c r="E103" s="1">
        <f>IF('исходные данные'!E103&gt;'минимумы и максимумы'!C$4,100,('исходные данные'!E103-'минимумы и максимумы'!C$2)/('минимумы и максимумы'!C$4-'минимумы и максимумы'!C$2)*100)</f>
        <v>68.75</v>
      </c>
      <c r="F103" s="1">
        <f>IF('исходные данные'!F103&gt;'минимумы и максимумы'!D$4,100,('исходные данные'!F103-'минимумы и максимумы'!D$2)/('минимумы и максимумы'!D$4-'минимумы и максимумы'!D$2)*100)</f>
        <v>75</v>
      </c>
      <c r="G103" s="1">
        <f>IF('исходные данные'!G103&gt;'минимумы и максимумы'!E$4,100,('исходные данные'!G103-'минимумы и максимумы'!E$2)/('минимумы и максимумы'!E$4-'минимумы и максимумы'!E$2)*100)</f>
        <v>40.54054054054054</v>
      </c>
      <c r="H103" s="1">
        <f>IF('исходные данные'!H103&gt;'минимумы и максимумы'!F$4,100,('исходные данные'!H103-'минимумы и максимумы'!F$2)/('минимумы и максимумы'!F$4-'минимумы и максимумы'!F$2)*100)</f>
        <v>28.947368421052634</v>
      </c>
      <c r="I103" s="1">
        <f>IF('исходные данные'!I103&gt;'минимумы и максимумы'!G$4,100,('исходные данные'!I103-'минимумы и максимумы'!G$2)/('минимумы и максимумы'!G$4-'минимумы и максимумы'!G$2)*100)</f>
        <v>57.831325301204814</v>
      </c>
      <c r="J103" s="1">
        <f>IF('исходные данные'!J103&gt;'минимумы и максимумы'!H$4,100,('исходные данные'!J103-'минимумы и максимумы'!H$2)/('минимумы и максимумы'!H$4-'минимумы и максимумы'!H$2)*100)</f>
        <v>100</v>
      </c>
      <c r="K103" s="1">
        <f>IF('исходные данные'!K103&gt;'минимумы и максимумы'!I$4,100,('исходные данные'!K103-'минимумы и максимумы'!I$2)/('минимумы и максимумы'!I$4-'минимумы и максимумы'!I$2)*100)</f>
        <v>14.285714285714285</v>
      </c>
      <c r="L103" s="1">
        <f>IF('исходные данные'!L103&gt;'минимумы и максимумы'!J$4,100,('исходные данные'!L103-'минимумы и максимумы'!J$2)/('минимумы и максимумы'!J$4-'минимумы и максимумы'!J$2)*100)</f>
        <v>0</v>
      </c>
      <c r="M103" s="1">
        <f>IF('исходные данные'!M103&gt;'минимумы и максимумы'!K$4,100,('исходные данные'!M103-'минимумы и максимумы'!K$2)/('минимумы и максимумы'!K$4-'минимумы и максимумы'!K$2)*100)</f>
        <v>42.553191489361701</v>
      </c>
      <c r="N103" s="1">
        <f>IF('исходные данные'!N103&gt;'минимумы и максимумы'!L$4,100,('исходные данные'!N103-'минимумы и максимумы'!L$2)/('минимумы и максимумы'!L$4-'минимумы и максимумы'!L$2)*100)</f>
        <v>6.4286639704057595</v>
      </c>
      <c r="O103" s="1">
        <f>IF('исходные данные'!O103&gt;'минимумы и максимумы'!M$4,100,('исходные данные'!O103-'минимумы и максимумы'!M$2)/('минимумы и максимумы'!M$4-'минимумы и максимумы'!M$2)*100)</f>
        <v>66.666666666666657</v>
      </c>
      <c r="P103" s="1">
        <f>IF('исходные данные'!P103&gt;'минимумы и максимумы'!N$4,100,('исходные данные'!P103-'минимумы и максимумы'!N$2)/('минимумы и максимумы'!N$4-'минимумы и максимумы'!N$2)*100)</f>
        <v>100</v>
      </c>
      <c r="Q103" s="1">
        <f>IF('исходные данные'!Q103&gt;'минимумы и максимумы'!O$4,100,('исходные данные'!Q103-'минимумы и максимумы'!O$2)/('минимумы и максимумы'!O$4-'минимумы и максимумы'!O$2)*100)</f>
        <v>100</v>
      </c>
      <c r="R103" s="1">
        <f>IF('исходные данные'!R103&gt;'минимумы и максимумы'!P$4,100,('исходные данные'!R103-'минимумы и максимумы'!P$2)/('минимумы и максимумы'!P$4-'минимумы и максимумы'!P$2)*100)</f>
        <v>100</v>
      </c>
      <c r="S103" s="1">
        <f>IF('исходные данные'!S103&gt;'минимумы и максимумы'!Q$4,100,('исходные данные'!S103-'минимумы и максимумы'!Q$2)/('минимумы и максимумы'!Q$4-'минимумы и максимумы'!Q$2)*100)</f>
        <v>55.555555555555557</v>
      </c>
      <c r="T103" s="1">
        <f>IF('исходные данные'!T103&gt;'минимумы и максимумы'!R$4,100,('исходные данные'!T103-'минимумы и максимумы'!R$2)/('минимумы и максимумы'!R$4-'минимумы и максимумы'!R$2)*100)</f>
        <v>39.06789413118527</v>
      </c>
      <c r="U103" s="1">
        <f>IF('исходные данные'!U103&gt;'минимумы и максимумы'!S$4,100,('исходные данные'!U103-'минимумы и максимумы'!S$2)/('минимумы и максимумы'!S$4-'минимумы и максимумы'!S$2)*100)</f>
        <v>100</v>
      </c>
    </row>
    <row r="104" spans="1:21" x14ac:dyDescent="0.45">
      <c r="A104" s="4">
        <v>167</v>
      </c>
      <c r="B104" s="4">
        <v>0</v>
      </c>
      <c r="C104" s="4">
        <v>0</v>
      </c>
      <c r="D104" s="1">
        <f>IF('исходные данные'!D104&gt;'минимумы и максимумы'!B$4,100,('исходные данные'!D104-'минимумы и максимумы'!B$2)/('минимумы и максимумы'!B$4-'минимумы и максимумы'!B$2)*100)</f>
        <v>75</v>
      </c>
      <c r="E104" s="1">
        <f>IF('исходные данные'!E104&gt;'минимумы и максимумы'!C$4,100,('исходные данные'!E104-'минимумы и максимумы'!C$2)/('минимумы и максимумы'!C$4-'минимумы и максимумы'!C$2)*100)</f>
        <v>68.75</v>
      </c>
      <c r="F104" s="1">
        <f>IF('исходные данные'!F104&gt;'минимумы и максимумы'!D$4,100,('исходные данные'!F104-'минимумы и максимумы'!D$2)/('минимумы и максимумы'!D$4-'минимумы и максимумы'!D$2)*100)</f>
        <v>75</v>
      </c>
      <c r="G104" s="1">
        <f>IF('исходные данные'!G104&gt;'минимумы и максимумы'!E$4,100,('исходные данные'!G104-'минимумы и максимумы'!E$2)/('минимумы и максимумы'!E$4-'минимумы и максимумы'!E$2)*100)</f>
        <v>40.54054054054054</v>
      </c>
      <c r="H104" s="1">
        <f>IF('исходные данные'!H104&gt;'минимумы и максимумы'!F$4,100,('исходные данные'!H104-'минимумы и максимумы'!F$2)/('минимумы и максимумы'!F$4-'минимумы и максимумы'!F$2)*100)</f>
        <v>28.947368421052634</v>
      </c>
      <c r="I104" s="1">
        <f>IF('исходные данные'!I104&gt;'минимумы и максимумы'!G$4,100,('исходные данные'!I104-'минимумы и максимумы'!G$2)/('минимумы и максимумы'!G$4-'минимумы и максимумы'!G$2)*100)</f>
        <v>57.831325301204814</v>
      </c>
      <c r="J104" s="1">
        <f>IF('исходные данные'!J104&gt;'минимумы и максимумы'!H$4,100,('исходные данные'!J104-'минимумы и максимумы'!H$2)/('минимумы и максимумы'!H$4-'минимумы и максимумы'!H$2)*100)</f>
        <v>100</v>
      </c>
      <c r="K104" s="1">
        <f>IF('исходные данные'!K104&gt;'минимумы и максимумы'!I$4,100,('исходные данные'!K104-'минимумы и максимумы'!I$2)/('минимумы и максимумы'!I$4-'минимумы и максимумы'!I$2)*100)</f>
        <v>14.285714285714285</v>
      </c>
      <c r="L104" s="1">
        <f>IF('исходные данные'!L104&gt;'минимумы и максимумы'!J$4,100,('исходные данные'!L104-'минимумы и максимумы'!J$2)/('минимумы и максимумы'!J$4-'минимумы и максимумы'!J$2)*100)</f>
        <v>0</v>
      </c>
      <c r="M104" s="1">
        <f>IF('исходные данные'!M104&gt;'минимумы и максимумы'!K$4,100,('исходные данные'!M104-'минимумы и максимумы'!K$2)/('минимумы и максимумы'!K$4-'минимумы и максимумы'!K$2)*100)</f>
        <v>42.553191489361701</v>
      </c>
      <c r="N104" s="1">
        <f>IF('исходные данные'!N104&gt;'минимумы и максимумы'!L$4,100,('исходные данные'!N104-'минимумы и максимумы'!L$2)/('минимумы и максимумы'!L$4-'минимумы и максимумы'!L$2)*100)</f>
        <v>6.6241239019647402</v>
      </c>
      <c r="O104" s="1">
        <f>IF('исходные данные'!O104&gt;'минимумы и максимумы'!M$4,100,('исходные данные'!O104-'минимумы и максимумы'!M$2)/('минимумы и максимумы'!M$4-'минимумы и максимумы'!M$2)*100)</f>
        <v>66.666666666666657</v>
      </c>
      <c r="P104" s="1">
        <f>IF('исходные данные'!P104&gt;'минимумы и максимумы'!N$4,100,('исходные данные'!P104-'минимумы и максимумы'!N$2)/('минимумы и максимумы'!N$4-'минимумы и максимумы'!N$2)*100)</f>
        <v>0</v>
      </c>
      <c r="Q104" s="1">
        <f>IF('исходные данные'!Q104&gt;'минимумы и максимумы'!O$4,100,('исходные данные'!Q104-'минимумы и максимумы'!O$2)/('минимумы и максимумы'!O$4-'минимумы и максимумы'!O$2)*100)</f>
        <v>100</v>
      </c>
      <c r="R104" s="1">
        <f>IF('исходные данные'!R104&gt;'минимумы и максимумы'!P$4,100,('исходные данные'!R104-'минимумы и максимумы'!P$2)/('минимумы и максимумы'!P$4-'минимумы и максимумы'!P$2)*100)</f>
        <v>100</v>
      </c>
      <c r="S104" s="1">
        <f>IF('исходные данные'!S104&gt;'минимумы и максимумы'!Q$4,100,('исходные данные'!S104-'минимумы и максимумы'!Q$2)/('минимумы и максимумы'!Q$4-'минимумы и максимумы'!Q$2)*100)</f>
        <v>55.555555555555557</v>
      </c>
      <c r="T104" s="1">
        <f>IF('исходные данные'!T104&gt;'минимумы и максимумы'!R$4,100,('исходные данные'!T104-'минимумы и максимумы'!R$2)/('минимумы и максимумы'!R$4-'минимумы и максимумы'!R$2)*100)</f>
        <v>63.00345224395857</v>
      </c>
      <c r="U104" s="1">
        <f>IF('исходные данные'!U104&gt;'минимумы и максимумы'!S$4,100,('исходные данные'!U104-'минимумы и максимумы'!S$2)/('минимумы и максимумы'!S$4-'минимумы и максимумы'!S$2)*100)</f>
        <v>100</v>
      </c>
    </row>
    <row r="105" spans="1:21" x14ac:dyDescent="0.45">
      <c r="A105" s="4">
        <v>168</v>
      </c>
      <c r="B105" s="4">
        <v>0</v>
      </c>
      <c r="C105" s="4">
        <v>0</v>
      </c>
      <c r="D105" s="1">
        <f>IF('исходные данные'!D105&gt;'минимумы и максимумы'!B$4,100,('исходные данные'!D105-'минимумы и максимумы'!B$2)/('минимумы и максимумы'!B$4-'минимумы и максимумы'!B$2)*100)</f>
        <v>50</v>
      </c>
      <c r="E105" s="1">
        <f>IF('исходные данные'!E105&gt;'минимумы и максимумы'!C$4,100,('исходные данные'!E105-'минимумы и максимумы'!C$2)/('минимумы и максимумы'!C$4-'минимумы и максимумы'!C$2)*100)</f>
        <v>75</v>
      </c>
      <c r="F105" s="1">
        <f>IF('исходные данные'!F105&gt;'минимумы и максимумы'!D$4,100,('исходные данные'!F105-'минимумы и максимумы'!D$2)/('минимумы и максимумы'!D$4-'минимумы и максимумы'!D$2)*100)</f>
        <v>50</v>
      </c>
      <c r="G105" s="1">
        <f>IF('исходные данные'!G105&gt;'минимумы и максимумы'!E$4,100,('исходные данные'!G105-'минимумы и максимумы'!E$2)/('минимумы и максимумы'!E$4-'минимумы и максимумы'!E$2)*100)</f>
        <v>40.54054054054054</v>
      </c>
      <c r="H105" s="1">
        <f>IF('исходные данные'!H105&gt;'минимумы и максимумы'!F$4,100,('исходные данные'!H105-'минимумы и максимумы'!F$2)/('минимумы и максимумы'!F$4-'минимумы и максимумы'!F$2)*100)</f>
        <v>28.947368421052634</v>
      </c>
      <c r="I105" s="1">
        <f>IF('исходные данные'!I105&gt;'минимумы и максимумы'!G$4,100,('исходные данные'!I105-'минимумы и максимумы'!G$2)/('минимумы и максимумы'!G$4-'минимумы и максимумы'!G$2)*100)</f>
        <v>53.01204819277109</v>
      </c>
      <c r="J105" s="1">
        <f>IF('исходные данные'!J105&gt;'минимумы и максимумы'!H$4,100,('исходные данные'!J105-'минимумы и максимумы'!H$2)/('минимумы и максимумы'!H$4-'минимумы и максимумы'!H$2)*100)</f>
        <v>100</v>
      </c>
      <c r="K105" s="1">
        <f>IF('исходные данные'!K105&gt;'минимумы и максимумы'!I$4,100,('исходные данные'!K105-'минимумы и максимумы'!I$2)/('минимумы и максимумы'!I$4-'минимумы и максимумы'!I$2)*100)</f>
        <v>17.857142857142858</v>
      </c>
      <c r="L105" s="1">
        <f>IF('исходные данные'!L105&gt;'минимумы и максимумы'!J$4,100,('исходные данные'!L105-'минимумы и максимумы'!J$2)/('минимумы и максимумы'!J$4-'минимумы и максимумы'!J$2)*100)</f>
        <v>0</v>
      </c>
      <c r="M105" s="1">
        <f>IF('исходные данные'!M105&gt;'минимумы и максимумы'!K$4,100,('исходные данные'!M105-'минимумы и максимумы'!K$2)/('минимумы и максимумы'!K$4-'минимумы и максимумы'!K$2)*100)</f>
        <v>40.425531914893611</v>
      </c>
      <c r="N105" s="1">
        <f>IF('исходные данные'!N105&gt;'минимумы и максимумы'!L$4,100,('исходные данные'!N105-'минимумы и максимумы'!L$2)/('минимумы и максимумы'!L$4-'минимумы и максимумы'!L$2)*100)</f>
        <v>6.9406710018687061</v>
      </c>
      <c r="O105" s="1">
        <f>IF('исходные данные'!O105&gt;'минимумы и максимумы'!M$4,100,('исходные данные'!O105-'минимумы и максимумы'!M$2)/('минимумы и максимумы'!M$4-'минимумы и максимумы'!M$2)*100)</f>
        <v>100</v>
      </c>
      <c r="P105" s="1">
        <f>IF('исходные данные'!P105&gt;'минимумы и максимумы'!N$4,100,('исходные данные'!P105-'минимумы и максимумы'!N$2)/('минимумы и максимумы'!N$4-'минимумы и максимумы'!N$2)*100)</f>
        <v>0</v>
      </c>
      <c r="Q105" s="1">
        <f>IF('исходные данные'!Q105&gt;'минимумы и максимумы'!O$4,100,('исходные данные'!Q105-'минимумы и максимумы'!O$2)/('минимумы и максимумы'!O$4-'минимумы и максимумы'!O$2)*100)</f>
        <v>100</v>
      </c>
      <c r="R105" s="1">
        <f>IF('исходные данные'!R105&gt;'минимумы и максимумы'!P$4,100,('исходные данные'!R105-'минимумы и максимумы'!P$2)/('минимумы и максимумы'!P$4-'минимумы и максимумы'!P$2)*100)</f>
        <v>75</v>
      </c>
      <c r="S105" s="1">
        <f>IF('исходные данные'!S105&gt;'минимумы и максимумы'!Q$4,100,('исходные данные'!S105-'минимумы и максимумы'!Q$2)/('минимумы и максимумы'!Q$4-'минимумы и максимумы'!Q$2)*100)</f>
        <v>22.222222222222221</v>
      </c>
      <c r="T105" s="1">
        <f>IF('исходные данные'!T105&gt;'минимумы и максимумы'!R$4,100,('исходные данные'!T105-'минимумы и максимумы'!R$2)/('минимумы и максимумы'!R$4-'минимумы и максимумы'!R$2)*100)</f>
        <v>19.562715765247411</v>
      </c>
      <c r="U105" s="1">
        <f>IF('исходные данные'!U105&gt;'минимумы и максимумы'!S$4,100,('исходные данные'!U105-'минимумы и максимумы'!S$2)/('минимумы и максимумы'!S$4-'минимумы и максимумы'!S$2)*100)</f>
        <v>33.333333333333329</v>
      </c>
    </row>
    <row r="106" spans="1:21" x14ac:dyDescent="0.45">
      <c r="A106" s="4">
        <v>170</v>
      </c>
      <c r="B106" s="4">
        <v>1</v>
      </c>
      <c r="C106" s="4">
        <v>0</v>
      </c>
      <c r="D106" s="1">
        <f>IF('исходные данные'!D106&gt;'минимумы и максимумы'!B$4,100,('исходные данные'!D106-'минимумы и максимумы'!B$2)/('минимумы и максимумы'!B$4-'минимумы и максимумы'!B$2)*100)</f>
        <v>37.5</v>
      </c>
      <c r="E106" s="1">
        <f>IF('исходные данные'!E106&gt;'минимумы и максимумы'!C$4,100,('исходные данные'!E106-'минимумы и максимумы'!C$2)/('минимумы и максимумы'!C$4-'минимумы и максимумы'!C$2)*100)</f>
        <v>37.5</v>
      </c>
      <c r="F106" s="1">
        <f>IF('исходные данные'!F106&gt;'минимумы и максимумы'!D$4,100,('исходные данные'!F106-'минимумы и максимумы'!D$2)/('минимумы и максимумы'!D$4-'минимумы и максимумы'!D$2)*100)</f>
        <v>50</v>
      </c>
      <c r="G106" s="1">
        <f>IF('исходные данные'!G106&gt;'минимумы и максимумы'!E$4,100,('исходные данные'!G106-'минимумы и максимумы'!E$2)/('минимумы и максимумы'!E$4-'минимумы и максимумы'!E$2)*100)</f>
        <v>29.72972972972973</v>
      </c>
      <c r="H106" s="1">
        <f>IF('исходные данные'!H106&gt;'минимумы и максимумы'!F$4,100,('исходные данные'!H106-'минимумы и максимумы'!F$2)/('минимумы и максимумы'!F$4-'минимумы и максимумы'!F$2)*100)</f>
        <v>26.315789473684209</v>
      </c>
      <c r="I106" s="1">
        <f>IF('исходные данные'!I106&gt;'минимумы и максимумы'!G$4,100,('исходные данные'!I106-'минимумы и максимумы'!G$2)/('минимумы и максимумы'!G$4-'минимумы и максимумы'!G$2)*100)</f>
        <v>53.01204819277109</v>
      </c>
      <c r="J106" s="1">
        <f>IF('исходные данные'!J106&gt;'минимумы и максимумы'!H$4,100,('исходные данные'!J106-'минимумы и максимумы'!H$2)/('минимумы и максимумы'!H$4-'минимумы и максимумы'!H$2)*100)</f>
        <v>50</v>
      </c>
      <c r="K106" s="1">
        <f>IF('исходные данные'!K106&gt;'минимумы и максимумы'!I$4,100,('исходные данные'!K106-'минимумы и максимумы'!I$2)/('минимумы и максимумы'!I$4-'минимумы и максимумы'!I$2)*100)</f>
        <v>7.1428571428571423</v>
      </c>
      <c r="L106" s="1">
        <f>IF('исходные данные'!L106&gt;'минимумы и максимумы'!J$4,100,('исходные данные'!L106-'минимумы и максимумы'!J$2)/('минимумы и максимумы'!J$4-'минимумы и максимумы'!J$2)*100)</f>
        <v>12.5</v>
      </c>
      <c r="M106" s="1">
        <f>IF('исходные данные'!M106&gt;'минимумы и максимумы'!K$4,100,('исходные данные'!M106-'минимумы и максимумы'!K$2)/('минимумы и максимумы'!K$4-'минимумы и максимумы'!K$2)*100)</f>
        <v>14.893617021276595</v>
      </c>
      <c r="N106" s="1">
        <f>IF('исходные данные'!N106&gt;'минимумы и максимумы'!L$4,100,('исходные данные'!N106-'минимумы и максимумы'!L$2)/('минимумы и максимумы'!L$4-'минимумы и максимумы'!L$2)*100)</f>
        <v>5.5452833986573156</v>
      </c>
      <c r="O106" s="1">
        <f>IF('исходные данные'!O106&gt;'минимумы и максимумы'!M$4,100,('исходные данные'!O106-'минимумы и максимумы'!M$2)/('минимумы и максимумы'!M$4-'минимумы и максимумы'!M$2)*100)</f>
        <v>100</v>
      </c>
      <c r="P106" s="1">
        <f>IF('исходные данные'!P106&gt;'минимумы и максимумы'!N$4,100,('исходные данные'!P106-'минимумы и максимумы'!N$2)/('минимумы и максимумы'!N$4-'минимумы и максимумы'!N$2)*100)</f>
        <v>100</v>
      </c>
      <c r="Q106" s="1">
        <f>IF('исходные данные'!Q106&gt;'минимумы и максимумы'!O$4,100,('исходные данные'!Q106-'минимумы и максимумы'!O$2)/('минимумы и максимумы'!O$4-'минимумы и максимумы'!O$2)*100)</f>
        <v>100</v>
      </c>
      <c r="R106" s="1">
        <f>IF('исходные данные'!R106&gt;'минимумы и максимумы'!P$4,100,('исходные данные'!R106-'минимумы и максимумы'!P$2)/('минимумы и максимумы'!P$4-'минимумы и максимумы'!P$2)*100)</f>
        <v>75</v>
      </c>
      <c r="S106" s="1">
        <f>IF('исходные данные'!S106&gt;'минимумы и максимумы'!Q$4,100,('исходные данные'!S106-'минимумы и максимумы'!Q$2)/('минимумы и максимумы'!Q$4-'минимумы и максимумы'!Q$2)*100)</f>
        <v>55.555555555555557</v>
      </c>
      <c r="T106" s="1">
        <f>IF('исходные данные'!T106&gt;'минимумы и максимумы'!R$4,100,('исходные данные'!T106-'минимумы и максимумы'!R$2)/('минимумы и максимумы'!R$4-'минимумы и максимумы'!R$2)*100)</f>
        <v>100</v>
      </c>
      <c r="U106" s="1">
        <f>IF('исходные данные'!U106&gt;'минимумы и максимумы'!S$4,100,('исходные данные'!U106-'минимумы и максимумы'!S$2)/('минимумы и максимумы'!S$4-'минимумы и максимумы'!S$2)*100)</f>
        <v>100</v>
      </c>
    </row>
    <row r="107" spans="1:21" x14ac:dyDescent="0.45">
      <c r="A107" s="4">
        <v>171</v>
      </c>
      <c r="B107" s="4">
        <v>0</v>
      </c>
      <c r="C107" s="4">
        <v>0</v>
      </c>
      <c r="D107" s="1">
        <f>IF('исходные данные'!D107&gt;'минимумы и максимумы'!B$4,100,('исходные данные'!D107-'минимумы и максимумы'!B$2)/('минимумы и максимумы'!B$4-'минимумы и максимумы'!B$2)*100)</f>
        <v>50</v>
      </c>
      <c r="E107" s="1">
        <f>IF('исходные данные'!E107&gt;'минимумы и максимумы'!C$4,100,('исходные данные'!E107-'минимумы и максимумы'!C$2)/('минимумы и максимумы'!C$4-'минимумы и максимумы'!C$2)*100)</f>
        <v>31.25</v>
      </c>
      <c r="F107" s="1">
        <f>IF('исходные данные'!F107&gt;'минимумы и максимумы'!D$4,100,('исходные данные'!F107-'минимумы и максимумы'!D$2)/('минимумы и максимумы'!D$4-'минимумы и максимумы'!D$2)*100)</f>
        <v>0</v>
      </c>
      <c r="G107" s="1">
        <f>IF('исходные данные'!G107&gt;'минимумы и максимумы'!E$4,100,('исходные данные'!G107-'минимумы и максимумы'!E$2)/('минимумы и максимумы'!E$4-'минимумы и максимумы'!E$2)*100)</f>
        <v>16.216216216216218</v>
      </c>
      <c r="H107" s="1">
        <f>IF('исходные данные'!H107&gt;'минимумы и максимумы'!F$4,100,('исходные данные'!H107-'минимумы и максимумы'!F$2)/('минимумы и максимумы'!F$4-'минимумы и максимумы'!F$2)*100)</f>
        <v>21.052631578947366</v>
      </c>
      <c r="I107" s="1">
        <f>IF('исходные данные'!I107&gt;'минимумы и максимумы'!G$4,100,('исходные данные'!I107-'минимумы и максимумы'!G$2)/('минимумы и максимумы'!G$4-'минимумы и максимумы'!G$2)*100)</f>
        <v>14.457831325301203</v>
      </c>
      <c r="J107" s="1">
        <f>IF('исходные данные'!J107&gt;'минимумы и максимумы'!H$4,100,('исходные данные'!J107-'минимумы и максимумы'!H$2)/('минимумы и максимумы'!H$4-'минимумы и максимумы'!H$2)*100)</f>
        <v>37.5</v>
      </c>
      <c r="K107" s="1">
        <f>IF('исходные данные'!K107&gt;'минимумы и максимумы'!I$4,100,('исходные данные'!K107-'минимумы и максимумы'!I$2)/('минимумы и максимумы'!I$4-'минимумы и максимумы'!I$2)*100)</f>
        <v>10.714285714285714</v>
      </c>
      <c r="L107" s="1">
        <f>IF('исходные данные'!L107&gt;'минимумы и максимумы'!J$4,100,('исходные данные'!L107-'минимумы и максимумы'!J$2)/('минимумы и максимумы'!J$4-'минимумы и максимумы'!J$2)*100)</f>
        <v>0</v>
      </c>
      <c r="M107" s="1">
        <f>IF('исходные данные'!M107&gt;'минимумы и максимумы'!K$4,100,('исходные данные'!M107-'минимумы и максимумы'!K$2)/('минимумы и максимумы'!K$4-'минимумы и максимумы'!K$2)*100)</f>
        <v>6.3829787234042552</v>
      </c>
      <c r="N107" s="1">
        <f>IF('исходные данные'!N107&gt;'минимумы и максимумы'!L$4,100,('исходные данные'!N107-'минимумы и максимумы'!L$2)/('минимумы и максимумы'!L$4-'минимумы и максимумы'!L$2)*100)</f>
        <v>8.2745635263870625</v>
      </c>
      <c r="O107" s="1">
        <f>IF('исходные данные'!O107&gt;'минимумы и максимумы'!M$4,100,('исходные данные'!O107-'минимумы и максимумы'!M$2)/('минимумы и максимумы'!M$4-'минимумы и максимумы'!M$2)*100)</f>
        <v>66.666666666666657</v>
      </c>
      <c r="P107" s="1">
        <f>IF('исходные данные'!P107&gt;'минимумы и максимумы'!N$4,100,('исходные данные'!P107-'минимумы и максимумы'!N$2)/('минимумы и максимумы'!N$4-'минимумы и максимумы'!N$2)*100)</f>
        <v>0</v>
      </c>
      <c r="Q107" s="1">
        <f>IF('исходные данные'!Q107&gt;'минимумы и максимумы'!O$4,100,('исходные данные'!Q107-'минимумы и максимумы'!O$2)/('минимумы и максимумы'!O$4-'минимумы и максимумы'!O$2)*100)</f>
        <v>100</v>
      </c>
      <c r="R107" s="1">
        <f>IF('исходные данные'!R107&gt;'минимумы и максимумы'!P$4,100,('исходные данные'!R107-'минимумы и максимумы'!P$2)/('минимумы и максимумы'!P$4-'минимумы и максимумы'!P$2)*100)</f>
        <v>100</v>
      </c>
      <c r="S107" s="1">
        <f>IF('исходные данные'!S107&gt;'минимумы и максимумы'!Q$4,100,('исходные данные'!S107-'минимумы и максимумы'!Q$2)/('минимумы и максимумы'!Q$4-'минимумы и максимумы'!Q$2)*100)</f>
        <v>55.555555555555557</v>
      </c>
      <c r="T107" s="1">
        <f>IF('исходные данные'!T107&gt;'минимумы и максимумы'!R$4,100,('исходные данные'!T107-'минимумы и максимумы'!R$2)/('минимумы и максимумы'!R$4-'минимумы и максимумы'!R$2)*100)</f>
        <v>44.649021864211733</v>
      </c>
      <c r="U107" s="1">
        <f>IF('исходные данные'!U107&gt;'минимумы и максимумы'!S$4,100,('исходные данные'!U107-'минимумы и максимумы'!S$2)/('минимумы и максимумы'!S$4-'минимумы и максимумы'!S$2)*100)</f>
        <v>0</v>
      </c>
    </row>
    <row r="108" spans="1:21" x14ac:dyDescent="0.45">
      <c r="A108" s="4">
        <v>172</v>
      </c>
      <c r="B108" s="4">
        <v>1</v>
      </c>
      <c r="C108" s="4">
        <v>0</v>
      </c>
      <c r="D108" s="1">
        <f>IF('исходные данные'!D108&gt;'минимумы и максимумы'!B$4,100,('исходные данные'!D108-'минимумы и максимумы'!B$2)/('минимумы и максимумы'!B$4-'минимумы и максимумы'!B$2)*100)</f>
        <v>37.5</v>
      </c>
      <c r="E108" s="1">
        <f>IF('исходные данные'!E108&gt;'минимумы и максимумы'!C$4,100,('исходные данные'!E108-'минимумы и максимумы'!C$2)/('минимумы и максимумы'!C$4-'минимумы и максимумы'!C$2)*100)</f>
        <v>25</v>
      </c>
      <c r="F108" s="1">
        <f>IF('исходные данные'!F108&gt;'минимумы и максимумы'!D$4,100,('исходные данные'!F108-'минимумы и максимумы'!D$2)/('минимумы и максимумы'!D$4-'минимумы и максимумы'!D$2)*100)</f>
        <v>0</v>
      </c>
      <c r="G108" s="1">
        <f>IF('исходные данные'!G108&gt;'минимумы и максимумы'!E$4,100,('исходные данные'!G108-'минимумы и максимумы'!E$2)/('минимумы и максимумы'!E$4-'минимумы и максимумы'!E$2)*100)</f>
        <v>16.216216216216218</v>
      </c>
      <c r="H108" s="1">
        <f>IF('исходные данные'!H108&gt;'минимумы и максимумы'!F$4,100,('исходные данные'!H108-'минимумы и максимумы'!F$2)/('минимумы и максимумы'!F$4-'минимумы и максимумы'!F$2)*100)</f>
        <v>26.315789473684209</v>
      </c>
      <c r="I108" s="1">
        <f>IF('исходные данные'!I108&gt;'минимумы и максимумы'!G$4,100,('исходные данные'!I108-'минимумы и максимумы'!G$2)/('минимумы и максимумы'!G$4-'минимумы и максимумы'!G$2)*100)</f>
        <v>21.686746987951807</v>
      </c>
      <c r="J108" s="1">
        <f>IF('исходные данные'!J108&gt;'минимумы и максимумы'!H$4,100,('исходные данные'!J108-'минимумы и максимумы'!H$2)/('минимумы и максимумы'!H$4-'минимумы и максимумы'!H$2)*100)</f>
        <v>37.5</v>
      </c>
      <c r="K108" s="1">
        <f>IF('исходные данные'!K108&gt;'минимумы и максимумы'!I$4,100,('исходные данные'!K108-'минимумы и максимумы'!I$2)/('минимумы и максимумы'!I$4-'минимумы и максимумы'!I$2)*100)</f>
        <v>10.714285714285714</v>
      </c>
      <c r="L108" s="1">
        <f>IF('исходные данные'!L108&gt;'минимумы и максимумы'!J$4,100,('исходные данные'!L108-'минимумы и максимумы'!J$2)/('минимумы и максимумы'!J$4-'минимумы и максимумы'!J$2)*100)</f>
        <v>0</v>
      </c>
      <c r="M108" s="1">
        <f>IF('исходные данные'!M108&gt;'минимумы и максимумы'!K$4,100,('исходные данные'!M108-'минимумы и максимумы'!K$2)/('минимумы и максимумы'!K$4-'минимумы и максимумы'!K$2)*100)</f>
        <v>8.5106382978723403</v>
      </c>
      <c r="N108" s="1">
        <f>IF('исходные данные'!N108&gt;'минимумы и максимумы'!L$4,100,('исходные данные'!N108-'минимумы и максимумы'!L$2)/('минимумы и максимумы'!L$4-'минимумы и максимумы'!L$2)*100)</f>
        <v>9.7732583534004327</v>
      </c>
      <c r="O108" s="1">
        <f>IF('исходные данные'!O108&gt;'минимумы и максимумы'!M$4,100,('исходные данные'!O108-'минимумы и максимумы'!M$2)/('минимумы и максимумы'!M$4-'минимумы и максимумы'!M$2)*100)</f>
        <v>0</v>
      </c>
      <c r="P108" s="1">
        <f>IF('исходные данные'!P108&gt;'минимумы и максимумы'!N$4,100,('исходные данные'!P108-'минимумы и максимумы'!N$2)/('минимумы и максимумы'!N$4-'минимумы и максимумы'!N$2)*100)</f>
        <v>100</v>
      </c>
      <c r="Q108" s="1">
        <f>IF('исходные данные'!Q108&gt;'минимумы и максимумы'!O$4,100,('исходные данные'!Q108-'минимумы и максимумы'!O$2)/('минимумы и максимумы'!O$4-'минимумы и максимумы'!O$2)*100)</f>
        <v>100</v>
      </c>
      <c r="R108" s="1">
        <f>IF('исходные данные'!R108&gt;'минимумы и максимумы'!P$4,100,('исходные данные'!R108-'минимумы и максимумы'!P$2)/('минимумы и максимумы'!P$4-'минимумы и максимумы'!P$2)*100)</f>
        <v>100</v>
      </c>
      <c r="S108" s="1">
        <f>IF('исходные данные'!S108&gt;'минимумы и максимумы'!Q$4,100,('исходные данные'!S108-'минимумы и максимумы'!Q$2)/('минимумы и максимумы'!Q$4-'минимумы и максимумы'!Q$2)*100)</f>
        <v>44.444444444444443</v>
      </c>
      <c r="T108" s="1">
        <f>IF('исходные данные'!T108&gt;'минимумы и максимумы'!R$4,100,('исходные данные'!T108-'минимумы и максимумы'!R$2)/('минимумы и максимумы'!R$4-'минимумы и максимумы'!R$2)*100)</f>
        <v>12.83084004602992</v>
      </c>
      <c r="U108" s="1">
        <f>IF('исходные данные'!U108&gt;'минимумы и максимумы'!S$4,100,('исходные данные'!U108-'минимумы и максимумы'!S$2)/('минимумы и максимумы'!S$4-'минимумы и максимумы'!S$2)*100)</f>
        <v>33.333333333333329</v>
      </c>
    </row>
    <row r="109" spans="1:21" x14ac:dyDescent="0.45">
      <c r="A109" s="4">
        <v>173</v>
      </c>
      <c r="B109" s="4">
        <v>0</v>
      </c>
      <c r="C109" s="4">
        <v>0</v>
      </c>
      <c r="D109" s="1">
        <f>IF('исходные данные'!D109&gt;'минимумы и максимумы'!B$4,100,('исходные данные'!D109-'минимумы и максимумы'!B$2)/('минимумы и максимумы'!B$4-'минимумы и максимумы'!B$2)*100)</f>
        <v>37.5</v>
      </c>
      <c r="E109" s="1">
        <f>IF('исходные данные'!E109&gt;'минимумы и максимумы'!C$4,100,('исходные данные'!E109-'минимумы и максимумы'!C$2)/('минимумы и максимумы'!C$4-'минимумы и максимумы'!C$2)*100)</f>
        <v>25</v>
      </c>
      <c r="F109" s="1">
        <f>IF('исходные данные'!F109&gt;'минимумы и максимумы'!D$4,100,('исходные данные'!F109-'минимумы и максимумы'!D$2)/('минимумы и максимумы'!D$4-'минимумы и максимумы'!D$2)*100)</f>
        <v>0</v>
      </c>
      <c r="G109" s="1">
        <f>IF('исходные данные'!G109&gt;'минимумы и максимумы'!E$4,100,('исходные данные'!G109-'минимумы и максимумы'!E$2)/('минимумы и максимумы'!E$4-'минимумы и максимумы'!E$2)*100)</f>
        <v>16.216216216216218</v>
      </c>
      <c r="H109" s="1">
        <f>IF('исходные данные'!H109&gt;'минимумы и максимумы'!F$4,100,('исходные данные'!H109-'минимумы и максимумы'!F$2)/('минимумы и максимумы'!F$4-'минимумы и максимумы'!F$2)*100)</f>
        <v>26.315789473684209</v>
      </c>
      <c r="I109" s="1">
        <f>IF('исходные данные'!I109&gt;'минимумы и максимумы'!G$4,100,('исходные данные'!I109-'минимумы и максимумы'!G$2)/('минимумы и максимумы'!G$4-'минимумы и максимумы'!G$2)*100)</f>
        <v>21.686746987951807</v>
      </c>
      <c r="J109" s="1">
        <f>IF('исходные данные'!J109&gt;'минимумы и максимумы'!H$4,100,('исходные данные'!J109-'минимумы и максимумы'!H$2)/('минимумы и максимумы'!H$4-'минимумы и максимумы'!H$2)*100)</f>
        <v>37.5</v>
      </c>
      <c r="K109" s="1">
        <f>IF('исходные данные'!K109&gt;'минимумы и максимумы'!I$4,100,('исходные данные'!K109-'минимумы и максимумы'!I$2)/('минимумы и максимумы'!I$4-'минимумы и максимумы'!I$2)*100)</f>
        <v>10.714285714285714</v>
      </c>
      <c r="L109" s="1">
        <f>IF('исходные данные'!L109&gt;'минимумы и максимумы'!J$4,100,('исходные данные'!L109-'минимумы и максимумы'!J$2)/('минимумы и максимумы'!J$4-'минимумы и максимумы'!J$2)*100)</f>
        <v>0</v>
      </c>
      <c r="M109" s="1">
        <f>IF('исходные данные'!M109&gt;'минимумы и максимумы'!K$4,100,('исходные данные'!M109-'минимумы и максимумы'!K$2)/('минимумы и максимумы'!K$4-'минимумы и максимумы'!K$2)*100)</f>
        <v>8.5106382978723403</v>
      </c>
      <c r="N109" s="1">
        <f>IF('исходные данные'!N109&gt;'минимумы и максимумы'!L$4,100,('исходные данные'!N109-'минимумы и максимумы'!L$2)/('минимумы и максимумы'!L$4-'минимумы и максимумы'!L$2)*100)</f>
        <v>10.043971710194329</v>
      </c>
      <c r="O109" s="1">
        <f>IF('исходные данные'!O109&gt;'минимумы и максимумы'!M$4,100,('исходные данные'!O109-'минимумы и максимумы'!M$2)/('минимумы и максимумы'!M$4-'минимумы и максимумы'!M$2)*100)</f>
        <v>0</v>
      </c>
      <c r="P109" s="1">
        <f>IF('исходные данные'!P109&gt;'минимумы и максимумы'!N$4,100,('исходные данные'!P109-'минимумы и максимумы'!N$2)/('минимумы и максимумы'!N$4-'минимумы и максимумы'!N$2)*100)</f>
        <v>0</v>
      </c>
      <c r="Q109" s="1">
        <f>IF('исходные данные'!Q109&gt;'минимумы и максимумы'!O$4,100,('исходные данные'!Q109-'минимумы и максимумы'!O$2)/('минимумы и максимумы'!O$4-'минимумы и максимумы'!O$2)*100)</f>
        <v>100</v>
      </c>
      <c r="R109" s="1">
        <f>IF('исходные данные'!R109&gt;'минимумы и максимумы'!P$4,100,('исходные данные'!R109-'минимумы и максимумы'!P$2)/('минимумы и максимумы'!P$4-'минимумы и максимумы'!P$2)*100)</f>
        <v>100</v>
      </c>
      <c r="S109" s="1">
        <f>IF('исходные данные'!S109&gt;'минимумы и максимумы'!Q$4,100,('исходные данные'!S109-'минимумы и максимумы'!Q$2)/('минимумы и максимумы'!Q$4-'минимумы и максимумы'!Q$2)*100)</f>
        <v>44.444444444444443</v>
      </c>
      <c r="T109" s="1">
        <f>IF('исходные данные'!T109&gt;'минимумы и максимумы'!R$4,100,('исходные данные'!T109-'минимумы и максимумы'!R$2)/('минимумы и максимумы'!R$4-'минимумы и максимумы'!R$2)*100)</f>
        <v>17.088607594936708</v>
      </c>
      <c r="U109" s="1">
        <f>IF('исходные данные'!U109&gt;'минимумы и максимумы'!S$4,100,('исходные данные'!U109-'минимумы и максимумы'!S$2)/('минимумы и максимумы'!S$4-'минимумы и максимумы'!S$2)*100)</f>
        <v>33.333333333333329</v>
      </c>
    </row>
    <row r="110" spans="1:21" x14ac:dyDescent="0.45">
      <c r="A110" s="4">
        <v>174</v>
      </c>
      <c r="B110" s="4">
        <v>0</v>
      </c>
      <c r="C110" s="4">
        <v>1</v>
      </c>
      <c r="D110" s="1">
        <f>IF('исходные данные'!D110&gt;'минимумы и максимумы'!B$4,100,('исходные данные'!D110-'минимумы и максимумы'!B$2)/('минимумы и максимумы'!B$4-'минимумы и максимумы'!B$2)*100)</f>
        <v>37.5</v>
      </c>
      <c r="E110" s="1">
        <f>IF('исходные данные'!E110&gt;'минимумы и максимумы'!C$4,100,('исходные данные'!E110-'минимумы и максимумы'!C$2)/('минимумы и максимумы'!C$4-'минимумы и максимумы'!C$2)*100)</f>
        <v>25</v>
      </c>
      <c r="F110" s="1">
        <f>IF('исходные данные'!F110&gt;'минимумы и максимумы'!D$4,100,('исходные данные'!F110-'минимумы и максимумы'!D$2)/('минимумы и максимумы'!D$4-'минимумы и максимумы'!D$2)*100)</f>
        <v>0</v>
      </c>
      <c r="G110" s="1">
        <f>IF('исходные данные'!G110&gt;'минимумы и максимумы'!E$4,100,('исходные данные'!G110-'минимумы и максимумы'!E$2)/('минимумы и максимумы'!E$4-'минимумы и максимумы'!E$2)*100)</f>
        <v>16.216216216216218</v>
      </c>
      <c r="H110" s="1">
        <f>IF('исходные данные'!H110&gt;'минимумы и максимумы'!F$4,100,('исходные данные'!H110-'минимумы и максимумы'!F$2)/('минимумы и максимумы'!F$4-'минимумы и максимумы'!F$2)*100)</f>
        <v>26.315789473684209</v>
      </c>
      <c r="I110" s="1">
        <f>IF('исходные данные'!I110&gt;'минимумы и максимумы'!G$4,100,('исходные данные'!I110-'минимумы и максимумы'!G$2)/('минимумы и максимумы'!G$4-'минимумы и максимумы'!G$2)*100)</f>
        <v>21.686746987951807</v>
      </c>
      <c r="J110" s="1">
        <f>IF('исходные данные'!J110&gt;'минимумы и максимумы'!H$4,100,('исходные данные'!J110-'минимумы и максимумы'!H$2)/('минимумы и максимумы'!H$4-'минимумы и максимумы'!H$2)*100)</f>
        <v>37.5</v>
      </c>
      <c r="K110" s="1">
        <f>IF('исходные данные'!K110&gt;'минимумы и максимумы'!I$4,100,('исходные данные'!K110-'минимумы и максимумы'!I$2)/('минимумы и максимумы'!I$4-'минимумы и максимумы'!I$2)*100)</f>
        <v>10.714285714285714</v>
      </c>
      <c r="L110" s="1">
        <f>IF('исходные данные'!L110&gt;'минимумы и максимумы'!J$4,100,('исходные данные'!L110-'минимумы и максимумы'!J$2)/('минимумы и максимумы'!J$4-'минимумы и максимумы'!J$2)*100)</f>
        <v>0</v>
      </c>
      <c r="M110" s="1">
        <f>IF('исходные данные'!M110&gt;'минимумы и максимумы'!K$4,100,('исходные данные'!M110-'минимумы и максимумы'!K$2)/('минимумы и максимумы'!K$4-'минимумы и максимумы'!K$2)*100)</f>
        <v>8.5106382978723403</v>
      </c>
      <c r="N110" s="1">
        <f>IF('исходные данные'!N110&gt;'минимумы и максимумы'!L$4,100,('исходные данные'!N110-'минимумы и максимумы'!L$2)/('минимумы и максимумы'!L$4-'минимумы и максимумы'!L$2)*100)</f>
        <v>9.9555637609243028</v>
      </c>
      <c r="O110" s="1">
        <f>IF('исходные данные'!O110&gt;'минимумы и максимумы'!M$4,100,('исходные данные'!O110-'минимумы и максимумы'!M$2)/('минимумы и максимумы'!M$4-'минимумы и максимумы'!M$2)*100)</f>
        <v>0</v>
      </c>
      <c r="P110" s="1">
        <f>IF('исходные данные'!P110&gt;'минимумы и максимумы'!N$4,100,('исходные данные'!P110-'минимумы и максимумы'!N$2)/('минимумы и максимумы'!N$4-'минимумы и максимумы'!N$2)*100)</f>
        <v>0</v>
      </c>
      <c r="Q110" s="1">
        <f>IF('исходные данные'!Q110&gt;'минимумы и максимумы'!O$4,100,('исходные данные'!Q110-'минимумы и максимумы'!O$2)/('минимумы и максимумы'!O$4-'минимумы и максимумы'!O$2)*100)</f>
        <v>100</v>
      </c>
      <c r="R110" s="1">
        <f>IF('исходные данные'!R110&gt;'минимумы и максимумы'!P$4,100,('исходные данные'!R110-'минимумы и максимумы'!P$2)/('минимумы и максимумы'!P$4-'минимумы и максимумы'!P$2)*100)</f>
        <v>100</v>
      </c>
      <c r="S110" s="1">
        <f>IF('исходные данные'!S110&gt;'минимумы и максимумы'!Q$4,100,('исходные данные'!S110-'минимумы и максимумы'!Q$2)/('минимумы и максимумы'!Q$4-'минимумы и максимумы'!Q$2)*100)</f>
        <v>44.444444444444443</v>
      </c>
      <c r="T110" s="1">
        <f>IF('исходные данные'!T110&gt;'минимумы и максимумы'!R$4,100,('исходные данные'!T110-'минимумы и максимумы'!R$2)/('минимумы и максимумы'!R$4-'минимумы и максимумы'!R$2)*100)</f>
        <v>9.8676639815880325</v>
      </c>
      <c r="U110" s="1">
        <f>IF('исходные данные'!U110&gt;'минимумы и максимумы'!S$4,100,('исходные данные'!U110-'минимумы и максимумы'!S$2)/('минимумы и максимумы'!S$4-'минимумы и максимумы'!S$2)*100)</f>
        <v>0</v>
      </c>
    </row>
    <row r="111" spans="1:21" x14ac:dyDescent="0.45">
      <c r="A111" s="4">
        <v>175</v>
      </c>
      <c r="B111" s="4">
        <v>0</v>
      </c>
      <c r="C111" s="4">
        <v>0</v>
      </c>
      <c r="D111" s="1">
        <f>IF('исходные данные'!D111&gt;'минимумы и максимумы'!B$4,100,('исходные данные'!D111-'минимумы и максимумы'!B$2)/('минимумы и максимумы'!B$4-'минимумы и максимумы'!B$2)*100)</f>
        <v>37.5</v>
      </c>
      <c r="E111" s="1">
        <f>IF('исходные данные'!E111&gt;'минимумы и максимумы'!C$4,100,('исходные данные'!E111-'минимумы и максимумы'!C$2)/('минимумы и максимумы'!C$4-'минимумы и максимумы'!C$2)*100)</f>
        <v>12.5</v>
      </c>
      <c r="F111" s="1">
        <f>IF('исходные данные'!F111&gt;'минимумы и максимумы'!D$4,100,('исходные данные'!F111-'минимумы и максимумы'!D$2)/('минимумы и максимумы'!D$4-'минимумы и максимумы'!D$2)*100)</f>
        <v>0</v>
      </c>
      <c r="G111" s="1">
        <f>IF('исходные данные'!G111&gt;'минимумы и максимумы'!E$4,100,('исходные данные'!G111-'минимумы и максимумы'!E$2)/('минимумы и максимумы'!E$4-'минимумы и максимумы'!E$2)*100)</f>
        <v>13.513513513513514</v>
      </c>
      <c r="H111" s="1">
        <f>IF('исходные данные'!H111&gt;'минимумы и максимумы'!F$4,100,('исходные данные'!H111-'минимумы и максимумы'!F$2)/('минимумы и максимумы'!F$4-'минимумы и максимумы'!F$2)*100)</f>
        <v>18.421052631578945</v>
      </c>
      <c r="I111" s="1">
        <f>IF('исходные данные'!I111&gt;'минимумы и максимумы'!G$4,100,('исходные данные'!I111-'минимумы и максимумы'!G$2)/('минимумы и максимумы'!G$4-'минимумы и максимумы'!G$2)*100)</f>
        <v>10.843373493975903</v>
      </c>
      <c r="J111" s="1">
        <f>IF('исходные данные'!J111&gt;'минимумы и максимумы'!H$4,100,('исходные данные'!J111-'минимумы и максимумы'!H$2)/('минимумы и максимумы'!H$4-'минимумы и максимумы'!H$2)*100)</f>
        <v>12.5</v>
      </c>
      <c r="K111" s="1">
        <f>IF('исходные данные'!K111&gt;'минимумы и максимумы'!I$4,100,('исходные данные'!K111-'минимумы и максимумы'!I$2)/('минимумы и максимумы'!I$4-'минимумы и максимумы'!I$2)*100)</f>
        <v>3.5714285714285712</v>
      </c>
      <c r="L111" s="1">
        <f>IF('исходные данные'!L111&gt;'минимумы и максимумы'!J$4,100,('исходные данные'!L111-'минимумы и максимумы'!J$2)/('минимумы и максимумы'!J$4-'минимумы и максимумы'!J$2)*100)</f>
        <v>0</v>
      </c>
      <c r="M111" s="1">
        <f>IF('исходные данные'!M111&gt;'минимумы и максимумы'!K$4,100,('исходные данные'!M111-'минимумы и максимумы'!K$2)/('минимумы и максимумы'!K$4-'минимумы и максимумы'!K$2)*100)</f>
        <v>8.5106382978723403</v>
      </c>
      <c r="N111" s="1">
        <f>IF('исходные данные'!N111&gt;'минимумы и максимумы'!L$4,100,('исходные данные'!N111-'минимумы и максимумы'!L$2)/('минимумы и максимумы'!L$4-'минимумы и максимумы'!L$2)*100)</f>
        <v>10.043971710194329</v>
      </c>
      <c r="O111" s="1">
        <f>IF('исходные данные'!O111&gt;'минимумы и максимумы'!M$4,100,('исходные данные'!O111-'минимумы и максимумы'!M$2)/('минимумы и максимумы'!M$4-'минимумы и максимумы'!M$2)*100)</f>
        <v>100</v>
      </c>
      <c r="P111" s="1">
        <f>IF('исходные данные'!P111&gt;'минимумы и максимумы'!N$4,100,('исходные данные'!P111-'минимумы и максимумы'!N$2)/('минимумы и максимумы'!N$4-'минимумы и максимумы'!N$2)*100)</f>
        <v>0</v>
      </c>
      <c r="Q111" s="1">
        <f>IF('исходные данные'!Q111&gt;'минимумы и максимумы'!O$4,100,('исходные данные'!Q111-'минимумы и максимумы'!O$2)/('минимумы и максимумы'!O$4-'минимумы и максимумы'!O$2)*100)</f>
        <v>100</v>
      </c>
      <c r="R111" s="1">
        <f>IF('исходные данные'!R111&gt;'минимумы и максимумы'!P$4,100,('исходные данные'!R111-'минимумы и максимумы'!P$2)/('минимумы и максимумы'!P$4-'минимумы и максимумы'!P$2)*100)</f>
        <v>100</v>
      </c>
      <c r="S111" s="1">
        <f>IF('исходные данные'!S111&gt;'минимумы и максимумы'!Q$4,100,('исходные данные'!S111-'минимумы и максимумы'!Q$2)/('минимумы и максимумы'!Q$4-'минимумы и максимумы'!Q$2)*100)</f>
        <v>22.222222222222221</v>
      </c>
      <c r="T111" s="1">
        <f>IF('исходные данные'!T111&gt;'минимумы и максимумы'!R$4,100,('исходные данные'!T111-'минимумы и максимумы'!R$2)/('минимумы и максимумы'!R$4-'минимумы и максимумы'!R$2)*100)</f>
        <v>12.37054085155351</v>
      </c>
      <c r="U111" s="1">
        <f>IF('исходные данные'!U111&gt;'минимумы и максимумы'!S$4,100,('исходные данные'!U111-'минимумы и максимумы'!S$2)/('минимумы и максимумы'!S$4-'минимумы и максимумы'!S$2)*100)</f>
        <v>33.333333333333329</v>
      </c>
    </row>
    <row r="112" spans="1:21" x14ac:dyDescent="0.45">
      <c r="A112" s="4">
        <v>176</v>
      </c>
      <c r="B112" s="4">
        <v>0</v>
      </c>
      <c r="C112" s="4">
        <v>0</v>
      </c>
      <c r="D112" s="1">
        <f>IF('исходные данные'!D112&gt;'минимумы и максимумы'!B$4,100,('исходные данные'!D112-'минимумы и максимумы'!B$2)/('минимумы и максимумы'!B$4-'минимумы и максимумы'!B$2)*100)</f>
        <v>37.5</v>
      </c>
      <c r="E112" s="1">
        <f>IF('исходные данные'!E112&gt;'минимумы и максимумы'!C$4,100,('исходные данные'!E112-'минимумы и максимумы'!C$2)/('минимумы и максимумы'!C$4-'минимумы и максимумы'!C$2)*100)</f>
        <v>18.75</v>
      </c>
      <c r="F112" s="1">
        <f>IF('исходные данные'!F112&gt;'минимумы и максимумы'!D$4,100,('исходные данные'!F112-'минимумы и максимумы'!D$2)/('минимумы и максимумы'!D$4-'минимумы и максимумы'!D$2)*100)</f>
        <v>75</v>
      </c>
      <c r="G112" s="1">
        <f>IF('исходные данные'!G112&gt;'минимумы и максимумы'!E$4,100,('исходные данные'!G112-'минимумы и максимумы'!E$2)/('минимумы и максимумы'!E$4-'минимумы и максимумы'!E$2)*100)</f>
        <v>13.513513513513514</v>
      </c>
      <c r="H112" s="1">
        <f>IF('исходные данные'!H112&gt;'минимумы и максимумы'!F$4,100,('исходные данные'!H112-'минимумы и максимумы'!F$2)/('минимумы и максимумы'!F$4-'минимумы и максимумы'!F$2)*100)</f>
        <v>15.789473684210526</v>
      </c>
      <c r="I112" s="1">
        <f>IF('исходные данные'!I112&gt;'минимумы и максимумы'!G$4,100,('исходные данные'!I112-'минимумы и максимумы'!G$2)/('минимумы и максимумы'!G$4-'минимумы и максимумы'!G$2)*100)</f>
        <v>13.253012048192772</v>
      </c>
      <c r="J112" s="1">
        <f>IF('исходные данные'!J112&gt;'минимумы и максимумы'!H$4,100,('исходные данные'!J112-'минимумы и максимумы'!H$2)/('минимумы и максимумы'!H$4-'минимумы и максимумы'!H$2)*100)</f>
        <v>37.5</v>
      </c>
      <c r="K112" s="1">
        <f>IF('исходные данные'!K112&gt;'минимумы и максимумы'!I$4,100,('исходные данные'!K112-'минимумы и максимумы'!I$2)/('минимумы и максимумы'!I$4-'минимумы и максимумы'!I$2)*100)</f>
        <v>7.1428571428571423</v>
      </c>
      <c r="L112" s="1">
        <f>IF('исходные данные'!L112&gt;'минимумы и максимумы'!J$4,100,('исходные данные'!L112-'минимумы и максимумы'!J$2)/('минимумы и максимумы'!J$4-'минимумы и максимумы'!J$2)*100)</f>
        <v>0</v>
      </c>
      <c r="M112" s="1">
        <f>IF('исходные данные'!M112&gt;'минимумы и максимумы'!K$4,100,('исходные данные'!M112-'минимумы и максимумы'!K$2)/('минимумы и максимумы'!K$4-'минимумы и максимумы'!K$2)*100)</f>
        <v>31.914893617021278</v>
      </c>
      <c r="N112" s="1">
        <f>IF('исходные данные'!N112&gt;'минимумы и максимумы'!L$4,100,('исходные данные'!N112-'минимумы и максимумы'!L$2)/('минимумы и максимумы'!L$4-'минимумы и максимумы'!L$2)*100)</f>
        <v>10.530030306996611</v>
      </c>
      <c r="O112" s="1">
        <f>IF('исходные данные'!O112&gt;'минимумы и максимумы'!M$4,100,('исходные данные'!O112-'минимумы и максимумы'!M$2)/('минимумы и максимумы'!M$4-'минимумы и максимумы'!M$2)*100)</f>
        <v>100</v>
      </c>
      <c r="P112" s="1">
        <f>IF('исходные данные'!P112&gt;'минимумы и максимумы'!N$4,100,('исходные данные'!P112-'минимумы и максимумы'!N$2)/('минимумы и максимумы'!N$4-'минимумы и максимумы'!N$2)*100)</f>
        <v>0</v>
      </c>
      <c r="Q112" s="1">
        <f>IF('исходные данные'!Q112&gt;'минимумы и максимумы'!O$4,100,('исходные данные'!Q112-'минимумы и максимумы'!O$2)/('минимумы и максимумы'!O$4-'минимумы и максимумы'!O$2)*100)</f>
        <v>100</v>
      </c>
      <c r="R112" s="1">
        <f>IF('исходные данные'!R112&gt;'минимумы и максимумы'!P$4,100,('исходные данные'!R112-'минимумы и максимумы'!P$2)/('минимумы и максимумы'!P$4-'минимумы и максимумы'!P$2)*100)</f>
        <v>100</v>
      </c>
      <c r="S112" s="1">
        <f>IF('исходные данные'!S112&gt;'минимумы и максимумы'!Q$4,100,('исходные данные'!S112-'минимумы и максимумы'!Q$2)/('минимумы и максимумы'!Q$4-'минимумы и максимумы'!Q$2)*100)</f>
        <v>66.666666666666657</v>
      </c>
      <c r="T112" s="1">
        <f>IF('исходные данные'!T112&gt;'минимумы и максимумы'!R$4,100,('исходные данные'!T112-'минимумы и максимумы'!R$2)/('минимумы и максимумы'!R$4-'минимумы и максимумы'!R$2)*100)</f>
        <v>29.775604142692753</v>
      </c>
      <c r="U112" s="1">
        <f>IF('исходные данные'!U112&gt;'минимумы и максимумы'!S$4,100,('исходные данные'!U112-'минимумы и максимумы'!S$2)/('минимумы и максимумы'!S$4-'минимумы и максимумы'!S$2)*100)</f>
        <v>100</v>
      </c>
    </row>
    <row r="113" spans="1:21" x14ac:dyDescent="0.45">
      <c r="A113" s="4">
        <v>177</v>
      </c>
      <c r="B113" s="4">
        <v>1</v>
      </c>
      <c r="C113" s="4">
        <v>0</v>
      </c>
      <c r="D113" s="1">
        <f>IF('исходные данные'!D113&gt;'минимумы и максимумы'!B$4,100,('исходные данные'!D113-'минимумы и максимумы'!B$2)/('минимумы и максимумы'!B$4-'минимумы и максимумы'!B$2)*100)</f>
        <v>50</v>
      </c>
      <c r="E113" s="1">
        <f>IF('исходные данные'!E113&gt;'минимумы и максимумы'!C$4,100,('исходные данные'!E113-'минимумы и максимумы'!C$2)/('минимумы и максимумы'!C$4-'минимумы и максимумы'!C$2)*100)</f>
        <v>75</v>
      </c>
      <c r="F113" s="1">
        <f>IF('исходные данные'!F113&gt;'минимумы и максимумы'!D$4,100,('исходные данные'!F113-'минимумы и максимумы'!D$2)/('минимумы и максимумы'!D$4-'минимумы и максимумы'!D$2)*100)</f>
        <v>25</v>
      </c>
      <c r="G113" s="1">
        <f>IF('исходные данные'!G113&gt;'минимумы и максимумы'!E$4,100,('исходные данные'!G113-'минимумы и максимумы'!E$2)/('минимумы и максимумы'!E$4-'минимумы и максимумы'!E$2)*100)</f>
        <v>62.162162162162161</v>
      </c>
      <c r="H113" s="1">
        <f>IF('исходные данные'!H113&gt;'минимумы и максимумы'!F$4,100,('исходные данные'!H113-'минимумы и максимумы'!F$2)/('минимумы и максимумы'!F$4-'минимумы и максимумы'!F$2)*100)</f>
        <v>63.157894736842103</v>
      </c>
      <c r="I113" s="1">
        <f>IF('исходные данные'!I113&gt;'минимумы и максимумы'!G$4,100,('исходные данные'!I113-'минимумы и максимумы'!G$2)/('минимумы и максимумы'!G$4-'минимумы и максимумы'!G$2)*100)</f>
        <v>53.01204819277109</v>
      </c>
      <c r="J113" s="1">
        <f>IF('исходные данные'!J113&gt;'минимумы и максимумы'!H$4,100,('исходные данные'!J113-'минимумы и максимумы'!H$2)/('минимумы и максимумы'!H$4-'минимумы и максимумы'!H$2)*100)</f>
        <v>58.333333333333336</v>
      </c>
      <c r="K113" s="1">
        <f>IF('исходные данные'!K113&gt;'минимумы и максимумы'!I$4,100,('исходные данные'!K113-'минимумы и максимумы'!I$2)/('минимумы и максимумы'!I$4-'минимумы и максимумы'!I$2)*100)</f>
        <v>17.857142857142858</v>
      </c>
      <c r="L113" s="1">
        <f>IF('исходные данные'!L113&gt;'минимумы и максимумы'!J$4,100,('исходные данные'!L113-'минимумы и максимумы'!J$2)/('минимумы и максимумы'!J$4-'минимумы и максимумы'!J$2)*100)</f>
        <v>62.5</v>
      </c>
      <c r="M113" s="1">
        <f>IF('исходные данные'!M113&gt;'минимумы и максимумы'!K$4,100,('исходные данные'!M113-'минимумы и максимумы'!K$2)/('минимумы и максимумы'!K$4-'минимумы и максимумы'!K$2)*100)</f>
        <v>59.574468085106382</v>
      </c>
      <c r="N113" s="1">
        <f>IF('исходные данные'!N113&gt;'минимумы и максимумы'!L$4,100,('исходные данные'!N113-'минимумы и максимумы'!L$2)/('минимумы и максимумы'!L$4-'минимумы и максимумы'!L$2)*100)</f>
        <v>7.5733793388012076</v>
      </c>
      <c r="O113" s="1">
        <f>IF('исходные данные'!O113&gt;'минимумы и максимумы'!M$4,100,('исходные данные'!O113-'минимумы и максимумы'!M$2)/('минимумы и максимумы'!M$4-'минимумы и максимумы'!M$2)*100)</f>
        <v>66.666666666666657</v>
      </c>
      <c r="P113" s="1">
        <f>IF('исходные данные'!P113&gt;'минимумы и максимумы'!N$4,100,('исходные данные'!P113-'минимумы и максимумы'!N$2)/('минимумы и максимумы'!N$4-'минимумы и максимумы'!N$2)*100)</f>
        <v>100</v>
      </c>
      <c r="Q113" s="1">
        <f>IF('исходные данные'!Q113&gt;'минимумы и максимумы'!O$4,100,('исходные данные'!Q113-'минимумы и максимумы'!O$2)/('минимумы и максимумы'!O$4-'минимумы и максимумы'!O$2)*100)</f>
        <v>100</v>
      </c>
      <c r="R113" s="1">
        <f>IF('исходные данные'!R113&gt;'минимумы и максимумы'!P$4,100,('исходные данные'!R113-'минимумы и максимумы'!P$2)/('минимумы и максимумы'!P$4-'минимумы и максимумы'!P$2)*100)</f>
        <v>75</v>
      </c>
      <c r="S113" s="1">
        <f>IF('исходные данные'!S113&gt;'минимумы и максимумы'!Q$4,100,('исходные данные'!S113-'минимумы и максимумы'!Q$2)/('минимумы и максимумы'!Q$4-'минимумы и максимумы'!Q$2)*100)</f>
        <v>44.444444444444443</v>
      </c>
      <c r="T113" s="1">
        <f>IF('исходные данные'!T113&gt;'минимумы и максимумы'!R$4,100,('исходные данные'!T113-'минимумы и максимумы'!R$2)/('минимумы и максимумы'!R$4-'минимумы и максимумы'!R$2)*100)</f>
        <v>73.30264672036823</v>
      </c>
      <c r="U113" s="1">
        <f>IF('исходные данные'!U113&gt;'минимумы и максимумы'!S$4,100,('исходные данные'!U113-'минимумы и максимумы'!S$2)/('минимумы и максимумы'!S$4-'минимумы и максимумы'!S$2)*100)</f>
        <v>33.333333333333329</v>
      </c>
    </row>
    <row r="114" spans="1:21" x14ac:dyDescent="0.45">
      <c r="A114" s="4">
        <v>178</v>
      </c>
      <c r="B114" s="4">
        <v>0</v>
      </c>
      <c r="C114" s="4">
        <v>0</v>
      </c>
      <c r="D114" s="1">
        <f>IF('исходные данные'!D114&gt;'минимумы и максимумы'!B$4,100,('исходные данные'!D114-'минимумы и максимумы'!B$2)/('минимумы и максимумы'!B$4-'минимумы и максимумы'!B$2)*100)</f>
        <v>62.5</v>
      </c>
      <c r="E114" s="1">
        <f>IF('исходные данные'!E114&gt;'минимумы и максимумы'!C$4,100,('исходные данные'!E114-'минимумы и максимумы'!C$2)/('минимумы и максимумы'!C$4-'минимумы и максимумы'!C$2)*100)</f>
        <v>31.25</v>
      </c>
      <c r="F114" s="1">
        <f>IF('исходные данные'!F114&gt;'минимумы и максимумы'!D$4,100,('исходные данные'!F114-'минимумы и максимумы'!D$2)/('минимумы и максимумы'!D$4-'минимумы и максимумы'!D$2)*100)</f>
        <v>75</v>
      </c>
      <c r="G114" s="1">
        <f>IF('исходные данные'!G114&gt;'минимумы и максимумы'!E$4,100,('исходные данные'!G114-'минимумы и максимумы'!E$2)/('минимумы и максимумы'!E$4-'минимумы и максимумы'!E$2)*100)</f>
        <v>37.837837837837839</v>
      </c>
      <c r="H114" s="1">
        <f>IF('исходные данные'!H114&gt;'минимумы и максимумы'!F$4,100,('исходные данные'!H114-'минимумы и максимумы'!F$2)/('минимумы и максимумы'!F$4-'минимумы и максимумы'!F$2)*100)</f>
        <v>36.84210526315789</v>
      </c>
      <c r="I114" s="1">
        <f>IF('исходные данные'!I114&gt;'минимумы и максимумы'!G$4,100,('исходные данные'!I114-'минимумы и максимумы'!G$2)/('минимумы и максимумы'!G$4-'минимумы и максимумы'!G$2)*100)</f>
        <v>22.891566265060241</v>
      </c>
      <c r="J114" s="1">
        <f>IF('исходные данные'!J114&gt;'минимумы и максимумы'!H$4,100,('исходные данные'!J114-'минимумы и максимумы'!H$2)/('минимумы и максимумы'!H$4-'минимумы и максимумы'!H$2)*100)</f>
        <v>33.333333333333329</v>
      </c>
      <c r="K114" s="1">
        <f>IF('исходные данные'!K114&gt;'минимумы и максимумы'!I$4,100,('исходные данные'!K114-'минимумы и максимумы'!I$2)/('минимумы и максимумы'!I$4-'минимумы и максимумы'!I$2)*100)</f>
        <v>7.1428571428571423</v>
      </c>
      <c r="L114" s="1">
        <f>IF('исходные данные'!L114&gt;'минимумы и максимумы'!J$4,100,('исходные данные'!L114-'минимумы и максимумы'!J$2)/('минимумы и максимумы'!J$4-'минимумы и максимумы'!J$2)*100)</f>
        <v>12.5</v>
      </c>
      <c r="M114" s="1">
        <f>IF('исходные данные'!M114&gt;'минимумы и максимумы'!K$4,100,('исходные данные'!M114-'минимумы и максимумы'!K$2)/('минимумы и максимумы'!K$4-'минимумы и максимумы'!K$2)*100)</f>
        <v>44.680851063829785</v>
      </c>
      <c r="N114" s="1">
        <f>IF('исходные данные'!N114&gt;'минимумы и максимумы'!L$4,100,('исходные данные'!N114-'минимумы и максимумы'!L$2)/('минимумы и максимумы'!L$4-'минимумы и максимумы'!L$2)*100)</f>
        <v>10.024048325802395</v>
      </c>
      <c r="O114" s="1">
        <f>IF('исходные данные'!O114&gt;'минимумы и максимумы'!M$4,100,('исходные данные'!O114-'минимумы и максимумы'!M$2)/('минимумы и максимумы'!M$4-'минимумы и максимумы'!M$2)*100)</f>
        <v>100</v>
      </c>
      <c r="P114" s="1">
        <f>IF('исходные данные'!P114&gt;'минимумы и максимумы'!N$4,100,('исходные данные'!P114-'минимумы и максимумы'!N$2)/('минимумы и максимумы'!N$4-'минимумы и максимумы'!N$2)*100)</f>
        <v>0</v>
      </c>
      <c r="Q114" s="1">
        <f>IF('исходные данные'!Q114&gt;'минимумы и максимумы'!O$4,100,('исходные данные'!Q114-'минимумы и максимумы'!O$2)/('минимумы и максимумы'!O$4-'минимумы и максимумы'!O$2)*100)</f>
        <v>100</v>
      </c>
      <c r="R114" s="1">
        <f>IF('исходные данные'!R114&gt;'минимумы и максимумы'!P$4,100,('исходные данные'!R114-'минимумы и максимумы'!P$2)/('минимумы и максимумы'!P$4-'минимумы и максимумы'!P$2)*100)</f>
        <v>100</v>
      </c>
      <c r="S114" s="1">
        <f>IF('исходные данные'!S114&gt;'минимумы и максимумы'!Q$4,100,('исходные данные'!S114-'минимумы и максимумы'!Q$2)/('минимумы и максимумы'!Q$4-'минимумы и максимумы'!Q$2)*100)</f>
        <v>44.444444444444443</v>
      </c>
      <c r="T114" s="1">
        <f>IF('исходные данные'!T114&gt;'минимумы и максимумы'!R$4,100,('исходные данные'!T114-'минимумы и максимумы'!R$2)/('минимумы и максимумы'!R$4-'минимумы и максимумы'!R$2)*100)</f>
        <v>27.876869965477564</v>
      </c>
      <c r="U114" s="1">
        <f>IF('исходные данные'!U114&gt;'минимумы и максимумы'!S$4,100,('исходные данные'!U114-'минимумы и максимумы'!S$2)/('минимумы и максимумы'!S$4-'минимумы и максимумы'!S$2)*100)</f>
        <v>66.666666666666657</v>
      </c>
    </row>
    <row r="115" spans="1:21" x14ac:dyDescent="0.45">
      <c r="A115" s="4">
        <v>179</v>
      </c>
      <c r="B115" s="4">
        <v>0</v>
      </c>
      <c r="C115" s="4">
        <v>1</v>
      </c>
      <c r="D115" s="1">
        <f>IF('исходные данные'!D115&gt;'минимумы и максимумы'!B$4,100,('исходные данные'!D115-'минимумы и максимумы'!B$2)/('минимумы и максимумы'!B$4-'минимумы и максимумы'!B$2)*100)</f>
        <v>37.5</v>
      </c>
      <c r="E115" s="1">
        <f>IF('исходные данные'!E115&gt;'минимумы и максимумы'!C$4,100,('исходные данные'!E115-'минимумы и максимумы'!C$2)/('минимумы и максимумы'!C$4-'минимумы и максимумы'!C$2)*100)</f>
        <v>68.75</v>
      </c>
      <c r="F115" s="1">
        <f>IF('исходные данные'!F115&gt;'минимумы и максимумы'!D$4,100,('исходные данные'!F115-'минимумы и максимумы'!D$2)/('минимумы и максимумы'!D$4-'минимумы и максимумы'!D$2)*100)</f>
        <v>25</v>
      </c>
      <c r="G115" s="1">
        <f>IF('исходные данные'!G115&gt;'минимумы и максимумы'!E$4,100,('исходные данные'!G115-'минимумы и максимумы'!E$2)/('минимумы и максимумы'!E$4-'минимумы и максимумы'!E$2)*100)</f>
        <v>43.243243243243242</v>
      </c>
      <c r="H115" s="1">
        <f>IF('исходные данные'!H115&gt;'минимумы и максимумы'!F$4,100,('исходные данные'!H115-'минимумы и максимумы'!F$2)/('минимумы и максимумы'!F$4-'минимумы и максимумы'!F$2)*100)</f>
        <v>39.473684210526315</v>
      </c>
      <c r="I115" s="1">
        <f>IF('исходные данные'!I115&gt;'минимумы и максимумы'!G$4,100,('исходные данные'!I115-'минимумы и максимумы'!G$2)/('минимумы и максимумы'!G$4-'минимумы и максимумы'!G$2)*100)</f>
        <v>27.710843373493976</v>
      </c>
      <c r="J115" s="1">
        <f>IF('исходные данные'!J115&gt;'минимумы и максимумы'!H$4,100,('исходные данные'!J115-'минимумы и максимумы'!H$2)/('минимумы и максимумы'!H$4-'минимумы и максимумы'!H$2)*100)</f>
        <v>45.833333333333329</v>
      </c>
      <c r="K115" s="1">
        <f>IF('исходные данные'!K115&gt;'минимумы и максимумы'!I$4,100,('исходные данные'!K115-'минимумы и максимумы'!I$2)/('минимумы и максимумы'!I$4-'минимумы и максимумы'!I$2)*100)</f>
        <v>14.285714285714285</v>
      </c>
      <c r="L115" s="1">
        <f>IF('исходные данные'!L115&gt;'минимумы и максимумы'!J$4,100,('исходные данные'!L115-'минимумы и максимумы'!J$2)/('минимумы и максимумы'!J$4-'минимумы и максимумы'!J$2)*100)</f>
        <v>62.5</v>
      </c>
      <c r="M115" s="1">
        <f>IF('исходные данные'!M115&gt;'минимумы и максимумы'!K$4,100,('исходные данные'!M115-'минимумы и максимумы'!K$2)/('минимумы и максимумы'!K$4-'минимумы и максимумы'!K$2)*100)</f>
        <v>59.574468085106382</v>
      </c>
      <c r="N115" s="1">
        <f>IF('исходные данные'!N115&gt;'минимумы и максимумы'!L$4,100,('исходные данные'!N115-'минимумы и максимумы'!L$2)/('минимумы и максимумы'!L$4-'минимумы и максимумы'!L$2)*100)</f>
        <v>9.2664576874623865</v>
      </c>
      <c r="O115" s="1">
        <f>IF('исходные данные'!O115&gt;'минимумы и максимумы'!M$4,100,('исходные данные'!O115-'минимумы и максимумы'!M$2)/('минимумы и максимумы'!M$4-'минимумы и максимумы'!M$2)*100)</f>
        <v>33.333333333333329</v>
      </c>
      <c r="P115" s="1">
        <f>IF('исходные данные'!P115&gt;'минимумы и максимумы'!N$4,100,('исходные данные'!P115-'минимумы и максимумы'!N$2)/('минимумы и максимумы'!N$4-'минимумы и максимумы'!N$2)*100)</f>
        <v>0</v>
      </c>
      <c r="Q115" s="1">
        <f>IF('исходные данные'!Q115&gt;'минимумы и максимумы'!O$4,100,('исходные данные'!Q115-'минимумы и максимумы'!O$2)/('минимумы и максимумы'!O$4-'минимумы и максимумы'!O$2)*100)</f>
        <v>0</v>
      </c>
      <c r="R115" s="1">
        <f>IF('исходные данные'!R115&gt;'минимумы и максимумы'!P$4,100,('исходные данные'!R115-'минимумы и максимумы'!P$2)/('минимумы и максимумы'!P$4-'минимумы и максимумы'!P$2)*100)</f>
        <v>100</v>
      </c>
      <c r="S115" s="1">
        <f>IF('исходные данные'!S115&gt;'минимумы и максимумы'!Q$4,100,('исходные данные'!S115-'минимумы и максимумы'!Q$2)/('минимумы и максимумы'!Q$4-'минимумы и максимумы'!Q$2)*100)</f>
        <v>22.222222222222221</v>
      </c>
      <c r="T115" s="1">
        <f>IF('исходные данные'!T115&gt;'минимумы и максимумы'!R$4,100,('исходные данные'!T115-'минимумы и максимумы'!R$2)/('минимумы и максимумы'!R$4-'минимумы и максимумы'!R$2)*100)</f>
        <v>3.1933256616800922</v>
      </c>
      <c r="U115" s="1">
        <f>IF('исходные данные'!U115&gt;'минимумы и максимумы'!S$4,100,('исходные данные'!U115-'минимумы и максимумы'!S$2)/('минимумы и максимумы'!S$4-'минимумы и максимумы'!S$2)*100)</f>
        <v>0</v>
      </c>
    </row>
    <row r="116" spans="1:21" x14ac:dyDescent="0.45">
      <c r="A116" s="4">
        <v>180</v>
      </c>
      <c r="B116" s="4">
        <v>0</v>
      </c>
      <c r="C116" s="4">
        <v>0</v>
      </c>
      <c r="D116" s="1">
        <f>IF('исходные данные'!D116&gt;'минимумы и максимумы'!B$4,100,('исходные данные'!D116-'минимумы и максимумы'!B$2)/('минимумы и максимумы'!B$4-'минимумы и максимумы'!B$2)*100)</f>
        <v>25</v>
      </c>
      <c r="E116" s="1">
        <f>IF('исходные данные'!E116&gt;'минимумы и максимумы'!C$4,100,('исходные данные'!E116-'минимумы и максимумы'!C$2)/('минимумы и максимумы'!C$4-'минимумы и максимумы'!C$2)*100)</f>
        <v>50</v>
      </c>
      <c r="F116" s="1">
        <f>IF('исходные данные'!F116&gt;'минимумы и максимумы'!D$4,100,('исходные данные'!F116-'минимумы и максимумы'!D$2)/('минимумы и максимумы'!D$4-'минимумы и максимумы'!D$2)*100)</f>
        <v>25</v>
      </c>
      <c r="G116" s="1">
        <f>IF('исходные данные'!G116&gt;'минимумы и максимумы'!E$4,100,('исходные данные'!G116-'минимумы и максимумы'!E$2)/('минимумы и максимумы'!E$4-'минимумы и максимумы'!E$2)*100)</f>
        <v>45.945945945945951</v>
      </c>
      <c r="H116" s="1">
        <f>IF('исходные данные'!H116&gt;'минимумы и максимумы'!F$4,100,('исходные данные'!H116-'минимумы и максимумы'!F$2)/('минимумы и максимумы'!F$4-'минимумы и максимумы'!F$2)*100)</f>
        <v>47.368421052631575</v>
      </c>
      <c r="I116" s="1">
        <f>IF('исходные данные'!I116&gt;'минимумы и максимумы'!G$4,100,('исходные данные'!I116-'минимумы и максимумы'!G$2)/('минимумы и максимумы'!G$4-'минимумы и максимумы'!G$2)*100)</f>
        <v>38.554216867469883</v>
      </c>
      <c r="J116" s="1">
        <f>IF('исходные данные'!J116&gt;'минимумы и максимумы'!H$4,100,('исходные данные'!J116-'минимумы и максимумы'!H$2)/('минимумы и максимумы'!H$4-'минимумы и максимумы'!H$2)*100)</f>
        <v>41.666666666666671</v>
      </c>
      <c r="K116" s="1">
        <f>IF('исходные данные'!K116&gt;'минимумы и максимумы'!I$4,100,('исходные данные'!K116-'минимумы и максимумы'!I$2)/('минимумы и максимумы'!I$4-'минимумы и максимумы'!I$2)*100)</f>
        <v>10.714285714285714</v>
      </c>
      <c r="L116" s="1">
        <f>IF('исходные данные'!L116&gt;'минимумы и максимумы'!J$4,100,('исходные данные'!L116-'минимумы и максимумы'!J$2)/('минимумы и максимумы'!J$4-'минимумы и максимумы'!J$2)*100)</f>
        <v>75</v>
      </c>
      <c r="M116" s="1">
        <f>IF('исходные данные'!M116&gt;'минимумы и максимумы'!K$4,100,('исходные данные'!M116-'минимумы и максимумы'!K$2)/('минимумы и максимумы'!K$4-'минимумы и максимумы'!K$2)*100)</f>
        <v>59.574468085106382</v>
      </c>
      <c r="N116" s="1">
        <f>IF('исходные данные'!N116&gt;'минимумы и максимумы'!L$4,100,('исходные данные'!N116-'минимумы и максимумы'!L$2)/('минимумы и максимумы'!L$4-'минимумы и максимумы'!L$2)*100)</f>
        <v>9.2477602800367968</v>
      </c>
      <c r="O116" s="1">
        <f>IF('исходные данные'!O116&gt;'минимумы и максимумы'!M$4,100,('исходные данные'!O116-'минимумы и максимумы'!M$2)/('минимумы и максимумы'!M$4-'минимумы и максимумы'!M$2)*100)</f>
        <v>100</v>
      </c>
      <c r="P116" s="1">
        <f>IF('исходные данные'!P116&gt;'минимумы и максимумы'!N$4,100,('исходные данные'!P116-'минимумы и максимумы'!N$2)/('минимумы и максимумы'!N$4-'минимумы и максимумы'!N$2)*100)</f>
        <v>100</v>
      </c>
      <c r="Q116" s="1">
        <f>IF('исходные данные'!Q116&gt;'минимумы и максимумы'!O$4,100,('исходные данные'!Q116-'минимумы и максимумы'!O$2)/('минимумы и максимумы'!O$4-'минимумы и максимумы'!O$2)*100)</f>
        <v>100</v>
      </c>
      <c r="R116" s="1">
        <f>IF('исходные данные'!R116&gt;'минимумы и максимумы'!P$4,100,('исходные данные'!R116-'минимумы и максимумы'!P$2)/('минимумы и максимумы'!P$4-'минимумы и максимумы'!P$2)*100)</f>
        <v>100</v>
      </c>
      <c r="S116" s="1">
        <f>IF('исходные данные'!S116&gt;'минимумы и максимумы'!Q$4,100,('исходные данные'!S116-'минимумы и максимумы'!Q$2)/('минимумы и максимумы'!Q$4-'минимумы и максимумы'!Q$2)*100)</f>
        <v>33.333333333333329</v>
      </c>
      <c r="T116" s="1">
        <f>IF('исходные данные'!T116&gt;'минимумы и максимумы'!R$4,100,('исходные данные'!T116-'минимумы и максимумы'!R$2)/('минимумы и максимумы'!R$4-'минимумы и максимумы'!R$2)*100)</f>
        <v>27.445339470655927</v>
      </c>
      <c r="U116" s="1">
        <f>IF('исходные данные'!U116&gt;'минимумы и максимумы'!S$4,100,('исходные данные'!U116-'минимумы и максимумы'!S$2)/('минимумы и максимумы'!S$4-'минимумы и максимумы'!S$2)*100)</f>
        <v>66.666666666666657</v>
      </c>
    </row>
    <row r="117" spans="1:21" x14ac:dyDescent="0.45">
      <c r="A117" s="4">
        <v>181</v>
      </c>
      <c r="B117" s="4">
        <v>0</v>
      </c>
      <c r="C117" s="4">
        <v>0</v>
      </c>
      <c r="D117" s="1">
        <f>IF('исходные данные'!D117&gt;'минимумы и максимумы'!B$4,100,('исходные данные'!D117-'минимумы и максимумы'!B$2)/('минимумы и максимумы'!B$4-'минимумы и максимумы'!B$2)*100)</f>
        <v>25</v>
      </c>
      <c r="E117" s="1">
        <f>IF('исходные данные'!E117&gt;'минимумы и максимумы'!C$4,100,('исходные данные'!E117-'минимумы и максимумы'!C$2)/('минимумы и максимумы'!C$4-'минимумы и максимумы'!C$2)*100)</f>
        <v>75</v>
      </c>
      <c r="F117" s="1">
        <f>IF('исходные данные'!F117&gt;'минимумы и максимумы'!D$4,100,('исходные данные'!F117-'минимумы и максимумы'!D$2)/('минимумы и максимумы'!D$4-'минимумы и максимумы'!D$2)*100)</f>
        <v>0</v>
      </c>
      <c r="G117" s="1">
        <f>IF('исходные данные'!G117&gt;'минимумы и максимумы'!E$4,100,('исходные данные'!G117-'минимумы и максимумы'!E$2)/('минимумы и максимумы'!E$4-'минимумы и максимумы'!E$2)*100)</f>
        <v>45.945945945945951</v>
      </c>
      <c r="H117" s="1">
        <f>IF('исходные данные'!H117&gt;'минимумы и максимумы'!F$4,100,('исходные данные'!H117-'минимумы и максимумы'!F$2)/('минимумы и максимумы'!F$4-'минимумы и максимумы'!F$2)*100)</f>
        <v>34.210526315789473</v>
      </c>
      <c r="I117" s="1">
        <f>IF('исходные данные'!I117&gt;'минимумы и максимумы'!G$4,100,('исходные данные'!I117-'минимумы и максимумы'!G$2)/('минимумы и максимумы'!G$4-'минимумы и максимумы'!G$2)*100)</f>
        <v>38.554216867469883</v>
      </c>
      <c r="J117" s="1">
        <f>IF('исходные данные'!J117&gt;'минимумы и максимумы'!H$4,100,('исходные данные'!J117-'минимумы и максимумы'!H$2)/('минимумы и максимумы'!H$4-'минимумы и максимумы'!H$2)*100)</f>
        <v>70.833333333333343</v>
      </c>
      <c r="K117" s="1">
        <f>IF('исходные данные'!K117&gt;'минимумы и максимумы'!I$4,100,('исходные данные'!K117-'минимумы и максимумы'!I$2)/('минимумы и максимумы'!I$4-'минимумы и максимумы'!I$2)*100)</f>
        <v>21.428571428571427</v>
      </c>
      <c r="L117" s="1">
        <f>IF('исходные данные'!L117&gt;'минимумы и максимумы'!J$4,100,('исходные данные'!L117-'минимумы и максимумы'!J$2)/('минимумы и максимумы'!J$4-'минимумы и максимумы'!J$2)*100)</f>
        <v>75</v>
      </c>
      <c r="M117" s="1">
        <f>IF('исходные данные'!M117&gt;'минимумы и максимумы'!K$4,100,('исходные данные'!M117-'минимумы и максимумы'!K$2)/('минимумы и максимумы'!K$4-'минимумы и максимумы'!K$2)*100)</f>
        <v>53.191489361702125</v>
      </c>
      <c r="N117" s="1">
        <f>IF('исходные данные'!N117&gt;'минимумы и максимумы'!L$4,100,('исходные данные'!N117-'минимумы и максимумы'!L$2)/('минимумы и максимумы'!L$4-'минимумы и максимумы'!L$2)*100)</f>
        <v>8.2864894860779685</v>
      </c>
      <c r="O117" s="1">
        <f>IF('исходные данные'!O117&gt;'минимумы и максимумы'!M$4,100,('исходные данные'!O117-'минимумы и максимумы'!M$2)/('минимумы и максимумы'!M$4-'минимумы и максимумы'!M$2)*100)</f>
        <v>0</v>
      </c>
      <c r="P117" s="1">
        <f>IF('исходные данные'!P117&gt;'минимумы и максимумы'!N$4,100,('исходные данные'!P117-'минимумы и максимумы'!N$2)/('минимумы и максимумы'!N$4-'минимумы и максимумы'!N$2)*100)</f>
        <v>100</v>
      </c>
      <c r="Q117" s="1">
        <f>IF('исходные данные'!Q117&gt;'минимумы и максимумы'!O$4,100,('исходные данные'!Q117-'минимумы и максимумы'!O$2)/('минимумы и максимумы'!O$4-'минимумы и максимумы'!O$2)*100)</f>
        <v>100</v>
      </c>
      <c r="R117" s="1">
        <f>IF('исходные данные'!R117&gt;'минимумы и максимумы'!P$4,100,('исходные данные'!R117-'минимумы и максимумы'!P$2)/('минимумы и максимумы'!P$4-'минимумы и максимумы'!P$2)*100)</f>
        <v>100</v>
      </c>
      <c r="S117" s="1">
        <f>IF('исходные данные'!S117&gt;'минимумы и максимумы'!Q$4,100,('исходные данные'!S117-'минимумы и максимумы'!Q$2)/('минимумы и максимумы'!Q$4-'минимумы и максимумы'!Q$2)*100)</f>
        <v>44.444444444444443</v>
      </c>
      <c r="T117" s="1">
        <f>IF('исходные данные'!T117&gt;'минимумы и максимумы'!R$4,100,('исходные данные'!T117-'минимумы и максимумы'!R$2)/('минимумы и максимумы'!R$4-'минимумы и максимумы'!R$2)*100)</f>
        <v>29.487917146144994</v>
      </c>
      <c r="U117" s="1">
        <f>IF('исходные данные'!U117&gt;'минимумы и максимумы'!S$4,100,('исходные данные'!U117-'минимумы и максимумы'!S$2)/('минимумы и максимумы'!S$4-'минимумы и максимумы'!S$2)*100)</f>
        <v>100</v>
      </c>
    </row>
    <row r="118" spans="1:21" x14ac:dyDescent="0.45">
      <c r="A118" s="4">
        <v>182</v>
      </c>
      <c r="B118" s="4">
        <v>0</v>
      </c>
      <c r="C118" s="4">
        <v>0</v>
      </c>
      <c r="D118" s="1">
        <f>IF('исходные данные'!D118&gt;'минимумы и максимумы'!B$4,100,('исходные данные'!D118-'минимумы и максимумы'!B$2)/('минимумы и максимумы'!B$4-'минимумы и максимумы'!B$2)*100)</f>
        <v>37.5</v>
      </c>
      <c r="E118" s="1">
        <f>IF('исходные данные'!E118&gt;'минимумы и максимумы'!C$4,100,('исходные данные'!E118-'минимумы и максимумы'!C$2)/('минимумы и максимумы'!C$4-'минимумы и максимумы'!C$2)*100)</f>
        <v>75</v>
      </c>
      <c r="F118" s="1">
        <f>IF('исходные данные'!F118&gt;'минимумы и максимумы'!D$4,100,('исходные данные'!F118-'минимумы и максимумы'!D$2)/('минимумы и максимумы'!D$4-'минимумы и максимумы'!D$2)*100)</f>
        <v>25</v>
      </c>
      <c r="G118" s="1">
        <f>IF('исходные данные'!G118&gt;'минимумы и максимумы'!E$4,100,('исходные данные'!G118-'минимумы и максимумы'!E$2)/('минимумы и максимумы'!E$4-'минимумы и максимумы'!E$2)*100)</f>
        <v>43.243243243243242</v>
      </c>
      <c r="H118" s="1">
        <f>IF('исходные данные'!H118&gt;'минимумы и максимумы'!F$4,100,('исходные данные'!H118-'минимумы и максимумы'!F$2)/('минимумы и максимумы'!F$4-'минимумы и максимумы'!F$2)*100)</f>
        <v>28.947368421052634</v>
      </c>
      <c r="I118" s="1">
        <f>IF('исходные данные'!I118&gt;'минимумы и максимумы'!G$4,100,('исходные данные'!I118-'минимумы и максимумы'!G$2)/('минимумы и максимумы'!G$4-'минимумы и максимумы'!G$2)*100)</f>
        <v>49.397590361445779</v>
      </c>
      <c r="J118" s="1">
        <f>IF('исходные данные'!J118&gt;'минимумы и максимумы'!H$4,100,('исходные данные'!J118-'минимумы и максимумы'!H$2)/('минимумы и максимумы'!H$4-'минимумы и максимумы'!H$2)*100)</f>
        <v>79.166666666666657</v>
      </c>
      <c r="K118" s="1">
        <f>IF('исходные данные'!K118&gt;'минимумы и максимумы'!I$4,100,('исходные данные'!K118-'минимумы и максимумы'!I$2)/('минимумы и максимумы'!I$4-'минимумы и максимумы'!I$2)*100)</f>
        <v>21.428571428571427</v>
      </c>
      <c r="L118" s="1">
        <f>IF('исходные данные'!L118&gt;'минимумы и максимумы'!J$4,100,('исходные данные'!L118-'минимумы и максимумы'!J$2)/('минимумы и максимумы'!J$4-'минимумы и максимумы'!J$2)*100)</f>
        <v>0</v>
      </c>
      <c r="M118" s="1">
        <f>IF('исходные данные'!M118&gt;'минимумы и максимумы'!K$4,100,('исходные данные'!M118-'минимумы и максимумы'!K$2)/('минимумы и максимумы'!K$4-'минимумы и максимумы'!K$2)*100)</f>
        <v>51.063829787234042</v>
      </c>
      <c r="N118" s="1">
        <f>IF('исходные данные'!N118&gt;'минимумы и максимумы'!L$4,100,('исходные данные'!N118-'минимумы и максимумы'!L$2)/('минимумы и максимумы'!L$4-'минимумы и максимумы'!L$2)*100)</f>
        <v>7.525452282115193</v>
      </c>
      <c r="O118" s="1">
        <f>IF('исходные данные'!O118&gt;'минимумы и максимумы'!M$4,100,('исходные данные'!O118-'минимумы и максимумы'!M$2)/('минимумы и максимумы'!M$4-'минимумы и максимумы'!M$2)*100)</f>
        <v>66.666666666666657</v>
      </c>
      <c r="P118" s="1">
        <f>IF('исходные данные'!P118&gt;'минимумы и максимумы'!N$4,100,('исходные данные'!P118-'минимумы и максимумы'!N$2)/('минимумы и максимумы'!N$4-'минимумы и максимумы'!N$2)*100)</f>
        <v>100</v>
      </c>
      <c r="Q118" s="1">
        <f>IF('исходные данные'!Q118&gt;'минимумы и максимумы'!O$4,100,('исходные данные'!Q118-'минимумы и максимумы'!O$2)/('минимумы и максимумы'!O$4-'минимумы и максимумы'!O$2)*100)</f>
        <v>100</v>
      </c>
      <c r="R118" s="1">
        <f>IF('исходные данные'!R118&gt;'минимумы и максимумы'!P$4,100,('исходные данные'!R118-'минимумы и максимумы'!P$2)/('минимумы и максимумы'!P$4-'минимумы и максимумы'!P$2)*100)</f>
        <v>100</v>
      </c>
      <c r="S118" s="1">
        <f>IF('исходные данные'!S118&gt;'минимумы и максимумы'!Q$4,100,('исходные данные'!S118-'минимумы и максимумы'!Q$2)/('минимумы и максимумы'!Q$4-'минимумы и максимумы'!Q$2)*100)</f>
        <v>33.333333333333329</v>
      </c>
      <c r="T118" s="1">
        <f>IF('исходные данные'!T118&gt;'минимумы и максимумы'!R$4,100,('исходные данные'!T118-'минимумы и максимумы'!R$2)/('минимумы и максимумы'!R$4-'минимумы и максимумы'!R$2)*100)</f>
        <v>47.12313003452244</v>
      </c>
      <c r="U118" s="1">
        <f>IF('исходные данные'!U118&gt;'минимумы и максимумы'!S$4,100,('исходные данные'!U118-'минимумы и максимумы'!S$2)/('минимумы и максимумы'!S$4-'минимумы и максимумы'!S$2)*100)</f>
        <v>0</v>
      </c>
    </row>
    <row r="119" spans="1:21" x14ac:dyDescent="0.45">
      <c r="A119" s="4">
        <v>183</v>
      </c>
      <c r="B119" s="4">
        <v>0</v>
      </c>
      <c r="C119" s="4">
        <v>0</v>
      </c>
      <c r="D119" s="1">
        <f>IF('исходные данные'!D119&gt;'минимумы и максимумы'!B$4,100,('исходные данные'!D119-'минимумы и максимумы'!B$2)/('минимумы и максимумы'!B$4-'минимумы и максимумы'!B$2)*100)</f>
        <v>25</v>
      </c>
      <c r="E119" s="1">
        <f>IF('исходные данные'!E119&gt;'минимумы и максимумы'!C$4,100,('исходные данные'!E119-'минимумы и максимумы'!C$2)/('минимумы и максимумы'!C$4-'минимумы и максимумы'!C$2)*100)</f>
        <v>75</v>
      </c>
      <c r="F119" s="1">
        <f>IF('исходные данные'!F119&gt;'минимумы и максимумы'!D$4,100,('исходные данные'!F119-'минимумы и максимумы'!D$2)/('минимумы и максимумы'!D$4-'минимумы и максимумы'!D$2)*100)</f>
        <v>25</v>
      </c>
      <c r="G119" s="1">
        <f>IF('исходные данные'!G119&gt;'минимумы и максимумы'!E$4,100,('исходные данные'!G119-'минимумы и максимумы'!E$2)/('минимумы и максимумы'!E$4-'минимумы и максимумы'!E$2)*100)</f>
        <v>40.54054054054054</v>
      </c>
      <c r="H119" s="1">
        <f>IF('исходные данные'!H119&gt;'минимумы и максимумы'!F$4,100,('исходные данные'!H119-'минимумы и максимумы'!F$2)/('минимумы и максимумы'!F$4-'минимумы и максимумы'!F$2)*100)</f>
        <v>31.578947368421051</v>
      </c>
      <c r="I119" s="1">
        <f>IF('исходные данные'!I119&gt;'минимумы и максимумы'!G$4,100,('исходные данные'!I119-'минимумы и максимумы'!G$2)/('минимумы и максимумы'!G$4-'минимумы и максимумы'!G$2)*100)</f>
        <v>48.192771084337352</v>
      </c>
      <c r="J119" s="1">
        <f>IF('исходные данные'!J119&gt;'минимумы и максимумы'!H$4,100,('исходные данные'!J119-'минимумы и максимумы'!H$2)/('минимумы и максимумы'!H$4-'минимумы и максимумы'!H$2)*100)</f>
        <v>62.5</v>
      </c>
      <c r="K119" s="1">
        <f>IF('исходные данные'!K119&gt;'минимумы и максимумы'!I$4,100,('исходные данные'!K119-'минимумы и максимумы'!I$2)/('минимумы и максимумы'!I$4-'минимумы и максимумы'!I$2)*100)</f>
        <v>14.285714285714285</v>
      </c>
      <c r="L119" s="1">
        <f>IF('исходные данные'!L119&gt;'минимумы и максимумы'!J$4,100,('исходные данные'!L119-'минимумы и максимумы'!J$2)/('минимумы и максимумы'!J$4-'минимумы и максимумы'!J$2)*100)</f>
        <v>87.5</v>
      </c>
      <c r="M119" s="1">
        <f>IF('исходные данные'!M119&gt;'минимумы и максимумы'!K$4,100,('исходные данные'!M119-'минимумы и максимумы'!K$2)/('минимумы и максимумы'!K$4-'минимумы и максимумы'!K$2)*100)</f>
        <v>53.191489361702125</v>
      </c>
      <c r="N119" s="1">
        <f>IF('исходные данные'!N119&gt;'минимумы и максимумы'!L$4,100,('исходные данные'!N119-'минимумы и максимумы'!L$2)/('минимумы и максимумы'!L$4-'минимумы и максимумы'!L$2)*100)</f>
        <v>7.7500549964781476</v>
      </c>
      <c r="O119" s="1">
        <f>IF('исходные данные'!O119&gt;'минимумы и максимумы'!M$4,100,('исходные данные'!O119-'минимумы и максимумы'!M$2)/('минимумы и максимумы'!M$4-'минимумы и максимумы'!M$2)*100)</f>
        <v>100</v>
      </c>
      <c r="P119" s="1">
        <f>IF('исходные данные'!P119&gt;'минимумы и максимумы'!N$4,100,('исходные данные'!P119-'минимумы и максимумы'!N$2)/('минимумы и максимумы'!N$4-'минимумы и максимумы'!N$2)*100)</f>
        <v>0</v>
      </c>
      <c r="Q119" s="1">
        <f>IF('исходные данные'!Q119&gt;'минимумы и максимумы'!O$4,100,('исходные данные'!Q119-'минимумы и максимумы'!O$2)/('минимумы и максимумы'!O$4-'минимумы и максимумы'!O$2)*100)</f>
        <v>100</v>
      </c>
      <c r="R119" s="1">
        <f>IF('исходные данные'!R119&gt;'минимумы и максимумы'!P$4,100,('исходные данные'!R119-'минимумы и максимумы'!P$2)/('минимумы и максимумы'!P$4-'минимумы и максимумы'!P$2)*100)</f>
        <v>100</v>
      </c>
      <c r="S119" s="1">
        <f>IF('исходные данные'!S119&gt;'минимумы и максимумы'!Q$4,100,('исходные данные'!S119-'минимумы и максимумы'!Q$2)/('минимумы и максимумы'!Q$4-'минимумы и максимумы'!Q$2)*100)</f>
        <v>44.444444444444443</v>
      </c>
      <c r="T119" s="1">
        <f>IF('исходные данные'!T119&gt;'минимумы и максимумы'!R$4,100,('исходные данные'!T119-'минимумы и максимумы'!R$2)/('минимумы и максимумы'!R$4-'минимумы и максимумы'!R$2)*100)</f>
        <v>26.237054085155354</v>
      </c>
      <c r="U119" s="1">
        <f>IF('исходные данные'!U119&gt;'минимумы и максимумы'!S$4,100,('исходные данные'!U119-'минимумы и максимумы'!S$2)/('минимумы и максимумы'!S$4-'минимумы и максимумы'!S$2)*100)</f>
        <v>66.666666666666657</v>
      </c>
    </row>
    <row r="120" spans="1:21" x14ac:dyDescent="0.45">
      <c r="A120" s="4">
        <v>184</v>
      </c>
      <c r="B120" s="4">
        <v>1</v>
      </c>
      <c r="C120" s="4">
        <v>0</v>
      </c>
      <c r="D120" s="1">
        <f>IF('исходные данные'!D120&gt;'минимумы и максимумы'!B$4,100,('исходные данные'!D120-'минимумы и максимумы'!B$2)/('минимумы и максимумы'!B$4-'минимумы и максимумы'!B$2)*100)</f>
        <v>25</v>
      </c>
      <c r="E120" s="1">
        <f>IF('исходные данные'!E120&gt;'минимумы и максимумы'!C$4,100,('исходные данные'!E120-'минимумы и максимумы'!C$2)/('минимумы и максимумы'!C$4-'минимумы и максимумы'!C$2)*100)</f>
        <v>62.5</v>
      </c>
      <c r="F120" s="1">
        <f>IF('исходные данные'!F120&gt;'минимумы и максимумы'!D$4,100,('исходные данные'!F120-'минимумы и максимумы'!D$2)/('минимумы и максимумы'!D$4-'минимумы и максимумы'!D$2)*100)</f>
        <v>0</v>
      </c>
      <c r="G120" s="1">
        <f>IF('исходные данные'!G120&gt;'минимумы и максимумы'!E$4,100,('исходные данные'!G120-'минимумы и максимумы'!E$2)/('минимумы и максимумы'!E$4-'минимумы и максимумы'!E$2)*100)</f>
        <v>48.648648648648653</v>
      </c>
      <c r="H120" s="1">
        <f>IF('исходные данные'!H120&gt;'минимумы и максимумы'!F$4,100,('исходные данные'!H120-'минимумы и максимумы'!F$2)/('минимумы и максимумы'!F$4-'минимумы и максимумы'!F$2)*100)</f>
        <v>28.947368421052634</v>
      </c>
      <c r="I120" s="1">
        <f>IF('исходные данные'!I120&gt;'минимумы и максимумы'!G$4,100,('исходные данные'!I120-'минимумы и максимумы'!G$2)/('минимумы и максимумы'!G$4-'минимумы и максимумы'!G$2)*100)</f>
        <v>42.168674698795186</v>
      </c>
      <c r="J120" s="1">
        <f>IF('исходные данные'!J120&gt;'минимумы и максимумы'!H$4,100,('исходные данные'!J120-'минимумы и максимумы'!H$2)/('минимумы и максимумы'!H$4-'минимумы и максимумы'!H$2)*100)</f>
        <v>58.333333333333336</v>
      </c>
      <c r="K120" s="1">
        <f>IF('исходные данные'!K120&gt;'минимумы и максимумы'!I$4,100,('исходные данные'!K120-'минимумы и максимумы'!I$2)/('минимумы и максимумы'!I$4-'минимумы и максимумы'!I$2)*100)</f>
        <v>25</v>
      </c>
      <c r="L120" s="1">
        <f>IF('исходные данные'!L120&gt;'минимумы и максимумы'!J$4,100,('исходные данные'!L120-'минимумы и максимумы'!J$2)/('минимумы и максимумы'!J$4-'минимумы и максимумы'!J$2)*100)</f>
        <v>75</v>
      </c>
      <c r="M120" s="1">
        <f>IF('исходные данные'!M120&gt;'минимумы и максимумы'!K$4,100,('исходные данные'!M120-'минимумы и максимумы'!K$2)/('минимумы и максимумы'!K$4-'минимумы и максимумы'!K$2)*100)</f>
        <v>55.319148936170215</v>
      </c>
      <c r="N120" s="1">
        <f>IF('исходные данные'!N120&gt;'минимумы и максимумы'!L$4,100,('исходные данные'!N120-'минимумы и максимумы'!L$2)/('минимумы и максимумы'!L$4-'минимумы и максимумы'!L$2)*100)</f>
        <v>7.8449979493688771</v>
      </c>
      <c r="O120" s="1">
        <f>IF('исходные данные'!O120&gt;'минимумы и максимумы'!M$4,100,('исходные данные'!O120-'минимумы и максимумы'!M$2)/('минимумы и максимумы'!M$4-'минимумы и максимумы'!M$2)*100)</f>
        <v>0</v>
      </c>
      <c r="P120" s="1">
        <f>IF('исходные данные'!P120&gt;'минимумы и максимумы'!N$4,100,('исходные данные'!P120-'минимумы и максимумы'!N$2)/('минимумы и максимумы'!N$4-'минимумы и максимумы'!N$2)*100)</f>
        <v>0</v>
      </c>
      <c r="Q120" s="1">
        <f>IF('исходные данные'!Q120&gt;'минимумы и максимумы'!O$4,100,('исходные данные'!Q120-'минимумы и максимумы'!O$2)/('минимумы и максимумы'!O$4-'минимумы и максимумы'!O$2)*100)</f>
        <v>100</v>
      </c>
      <c r="R120" s="1">
        <f>IF('исходные данные'!R120&gt;'минимумы и максимумы'!P$4,100,('исходные данные'!R120-'минимумы и максимумы'!P$2)/('минимумы и максимумы'!P$4-'минимумы и максимумы'!P$2)*100)</f>
        <v>100</v>
      </c>
      <c r="S120" s="1">
        <f>IF('исходные данные'!S120&gt;'минимумы и максимумы'!Q$4,100,('исходные данные'!S120-'минимумы и максимумы'!Q$2)/('минимумы и максимумы'!Q$4-'минимумы и максимумы'!Q$2)*100)</f>
        <v>22.222222222222221</v>
      </c>
      <c r="T120" s="1">
        <f>IF('исходные данные'!T120&gt;'минимумы и максимумы'!R$4,100,('исходные данные'!T120-'минимумы и максимумы'!R$2)/('минимумы и максимумы'!R$4-'минимумы и максимумы'!R$2)*100)</f>
        <v>9.0909090909090917</v>
      </c>
      <c r="U120" s="1">
        <f>IF('исходные данные'!U120&gt;'минимумы и максимумы'!S$4,100,('исходные данные'!U120-'минимумы и максимумы'!S$2)/('минимумы и максимумы'!S$4-'минимумы и максимумы'!S$2)*100)</f>
        <v>66.666666666666657</v>
      </c>
    </row>
    <row r="121" spans="1:21" x14ac:dyDescent="0.45">
      <c r="A121" s="4">
        <v>185</v>
      </c>
      <c r="B121" s="4">
        <v>0</v>
      </c>
      <c r="C121" s="4">
        <v>0</v>
      </c>
      <c r="D121" s="1">
        <f>IF('исходные данные'!D121&gt;'минимумы и максимумы'!B$4,100,('исходные данные'!D121-'минимумы и максимумы'!B$2)/('минимумы и максимумы'!B$4-'минимумы и максимумы'!B$2)*100)</f>
        <v>25</v>
      </c>
      <c r="E121" s="1">
        <f>IF('исходные данные'!E121&gt;'минимумы и максимумы'!C$4,100,('исходные данные'!E121-'минимумы и максимумы'!C$2)/('минимумы и максимумы'!C$4-'минимумы и максимумы'!C$2)*100)</f>
        <v>62.5</v>
      </c>
      <c r="F121" s="1">
        <f>IF('исходные данные'!F121&gt;'минимумы и максимумы'!D$4,100,('исходные данные'!F121-'минимумы и максимумы'!D$2)/('минимумы и максимумы'!D$4-'минимумы и максимумы'!D$2)*100)</f>
        <v>0</v>
      </c>
      <c r="G121" s="1">
        <f>IF('исходные данные'!G121&gt;'минимумы и максимумы'!E$4,100,('исходные данные'!G121-'минимумы и максимумы'!E$2)/('минимумы и максимумы'!E$4-'минимумы и максимумы'!E$2)*100)</f>
        <v>48.648648648648653</v>
      </c>
      <c r="H121" s="1">
        <f>IF('исходные данные'!H121&gt;'минимумы и максимумы'!F$4,100,('исходные данные'!H121-'минимумы и максимумы'!F$2)/('минимумы и максимумы'!F$4-'минимумы и максимумы'!F$2)*100)</f>
        <v>28.947368421052634</v>
      </c>
      <c r="I121" s="1">
        <f>IF('исходные данные'!I121&gt;'минимумы и максимумы'!G$4,100,('исходные данные'!I121-'минимумы и максимумы'!G$2)/('минимумы и максимумы'!G$4-'минимумы и максимумы'!G$2)*100)</f>
        <v>42.168674698795186</v>
      </c>
      <c r="J121" s="1">
        <f>IF('исходные данные'!J121&gt;'минимумы и максимумы'!H$4,100,('исходные данные'!J121-'минимумы и максимумы'!H$2)/('минимумы и максимумы'!H$4-'минимумы и максимумы'!H$2)*100)</f>
        <v>58.333333333333336</v>
      </c>
      <c r="K121" s="1">
        <f>IF('исходные данные'!K121&gt;'минимумы и максимумы'!I$4,100,('исходные данные'!K121-'минимумы и максимумы'!I$2)/('минимумы и максимумы'!I$4-'минимумы и максимумы'!I$2)*100)</f>
        <v>25</v>
      </c>
      <c r="L121" s="1">
        <f>IF('исходные данные'!L121&gt;'минимумы и максимумы'!J$4,100,('исходные данные'!L121-'минимумы и максимумы'!J$2)/('минимумы и максимумы'!J$4-'минимумы и максимумы'!J$2)*100)</f>
        <v>75</v>
      </c>
      <c r="M121" s="1">
        <f>IF('исходные данные'!M121&gt;'минимумы и максимумы'!K$4,100,('исходные данные'!M121-'минимумы и максимумы'!K$2)/('минимумы и максимумы'!K$4-'минимумы и максимумы'!K$2)*100)</f>
        <v>55.319148936170215</v>
      </c>
      <c r="N121" s="1">
        <f>IF('исходные данные'!N121&gt;'минимумы и максимумы'!L$4,100,('исходные данные'!N121-'минимумы и максимумы'!L$2)/('минимумы и максимумы'!L$4-'минимумы и максимумы'!L$2)*100)</f>
        <v>8.2577122197076243</v>
      </c>
      <c r="O121" s="1">
        <f>IF('исходные данные'!O121&gt;'минимумы и максимумы'!M$4,100,('исходные данные'!O121-'минимумы и максимумы'!M$2)/('минимумы и максимумы'!M$4-'минимумы и максимумы'!M$2)*100)</f>
        <v>33.333333333333329</v>
      </c>
      <c r="P121" s="1">
        <f>IF('исходные данные'!P121&gt;'минимумы и максимумы'!N$4,100,('исходные данные'!P121-'минимумы и максимумы'!N$2)/('минимумы и максимумы'!N$4-'минимумы и максимумы'!N$2)*100)</f>
        <v>100</v>
      </c>
      <c r="Q121" s="1">
        <f>IF('исходные данные'!Q121&gt;'минимумы и максимумы'!O$4,100,('исходные данные'!Q121-'минимумы и максимумы'!O$2)/('минимумы и максимумы'!O$4-'минимумы и максимумы'!O$2)*100)</f>
        <v>100</v>
      </c>
      <c r="R121" s="1">
        <f>IF('исходные данные'!R121&gt;'минимумы и максимумы'!P$4,100,('исходные данные'!R121-'минимумы и максимумы'!P$2)/('минимумы и максимумы'!P$4-'минимумы и максимумы'!P$2)*100)</f>
        <v>100</v>
      </c>
      <c r="S121" s="1">
        <f>IF('исходные данные'!S121&gt;'минимумы и максимумы'!Q$4,100,('исходные данные'!S121-'минимумы и максимумы'!Q$2)/('минимумы и максимумы'!Q$4-'минимумы и максимумы'!Q$2)*100)</f>
        <v>33.333333333333329</v>
      </c>
      <c r="T121" s="1">
        <f>IF('исходные данные'!T121&gt;'минимумы и максимумы'!R$4,100,('исходные данные'!T121-'минимумы и максимумы'!R$2)/('минимумы и максимумы'!R$4-'минимумы и максимумы'!R$2)*100)</f>
        <v>14.47065592635213</v>
      </c>
      <c r="U121" s="1">
        <f>IF('исходные данные'!U121&gt;'минимумы и максимумы'!S$4,100,('исходные данные'!U121-'минимумы и максимумы'!S$2)/('минимумы и максимумы'!S$4-'минимумы и максимумы'!S$2)*100)</f>
        <v>66.666666666666657</v>
      </c>
    </row>
    <row r="122" spans="1:21" x14ac:dyDescent="0.45">
      <c r="A122" s="4">
        <v>186</v>
      </c>
      <c r="B122" s="4">
        <v>0</v>
      </c>
      <c r="C122" s="4">
        <v>0</v>
      </c>
      <c r="D122" s="1">
        <f>IF('исходные данные'!D122&gt;'минимумы и максимумы'!B$4,100,('исходные данные'!D122-'минимумы и максимумы'!B$2)/('минимумы и максимумы'!B$4-'минимумы и максимумы'!B$2)*100)</f>
        <v>25</v>
      </c>
      <c r="E122" s="1">
        <f>IF('исходные данные'!E122&gt;'минимумы и максимумы'!C$4,100,('исходные данные'!E122-'минимумы и максимумы'!C$2)/('минимумы и максимумы'!C$4-'минимумы и максимумы'!C$2)*100)</f>
        <v>25</v>
      </c>
      <c r="F122" s="1">
        <f>IF('исходные данные'!F122&gt;'минимумы и максимумы'!D$4,100,('исходные данные'!F122-'минимумы и максимумы'!D$2)/('минимумы и максимумы'!D$4-'минимумы и максимумы'!D$2)*100)</f>
        <v>0</v>
      </c>
      <c r="G122" s="1">
        <f>IF('исходные данные'!G122&gt;'минимумы и максимумы'!E$4,100,('исходные данные'!G122-'минимумы и максимумы'!E$2)/('минимумы и максимумы'!E$4-'минимумы и максимумы'!E$2)*100)</f>
        <v>59.45945945945946</v>
      </c>
      <c r="H122" s="1">
        <f>IF('исходные данные'!H122&gt;'минимумы и максимумы'!F$4,100,('исходные данные'!H122-'минимумы и максимумы'!F$2)/('минимумы и максимумы'!F$4-'минимумы и максимумы'!F$2)*100)</f>
        <v>57.894736842105267</v>
      </c>
      <c r="I122" s="1">
        <f>IF('исходные данные'!I122&gt;'минимумы и максимумы'!G$4,100,('исходные данные'!I122-'минимумы и максимумы'!G$2)/('минимумы и максимумы'!G$4-'минимумы и максимумы'!G$2)*100)</f>
        <v>100</v>
      </c>
      <c r="J122" s="1">
        <f>IF('исходные данные'!J122&gt;'минимумы и максимумы'!H$4,100,('исходные данные'!J122-'минимумы и максимумы'!H$2)/('минимумы и максимумы'!H$4-'минимумы и максимумы'!H$2)*100)</f>
        <v>100</v>
      </c>
      <c r="K122" s="1">
        <f>IF('исходные данные'!K122&gt;'минимумы и максимумы'!I$4,100,('исходные данные'!K122-'минимумы и максимумы'!I$2)/('минимумы и максимумы'!I$4-'минимумы и максимумы'!I$2)*100)</f>
        <v>67.857142857142861</v>
      </c>
      <c r="L122" s="1">
        <f>IF('исходные данные'!L122&gt;'минимумы и максимумы'!J$4,100,('исходные данные'!L122-'минимумы и максимумы'!J$2)/('минимумы и максимумы'!J$4-'минимумы и максимумы'!J$2)*100)</f>
        <v>100</v>
      </c>
      <c r="M122" s="1">
        <f>IF('исходные данные'!M122&gt;'минимумы и максимумы'!K$4,100,('исходные данные'!M122-'минимумы и максимумы'!K$2)/('минимумы и максимумы'!K$4-'минимумы и максимумы'!K$2)*100)</f>
        <v>36.170212765957451</v>
      </c>
      <c r="N122" s="1">
        <f>IF('исходные данные'!N122&gt;'минимумы и максимумы'!L$4,100,('исходные данные'!N122-'минимумы и максимумы'!L$2)/('минимумы и максимумы'!L$4-'минимумы и максимумы'!L$2)*100)</f>
        <v>5.1465039115966205</v>
      </c>
      <c r="O122" s="1">
        <f>IF('исходные данные'!O122&gt;'минимумы и максимумы'!M$4,100,('исходные данные'!O122-'минимумы и максимумы'!M$2)/('минимумы и максимумы'!M$4-'минимумы и максимумы'!M$2)*100)</f>
        <v>0</v>
      </c>
      <c r="P122" s="1">
        <f>IF('исходные данные'!P122&gt;'минимумы и максимумы'!N$4,100,('исходные данные'!P122-'минимумы и максимумы'!N$2)/('минимумы и максимумы'!N$4-'минимумы и максимумы'!N$2)*100)</f>
        <v>0</v>
      </c>
      <c r="Q122" s="1">
        <f>IF('исходные данные'!Q122&gt;'минимумы и максимумы'!O$4,100,('исходные данные'!Q122-'минимумы и максимумы'!O$2)/('минимумы и максимумы'!O$4-'минимумы и максимумы'!O$2)*100)</f>
        <v>100</v>
      </c>
      <c r="R122" s="1">
        <f>IF('исходные данные'!R122&gt;'минимумы и максимумы'!P$4,100,('исходные данные'!R122-'минимумы и максимумы'!P$2)/('минимумы и максимумы'!P$4-'минимумы и максимумы'!P$2)*100)</f>
        <v>75</v>
      </c>
      <c r="S122" s="1">
        <f>IF('исходные данные'!S122&gt;'минимумы и максимумы'!Q$4,100,('исходные данные'!S122-'минимумы и максимумы'!Q$2)/('минимумы и максимумы'!Q$4-'минимумы и максимумы'!Q$2)*100)</f>
        <v>22.222222222222221</v>
      </c>
      <c r="T122" s="1">
        <f>IF('исходные данные'!T122&gt;'минимумы и максимумы'!R$4,100,('исходные данные'!T122-'минимумы и максимумы'!R$2)/('минимумы и максимумы'!R$4-'минимумы и максимумы'!R$2)*100)</f>
        <v>22.612197928653625</v>
      </c>
      <c r="U122" s="1">
        <f>IF('исходные данные'!U122&gt;'минимумы и максимумы'!S$4,100,('исходные данные'!U122-'минимумы и максимумы'!S$2)/('минимумы и максимумы'!S$4-'минимумы и максимумы'!S$2)*100)</f>
        <v>66.666666666666657</v>
      </c>
    </row>
    <row r="123" spans="1:21" x14ac:dyDescent="0.45">
      <c r="A123" s="4">
        <v>187</v>
      </c>
      <c r="B123" s="4">
        <v>1</v>
      </c>
      <c r="C123" s="4">
        <v>0</v>
      </c>
      <c r="D123" s="1">
        <f>IF('исходные данные'!D123&gt;'минимумы и максимумы'!B$4,100,('исходные данные'!D123-'минимумы и максимумы'!B$2)/('минимумы и максимумы'!B$4-'минимумы и максимумы'!B$2)*100)</f>
        <v>50</v>
      </c>
      <c r="E123" s="1">
        <f>IF('исходные данные'!E123&gt;'минимумы и максимумы'!C$4,100,('исходные данные'!E123-'минимумы и максимумы'!C$2)/('минимумы и максимумы'!C$4-'минимумы и максимумы'!C$2)*100)</f>
        <v>25</v>
      </c>
      <c r="F123" s="1">
        <f>IF('исходные данные'!F123&gt;'минимумы и максимумы'!D$4,100,('исходные данные'!F123-'минимумы и максимумы'!D$2)/('минимумы и максимумы'!D$4-'минимумы и максимумы'!D$2)*100)</f>
        <v>0</v>
      </c>
      <c r="G123" s="1">
        <f>IF('исходные данные'!G123&gt;'минимумы и максимумы'!E$4,100,('исходные данные'!G123-'минимумы и максимумы'!E$2)/('минимумы и максимумы'!E$4-'минимумы и максимумы'!E$2)*100)</f>
        <v>13.513513513513514</v>
      </c>
      <c r="H123" s="1">
        <f>IF('исходные данные'!H123&gt;'минимумы и максимумы'!F$4,100,('исходные данные'!H123-'минимумы и максимумы'!F$2)/('минимумы и максимумы'!F$4-'минимумы и максимумы'!F$2)*100)</f>
        <v>15.789473684210526</v>
      </c>
      <c r="I123" s="1">
        <f>IF('исходные данные'!I123&gt;'минимумы и максимумы'!G$4,100,('исходные данные'!I123-'минимумы и максимумы'!G$2)/('минимумы и максимумы'!G$4-'минимумы и максимумы'!G$2)*100)</f>
        <v>27.710843373493976</v>
      </c>
      <c r="J123" s="1">
        <f>IF('исходные данные'!J123&gt;'минимумы и максимумы'!H$4,100,('исходные данные'!J123-'минимумы и максимумы'!H$2)/('минимумы и максимумы'!H$4-'минимумы и максимумы'!H$2)*100)</f>
        <v>33.333333333333329</v>
      </c>
      <c r="K123" s="1">
        <f>IF('исходные данные'!K123&gt;'минимумы и максимумы'!I$4,100,('исходные данные'!K123-'минимумы и максимумы'!I$2)/('минимумы и максимумы'!I$4-'минимумы и максимумы'!I$2)*100)</f>
        <v>39.285714285714285</v>
      </c>
      <c r="L123" s="1">
        <f>IF('исходные данные'!L123&gt;'минимумы и максимумы'!J$4,100,('исходные данные'!L123-'минимумы и максимумы'!J$2)/('минимумы и максимумы'!J$4-'минимумы и максимумы'!J$2)*100)</f>
        <v>0</v>
      </c>
      <c r="M123" s="1">
        <f>IF('исходные данные'!M123&gt;'минимумы и максимумы'!K$4,100,('исходные данные'!M123-'минимумы и максимумы'!K$2)/('минимумы и максимумы'!K$4-'минимумы и максимумы'!K$2)*100)</f>
        <v>34.042553191489361</v>
      </c>
      <c r="N123" s="1">
        <f>IF('исходные данные'!N123&gt;'минимумы и максимумы'!L$4,100,('исходные данные'!N123-'минимумы и максимумы'!L$2)/('минимумы и максимумы'!L$4-'минимумы и максимумы'!L$2)*100)</f>
        <v>12.558818004103466</v>
      </c>
      <c r="O123" s="1">
        <f>IF('исходные данные'!O123&gt;'минимумы и максимумы'!M$4,100,('исходные данные'!O123-'минимумы и максимумы'!M$2)/('минимумы и максимумы'!M$4-'минимумы и максимумы'!M$2)*100)</f>
        <v>100</v>
      </c>
      <c r="P123" s="1">
        <f>IF('исходные данные'!P123&gt;'минимумы и максимумы'!N$4,100,('исходные данные'!P123-'минимумы и максимумы'!N$2)/('минимумы и максимумы'!N$4-'минимумы и максимумы'!N$2)*100)</f>
        <v>0</v>
      </c>
      <c r="Q123" s="1">
        <f>IF('исходные данные'!Q123&gt;'минимумы и максимумы'!O$4,100,('исходные данные'!Q123-'минимумы и максимумы'!O$2)/('минимумы и максимумы'!O$4-'минимумы и максимумы'!O$2)*100)</f>
        <v>0</v>
      </c>
      <c r="R123" s="1">
        <f>IF('исходные данные'!R123&gt;'минимумы и максимумы'!P$4,100,('исходные данные'!R123-'минимумы и максимумы'!P$2)/('минимумы и максимумы'!P$4-'минимумы и максимумы'!P$2)*100)</f>
        <v>100</v>
      </c>
      <c r="S123" s="1">
        <f>IF('исходные данные'!S123&gt;'минимумы и максимумы'!Q$4,100,('исходные данные'!S123-'минимумы и максимумы'!Q$2)/('минимумы и максимумы'!Q$4-'минимумы и максимумы'!Q$2)*100)</f>
        <v>33.333333333333329</v>
      </c>
      <c r="T123" s="1">
        <f>IF('исходные данные'!T123&gt;'минимумы и максимумы'!R$4,100,('исходные данные'!T123-'минимумы и максимумы'!R$2)/('минимумы и максимумы'!R$4-'минимумы и максимумы'!R$2)*100)</f>
        <v>18.814729574223247</v>
      </c>
      <c r="U123" s="1">
        <f>IF('исходные данные'!U123&gt;'минимумы и максимумы'!S$4,100,('исходные данные'!U123-'минимумы и максимумы'!S$2)/('минимумы и максимумы'!S$4-'минимумы и максимумы'!S$2)*100)</f>
        <v>33.333333333333329</v>
      </c>
    </row>
    <row r="124" spans="1:21" x14ac:dyDescent="0.45">
      <c r="A124" s="4">
        <v>188</v>
      </c>
      <c r="B124" s="4">
        <v>0</v>
      </c>
      <c r="C124" s="4">
        <v>0</v>
      </c>
      <c r="D124" s="1">
        <f>IF('исходные данные'!D124&gt;'минимумы и максимумы'!B$4,100,('исходные данные'!D124-'минимумы и максимумы'!B$2)/('минимумы и максимумы'!B$4-'минимумы и максимумы'!B$2)*100)</f>
        <v>50</v>
      </c>
      <c r="E124" s="1">
        <f>IF('исходные данные'!E124&gt;'минимумы и максимумы'!C$4,100,('исходные данные'!E124-'минимумы и максимумы'!C$2)/('минимумы и максимумы'!C$4-'минимумы и максимумы'!C$2)*100)</f>
        <v>25</v>
      </c>
      <c r="F124" s="1">
        <f>IF('исходные данные'!F124&gt;'минимумы и максимумы'!D$4,100,('исходные данные'!F124-'минимумы и максимумы'!D$2)/('минимумы и максимумы'!D$4-'минимумы и максимумы'!D$2)*100)</f>
        <v>25</v>
      </c>
      <c r="G124" s="1">
        <f>IF('исходные данные'!G124&gt;'минимумы и максимумы'!E$4,100,('исходные данные'!G124-'минимумы и максимумы'!E$2)/('минимумы и максимумы'!E$4-'минимумы и максимумы'!E$2)*100)</f>
        <v>16.216216216216218</v>
      </c>
      <c r="H124" s="1">
        <f>IF('исходные данные'!H124&gt;'минимумы и максимумы'!F$4,100,('исходные данные'!H124-'минимумы и максимумы'!F$2)/('минимумы и максимумы'!F$4-'минимумы и максимумы'!F$2)*100)</f>
        <v>21.052631578947366</v>
      </c>
      <c r="I124" s="1">
        <f>IF('исходные данные'!I124&gt;'минимумы и максимумы'!G$4,100,('исходные данные'!I124-'минимумы и максимумы'!G$2)/('минимумы и максимумы'!G$4-'минимумы и максимумы'!G$2)*100)</f>
        <v>19.277108433734941</v>
      </c>
      <c r="J124" s="1">
        <f>IF('исходные данные'!J124&gt;'минимумы и максимумы'!H$4,100,('исходные данные'!J124-'минимумы и максимумы'!H$2)/('минимумы и максимумы'!H$4-'минимумы и максимумы'!H$2)*100)</f>
        <v>33.333333333333329</v>
      </c>
      <c r="K124" s="1">
        <f>IF('исходные данные'!K124&gt;'минимумы и максимумы'!I$4,100,('исходные данные'!K124-'минимумы и максимумы'!I$2)/('минимумы и максимумы'!I$4-'минимумы и максимумы'!I$2)*100)</f>
        <v>57.142857142857139</v>
      </c>
      <c r="L124" s="1">
        <f>IF('исходные данные'!L124&gt;'минимумы и максимумы'!J$4,100,('исходные данные'!L124-'минимумы и максимумы'!J$2)/('минимумы и максимумы'!J$4-'минимумы и максимумы'!J$2)*100)</f>
        <v>0</v>
      </c>
      <c r="M124" s="1">
        <f>IF('исходные данные'!M124&gt;'минимумы и максимумы'!K$4,100,('исходные данные'!M124-'минимумы и максимумы'!K$2)/('минимумы и максимумы'!K$4-'минимумы и максимумы'!K$2)*100)</f>
        <v>44.680851063829785</v>
      </c>
      <c r="N124" s="1">
        <f>IF('исходные данные'!N124&gt;'минимумы и максимумы'!L$4,100,('исходные данные'!N124-'минимумы и максимумы'!L$2)/('минимумы и максимумы'!L$4-'минимумы и максимумы'!L$2)*100)</f>
        <v>12.139143655205094</v>
      </c>
      <c r="O124" s="1">
        <f>IF('исходные данные'!O124&gt;'минимумы и максимумы'!M$4,100,('исходные данные'!O124-'минимумы и максимумы'!M$2)/('минимумы и максимумы'!M$4-'минимумы и максимумы'!M$2)*100)</f>
        <v>0</v>
      </c>
      <c r="P124" s="1">
        <f>IF('исходные данные'!P124&gt;'минимумы и максимумы'!N$4,100,('исходные данные'!P124-'минимумы и максимумы'!N$2)/('минимумы и максимумы'!N$4-'минимумы и максимумы'!N$2)*100)</f>
        <v>0</v>
      </c>
      <c r="Q124" s="1">
        <f>IF('исходные данные'!Q124&gt;'минимумы и максимумы'!O$4,100,('исходные данные'!Q124-'минимумы и максимумы'!O$2)/('минимумы и максимумы'!O$4-'минимумы и максимумы'!O$2)*100)</f>
        <v>0</v>
      </c>
      <c r="R124" s="1">
        <f>IF('исходные данные'!R124&gt;'минимумы и максимумы'!P$4,100,('исходные данные'!R124-'минимумы и максимумы'!P$2)/('минимумы и максимумы'!P$4-'минимумы и максимумы'!P$2)*100)</f>
        <v>100</v>
      </c>
      <c r="S124" s="1">
        <f>IF('исходные данные'!S124&gt;'минимумы и максимумы'!Q$4,100,('исходные данные'!S124-'минимумы и максимумы'!Q$2)/('минимумы и максимумы'!Q$4-'минимумы и максимумы'!Q$2)*100)</f>
        <v>22.222222222222221</v>
      </c>
      <c r="T124" s="1">
        <f>IF('исходные данные'!T124&gt;'минимумы и максимумы'!R$4,100,('исходные данные'!T124-'минимумы и максимумы'!R$2)/('минимумы и максимумы'!R$4-'минимумы и максимумы'!R$2)*100)</f>
        <v>11.047180667433832</v>
      </c>
      <c r="U124" s="1">
        <f>IF('исходные данные'!U124&gt;'минимумы и максимумы'!S$4,100,('исходные данные'!U124-'минимумы и максимумы'!S$2)/('минимумы и максимумы'!S$4-'минимумы и максимумы'!S$2)*100)</f>
        <v>0</v>
      </c>
    </row>
    <row r="125" spans="1:21" x14ac:dyDescent="0.45">
      <c r="A125" s="4">
        <v>189</v>
      </c>
      <c r="B125" s="4">
        <v>0</v>
      </c>
      <c r="C125" s="4">
        <v>0</v>
      </c>
      <c r="D125" s="1">
        <f>IF('исходные данные'!D125&gt;'минимумы и максимумы'!B$4,100,('исходные данные'!D125-'минимумы и максимумы'!B$2)/('минимумы и максимумы'!B$4-'минимумы и максимумы'!B$2)*100)</f>
        <v>50</v>
      </c>
      <c r="E125" s="1">
        <f>IF('исходные данные'!E125&gt;'минимумы и максимумы'!C$4,100,('исходные данные'!E125-'минимумы и максимумы'!C$2)/('минимумы и максимумы'!C$4-'минимумы и максимумы'!C$2)*100)</f>
        <v>6.25</v>
      </c>
      <c r="F125" s="1">
        <f>IF('исходные данные'!F125&gt;'минимумы и максимумы'!D$4,100,('исходные данные'!F125-'минимумы и максимумы'!D$2)/('минимумы и максимумы'!D$4-'минимумы и максимумы'!D$2)*100)</f>
        <v>0</v>
      </c>
      <c r="G125" s="1">
        <f>IF('исходные данные'!G125&gt;'минимумы и максимумы'!E$4,100,('исходные данные'!G125-'минимумы и максимумы'!E$2)/('минимумы и максимумы'!E$4-'минимумы и максимумы'!E$2)*100)</f>
        <v>24.324324324324326</v>
      </c>
      <c r="H125" s="1">
        <f>IF('исходные данные'!H125&gt;'минимумы и максимумы'!F$4,100,('исходные данные'!H125-'минимумы и максимумы'!F$2)/('минимумы и максимумы'!F$4-'минимумы и максимумы'!F$2)*100)</f>
        <v>26.315789473684209</v>
      </c>
      <c r="I125" s="1">
        <f>IF('исходные данные'!I125&gt;'минимумы и максимумы'!G$4,100,('исходные данные'!I125-'минимумы и максимумы'!G$2)/('минимумы и максимумы'!G$4-'минимумы и максимумы'!G$2)*100)</f>
        <v>27.710843373493976</v>
      </c>
      <c r="J125" s="1">
        <f>IF('исходные данные'!J125&gt;'минимумы и максимумы'!H$4,100,('исходные данные'!J125-'минимумы и максимумы'!H$2)/('минимумы и максимумы'!H$4-'минимумы и максимумы'!H$2)*100)</f>
        <v>25</v>
      </c>
      <c r="K125" s="1">
        <f>IF('исходные данные'!K125&gt;'минимумы и максимумы'!I$4,100,('исходные данные'!K125-'минимумы и максимумы'!I$2)/('минимумы и максимумы'!I$4-'минимумы и максимумы'!I$2)*100)</f>
        <v>53.571428571428569</v>
      </c>
      <c r="L125" s="1">
        <f>IF('исходные данные'!L125&gt;'минимумы и максимумы'!J$4,100,('исходные данные'!L125-'минимумы и максимумы'!J$2)/('минимумы и максимумы'!J$4-'минимумы и максимумы'!J$2)*100)</f>
        <v>12.5</v>
      </c>
      <c r="M125" s="1">
        <f>IF('исходные данные'!M125&gt;'минимумы и максимумы'!K$4,100,('исходные данные'!M125-'минимумы и максимумы'!K$2)/('минимумы и максимумы'!K$4-'минимумы и максимумы'!K$2)*100)</f>
        <v>10.638297872340425</v>
      </c>
      <c r="N125" s="1">
        <f>IF('исходные данные'!N125&gt;'минимумы и максимумы'!L$4,100,('исходные данные'!N125-'минимумы и максимумы'!L$2)/('минимумы и максимумы'!L$4-'минимумы и максимумы'!L$2)*100)</f>
        <v>15.657744995005471</v>
      </c>
      <c r="O125" s="1">
        <f>IF('исходные данные'!O125&gt;'минимумы и максимумы'!M$4,100,('исходные данные'!O125-'минимумы и максимумы'!M$2)/('минимумы и максимумы'!M$4-'минимумы и максимумы'!M$2)*100)</f>
        <v>66.666666666666657</v>
      </c>
      <c r="P125" s="1">
        <f>IF('исходные данные'!P125&gt;'минимумы и максимумы'!N$4,100,('исходные данные'!P125-'минимумы и максимумы'!N$2)/('минимумы и максимумы'!N$4-'минимумы и максимумы'!N$2)*100)</f>
        <v>0</v>
      </c>
      <c r="Q125" s="1">
        <f>IF('исходные данные'!Q125&gt;'минимумы и максимумы'!O$4,100,('исходные данные'!Q125-'минимумы и максимумы'!O$2)/('минимумы и максимумы'!O$4-'минимумы и максимумы'!O$2)*100)</f>
        <v>100</v>
      </c>
      <c r="R125" s="1">
        <f>IF('исходные данные'!R125&gt;'минимумы и максимумы'!P$4,100,('исходные данные'!R125-'минимумы и максимумы'!P$2)/('минимумы и максимумы'!P$4-'минимумы и максимумы'!P$2)*100)</f>
        <v>100</v>
      </c>
      <c r="S125" s="1">
        <f>IF('исходные данные'!S125&gt;'минимумы и максимумы'!Q$4,100,('исходные данные'!S125-'минимумы и максимумы'!Q$2)/('минимумы и максимумы'!Q$4-'минимумы и максимумы'!Q$2)*100)</f>
        <v>44.444444444444443</v>
      </c>
      <c r="T125" s="1">
        <f>IF('исходные данные'!T125&gt;'минимумы и максимумы'!R$4,100,('исходные данные'!T125-'минимумы и максимумы'!R$2)/('минимумы и максимумы'!R$4-'минимумы и максимумы'!R$2)*100)</f>
        <v>7.4223245109321061</v>
      </c>
      <c r="U125" s="1">
        <f>IF('исходные данные'!U125&gt;'минимумы и максимумы'!S$4,100,('исходные данные'!U125-'минимумы и максимумы'!S$2)/('минимумы и максимумы'!S$4-'минимумы и максимумы'!S$2)*100)</f>
        <v>0</v>
      </c>
    </row>
    <row r="126" spans="1:21" x14ac:dyDescent="0.45">
      <c r="A126" s="4">
        <v>190</v>
      </c>
      <c r="B126" s="4">
        <v>0</v>
      </c>
      <c r="C126" s="4">
        <v>0</v>
      </c>
      <c r="D126" s="1">
        <f>IF('исходные данные'!D126&gt;'минимумы и максимумы'!B$4,100,('исходные данные'!D126-'минимумы и максимумы'!B$2)/('минимумы и максимумы'!B$4-'минимумы и максимумы'!B$2)*100)</f>
        <v>50</v>
      </c>
      <c r="E126" s="1">
        <f>IF('исходные данные'!E126&gt;'минимумы и максимумы'!C$4,100,('исходные данные'!E126-'минимумы и максимумы'!C$2)/('минимумы и максимумы'!C$4-'минимумы и максимумы'!C$2)*100)</f>
        <v>6.25</v>
      </c>
      <c r="F126" s="1">
        <f>IF('исходные данные'!F126&gt;'минимумы и максимумы'!D$4,100,('исходные данные'!F126-'минимумы и максимумы'!D$2)/('минимумы и максимумы'!D$4-'минимумы и максимумы'!D$2)*100)</f>
        <v>0</v>
      </c>
      <c r="G126" s="1">
        <f>IF('исходные данные'!G126&gt;'минимумы и максимумы'!E$4,100,('исходные данные'!G126-'минимумы и максимумы'!E$2)/('минимумы и максимумы'!E$4-'минимумы и максимумы'!E$2)*100)</f>
        <v>24.324324324324326</v>
      </c>
      <c r="H126" s="1">
        <f>IF('исходные данные'!H126&gt;'минимумы и максимумы'!F$4,100,('исходные данные'!H126-'минимумы и максимумы'!F$2)/('минимумы и максимумы'!F$4-'минимумы и максимумы'!F$2)*100)</f>
        <v>26.315789473684209</v>
      </c>
      <c r="I126" s="1">
        <f>IF('исходные данные'!I126&gt;'минимумы и максимумы'!G$4,100,('исходные данные'!I126-'минимумы и максимумы'!G$2)/('минимумы и максимумы'!G$4-'минимумы и максимумы'!G$2)*100)</f>
        <v>27.710843373493976</v>
      </c>
      <c r="J126" s="1">
        <f>IF('исходные данные'!J126&gt;'минимумы и максимумы'!H$4,100,('исходные данные'!J126-'минимумы и максимумы'!H$2)/('минимумы и максимумы'!H$4-'минимумы и максимумы'!H$2)*100)</f>
        <v>25</v>
      </c>
      <c r="K126" s="1">
        <f>IF('исходные данные'!K126&gt;'минимумы и максимумы'!I$4,100,('исходные данные'!K126-'минимумы и максимумы'!I$2)/('минимумы и максимумы'!I$4-'минимумы и максимумы'!I$2)*100)</f>
        <v>53.571428571428569</v>
      </c>
      <c r="L126" s="1">
        <f>IF('исходные данные'!L126&gt;'минимумы и максимумы'!J$4,100,('исходные данные'!L126-'минимумы и максимумы'!J$2)/('минимумы и максимумы'!J$4-'минимумы и максимумы'!J$2)*100)</f>
        <v>12.5</v>
      </c>
      <c r="M126" s="1">
        <f>IF('исходные данные'!M126&gt;'минимумы и максимумы'!K$4,100,('исходные данные'!M126-'минимумы и максимумы'!K$2)/('минимумы и максимумы'!K$4-'минимумы и максимумы'!K$2)*100)</f>
        <v>10.638297872340425</v>
      </c>
      <c r="N126" s="1">
        <f>IF('исходные данные'!N126&gt;'минимумы и максимумы'!L$4,100,('исходные данные'!N126-'минимумы и максимумы'!L$2)/('минимумы и максимумы'!L$4-'минимумы и максимумы'!L$2)*100)</f>
        <v>15.883677523978395</v>
      </c>
      <c r="O126" s="1">
        <f>IF('исходные данные'!O126&gt;'минимумы и максимумы'!M$4,100,('исходные данные'!O126-'минимумы и максимумы'!M$2)/('минимумы и максимумы'!M$4-'минимумы и максимумы'!M$2)*100)</f>
        <v>0</v>
      </c>
      <c r="P126" s="1">
        <f>IF('исходные данные'!P126&gt;'минимумы и максимумы'!N$4,100,('исходные данные'!P126-'минимумы и максимумы'!N$2)/('минимумы и максимумы'!N$4-'минимумы и максимумы'!N$2)*100)</f>
        <v>0</v>
      </c>
      <c r="Q126" s="1">
        <f>IF('исходные данные'!Q126&gt;'минимумы и максимумы'!O$4,100,('исходные данные'!Q126-'минимумы и максимумы'!O$2)/('минимумы и максимумы'!O$4-'минимумы и максимумы'!O$2)*100)</f>
        <v>0</v>
      </c>
      <c r="R126" s="1">
        <f>IF('исходные данные'!R126&gt;'минимумы и максимумы'!P$4,100,('исходные данные'!R126-'минимумы и максимумы'!P$2)/('минимумы и максимумы'!P$4-'минимумы и максимумы'!P$2)*100)</f>
        <v>100</v>
      </c>
      <c r="S126" s="1">
        <f>IF('исходные данные'!S126&gt;'минимумы и максимумы'!Q$4,100,('исходные данные'!S126-'минимумы и максимумы'!Q$2)/('минимумы и максимумы'!Q$4-'минимумы и максимумы'!Q$2)*100)</f>
        <v>11.111111111111111</v>
      </c>
      <c r="T126" s="1">
        <f>IF('исходные данные'!T126&gt;'минимумы и максимумы'!R$4,100,('исходные данные'!T126-'минимумы и максимумы'!R$2)/('минимумы и максимумы'!R$4-'минимумы и максимумы'!R$2)*100)</f>
        <v>22.928653624856157</v>
      </c>
      <c r="U126" s="1">
        <f>IF('исходные данные'!U126&gt;'минимумы и максимумы'!S$4,100,('исходные данные'!U126-'минимумы и максимумы'!S$2)/('минимумы и максимумы'!S$4-'минимумы и максимумы'!S$2)*100)</f>
        <v>100</v>
      </c>
    </row>
    <row r="127" spans="1:21" x14ac:dyDescent="0.45">
      <c r="A127" s="4">
        <v>191</v>
      </c>
      <c r="B127" s="4">
        <v>1</v>
      </c>
      <c r="C127" s="4">
        <v>0</v>
      </c>
      <c r="D127" s="1">
        <f>IF('исходные данные'!D127&gt;'минимумы и максимумы'!B$4,100,('исходные данные'!D127-'минимумы и максимумы'!B$2)/('минимумы и максимумы'!B$4-'минимумы и максимумы'!B$2)*100)</f>
        <v>50</v>
      </c>
      <c r="E127" s="1">
        <f>IF('исходные данные'!E127&gt;'минимумы и максимумы'!C$4,100,('исходные данные'!E127-'минимумы и максимумы'!C$2)/('минимумы и максимумы'!C$4-'минимумы и максимумы'!C$2)*100)</f>
        <v>6.25</v>
      </c>
      <c r="F127" s="1">
        <f>IF('исходные данные'!F127&gt;'минимумы и максимумы'!D$4,100,('исходные данные'!F127-'минимумы и максимумы'!D$2)/('минимумы и максимумы'!D$4-'минимумы и максимумы'!D$2)*100)</f>
        <v>0</v>
      </c>
      <c r="G127" s="1">
        <f>IF('исходные данные'!G127&gt;'минимумы и максимумы'!E$4,100,('исходные данные'!G127-'минимумы и максимумы'!E$2)/('минимумы и максимумы'!E$4-'минимумы и максимумы'!E$2)*100)</f>
        <v>27.027027027027028</v>
      </c>
      <c r="H127" s="1">
        <f>IF('исходные данные'!H127&gt;'минимумы и максимумы'!F$4,100,('исходные данные'!H127-'минимумы и максимумы'!F$2)/('минимумы и максимумы'!F$4-'минимумы и максимумы'!F$2)*100)</f>
        <v>28.947368421052634</v>
      </c>
      <c r="I127" s="1">
        <f>IF('исходные данные'!I127&gt;'минимумы и максимумы'!G$4,100,('исходные данные'!I127-'минимумы и максимумы'!G$2)/('минимумы и максимумы'!G$4-'минимумы и максимумы'!G$2)*100)</f>
        <v>40.963855421686745</v>
      </c>
      <c r="J127" s="1">
        <f>IF('исходные данные'!J127&gt;'минимумы и максимумы'!H$4,100,('исходные данные'!J127-'минимумы и максимумы'!H$2)/('минимумы и максимумы'!H$4-'минимумы и максимумы'!H$2)*100)</f>
        <v>37.5</v>
      </c>
      <c r="K127" s="1">
        <f>IF('исходные данные'!K127&gt;'минимумы и максимумы'!I$4,100,('исходные данные'!K127-'минимумы и максимумы'!I$2)/('минимумы и максимумы'!I$4-'минимумы и максимумы'!I$2)*100)</f>
        <v>39.285714285714285</v>
      </c>
      <c r="L127" s="1">
        <f>IF('исходные данные'!L127&gt;'минимумы и максимумы'!J$4,100,('исходные данные'!L127-'минимумы и максимумы'!J$2)/('минимумы и максимумы'!J$4-'минимумы и максимумы'!J$2)*100)</f>
        <v>12.5</v>
      </c>
      <c r="M127" s="1">
        <f>IF('исходные данные'!M127&gt;'минимумы и максимумы'!K$4,100,('исходные данные'!M127-'минимумы и максимумы'!K$2)/('минимумы и максимумы'!K$4-'минимумы и максимумы'!K$2)*100)</f>
        <v>23.404255319148938</v>
      </c>
      <c r="N127" s="1">
        <f>IF('исходные данные'!N127&gt;'минимумы и максимумы'!L$4,100,('исходные данные'!N127-'минимумы и максимумы'!L$2)/('минимумы и максимумы'!L$4-'минимумы и максимумы'!L$2)*100)</f>
        <v>16.060777059178381</v>
      </c>
      <c r="O127" s="1">
        <f>IF('исходные данные'!O127&gt;'минимумы и максимумы'!M$4,100,('исходные данные'!O127-'минимумы и максимумы'!M$2)/('минимумы и максимумы'!M$4-'минимумы и максимумы'!M$2)*100)</f>
        <v>33.333333333333329</v>
      </c>
      <c r="P127" s="1">
        <f>IF('исходные данные'!P127&gt;'минимумы и максимумы'!N$4,100,('исходные данные'!P127-'минимумы и максимумы'!N$2)/('минимумы и максимумы'!N$4-'минимумы и максимумы'!N$2)*100)</f>
        <v>0</v>
      </c>
      <c r="Q127" s="1">
        <f>IF('исходные данные'!Q127&gt;'минимумы и максимумы'!O$4,100,('исходные данные'!Q127-'минимумы и максимумы'!O$2)/('минимумы и максимумы'!O$4-'минимумы и максимумы'!O$2)*100)</f>
        <v>100</v>
      </c>
      <c r="R127" s="1">
        <f>IF('исходные данные'!R127&gt;'минимумы и максимумы'!P$4,100,('исходные данные'!R127-'минимумы и максимумы'!P$2)/('минимумы и максимумы'!P$4-'минимумы и максимумы'!P$2)*100)</f>
        <v>100</v>
      </c>
      <c r="S127" s="1">
        <f>IF('исходные данные'!S127&gt;'минимумы и максимумы'!Q$4,100,('исходные данные'!S127-'минимумы и максимумы'!Q$2)/('минимумы и максимумы'!Q$4-'минимумы и максимумы'!Q$2)*100)</f>
        <v>33.333333333333329</v>
      </c>
      <c r="T127" s="1">
        <f>IF('исходные данные'!T127&gt;'минимумы и максимумы'!R$4,100,('исходные данные'!T127-'минимумы и максимумы'!R$2)/('минимумы и максимумы'!R$4-'минимумы и максимумы'!R$2)*100)</f>
        <v>6.7894131185270421</v>
      </c>
      <c r="U127" s="1">
        <f>IF('исходные данные'!U127&gt;'минимумы и максимумы'!S$4,100,('исходные данные'!U127-'минимумы и максимумы'!S$2)/('минимумы и максимумы'!S$4-'минимумы и максимумы'!S$2)*100)</f>
        <v>0</v>
      </c>
    </row>
    <row r="128" spans="1:21" x14ac:dyDescent="0.45">
      <c r="A128" s="4">
        <v>192</v>
      </c>
      <c r="B128" s="4">
        <v>0</v>
      </c>
      <c r="C128" s="4">
        <v>0</v>
      </c>
      <c r="D128" s="1">
        <f>IF('исходные данные'!D128&gt;'минимумы и максимумы'!B$4,100,('исходные данные'!D128-'минимумы и максимумы'!B$2)/('минимумы и максимумы'!B$4-'минимумы и максимумы'!B$2)*100)</f>
        <v>50</v>
      </c>
      <c r="E128" s="1">
        <f>IF('исходные данные'!E128&gt;'минимумы и максимумы'!C$4,100,('исходные данные'!E128-'минимумы и максимумы'!C$2)/('минимумы и максимумы'!C$4-'минимумы и максимумы'!C$2)*100)</f>
        <v>0</v>
      </c>
      <c r="F128" s="1">
        <f>IF('исходные данные'!F128&gt;'минимумы и максимумы'!D$4,100,('исходные данные'!F128-'минимумы и максимумы'!D$2)/('минимумы и максимумы'!D$4-'минимумы и максимумы'!D$2)*100)</f>
        <v>25</v>
      </c>
      <c r="G128" s="1">
        <f>IF('исходные данные'!G128&gt;'минимумы и максимумы'!E$4,100,('исходные данные'!G128-'минимумы и максимумы'!E$2)/('минимумы и максимумы'!E$4-'минимумы и максимумы'!E$2)*100)</f>
        <v>16.216216216216218</v>
      </c>
      <c r="H128" s="1">
        <f>IF('исходные данные'!H128&gt;'минимумы и максимумы'!F$4,100,('исходные данные'!H128-'минимумы и максимумы'!F$2)/('минимумы и максимумы'!F$4-'минимумы и максимумы'!F$2)*100)</f>
        <v>23.684210526315788</v>
      </c>
      <c r="I128" s="1">
        <f>IF('исходные данные'!I128&gt;'минимумы и максимумы'!G$4,100,('исходные данные'!I128-'минимумы и максимумы'!G$2)/('минимумы и максимумы'!G$4-'минимумы и максимумы'!G$2)*100)</f>
        <v>15.66265060240964</v>
      </c>
      <c r="J128" s="1">
        <f>IF('исходные данные'!J128&gt;'минимумы и максимумы'!H$4,100,('исходные данные'!J128-'минимумы и максимумы'!H$2)/('минимумы и максимумы'!H$4-'минимумы и максимумы'!H$2)*100)</f>
        <v>33.333333333333329</v>
      </c>
      <c r="K128" s="1">
        <f>IF('исходные данные'!K128&gt;'минимумы и максимумы'!I$4,100,('исходные данные'!K128-'минимумы и максимумы'!I$2)/('минимумы и максимумы'!I$4-'минимумы и максимумы'!I$2)*100)</f>
        <v>42.857142857142854</v>
      </c>
      <c r="L128" s="1">
        <f>IF('исходные данные'!L128&gt;'минимумы и максимумы'!J$4,100,('исходные данные'!L128-'минимумы и максимумы'!J$2)/('минимумы и максимумы'!J$4-'минимумы и максимумы'!J$2)*100)</f>
        <v>25</v>
      </c>
      <c r="M128" s="1">
        <f>IF('исходные данные'!M128&gt;'минимумы и максимумы'!K$4,100,('исходные данные'!M128-'минимумы и максимумы'!K$2)/('минимумы и максимумы'!K$4-'минимумы и максимумы'!K$2)*100)</f>
        <v>42.553191489361701</v>
      </c>
      <c r="N128" s="1">
        <f>IF('исходные данные'!N128&gt;'минимумы и максимумы'!L$4,100,('исходные данные'!N128-'минимумы и максимумы'!L$2)/('минимумы и максимумы'!L$4-'минимумы и максимумы'!L$2)*100)</f>
        <v>13.691129569290558</v>
      </c>
      <c r="O128" s="1">
        <f>IF('исходные данные'!O128&gt;'минимумы и максимумы'!M$4,100,('исходные данные'!O128-'минимумы и максимумы'!M$2)/('минимумы и максимумы'!M$4-'минимумы и максимумы'!M$2)*100)</f>
        <v>66.666666666666657</v>
      </c>
      <c r="P128" s="1">
        <f>IF('исходные данные'!P128&gt;'минимумы и максимумы'!N$4,100,('исходные данные'!P128-'минимумы и максимумы'!N$2)/('минимумы и максимумы'!N$4-'минимумы и максимумы'!N$2)*100)</f>
        <v>100</v>
      </c>
      <c r="Q128" s="1">
        <f>IF('исходные данные'!Q128&gt;'минимумы и максимумы'!O$4,100,('исходные данные'!Q128-'минимумы и максимумы'!O$2)/('минимумы и максимумы'!O$4-'минимумы и максимумы'!O$2)*100)</f>
        <v>0</v>
      </c>
      <c r="R128" s="1">
        <f>IF('исходные данные'!R128&gt;'минимумы и максимумы'!P$4,100,('исходные данные'!R128-'минимумы и максимумы'!P$2)/('минимумы и максимумы'!P$4-'минимумы и максимумы'!P$2)*100)</f>
        <v>75</v>
      </c>
      <c r="S128" s="1">
        <f>IF('исходные данные'!S128&gt;'минимумы и максимумы'!Q$4,100,('исходные данные'!S128-'минимумы и максимумы'!Q$2)/('минимумы и максимумы'!Q$4-'минимумы и максимумы'!Q$2)*100)</f>
        <v>11.111111111111111</v>
      </c>
      <c r="T128" s="1">
        <f>IF('исходные данные'!T128&gt;'минимумы и максимумы'!R$4,100,('исходные данные'!T128-'минимумы и максимумы'!R$2)/('минимумы и максимумы'!R$4-'минимумы и максимумы'!R$2)*100)</f>
        <v>4.9482163406214035</v>
      </c>
      <c r="U128" s="1">
        <f>IF('исходные данные'!U128&gt;'минимумы и максимумы'!S$4,100,('исходные данные'!U128-'минимумы и максимумы'!S$2)/('минимумы и максимумы'!S$4-'минимумы и максимумы'!S$2)*100)</f>
        <v>0</v>
      </c>
    </row>
    <row r="129" spans="1:21" x14ac:dyDescent="0.45">
      <c r="A129" s="4">
        <v>193</v>
      </c>
      <c r="B129" s="4">
        <v>0</v>
      </c>
      <c r="C129" s="4">
        <v>0</v>
      </c>
      <c r="D129" s="1">
        <f>IF('исходные данные'!D129&gt;'минимумы и максимумы'!B$4,100,('исходные данные'!D129-'минимумы и максимумы'!B$2)/('минимумы и максимумы'!B$4-'минимумы и максимумы'!B$2)*100)</f>
        <v>50</v>
      </c>
      <c r="E129" s="1">
        <f>IF('исходные данные'!E129&gt;'минимумы и максимумы'!C$4,100,('исходные данные'!E129-'минимумы и максимумы'!C$2)/('минимумы и максимумы'!C$4-'минимумы и максимумы'!C$2)*100)</f>
        <v>0</v>
      </c>
      <c r="F129" s="1">
        <f>IF('исходные данные'!F129&gt;'минимумы и максимумы'!D$4,100,('исходные данные'!F129-'минимумы и максимумы'!D$2)/('минимумы и максимумы'!D$4-'минимумы и максимумы'!D$2)*100)</f>
        <v>25</v>
      </c>
      <c r="G129" s="1">
        <f>IF('исходные данные'!G129&gt;'минимумы и максимумы'!E$4,100,('исходные данные'!G129-'минимумы и максимумы'!E$2)/('минимумы и максимумы'!E$4-'минимумы и максимумы'!E$2)*100)</f>
        <v>16.216216216216218</v>
      </c>
      <c r="H129" s="1">
        <f>IF('исходные данные'!H129&gt;'минимумы и максимумы'!F$4,100,('исходные данные'!H129-'минимумы и максимумы'!F$2)/('минимумы и максимумы'!F$4-'минимумы и максимумы'!F$2)*100)</f>
        <v>23.684210526315788</v>
      </c>
      <c r="I129" s="1">
        <f>IF('исходные данные'!I129&gt;'минимумы и максимумы'!G$4,100,('исходные данные'!I129-'минимумы и максимумы'!G$2)/('минимумы и максимумы'!G$4-'минимумы и максимумы'!G$2)*100)</f>
        <v>15.66265060240964</v>
      </c>
      <c r="J129" s="1">
        <f>IF('исходные данные'!J129&gt;'минимумы и максимумы'!H$4,100,('исходные данные'!J129-'минимумы и максимумы'!H$2)/('минимумы и максимумы'!H$4-'минимумы и максимумы'!H$2)*100)</f>
        <v>33.333333333333329</v>
      </c>
      <c r="K129" s="1">
        <f>IF('исходные данные'!K129&gt;'минимумы и максимумы'!I$4,100,('исходные данные'!K129-'минимумы и максимумы'!I$2)/('минимумы и максимумы'!I$4-'минимумы и максимумы'!I$2)*100)</f>
        <v>42.857142857142854</v>
      </c>
      <c r="L129" s="1">
        <f>IF('исходные данные'!L129&gt;'минимумы и максимумы'!J$4,100,('исходные данные'!L129-'минимумы и максимумы'!J$2)/('минимумы и максимумы'!J$4-'минимумы и максимумы'!J$2)*100)</f>
        <v>25</v>
      </c>
      <c r="M129" s="1">
        <f>IF('исходные данные'!M129&gt;'минимумы и максимумы'!K$4,100,('исходные данные'!M129-'минимумы и максимумы'!K$2)/('минимумы и максимумы'!K$4-'минимумы и максимумы'!K$2)*100)</f>
        <v>42.553191489361701</v>
      </c>
      <c r="N129" s="1">
        <f>IF('исходные данные'!N129&gt;'минимумы и максимумы'!L$4,100,('исходные данные'!N129-'минимумы и максимумы'!L$2)/('минимумы и максимумы'!L$4-'минимумы и максимумы'!L$2)*100)</f>
        <v>13.691129569290558</v>
      </c>
      <c r="O129" s="1">
        <f>IF('исходные данные'!O129&gt;'минимумы и максимумы'!M$4,100,('исходные данные'!O129-'минимумы и максимумы'!M$2)/('минимумы и максимумы'!M$4-'минимумы и максимумы'!M$2)*100)</f>
        <v>66.666666666666657</v>
      </c>
      <c r="P129" s="1">
        <f>IF('исходные данные'!P129&gt;'минимумы и максимумы'!N$4,100,('исходные данные'!P129-'минимумы и максимумы'!N$2)/('минимумы и максимумы'!N$4-'минимумы и максимумы'!N$2)*100)</f>
        <v>100</v>
      </c>
      <c r="Q129" s="1">
        <f>IF('исходные данные'!Q129&gt;'минимумы и максимумы'!O$4,100,('исходные данные'!Q129-'минимумы и максимумы'!O$2)/('минимумы и максимумы'!O$4-'минимумы и максимумы'!O$2)*100)</f>
        <v>0</v>
      </c>
      <c r="R129" s="1">
        <f>IF('исходные данные'!R129&gt;'минимумы и максимумы'!P$4,100,('исходные данные'!R129-'минимумы и максимумы'!P$2)/('минимумы и максимумы'!P$4-'минимумы и максимумы'!P$2)*100)</f>
        <v>75</v>
      </c>
      <c r="S129" s="1">
        <f>IF('исходные данные'!S129&gt;'минимумы и максимумы'!Q$4,100,('исходные данные'!S129-'минимумы и максимумы'!Q$2)/('минимумы и максимумы'!Q$4-'минимумы и максимумы'!Q$2)*100)</f>
        <v>11.111111111111111</v>
      </c>
      <c r="T129" s="1">
        <f>IF('исходные данные'!T129&gt;'минимумы и максимумы'!R$4,100,('исходные данные'!T129-'минимумы и максимумы'!R$2)/('минимумы и максимумы'!R$4-'минимумы и максимумы'!R$2)*100)</f>
        <v>5.8112773302646721</v>
      </c>
      <c r="U129" s="1">
        <f>IF('исходные данные'!U129&gt;'минимумы и максимумы'!S$4,100,('исходные данные'!U129-'минимумы и максимумы'!S$2)/('минимумы и максимумы'!S$4-'минимумы и максимумы'!S$2)*100)</f>
        <v>0</v>
      </c>
    </row>
    <row r="130" spans="1:21" x14ac:dyDescent="0.45">
      <c r="A130" s="4">
        <v>194</v>
      </c>
      <c r="B130" s="4">
        <v>0</v>
      </c>
      <c r="C130" s="4">
        <v>0</v>
      </c>
      <c r="D130" s="1">
        <f>IF('исходные данные'!D130&gt;'минимумы и максимумы'!B$4,100,('исходные данные'!D130-'минимумы и максимумы'!B$2)/('минимумы и максимумы'!B$4-'минимумы и максимумы'!B$2)*100)</f>
        <v>37.5</v>
      </c>
      <c r="E130" s="1">
        <f>IF('исходные данные'!E130&gt;'минимумы и максимумы'!C$4,100,('исходные данные'!E130-'минимумы и максимумы'!C$2)/('минимумы и максимумы'!C$4-'минимумы и максимумы'!C$2)*100)</f>
        <v>0</v>
      </c>
      <c r="F130" s="1">
        <f>IF('исходные данные'!F130&gt;'минимумы и максимумы'!D$4,100,('исходные данные'!F130-'минимумы и максимумы'!D$2)/('минимумы и максимумы'!D$4-'минимумы и максимумы'!D$2)*100)</f>
        <v>25</v>
      </c>
      <c r="G130" s="1">
        <f>IF('исходные данные'!G130&gt;'минимумы и максимумы'!E$4,100,('исходные данные'!G130-'минимумы и максимумы'!E$2)/('минимумы и максимумы'!E$4-'минимумы и максимумы'!E$2)*100)</f>
        <v>18.918918918918919</v>
      </c>
      <c r="H130" s="1">
        <f>IF('исходные данные'!H130&gt;'минимумы и максимумы'!F$4,100,('исходные данные'!H130-'минимумы и максимумы'!F$2)/('минимумы и максимумы'!F$4-'минимумы и максимумы'!F$2)*100)</f>
        <v>23.684210526315788</v>
      </c>
      <c r="I130" s="1">
        <f>IF('исходные данные'!I130&gt;'минимумы и максимумы'!G$4,100,('исходные данные'!I130-'минимумы и максимумы'!G$2)/('минимумы и максимумы'!G$4-'минимумы и максимумы'!G$2)*100)</f>
        <v>16.867469879518072</v>
      </c>
      <c r="J130" s="1">
        <f>IF('исходные данные'!J130&gt;'минимумы и максимумы'!H$4,100,('исходные данные'!J130-'минимумы и максимумы'!H$2)/('минимумы и максимумы'!H$4-'минимумы и максимумы'!H$2)*100)</f>
        <v>25</v>
      </c>
      <c r="K130" s="1">
        <f>IF('исходные данные'!K130&gt;'минимумы и максимумы'!I$4,100,('исходные данные'!K130-'минимумы и максимумы'!I$2)/('минимумы и максимумы'!I$4-'минимумы и максимумы'!I$2)*100)</f>
        <v>39.285714285714285</v>
      </c>
      <c r="L130" s="1">
        <f>IF('исходные данные'!L130&gt;'минимумы и максимумы'!J$4,100,('исходные данные'!L130-'минимумы и максимумы'!J$2)/('минимумы и максимумы'!J$4-'минимумы и максимумы'!J$2)*100)</f>
        <v>25</v>
      </c>
      <c r="M130" s="1">
        <f>IF('исходные данные'!M130&gt;'минимумы и максимумы'!K$4,100,('исходные данные'!M130-'минимумы и максимумы'!K$2)/('минимумы и максимумы'!K$4-'минимумы и максимумы'!K$2)*100)</f>
        <v>38.297872340425535</v>
      </c>
      <c r="N130" s="1">
        <f>IF('исходные данные'!N130&gt;'минимумы и максимумы'!L$4,100,('исходные данные'!N130-'минимумы и максимумы'!L$2)/('минимумы и максимумы'!L$4-'минимумы и максимумы'!L$2)*100)</f>
        <v>13.980525357828627</v>
      </c>
      <c r="O130" s="1">
        <f>IF('исходные данные'!O130&gt;'минимумы и максимумы'!M$4,100,('исходные данные'!O130-'минимумы и максимумы'!M$2)/('минимумы и максимумы'!M$4-'минимумы и максимумы'!M$2)*100)</f>
        <v>66.666666666666657</v>
      </c>
      <c r="P130" s="1">
        <f>IF('исходные данные'!P130&gt;'минимумы и максимумы'!N$4,100,('исходные данные'!P130-'минимумы и максимумы'!N$2)/('минимумы и максимумы'!N$4-'минимумы и максимумы'!N$2)*100)</f>
        <v>100</v>
      </c>
      <c r="Q130" s="1">
        <f>IF('исходные данные'!Q130&gt;'минимумы и максимумы'!O$4,100,('исходные данные'!Q130-'минимумы и максимумы'!O$2)/('минимумы и максимумы'!O$4-'минимумы и максимумы'!O$2)*100)</f>
        <v>100</v>
      </c>
      <c r="R130" s="1">
        <f>IF('исходные данные'!R130&gt;'минимумы и максимумы'!P$4,100,('исходные данные'!R130-'минимумы и максимумы'!P$2)/('минимумы и максимумы'!P$4-'минимумы и максимумы'!P$2)*100)</f>
        <v>75</v>
      </c>
      <c r="S130" s="1">
        <f>IF('исходные данные'!S130&gt;'минимумы и максимумы'!Q$4,100,('исходные данные'!S130-'минимумы и максимумы'!Q$2)/('минимумы и максимумы'!Q$4-'минимумы и максимумы'!Q$2)*100)</f>
        <v>33.333333333333329</v>
      </c>
      <c r="T130" s="1">
        <f>IF('исходные данные'!T130&gt;'минимумы и максимумы'!R$4,100,('исходные данные'!T130-'минимумы и максимумы'!R$2)/('минимумы и максимумы'!R$4-'минимумы и максимумы'!R$2)*100)</f>
        <v>7.7387802071346377</v>
      </c>
      <c r="U130" s="1">
        <f>IF('исходные данные'!U130&gt;'минимумы и максимумы'!S$4,100,('исходные данные'!U130-'минимумы и максимумы'!S$2)/('минимумы и максимумы'!S$4-'минимумы и максимумы'!S$2)*100)</f>
        <v>33.333333333333329</v>
      </c>
    </row>
    <row r="131" spans="1:21" x14ac:dyDescent="0.45">
      <c r="A131" s="4">
        <v>195</v>
      </c>
      <c r="B131" s="4">
        <v>0</v>
      </c>
      <c r="C131" s="4">
        <v>0</v>
      </c>
      <c r="D131" s="1">
        <f>IF('исходные данные'!D131&gt;'минимумы и максимумы'!B$4,100,('исходные данные'!D131-'минимумы и максимумы'!B$2)/('минимумы и максимумы'!B$4-'минимумы и максимумы'!B$2)*100)</f>
        <v>37.5</v>
      </c>
      <c r="E131" s="1">
        <f>IF('исходные данные'!E131&gt;'минимумы и максимумы'!C$4,100,('исходные данные'!E131-'минимумы и максимумы'!C$2)/('минимумы и максимумы'!C$4-'минимумы и максимумы'!C$2)*100)</f>
        <v>6.25</v>
      </c>
      <c r="F131" s="1">
        <f>IF('исходные данные'!F131&gt;'минимумы и максимумы'!D$4,100,('исходные данные'!F131-'минимумы и максимумы'!D$2)/('минимумы и максимумы'!D$4-'минимумы и максимумы'!D$2)*100)</f>
        <v>25</v>
      </c>
      <c r="G131" s="1">
        <f>IF('исходные данные'!G131&gt;'минимумы и максимумы'!E$4,100,('исходные данные'!G131-'минимумы и максимумы'!E$2)/('минимумы и максимумы'!E$4-'минимумы и максимумы'!E$2)*100)</f>
        <v>13.513513513513514</v>
      </c>
      <c r="H131" s="1">
        <f>IF('исходные данные'!H131&gt;'минимумы и максимумы'!F$4,100,('исходные данные'!H131-'минимумы и максимумы'!F$2)/('минимумы и максимумы'!F$4-'минимумы и максимумы'!F$2)*100)</f>
        <v>10.526315789473683</v>
      </c>
      <c r="I131" s="1">
        <f>IF('исходные данные'!I131&gt;'минимумы и максимумы'!G$4,100,('исходные данные'!I131-'минимумы и максимумы'!G$2)/('минимумы и максимумы'!G$4-'минимумы и максимумы'!G$2)*100)</f>
        <v>18.072289156626507</v>
      </c>
      <c r="J131" s="1">
        <f>IF('исходные данные'!J131&gt;'минимумы и максимумы'!H$4,100,('исходные данные'!J131-'минимумы и максимумы'!H$2)/('минимумы и максимумы'!H$4-'минимумы и максимумы'!H$2)*100)</f>
        <v>16.666666666666664</v>
      </c>
      <c r="K131" s="1">
        <f>IF('исходные данные'!K131&gt;'минимумы и максимумы'!I$4,100,('исходные данные'!K131-'минимумы и максимумы'!I$2)/('минимумы и максимумы'!I$4-'минимумы и максимумы'!I$2)*100)</f>
        <v>100</v>
      </c>
      <c r="L131" s="1">
        <f>IF('исходные данные'!L131&gt;'минимумы и максимумы'!J$4,100,('исходные данные'!L131-'минимумы и максимумы'!J$2)/('минимумы и максимумы'!J$4-'минимумы и максимумы'!J$2)*100)</f>
        <v>12.5</v>
      </c>
      <c r="M131" s="1">
        <f>IF('исходные данные'!M131&gt;'минимумы и максимумы'!K$4,100,('исходные данные'!M131-'минимумы и максимумы'!K$2)/('минимумы и максимумы'!K$4-'минимумы и максимумы'!K$2)*100)</f>
        <v>17.021276595744681</v>
      </c>
      <c r="N131" s="1">
        <f>IF('исходные данные'!N131&gt;'минимумы и максимумы'!L$4,100,('исходные данные'!N131-'минимумы и максимумы'!L$2)/('минимумы и максимумы'!L$4-'минимумы и максимумы'!L$2)*100)</f>
        <v>13.14256158916567</v>
      </c>
      <c r="O131" s="1">
        <f>IF('исходные данные'!O131&gt;'минимумы и максимумы'!M$4,100,('исходные данные'!O131-'минимумы и максимумы'!M$2)/('минимумы и максимумы'!M$4-'минимумы и максимумы'!M$2)*100)</f>
        <v>33.333333333333329</v>
      </c>
      <c r="P131" s="1">
        <f>IF('исходные данные'!P131&gt;'минимумы и максимумы'!N$4,100,('исходные данные'!P131-'минимумы и максимумы'!N$2)/('минимумы и максимумы'!N$4-'минимумы и максимумы'!N$2)*100)</f>
        <v>100</v>
      </c>
      <c r="Q131" s="1">
        <f>IF('исходные данные'!Q131&gt;'минимумы и максимумы'!O$4,100,('исходные данные'!Q131-'минимумы и максимумы'!O$2)/('минимумы и максимумы'!O$4-'минимумы и максимумы'!O$2)*100)</f>
        <v>0</v>
      </c>
      <c r="R131" s="1">
        <f>IF('исходные данные'!R131&gt;'минимумы и максимумы'!P$4,100,('исходные данные'!R131-'минимумы и максимумы'!P$2)/('минимумы и максимумы'!P$4-'минимумы и максимумы'!P$2)*100)</f>
        <v>75</v>
      </c>
      <c r="S131" s="1">
        <f>IF('исходные данные'!S131&gt;'минимумы и максимумы'!Q$4,100,('исходные данные'!S131-'минимумы и максимумы'!Q$2)/('минимумы и максимумы'!Q$4-'минимумы и максимумы'!Q$2)*100)</f>
        <v>44.444444444444443</v>
      </c>
      <c r="T131" s="1">
        <f>IF('исходные данные'!T131&gt;'минимумы и максимумы'!R$4,100,('исходные данные'!T131-'минимумы и максимумы'!R$2)/('минимумы и максимумы'!R$4-'минимумы и максимумы'!R$2)*100)</f>
        <v>65.189873417721529</v>
      </c>
      <c r="U131" s="1">
        <f>IF('исходные данные'!U131&gt;'минимумы и максимумы'!S$4,100,('исходные данные'!U131-'минимумы и максимумы'!S$2)/('минимумы и максимумы'!S$4-'минимумы и максимумы'!S$2)*100)</f>
        <v>33.333333333333329</v>
      </c>
    </row>
    <row r="132" spans="1:21" x14ac:dyDescent="0.45">
      <c r="A132" s="4">
        <v>196</v>
      </c>
      <c r="B132" s="4">
        <v>0</v>
      </c>
      <c r="C132" s="4">
        <v>0</v>
      </c>
      <c r="D132" s="1">
        <f>IF('исходные данные'!D132&gt;'минимумы и максимумы'!B$4,100,('исходные данные'!D132-'минимумы и максимумы'!B$2)/('минимумы и максимумы'!B$4-'минимумы и максимумы'!B$2)*100)</f>
        <v>12.5</v>
      </c>
      <c r="E132" s="1">
        <f>IF('исходные данные'!E132&gt;'минимумы и максимумы'!C$4,100,('исходные данные'!E132-'минимумы и максимумы'!C$2)/('минимумы и максимумы'!C$4-'минимумы и максимумы'!C$2)*100)</f>
        <v>12.5</v>
      </c>
      <c r="F132" s="1">
        <f>IF('исходные данные'!F132&gt;'минимумы и максимумы'!D$4,100,('исходные данные'!F132-'минимумы и максимумы'!D$2)/('минимумы и максимумы'!D$4-'минимумы и максимумы'!D$2)*100)</f>
        <v>0</v>
      </c>
      <c r="G132" s="1">
        <f>IF('исходные данные'!G132&gt;'минимумы и максимумы'!E$4,100,('исходные данные'!G132-'минимумы и максимумы'!E$2)/('минимумы и максимумы'!E$4-'минимумы и максимумы'!E$2)*100)</f>
        <v>27.027027027027028</v>
      </c>
      <c r="H132" s="1">
        <f>IF('исходные данные'!H132&gt;'минимумы и максимумы'!F$4,100,('исходные данные'!H132-'минимумы и максимумы'!F$2)/('минимумы и максимумы'!F$4-'минимумы и максимумы'!F$2)*100)</f>
        <v>21.052631578947366</v>
      </c>
      <c r="I132" s="1">
        <f>IF('исходные данные'!I132&gt;'минимумы и максимумы'!G$4,100,('исходные данные'!I132-'минимумы и максимумы'!G$2)/('минимумы и максимумы'!G$4-'минимумы и максимумы'!G$2)*100)</f>
        <v>22.891566265060241</v>
      </c>
      <c r="J132" s="1">
        <f>IF('исходные данные'!J132&gt;'минимумы и максимумы'!H$4,100,('исходные данные'!J132-'минимумы и максимумы'!H$2)/('минимумы и максимумы'!H$4-'минимумы и максимумы'!H$2)*100)</f>
        <v>25</v>
      </c>
      <c r="K132" s="1">
        <f>IF('исходные данные'!K132&gt;'минимумы и максимумы'!I$4,100,('исходные данные'!K132-'минимумы и максимумы'!I$2)/('минимумы и максимумы'!I$4-'минимумы и максимумы'!I$2)*100)</f>
        <v>100</v>
      </c>
      <c r="L132" s="1">
        <f>IF('исходные данные'!L132&gt;'минимумы и максимумы'!J$4,100,('исходные данные'!L132-'минимумы и максимумы'!J$2)/('минимумы и максимумы'!J$4-'минимумы и максимумы'!J$2)*100)</f>
        <v>12.5</v>
      </c>
      <c r="M132" s="1">
        <f>IF('исходные данные'!M132&gt;'минимумы и максимумы'!K$4,100,('исходные данные'!M132-'минимумы и максимумы'!K$2)/('минимумы и максимумы'!K$4-'минимумы и максимумы'!K$2)*100)</f>
        <v>17.021276595744681</v>
      </c>
      <c r="N132" s="1">
        <f>IF('исходные данные'!N132&gt;'минимумы и максимумы'!L$4,100,('исходные данные'!N132-'минимумы и максимумы'!L$2)/('минимумы и максимумы'!L$4-'минимумы и максимумы'!L$2)*100)</f>
        <v>13.14256158916567</v>
      </c>
      <c r="O132" s="1">
        <f>IF('исходные данные'!O132&gt;'минимумы и максимумы'!M$4,100,('исходные данные'!O132-'минимумы и максимумы'!M$2)/('минимумы и максимумы'!M$4-'минимумы и максимумы'!M$2)*100)</f>
        <v>66.666666666666657</v>
      </c>
      <c r="P132" s="1">
        <f>IF('исходные данные'!P132&gt;'минимумы и максимумы'!N$4,100,('исходные данные'!P132-'минимумы и максимумы'!N$2)/('минимумы и максимумы'!N$4-'минимумы и максимумы'!N$2)*100)</f>
        <v>100</v>
      </c>
      <c r="Q132" s="1">
        <f>IF('исходные данные'!Q132&gt;'минимумы и максимумы'!O$4,100,('исходные данные'!Q132-'минимумы и максимумы'!O$2)/('минимумы и максимумы'!O$4-'минимумы и максимумы'!O$2)*100)</f>
        <v>0</v>
      </c>
      <c r="R132" s="1">
        <f>IF('исходные данные'!R132&gt;'минимумы и максимумы'!P$4,100,('исходные данные'!R132-'минимумы и максимумы'!P$2)/('минимумы и максимумы'!P$4-'минимумы и максимумы'!P$2)*100)</f>
        <v>75</v>
      </c>
      <c r="S132" s="1">
        <f>IF('исходные данные'!S132&gt;'минимумы и максимумы'!Q$4,100,('исходные данные'!S132-'минимумы и максимумы'!Q$2)/('минимумы и максимумы'!Q$4-'минимумы и максимумы'!Q$2)*100)</f>
        <v>22.222222222222221</v>
      </c>
      <c r="T132" s="1">
        <f>IF('исходные данные'!T132&gt;'минимумы и максимумы'!R$4,100,('исходные данные'!T132-'минимумы и максимумы'!R$2)/('минимумы и максимумы'!R$4-'минимумы и максимумы'!R$2)*100)</f>
        <v>16.7433831990794</v>
      </c>
      <c r="U132" s="1">
        <f>IF('исходные данные'!U132&gt;'минимумы и максимумы'!S$4,100,('исходные данные'!U132-'минимумы и максимумы'!S$2)/('минимумы и максимумы'!S$4-'минимумы и максимумы'!S$2)*100)</f>
        <v>0</v>
      </c>
    </row>
    <row r="133" spans="1:21" x14ac:dyDescent="0.45">
      <c r="A133" s="4">
        <v>197</v>
      </c>
      <c r="B133" s="4">
        <v>0</v>
      </c>
      <c r="C133" s="4">
        <v>0</v>
      </c>
      <c r="D133" s="1">
        <f>IF('исходные данные'!D133&gt;'минимумы и максимумы'!B$4,100,('исходные данные'!D133-'минимумы и максимумы'!B$2)/('минимумы и максимумы'!B$4-'минимумы и максимумы'!B$2)*100)</f>
        <v>0</v>
      </c>
      <c r="E133" s="1">
        <f>IF('исходные данные'!E133&gt;'минимумы и максимумы'!C$4,100,('исходные данные'!E133-'минимумы и максимумы'!C$2)/('минимумы и максимумы'!C$4-'минимумы и максимумы'!C$2)*100)</f>
        <v>6.25</v>
      </c>
      <c r="F133" s="1">
        <f>IF('исходные данные'!F133&gt;'минимумы и максимумы'!D$4,100,('исходные данные'!F133-'минимумы и максимумы'!D$2)/('минимумы и максимумы'!D$4-'минимумы и максимумы'!D$2)*100)</f>
        <v>0</v>
      </c>
      <c r="G133" s="1">
        <f>IF('исходные данные'!G133&gt;'минимумы и максимумы'!E$4,100,('исходные данные'!G133-'минимумы и максимумы'!E$2)/('минимумы и максимумы'!E$4-'минимумы и максимумы'!E$2)*100)</f>
        <v>10.810810810810811</v>
      </c>
      <c r="H133" s="1">
        <f>IF('исходные данные'!H133&gt;'минимумы и максимумы'!F$4,100,('исходные данные'!H133-'минимумы и максимумы'!F$2)/('минимумы и максимумы'!F$4-'минимумы и максимумы'!F$2)*100)</f>
        <v>7.8947368421052628</v>
      </c>
      <c r="I133" s="1">
        <f>IF('исходные данные'!I133&gt;'минимумы и максимумы'!G$4,100,('исходные данные'!I133-'минимумы и максимумы'!G$2)/('минимумы и максимумы'!G$4-'минимумы и максимумы'!G$2)*100)</f>
        <v>15.66265060240964</v>
      </c>
      <c r="J133" s="1">
        <f>IF('исходные данные'!J133&gt;'минимумы и максимумы'!H$4,100,('исходные данные'!J133-'минимумы и максимумы'!H$2)/('минимумы и максимумы'!H$4-'минимумы и максимумы'!H$2)*100)</f>
        <v>12.5</v>
      </c>
      <c r="K133" s="1">
        <f>IF('исходные данные'!K133&gt;'минимумы и максимумы'!I$4,100,('исходные данные'!K133-'минимумы и максимумы'!I$2)/('минимумы и максимумы'!I$4-'минимумы и максимумы'!I$2)*100)</f>
        <v>32.142857142857146</v>
      </c>
      <c r="L133" s="1">
        <f>IF('исходные данные'!L133&gt;'минимумы и максимумы'!J$4,100,('исходные данные'!L133-'минимумы и максимумы'!J$2)/('минимумы и максимумы'!J$4-'минимумы и максимумы'!J$2)*100)</f>
        <v>25</v>
      </c>
      <c r="M133" s="1">
        <f>IF('исходные данные'!M133&gt;'минимумы и максимумы'!K$4,100,('исходные данные'!M133-'минимумы и максимумы'!K$2)/('минимумы и максимумы'!K$4-'минимумы и максимумы'!K$2)*100)</f>
        <v>6.3829787234042552</v>
      </c>
      <c r="N133" s="1">
        <f>IF('исходные данные'!N133&gt;'минимумы и максимумы'!L$4,100,('исходные данные'!N133-'минимумы и максимумы'!L$2)/('минимумы и максимумы'!L$4-'минимумы и максимумы'!L$2)*100)</f>
        <v>14.24711333437611</v>
      </c>
      <c r="O133" s="1">
        <f>IF('исходные данные'!O133&gt;'минимумы и максимумы'!M$4,100,('исходные данные'!O133-'минимумы и максимумы'!M$2)/('минимумы и максимумы'!M$4-'минимумы и максимумы'!M$2)*100)</f>
        <v>0</v>
      </c>
      <c r="P133" s="1">
        <f>IF('исходные данные'!P133&gt;'минимумы и максимумы'!N$4,100,('исходные данные'!P133-'минимумы и максимумы'!N$2)/('минимумы и максимумы'!N$4-'минимумы и максимумы'!N$2)*100)</f>
        <v>0</v>
      </c>
      <c r="Q133" s="1">
        <f>IF('исходные данные'!Q133&gt;'минимумы и максимумы'!O$4,100,('исходные данные'!Q133-'минимумы и максимумы'!O$2)/('минимумы и максимумы'!O$4-'минимумы и максимумы'!O$2)*100)</f>
        <v>100</v>
      </c>
      <c r="R133" s="1">
        <f>IF('исходные данные'!R133&gt;'минимумы и максимумы'!P$4,100,('исходные данные'!R133-'минимумы и максимумы'!P$2)/('минимумы и максимумы'!P$4-'минимумы и максимумы'!P$2)*100)</f>
        <v>75</v>
      </c>
      <c r="S133" s="1">
        <f>IF('исходные данные'!S133&gt;'минимумы и максимумы'!Q$4,100,('исходные данные'!S133-'минимумы и максимумы'!Q$2)/('минимумы и максимумы'!Q$4-'минимумы и максимумы'!Q$2)*100)</f>
        <v>55.555555555555557</v>
      </c>
      <c r="T133" s="1">
        <f>IF('исходные данные'!T133&gt;'минимумы и максимумы'!R$4,100,('исходные данные'!T133-'минимумы и максимумы'!R$2)/('минимумы и максимумы'!R$4-'минимумы и максимумы'!R$2)*100)</f>
        <v>60.414269275028765</v>
      </c>
      <c r="U133" s="1">
        <f>IF('исходные данные'!U133&gt;'минимумы и максимумы'!S$4,100,('исходные данные'!U133-'минимумы и максимумы'!S$2)/('минимумы и максимумы'!S$4-'минимумы и максимумы'!S$2)*100)</f>
        <v>100</v>
      </c>
    </row>
    <row r="134" spans="1:21" x14ac:dyDescent="0.45">
      <c r="A134" s="4">
        <v>198</v>
      </c>
      <c r="B134" s="4">
        <v>0</v>
      </c>
      <c r="C134" s="4">
        <v>0</v>
      </c>
      <c r="D134" s="1">
        <f>IF('исходные данные'!D134&gt;'минимумы и максимумы'!B$4,100,('исходные данные'!D134-'минимумы и максимумы'!B$2)/('минимумы и максимумы'!B$4-'минимумы и максимумы'!B$2)*100)</f>
        <v>0</v>
      </c>
      <c r="E134" s="1">
        <f>IF('исходные данные'!E134&gt;'минимумы и максимумы'!C$4,100,('исходные данные'!E134-'минимумы и максимумы'!C$2)/('минимумы и максимумы'!C$4-'минимумы и максимумы'!C$2)*100)</f>
        <v>6.25</v>
      </c>
      <c r="F134" s="1">
        <f>IF('исходные данные'!F134&gt;'минимумы и максимумы'!D$4,100,('исходные данные'!F134-'минимумы и максимумы'!D$2)/('минимумы и максимумы'!D$4-'минимумы и максимумы'!D$2)*100)</f>
        <v>0</v>
      </c>
      <c r="G134" s="1">
        <f>IF('исходные данные'!G134&gt;'минимумы и максимумы'!E$4,100,('исходные данные'!G134-'минимумы и максимумы'!E$2)/('минимумы и максимумы'!E$4-'минимумы и максимумы'!E$2)*100)</f>
        <v>16.216216216216218</v>
      </c>
      <c r="H134" s="1">
        <f>IF('исходные данные'!H134&gt;'минимумы и максимумы'!F$4,100,('исходные данные'!H134-'минимумы и максимумы'!F$2)/('минимумы и максимумы'!F$4-'минимумы и максимумы'!F$2)*100)</f>
        <v>5.2631578947368416</v>
      </c>
      <c r="I134" s="1">
        <f>IF('исходные данные'!I134&gt;'минимумы и максимумы'!G$4,100,('исходные данные'!I134-'минимумы и максимумы'!G$2)/('минимумы и максимумы'!G$4-'минимумы и максимумы'!G$2)*100)</f>
        <v>18.072289156626507</v>
      </c>
      <c r="J134" s="1">
        <f>IF('исходные данные'!J134&gt;'минимумы и максимумы'!H$4,100,('исходные данные'!J134-'минимумы и максимумы'!H$2)/('минимумы и максимумы'!H$4-'минимумы и максимумы'!H$2)*100)</f>
        <v>12.5</v>
      </c>
      <c r="K134" s="1">
        <f>IF('исходные данные'!K134&gt;'минимумы и максимумы'!I$4,100,('исходные данные'!K134-'минимумы и максимумы'!I$2)/('минимумы и максимумы'!I$4-'минимумы и максимумы'!I$2)*100)</f>
        <v>50</v>
      </c>
      <c r="L134" s="1">
        <f>IF('исходные данные'!L134&gt;'минимумы и максимумы'!J$4,100,('исходные данные'!L134-'минимумы и максимумы'!J$2)/('минимумы и максимумы'!J$4-'минимумы и максимумы'!J$2)*100)</f>
        <v>12.5</v>
      </c>
      <c r="M134" s="1">
        <f>IF('исходные данные'!M134&gt;'минимумы и максимумы'!K$4,100,('исходные данные'!M134-'минимумы и максимумы'!K$2)/('минимумы и максимумы'!K$4-'минимумы и максимумы'!K$2)*100)</f>
        <v>14.893617021276595</v>
      </c>
      <c r="N134" s="1">
        <f>IF('исходные данные'!N134&gt;'минимумы и максимумы'!L$4,100,('исходные данные'!N134-'минимумы и максимумы'!L$2)/('минимумы и максимумы'!L$4-'минимумы и максимумы'!L$2)*100)</f>
        <v>13.14256158916567</v>
      </c>
      <c r="O134" s="1">
        <f>IF('исходные данные'!O134&gt;'минимумы и максимумы'!M$4,100,('исходные данные'!O134-'минимумы и максимумы'!M$2)/('минимумы и максимумы'!M$4-'минимумы и максимумы'!M$2)*100)</f>
        <v>66.666666666666657</v>
      </c>
      <c r="P134" s="1">
        <f>IF('исходные данные'!P134&gt;'минимумы и максимумы'!N$4,100,('исходные данные'!P134-'минимумы и максимумы'!N$2)/('минимумы и максимумы'!N$4-'минимумы и максимумы'!N$2)*100)</f>
        <v>100</v>
      </c>
      <c r="Q134" s="1">
        <f>IF('исходные данные'!Q134&gt;'минимумы и максимумы'!O$4,100,('исходные данные'!Q134-'минимумы и максимумы'!O$2)/('минимумы и максимумы'!O$4-'минимумы и максимумы'!O$2)*100)</f>
        <v>0</v>
      </c>
      <c r="R134" s="1">
        <f>IF('исходные данные'!R134&gt;'минимумы и максимумы'!P$4,100,('исходные данные'!R134-'минимумы и максимумы'!P$2)/('минимумы и максимумы'!P$4-'минимумы и максимумы'!P$2)*100)</f>
        <v>75</v>
      </c>
      <c r="S134" s="1">
        <f>IF('исходные данные'!S134&gt;'минимумы и максимумы'!Q$4,100,('исходные данные'!S134-'минимумы и максимумы'!Q$2)/('минимумы и максимумы'!Q$4-'минимумы и максимумы'!Q$2)*100)</f>
        <v>44.444444444444443</v>
      </c>
      <c r="T134" s="1">
        <f>IF('исходные данные'!T134&gt;'минимумы и максимумы'!R$4,100,('исходные данные'!T134-'минимумы и максимумы'!R$2)/('минимумы и максимумы'!R$4-'минимумы и максимумы'!R$2)*100)</f>
        <v>33.88952819332566</v>
      </c>
      <c r="U134" s="1">
        <f>IF('исходные данные'!U134&gt;'минимумы и максимумы'!S$4,100,('исходные данные'!U134-'минимумы и максимумы'!S$2)/('минимумы и максимумы'!S$4-'минимумы и максимумы'!S$2)*100)</f>
        <v>66.666666666666657</v>
      </c>
    </row>
    <row r="135" spans="1:21" x14ac:dyDescent="0.45">
      <c r="A135" s="4">
        <v>199</v>
      </c>
      <c r="B135" s="4">
        <v>0</v>
      </c>
      <c r="C135" s="4">
        <v>0</v>
      </c>
      <c r="D135" s="1">
        <f>IF('исходные данные'!D135&gt;'минимумы и максимумы'!B$4,100,('исходные данные'!D135-'минимумы и максимумы'!B$2)/('минимумы и максимумы'!B$4-'минимумы и максимумы'!B$2)*100)</f>
        <v>25</v>
      </c>
      <c r="E135" s="1">
        <f>IF('исходные данные'!E135&gt;'минимумы и максимумы'!C$4,100,('исходные данные'!E135-'минимумы и максимумы'!C$2)/('минимумы и максимумы'!C$4-'минимумы и максимумы'!C$2)*100)</f>
        <v>6.25</v>
      </c>
      <c r="F135" s="1">
        <f>IF('исходные данные'!F135&gt;'минимумы и максимумы'!D$4,100,('исходные данные'!F135-'минимумы и максимумы'!D$2)/('минимумы и максимумы'!D$4-'минимумы и максимумы'!D$2)*100)</f>
        <v>0</v>
      </c>
      <c r="G135" s="1">
        <f>IF('исходные данные'!G135&gt;'минимумы и максимумы'!E$4,100,('исходные данные'!G135-'минимумы и максимумы'!E$2)/('минимумы и максимумы'!E$4-'минимумы и максимумы'!E$2)*100)</f>
        <v>24.324324324324326</v>
      </c>
      <c r="H135" s="1">
        <f>IF('исходные данные'!H135&gt;'минимумы и максимумы'!F$4,100,('исходные данные'!H135-'минимумы и максимумы'!F$2)/('минимумы и максимумы'!F$4-'минимумы и максимумы'!F$2)*100)</f>
        <v>23.684210526315788</v>
      </c>
      <c r="I135" s="1">
        <f>IF('исходные данные'!I135&gt;'минимумы и максимумы'!G$4,100,('исходные данные'!I135-'минимумы и максимумы'!G$2)/('минимумы и максимумы'!G$4-'минимумы и максимумы'!G$2)*100)</f>
        <v>27.710843373493976</v>
      </c>
      <c r="J135" s="1">
        <f>IF('исходные данные'!J135&gt;'минимумы и максимумы'!H$4,100,('исходные данные'!J135-'минимумы и максимумы'!H$2)/('минимумы и максимумы'!H$4-'минимумы и максимумы'!H$2)*100)</f>
        <v>20.833333333333336</v>
      </c>
      <c r="K135" s="1">
        <f>IF('исходные данные'!K135&gt;'минимумы и максимумы'!I$4,100,('исходные данные'!K135-'минимумы и максимумы'!I$2)/('минимумы и максимумы'!I$4-'минимумы и максимумы'!I$2)*100)</f>
        <v>71.428571428571431</v>
      </c>
      <c r="L135" s="1">
        <f>IF('исходные данные'!L135&gt;'минимумы и максимумы'!J$4,100,('исходные данные'!L135-'минимумы и максимумы'!J$2)/('минимумы и максимумы'!J$4-'минимумы и максимумы'!J$2)*100)</f>
        <v>12.5</v>
      </c>
      <c r="M135" s="1">
        <f>IF('исходные данные'!M135&gt;'минимумы и максимумы'!K$4,100,('исходные данные'!M135-'минимумы и максимумы'!K$2)/('минимумы и максимумы'!K$4-'минимумы и максимумы'!K$2)*100)</f>
        <v>31.914893617021278</v>
      </c>
      <c r="N135" s="1">
        <f>IF('исходные данные'!N135&gt;'минимумы и максимумы'!L$4,100,('исходные данные'!N135-'минимумы и максимумы'!L$2)/('минимумы и максимумы'!L$4-'минимумы и максимумы'!L$2)*100)</f>
        <v>12.56117064168166</v>
      </c>
      <c r="O135" s="1">
        <f>IF('исходные данные'!O135&gt;'минимумы и максимумы'!M$4,100,('исходные данные'!O135-'минимумы и максимумы'!M$2)/('минимумы и максимумы'!M$4-'минимумы и максимумы'!M$2)*100)</f>
        <v>33.333333333333329</v>
      </c>
      <c r="P135" s="1">
        <f>IF('исходные данные'!P135&gt;'минимумы и максимумы'!N$4,100,('исходные данные'!P135-'минимумы и максимумы'!N$2)/('минимумы и максимумы'!N$4-'минимумы и максимумы'!N$2)*100)</f>
        <v>0</v>
      </c>
      <c r="Q135" s="1">
        <f>IF('исходные данные'!Q135&gt;'минимумы и максимумы'!O$4,100,('исходные данные'!Q135-'минимумы и максимумы'!O$2)/('минимумы и максимумы'!O$4-'минимумы и максимумы'!O$2)*100)</f>
        <v>100</v>
      </c>
      <c r="R135" s="1">
        <f>IF('исходные данные'!R135&gt;'минимумы и максимумы'!P$4,100,('исходные данные'!R135-'минимумы и максимумы'!P$2)/('минимумы и максимумы'!P$4-'минимумы и максимумы'!P$2)*100)</f>
        <v>75</v>
      </c>
      <c r="S135" s="1">
        <f>IF('исходные данные'!S135&gt;'минимумы и максимумы'!Q$4,100,('исходные данные'!S135-'минимумы и максимумы'!Q$2)/('минимумы и максимумы'!Q$4-'минимумы и максимумы'!Q$2)*100)</f>
        <v>22.222222222222221</v>
      </c>
      <c r="T135" s="1">
        <f>IF('исходные данные'!T135&gt;'минимумы и максимумы'!R$4,100,('исходные данные'!T135-'минимумы и максимумы'!R$2)/('минимумы и максимумы'!R$4-'минимумы и максимумы'!R$2)*100)</f>
        <v>14.873417721518987</v>
      </c>
      <c r="U135" s="1">
        <f>IF('исходные данные'!U135&gt;'минимумы и максимумы'!S$4,100,('исходные данные'!U135-'минимумы и максимумы'!S$2)/('минимумы и максимумы'!S$4-'минимумы и максимумы'!S$2)*100)</f>
        <v>0</v>
      </c>
    </row>
    <row r="136" spans="1:21" x14ac:dyDescent="0.45">
      <c r="A136" s="4">
        <v>201</v>
      </c>
      <c r="B136" s="4">
        <v>0</v>
      </c>
      <c r="C136" s="4">
        <v>0</v>
      </c>
      <c r="D136" s="1">
        <f>IF('исходные данные'!D136&gt;'минимумы и максимумы'!B$4,100,('исходные данные'!D136-'минимумы и максимумы'!B$2)/('минимумы и максимумы'!B$4-'минимумы и максимумы'!B$2)*100)</f>
        <v>25</v>
      </c>
      <c r="E136" s="1">
        <f>IF('исходные данные'!E136&gt;'минимумы и максимумы'!C$4,100,('исходные данные'!E136-'минимумы и максимумы'!C$2)/('минимумы и максимумы'!C$4-'минимумы и максимумы'!C$2)*100)</f>
        <v>6.25</v>
      </c>
      <c r="F136" s="1">
        <f>IF('исходные данные'!F136&gt;'минимумы и максимумы'!D$4,100,('исходные данные'!F136-'минимумы и максимумы'!D$2)/('минимумы и максимумы'!D$4-'минимумы и максимумы'!D$2)*100)</f>
        <v>0</v>
      </c>
      <c r="G136" s="1">
        <f>IF('исходные данные'!G136&gt;'минимумы и максимумы'!E$4,100,('исходные данные'!G136-'минимумы и максимумы'!E$2)/('минимумы и максимумы'!E$4-'минимумы и максимумы'!E$2)*100)</f>
        <v>27.027027027027028</v>
      </c>
      <c r="H136" s="1">
        <f>IF('исходные данные'!H136&gt;'минимумы и максимумы'!F$4,100,('исходные данные'!H136-'минимумы и максимумы'!F$2)/('минимумы и максимумы'!F$4-'минимумы и максимумы'!F$2)*100)</f>
        <v>23.684210526315788</v>
      </c>
      <c r="I136" s="1">
        <f>IF('исходные данные'!I136&gt;'минимумы и максимумы'!G$4,100,('исходные данные'!I136-'минимумы и максимумы'!G$2)/('минимумы и максимумы'!G$4-'минимумы и максимумы'!G$2)*100)</f>
        <v>27.710843373493976</v>
      </c>
      <c r="J136" s="1">
        <f>IF('исходные данные'!J136&gt;'минимумы и максимумы'!H$4,100,('исходные данные'!J136-'минимумы и максимумы'!H$2)/('минимумы и максимумы'!H$4-'минимумы и максимумы'!H$2)*100)</f>
        <v>20.833333333333336</v>
      </c>
      <c r="K136" s="1">
        <f>IF('исходные данные'!K136&gt;'минимумы и максимумы'!I$4,100,('исходные данные'!K136-'минимумы и максимумы'!I$2)/('минимумы и максимумы'!I$4-'минимумы и максимумы'!I$2)*100)</f>
        <v>32.142857142857146</v>
      </c>
      <c r="L136" s="1">
        <f>IF('исходные данные'!L136&gt;'минимумы и максимумы'!J$4,100,('исходные данные'!L136-'минимумы и максимумы'!J$2)/('минимумы и максимумы'!J$4-'минимумы и максимумы'!J$2)*100)</f>
        <v>12.5</v>
      </c>
      <c r="M136" s="1">
        <f>IF('исходные данные'!M136&gt;'минимумы и максимумы'!K$4,100,('исходные данные'!M136-'минимумы и максимумы'!K$2)/('минимумы и максимумы'!K$4-'минимумы и максимумы'!K$2)*100)</f>
        <v>34.042553191489361</v>
      </c>
      <c r="N136" s="1">
        <f>IF('исходные данные'!N136&gt;'минимумы и максимумы'!L$4,100,('исходные данные'!N136-'минимумы и максимумы'!L$2)/('минимумы и максимумы'!L$4-'минимумы и максимумы'!L$2)*100)</f>
        <v>11.926432775530396</v>
      </c>
      <c r="O136" s="1">
        <f>IF('исходные данные'!O136&gt;'минимумы и максимумы'!M$4,100,('исходные данные'!O136-'минимумы и максимумы'!M$2)/('минимумы и максимумы'!M$4-'минимумы и максимумы'!M$2)*100)</f>
        <v>66.666666666666657</v>
      </c>
      <c r="P136" s="1">
        <f>IF('исходные данные'!P136&gt;'минимумы и максимумы'!N$4,100,('исходные данные'!P136-'минимумы и максимумы'!N$2)/('минимумы и максимумы'!N$4-'минимумы и максимумы'!N$2)*100)</f>
        <v>100</v>
      </c>
      <c r="Q136" s="1">
        <f>IF('исходные данные'!Q136&gt;'минимумы и максимумы'!O$4,100,('исходные данные'!Q136-'минимумы и максимумы'!O$2)/('минимумы и максимумы'!O$4-'минимумы и максимумы'!O$2)*100)</f>
        <v>0</v>
      </c>
      <c r="R136" s="1">
        <f>IF('исходные данные'!R136&gt;'минимумы и максимумы'!P$4,100,('исходные данные'!R136-'минимумы и максимумы'!P$2)/('минимумы и максимумы'!P$4-'минимумы и максимумы'!P$2)*100)</f>
        <v>75</v>
      </c>
      <c r="S136" s="1">
        <f>IF('исходные данные'!S136&gt;'минимумы и максимумы'!Q$4,100,('исходные данные'!S136-'минимумы и максимумы'!Q$2)/('минимумы и максимумы'!Q$4-'минимумы и максимумы'!Q$2)*100)</f>
        <v>22.222222222222221</v>
      </c>
      <c r="T136" s="1">
        <f>IF('исходные данные'!T136&gt;'минимумы и максимумы'!R$4,100,('исходные данные'!T136-'минимумы и максимумы'!R$2)/('минимумы и максимумы'!R$4-'минимумы и максимумы'!R$2)*100)</f>
        <v>28.797468354430379</v>
      </c>
      <c r="U136" s="1">
        <f>IF('исходные данные'!U136&gt;'минимумы и максимумы'!S$4,100,('исходные данные'!U136-'минимумы и максимумы'!S$2)/('минимумы и максимумы'!S$4-'минимумы и максимумы'!S$2)*100)</f>
        <v>0</v>
      </c>
    </row>
    <row r="137" spans="1:21" x14ac:dyDescent="0.45">
      <c r="A137" s="4">
        <v>202</v>
      </c>
      <c r="B137" s="4">
        <v>0</v>
      </c>
      <c r="C137" s="4">
        <v>0</v>
      </c>
      <c r="D137" s="1">
        <f>IF('исходные данные'!D137&gt;'минимумы и максимумы'!B$4,100,('исходные данные'!D137-'минимумы и максимумы'!B$2)/('минимумы и максимумы'!B$4-'минимумы и максимумы'!B$2)*100)</f>
        <v>25</v>
      </c>
      <c r="E137" s="1">
        <f>IF('исходные данные'!E137&gt;'минимумы и максимумы'!C$4,100,('исходные данные'!E137-'минимумы и максимумы'!C$2)/('минимумы и максимумы'!C$4-'минимумы и максимумы'!C$2)*100)</f>
        <v>6.25</v>
      </c>
      <c r="F137" s="1">
        <f>IF('исходные данные'!F137&gt;'минимумы и максимумы'!D$4,100,('исходные данные'!F137-'минимумы и максимумы'!D$2)/('минимумы и максимумы'!D$4-'минимумы и максимумы'!D$2)*100)</f>
        <v>0</v>
      </c>
      <c r="G137" s="1">
        <f>IF('исходные данные'!G137&gt;'минимумы и максимумы'!E$4,100,('исходные данные'!G137-'минимумы и максимумы'!E$2)/('минимумы и максимумы'!E$4-'минимумы и максимумы'!E$2)*100)</f>
        <v>27.027027027027028</v>
      </c>
      <c r="H137" s="1">
        <f>IF('исходные данные'!H137&gt;'минимумы и максимумы'!F$4,100,('исходные данные'!H137-'минимумы и максимумы'!F$2)/('минимумы и максимумы'!F$4-'минимумы и максимумы'!F$2)*100)</f>
        <v>23.684210526315788</v>
      </c>
      <c r="I137" s="1">
        <f>IF('исходные данные'!I137&gt;'минимумы и максимумы'!G$4,100,('исходные данные'!I137-'минимумы и максимумы'!G$2)/('минимумы и максимумы'!G$4-'минимумы и максимумы'!G$2)*100)</f>
        <v>27.710843373493976</v>
      </c>
      <c r="J137" s="1">
        <f>IF('исходные данные'!J137&gt;'минимумы и максимумы'!H$4,100,('исходные данные'!J137-'минимумы и максимумы'!H$2)/('минимумы и максимумы'!H$4-'минимумы и максимумы'!H$2)*100)</f>
        <v>20.833333333333336</v>
      </c>
      <c r="K137" s="1">
        <f>IF('исходные данные'!K137&gt;'минимумы и максимумы'!I$4,100,('исходные данные'!K137-'минимумы и максимумы'!I$2)/('минимумы и максимумы'!I$4-'минимумы и максимумы'!I$2)*100)</f>
        <v>32.142857142857146</v>
      </c>
      <c r="L137" s="1">
        <f>IF('исходные данные'!L137&gt;'минимумы и максимумы'!J$4,100,('исходные данные'!L137-'минимумы и максимумы'!J$2)/('минимумы и максимумы'!J$4-'минимумы и максимумы'!J$2)*100)</f>
        <v>12.5</v>
      </c>
      <c r="M137" s="1">
        <f>IF('исходные данные'!M137&gt;'минимумы и максимумы'!K$4,100,('исходные данные'!M137-'минимумы и максимумы'!K$2)/('минимумы и максимумы'!K$4-'минимумы и максимумы'!K$2)*100)</f>
        <v>34.042553191489361</v>
      </c>
      <c r="N137" s="1">
        <f>IF('исходные данные'!N137&gt;'минимумы и максимумы'!L$4,100,('исходные данные'!N137-'минимумы и максимумы'!L$2)/('минимумы и максимумы'!L$4-'минимумы и максимумы'!L$2)*100)</f>
        <v>11.926432775530396</v>
      </c>
      <c r="O137" s="1">
        <f>IF('исходные данные'!O137&gt;'минимумы и максимумы'!M$4,100,('исходные данные'!O137-'минимумы и максимумы'!M$2)/('минимумы и максимумы'!M$4-'минимумы и максимумы'!M$2)*100)</f>
        <v>66.666666666666657</v>
      </c>
      <c r="P137" s="1">
        <f>IF('исходные данные'!P137&gt;'минимумы и максимумы'!N$4,100,('исходные данные'!P137-'минимумы и максимумы'!N$2)/('минимумы и максимумы'!N$4-'минимумы и максимумы'!N$2)*100)</f>
        <v>100</v>
      </c>
      <c r="Q137" s="1">
        <f>IF('исходные данные'!Q137&gt;'минимумы и максимумы'!O$4,100,('исходные данные'!Q137-'минимумы и максимумы'!O$2)/('минимумы и максимумы'!O$4-'минимумы и максимумы'!O$2)*100)</f>
        <v>0</v>
      </c>
      <c r="R137" s="1">
        <f>IF('исходные данные'!R137&gt;'минимумы и максимумы'!P$4,100,('исходные данные'!R137-'минимумы и максимумы'!P$2)/('минимумы и максимумы'!P$4-'минимумы и максимумы'!P$2)*100)</f>
        <v>75</v>
      </c>
      <c r="S137" s="1">
        <f>IF('исходные данные'!S137&gt;'минимумы и максимумы'!Q$4,100,('исходные данные'!S137-'минимумы и максимумы'!Q$2)/('минимумы и максимумы'!Q$4-'минимумы и максимумы'!Q$2)*100)</f>
        <v>22.222222222222221</v>
      </c>
      <c r="T137" s="1">
        <f>IF('исходные данные'!T137&gt;'минимумы и максимумы'!R$4,100,('исходные данные'!T137-'минимумы и максимумы'!R$2)/('минимумы и максимумы'!R$4-'минимумы и максимумы'!R$2)*100)</f>
        <v>28.768699654775602</v>
      </c>
      <c r="U137" s="1">
        <f>IF('исходные данные'!U137&gt;'минимумы и максимумы'!S$4,100,('исходные данные'!U137-'минимумы и максимумы'!S$2)/('минимумы и максимумы'!S$4-'минимумы и максимумы'!S$2)*100)</f>
        <v>0</v>
      </c>
    </row>
    <row r="138" spans="1:21" x14ac:dyDescent="0.45">
      <c r="A138" s="4">
        <v>204</v>
      </c>
      <c r="B138" s="4">
        <v>0</v>
      </c>
      <c r="C138" s="4">
        <v>0</v>
      </c>
      <c r="D138" s="1">
        <f>IF('исходные данные'!D138&gt;'минимумы и максимумы'!B$4,100,('исходные данные'!D138-'минимумы и максимумы'!B$2)/('минимумы и максимумы'!B$4-'минимумы и максимумы'!B$2)*100)</f>
        <v>12.5</v>
      </c>
      <c r="E138" s="1">
        <f>IF('исходные данные'!E138&gt;'минимумы и максимумы'!C$4,100,('исходные данные'!E138-'минимумы и максимумы'!C$2)/('минимумы и максимумы'!C$4-'минимумы и максимумы'!C$2)*100)</f>
        <v>50</v>
      </c>
      <c r="F138" s="1">
        <f>IF('исходные данные'!F138&gt;'минимумы и максимумы'!D$4,100,('исходные данные'!F138-'минимумы и максимумы'!D$2)/('минимумы и максимумы'!D$4-'минимумы и максимумы'!D$2)*100)</f>
        <v>0</v>
      </c>
      <c r="G138" s="1">
        <f>IF('исходные данные'!G138&gt;'минимумы и максимумы'!E$4,100,('исходные данные'!G138-'минимумы и максимумы'!E$2)/('минимумы и максимумы'!E$4-'минимумы и максимумы'!E$2)*100)</f>
        <v>24.324324324324326</v>
      </c>
      <c r="H138" s="1">
        <f>IF('исходные данные'!H138&gt;'минимумы и максимумы'!F$4,100,('исходные данные'!H138-'минимумы и максимумы'!F$2)/('минимумы и максимумы'!F$4-'минимумы и максимумы'!F$2)*100)</f>
        <v>21.052631578947366</v>
      </c>
      <c r="I138" s="1">
        <f>IF('исходные данные'!I138&gt;'минимумы и максимумы'!G$4,100,('исходные данные'!I138-'минимумы и максимумы'!G$2)/('минимумы и максимумы'!G$4-'минимумы и максимумы'!G$2)*100)</f>
        <v>37.349397590361441</v>
      </c>
      <c r="J138" s="1">
        <f>IF('исходные данные'!J138&gt;'минимумы и максимумы'!H$4,100,('исходные данные'!J138-'минимумы и максимумы'!H$2)/('минимумы и максимумы'!H$4-'минимумы и максимумы'!H$2)*100)</f>
        <v>25</v>
      </c>
      <c r="K138" s="1">
        <f>IF('исходные данные'!K138&gt;'минимумы и максимумы'!I$4,100,('исходные данные'!K138-'минимумы и максимумы'!I$2)/('минимумы и максимумы'!I$4-'минимумы и максимумы'!I$2)*100)</f>
        <v>28.571428571428569</v>
      </c>
      <c r="L138" s="1">
        <f>IF('исходные данные'!L138&gt;'минимумы и максимумы'!J$4,100,('исходные данные'!L138-'минимумы и максимумы'!J$2)/('минимумы и максимумы'!J$4-'минимумы и максимумы'!J$2)*100)</f>
        <v>25</v>
      </c>
      <c r="M138" s="1">
        <f>IF('исходные данные'!M138&gt;'минимумы и максимумы'!K$4,100,('исходные данные'!M138-'минимумы и максимумы'!K$2)/('минимумы и максимумы'!K$4-'минимумы и максимумы'!K$2)*100)</f>
        <v>38.297872340425535</v>
      </c>
      <c r="N138" s="1">
        <f>IF('исходные данные'!N138&gt;'минимумы и максимумы'!L$4,100,('исходные данные'!N138-'минимумы и максимумы'!L$2)/('минимумы и максимумы'!L$4-'минимумы и максимумы'!L$2)*100)</f>
        <v>8.0418687837596146</v>
      </c>
      <c r="O138" s="1">
        <f>IF('исходные данные'!O138&gt;'минимумы и максимумы'!M$4,100,('исходные данные'!O138-'минимумы и максимумы'!M$2)/('минимумы и максимумы'!M$4-'минимумы и максимумы'!M$2)*100)</f>
        <v>0</v>
      </c>
      <c r="P138" s="1">
        <f>IF('исходные данные'!P138&gt;'минимумы и максимумы'!N$4,100,('исходные данные'!P138-'минимумы и максимумы'!N$2)/('минимумы и максимумы'!N$4-'минимумы и максимумы'!N$2)*100)</f>
        <v>0</v>
      </c>
      <c r="Q138" s="1">
        <f>IF('исходные данные'!Q138&gt;'минимумы и максимумы'!O$4,100,('исходные данные'!Q138-'минимумы и максимумы'!O$2)/('минимумы и максимумы'!O$4-'минимумы и максимумы'!O$2)*100)</f>
        <v>100</v>
      </c>
      <c r="R138" s="1">
        <f>IF('исходные данные'!R138&gt;'минимумы и максимумы'!P$4,100,('исходные данные'!R138-'минимумы и максимумы'!P$2)/('минимумы и максимумы'!P$4-'минимумы и максимумы'!P$2)*100)</f>
        <v>75</v>
      </c>
      <c r="S138" s="1">
        <f>IF('исходные данные'!S138&gt;'минимумы и максимумы'!Q$4,100,('исходные данные'!S138-'минимумы и максимумы'!Q$2)/('минимумы и максимумы'!Q$4-'минимумы и максимумы'!Q$2)*100)</f>
        <v>22.222222222222221</v>
      </c>
      <c r="T138" s="1">
        <f>IF('исходные данные'!T138&gt;'минимумы и максимумы'!R$4,100,('исходные данные'!T138-'минимумы и максимумы'!R$2)/('минимумы и максимумы'!R$4-'минимумы и максимумы'!R$2)*100)</f>
        <v>18.613348676639816</v>
      </c>
      <c r="U138" s="1">
        <f>IF('исходные данные'!U138&gt;'минимумы и максимумы'!S$4,100,('исходные данные'!U138-'минимумы и максимумы'!S$2)/('минимумы и максимумы'!S$4-'минимумы и максимумы'!S$2)*100)</f>
        <v>0</v>
      </c>
    </row>
    <row r="139" spans="1:21" x14ac:dyDescent="0.45">
      <c r="A139" s="4">
        <v>205</v>
      </c>
      <c r="B139" s="4">
        <v>0</v>
      </c>
      <c r="C139" s="4">
        <v>0</v>
      </c>
      <c r="D139" s="1">
        <f>IF('исходные данные'!D139&gt;'минимумы и максимумы'!B$4,100,('исходные данные'!D139-'минимумы и максимумы'!B$2)/('минимумы и максимумы'!B$4-'минимумы и максимумы'!B$2)*100)</f>
        <v>25</v>
      </c>
      <c r="E139" s="1">
        <f>IF('исходные данные'!E139&gt;'минимумы и максимумы'!C$4,100,('исходные данные'!E139-'минимумы и максимумы'!C$2)/('минимумы и максимумы'!C$4-'минимумы и максимумы'!C$2)*100)</f>
        <v>62.5</v>
      </c>
      <c r="F139" s="1">
        <f>IF('исходные данные'!F139&gt;'минимумы и максимумы'!D$4,100,('исходные данные'!F139-'минимумы и максимумы'!D$2)/('минимумы и максимумы'!D$4-'минимумы и максимумы'!D$2)*100)</f>
        <v>0</v>
      </c>
      <c r="G139" s="1">
        <f>IF('исходные данные'!G139&gt;'минимумы и максимумы'!E$4,100,('исходные данные'!G139-'минимумы и максимумы'!E$2)/('минимумы и максимумы'!E$4-'минимумы и максимумы'!E$2)*100)</f>
        <v>21.621621621621621</v>
      </c>
      <c r="H139" s="1">
        <f>IF('исходные данные'!H139&gt;'минимумы и максимумы'!F$4,100,('исходные данные'!H139-'минимумы и максимумы'!F$2)/('минимумы и максимумы'!F$4-'минимумы и максимумы'!F$2)*100)</f>
        <v>26.315789473684209</v>
      </c>
      <c r="I139" s="1">
        <f>IF('исходные данные'!I139&gt;'минимумы и максимумы'!G$4,100,('исходные данные'!I139-'минимумы и максимумы'!G$2)/('минимумы и максимумы'!G$4-'минимумы и максимумы'!G$2)*100)</f>
        <v>39.75903614457831</v>
      </c>
      <c r="J139" s="1">
        <f>IF('исходные данные'!J139&gt;'минимумы и максимумы'!H$4,100,('исходные данные'!J139-'минимумы и максимумы'!H$2)/('минимумы и максимумы'!H$4-'минимумы и максимумы'!H$2)*100)</f>
        <v>29.166666666666668</v>
      </c>
      <c r="K139" s="1">
        <f>IF('исходные данные'!K139&gt;'минимумы и максимумы'!I$4,100,('исходные данные'!K139-'минимумы и максимумы'!I$2)/('минимумы и максимумы'!I$4-'минимумы и максимумы'!I$2)*100)</f>
        <v>17.857142857142858</v>
      </c>
      <c r="L139" s="1">
        <f>IF('исходные данные'!L139&gt;'минимумы и максимумы'!J$4,100,('исходные данные'!L139-'минимумы и максимумы'!J$2)/('минимумы и максимумы'!J$4-'минимумы и максимумы'!J$2)*100)</f>
        <v>25</v>
      </c>
      <c r="M139" s="1">
        <f>IF('исходные данные'!M139&gt;'минимумы и максимумы'!K$4,100,('исходные данные'!M139-'минимумы и максимумы'!K$2)/('минимумы и максимумы'!K$4-'минимумы и максимумы'!K$2)*100)</f>
        <v>46.808510638297875</v>
      </c>
      <c r="N139" s="1">
        <f>IF('исходные данные'!N139&gt;'минимумы и максимумы'!L$4,100,('исходные данные'!N139-'минимумы и максимумы'!L$2)/('минимумы и максимумы'!L$4-'минимумы и максимумы'!L$2)*100)</f>
        <v>8.323990033141488</v>
      </c>
      <c r="O139" s="1">
        <f>IF('исходные данные'!O139&gt;'минимумы и максимумы'!M$4,100,('исходные данные'!O139-'минимумы и максимумы'!M$2)/('минимумы и максимумы'!M$4-'минимумы и максимумы'!M$2)*100)</f>
        <v>33.333333333333329</v>
      </c>
      <c r="P139" s="1">
        <f>IF('исходные данные'!P139&gt;'минимумы и максимумы'!N$4,100,('исходные данные'!P139-'минимумы и максимумы'!N$2)/('минимумы и максимумы'!N$4-'минимумы и максимумы'!N$2)*100)</f>
        <v>0</v>
      </c>
      <c r="Q139" s="1">
        <f>IF('исходные данные'!Q139&gt;'минимумы и максимумы'!O$4,100,('исходные данные'!Q139-'минимумы и максимумы'!O$2)/('минимумы и максимумы'!O$4-'минимумы и максимумы'!O$2)*100)</f>
        <v>100</v>
      </c>
      <c r="R139" s="1">
        <f>IF('исходные данные'!R139&gt;'минимумы и максимумы'!P$4,100,('исходные данные'!R139-'минимумы и максимумы'!P$2)/('минимумы и максимумы'!P$4-'минимумы и максимумы'!P$2)*100)</f>
        <v>75</v>
      </c>
      <c r="S139" s="1">
        <f>IF('исходные данные'!S139&gt;'минимумы и максимумы'!Q$4,100,('исходные данные'!S139-'минимумы и максимумы'!Q$2)/('минимумы и максимумы'!Q$4-'минимумы и максимумы'!Q$2)*100)</f>
        <v>22.222222222222221</v>
      </c>
      <c r="T139" s="1">
        <f>IF('исходные данные'!T139&gt;'минимумы и максимумы'!R$4,100,('исходные данные'!T139-'минимумы и максимумы'!R$2)/('минимумы и максимумы'!R$4-'минимумы и максимумы'!R$2)*100)</f>
        <v>38.204833141542004</v>
      </c>
      <c r="U139" s="1">
        <f>IF('исходные данные'!U139&gt;'минимумы и максимумы'!S$4,100,('исходные данные'!U139-'минимумы и максимумы'!S$2)/('минимумы и максимумы'!S$4-'минимумы и максимумы'!S$2)*100)</f>
        <v>100</v>
      </c>
    </row>
    <row r="140" spans="1:21" x14ac:dyDescent="0.45">
      <c r="A140" s="4">
        <v>207</v>
      </c>
      <c r="B140" s="4">
        <v>0</v>
      </c>
      <c r="C140" s="4">
        <v>1</v>
      </c>
      <c r="D140" s="1">
        <f>IF('исходные данные'!D140&gt;'минимумы и максимумы'!B$4,100,('исходные данные'!D140-'минимумы и максимумы'!B$2)/('минимумы и максимумы'!B$4-'минимумы и максимумы'!B$2)*100)</f>
        <v>25</v>
      </c>
      <c r="E140" s="1">
        <f>IF('исходные данные'!E140&gt;'минимумы и максимумы'!C$4,100,('исходные данные'!E140-'минимумы и максимумы'!C$2)/('минимумы и максимумы'!C$4-'минимумы и максимумы'!C$2)*100)</f>
        <v>43.75</v>
      </c>
      <c r="F140" s="1">
        <f>IF('исходные данные'!F140&gt;'минимумы и максимумы'!D$4,100,('исходные данные'!F140-'минимумы и максимумы'!D$2)/('минимумы и максимумы'!D$4-'минимумы и максимумы'!D$2)*100)</f>
        <v>25</v>
      </c>
      <c r="G140" s="1">
        <f>IF('исходные данные'!G140&gt;'минимумы и максимумы'!E$4,100,('исходные данные'!G140-'минимумы и максимумы'!E$2)/('минимумы и максимумы'!E$4-'минимумы и максимумы'!E$2)*100)</f>
        <v>40.54054054054054</v>
      </c>
      <c r="H140" s="1">
        <f>IF('исходные данные'!H140&gt;'минимумы и максимумы'!F$4,100,('исходные данные'!H140-'минимумы и максимумы'!F$2)/('минимумы и максимумы'!F$4-'минимумы и максимумы'!F$2)*100)</f>
        <v>52.631578947368418</v>
      </c>
      <c r="I140" s="1">
        <f>IF('исходные данные'!I140&gt;'минимумы и максимумы'!G$4,100,('исходные данные'!I140-'минимумы и максимумы'!G$2)/('минимумы и максимумы'!G$4-'минимумы и максимумы'!G$2)*100)</f>
        <v>71.084337349397586</v>
      </c>
      <c r="J140" s="1">
        <f>IF('исходные данные'!J140&gt;'минимумы и максимумы'!H$4,100,('исходные данные'!J140-'минимумы и максимумы'!H$2)/('минимумы и максимумы'!H$4-'минимумы и максимумы'!H$2)*100)</f>
        <v>8.3333333333333321</v>
      </c>
      <c r="K140" s="1">
        <f>IF('исходные данные'!K140&gt;'минимумы и максимумы'!I$4,100,('исходные данные'!K140-'минимумы и максимумы'!I$2)/('минимумы и максимумы'!I$4-'минимумы и максимумы'!I$2)*100)</f>
        <v>3.5714285714285712</v>
      </c>
      <c r="L140" s="1">
        <f>IF('исходные данные'!L140&gt;'минимумы и максимумы'!J$4,100,('исходные данные'!L140-'минимумы и максимумы'!J$2)/('минимумы и максимумы'!J$4-'минимумы и максимумы'!J$2)*100)</f>
        <v>12.5</v>
      </c>
      <c r="M140" s="1">
        <f>IF('исходные данные'!M140&gt;'минимумы и максимумы'!K$4,100,('исходные данные'!M140-'минимумы и максимумы'!K$2)/('минимумы и максимумы'!K$4-'минимумы и максимумы'!K$2)*100)</f>
        <v>21.276595744680851</v>
      </c>
      <c r="N140" s="1">
        <f>IF('исходные данные'!N140&gt;'минимумы и максимумы'!L$4,100,('исходные данные'!N140-'минимумы и максимумы'!L$2)/('минимумы и максимумы'!L$4-'минимумы и максимумы'!L$2)*100)</f>
        <v>11.725379573415015</v>
      </c>
      <c r="O140" s="1">
        <f>IF('исходные данные'!O140&gt;'минимумы и максимумы'!M$4,100,('исходные данные'!O140-'минимумы и максимумы'!M$2)/('минимумы и максимумы'!M$4-'минимумы и максимумы'!M$2)*100)</f>
        <v>66.666666666666657</v>
      </c>
      <c r="P140" s="1">
        <f>IF('исходные данные'!P140&gt;'минимумы и максимумы'!N$4,100,('исходные данные'!P140-'минимумы и максимумы'!N$2)/('минимумы и максимумы'!N$4-'минимумы и максимумы'!N$2)*100)</f>
        <v>0</v>
      </c>
      <c r="Q140" s="1">
        <f>IF('исходные данные'!Q140&gt;'минимумы и максимумы'!O$4,100,('исходные данные'!Q140-'минимумы и максимумы'!O$2)/('минимумы и максимумы'!O$4-'минимумы и максимумы'!O$2)*100)</f>
        <v>100</v>
      </c>
      <c r="R140" s="1">
        <f>IF('исходные данные'!R140&gt;'минимумы и максимумы'!P$4,100,('исходные данные'!R140-'минимумы и максимумы'!P$2)/('минимумы и максимумы'!P$4-'минимумы и максимумы'!P$2)*100)</f>
        <v>75</v>
      </c>
      <c r="S140" s="1">
        <f>IF('исходные данные'!S140&gt;'минимумы и максимумы'!Q$4,100,('исходные данные'!S140-'минимумы и максимумы'!Q$2)/('минимумы и максимумы'!Q$4-'минимумы и максимумы'!Q$2)*100)</f>
        <v>22.222222222222221</v>
      </c>
      <c r="T140" s="1">
        <f>IF('исходные данные'!T140&gt;'минимумы и максимумы'!R$4,100,('исходные данные'!T140-'минимумы и максимумы'!R$2)/('минимумы и максимумы'!R$4-'минимумы и максимумы'!R$2)*100)</f>
        <v>8.2566168009205985</v>
      </c>
      <c r="U140" s="1">
        <f>IF('исходные данные'!U140&gt;'минимумы и максимумы'!S$4,100,('исходные данные'!U140-'минимумы и максимумы'!S$2)/('минимумы и максимумы'!S$4-'минимумы и максимумы'!S$2)*100)</f>
        <v>0</v>
      </c>
    </row>
    <row r="141" spans="1:21" x14ac:dyDescent="0.45">
      <c r="A141" s="4">
        <v>208</v>
      </c>
      <c r="B141" s="4">
        <v>0</v>
      </c>
      <c r="C141" s="4">
        <v>0</v>
      </c>
      <c r="D141" s="1">
        <f>IF('исходные данные'!D141&gt;'минимумы и максимумы'!B$4,100,('исходные данные'!D141-'минимумы и максимумы'!B$2)/('минимумы и максимумы'!B$4-'минимумы и максимумы'!B$2)*100)</f>
        <v>0</v>
      </c>
      <c r="E141" s="1">
        <f>IF('исходные данные'!E141&gt;'минимумы и максимумы'!C$4,100,('исходные данные'!E141-'минимумы и максимумы'!C$2)/('минимумы и максимумы'!C$4-'минимумы и максимумы'!C$2)*100)</f>
        <v>6.25</v>
      </c>
      <c r="F141" s="1">
        <f>IF('исходные данные'!F141&gt;'минимумы и максимумы'!D$4,100,('исходные данные'!F141-'минимумы и максимумы'!D$2)/('минимумы и максимумы'!D$4-'минимумы и максимумы'!D$2)*100)</f>
        <v>0</v>
      </c>
      <c r="G141" s="1">
        <f>IF('исходные данные'!G141&gt;'минимумы и максимумы'!E$4,100,('исходные данные'!G141-'минимумы и максимумы'!E$2)/('минимумы и максимумы'!E$4-'минимумы и максимумы'!E$2)*100)</f>
        <v>5.4054054054054053</v>
      </c>
      <c r="H141" s="1">
        <f>IF('исходные данные'!H141&gt;'минимумы и максимумы'!F$4,100,('исходные данные'!H141-'минимумы и максимумы'!F$2)/('минимумы и максимумы'!F$4-'минимумы и максимумы'!F$2)*100)</f>
        <v>2.6315789473684208</v>
      </c>
      <c r="I141" s="1">
        <f>IF('исходные данные'!I141&gt;'минимумы и максимумы'!G$4,100,('исходные данные'!I141-'минимумы и максимумы'!G$2)/('минимумы и максимумы'!G$4-'минимумы и максимумы'!G$2)*100)</f>
        <v>10.843373493975903</v>
      </c>
      <c r="J141" s="1">
        <f>IF('исходные данные'!J141&gt;'минимумы и максимумы'!H$4,100,('исходные данные'!J141-'минимумы и максимумы'!H$2)/('минимумы и максимумы'!H$4-'минимумы и максимумы'!H$2)*100)</f>
        <v>0</v>
      </c>
      <c r="K141" s="1">
        <f>IF('исходные данные'!K141&gt;'минимумы и максимумы'!I$4,100,('исходные данные'!K141-'минимумы и максимумы'!I$2)/('минимумы и максимумы'!I$4-'минимумы и максимумы'!I$2)*100)</f>
        <v>17.857142857142858</v>
      </c>
      <c r="L141" s="1">
        <f>IF('исходные данные'!L141&gt;'минимумы и максимумы'!J$4,100,('исходные данные'!L141-'минимумы и максимумы'!J$2)/('минимумы и максимумы'!J$4-'минимумы и максимумы'!J$2)*100)</f>
        <v>0</v>
      </c>
      <c r="M141" s="1">
        <f>IF('исходные данные'!M141&gt;'минимумы и максимумы'!K$4,100,('исходные данные'!M141-'минимумы и максимумы'!K$2)/('минимумы и максимумы'!K$4-'минимумы и максимумы'!K$2)*100)</f>
        <v>4.2553191489361701</v>
      </c>
      <c r="N141" s="1">
        <f>IF('исходные данные'!N141&gt;'минимумы и максимумы'!L$4,100,('исходные данные'!N141-'минимумы и максимумы'!L$2)/('минимумы и максимумы'!L$4-'минимумы и максимумы'!L$2)*100)</f>
        <v>13.955382797001118</v>
      </c>
      <c r="O141" s="1">
        <f>IF('исходные данные'!O141&gt;'минимумы и максимумы'!M$4,100,('исходные данные'!O141-'минимумы и максимумы'!M$2)/('минимумы и максимумы'!M$4-'минимумы и максимумы'!M$2)*100)</f>
        <v>33.333333333333329</v>
      </c>
      <c r="P141" s="1">
        <f>IF('исходные данные'!P141&gt;'минимумы и максимумы'!N$4,100,('исходные данные'!P141-'минимумы и максимумы'!N$2)/('минимумы и максимумы'!N$4-'минимумы и максимумы'!N$2)*100)</f>
        <v>0</v>
      </c>
      <c r="Q141" s="1">
        <f>IF('исходные данные'!Q141&gt;'минимумы и максимумы'!O$4,100,('исходные данные'!Q141-'минимумы и максимумы'!O$2)/('минимумы и максимумы'!O$4-'минимумы и максимумы'!O$2)*100)</f>
        <v>100</v>
      </c>
      <c r="R141" s="1">
        <f>IF('исходные данные'!R141&gt;'минимумы и максимумы'!P$4,100,('исходные данные'!R141-'минимумы и максимумы'!P$2)/('минимумы и максимумы'!P$4-'минимумы и максимумы'!P$2)*100)</f>
        <v>75</v>
      </c>
      <c r="S141" s="1">
        <f>IF('исходные данные'!S141&gt;'минимумы и максимумы'!Q$4,100,('исходные данные'!S141-'минимумы и максимумы'!Q$2)/('минимумы и максимумы'!Q$4-'минимумы и максимумы'!Q$2)*100)</f>
        <v>33.333333333333329</v>
      </c>
      <c r="T141" s="1">
        <f>IF('исходные данные'!T141&gt;'минимумы и максимумы'!R$4,100,('исходные данные'!T141-'минимумы и максимумы'!R$2)/('минимумы и максимумы'!R$4-'минимумы и максимумы'!R$2)*100)</f>
        <v>15.420023014959725</v>
      </c>
      <c r="U141" s="1">
        <f>IF('исходные данные'!U141&gt;'минимумы и максимумы'!S$4,100,('исходные данные'!U141-'минимумы и максимумы'!S$2)/('минимумы и максимумы'!S$4-'минимумы и максимумы'!S$2)*100)</f>
        <v>0</v>
      </c>
    </row>
    <row r="142" spans="1:21" x14ac:dyDescent="0.45">
      <c r="A142" s="4">
        <v>209</v>
      </c>
      <c r="B142" s="4">
        <v>0</v>
      </c>
      <c r="C142" s="4">
        <v>0</v>
      </c>
      <c r="D142" s="1">
        <f>IF('исходные данные'!D142&gt;'минимумы и максимумы'!B$4,100,('исходные данные'!D142-'минимумы и максимумы'!B$2)/('минимумы и максимумы'!B$4-'минимумы и максимумы'!B$2)*100)</f>
        <v>0</v>
      </c>
      <c r="E142" s="1">
        <f>IF('исходные данные'!E142&gt;'минимумы и максимумы'!C$4,100,('исходные данные'!E142-'минимумы и максимумы'!C$2)/('минимумы и максимумы'!C$4-'минимумы и максимумы'!C$2)*100)</f>
        <v>50</v>
      </c>
      <c r="F142" s="1">
        <f>IF('исходные данные'!F142&gt;'минимумы и максимумы'!D$4,100,('исходные данные'!F142-'минимумы и максимумы'!D$2)/('минимумы и максимумы'!D$4-'минимумы и максимумы'!D$2)*100)</f>
        <v>0</v>
      </c>
      <c r="G142" s="1">
        <f>IF('исходные данные'!G142&gt;'минимумы и максимумы'!E$4,100,('исходные данные'!G142-'минимумы и максимумы'!E$2)/('минимумы и максимумы'!E$4-'минимумы и максимумы'!E$2)*100)</f>
        <v>62.162162162162161</v>
      </c>
      <c r="H142" s="1">
        <f>IF('исходные данные'!H142&gt;'минимумы и максимумы'!F$4,100,('исходные данные'!H142-'минимумы и максимумы'!F$2)/('минимумы и максимумы'!F$4-'минимумы и максимумы'!F$2)*100)</f>
        <v>52.631578947368418</v>
      </c>
      <c r="I142" s="1">
        <f>IF('исходные данные'!I142&gt;'минимумы и максимумы'!G$4,100,('исходные данные'!I142-'минимумы и максимумы'!G$2)/('минимумы и максимумы'!G$4-'минимумы и максимумы'!G$2)*100)</f>
        <v>62.650602409638559</v>
      </c>
      <c r="J142" s="1">
        <f>IF('исходные данные'!J142&gt;'минимумы и максимумы'!H$4,100,('исходные данные'!J142-'минимумы и максимумы'!H$2)/('минимумы и максимумы'!H$4-'минимумы и максимумы'!H$2)*100)</f>
        <v>4.1666666666666661</v>
      </c>
      <c r="K142" s="1">
        <f>IF('исходные данные'!K142&gt;'минимумы и максимумы'!I$4,100,('исходные данные'!K142-'минимумы и максимумы'!I$2)/('минимумы и максимумы'!I$4-'минимумы и максимумы'!I$2)*100)</f>
        <v>14.285714285714285</v>
      </c>
      <c r="L142" s="1">
        <f>IF('исходные данные'!L142&gt;'минимумы и максимумы'!J$4,100,('исходные данные'!L142-'минимумы и максимумы'!J$2)/('минимумы и максимумы'!J$4-'минимумы и максимумы'!J$2)*100)</f>
        <v>12.5</v>
      </c>
      <c r="M142" s="1">
        <f>IF('исходные данные'!M142&gt;'минимумы и максимумы'!K$4,100,('исходные данные'!M142-'минимумы и максимумы'!K$2)/('минимумы и максимумы'!K$4-'минимумы и максимумы'!K$2)*100)</f>
        <v>6.3829787234042552</v>
      </c>
      <c r="N142" s="1">
        <f>IF('исходные данные'!N142&gt;'минимумы и максимумы'!L$4,100,('исходные данные'!N142-'минимумы и максимумы'!L$2)/('минимумы и максимумы'!L$4-'минимумы и максимумы'!L$2)*100)</f>
        <v>13.048824850085946</v>
      </c>
      <c r="O142" s="1">
        <f>IF('исходные данные'!O142&gt;'минимумы и максимумы'!M$4,100,('исходные данные'!O142-'минимумы и максимумы'!M$2)/('минимумы и максимумы'!M$4-'минимумы и максимумы'!M$2)*100)</f>
        <v>0</v>
      </c>
      <c r="P142" s="1">
        <f>IF('исходные данные'!P142&gt;'минимумы и максимумы'!N$4,100,('исходные данные'!P142-'минимумы и максимумы'!N$2)/('минимумы и максимумы'!N$4-'минимумы и максимумы'!N$2)*100)</f>
        <v>100</v>
      </c>
      <c r="Q142" s="1">
        <f>IF('исходные данные'!Q142&gt;'минимумы и максимумы'!O$4,100,('исходные данные'!Q142-'минимумы и максимумы'!O$2)/('минимумы и максимумы'!O$4-'минимумы и максимумы'!O$2)*100)</f>
        <v>0</v>
      </c>
      <c r="R142" s="1">
        <f>IF('исходные данные'!R142&gt;'минимумы и максимумы'!P$4,100,('исходные данные'!R142-'минимумы и максимумы'!P$2)/('минимумы и максимумы'!P$4-'минимумы и максимумы'!P$2)*100)</f>
        <v>75</v>
      </c>
      <c r="S142" s="1">
        <f>IF('исходные данные'!S142&gt;'минимумы и максимумы'!Q$4,100,('исходные данные'!S142-'минимумы и максимумы'!Q$2)/('минимумы и максимумы'!Q$4-'минимумы и максимумы'!Q$2)*100)</f>
        <v>11.111111111111111</v>
      </c>
      <c r="T142" s="1">
        <f>IF('исходные данные'!T142&gt;'минимумы и максимумы'!R$4,100,('исходные данные'!T142-'минимумы и максимумы'!R$2)/('минимумы и максимумы'!R$4-'минимумы и максимумы'!R$2)*100)</f>
        <v>98.820483314154188</v>
      </c>
      <c r="U142" s="1">
        <f>IF('исходные данные'!U142&gt;'минимумы и максимумы'!S$4,100,('исходные данные'!U142-'минимумы и максимумы'!S$2)/('минимумы и максимумы'!S$4-'минимумы и максимумы'!S$2)*100)</f>
        <v>33.333333333333329</v>
      </c>
    </row>
    <row r="143" spans="1:21" x14ac:dyDescent="0.45">
      <c r="A143" s="4">
        <v>210</v>
      </c>
      <c r="B143" s="4">
        <v>0</v>
      </c>
      <c r="C143" s="4">
        <v>0</v>
      </c>
      <c r="D143" s="1">
        <f>IF('исходные данные'!D143&gt;'минимумы и максимумы'!B$4,100,('исходные данные'!D143-'минимумы и максимумы'!B$2)/('минимумы и максимумы'!B$4-'минимумы и максимумы'!B$2)*100)</f>
        <v>0</v>
      </c>
      <c r="E143" s="1">
        <f>IF('исходные данные'!E143&gt;'минимумы и максимумы'!C$4,100,('исходные данные'!E143-'минимумы и максимумы'!C$2)/('минимумы и максимумы'!C$4-'минимумы и максимумы'!C$2)*100)</f>
        <v>12.5</v>
      </c>
      <c r="F143" s="1">
        <f>IF('исходные данные'!F143&gt;'минимумы и максимумы'!D$4,100,('исходные данные'!F143-'минимумы и максимумы'!D$2)/('минимумы и максимумы'!D$4-'минимумы и максимумы'!D$2)*100)</f>
        <v>50</v>
      </c>
      <c r="G143" s="1">
        <f>IF('исходные данные'!G143&gt;'минимумы и максимумы'!E$4,100,('исходные данные'!G143-'минимумы и максимумы'!E$2)/('минимумы и максимумы'!E$4-'минимумы и максимумы'!E$2)*100)</f>
        <v>27.027027027027028</v>
      </c>
      <c r="H143" s="1">
        <f>IF('исходные данные'!H143&gt;'минимумы и максимумы'!F$4,100,('исходные данные'!H143-'минимумы и максимумы'!F$2)/('минимумы и максимумы'!F$4-'минимумы и максимумы'!F$2)*100)</f>
        <v>10.526315789473683</v>
      </c>
      <c r="I143" s="1">
        <f>IF('исходные данные'!I143&gt;'минимумы и максимумы'!G$4,100,('исходные данные'!I143-'минимумы и максимумы'!G$2)/('минимумы и максимумы'!G$4-'минимумы и максимумы'!G$2)*100)</f>
        <v>78.313253012048193</v>
      </c>
      <c r="J143" s="1">
        <f>IF('исходные данные'!J143&gt;'минимумы и максимумы'!H$4,100,('исходные данные'!J143-'минимумы и максимумы'!H$2)/('минимумы и максимумы'!H$4-'минимумы и максимумы'!H$2)*100)</f>
        <v>62.5</v>
      </c>
      <c r="K143" s="1">
        <f>IF('исходные данные'!K143&gt;'минимумы и максимумы'!I$4,100,('исходные данные'!K143-'минимумы и максимумы'!I$2)/('минимумы и максимумы'!I$4-'минимумы и максимумы'!I$2)*100)</f>
        <v>39.285714285714285</v>
      </c>
      <c r="L143" s="1">
        <f>IF('исходные данные'!L143&gt;'минимумы и максимумы'!J$4,100,('исходные данные'!L143-'минимумы и максимумы'!J$2)/('минимумы и максимумы'!J$4-'минимумы и максимумы'!J$2)*100)</f>
        <v>50</v>
      </c>
      <c r="M143" s="1">
        <f>IF('исходные данные'!M143&gt;'минимумы и максимумы'!K$4,100,('исходные данные'!M143-'минимумы и максимумы'!K$2)/('минимумы и максимумы'!K$4-'минимумы и максимумы'!K$2)*100)</f>
        <v>23.404255319148938</v>
      </c>
      <c r="N143" s="1">
        <f>IF('исходные данные'!N143&gt;'минимумы и максимумы'!L$4,100,('исходные данные'!N143-'минимумы и максимумы'!L$2)/('минимумы и максимумы'!L$4-'минимумы и максимумы'!L$2)*100)</f>
        <v>6.7134788478816558</v>
      </c>
      <c r="O143" s="1">
        <f>IF('исходные данные'!O143&gt;'минимумы и максимумы'!M$4,100,('исходные данные'!O143-'минимумы и максимумы'!M$2)/('минимумы и максимумы'!M$4-'минимумы и максимумы'!M$2)*100)</f>
        <v>100</v>
      </c>
      <c r="P143" s="1">
        <f>IF('исходные данные'!P143&gt;'минимумы и максимумы'!N$4,100,('исходные данные'!P143-'минимумы и максимумы'!N$2)/('минимумы и максимумы'!N$4-'минимумы и максимумы'!N$2)*100)</f>
        <v>100</v>
      </c>
      <c r="Q143" s="1">
        <f>IF('исходные данные'!Q143&gt;'минимумы и максимумы'!O$4,100,('исходные данные'!Q143-'минимумы и максимумы'!O$2)/('минимумы и максимумы'!O$4-'минимумы и максимумы'!O$2)*100)</f>
        <v>100</v>
      </c>
      <c r="R143" s="1">
        <f>IF('исходные данные'!R143&gt;'минимумы и максимумы'!P$4,100,('исходные данные'!R143-'минимумы и максимумы'!P$2)/('минимумы и максимумы'!P$4-'минимумы и максимумы'!P$2)*100)</f>
        <v>75</v>
      </c>
      <c r="S143" s="1">
        <f>IF('исходные данные'!S143&gt;'минимумы и максимумы'!Q$4,100,('исходные данные'!S143-'минимумы и максимумы'!Q$2)/('минимумы и максимумы'!Q$4-'минимумы и максимумы'!Q$2)*100)</f>
        <v>55.555555555555557</v>
      </c>
      <c r="T143" s="1">
        <f>IF('исходные данные'!T143&gt;'минимумы и максимумы'!R$4,100,('исходные данные'!T143-'минимумы и максимумы'!R$2)/('минимумы и максимумы'!R$4-'минимумы и максимумы'!R$2)*100)</f>
        <v>100</v>
      </c>
      <c r="U143" s="1">
        <f>IF('исходные данные'!U143&gt;'минимумы и максимумы'!S$4,100,('исходные данные'!U143-'минимумы и максимумы'!S$2)/('минимумы и максимумы'!S$4-'минимумы и максимумы'!S$2)*100)</f>
        <v>66.666666666666657</v>
      </c>
    </row>
    <row r="144" spans="1:21" x14ac:dyDescent="0.45">
      <c r="A144" s="4">
        <v>211</v>
      </c>
      <c r="B144" s="4">
        <v>0</v>
      </c>
      <c r="C144" s="4">
        <v>0</v>
      </c>
      <c r="D144" s="1">
        <f>IF('исходные данные'!D144&gt;'минимумы и максимумы'!B$4,100,('исходные данные'!D144-'минимумы и максимумы'!B$2)/('минимумы и максимумы'!B$4-'минимумы и максимумы'!B$2)*100)</f>
        <v>0</v>
      </c>
      <c r="E144" s="1">
        <f>IF('исходные данные'!E144&gt;'минимумы и максимумы'!C$4,100,('исходные данные'!E144-'минимумы и максимумы'!C$2)/('минимумы и максимумы'!C$4-'минимумы и максимумы'!C$2)*100)</f>
        <v>12.5</v>
      </c>
      <c r="F144" s="1">
        <f>IF('исходные данные'!F144&gt;'минимумы и максимумы'!D$4,100,('исходные данные'!F144-'минимумы и максимумы'!D$2)/('минимумы и максимумы'!D$4-'минимумы и максимумы'!D$2)*100)</f>
        <v>50</v>
      </c>
      <c r="G144" s="1">
        <f>IF('исходные данные'!G144&gt;'минимумы и максимумы'!E$4,100,('исходные данные'!G144-'минимумы и максимумы'!E$2)/('минимумы и максимумы'!E$4-'минимумы и максимумы'!E$2)*100)</f>
        <v>27.027027027027028</v>
      </c>
      <c r="H144" s="1">
        <f>IF('исходные данные'!H144&gt;'минимумы и максимумы'!F$4,100,('исходные данные'!H144-'минимумы и максимумы'!F$2)/('минимумы и максимумы'!F$4-'минимумы и максимумы'!F$2)*100)</f>
        <v>10.526315789473683</v>
      </c>
      <c r="I144" s="1">
        <f>IF('исходные данные'!I144&gt;'минимумы и максимумы'!G$4,100,('исходные данные'!I144-'минимумы и максимумы'!G$2)/('минимумы и максимумы'!G$4-'минимумы и максимумы'!G$2)*100)</f>
        <v>78.313253012048193</v>
      </c>
      <c r="J144" s="1">
        <f>IF('исходные данные'!J144&gt;'минимумы и максимумы'!H$4,100,('исходные данные'!J144-'минимумы и максимумы'!H$2)/('минимумы и максимумы'!H$4-'минимумы и максимумы'!H$2)*100)</f>
        <v>62.5</v>
      </c>
      <c r="K144" s="1">
        <f>IF('исходные данные'!K144&gt;'минимумы и максимумы'!I$4,100,('исходные данные'!K144-'минимумы и максимумы'!I$2)/('минимумы и максимумы'!I$4-'минимумы и максимумы'!I$2)*100)</f>
        <v>39.285714285714285</v>
      </c>
      <c r="L144" s="1">
        <f>IF('исходные данные'!L144&gt;'минимумы и максимумы'!J$4,100,('исходные данные'!L144-'минимумы и максимумы'!J$2)/('минимумы и максимумы'!J$4-'минимумы и максимумы'!J$2)*100)</f>
        <v>50</v>
      </c>
      <c r="M144" s="1">
        <f>IF('исходные данные'!M144&gt;'минимумы и максимумы'!K$4,100,('исходные данные'!M144-'минимумы и максимумы'!K$2)/('минимумы и максимумы'!K$4-'минимумы и максимумы'!K$2)*100)</f>
        <v>23.404255319148938</v>
      </c>
      <c r="N144" s="1">
        <f>IF('исходные данные'!N144&gt;'минимумы и максимумы'!L$4,100,('исходные данные'!N144-'минимумы и максимумы'!L$2)/('минимумы и максимумы'!L$4-'минимумы и максимумы'!L$2)*100)</f>
        <v>6.308321356195286</v>
      </c>
      <c r="O144" s="1">
        <f>IF('исходные данные'!O144&gt;'минимумы и максимумы'!M$4,100,('исходные данные'!O144-'минимумы и максимумы'!M$2)/('минимумы и максимумы'!M$4-'минимумы и максимумы'!M$2)*100)</f>
        <v>100</v>
      </c>
      <c r="P144" s="1">
        <f>IF('исходные данные'!P144&gt;'минимумы и максимумы'!N$4,100,('исходные данные'!P144-'минимумы и максимумы'!N$2)/('минимумы и максимумы'!N$4-'минимумы и максимумы'!N$2)*100)</f>
        <v>100</v>
      </c>
      <c r="Q144" s="1">
        <f>IF('исходные данные'!Q144&gt;'минимумы и максимумы'!O$4,100,('исходные данные'!Q144-'минимумы и максимумы'!O$2)/('минимумы и максимумы'!O$4-'минимумы и максимумы'!O$2)*100)</f>
        <v>100</v>
      </c>
      <c r="R144" s="1">
        <f>IF('исходные данные'!R144&gt;'минимумы и максимумы'!P$4,100,('исходные данные'!R144-'минимумы и максимумы'!P$2)/('минимумы и максимумы'!P$4-'минимумы и максимумы'!P$2)*100)</f>
        <v>75</v>
      </c>
      <c r="S144" s="1">
        <f>IF('исходные данные'!S144&gt;'минимумы и максимумы'!Q$4,100,('исходные данные'!S144-'минимумы и максимумы'!Q$2)/('минимумы и максимумы'!Q$4-'минимумы и максимумы'!Q$2)*100)</f>
        <v>33.333333333333329</v>
      </c>
      <c r="T144" s="1">
        <f>IF('исходные данные'!T144&gt;'минимумы и максимумы'!R$4,100,('исходные данные'!T144-'минимумы и максимумы'!R$2)/('минимумы и максимумы'!R$4-'минимумы и максимумы'!R$2)*100)</f>
        <v>44.706559263521292</v>
      </c>
      <c r="U144" s="1">
        <f>IF('исходные данные'!U144&gt;'минимумы и максимумы'!S$4,100,('исходные данные'!U144-'минимумы и максимумы'!S$2)/('минимумы и максимумы'!S$4-'минимумы и максимумы'!S$2)*100)</f>
        <v>0</v>
      </c>
    </row>
    <row r="145" spans="1:21" x14ac:dyDescent="0.45">
      <c r="A145" s="4">
        <v>213</v>
      </c>
      <c r="B145" s="4">
        <v>0</v>
      </c>
      <c r="C145" s="4">
        <v>0</v>
      </c>
      <c r="D145" s="1">
        <f>IF('исходные данные'!D145&gt;'минимумы и максимумы'!B$4,100,('исходные данные'!D145-'минимумы и максимумы'!B$2)/('минимумы и максимумы'!B$4-'минимумы и максимумы'!B$2)*100)</f>
        <v>62.5</v>
      </c>
      <c r="E145" s="1">
        <f>IF('исходные данные'!E145&gt;'минимумы и максимумы'!C$4,100,('исходные данные'!E145-'минимумы и максимумы'!C$2)/('минимумы и максимумы'!C$4-'минимумы и максимумы'!C$2)*100)</f>
        <v>37.5</v>
      </c>
      <c r="F145" s="1">
        <f>IF('исходные данные'!F145&gt;'минимумы и максимумы'!D$4,100,('исходные данные'!F145-'минимумы и максимумы'!D$2)/('минимумы и максимумы'!D$4-'минимумы и максимумы'!D$2)*100)</f>
        <v>50</v>
      </c>
      <c r="G145" s="1">
        <f>IF('исходные данные'!G145&gt;'минимумы и максимумы'!E$4,100,('исходные данные'!G145-'минимумы и максимумы'!E$2)/('минимумы и максимумы'!E$4-'минимумы и максимумы'!E$2)*100)</f>
        <v>40.54054054054054</v>
      </c>
      <c r="H145" s="1">
        <f>IF('исходные данные'!H145&gt;'минимумы и максимумы'!F$4,100,('исходные данные'!H145-'минимумы и максимумы'!F$2)/('минимумы и максимумы'!F$4-'минимумы и максимумы'!F$2)*100)</f>
        <v>31.578947368421051</v>
      </c>
      <c r="I145" s="1">
        <f>IF('исходные данные'!I145&gt;'минимумы и максимумы'!G$4,100,('исходные данные'!I145-'минимумы и максимумы'!G$2)/('минимумы и максимумы'!G$4-'минимумы и максимумы'!G$2)*100)</f>
        <v>60.24096385542169</v>
      </c>
      <c r="J145" s="1">
        <f>IF('исходные данные'!J145&gt;'минимумы и максимумы'!H$4,100,('исходные данные'!J145-'минимумы и максимумы'!H$2)/('минимумы и максимумы'!H$4-'минимумы и максимумы'!H$2)*100)</f>
        <v>95.833333333333343</v>
      </c>
      <c r="K145" s="1">
        <f>IF('исходные данные'!K145&gt;'минимумы и максимумы'!I$4,100,('исходные данные'!K145-'минимумы и максимумы'!I$2)/('минимумы и максимумы'!I$4-'минимумы и максимумы'!I$2)*100)</f>
        <v>10.714285714285714</v>
      </c>
      <c r="L145" s="1">
        <f>IF('исходные данные'!L145&gt;'минимумы и максимумы'!J$4,100,('исходные данные'!L145-'минимумы и максимумы'!J$2)/('минимумы и максимумы'!J$4-'минимумы и максимумы'!J$2)*100)</f>
        <v>50</v>
      </c>
      <c r="M145" s="1">
        <f>IF('исходные данные'!M145&gt;'минимумы и максимумы'!K$4,100,('исходные данные'!M145-'минимумы и максимумы'!K$2)/('минимумы и максимумы'!K$4-'минимумы и максимумы'!K$2)*100)</f>
        <v>19.148936170212767</v>
      </c>
      <c r="N145" s="1">
        <f>IF('исходные данные'!N145&gt;'минимумы и максимумы'!L$4,100,('исходные данные'!N145-'минимумы и максимумы'!L$2)/('минимумы и максимумы'!L$4-'минимумы и максимумы'!L$2)*100)</f>
        <v>6.7317252442209448</v>
      </c>
      <c r="O145" s="1">
        <f>IF('исходные данные'!O145&gt;'минимумы и максимумы'!M$4,100,('исходные данные'!O145-'минимумы и максимумы'!M$2)/('минимумы и максимумы'!M$4-'минимумы и максимумы'!M$2)*100)</f>
        <v>66.666666666666657</v>
      </c>
      <c r="P145" s="1">
        <f>IF('исходные данные'!P145&gt;'минимумы и максимумы'!N$4,100,('исходные данные'!P145-'минимумы и максимумы'!N$2)/('минимумы и максимумы'!N$4-'минимумы и максимумы'!N$2)*100)</f>
        <v>0</v>
      </c>
      <c r="Q145" s="1">
        <f>IF('исходные данные'!Q145&gt;'минимумы и максимумы'!O$4,100,('исходные данные'!Q145-'минимумы и максимумы'!O$2)/('минимумы и максимумы'!O$4-'минимумы и максимумы'!O$2)*100)</f>
        <v>100</v>
      </c>
      <c r="R145" s="1">
        <f>IF('исходные данные'!R145&gt;'минимумы и максимумы'!P$4,100,('исходные данные'!R145-'минимумы и максимумы'!P$2)/('минимумы и максимумы'!P$4-'минимумы и максимумы'!P$2)*100)</f>
        <v>100</v>
      </c>
      <c r="S145" s="1">
        <f>IF('исходные данные'!S145&gt;'минимумы и максимумы'!Q$4,100,('исходные данные'!S145-'минимумы и максимумы'!Q$2)/('минимумы и максимумы'!Q$4-'минимумы и максимумы'!Q$2)*100)</f>
        <v>22.222222222222221</v>
      </c>
      <c r="T145" s="1">
        <f>IF('исходные данные'!T145&gt;'минимумы и максимумы'!R$4,100,('исходные данные'!T145-'минимумы и максимумы'!R$2)/('минимумы и максимумы'!R$4-'минимумы и максимумы'!R$2)*100)</f>
        <v>79.056386651323365</v>
      </c>
      <c r="U145" s="1">
        <f>IF('исходные данные'!U145&gt;'минимумы и максимумы'!S$4,100,('исходные данные'!U145-'минимумы и максимумы'!S$2)/('минимумы и максимумы'!S$4-'минимумы и максимумы'!S$2)*100)</f>
        <v>100</v>
      </c>
    </row>
    <row r="146" spans="1:21" x14ac:dyDescent="0.45">
      <c r="A146" s="4">
        <v>214</v>
      </c>
      <c r="B146" s="4">
        <v>0</v>
      </c>
      <c r="C146" s="4">
        <v>0</v>
      </c>
      <c r="D146" s="1">
        <f>IF('исходные данные'!D146&gt;'минимумы и максимумы'!B$4,100,('исходные данные'!D146-'минимумы и максимумы'!B$2)/('минимумы и максимумы'!B$4-'минимумы и максимумы'!B$2)*100)</f>
        <v>50</v>
      </c>
      <c r="E146" s="1">
        <f>IF('исходные данные'!E146&gt;'минимумы и максимумы'!C$4,100,('исходные данные'!E146-'минимумы и максимумы'!C$2)/('минимумы и максимумы'!C$4-'минимумы и максимумы'!C$2)*100)</f>
        <v>31.25</v>
      </c>
      <c r="F146" s="1">
        <f>IF('исходные данные'!F146&gt;'минимумы и максимумы'!D$4,100,('исходные данные'!F146-'минимумы и максимумы'!D$2)/('минимумы и максимумы'!D$4-'минимумы и максимумы'!D$2)*100)</f>
        <v>50</v>
      </c>
      <c r="G146" s="1">
        <f>IF('исходные данные'!G146&gt;'минимумы и максимумы'!E$4,100,('исходные данные'!G146-'минимумы и максимумы'!E$2)/('минимумы и максимумы'!E$4-'минимумы и максимумы'!E$2)*100)</f>
        <v>40.54054054054054</v>
      </c>
      <c r="H146" s="1">
        <f>IF('исходные данные'!H146&gt;'минимумы и максимумы'!F$4,100,('исходные данные'!H146-'минимумы и максимумы'!F$2)/('минимумы и максимумы'!F$4-'минимумы и максимумы'!F$2)*100)</f>
        <v>34.210526315789473</v>
      </c>
      <c r="I146" s="1">
        <f>IF('исходные данные'!I146&gt;'минимумы и максимумы'!G$4,100,('исходные данные'!I146-'минимумы и максимумы'!G$2)/('минимумы и максимумы'!G$4-'минимумы и максимумы'!G$2)*100)</f>
        <v>61.445783132530117</v>
      </c>
      <c r="J146" s="1">
        <f>IF('исходные данные'!J146&gt;'минимумы и максимумы'!H$4,100,('исходные данные'!J146-'минимумы и максимумы'!H$2)/('минимумы и максимумы'!H$4-'минимумы и максимумы'!H$2)*100)</f>
        <v>87.5</v>
      </c>
      <c r="K146" s="1">
        <f>IF('исходные данные'!K146&gt;'минимумы и максимумы'!I$4,100,('исходные данные'!K146-'минимумы и максимумы'!I$2)/('минимумы и максимумы'!I$4-'минимумы и максимумы'!I$2)*100)</f>
        <v>14.285714285714285</v>
      </c>
      <c r="L146" s="1">
        <f>IF('исходные данные'!L146&gt;'минимумы и максимумы'!J$4,100,('исходные данные'!L146-'минимумы и максимумы'!J$2)/('минимумы и максимумы'!J$4-'минимумы и максимумы'!J$2)*100)</f>
        <v>25</v>
      </c>
      <c r="M146" s="1">
        <f>IF('исходные данные'!M146&gt;'минимумы и максимумы'!K$4,100,('исходные данные'!M146-'минимумы и максимумы'!K$2)/('минимумы и максимумы'!K$4-'минимумы и максимумы'!K$2)*100)</f>
        <v>21.276595744680851</v>
      </c>
      <c r="N146" s="1">
        <f>IF('исходные данные'!N146&gt;'минимумы и максимумы'!L$4,100,('исходные данные'!N146-'минимумы и максимумы'!L$2)/('минимумы и максимумы'!L$4-'минимумы и максимумы'!L$2)*100)</f>
        <v>6.3339589839233987</v>
      </c>
      <c r="O146" s="1">
        <f>IF('исходные данные'!O146&gt;'минимумы и максимумы'!M$4,100,('исходные данные'!O146-'минимумы и максимумы'!M$2)/('минимумы и максимумы'!M$4-'минимумы и максимумы'!M$2)*100)</f>
        <v>66.666666666666657</v>
      </c>
      <c r="P146" s="1">
        <f>IF('исходные данные'!P146&gt;'минимумы и максимумы'!N$4,100,('исходные данные'!P146-'минимумы и максимумы'!N$2)/('минимумы и максимумы'!N$4-'минимумы и максимумы'!N$2)*100)</f>
        <v>0</v>
      </c>
      <c r="Q146" s="1">
        <f>IF('исходные данные'!Q146&gt;'минимумы и максимумы'!O$4,100,('исходные данные'!Q146-'минимумы и максимумы'!O$2)/('минимумы и максимумы'!O$4-'минимумы и максимумы'!O$2)*100)</f>
        <v>100</v>
      </c>
      <c r="R146" s="1">
        <f>IF('исходные данные'!R146&gt;'минимумы и максимумы'!P$4,100,('исходные данные'!R146-'минимумы и максимумы'!P$2)/('минимумы и максимумы'!P$4-'минимумы и максимумы'!P$2)*100)</f>
        <v>100</v>
      </c>
      <c r="S146" s="1">
        <f>IF('исходные данные'!S146&gt;'минимумы и максимумы'!Q$4,100,('исходные данные'!S146-'минимумы и максимумы'!Q$2)/('минимумы и максимумы'!Q$4-'минимумы и максимумы'!Q$2)*100)</f>
        <v>22.222222222222221</v>
      </c>
      <c r="T146" s="1">
        <f>IF('исходные данные'!T146&gt;'минимумы и максимумы'!R$4,100,('исходные данные'!T146-'минимумы и максимумы'!R$2)/('минимумы и максимумы'!R$4-'минимумы и максимумы'!R$2)*100)</f>
        <v>59.781357882623709</v>
      </c>
      <c r="U146" s="1">
        <f>IF('исходные данные'!U146&gt;'минимумы и максимумы'!S$4,100,('исходные данные'!U146-'минимумы и максимумы'!S$2)/('минимумы и максимумы'!S$4-'минимумы и максимумы'!S$2)*100)</f>
        <v>100</v>
      </c>
    </row>
    <row r="147" spans="1:21" x14ac:dyDescent="0.45">
      <c r="A147" s="4">
        <v>215</v>
      </c>
      <c r="B147" s="4">
        <v>0</v>
      </c>
      <c r="C147" s="4">
        <v>0</v>
      </c>
      <c r="D147" s="1">
        <f>IF('исходные данные'!D147&gt;'минимумы и максимумы'!B$4,100,('исходные данные'!D147-'минимумы и максимумы'!B$2)/('минимумы и максимумы'!B$4-'минимумы и максимумы'!B$2)*100)</f>
        <v>50</v>
      </c>
      <c r="E147" s="1">
        <f>IF('исходные данные'!E147&gt;'минимумы и максимумы'!C$4,100,('исходные данные'!E147-'минимумы и максимумы'!C$2)/('минимумы и максимумы'!C$4-'минимумы и максимумы'!C$2)*100)</f>
        <v>25</v>
      </c>
      <c r="F147" s="1">
        <f>IF('исходные данные'!F147&gt;'минимумы и максимумы'!D$4,100,('исходные данные'!F147-'минимумы и максимумы'!D$2)/('минимумы и максимумы'!D$4-'минимумы и максимумы'!D$2)*100)</f>
        <v>75</v>
      </c>
      <c r="G147" s="1">
        <f>IF('исходные данные'!G147&gt;'минимумы и максимумы'!E$4,100,('исходные данные'!G147-'минимумы и максимумы'!E$2)/('минимумы и максимумы'!E$4-'минимумы и максимумы'!E$2)*100)</f>
        <v>32.432432432432435</v>
      </c>
      <c r="H147" s="1">
        <f>IF('исходные данные'!H147&gt;'минимумы и максимумы'!F$4,100,('исходные данные'!H147-'минимумы и максимумы'!F$2)/('минимумы и максимумы'!F$4-'минимумы и максимумы'!F$2)*100)</f>
        <v>31.578947368421051</v>
      </c>
      <c r="I147" s="1">
        <f>IF('исходные данные'!I147&gt;'минимумы и максимумы'!G$4,100,('исходные данные'!I147-'минимумы и максимумы'!G$2)/('минимумы и максимумы'!G$4-'минимумы и максимумы'!G$2)*100)</f>
        <v>46.987951807228917</v>
      </c>
      <c r="J147" s="1">
        <f>IF('исходные данные'!J147&gt;'минимумы и максимумы'!H$4,100,('исходные данные'!J147-'минимумы и максимумы'!H$2)/('минимумы и максимумы'!H$4-'минимумы и максимумы'!H$2)*100)</f>
        <v>62.5</v>
      </c>
      <c r="K147" s="1">
        <f>IF('исходные данные'!K147&gt;'минимумы и максимумы'!I$4,100,('исходные данные'!K147-'минимумы и максимумы'!I$2)/('минимумы и максимумы'!I$4-'минимумы и максимумы'!I$2)*100)</f>
        <v>10.714285714285714</v>
      </c>
      <c r="L147" s="1">
        <f>IF('исходные данные'!L147&gt;'минимумы и максимумы'!J$4,100,('исходные данные'!L147-'минимумы и максимумы'!J$2)/('минимумы и максимумы'!J$4-'минимумы и максимумы'!J$2)*100)</f>
        <v>100</v>
      </c>
      <c r="M147" s="1">
        <f>IF('исходные данные'!M147&gt;'минимумы и максимумы'!K$4,100,('исходные данные'!M147-'минимумы и максимумы'!K$2)/('минимумы и максимумы'!K$4-'минимумы и максимумы'!K$2)*100)</f>
        <v>42.553191489361701</v>
      </c>
      <c r="N147" s="1">
        <f>IF('исходные данные'!N147&gt;'минимумы и максимумы'!L$4,100,('исходные данные'!N147-'минимумы и максимумы'!L$2)/('минимумы и максимумы'!L$4-'минимумы и максимумы'!L$2)*100)</f>
        <v>7.2750698142430545</v>
      </c>
      <c r="O147" s="1">
        <f>IF('исходные данные'!O147&gt;'минимумы и максимумы'!M$4,100,('исходные данные'!O147-'минимумы и максимумы'!M$2)/('минимумы и максимумы'!M$4-'минимумы и максимумы'!M$2)*100)</f>
        <v>100</v>
      </c>
      <c r="P147" s="1">
        <f>IF('исходные данные'!P147&gt;'минимумы и максимумы'!N$4,100,('исходные данные'!P147-'минимумы и максимумы'!N$2)/('минимумы и максимумы'!N$4-'минимумы и максимумы'!N$2)*100)</f>
        <v>100</v>
      </c>
      <c r="Q147" s="1">
        <f>IF('исходные данные'!Q147&gt;'минимумы и максимумы'!O$4,100,('исходные данные'!Q147-'минимумы и максимумы'!O$2)/('минимумы и максимумы'!O$4-'минимумы и максимумы'!O$2)*100)</f>
        <v>100</v>
      </c>
      <c r="R147" s="1">
        <f>IF('исходные данные'!R147&gt;'минимумы и максимумы'!P$4,100,('исходные данные'!R147-'минимумы и максимумы'!P$2)/('минимумы и максимумы'!P$4-'минимумы и максимумы'!P$2)*100)</f>
        <v>75</v>
      </c>
      <c r="S147" s="1">
        <f>IF('исходные данные'!S147&gt;'минимумы и максимумы'!Q$4,100,('исходные данные'!S147-'минимумы и максимумы'!Q$2)/('минимумы и максимумы'!Q$4-'минимумы и максимумы'!Q$2)*100)</f>
        <v>22.222222222222221</v>
      </c>
      <c r="T147" s="1">
        <f>IF('исходные данные'!T147&gt;'минимумы и максимумы'!R$4,100,('исходные данные'!T147-'минимумы и максимумы'!R$2)/('минимумы и максимумы'!R$4-'минимумы и максимумы'!R$2)*100)</f>
        <v>31.674338319907942</v>
      </c>
      <c r="U147" s="1">
        <f>IF('исходные данные'!U147&gt;'минимумы и максимумы'!S$4,100,('исходные данные'!U147-'минимумы и максимумы'!S$2)/('минимумы и максимумы'!S$4-'минимумы и максимумы'!S$2)*100)</f>
        <v>0</v>
      </c>
    </row>
    <row r="148" spans="1:21" x14ac:dyDescent="0.45">
      <c r="A148" s="4">
        <v>216</v>
      </c>
      <c r="B148" s="4">
        <v>1</v>
      </c>
      <c r="C148" s="4">
        <v>0</v>
      </c>
      <c r="D148" s="1">
        <f>IF('исходные данные'!D148&gt;'минимумы и максимумы'!B$4,100,('исходные данные'!D148-'минимумы и максимумы'!B$2)/('минимумы и максимумы'!B$4-'минимумы и максимумы'!B$2)*100)</f>
        <v>37.5</v>
      </c>
      <c r="E148" s="1">
        <f>IF('исходные данные'!E148&gt;'минимумы и максимумы'!C$4,100,('исходные данные'!E148-'минимумы и максимумы'!C$2)/('минимумы и максимумы'!C$4-'минимумы и максимумы'!C$2)*100)</f>
        <v>12.5</v>
      </c>
      <c r="F148" s="1">
        <f>IF('исходные данные'!F148&gt;'минимумы и максимумы'!D$4,100,('исходные данные'!F148-'минимумы и максимумы'!D$2)/('минимумы и максимумы'!D$4-'минимумы и максимумы'!D$2)*100)</f>
        <v>0</v>
      </c>
      <c r="G148" s="1">
        <f>IF('исходные данные'!G148&gt;'минимумы и максимумы'!E$4,100,('исходные данные'!G148-'минимумы и максимумы'!E$2)/('минимумы и максимумы'!E$4-'минимумы и максимумы'!E$2)*100)</f>
        <v>27.027027027027028</v>
      </c>
      <c r="H148" s="1">
        <f>IF('исходные данные'!H148&gt;'минимумы и максимумы'!F$4,100,('исходные данные'!H148-'минимумы и максимумы'!F$2)/('минимумы и максимумы'!F$4-'минимумы и максимумы'!F$2)*100)</f>
        <v>26.315789473684209</v>
      </c>
      <c r="I148" s="1">
        <f>IF('исходные данные'!I148&gt;'минимумы и максимумы'!G$4,100,('исходные данные'!I148-'минимумы и максимумы'!G$2)/('минимумы и максимумы'!G$4-'минимумы и максимумы'!G$2)*100)</f>
        <v>22.891566265060241</v>
      </c>
      <c r="J148" s="1">
        <f>IF('исходные данные'!J148&gt;'минимумы и максимумы'!H$4,100,('исходные данные'!J148-'минимумы и максимумы'!H$2)/('минимумы и максимумы'!H$4-'минимумы и максимумы'!H$2)*100)</f>
        <v>29.166666666666668</v>
      </c>
      <c r="K148" s="1">
        <f>IF('исходные данные'!K148&gt;'минимумы и максимумы'!I$4,100,('исходные данные'!K148-'минимумы и максимумы'!I$2)/('минимумы и максимумы'!I$4-'минимумы и максимумы'!I$2)*100)</f>
        <v>14.285714285714285</v>
      </c>
      <c r="L148" s="1">
        <f>IF('исходные данные'!L148&gt;'минимумы и максимумы'!J$4,100,('исходные данные'!L148-'минимумы и максимумы'!J$2)/('минимумы и максимумы'!J$4-'минимумы и максимумы'!J$2)*100)</f>
        <v>25</v>
      </c>
      <c r="M148" s="1">
        <f>IF('исходные данные'!M148&gt;'минимумы и максимумы'!K$4,100,('исходные данные'!M148-'минимумы и максимумы'!K$2)/('минимумы и максимумы'!K$4-'минимумы и максимумы'!K$2)*100)</f>
        <v>8.5106382978723403</v>
      </c>
      <c r="N148" s="1">
        <f>IF('исходные данные'!N148&gt;'минимумы и максимумы'!L$4,100,('исходные данные'!N148-'минимумы и максимумы'!L$2)/('минимумы и максимумы'!L$4-'минимумы и максимумы'!L$2)*100)</f>
        <v>8.9613974879741782</v>
      </c>
      <c r="O148" s="1">
        <f>IF('исходные данные'!O148&gt;'минимумы и максимумы'!M$4,100,('исходные данные'!O148-'минимумы и максимумы'!M$2)/('минимумы и максимумы'!M$4-'минимумы и максимумы'!M$2)*100)</f>
        <v>0</v>
      </c>
      <c r="P148" s="1">
        <f>IF('исходные данные'!P148&gt;'минимумы и максимумы'!N$4,100,('исходные данные'!P148-'минимумы и максимумы'!N$2)/('минимумы и максимумы'!N$4-'минимумы и максимумы'!N$2)*100)</f>
        <v>0</v>
      </c>
      <c r="Q148" s="1">
        <f>IF('исходные данные'!Q148&gt;'минимумы и максимумы'!O$4,100,('исходные данные'!Q148-'минимумы и максимумы'!O$2)/('минимумы и максимумы'!O$4-'минимумы и максимумы'!O$2)*100)</f>
        <v>100</v>
      </c>
      <c r="R148" s="1">
        <f>IF('исходные данные'!R148&gt;'минимумы и максимумы'!P$4,100,('исходные данные'!R148-'минимумы и максимумы'!P$2)/('минимумы и максимумы'!P$4-'минимумы и максимумы'!P$2)*100)</f>
        <v>100</v>
      </c>
      <c r="S148" s="1">
        <f>IF('исходные данные'!S148&gt;'минимумы и максимумы'!Q$4,100,('исходные данные'!S148-'минимумы и максимумы'!Q$2)/('минимумы и максимумы'!Q$4-'минимумы и максимумы'!Q$2)*100)</f>
        <v>11.111111111111111</v>
      </c>
      <c r="T148" s="1">
        <f>IF('исходные данные'!T148&gt;'минимумы и максимумы'!R$4,100,('исходные данные'!T148-'минимумы и максимумы'!R$2)/('минимумы и максимумы'!R$4-'минимумы и максимумы'!R$2)*100)</f>
        <v>13.34867663981588</v>
      </c>
      <c r="U148" s="1">
        <f>IF('исходные данные'!U148&gt;'минимумы и максимумы'!S$4,100,('исходные данные'!U148-'минимумы и максимумы'!S$2)/('минимумы и максимумы'!S$4-'минимумы и максимумы'!S$2)*100)</f>
        <v>0</v>
      </c>
    </row>
    <row r="149" spans="1:21" x14ac:dyDescent="0.45">
      <c r="A149" s="4">
        <v>217</v>
      </c>
      <c r="B149" s="4">
        <v>0</v>
      </c>
      <c r="C149" s="4">
        <v>0</v>
      </c>
      <c r="D149" s="1">
        <f>IF('исходные данные'!D149&gt;'минимумы и максимумы'!B$4,100,('исходные данные'!D149-'минимумы и максимумы'!B$2)/('минимумы и максимумы'!B$4-'минимумы и максимумы'!B$2)*100)</f>
        <v>100</v>
      </c>
      <c r="E149" s="1">
        <f>IF('исходные данные'!E149&gt;'минимумы и максимумы'!C$4,100,('исходные данные'!E149-'минимумы и максимумы'!C$2)/('минимумы и максимумы'!C$4-'минимумы и максимумы'!C$2)*100)</f>
        <v>37.5</v>
      </c>
      <c r="F149" s="1">
        <f>IF('исходные данные'!F149&gt;'минимумы и максимумы'!D$4,100,('исходные данные'!F149-'минимумы и максимумы'!D$2)/('минимумы и максимумы'!D$4-'минимумы и максимумы'!D$2)*100)</f>
        <v>25</v>
      </c>
      <c r="G149" s="1">
        <f>IF('исходные данные'!G149&gt;'минимумы и максимумы'!E$4,100,('исходные данные'!G149-'минимумы и максимумы'!E$2)/('минимумы и максимумы'!E$4-'минимумы и максимумы'!E$2)*100)</f>
        <v>43.243243243243242</v>
      </c>
      <c r="H149" s="1">
        <f>IF('исходные данные'!H149&gt;'минимумы и максимумы'!F$4,100,('исходные данные'!H149-'минимумы и максимумы'!F$2)/('минимумы и максимумы'!F$4-'минимумы и максимумы'!F$2)*100)</f>
        <v>31.578947368421051</v>
      </c>
      <c r="I149" s="1">
        <f>IF('исходные данные'!I149&gt;'минимумы и максимумы'!G$4,100,('исходные данные'!I149-'минимумы и максимумы'!G$2)/('минимумы и максимумы'!G$4-'минимумы и максимумы'!G$2)*100)</f>
        <v>32.53012048192771</v>
      </c>
      <c r="J149" s="1">
        <f>IF('исходные данные'!J149&gt;'минимумы и максимумы'!H$4,100,('исходные данные'!J149-'минимумы и максимумы'!H$2)/('минимумы и максимумы'!H$4-'минимумы и максимумы'!H$2)*100)</f>
        <v>25</v>
      </c>
      <c r="K149" s="1">
        <f>IF('исходные данные'!K149&gt;'минимумы и максимумы'!I$4,100,('исходные данные'!K149-'минимумы и максимумы'!I$2)/('минимумы и максимумы'!I$4-'минимумы и максимумы'!I$2)*100)</f>
        <v>7.1428571428571423</v>
      </c>
      <c r="L149" s="1">
        <f>IF('исходные данные'!L149&gt;'минимумы и максимумы'!J$4,100,('исходные данные'!L149-'минимумы и максимумы'!J$2)/('минимумы и максимумы'!J$4-'минимумы и максимумы'!J$2)*100)</f>
        <v>12.5</v>
      </c>
      <c r="M149" s="1">
        <f>IF('исходные данные'!M149&gt;'минимумы и максимумы'!K$4,100,('исходные данные'!M149-'минимумы и максимумы'!K$2)/('минимумы и максимумы'!K$4-'минимумы и максимумы'!K$2)*100)</f>
        <v>19.148936170212767</v>
      </c>
      <c r="N149" s="1">
        <f>IF('исходные данные'!N149&gt;'минимумы и максимумы'!L$4,100,('исходные данные'!N149-'минимумы и максимумы'!L$2)/('минимумы и максимумы'!L$4-'минимумы и максимумы'!L$2)*100)</f>
        <v>9.9747269989659788</v>
      </c>
      <c r="O149" s="1">
        <f>IF('исходные данные'!O149&gt;'минимумы и максимумы'!M$4,100,('исходные данные'!O149-'минимумы и максимумы'!M$2)/('минимумы и максимумы'!M$4-'минимумы и максимумы'!M$2)*100)</f>
        <v>33.333333333333329</v>
      </c>
      <c r="P149" s="1">
        <f>IF('исходные данные'!P149&gt;'минимумы и максимумы'!N$4,100,('исходные данные'!P149-'минимумы и максимумы'!N$2)/('минимумы и максимумы'!N$4-'минимумы и максимумы'!N$2)*100)</f>
        <v>0</v>
      </c>
      <c r="Q149" s="1">
        <f>IF('исходные данные'!Q149&gt;'минимумы и максимумы'!O$4,100,('исходные данные'!Q149-'минимумы и максимумы'!O$2)/('минимумы и максимумы'!O$4-'минимумы и максимумы'!O$2)*100)</f>
        <v>100</v>
      </c>
      <c r="R149" s="1">
        <f>IF('исходные данные'!R149&gt;'минимумы и максимумы'!P$4,100,('исходные данные'!R149-'минимумы и максимумы'!P$2)/('минимумы и максимумы'!P$4-'минимумы и максимумы'!P$2)*100)</f>
        <v>100</v>
      </c>
      <c r="S149" s="1">
        <f>IF('исходные данные'!S149&gt;'минимумы и максимумы'!Q$4,100,('исходные данные'!S149-'минимумы и максимумы'!Q$2)/('минимумы и максимумы'!Q$4-'минимумы и максимумы'!Q$2)*100)</f>
        <v>44.444444444444443</v>
      </c>
      <c r="T149" s="1">
        <f>IF('исходные данные'!T149&gt;'минимумы и максимумы'!R$4,100,('исходные данные'!T149-'минимумы и максимумы'!R$2)/('минимумы и максимумы'!R$4-'минимумы и максимумы'!R$2)*100)</f>
        <v>13.86651323360184</v>
      </c>
      <c r="U149" s="1">
        <f>IF('исходные данные'!U149&gt;'минимумы и максимумы'!S$4,100,('исходные данные'!U149-'минимумы и максимумы'!S$2)/('минимумы и максимумы'!S$4-'минимумы и максимумы'!S$2)*100)</f>
        <v>0</v>
      </c>
    </row>
    <row r="150" spans="1:21" x14ac:dyDescent="0.45">
      <c r="A150" s="4">
        <v>218</v>
      </c>
      <c r="B150" s="4">
        <v>0</v>
      </c>
      <c r="C150" s="4">
        <v>1</v>
      </c>
      <c r="D150" s="1">
        <f>IF('исходные данные'!D150&gt;'минимумы и максимумы'!B$4,100,('исходные данные'!D150-'минимумы и максимумы'!B$2)/('минимумы и максимумы'!B$4-'минимумы и максимумы'!B$2)*100)</f>
        <v>25</v>
      </c>
      <c r="E150" s="1">
        <f>IF('исходные данные'!E150&gt;'минимумы и максимумы'!C$4,100,('исходные данные'!E150-'минимумы и максимумы'!C$2)/('минимумы и максимумы'!C$4-'минимумы и максимумы'!C$2)*100)</f>
        <v>12.5</v>
      </c>
      <c r="F150" s="1">
        <f>IF('исходные данные'!F150&gt;'минимумы и максимумы'!D$4,100,('исходные данные'!F150-'минимумы и максимумы'!D$2)/('минимумы и максимумы'!D$4-'минимумы и максимумы'!D$2)*100)</f>
        <v>75</v>
      </c>
      <c r="G150" s="1">
        <f>IF('исходные данные'!G150&gt;'минимумы и максимумы'!E$4,100,('исходные данные'!G150-'минимумы и максимумы'!E$2)/('минимумы и максимумы'!E$4-'минимумы и максимумы'!E$2)*100)</f>
        <v>24.324324324324326</v>
      </c>
      <c r="H150" s="1">
        <f>IF('исходные данные'!H150&gt;'минимумы и максимумы'!F$4,100,('исходные данные'!H150-'минимумы и максимумы'!F$2)/('минимумы и максимумы'!F$4-'минимумы и максимумы'!F$2)*100)</f>
        <v>10.526315789473683</v>
      </c>
      <c r="I150" s="1">
        <f>IF('исходные данные'!I150&gt;'минимумы и максимумы'!G$4,100,('исходные данные'!I150-'минимумы и максимумы'!G$2)/('минимумы и максимумы'!G$4-'минимумы и максимумы'!G$2)*100)</f>
        <v>16.867469879518072</v>
      </c>
      <c r="J150" s="1">
        <f>IF('исходные данные'!J150&gt;'минимумы и максимумы'!H$4,100,('исходные данные'!J150-'минимумы и максимумы'!H$2)/('минимумы и максимумы'!H$4-'минимумы и максимумы'!H$2)*100)</f>
        <v>8.3333333333333321</v>
      </c>
      <c r="K150" s="1">
        <f>IF('исходные данные'!K150&gt;'минимумы и максимумы'!I$4,100,('исходные данные'!K150-'минимумы и максимумы'!I$2)/('минимумы и максимумы'!I$4-'минимумы и максимумы'!I$2)*100)</f>
        <v>32.142857142857146</v>
      </c>
      <c r="L150" s="1">
        <f>IF('исходные данные'!L150&gt;'минимумы и максимумы'!J$4,100,('исходные данные'!L150-'минимумы и максимумы'!J$2)/('минимумы и максимумы'!J$4-'минимумы и максимумы'!J$2)*100)</f>
        <v>12.5</v>
      </c>
      <c r="M150" s="1">
        <f>IF('исходные данные'!M150&gt;'минимумы и максимумы'!K$4,100,('исходные данные'!M150-'минимумы и максимумы'!K$2)/('минимумы и максимумы'!K$4-'минимумы и максимумы'!K$2)*100)</f>
        <v>27.659574468085108</v>
      </c>
      <c r="N150" s="1">
        <f>IF('исходные данные'!N150&gt;'минимумы и максимумы'!L$4,100,('исходные данные'!N150-'минимумы и максимумы'!L$2)/('минимумы и максимумы'!L$4-'минимумы и максимумы'!L$2)*100)</f>
        <v>10.663323486982081</v>
      </c>
      <c r="O150" s="1">
        <f>IF('исходные данные'!O150&gt;'минимумы и максимумы'!M$4,100,('исходные данные'!O150-'минимумы и максимумы'!M$2)/('минимумы и максимумы'!M$4-'минимумы и максимумы'!M$2)*100)</f>
        <v>100</v>
      </c>
      <c r="P150" s="1">
        <f>IF('исходные данные'!P150&gt;'минимумы и максимумы'!N$4,100,('исходные данные'!P150-'минимумы и максимумы'!N$2)/('минимумы и максимумы'!N$4-'минимумы и максимумы'!N$2)*100)</f>
        <v>0</v>
      </c>
      <c r="Q150" s="1">
        <f>IF('исходные данные'!Q150&gt;'минимумы и максимумы'!O$4,100,('исходные данные'!Q150-'минимумы и максимумы'!O$2)/('минимумы и максимумы'!O$4-'минимумы и максимумы'!O$2)*100)</f>
        <v>100</v>
      </c>
      <c r="R150" s="1">
        <f>IF('исходные данные'!R150&gt;'минимумы и максимумы'!P$4,100,('исходные данные'!R150-'минимумы и максимумы'!P$2)/('минимумы и максимумы'!P$4-'минимумы и максимумы'!P$2)*100)</f>
        <v>75</v>
      </c>
      <c r="S150" s="1">
        <f>IF('исходные данные'!S150&gt;'минимумы и максимумы'!Q$4,100,('исходные данные'!S150-'минимумы и максимумы'!Q$2)/('минимумы и максимумы'!Q$4-'минимумы и максимумы'!Q$2)*100)</f>
        <v>55.555555555555557</v>
      </c>
      <c r="T150" s="1">
        <f>IF('исходные данные'!T150&gt;'минимумы и максимумы'!R$4,100,('исходные данные'!T150-'минимумы и максимумы'!R$2)/('минимумы и максимумы'!R$4-'минимумы и максимумы'!R$2)*100)</f>
        <v>35.184119677790562</v>
      </c>
      <c r="U150" s="1">
        <f>IF('исходные данные'!U150&gt;'минимумы и максимумы'!S$4,100,('исходные данные'!U150-'минимумы и максимумы'!S$2)/('минимумы и максимумы'!S$4-'минимумы и максимумы'!S$2)*100)</f>
        <v>0</v>
      </c>
    </row>
    <row r="151" spans="1:21" x14ac:dyDescent="0.45">
      <c r="A151" s="4">
        <v>219</v>
      </c>
      <c r="B151" s="4">
        <v>0</v>
      </c>
      <c r="C151" s="4">
        <v>0</v>
      </c>
      <c r="D151" s="1">
        <f>IF('исходные данные'!D151&gt;'минимумы и максимумы'!B$4,100,('исходные данные'!D151-'минимумы и максимумы'!B$2)/('минимумы и максимумы'!B$4-'минимумы и максимумы'!B$2)*100)</f>
        <v>25</v>
      </c>
      <c r="E151" s="1">
        <f>IF('исходные данные'!E151&gt;'минимумы и максимумы'!C$4,100,('исходные данные'!E151-'минимумы и максимумы'!C$2)/('минимумы и максимумы'!C$4-'минимумы и максимумы'!C$2)*100)</f>
        <v>0</v>
      </c>
      <c r="F151" s="1">
        <f>IF('исходные данные'!F151&gt;'минимумы и максимумы'!D$4,100,('исходные данные'!F151-'минимумы и максимумы'!D$2)/('минимумы и максимумы'!D$4-'минимумы и максимумы'!D$2)*100)</f>
        <v>25</v>
      </c>
      <c r="G151" s="1">
        <f>IF('исходные данные'!G151&gt;'минимумы и максимумы'!E$4,100,('исходные данные'!G151-'минимумы и максимумы'!E$2)/('минимумы и максимумы'!E$4-'минимумы и максимумы'!E$2)*100)</f>
        <v>16.216216216216218</v>
      </c>
      <c r="H151" s="1">
        <f>IF('исходные данные'!H151&gt;'минимумы и максимумы'!F$4,100,('исходные данные'!H151-'минимумы и максимумы'!F$2)/('минимумы и максимумы'!F$4-'минимумы и максимумы'!F$2)*100)</f>
        <v>5.2631578947368416</v>
      </c>
      <c r="I151" s="1">
        <f>IF('исходные данные'!I151&gt;'минимумы и максимумы'!G$4,100,('исходные данные'!I151-'минимумы и максимумы'!G$2)/('минимумы и максимумы'!G$4-'минимумы и максимумы'!G$2)*100)</f>
        <v>7.2289156626506017</v>
      </c>
      <c r="J151" s="1">
        <f>IF('исходные данные'!J151&gt;'минимумы и максимумы'!H$4,100,('исходные данные'!J151-'минимумы и максимумы'!H$2)/('минимумы и максимумы'!H$4-'минимумы и максимумы'!H$2)*100)</f>
        <v>8.3333333333333321</v>
      </c>
      <c r="K151" s="1">
        <f>IF('исходные данные'!K151&gt;'минимумы и максимумы'!I$4,100,('исходные данные'!K151-'минимумы и максимумы'!I$2)/('минимумы и максимумы'!I$4-'минимумы и максимумы'!I$2)*100)</f>
        <v>25</v>
      </c>
      <c r="L151" s="1">
        <f>IF('исходные данные'!L151&gt;'минимумы и максимумы'!J$4,100,('исходные данные'!L151-'минимумы и максимумы'!J$2)/('минимумы и максимумы'!J$4-'минимумы и максимумы'!J$2)*100)</f>
        <v>0</v>
      </c>
      <c r="M151" s="1">
        <f>IF('исходные данные'!M151&gt;'минимумы и максимумы'!K$4,100,('исходные данные'!M151-'минимумы и максимумы'!K$2)/('минимумы и максимумы'!K$4-'минимумы и максимумы'!K$2)*100)</f>
        <v>10.638297872340425</v>
      </c>
      <c r="N151" s="1">
        <f>IF('исходные данные'!N151&gt;'минимумы и максимумы'!L$4,100,('исходные данные'!N151-'минимумы и максимумы'!L$2)/('минимумы и максимумы'!L$4-'минимумы и максимумы'!L$2)*100)</f>
        <v>11.528062598260904</v>
      </c>
      <c r="O151" s="1">
        <f>IF('исходные данные'!O151&gt;'минимумы и максимумы'!M$4,100,('исходные данные'!O151-'минимумы и максимумы'!M$2)/('минимумы и максимумы'!M$4-'минимумы и максимумы'!M$2)*100)</f>
        <v>100</v>
      </c>
      <c r="P151" s="1">
        <f>IF('исходные данные'!P151&gt;'минимумы и максимумы'!N$4,100,('исходные данные'!P151-'минимумы и максимумы'!N$2)/('минимумы и максимумы'!N$4-'минимумы и максимумы'!N$2)*100)</f>
        <v>100</v>
      </c>
      <c r="Q151" s="1">
        <f>IF('исходные данные'!Q151&gt;'минимумы и максимумы'!O$4,100,('исходные данные'!Q151-'минимумы и максимумы'!O$2)/('минимумы и максимумы'!O$4-'минимумы и максимумы'!O$2)*100)</f>
        <v>100</v>
      </c>
      <c r="R151" s="1">
        <f>IF('исходные данные'!R151&gt;'минимумы и максимумы'!P$4,100,('исходные данные'!R151-'минимумы и максимумы'!P$2)/('минимумы и максимумы'!P$4-'минимумы и максимумы'!P$2)*100)</f>
        <v>75</v>
      </c>
      <c r="S151" s="1">
        <f>IF('исходные данные'!S151&gt;'минимумы и максимумы'!Q$4,100,('исходные данные'!S151-'минимумы и максимумы'!Q$2)/('минимумы и максимумы'!Q$4-'минимумы и максимумы'!Q$2)*100)</f>
        <v>33.333333333333329</v>
      </c>
      <c r="T151" s="1">
        <f>IF('исходные данные'!T151&gt;'минимумы и максимумы'!R$4,100,('исходные данные'!T151-'минимумы и максимумы'!R$2)/('минимумы и максимумы'!R$4-'минимумы и максимумы'!R$2)*100)</f>
        <v>63.291139240506332</v>
      </c>
      <c r="U151" s="1">
        <f>IF('исходные данные'!U151&gt;'минимумы и максимумы'!S$4,100,('исходные данные'!U151-'минимумы и максимумы'!S$2)/('минимумы и максимумы'!S$4-'минимумы и максимумы'!S$2)*100)</f>
        <v>100</v>
      </c>
    </row>
    <row r="152" spans="1:21" x14ac:dyDescent="0.45">
      <c r="A152" s="4">
        <v>220</v>
      </c>
      <c r="B152" s="4">
        <v>0</v>
      </c>
      <c r="C152" s="4">
        <v>0</v>
      </c>
      <c r="D152" s="1">
        <f>IF('исходные данные'!D152&gt;'минимумы и максимумы'!B$4,100,('исходные данные'!D152-'минимумы и максимумы'!B$2)/('минимумы и максимумы'!B$4-'минимумы и максимумы'!B$2)*100)</f>
        <v>37.5</v>
      </c>
      <c r="E152" s="1">
        <f>IF('исходные данные'!E152&gt;'минимумы и максимумы'!C$4,100,('исходные данные'!E152-'минимумы и максимумы'!C$2)/('минимумы и максимумы'!C$4-'минимумы и максимумы'!C$2)*100)</f>
        <v>12.5</v>
      </c>
      <c r="F152" s="1">
        <f>IF('исходные данные'!F152&gt;'минимумы и максимумы'!D$4,100,('исходные данные'!F152-'минимумы и максимумы'!D$2)/('минимумы и максимумы'!D$4-'минимумы и максимумы'!D$2)*100)</f>
        <v>25</v>
      </c>
      <c r="G152" s="1">
        <f>IF('исходные данные'!G152&gt;'минимумы и максимумы'!E$4,100,('исходные данные'!G152-'минимумы и максимумы'!E$2)/('минимумы и максимумы'!E$4-'минимумы и максимумы'!E$2)*100)</f>
        <v>16.216216216216218</v>
      </c>
      <c r="H152" s="1">
        <f>IF('исходные данные'!H152&gt;'минимумы и максимумы'!F$4,100,('исходные данные'!H152-'минимумы и максимумы'!F$2)/('минимумы и максимумы'!F$4-'минимумы и максимумы'!F$2)*100)</f>
        <v>18.421052631578945</v>
      </c>
      <c r="I152" s="1">
        <f>IF('исходные данные'!I152&gt;'минимумы и максимумы'!G$4,100,('исходные данные'!I152-'минимумы и максимумы'!G$2)/('минимумы и максимумы'!G$4-'минимумы и максимумы'!G$2)*100)</f>
        <v>15.66265060240964</v>
      </c>
      <c r="J152" s="1">
        <f>IF('исходные данные'!J152&gt;'минимумы и максимумы'!H$4,100,('исходные данные'!J152-'минимумы и максимумы'!H$2)/('минимумы и максимумы'!H$4-'минимумы и максимумы'!H$2)*100)</f>
        <v>20.833333333333336</v>
      </c>
      <c r="K152" s="1">
        <f>IF('исходные данные'!K152&gt;'минимумы и максимумы'!I$4,100,('исходные данные'!K152-'минимумы и максимумы'!I$2)/('минимумы и максимумы'!I$4-'минимумы и максимумы'!I$2)*100)</f>
        <v>35.714285714285715</v>
      </c>
      <c r="L152" s="1">
        <f>IF('исходные данные'!L152&gt;'минимумы и максимумы'!J$4,100,('исходные данные'!L152-'минимумы и максимумы'!J$2)/('минимумы и максимумы'!J$4-'минимумы и максимумы'!J$2)*100)</f>
        <v>12.5</v>
      </c>
      <c r="M152" s="1">
        <f>IF('исходные данные'!M152&gt;'минимумы и максимумы'!K$4,100,('исходные данные'!M152-'минимумы и максимумы'!K$2)/('минимумы и максимумы'!K$4-'минимумы и максимумы'!K$2)*100)</f>
        <v>36.170212765957451</v>
      </c>
      <c r="N152" s="1">
        <f>IF('исходные данные'!N152&gt;'минимумы и максимумы'!L$4,100,('исходные данные'!N152-'минимумы и максимумы'!L$2)/('минимумы и максимумы'!L$4-'минимумы и максимумы'!L$2)*100)</f>
        <v>12.23612079286224</v>
      </c>
      <c r="O152" s="1">
        <f>IF('исходные данные'!O152&gt;'минимумы и максимумы'!M$4,100,('исходные данные'!O152-'минимумы и максимумы'!M$2)/('минимумы и максимумы'!M$4-'минимумы и максимумы'!M$2)*100)</f>
        <v>0</v>
      </c>
      <c r="P152" s="1">
        <f>IF('исходные данные'!P152&gt;'минимумы и максимумы'!N$4,100,('исходные данные'!P152-'минимумы и максимумы'!N$2)/('минимумы и максимумы'!N$4-'минимумы и максимумы'!N$2)*100)</f>
        <v>100</v>
      </c>
      <c r="Q152" s="1">
        <f>IF('исходные данные'!Q152&gt;'минимумы и максимумы'!O$4,100,('исходные данные'!Q152-'минимумы и максимумы'!O$2)/('минимумы и максимумы'!O$4-'минимумы и максимумы'!O$2)*100)</f>
        <v>0</v>
      </c>
      <c r="R152" s="1">
        <f>IF('исходные данные'!R152&gt;'минимумы и максимумы'!P$4,100,('исходные данные'!R152-'минимумы и максимумы'!P$2)/('минимумы и максимумы'!P$4-'минимумы и максимумы'!P$2)*100)</f>
        <v>75</v>
      </c>
      <c r="S152" s="1">
        <f>IF('исходные данные'!S152&gt;'минимумы и максимумы'!Q$4,100,('исходные данные'!S152-'минимумы и максимумы'!Q$2)/('минимумы и максимумы'!Q$4-'минимумы и максимумы'!Q$2)*100)</f>
        <v>33.333333333333329</v>
      </c>
      <c r="T152" s="1">
        <f>IF('исходные данные'!T152&gt;'минимумы и максимумы'!R$4,100,('исходные данные'!T152-'минимумы и максимумы'!R$2)/('минимумы и максимумы'!R$4-'минимумы и максимумы'!R$2)*100)</f>
        <v>100</v>
      </c>
      <c r="U152" s="1">
        <f>IF('исходные данные'!U152&gt;'минимумы и максимумы'!S$4,100,('исходные данные'!U152-'минимумы и максимумы'!S$2)/('минимумы и максимумы'!S$4-'минимумы и максимумы'!S$2)*100)</f>
        <v>0</v>
      </c>
    </row>
    <row r="153" spans="1:21" x14ac:dyDescent="0.45">
      <c r="A153" s="4">
        <v>221</v>
      </c>
      <c r="B153" s="4">
        <v>0</v>
      </c>
      <c r="C153" s="4">
        <v>0</v>
      </c>
      <c r="D153" s="1">
        <f>IF('исходные данные'!D153&gt;'минимумы и максимумы'!B$4,100,('исходные данные'!D153-'минимумы и максимумы'!B$2)/('минимумы и максимумы'!B$4-'минимумы и максимумы'!B$2)*100)</f>
        <v>25</v>
      </c>
      <c r="E153" s="1">
        <f>IF('исходные данные'!E153&gt;'минимумы и максимумы'!C$4,100,('исходные данные'!E153-'минимумы и максимумы'!C$2)/('минимумы и максимумы'!C$4-'минимумы и максимумы'!C$2)*100)</f>
        <v>12.5</v>
      </c>
      <c r="F153" s="1">
        <f>IF('исходные данные'!F153&gt;'минимумы и максимумы'!D$4,100,('исходные данные'!F153-'минимумы и максимумы'!D$2)/('минимумы и максимумы'!D$4-'минимумы и максимумы'!D$2)*100)</f>
        <v>25</v>
      </c>
      <c r="G153" s="1">
        <f>IF('исходные данные'!G153&gt;'минимумы и максимумы'!E$4,100,('исходные данные'!G153-'минимумы и максимумы'!E$2)/('минимумы и максимумы'!E$4-'минимумы и максимумы'!E$2)*100)</f>
        <v>29.72972972972973</v>
      </c>
      <c r="H153" s="1">
        <f>IF('исходные данные'!H153&gt;'минимумы и максимумы'!F$4,100,('исходные данные'!H153-'минимумы и максимумы'!F$2)/('минимумы и максимумы'!F$4-'минимумы и максимумы'!F$2)*100)</f>
        <v>23.684210526315788</v>
      </c>
      <c r="I153" s="1">
        <f>IF('исходные данные'!I153&gt;'минимумы и максимумы'!G$4,100,('исходные данные'!I153-'минимумы и максимумы'!G$2)/('минимумы и максимумы'!G$4-'минимумы и максимумы'!G$2)*100)</f>
        <v>24.096385542168676</v>
      </c>
      <c r="J153" s="1">
        <f>IF('исходные данные'!J153&gt;'минимумы и максимумы'!H$4,100,('исходные данные'!J153-'минимумы и максимумы'!H$2)/('минимумы и максимумы'!H$4-'минимумы и максимумы'!H$2)*100)</f>
        <v>20.833333333333336</v>
      </c>
      <c r="K153" s="1">
        <f>IF('исходные данные'!K153&gt;'минимумы и максимумы'!I$4,100,('исходные данные'!K153-'минимумы и максимумы'!I$2)/('минимумы и максимумы'!I$4-'минимумы и максимумы'!I$2)*100)</f>
        <v>46.428571428571431</v>
      </c>
      <c r="L153" s="1">
        <f>IF('исходные данные'!L153&gt;'минимумы и максимумы'!J$4,100,('исходные данные'!L153-'минимумы и максимумы'!J$2)/('минимумы и максимумы'!J$4-'минимумы и максимумы'!J$2)*100)</f>
        <v>25</v>
      </c>
      <c r="M153" s="1">
        <f>IF('исходные данные'!M153&gt;'минимумы и максимумы'!K$4,100,('исходные данные'!M153-'минимумы и максимумы'!K$2)/('минимумы и максимумы'!K$4-'минимумы и максимумы'!K$2)*100)</f>
        <v>31.914893617021278</v>
      </c>
      <c r="N153" s="1">
        <f>IF('исходные данные'!N153&gt;'минимумы и максимумы'!L$4,100,('исходные данные'!N153-'минимумы и максимумы'!L$2)/('минимумы и максимумы'!L$4-'минимумы и максимумы'!L$2)*100)</f>
        <v>12.442791055778594</v>
      </c>
      <c r="O153" s="1">
        <f>IF('исходные данные'!O153&gt;'минимумы и максимумы'!M$4,100,('исходные данные'!O153-'минимумы и максимумы'!M$2)/('минимумы и максимумы'!M$4-'минимумы и максимумы'!M$2)*100)</f>
        <v>33.333333333333329</v>
      </c>
      <c r="P153" s="1">
        <f>IF('исходные данные'!P153&gt;'минимумы и максимумы'!N$4,100,('исходные данные'!P153-'минимумы и максимумы'!N$2)/('минимумы и максимумы'!N$4-'минимумы и максимумы'!N$2)*100)</f>
        <v>0</v>
      </c>
      <c r="Q153" s="1">
        <f>IF('исходные данные'!Q153&gt;'минимумы и максимумы'!O$4,100,('исходные данные'!Q153-'минимумы и максимумы'!O$2)/('минимумы и максимумы'!O$4-'минимумы и максимумы'!O$2)*100)</f>
        <v>100</v>
      </c>
      <c r="R153" s="1">
        <f>IF('исходные данные'!R153&gt;'минимумы и максимумы'!P$4,100,('исходные данные'!R153-'минимумы и максимумы'!P$2)/('минимумы и максимумы'!P$4-'минимумы и максимумы'!P$2)*100)</f>
        <v>75</v>
      </c>
      <c r="S153" s="1">
        <f>IF('исходные данные'!S153&gt;'минимумы и максимумы'!Q$4,100,('исходные данные'!S153-'минимумы и максимумы'!Q$2)/('минимумы и максимумы'!Q$4-'минимумы и максимумы'!Q$2)*100)</f>
        <v>33.333333333333329</v>
      </c>
      <c r="T153" s="1">
        <f>IF('исходные данные'!T153&gt;'минимумы и максимумы'!R$4,100,('исходные данные'!T153-'минимумы и максимумы'!R$2)/('минимумы и максимумы'!R$4-'минимумы и максимумы'!R$2)*100)</f>
        <v>38.808975834292291</v>
      </c>
      <c r="U153" s="1">
        <f>IF('исходные данные'!U153&gt;'минимумы и максимумы'!S$4,100,('исходные данные'!U153-'минимумы и максимумы'!S$2)/('минимумы и максимумы'!S$4-'минимумы и максимумы'!S$2)*100)</f>
        <v>66.666666666666657</v>
      </c>
    </row>
    <row r="154" spans="1:21" x14ac:dyDescent="0.45">
      <c r="A154" s="4">
        <v>222</v>
      </c>
      <c r="B154" s="4">
        <v>0</v>
      </c>
      <c r="C154" s="4">
        <v>0</v>
      </c>
      <c r="D154" s="1">
        <f>IF('исходные данные'!D154&gt;'минимумы и максимумы'!B$4,100,('исходные данные'!D154-'минимумы и максимумы'!B$2)/('минимумы и максимумы'!B$4-'минимумы и максимумы'!B$2)*100)</f>
        <v>37.5</v>
      </c>
      <c r="E154" s="1">
        <f>IF('исходные данные'!E154&gt;'минимумы и максимумы'!C$4,100,('исходные данные'!E154-'минимумы и максимумы'!C$2)/('минимумы и максимумы'!C$4-'минимумы и максимумы'!C$2)*100)</f>
        <v>12.5</v>
      </c>
      <c r="F154" s="1">
        <f>IF('исходные данные'!F154&gt;'минимумы и максимумы'!D$4,100,('исходные данные'!F154-'минимумы и максимумы'!D$2)/('минимумы и максимумы'!D$4-'минимумы и максимумы'!D$2)*100)</f>
        <v>25</v>
      </c>
      <c r="G154" s="1">
        <f>IF('исходные данные'!G154&gt;'минимумы и максимумы'!E$4,100,('исходные данные'!G154-'минимумы и максимумы'!E$2)/('минимумы и максимумы'!E$4-'минимумы и максимумы'!E$2)*100)</f>
        <v>16.216216216216218</v>
      </c>
      <c r="H154" s="1">
        <f>IF('исходные данные'!H154&gt;'минимумы и максимумы'!F$4,100,('исходные данные'!H154-'минимумы и максимумы'!F$2)/('минимумы и максимумы'!F$4-'минимумы и максимумы'!F$2)*100)</f>
        <v>15.789473684210526</v>
      </c>
      <c r="I154" s="1">
        <f>IF('исходные данные'!I154&gt;'минимумы и максимумы'!G$4,100,('исходные данные'!I154-'минимумы и максимумы'!G$2)/('минимумы и максимумы'!G$4-'минимумы и максимумы'!G$2)*100)</f>
        <v>8.4337349397590362</v>
      </c>
      <c r="J154" s="1">
        <f>IF('исходные данные'!J154&gt;'минимумы и максимумы'!H$4,100,('исходные данные'!J154-'минимумы и максимумы'!H$2)/('минимумы и максимумы'!H$4-'минимумы и максимумы'!H$2)*100)</f>
        <v>16.666666666666664</v>
      </c>
      <c r="K154" s="1">
        <f>IF('исходные данные'!K154&gt;'минимумы и максимумы'!I$4,100,('исходные данные'!K154-'минимумы и максимумы'!I$2)/('минимумы и максимумы'!I$4-'минимумы и максимумы'!I$2)*100)</f>
        <v>21.428571428571427</v>
      </c>
      <c r="L154" s="1">
        <f>IF('исходные данные'!L154&gt;'минимумы и максимумы'!J$4,100,('исходные данные'!L154-'минимумы и максимумы'!J$2)/('минимумы и максимумы'!J$4-'минимумы и максимумы'!J$2)*100)</f>
        <v>0</v>
      </c>
      <c r="M154" s="1">
        <f>IF('исходные данные'!M154&gt;'минимумы и максимумы'!K$4,100,('исходные данные'!M154-'минимумы и максимумы'!K$2)/('минимумы и максимумы'!K$4-'минимумы и максимумы'!K$2)*100)</f>
        <v>6.3829787234042552</v>
      </c>
      <c r="N154" s="1">
        <f>IF('исходные данные'!N154&gt;'минимумы и максимумы'!L$4,100,('исходные данные'!N154-'минимумы и максимумы'!L$2)/('минимумы и максимумы'!L$4-'минимумы и максимумы'!L$2)*100)</f>
        <v>11.812382669300355</v>
      </c>
      <c r="O154" s="1">
        <f>IF('исходные данные'!O154&gt;'минимумы и максимумы'!M$4,100,('исходные данные'!O154-'минимумы и максимумы'!M$2)/('минимумы и максимумы'!M$4-'минимумы и максимумы'!M$2)*100)</f>
        <v>66.666666666666657</v>
      </c>
      <c r="P154" s="1">
        <f>IF('исходные данные'!P154&gt;'минимумы и максимумы'!N$4,100,('исходные данные'!P154-'минимумы и максимумы'!N$2)/('минимумы и максимумы'!N$4-'минимумы и максимумы'!N$2)*100)</f>
        <v>0</v>
      </c>
      <c r="Q154" s="1">
        <f>IF('исходные данные'!Q154&gt;'минимумы и максимумы'!O$4,100,('исходные данные'!Q154-'минимумы и максимумы'!O$2)/('минимумы и максимумы'!O$4-'минимумы и максимумы'!O$2)*100)</f>
        <v>100</v>
      </c>
      <c r="R154" s="1">
        <f>IF('исходные данные'!R154&gt;'минимумы и максимумы'!P$4,100,('исходные данные'!R154-'минимумы и максимумы'!P$2)/('минимумы и максимумы'!P$4-'минимумы и максимумы'!P$2)*100)</f>
        <v>100</v>
      </c>
      <c r="S154" s="1">
        <f>IF('исходные данные'!S154&gt;'минимумы и максимумы'!Q$4,100,('исходные данные'!S154-'минимумы и максимумы'!Q$2)/('минимумы и максимумы'!Q$4-'минимумы и максимумы'!Q$2)*100)</f>
        <v>66.666666666666657</v>
      </c>
      <c r="T154" s="1">
        <f>IF('исходные данные'!T154&gt;'минимумы и максимумы'!R$4,100,('исходные данные'!T154-'минимумы и максимумы'!R$2)/('минимумы и максимумы'!R$4-'минимумы и максимумы'!R$2)*100)</f>
        <v>95.799769850402754</v>
      </c>
      <c r="U154" s="1">
        <f>IF('исходные данные'!U154&gt;'минимумы и максимумы'!S$4,100,('исходные данные'!U154-'минимумы и максимумы'!S$2)/('минимумы и максимумы'!S$4-'минимумы и максимумы'!S$2)*100)</f>
        <v>100</v>
      </c>
    </row>
    <row r="155" spans="1:21" x14ac:dyDescent="0.45">
      <c r="A155" s="4">
        <v>223</v>
      </c>
      <c r="B155" s="4">
        <v>0</v>
      </c>
      <c r="C155" s="4">
        <v>0</v>
      </c>
      <c r="D155" s="1">
        <f>IF('исходные данные'!D155&gt;'минимумы и максимумы'!B$4,100,('исходные данные'!D155-'минимумы и максимумы'!B$2)/('минимумы и максимумы'!B$4-'минимумы и максимумы'!B$2)*100)</f>
        <v>0</v>
      </c>
      <c r="E155" s="1">
        <f>IF('исходные данные'!E155&gt;'минимумы и максимумы'!C$4,100,('исходные данные'!E155-'минимумы и максимумы'!C$2)/('минимумы и максимумы'!C$4-'минимумы и максимумы'!C$2)*100)</f>
        <v>12.5</v>
      </c>
      <c r="F155" s="1">
        <f>IF('исходные данные'!F155&gt;'минимумы и максимумы'!D$4,100,('исходные данные'!F155-'минимумы и максимумы'!D$2)/('минимумы и максимумы'!D$4-'минимумы и максимумы'!D$2)*100)</f>
        <v>0</v>
      </c>
      <c r="G155" s="1">
        <f>IF('исходные данные'!G155&gt;'минимумы и максимумы'!E$4,100,('исходные данные'!G155-'минимумы и максимумы'!E$2)/('минимумы и максимумы'!E$4-'минимумы и максимумы'!E$2)*100)</f>
        <v>24.324324324324326</v>
      </c>
      <c r="H155" s="1">
        <f>IF('исходные данные'!H155&gt;'минимумы и максимумы'!F$4,100,('исходные данные'!H155-'минимумы и максимумы'!F$2)/('минимумы и максимумы'!F$4-'минимумы и максимумы'!F$2)*100)</f>
        <v>13.157894736842104</v>
      </c>
      <c r="I155" s="1">
        <f>IF('исходные данные'!I155&gt;'минимумы и максимумы'!G$4,100,('исходные данные'!I155-'минимумы и максимумы'!G$2)/('минимумы и максимумы'!G$4-'минимумы и максимумы'!G$2)*100)</f>
        <v>16.867469879518072</v>
      </c>
      <c r="J155" s="1">
        <f>IF('исходные данные'!J155&gt;'минимумы и максимумы'!H$4,100,('исходные данные'!J155-'минимумы и максимумы'!H$2)/('минимумы и максимумы'!H$4-'минимумы и максимумы'!H$2)*100)</f>
        <v>0</v>
      </c>
      <c r="K155" s="1">
        <f>IF('исходные данные'!K155&gt;'минимумы и максимумы'!I$4,100,('исходные данные'!K155-'минимумы и максимумы'!I$2)/('минимумы и максимумы'!I$4-'минимумы и максимумы'!I$2)*100)</f>
        <v>32.142857142857146</v>
      </c>
      <c r="L155" s="1">
        <f>IF('исходные данные'!L155&gt;'минимумы и максимумы'!J$4,100,('исходные данные'!L155-'минимумы и максимумы'!J$2)/('минимумы и максимумы'!J$4-'минимумы и максимумы'!J$2)*100)</f>
        <v>0</v>
      </c>
      <c r="M155" s="1">
        <f>IF('исходные данные'!M155&gt;'минимумы и максимумы'!K$4,100,('исходные данные'!M155-'минимумы и максимумы'!K$2)/('минимумы и максимумы'!K$4-'минимумы и максимумы'!K$2)*100)</f>
        <v>4.2553191489361701</v>
      </c>
      <c r="N155" s="1">
        <f>IF('исходные данные'!N155&gt;'минимумы и максимумы'!L$4,100,('исходные данные'!N155-'минимумы и максимумы'!L$2)/('минимумы и максимумы'!L$4-'минимумы и максимумы'!L$2)*100)</f>
        <v>15.777449478326453</v>
      </c>
      <c r="O155" s="1">
        <f>IF('исходные данные'!O155&gt;'минимумы и максимумы'!M$4,100,('исходные данные'!O155-'минимумы и максимумы'!M$2)/('минимумы и максимумы'!M$4-'минимумы и максимумы'!M$2)*100)</f>
        <v>66.666666666666657</v>
      </c>
      <c r="P155" s="1">
        <f>IF('исходные данные'!P155&gt;'минимумы и максимумы'!N$4,100,('исходные данные'!P155-'минимумы и максимумы'!N$2)/('минимумы и максимумы'!N$4-'минимумы и максимумы'!N$2)*100)</f>
        <v>0</v>
      </c>
      <c r="Q155" s="1">
        <f>IF('исходные данные'!Q155&gt;'минимумы и максимумы'!O$4,100,('исходные данные'!Q155-'минимумы и максимумы'!O$2)/('минимумы и максимумы'!O$4-'минимумы и максимумы'!O$2)*100)</f>
        <v>100</v>
      </c>
      <c r="R155" s="1">
        <f>IF('исходные данные'!R155&gt;'минимумы и максимумы'!P$4,100,('исходные данные'!R155-'минимумы и максимумы'!P$2)/('минимумы и максимумы'!P$4-'минимумы и максимумы'!P$2)*100)</f>
        <v>75</v>
      </c>
      <c r="S155" s="1">
        <f>IF('исходные данные'!S155&gt;'минимумы и максимумы'!Q$4,100,('исходные данные'!S155-'минимумы и максимумы'!Q$2)/('минимумы и максимумы'!Q$4-'минимумы и максимумы'!Q$2)*100)</f>
        <v>55.555555555555557</v>
      </c>
      <c r="T155" s="1">
        <f>IF('исходные данные'!T155&gt;'минимумы и максимумы'!R$4,100,('исходные данные'!T155-'минимумы и максимумы'!R$2)/('минимумы и максимумы'!R$4-'минимумы и максимумы'!R$2)*100)</f>
        <v>17.721518987341771</v>
      </c>
      <c r="U155" s="1">
        <f>IF('исходные данные'!U155&gt;'минимумы и максимумы'!S$4,100,('исходные данные'!U155-'минимумы и максимумы'!S$2)/('минимумы и максимумы'!S$4-'минимумы и максимумы'!S$2)*100)</f>
        <v>66.666666666666657</v>
      </c>
    </row>
    <row r="156" spans="1:21" x14ac:dyDescent="0.45">
      <c r="A156" s="4">
        <v>224</v>
      </c>
      <c r="B156" s="4">
        <v>0</v>
      </c>
      <c r="C156" s="4">
        <v>0</v>
      </c>
      <c r="D156" s="1">
        <f>IF('исходные данные'!D156&gt;'минимумы и максимумы'!B$4,100,('исходные данные'!D156-'минимумы и максимумы'!B$2)/('минимумы и максимумы'!B$4-'минимумы и максимумы'!B$2)*100)</f>
        <v>12.5</v>
      </c>
      <c r="E156" s="1">
        <f>IF('исходные данные'!E156&gt;'минимумы и максимумы'!C$4,100,('исходные данные'!E156-'минимумы и максимумы'!C$2)/('минимумы и максимумы'!C$4-'минимумы и максимумы'!C$2)*100)</f>
        <v>18.75</v>
      </c>
      <c r="F156" s="1">
        <f>IF('исходные данные'!F156&gt;'минимумы и максимумы'!D$4,100,('исходные данные'!F156-'минимумы и максимумы'!D$2)/('минимумы и максимумы'!D$4-'минимумы и максимумы'!D$2)*100)</f>
        <v>0</v>
      </c>
      <c r="G156" s="1">
        <f>IF('исходные данные'!G156&gt;'минимумы и максимумы'!E$4,100,('исходные данные'!G156-'минимумы и максимумы'!E$2)/('минимумы и максимумы'!E$4-'минимумы и максимумы'!E$2)*100)</f>
        <v>18.918918918918919</v>
      </c>
      <c r="H156" s="1">
        <f>IF('исходные данные'!H156&gt;'минимумы и максимумы'!F$4,100,('исходные данные'!H156-'минимумы и максимумы'!F$2)/('минимумы и максимумы'!F$4-'минимумы и максимумы'!F$2)*100)</f>
        <v>10.526315789473683</v>
      </c>
      <c r="I156" s="1">
        <f>IF('исходные данные'!I156&gt;'минимумы и максимумы'!G$4,100,('исходные данные'!I156-'минимумы и максимумы'!G$2)/('минимумы и максимумы'!G$4-'минимумы и максимумы'!G$2)*100)</f>
        <v>4.8192771084337354</v>
      </c>
      <c r="J156" s="1">
        <f>IF('исходные данные'!J156&gt;'минимумы и максимумы'!H$4,100,('исходные данные'!J156-'минимумы и максимумы'!H$2)/('минимумы и максимумы'!H$4-'минимумы и максимумы'!H$2)*100)</f>
        <v>0</v>
      </c>
      <c r="K156" s="1">
        <f>IF('исходные данные'!K156&gt;'минимумы и максимумы'!I$4,100,('исходные данные'!K156-'минимумы и максимумы'!I$2)/('минимумы и максимумы'!I$4-'минимумы и максимумы'!I$2)*100)</f>
        <v>0</v>
      </c>
      <c r="L156" s="1">
        <f>IF('исходные данные'!L156&gt;'минимумы и максимумы'!J$4,100,('исходные данные'!L156-'минимумы и максимумы'!J$2)/('минимумы и максимумы'!J$4-'минимумы и максимумы'!J$2)*100)</f>
        <v>0</v>
      </c>
      <c r="M156" s="1">
        <f>IF('исходные данные'!M156&gt;'минимумы и максимумы'!K$4,100,('исходные данные'!M156-'минимумы и максимумы'!K$2)/('минимумы и максимумы'!K$4-'минимумы и максимумы'!K$2)*100)</f>
        <v>27.659574468085108</v>
      </c>
      <c r="N156" s="1">
        <f>IF('исходные данные'!N156&gt;'минимумы и максимумы'!L$4,100,('исходные данные'!N156-'минимумы и максимумы'!L$2)/('минимумы и максимумы'!L$4-'минимумы и максимумы'!L$2)*100)</f>
        <v>16.712878591014267</v>
      </c>
      <c r="O156" s="1">
        <f>IF('исходные данные'!O156&gt;'минимумы и максимумы'!M$4,100,('исходные данные'!O156-'минимумы и максимумы'!M$2)/('минимумы и максимумы'!M$4-'минимумы и максимумы'!M$2)*100)</f>
        <v>33.333333333333329</v>
      </c>
      <c r="P156" s="1">
        <f>IF('исходные данные'!P156&gt;'минимумы и максимумы'!N$4,100,('исходные данные'!P156-'минимумы и максимумы'!N$2)/('минимумы и максимумы'!N$4-'минимумы и максимумы'!N$2)*100)</f>
        <v>100</v>
      </c>
      <c r="Q156" s="1">
        <f>IF('исходные данные'!Q156&gt;'минимумы и максимумы'!O$4,100,('исходные данные'!Q156-'минимумы и максимумы'!O$2)/('минимумы и максимумы'!O$4-'минимумы и максимумы'!O$2)*100)</f>
        <v>100</v>
      </c>
      <c r="R156" s="1">
        <f>IF('исходные данные'!R156&gt;'минимумы и максимумы'!P$4,100,('исходные данные'!R156-'минимумы и максимумы'!P$2)/('минимумы и максимумы'!P$4-'минимумы и максимумы'!P$2)*100)</f>
        <v>100</v>
      </c>
      <c r="S156" s="1">
        <f>IF('исходные данные'!S156&gt;'минимумы и максимумы'!Q$4,100,('исходные данные'!S156-'минимумы и максимумы'!Q$2)/('минимумы и максимумы'!Q$4-'минимумы и максимумы'!Q$2)*100)</f>
        <v>22.222222222222221</v>
      </c>
      <c r="T156" s="1">
        <f>IF('исходные данные'!T156&gt;'минимумы и максимумы'!R$4,100,('исходные данные'!T156-'минимумы и максимумы'!R$2)/('минимумы и максимумы'!R$4-'минимумы и максимумы'!R$2)*100)</f>
        <v>12.11162255466053</v>
      </c>
      <c r="U156" s="1">
        <f>IF('исходные данные'!U156&gt;'минимумы и максимумы'!S$4,100,('исходные данные'!U156-'минимумы и максимумы'!S$2)/('минимумы и максимумы'!S$4-'минимумы и максимумы'!S$2)*100)</f>
        <v>0</v>
      </c>
    </row>
    <row r="157" spans="1:21" x14ac:dyDescent="0.45">
      <c r="A157" s="4">
        <v>225</v>
      </c>
      <c r="B157" s="4">
        <v>0</v>
      </c>
      <c r="C157" s="4">
        <v>0</v>
      </c>
      <c r="D157" s="1">
        <f>IF('исходные данные'!D157&gt;'минимумы и максимумы'!B$4,100,('исходные данные'!D157-'минимумы и максимумы'!B$2)/('минимумы и максимумы'!B$4-'минимумы и максимумы'!B$2)*100)</f>
        <v>0</v>
      </c>
      <c r="E157" s="1">
        <f>IF('исходные данные'!E157&gt;'минимумы и максимумы'!C$4,100,('исходные данные'!E157-'минимумы и максимумы'!C$2)/('минимумы и максимумы'!C$4-'минимумы и максимумы'!C$2)*100)</f>
        <v>6.25</v>
      </c>
      <c r="F157" s="1">
        <f>IF('исходные данные'!F157&gt;'минимумы и максимумы'!D$4,100,('исходные данные'!F157-'минимумы и максимумы'!D$2)/('минимумы и максимумы'!D$4-'минимумы и максимумы'!D$2)*100)</f>
        <v>0</v>
      </c>
      <c r="G157" s="1">
        <f>IF('исходные данные'!G157&gt;'минимумы и максимумы'!E$4,100,('исходные данные'!G157-'минимумы и максимумы'!E$2)/('минимумы и максимумы'!E$4-'минимумы и максимумы'!E$2)*100)</f>
        <v>5.4054054054054053</v>
      </c>
      <c r="H157" s="1">
        <f>IF('исходные данные'!H157&gt;'минимумы и максимумы'!F$4,100,('исходные данные'!H157-'минимумы и максимумы'!F$2)/('минимумы и максимумы'!F$4-'минимумы и максимумы'!F$2)*100)</f>
        <v>10.526315789473683</v>
      </c>
      <c r="I157" s="1">
        <f>IF('исходные данные'!I157&gt;'минимумы и максимумы'!G$4,100,('исходные данные'!I157-'минимумы и максимумы'!G$2)/('минимумы и максимумы'!G$4-'минимумы и максимумы'!G$2)*100)</f>
        <v>13.253012048192772</v>
      </c>
      <c r="J157" s="1">
        <f>IF('исходные данные'!J157&gt;'минимумы и максимумы'!H$4,100,('исходные данные'!J157-'минимумы и максимумы'!H$2)/('минимумы и максимумы'!H$4-'минимумы и максимумы'!H$2)*100)</f>
        <v>8.3333333333333321</v>
      </c>
      <c r="K157" s="1">
        <f>IF('исходные данные'!K157&gt;'минимумы и максимумы'!I$4,100,('исходные данные'!K157-'минимумы и максимумы'!I$2)/('минимумы и максимумы'!I$4-'минимумы и максимумы'!I$2)*100)</f>
        <v>3.5714285714285712</v>
      </c>
      <c r="L157" s="1">
        <f>IF('исходные данные'!L157&gt;'минимумы и максимумы'!J$4,100,('исходные данные'!L157-'минимумы и максимумы'!J$2)/('минимумы и максимумы'!J$4-'минимумы и максимумы'!J$2)*100)</f>
        <v>0</v>
      </c>
      <c r="M157" s="1">
        <f>IF('исходные данные'!M157&gt;'минимумы и максимумы'!K$4,100,('исходные данные'!M157-'минимумы и максимумы'!K$2)/('минимумы и максимумы'!K$4-'минимумы и максимумы'!K$2)*100)</f>
        <v>29.787234042553191</v>
      </c>
      <c r="N157" s="1">
        <f>IF('исходные данные'!N157&gt;'минимумы и максимумы'!L$4,100,('исходные данные'!N157-'минимумы и максимумы'!L$2)/('минимумы и максимумы'!L$4-'минимумы и максимумы'!L$2)*100)</f>
        <v>21.775311993320596</v>
      </c>
      <c r="O157" s="1">
        <f>IF('исходные данные'!O157&gt;'минимумы и максимумы'!M$4,100,('исходные данные'!O157-'минимумы и максимумы'!M$2)/('минимумы и максимумы'!M$4-'минимумы и максимумы'!M$2)*100)</f>
        <v>66.666666666666657</v>
      </c>
      <c r="P157" s="1">
        <f>IF('исходные данные'!P157&gt;'минимумы и максимумы'!N$4,100,('исходные данные'!P157-'минимумы и максимумы'!N$2)/('минимумы и максимумы'!N$4-'минимумы и максимумы'!N$2)*100)</f>
        <v>100</v>
      </c>
      <c r="Q157" s="1">
        <f>IF('исходные данные'!Q157&gt;'минимумы и максимумы'!O$4,100,('исходные данные'!Q157-'минимумы и максимумы'!O$2)/('минимумы и максимумы'!O$4-'минимумы и максимумы'!O$2)*100)</f>
        <v>100</v>
      </c>
      <c r="R157" s="1">
        <f>IF('исходные данные'!R157&gt;'минимумы и максимумы'!P$4,100,('исходные данные'!R157-'минимумы и максимумы'!P$2)/('минимумы и максимумы'!P$4-'минимумы и максимумы'!P$2)*100)</f>
        <v>50</v>
      </c>
      <c r="S157" s="1">
        <f>IF('исходные данные'!S157&gt;'минимумы и максимумы'!Q$4,100,('исходные данные'!S157-'минимумы и максимумы'!Q$2)/('минимумы и максимумы'!Q$4-'минимумы и максимумы'!Q$2)*100)</f>
        <v>66.666666666666657</v>
      </c>
      <c r="T157" s="1">
        <f>IF('исходные данные'!T157&gt;'минимумы и максимумы'!R$4,100,('исходные данные'!T157-'минимумы и максимумы'!R$2)/('минимумы и максимумы'!R$4-'минимумы и максимумы'!R$2)*100)</f>
        <v>4.7180667433831998</v>
      </c>
      <c r="U157" s="1">
        <f>IF('исходные данные'!U157&gt;'минимумы и максимумы'!S$4,100,('исходные данные'!U157-'минимумы и максимумы'!S$2)/('минимумы и максимумы'!S$4-'минимумы и максимумы'!S$2)*100)</f>
        <v>0</v>
      </c>
    </row>
    <row r="158" spans="1:21" x14ac:dyDescent="0.45">
      <c r="A158" s="4">
        <v>226</v>
      </c>
      <c r="B158" s="4">
        <v>0</v>
      </c>
      <c r="C158" s="4">
        <v>0</v>
      </c>
      <c r="D158" s="1">
        <f>IF('исходные данные'!D158&gt;'минимумы и максимумы'!B$4,100,('исходные данные'!D158-'минимумы и максимумы'!B$2)/('минимумы и максимумы'!B$4-'минимумы и максимумы'!B$2)*100)</f>
        <v>50</v>
      </c>
      <c r="E158" s="1">
        <f>IF('исходные данные'!E158&gt;'минимумы и максимумы'!C$4,100,('исходные данные'!E158-'минимумы и максимумы'!C$2)/('минимумы и максимумы'!C$4-'минимумы и максимумы'!C$2)*100)</f>
        <v>12.5</v>
      </c>
      <c r="F158" s="1">
        <f>IF('исходные данные'!F158&gt;'минимумы и максимумы'!D$4,100,('исходные данные'!F158-'минимумы и максимумы'!D$2)/('минимумы и максимумы'!D$4-'минимумы и максимумы'!D$2)*100)</f>
        <v>0</v>
      </c>
      <c r="G158" s="1">
        <f>IF('исходные данные'!G158&gt;'минимумы и максимумы'!E$4,100,('исходные данные'!G158-'минимумы и максимумы'!E$2)/('минимумы и максимумы'!E$4-'минимумы и максимумы'!E$2)*100)</f>
        <v>10.810810810810811</v>
      </c>
      <c r="H158" s="1">
        <f>IF('исходные данные'!H158&gt;'минимумы и максимумы'!F$4,100,('исходные данные'!H158-'минимумы и максимумы'!F$2)/('минимумы и максимумы'!F$4-'минимумы и максимумы'!F$2)*100)</f>
        <v>15.789473684210526</v>
      </c>
      <c r="I158" s="1">
        <f>IF('исходные данные'!I158&gt;'минимумы и максимумы'!G$4,100,('исходные данные'!I158-'минимумы и максимумы'!G$2)/('минимумы и максимумы'!G$4-'минимумы и максимумы'!G$2)*100)</f>
        <v>3.6144578313253009</v>
      </c>
      <c r="J158" s="1">
        <f>IF('исходные данные'!J158&gt;'минимумы и максимумы'!H$4,100,('исходные данные'!J158-'минимумы и максимумы'!H$2)/('минимумы и максимумы'!H$4-'минимумы и максимумы'!H$2)*100)</f>
        <v>4.1666666666666661</v>
      </c>
      <c r="K158" s="1">
        <f>IF('исходные данные'!K158&gt;'минимумы и максимумы'!I$4,100,('исходные данные'!K158-'минимумы и максимумы'!I$2)/('минимумы и максимумы'!I$4-'минимумы и максимумы'!I$2)*100)</f>
        <v>10.714285714285714</v>
      </c>
      <c r="L158" s="1">
        <f>IF('исходные данные'!L158&gt;'минимумы и максимумы'!J$4,100,('исходные данные'!L158-'минимумы и максимумы'!J$2)/('минимумы и максимумы'!J$4-'минимумы и максимумы'!J$2)*100)</f>
        <v>0</v>
      </c>
      <c r="M158" s="1">
        <f>IF('исходные данные'!M158&gt;'минимумы и максимумы'!K$4,100,('исходные данные'!M158-'минимумы и максимумы'!K$2)/('минимумы и максимумы'!K$4-'минимумы и максимумы'!K$2)*100)</f>
        <v>40.425531914893611</v>
      </c>
      <c r="N158" s="1">
        <f>IF('исходные данные'!N158&gt;'минимумы и максимумы'!L$4,100,('исходные данные'!N158-'минимумы и максимумы'!L$2)/('минимумы и максимумы'!L$4-'минимумы и максимумы'!L$2)*100)</f>
        <v>22.486766971864292</v>
      </c>
      <c r="O158" s="1">
        <f>IF('исходные данные'!O158&gt;'минимумы и максимумы'!M$4,100,('исходные данные'!O158-'минимумы и максимумы'!M$2)/('минимумы и максимумы'!M$4-'минимумы и максимумы'!M$2)*100)</f>
        <v>33.333333333333329</v>
      </c>
      <c r="P158" s="1">
        <f>IF('исходные данные'!P158&gt;'минимумы и максимумы'!N$4,100,('исходные данные'!P158-'минимумы и максимумы'!N$2)/('минимумы и максимумы'!N$4-'минимумы и максимумы'!N$2)*100)</f>
        <v>100</v>
      </c>
      <c r="Q158" s="1">
        <f>IF('исходные данные'!Q158&gt;'минимумы и максимумы'!O$4,100,('исходные данные'!Q158-'минимумы и максимумы'!O$2)/('минимумы и максимумы'!O$4-'минимумы и максимумы'!O$2)*100)</f>
        <v>100</v>
      </c>
      <c r="R158" s="1">
        <f>IF('исходные данные'!R158&gt;'минимумы и максимумы'!P$4,100,('исходные данные'!R158-'минимумы и максимумы'!P$2)/('минимумы и максимумы'!P$4-'минимумы и максимумы'!P$2)*100)</f>
        <v>75</v>
      </c>
      <c r="S158" s="1">
        <f>IF('исходные данные'!S158&gt;'минимумы и максимумы'!Q$4,100,('исходные данные'!S158-'минимумы и максимумы'!Q$2)/('минимумы и максимумы'!Q$4-'минимумы и максимумы'!Q$2)*100)</f>
        <v>22.222222222222221</v>
      </c>
      <c r="T158" s="1">
        <f>IF('исходные данные'!T158&gt;'минимумы и максимумы'!R$4,100,('исходные данные'!T158-'минимумы и максимумы'!R$2)/('минимумы и максимумы'!R$4-'минимумы и максимумы'!R$2)*100)</f>
        <v>10.960874568469507</v>
      </c>
      <c r="U158" s="1">
        <f>IF('исходные данные'!U158&gt;'минимумы и максимумы'!S$4,100,('исходные данные'!U158-'минимумы и максимумы'!S$2)/('минимумы и максимумы'!S$4-'минимумы и максимумы'!S$2)*100)</f>
        <v>66.666666666666657</v>
      </c>
    </row>
    <row r="159" spans="1:21" x14ac:dyDescent="0.45">
      <c r="A159" s="4">
        <v>227</v>
      </c>
      <c r="B159" s="4">
        <v>1</v>
      </c>
      <c r="C159" s="4">
        <v>0</v>
      </c>
      <c r="D159" s="1">
        <f>IF('исходные данные'!D159&gt;'минимумы и максимумы'!B$4,100,('исходные данные'!D159-'минимумы и максимумы'!B$2)/('минимумы и максимумы'!B$4-'минимумы и максимумы'!B$2)*100)</f>
        <v>12.5</v>
      </c>
      <c r="E159" s="1">
        <f>IF('исходные данные'!E159&gt;'минимумы и максимумы'!C$4,100,('исходные данные'!E159-'минимумы и максимумы'!C$2)/('минимумы и максимумы'!C$4-'минимумы и максимумы'!C$2)*100)</f>
        <v>6.25</v>
      </c>
      <c r="F159" s="1">
        <f>IF('исходные данные'!F159&gt;'минимумы и максимумы'!D$4,100,('исходные данные'!F159-'минимумы и максимумы'!D$2)/('минимумы и максимумы'!D$4-'минимумы и максимумы'!D$2)*100)</f>
        <v>25</v>
      </c>
      <c r="G159" s="1">
        <f>IF('исходные данные'!G159&gt;'минимумы и максимумы'!E$4,100,('исходные данные'!G159-'минимумы и максимумы'!E$2)/('минимумы и максимумы'!E$4-'минимумы и максимумы'!E$2)*100)</f>
        <v>5.4054054054054053</v>
      </c>
      <c r="H159" s="1">
        <f>IF('исходные данные'!H159&gt;'минимумы и максимумы'!F$4,100,('исходные данные'!H159-'минимумы и максимумы'!F$2)/('минимумы и максимумы'!F$4-'минимумы и максимумы'!F$2)*100)</f>
        <v>13.157894736842104</v>
      </c>
      <c r="I159" s="1">
        <f>IF('исходные данные'!I159&gt;'минимумы и максимумы'!G$4,100,('исходные данные'!I159-'минимумы и максимумы'!G$2)/('минимумы и максимумы'!G$4-'минимумы и максимумы'!G$2)*100)</f>
        <v>8.4337349397590362</v>
      </c>
      <c r="J159" s="1">
        <f>IF('исходные данные'!J159&gt;'минимумы и максимумы'!H$4,100,('исходные данные'!J159-'минимумы и максимумы'!H$2)/('минимумы и максимумы'!H$4-'минимумы и максимумы'!H$2)*100)</f>
        <v>12.5</v>
      </c>
      <c r="K159" s="1">
        <f>IF('исходные данные'!K159&gt;'минимумы и максимумы'!I$4,100,('исходные данные'!K159-'минимумы и максимумы'!I$2)/('минимумы и максимумы'!I$4-'минимумы и максимумы'!I$2)*100)</f>
        <v>3.5714285714285712</v>
      </c>
      <c r="L159" s="1">
        <f>IF('исходные данные'!L159&gt;'минимумы и максимумы'!J$4,100,('исходные данные'!L159-'минимумы и максимумы'!J$2)/('минимумы и максимумы'!J$4-'минимумы и максимумы'!J$2)*100)</f>
        <v>0</v>
      </c>
      <c r="M159" s="1">
        <f>IF('исходные данные'!M159&gt;'минимумы и максимумы'!K$4,100,('исходные данные'!M159-'минимумы и максимумы'!K$2)/('минимумы и максимумы'!K$4-'минимумы и максимумы'!K$2)*100)</f>
        <v>17.021276595744681</v>
      </c>
      <c r="N159" s="1">
        <f>IF('исходные данные'!N159&gt;'минимумы и максимумы'!L$4,100,('исходные данные'!N159-'минимумы и максимумы'!L$2)/('минимумы и максимумы'!L$4-'минимумы и максимумы'!L$2)*100)</f>
        <v>22.233767557801063</v>
      </c>
      <c r="O159" s="1">
        <f>IF('исходные данные'!O159&gt;'минимумы и максимумы'!M$4,100,('исходные данные'!O159-'минимумы и максимумы'!M$2)/('минимумы и максимумы'!M$4-'минимумы и максимумы'!M$2)*100)</f>
        <v>100</v>
      </c>
      <c r="P159" s="1">
        <f>IF('исходные данные'!P159&gt;'минимумы и максимумы'!N$4,100,('исходные данные'!P159-'минимумы и максимумы'!N$2)/('минимумы и максимумы'!N$4-'минимумы и максимумы'!N$2)*100)</f>
        <v>0</v>
      </c>
      <c r="Q159" s="1">
        <f>IF('исходные данные'!Q159&gt;'минимумы и максимумы'!O$4,100,('исходные данные'!Q159-'минимумы и максимумы'!O$2)/('минимумы и максимумы'!O$4-'минимумы и максимумы'!O$2)*100)</f>
        <v>100</v>
      </c>
      <c r="R159" s="1">
        <f>IF('исходные данные'!R159&gt;'минимумы и максимумы'!P$4,100,('исходные данные'!R159-'минимумы и максимумы'!P$2)/('минимумы и максимумы'!P$4-'минимумы и максимумы'!P$2)*100)</f>
        <v>100</v>
      </c>
      <c r="S159" s="1">
        <f>IF('исходные данные'!S159&gt;'минимумы и максимумы'!Q$4,100,('исходные данные'!S159-'минимумы и максимумы'!Q$2)/('минимумы и максимумы'!Q$4-'минимумы и максимумы'!Q$2)*100)</f>
        <v>22.222222222222221</v>
      </c>
      <c r="T159" s="1">
        <f>IF('исходные данные'!T159&gt;'минимумы и максимумы'!R$4,100,('исходные данные'!T159-'минимумы и максимумы'!R$2)/('минимумы и максимумы'!R$4-'минимумы и максимумы'!R$2)*100)</f>
        <v>28.193325661680092</v>
      </c>
      <c r="U159" s="1">
        <f>IF('исходные данные'!U159&gt;'минимумы и максимумы'!S$4,100,('исходные данные'!U159-'минимумы и максимумы'!S$2)/('минимумы и максимумы'!S$4-'минимумы и максимумы'!S$2)*100)</f>
        <v>33.333333333333329</v>
      </c>
    </row>
    <row r="160" spans="1:21" x14ac:dyDescent="0.45">
      <c r="A160" s="4">
        <v>230</v>
      </c>
      <c r="B160" s="4">
        <v>0</v>
      </c>
      <c r="C160" s="4">
        <v>0</v>
      </c>
      <c r="D160" s="1">
        <f>IF('исходные данные'!D160&gt;'минимумы и максимумы'!B$4,100,('исходные данные'!D160-'минимумы и максимумы'!B$2)/('минимумы и максимумы'!B$4-'минимумы и максимумы'!B$2)*100)</f>
        <v>25</v>
      </c>
      <c r="E160" s="1">
        <f>IF('исходные данные'!E160&gt;'минимумы и максимумы'!C$4,100,('исходные данные'!E160-'минимумы и максимумы'!C$2)/('минимумы и максимумы'!C$4-'минимумы и максимумы'!C$2)*100)</f>
        <v>18.75</v>
      </c>
      <c r="F160" s="1">
        <f>IF('исходные данные'!F160&gt;'минимумы и максимумы'!D$4,100,('исходные данные'!F160-'минимумы и максимумы'!D$2)/('минимумы и максимумы'!D$4-'минимумы и максимумы'!D$2)*100)</f>
        <v>0</v>
      </c>
      <c r="G160" s="1">
        <f>IF('исходные данные'!G160&gt;'минимумы и максимумы'!E$4,100,('исходные данные'!G160-'минимумы и максимумы'!E$2)/('минимумы и максимумы'!E$4-'минимумы и максимумы'!E$2)*100)</f>
        <v>5.4054054054054053</v>
      </c>
      <c r="H160" s="1">
        <f>IF('исходные данные'!H160&gt;'минимумы и максимумы'!F$4,100,('исходные данные'!H160-'минимумы и максимумы'!F$2)/('минимумы и максимумы'!F$4-'минимумы и максимумы'!F$2)*100)</f>
        <v>10.526315789473683</v>
      </c>
      <c r="I160" s="1">
        <f>IF('исходные данные'!I160&gt;'минимумы и максимумы'!G$4,100,('исходные данные'!I160-'минимумы и максимумы'!G$2)/('минимумы и максимумы'!G$4-'минимумы и максимумы'!G$2)*100)</f>
        <v>3.6144578313253009</v>
      </c>
      <c r="J160" s="1">
        <f>IF('исходные данные'!J160&gt;'минимумы и максимумы'!H$4,100,('исходные данные'!J160-'минимумы и максимумы'!H$2)/('минимумы и максимумы'!H$4-'минимумы и максимумы'!H$2)*100)</f>
        <v>0</v>
      </c>
      <c r="K160" s="1">
        <f>IF('исходные данные'!K160&gt;'минимумы и максимумы'!I$4,100,('исходные данные'!K160-'минимумы и максимумы'!I$2)/('минимумы и максимумы'!I$4-'минимумы и максимумы'!I$2)*100)</f>
        <v>14.285714285714285</v>
      </c>
      <c r="L160" s="1">
        <f>IF('исходные данные'!L160&gt;'минимумы и максимумы'!J$4,100,('исходные данные'!L160-'минимумы и максимумы'!J$2)/('минимумы и максимумы'!J$4-'минимумы и максимумы'!J$2)*100)</f>
        <v>12.5</v>
      </c>
      <c r="M160" s="1">
        <f>IF('исходные данные'!M160&gt;'минимумы и максимумы'!K$4,100,('исходные данные'!M160-'минимумы и максимумы'!K$2)/('минимумы и максимумы'!K$4-'минимумы и максимумы'!K$2)*100)</f>
        <v>29.787234042553191</v>
      </c>
      <c r="N160" s="1">
        <f>IF('исходные данные'!N160&gt;'минимумы и максимумы'!L$4,100,('исходные данные'!N160-'минимумы и максимумы'!L$2)/('минимумы и максимумы'!L$4-'минимумы и максимумы'!L$2)*100)</f>
        <v>25.714541913261691</v>
      </c>
      <c r="O160" s="1">
        <f>IF('исходные данные'!O160&gt;'минимумы и максимумы'!M$4,100,('исходные данные'!O160-'минимумы и максимумы'!M$2)/('минимумы и максимумы'!M$4-'минимумы и максимумы'!M$2)*100)</f>
        <v>33.333333333333329</v>
      </c>
      <c r="P160" s="1">
        <f>IF('исходные данные'!P160&gt;'минимумы и максимумы'!N$4,100,('исходные данные'!P160-'минимумы и максимумы'!N$2)/('минимумы и максимумы'!N$4-'минимумы и максимумы'!N$2)*100)</f>
        <v>0</v>
      </c>
      <c r="Q160" s="1">
        <f>IF('исходные данные'!Q160&gt;'минимумы и максимумы'!O$4,100,('исходные данные'!Q160-'минимумы и максимумы'!O$2)/('минимумы и максимумы'!O$4-'минимумы и максимумы'!O$2)*100)</f>
        <v>100</v>
      </c>
      <c r="R160" s="1">
        <f>IF('исходные данные'!R160&gt;'минимумы и максимумы'!P$4,100,('исходные данные'!R160-'минимумы и максимумы'!P$2)/('минимумы и максимумы'!P$4-'минимумы и максимумы'!P$2)*100)</f>
        <v>50</v>
      </c>
      <c r="S160" s="1">
        <f>IF('исходные данные'!S160&gt;'минимумы и максимумы'!Q$4,100,('исходные данные'!S160-'минимумы и максимумы'!Q$2)/('минимумы и максимумы'!Q$4-'минимумы и максимумы'!Q$2)*100)</f>
        <v>22.222222222222221</v>
      </c>
      <c r="T160" s="1">
        <f>IF('исходные данные'!T160&gt;'минимумы и максимумы'!R$4,100,('исходные данные'!T160-'минимумы и максимумы'!R$2)/('минимумы и максимумы'!R$4-'минимумы и максимумы'!R$2)*100)</f>
        <v>22.266973532796317</v>
      </c>
      <c r="U160" s="1">
        <f>IF('исходные данные'!U160&gt;'минимумы и максимумы'!S$4,100,('исходные данные'!U160-'минимумы и максимумы'!S$2)/('минимумы и максимумы'!S$4-'минимумы и максимумы'!S$2)*100)</f>
        <v>33.333333333333329</v>
      </c>
    </row>
    <row r="161" spans="1:21" x14ac:dyDescent="0.45">
      <c r="A161" s="4">
        <v>231</v>
      </c>
      <c r="B161" s="4">
        <v>1</v>
      </c>
      <c r="C161" s="4">
        <v>0</v>
      </c>
      <c r="D161" s="1">
        <f>IF('исходные данные'!D161&gt;'минимумы и максимумы'!B$4,100,('исходные данные'!D161-'минимумы и максимумы'!B$2)/('минимумы и максимумы'!B$4-'минимумы и максимумы'!B$2)*100)</f>
        <v>12.5</v>
      </c>
      <c r="E161" s="1">
        <f>IF('исходные данные'!E161&gt;'минимумы и максимумы'!C$4,100,('исходные данные'!E161-'минимумы и максимумы'!C$2)/('минимумы и максимумы'!C$4-'минимумы и максимумы'!C$2)*100)</f>
        <v>12.5</v>
      </c>
      <c r="F161" s="1">
        <f>IF('исходные данные'!F161&gt;'минимумы и максимумы'!D$4,100,('исходные данные'!F161-'минимумы и максимумы'!D$2)/('минимумы и максимумы'!D$4-'минимумы и максимумы'!D$2)*100)</f>
        <v>0</v>
      </c>
      <c r="G161" s="1">
        <f>IF('исходные данные'!G161&gt;'минимумы и максимумы'!E$4,100,('исходные данные'!G161-'минимумы и максимумы'!E$2)/('минимумы и максимумы'!E$4-'минимумы и максимумы'!E$2)*100)</f>
        <v>10.810810810810811</v>
      </c>
      <c r="H161" s="1">
        <f>IF('исходные данные'!H161&gt;'минимумы и максимумы'!F$4,100,('исходные данные'!H161-'минимумы и максимумы'!F$2)/('минимумы и максимумы'!F$4-'минимумы и максимумы'!F$2)*100)</f>
        <v>15.789473684210526</v>
      </c>
      <c r="I161" s="1">
        <f>IF('исходные данные'!I161&gt;'минимумы и максимумы'!G$4,100,('исходные данные'!I161-'минимумы и максимумы'!G$2)/('минимумы и максимумы'!G$4-'минимумы и максимумы'!G$2)*100)</f>
        <v>4.8192771084337354</v>
      </c>
      <c r="J161" s="1">
        <f>IF('исходные данные'!J161&gt;'минимумы и максимумы'!H$4,100,('исходные данные'!J161-'минимумы и максимумы'!H$2)/('минимумы и максимумы'!H$4-'минимумы и максимумы'!H$2)*100)</f>
        <v>0</v>
      </c>
      <c r="K161" s="1">
        <f>IF('исходные данные'!K161&gt;'минимумы и максимумы'!I$4,100,('исходные данные'!K161-'минимумы и максимумы'!I$2)/('минимумы и максимумы'!I$4-'минимумы и максимумы'!I$2)*100)</f>
        <v>3.5714285714285712</v>
      </c>
      <c r="L161" s="1">
        <f>IF('исходные данные'!L161&gt;'минимумы и максимумы'!J$4,100,('исходные данные'!L161-'минимумы и максимумы'!J$2)/('минимумы и максимумы'!J$4-'минимумы и максимумы'!J$2)*100)</f>
        <v>25</v>
      </c>
      <c r="M161" s="1">
        <f>IF('исходные данные'!M161&gt;'минимумы и максимумы'!K$4,100,('исходные данные'!M161-'минимумы и максимумы'!K$2)/('минимумы и максимумы'!K$4-'минимумы и максимумы'!K$2)*100)</f>
        <v>8.5106382978723403</v>
      </c>
      <c r="N161" s="1">
        <f>IF('исходные данные'!N161&gt;'минимумы и максимумы'!L$4,100,('исходные данные'!N161-'минимумы и максимумы'!L$2)/('минимумы и максимумы'!L$4-'минимумы и максимумы'!L$2)*100)</f>
        <v>25.621696581526031</v>
      </c>
      <c r="O161" s="1">
        <f>IF('исходные данные'!O161&gt;'минимумы и максимумы'!M$4,100,('исходные данные'!O161-'минимумы и максимумы'!M$2)/('минимумы и максимумы'!M$4-'минимумы и максимумы'!M$2)*100)</f>
        <v>100</v>
      </c>
      <c r="P161" s="1">
        <f>IF('исходные данные'!P161&gt;'минимумы и максимумы'!N$4,100,('исходные данные'!P161-'минимумы и максимумы'!N$2)/('минимумы и максимумы'!N$4-'минимумы и максимумы'!N$2)*100)</f>
        <v>0</v>
      </c>
      <c r="Q161" s="1">
        <f>IF('исходные данные'!Q161&gt;'минимумы и максимумы'!O$4,100,('исходные данные'!Q161-'минимумы и максимумы'!O$2)/('минимумы и максимумы'!O$4-'минимумы и максимумы'!O$2)*100)</f>
        <v>100</v>
      </c>
      <c r="R161" s="1">
        <f>IF('исходные данные'!R161&gt;'минимумы и максимумы'!P$4,100,('исходные данные'!R161-'минимумы и максимумы'!P$2)/('минимумы и максимумы'!P$4-'минимумы и максимумы'!P$2)*100)</f>
        <v>100</v>
      </c>
      <c r="S161" s="1">
        <f>IF('исходные данные'!S161&gt;'минимумы и максимумы'!Q$4,100,('исходные данные'!S161-'минимумы и максимумы'!Q$2)/('минимумы и максимумы'!Q$4-'минимумы и максимумы'!Q$2)*100)</f>
        <v>33.333333333333329</v>
      </c>
      <c r="T161" s="1">
        <f>IF('исходные данные'!T161&gt;'минимумы и максимумы'!R$4,100,('исходные данные'!T161-'минимумы и максимумы'!R$2)/('минимумы и максимумы'!R$4-'минимумы и максимумы'!R$2)*100)</f>
        <v>17.663981588032222</v>
      </c>
      <c r="U161" s="1">
        <f>IF('исходные данные'!U161&gt;'минимумы и максимумы'!S$4,100,('исходные данные'!U161-'минимумы и максимумы'!S$2)/('минимумы и максимумы'!S$4-'минимумы и максимумы'!S$2)*100)</f>
        <v>33.333333333333329</v>
      </c>
    </row>
    <row r="162" spans="1:21" x14ac:dyDescent="0.45">
      <c r="A162" s="4">
        <v>234</v>
      </c>
      <c r="B162" s="4">
        <v>0</v>
      </c>
      <c r="C162" s="4">
        <v>0</v>
      </c>
      <c r="D162" s="1">
        <f>IF('исходные данные'!D162&gt;'минимумы и максимумы'!B$4,100,('исходные данные'!D162-'минимумы и максимумы'!B$2)/('минимумы и максимумы'!B$4-'минимумы и максимумы'!B$2)*100)</f>
        <v>0</v>
      </c>
      <c r="E162" s="1">
        <f>IF('исходные данные'!E162&gt;'минимумы и максимумы'!C$4,100,('исходные данные'!E162-'минимумы и максимумы'!C$2)/('минимумы и максимумы'!C$4-'минимумы и максимумы'!C$2)*100)</f>
        <v>18.75</v>
      </c>
      <c r="F162" s="1">
        <f>IF('исходные данные'!F162&gt;'минимумы и максимумы'!D$4,100,('исходные данные'!F162-'минимумы и максимумы'!D$2)/('минимумы и максимумы'!D$4-'минимумы и максимумы'!D$2)*100)</f>
        <v>0</v>
      </c>
      <c r="G162" s="1">
        <f>IF('исходные данные'!G162&gt;'минимумы и максимумы'!E$4,100,('исходные данные'!G162-'минимумы и максимумы'!E$2)/('минимумы и максимумы'!E$4-'минимумы и максимумы'!E$2)*100)</f>
        <v>27.027027027027028</v>
      </c>
      <c r="H162" s="1">
        <f>IF('исходные данные'!H162&gt;'минимумы и максимумы'!F$4,100,('исходные данные'!H162-'минимумы и максимумы'!F$2)/('минимумы и максимумы'!F$4-'минимумы и максимумы'!F$2)*100)</f>
        <v>42.105263157894733</v>
      </c>
      <c r="I162" s="1">
        <f>IF('исходные данные'!I162&gt;'минимумы и максимумы'!G$4,100,('исходные данные'!I162-'минимумы и максимумы'!G$2)/('минимумы и максимумы'!G$4-'минимумы и максимумы'!G$2)*100)</f>
        <v>4.8192771084337354</v>
      </c>
      <c r="J162" s="1">
        <f>IF('исходные данные'!J162&gt;'минимумы и максимумы'!H$4,100,('исходные данные'!J162-'минимумы и максимумы'!H$2)/('минимумы и максимумы'!H$4-'минимумы и максимумы'!H$2)*100)</f>
        <v>0</v>
      </c>
      <c r="K162" s="1">
        <f>IF('исходные данные'!K162&gt;'минимумы и максимумы'!I$4,100,('исходные данные'!K162-'минимумы и максимумы'!I$2)/('минимумы и максимумы'!I$4-'минимумы и максимумы'!I$2)*100)</f>
        <v>3.5714285714285712</v>
      </c>
      <c r="L162" s="1">
        <f>IF('исходные данные'!L162&gt;'минимумы и максимумы'!J$4,100,('исходные данные'!L162-'минимумы и максимумы'!J$2)/('минимумы и максимумы'!J$4-'минимумы и максимумы'!J$2)*100)</f>
        <v>12.5</v>
      </c>
      <c r="M162" s="1">
        <f>IF('исходные данные'!M162&gt;'минимумы и максимумы'!K$4,100,('исходные данные'!M162-'минимумы и максимумы'!K$2)/('минимумы и максимумы'!K$4-'минимумы и максимумы'!K$2)*100)</f>
        <v>14.893617021276595</v>
      </c>
      <c r="N162" s="1">
        <f>IF('исходные данные'!N162&gt;'минимумы и максимумы'!L$4,100,('исходные данные'!N162-'минимумы и максимумы'!L$2)/('минимумы и максимумы'!L$4-'минимумы и максимумы'!L$2)*100)</f>
        <v>32.142649399162508</v>
      </c>
      <c r="O162" s="1">
        <f>IF('исходные данные'!O162&gt;'минимумы и максимумы'!M$4,100,('исходные данные'!O162-'минимумы и максимумы'!M$2)/('минимумы и максимумы'!M$4-'минимумы и максимумы'!M$2)*100)</f>
        <v>66.666666666666657</v>
      </c>
      <c r="P162" s="1">
        <f>IF('исходные данные'!P162&gt;'минимумы и максимумы'!N$4,100,('исходные данные'!P162-'минимумы и максимумы'!N$2)/('минимумы и максимумы'!N$4-'минимумы и максимумы'!N$2)*100)</f>
        <v>0</v>
      </c>
      <c r="Q162" s="1">
        <f>IF('исходные данные'!Q162&gt;'минимумы и максимумы'!O$4,100,('исходные данные'!Q162-'минимумы и максимумы'!O$2)/('минимумы и максимумы'!O$4-'минимумы и максимумы'!O$2)*100)</f>
        <v>0</v>
      </c>
      <c r="R162" s="1">
        <f>IF('исходные данные'!R162&gt;'минимумы и максимумы'!P$4,100,('исходные данные'!R162-'минимумы и максимумы'!P$2)/('минимумы и максимумы'!P$4-'минимумы и максимумы'!P$2)*100)</f>
        <v>50</v>
      </c>
      <c r="S162" s="1">
        <f>IF('исходные данные'!S162&gt;'минимумы и максимумы'!Q$4,100,('исходные данные'!S162-'минимумы и максимумы'!Q$2)/('минимумы и максимумы'!Q$4-'минимумы и максимумы'!Q$2)*100)</f>
        <v>11.111111111111111</v>
      </c>
      <c r="T162" s="1">
        <f>IF('исходные данные'!T162&gt;'минимумы и максимумы'!R$4,100,('исходные данные'!T162-'минимумы и максимумы'!R$2)/('минимумы и максимумы'!R$4-'минимумы и максимумы'!R$2)*100)</f>
        <v>84.723820483314142</v>
      </c>
      <c r="U162" s="1">
        <f>IF('исходные данные'!U162&gt;'минимумы и максимумы'!S$4,100,('исходные данные'!U162-'минимумы и максимумы'!S$2)/('минимумы и максимумы'!S$4-'минимумы и максимумы'!S$2)*100)</f>
        <v>66.666666666666657</v>
      </c>
    </row>
    <row r="163" spans="1:21" x14ac:dyDescent="0.45">
      <c r="A163" s="4">
        <v>237</v>
      </c>
      <c r="B163" s="4">
        <v>0</v>
      </c>
      <c r="C163" s="4">
        <v>0</v>
      </c>
      <c r="D163" s="1">
        <f>IF('исходные данные'!D163&gt;'минимумы и максимумы'!B$4,100,('исходные данные'!D163-'минимумы и максимумы'!B$2)/('минимумы и максимумы'!B$4-'минимумы и максимумы'!B$2)*100)</f>
        <v>12.5</v>
      </c>
      <c r="E163" s="1">
        <f>IF('исходные данные'!E163&gt;'минимумы и максимумы'!C$4,100,('исходные данные'!E163-'минимумы и максимумы'!C$2)/('минимумы и максимумы'!C$4-'минимумы и максимумы'!C$2)*100)</f>
        <v>6.25</v>
      </c>
      <c r="F163" s="1">
        <f>IF('исходные данные'!F163&gt;'минимумы и максимумы'!D$4,100,('исходные данные'!F163-'минимумы и максимумы'!D$2)/('минимумы и максимумы'!D$4-'минимумы и максимумы'!D$2)*100)</f>
        <v>0</v>
      </c>
      <c r="G163" s="1">
        <f>IF('исходные данные'!G163&gt;'минимумы и максимумы'!E$4,100,('исходные данные'!G163-'минимумы и максимумы'!E$2)/('минимумы и максимумы'!E$4-'минимумы и максимумы'!E$2)*100)</f>
        <v>2.7027027027027026</v>
      </c>
      <c r="H163" s="1">
        <f>IF('исходные данные'!H163&gt;'минимумы и максимумы'!F$4,100,('исходные данные'!H163-'минимумы и максимумы'!F$2)/('минимумы и максимумы'!F$4-'минимумы и максимумы'!F$2)*100)</f>
        <v>2.6315789473684208</v>
      </c>
      <c r="I163" s="1">
        <f>IF('исходные данные'!I163&gt;'минимумы и максимумы'!G$4,100,('исходные данные'!I163-'минимумы и максимумы'!G$2)/('минимумы и максимумы'!G$4-'минимумы и максимумы'!G$2)*100)</f>
        <v>2.4096385542168677</v>
      </c>
      <c r="J163" s="1">
        <f>IF('исходные данные'!J163&gt;'минимумы и максимумы'!H$4,100,('исходные данные'!J163-'минимумы и максимумы'!H$2)/('минимумы и максимумы'!H$4-'минимумы и максимумы'!H$2)*100)</f>
        <v>4.1666666666666661</v>
      </c>
      <c r="K163" s="1">
        <f>IF('исходные данные'!K163&gt;'минимумы и максимумы'!I$4,100,('исходные данные'!K163-'минимумы и максимумы'!I$2)/('минимумы и максимумы'!I$4-'минимумы и максимумы'!I$2)*100)</f>
        <v>0</v>
      </c>
      <c r="L163" s="1">
        <f>IF('исходные данные'!L163&gt;'минимумы и максимумы'!J$4,100,('исходные данные'!L163-'минимумы и максимумы'!J$2)/('минимумы и максимумы'!J$4-'минимумы и максимумы'!J$2)*100)</f>
        <v>0</v>
      </c>
      <c r="M163" s="1">
        <f>IF('исходные данные'!M163&gt;'минимумы и максимумы'!K$4,100,('исходные данные'!M163-'минимумы и максимумы'!K$2)/('минимумы и максимумы'!K$4-'минимумы и максимумы'!K$2)*100)</f>
        <v>4.2553191489361701</v>
      </c>
      <c r="N163" s="1">
        <f>IF('исходные данные'!N163&gt;'минимумы и максимумы'!L$4,100,('исходные данные'!N163-'минимумы и максимумы'!L$2)/('минимумы и максимумы'!L$4-'минимумы и максимумы'!L$2)*100)</f>
        <v>39.609493800058438</v>
      </c>
      <c r="O163" s="1">
        <f>IF('исходные данные'!O163&gt;'минимумы и максимумы'!M$4,100,('исходные данные'!O163-'минимумы и максимумы'!M$2)/('минимумы и максимумы'!M$4-'минимумы и максимумы'!M$2)*100)</f>
        <v>66.666666666666657</v>
      </c>
      <c r="P163" s="1">
        <f>IF('исходные данные'!P163&gt;'минимумы и максимумы'!N$4,100,('исходные данные'!P163-'минимумы и максимумы'!N$2)/('минимумы и максимумы'!N$4-'минимумы и максимумы'!N$2)*100)</f>
        <v>0</v>
      </c>
      <c r="Q163" s="1">
        <f>IF('исходные данные'!Q163&gt;'минимумы и максимумы'!O$4,100,('исходные данные'!Q163-'минимумы и максимумы'!O$2)/('минимумы и максимумы'!O$4-'минимумы и максимумы'!O$2)*100)</f>
        <v>100</v>
      </c>
      <c r="R163" s="1">
        <f>IF('исходные данные'!R163&gt;'минимумы и максимумы'!P$4,100,('исходные данные'!R163-'минимумы и максимумы'!P$2)/('минимумы и максимумы'!P$4-'минимумы и максимумы'!P$2)*100)</f>
        <v>100</v>
      </c>
      <c r="S163" s="1">
        <f>IF('исходные данные'!S163&gt;'минимумы и максимумы'!Q$4,100,('исходные данные'!S163-'минимумы и максимумы'!Q$2)/('минимумы и максимумы'!Q$4-'минимумы и максимумы'!Q$2)*100)</f>
        <v>22.222222222222221</v>
      </c>
      <c r="T163" s="1">
        <f>IF('исходные данные'!T163&gt;'минимумы и максимумы'!R$4,100,('исходные данные'!T163-'минимумы и максимумы'!R$2)/('минимумы и максимумы'!R$4-'минимумы и максимумы'!R$2)*100)</f>
        <v>1.3233601841196778</v>
      </c>
      <c r="U163" s="1">
        <f>IF('исходные данные'!U163&gt;'минимумы и максимумы'!S$4,100,('исходные данные'!U163-'минимумы и максимумы'!S$2)/('минимумы и максимумы'!S$4-'минимумы и максимумы'!S$2)*100)</f>
        <v>0</v>
      </c>
    </row>
    <row r="164" spans="1:21" x14ac:dyDescent="0.45">
      <c r="A164" s="4">
        <v>238</v>
      </c>
      <c r="B164" s="4">
        <v>0</v>
      </c>
      <c r="C164" s="4">
        <v>0</v>
      </c>
      <c r="D164" s="1">
        <f>IF('исходные данные'!D164&gt;'минимумы и максимумы'!B$4,100,('исходные данные'!D164-'минимумы и максимумы'!B$2)/('минимумы и максимумы'!B$4-'минимумы и максимумы'!B$2)*100)</f>
        <v>25</v>
      </c>
      <c r="E164" s="1">
        <f>IF('исходные данные'!E164&gt;'минимумы и максимумы'!C$4,100,('исходные данные'!E164-'минимумы и максимумы'!C$2)/('минимумы и максимумы'!C$4-'минимумы и максимумы'!C$2)*100)</f>
        <v>12.5</v>
      </c>
      <c r="F164" s="1">
        <f>IF('исходные данные'!F164&gt;'минимумы и максимумы'!D$4,100,('исходные данные'!F164-'минимумы и максимумы'!D$2)/('минимумы и максимумы'!D$4-'минимумы и максимумы'!D$2)*100)</f>
        <v>0</v>
      </c>
      <c r="G164" s="1">
        <f>IF('исходные данные'!G164&gt;'минимумы и максимумы'!E$4,100,('исходные данные'!G164-'минимумы и максимумы'!E$2)/('минимумы и максимумы'!E$4-'минимумы и максимумы'!E$2)*100)</f>
        <v>2.7027027027027026</v>
      </c>
      <c r="H164" s="1">
        <f>IF('исходные данные'!H164&gt;'минимумы и максимумы'!F$4,100,('исходные данные'!H164-'минимумы и максимумы'!F$2)/('минимумы и максимумы'!F$4-'минимумы и максимумы'!F$2)*100)</f>
        <v>2.6315789473684208</v>
      </c>
      <c r="I164" s="1">
        <f>IF('исходные данные'!I164&gt;'минимумы и максимумы'!G$4,100,('исходные данные'!I164-'минимумы и максимумы'!G$2)/('минимумы и максимумы'!G$4-'минимумы и максимумы'!G$2)*100)</f>
        <v>2.4096385542168677</v>
      </c>
      <c r="J164" s="1">
        <f>IF('исходные данные'!J164&gt;'минимумы и максимумы'!H$4,100,('исходные данные'!J164-'минимумы и максимумы'!H$2)/('минимумы и максимумы'!H$4-'минимумы и максимумы'!H$2)*100)</f>
        <v>4.1666666666666661</v>
      </c>
      <c r="K164" s="1">
        <f>IF('исходные данные'!K164&gt;'минимумы и максимумы'!I$4,100,('исходные данные'!K164-'минимумы и максимумы'!I$2)/('минимумы и максимумы'!I$4-'минимумы и максимумы'!I$2)*100)</f>
        <v>0</v>
      </c>
      <c r="L164" s="1">
        <f>IF('исходные данные'!L164&gt;'минимумы и максимумы'!J$4,100,('исходные данные'!L164-'минимумы и максимумы'!J$2)/('минимумы и максимумы'!J$4-'минимумы и максимумы'!J$2)*100)</f>
        <v>0</v>
      </c>
      <c r="M164" s="1">
        <f>IF('исходные данные'!M164&gt;'минимумы и максимумы'!K$4,100,('исходные данные'!M164-'минимумы и максимумы'!K$2)/('минимумы и максимумы'!K$4-'минимумы и максимумы'!K$2)*100)</f>
        <v>4.2553191489361701</v>
      </c>
      <c r="N164" s="1">
        <f>IF('исходные данные'!N164&gt;'минимумы и максимумы'!L$4,100,('исходные данные'!N164-'минимумы и максимумы'!L$2)/('минимумы и максимумы'!L$4-'минимумы и максимумы'!L$2)*100)</f>
        <v>39.626537779432866</v>
      </c>
      <c r="O164" s="1">
        <f>IF('исходные данные'!O164&gt;'минимумы и максимумы'!M$4,100,('исходные данные'!O164-'минимумы и максимумы'!M$2)/('минимумы и максимумы'!M$4-'минимумы и максимумы'!M$2)*100)</f>
        <v>33.333333333333329</v>
      </c>
      <c r="P164" s="1">
        <f>IF('исходные данные'!P164&gt;'минимумы и максимумы'!N$4,100,('исходные данные'!P164-'минимумы и максимумы'!N$2)/('минимумы и максимумы'!N$4-'минимумы и максимумы'!N$2)*100)</f>
        <v>0</v>
      </c>
      <c r="Q164" s="1">
        <f>IF('исходные данные'!Q164&gt;'минимумы и максимумы'!O$4,100,('исходные данные'!Q164-'минимумы и максимумы'!O$2)/('минимумы и максимумы'!O$4-'минимумы и максимумы'!O$2)*100)</f>
        <v>100</v>
      </c>
      <c r="R164" s="1">
        <f>IF('исходные данные'!R164&gt;'минимумы и максимумы'!P$4,100,('исходные данные'!R164-'минимумы и максимумы'!P$2)/('минимумы и максимумы'!P$4-'минимумы и максимумы'!P$2)*100)</f>
        <v>100</v>
      </c>
      <c r="S164" s="1">
        <f>IF('исходные данные'!S164&gt;'минимумы и максимумы'!Q$4,100,('исходные данные'!S164-'минимумы и максимумы'!Q$2)/('минимумы и максимумы'!Q$4-'минимумы и максимумы'!Q$2)*100)</f>
        <v>22.222222222222221</v>
      </c>
      <c r="T164" s="1">
        <f>IF('исходные данные'!T164&gt;'минимумы и максимумы'!R$4,100,('исходные данные'!T164-'минимумы и максимумы'!R$2)/('минимумы и максимумы'!R$4-'минимумы и максимумы'!R$2)*100)</f>
        <v>3.1070195627157653</v>
      </c>
      <c r="U164" s="1">
        <f>IF('исходные данные'!U164&gt;'минимумы и максимумы'!S$4,100,('исходные данные'!U164-'минимумы и максимумы'!S$2)/('минимумы и максимумы'!S$4-'минимумы и максимумы'!S$2)*100)</f>
        <v>0</v>
      </c>
    </row>
    <row r="165" spans="1:21" x14ac:dyDescent="0.45">
      <c r="A165" s="4">
        <v>239</v>
      </c>
      <c r="B165" s="4">
        <v>1</v>
      </c>
      <c r="C165" s="4">
        <v>0</v>
      </c>
      <c r="D165" s="1">
        <f>IF('исходные данные'!D165&gt;'минимумы и максимумы'!B$4,100,('исходные данные'!D165-'минимумы и максимумы'!B$2)/('минимумы и максимумы'!B$4-'минимумы и максимумы'!B$2)*100)</f>
        <v>12.5</v>
      </c>
      <c r="E165" s="1">
        <f>IF('исходные данные'!E165&gt;'минимумы и максимумы'!C$4,100,('исходные данные'!E165-'минимумы и максимумы'!C$2)/('минимумы и максимумы'!C$4-'минимумы и максимумы'!C$2)*100)</f>
        <v>12.5</v>
      </c>
      <c r="F165" s="1">
        <f>IF('исходные данные'!F165&gt;'минимумы и максимумы'!D$4,100,('исходные данные'!F165-'минимумы и максимумы'!D$2)/('минимумы и максимумы'!D$4-'минимумы и максимумы'!D$2)*100)</f>
        <v>0</v>
      </c>
      <c r="G165" s="1">
        <f>IF('исходные данные'!G165&gt;'минимумы и максимумы'!E$4,100,('исходные данные'!G165-'минимумы и максимумы'!E$2)/('минимумы и максимумы'!E$4-'минимумы и максимумы'!E$2)*100)</f>
        <v>0</v>
      </c>
      <c r="H165" s="1">
        <f>IF('исходные данные'!H165&gt;'минимумы и максимумы'!F$4,100,('исходные данные'!H165-'минимумы и максимумы'!F$2)/('минимумы и максимумы'!F$4-'минимумы и максимумы'!F$2)*100)</f>
        <v>5.2631578947368416</v>
      </c>
      <c r="I165" s="1">
        <f>IF('исходные данные'!I165&gt;'минимумы и максимумы'!G$4,100,('исходные данные'!I165-'минимумы и максимумы'!G$2)/('минимумы и максимумы'!G$4-'минимумы и максимумы'!G$2)*100)</f>
        <v>6.024096385542169</v>
      </c>
      <c r="J165" s="1">
        <f>IF('исходные данные'!J165&gt;'минимумы и максимумы'!H$4,100,('исходные данные'!J165-'минимумы и максимумы'!H$2)/('минимумы и максимумы'!H$4-'минимумы и максимумы'!H$2)*100)</f>
        <v>4.1666666666666661</v>
      </c>
      <c r="K165" s="1">
        <f>IF('исходные данные'!K165&gt;'минимумы и максимумы'!I$4,100,('исходные данные'!K165-'минимумы и максимумы'!I$2)/('минимумы и максимумы'!I$4-'минимумы и максимумы'!I$2)*100)</f>
        <v>3.5714285714285712</v>
      </c>
      <c r="L165" s="1">
        <f>IF('исходные данные'!L165&gt;'минимумы и максимумы'!J$4,100,('исходные данные'!L165-'минимумы и максимумы'!J$2)/('минимумы и максимумы'!J$4-'минимумы и максимумы'!J$2)*100)</f>
        <v>0</v>
      </c>
      <c r="M165" s="1">
        <f>IF('исходные данные'!M165&gt;'минимумы и максимумы'!K$4,100,('исходные данные'!M165-'минимумы и максимумы'!K$2)/('минимумы и максимумы'!K$4-'минимумы и максимумы'!K$2)*100)</f>
        <v>10.638297872340425</v>
      </c>
      <c r="N165" s="1">
        <f>IF('исходные данные'!N165&gt;'минимумы и максимумы'!L$4,100,('исходные данные'!N165-'минимумы и максимумы'!L$2)/('минимумы и максимумы'!L$4-'минимумы и максимумы'!L$2)*100)</f>
        <v>45.359892563982193</v>
      </c>
      <c r="O165" s="1">
        <f>IF('исходные данные'!O165&gt;'минимумы и максимумы'!M$4,100,('исходные данные'!O165-'минимумы и максимумы'!M$2)/('минимумы и максимумы'!M$4-'минимумы и максимумы'!M$2)*100)</f>
        <v>100</v>
      </c>
      <c r="P165" s="1">
        <f>IF('исходные данные'!P165&gt;'минимумы и максимумы'!N$4,100,('исходные данные'!P165-'минимумы и максимумы'!N$2)/('минимумы и максимумы'!N$4-'минимумы и максимумы'!N$2)*100)</f>
        <v>0</v>
      </c>
      <c r="Q165" s="1">
        <f>IF('исходные данные'!Q165&gt;'минимумы и максимумы'!O$4,100,('исходные данные'!Q165-'минимумы и максимумы'!O$2)/('минимумы и максимумы'!O$4-'минимумы и максимумы'!O$2)*100)</f>
        <v>0</v>
      </c>
      <c r="R165" s="1">
        <f>IF('исходные данные'!R165&gt;'минимумы и максимумы'!P$4,100,('исходные данные'!R165-'минимумы и максимумы'!P$2)/('минимумы и максимумы'!P$4-'минимумы и максимумы'!P$2)*100)</f>
        <v>25</v>
      </c>
      <c r="S165" s="1">
        <f>IF('исходные данные'!S165&gt;'минимумы и максимумы'!Q$4,100,('исходные данные'!S165-'минимумы и максимумы'!Q$2)/('минимумы и максимумы'!Q$4-'минимумы и максимумы'!Q$2)*100)</f>
        <v>55.555555555555557</v>
      </c>
      <c r="T165" s="1">
        <f>IF('исходные данные'!T165&gt;'минимумы и максимумы'!R$4,100,('исходные данные'!T165-'минимумы и максимумы'!R$2)/('минимумы и максимумы'!R$4-'минимумы и максимумы'!R$2)*100)</f>
        <v>100</v>
      </c>
      <c r="U165" s="1">
        <f>IF('исходные данные'!U165&gt;'минимумы и максимумы'!S$4,100,('исходные данные'!U165-'минимумы и максимумы'!S$2)/('минимумы и максимумы'!S$4-'минимумы и максимумы'!S$2)*100)</f>
        <v>0</v>
      </c>
    </row>
    <row r="166" spans="1:21" x14ac:dyDescent="0.45">
      <c r="A166" s="4">
        <v>240</v>
      </c>
      <c r="B166" s="4">
        <v>1</v>
      </c>
      <c r="C166" s="4">
        <v>0</v>
      </c>
      <c r="D166" s="1">
        <f>IF('исходные данные'!D166&gt;'минимумы и максимумы'!B$4,100,('исходные данные'!D166-'минимумы и максимумы'!B$2)/('минимумы и максимумы'!B$4-'минимумы и максимумы'!B$2)*100)</f>
        <v>0</v>
      </c>
      <c r="E166" s="1">
        <f>IF('исходные данные'!E166&gt;'минимумы и максимумы'!C$4,100,('исходные данные'!E166-'минимумы и максимумы'!C$2)/('минимумы и максимумы'!C$4-'минимумы и максимумы'!C$2)*100)</f>
        <v>12.5</v>
      </c>
      <c r="F166" s="1">
        <f>IF('исходные данные'!F166&gt;'минимумы и максимумы'!D$4,100,('исходные данные'!F166-'минимумы и максимумы'!D$2)/('минимумы и максимумы'!D$4-'минимумы и максимумы'!D$2)*100)</f>
        <v>0</v>
      </c>
      <c r="G166" s="1">
        <f>IF('исходные данные'!G166&gt;'минимумы и максимумы'!E$4,100,('исходные данные'!G166-'минимумы и максимумы'!E$2)/('минимумы и максимумы'!E$4-'минимумы и максимумы'!E$2)*100)</f>
        <v>5.4054054054054053</v>
      </c>
      <c r="H166" s="1">
        <f>IF('исходные данные'!H166&gt;'минимумы и максимумы'!F$4,100,('исходные данные'!H166-'минимумы и максимумы'!F$2)/('минимумы и максимумы'!F$4-'минимумы и максимумы'!F$2)*100)</f>
        <v>5.2631578947368416</v>
      </c>
      <c r="I166" s="1">
        <f>IF('исходные данные'!I166&gt;'минимумы и максимумы'!G$4,100,('исходные данные'!I166-'минимумы и максимумы'!G$2)/('минимумы и максимумы'!G$4-'минимумы и максимумы'!G$2)*100)</f>
        <v>3.6144578313253009</v>
      </c>
      <c r="J166" s="1">
        <f>IF('исходные данные'!J166&gt;'минимумы и максимумы'!H$4,100,('исходные данные'!J166-'минимумы и максимумы'!H$2)/('минимумы и максимумы'!H$4-'минимумы и максимумы'!H$2)*100)</f>
        <v>0</v>
      </c>
      <c r="K166" s="1">
        <f>IF('исходные данные'!K166&gt;'минимумы и максимумы'!I$4,100,('исходные данные'!K166-'минимумы и максимумы'!I$2)/('минимумы и максимумы'!I$4-'минимумы и максимумы'!I$2)*100)</f>
        <v>0</v>
      </c>
      <c r="L166" s="1">
        <f>IF('исходные данные'!L166&gt;'минимумы и максимумы'!J$4,100,('исходные данные'!L166-'минимумы и максимумы'!J$2)/('минимумы и максимумы'!J$4-'минимумы и максимумы'!J$2)*100)</f>
        <v>0</v>
      </c>
      <c r="M166" s="1">
        <f>IF('исходные данные'!M166&gt;'минимумы и максимумы'!K$4,100,('исходные данные'!M166-'минимумы и максимумы'!K$2)/('минимумы и максимумы'!K$4-'минимумы и максимумы'!K$2)*100)</f>
        <v>6.3829787234042552</v>
      </c>
      <c r="N166" s="1">
        <f>IF('исходные данные'!N166&gt;'минимумы и максимумы'!L$4,100,('исходные данные'!N166-'минимумы и максимумы'!L$2)/('минимумы и максимумы'!L$4-'минимумы и максимумы'!L$2)*100)</f>
        <v>51.272463121775012</v>
      </c>
      <c r="O166" s="1">
        <f>IF('исходные данные'!O166&gt;'минимумы и максимумы'!M$4,100,('исходные данные'!O166-'минимумы и максимумы'!M$2)/('минимумы и максимумы'!M$4-'минимумы и максимумы'!M$2)*100)</f>
        <v>100</v>
      </c>
      <c r="P166" s="1">
        <f>IF('исходные данные'!P166&gt;'минимумы и максимумы'!N$4,100,('исходные данные'!P166-'минимумы и максимумы'!N$2)/('минимумы и максимумы'!N$4-'минимумы и максимумы'!N$2)*100)</f>
        <v>0</v>
      </c>
      <c r="Q166" s="1">
        <f>IF('исходные данные'!Q166&gt;'минимумы и максимумы'!O$4,100,('исходные данные'!Q166-'минимумы и максимумы'!O$2)/('минимумы и максимумы'!O$4-'минимумы и максимумы'!O$2)*100)</f>
        <v>100</v>
      </c>
      <c r="R166" s="1">
        <f>IF('исходные данные'!R166&gt;'минимумы и максимумы'!P$4,100,('исходные данные'!R166-'минимумы и максимумы'!P$2)/('минимумы и максимумы'!P$4-'минимумы и максимумы'!P$2)*100)</f>
        <v>50</v>
      </c>
      <c r="S166" s="1">
        <f>IF('исходные данные'!S166&gt;'минимумы и максимумы'!Q$4,100,('исходные данные'!S166-'минимумы и максимумы'!Q$2)/('минимумы и максимумы'!Q$4-'минимумы и максимумы'!Q$2)*100)</f>
        <v>11.111111111111111</v>
      </c>
      <c r="T166" s="1">
        <f>IF('исходные данные'!T166&gt;'минимумы и максимумы'!R$4,100,('исходные данные'!T166-'минимумы и максимумы'!R$2)/('минимумы и максимумы'!R$4-'минимумы и максимумы'!R$2)*100)</f>
        <v>19.533947065592635</v>
      </c>
      <c r="U166" s="1">
        <f>IF('исходные данные'!U166&gt;'минимумы и максимумы'!S$4,100,('исходные данные'!U166-'минимумы и максимумы'!S$2)/('минимумы и максимумы'!S$4-'минимумы и максимумы'!S$2)*100)</f>
        <v>66.666666666666657</v>
      </c>
    </row>
    <row r="167" spans="1:21" x14ac:dyDescent="0.45">
      <c r="A167" s="4">
        <v>241</v>
      </c>
      <c r="B167" s="4">
        <v>0</v>
      </c>
      <c r="C167" s="4">
        <v>0</v>
      </c>
      <c r="D167" s="1">
        <f>IF('исходные данные'!D167&gt;'минимумы и максимумы'!B$4,100,('исходные данные'!D167-'минимумы и максимумы'!B$2)/('минимумы и максимумы'!B$4-'минимумы и максимумы'!B$2)*100)</f>
        <v>12.5</v>
      </c>
      <c r="E167" s="1">
        <f>IF('исходные данные'!E167&gt;'минимумы и максимумы'!C$4,100,('исходные данные'!E167-'минимумы и максимумы'!C$2)/('минимумы и максимумы'!C$4-'минимумы и максимумы'!C$2)*100)</f>
        <v>37.5</v>
      </c>
      <c r="F167" s="1">
        <f>IF('исходные данные'!F167&gt;'минимумы и максимумы'!D$4,100,('исходные данные'!F167-'минимумы и максимумы'!D$2)/('минимумы и максимумы'!D$4-'минимумы и максимумы'!D$2)*100)</f>
        <v>25</v>
      </c>
      <c r="G167" s="1">
        <f>IF('исходные данные'!G167&gt;'минимумы и максимумы'!E$4,100,('исходные данные'!G167-'минимумы и максимумы'!E$2)/('минимумы и максимумы'!E$4-'минимумы и максимумы'!E$2)*100)</f>
        <v>48.648648648648653</v>
      </c>
      <c r="H167" s="1">
        <f>IF('исходные данные'!H167&gt;'минимумы и максимумы'!F$4,100,('исходные данные'!H167-'минимумы и максимумы'!F$2)/('минимумы и максимумы'!F$4-'минимумы и максимумы'!F$2)*100)</f>
        <v>44.736842105263158</v>
      </c>
      <c r="I167" s="1">
        <f>IF('исходные данные'!I167&gt;'минимумы и максимумы'!G$4,100,('исходные данные'!I167-'минимумы и максимумы'!G$2)/('минимумы и максимумы'!G$4-'минимумы и максимумы'!G$2)*100)</f>
        <v>8.4337349397590362</v>
      </c>
      <c r="J167" s="1">
        <f>IF('исходные данные'!J167&gt;'минимумы и максимумы'!H$4,100,('исходные данные'!J167-'минимумы и максимумы'!H$2)/('минимумы и максимумы'!H$4-'минимумы и максимумы'!H$2)*100)</f>
        <v>0</v>
      </c>
      <c r="K167" s="1">
        <f>IF('исходные данные'!K167&gt;'минимумы и максимумы'!I$4,100,('исходные данные'!K167-'минимумы и максимумы'!I$2)/('минимумы и максимумы'!I$4-'минимумы и максимумы'!I$2)*100)</f>
        <v>0</v>
      </c>
      <c r="L167" s="1">
        <f>IF('исходные данные'!L167&gt;'минимумы и максимумы'!J$4,100,('исходные данные'!L167-'минимумы и максимумы'!J$2)/('минимумы и максимумы'!J$4-'минимумы и максимумы'!J$2)*100)</f>
        <v>0</v>
      </c>
      <c r="M167" s="1">
        <f>IF('исходные данные'!M167&gt;'минимумы и максимумы'!K$4,100,('исходные данные'!M167-'минимумы и максимумы'!K$2)/('минимумы и максимумы'!K$4-'минимумы и максимумы'!K$2)*100)</f>
        <v>8.5106382978723403</v>
      </c>
      <c r="N167" s="1">
        <f>IF('исходные данные'!N167&gt;'минимумы и максимумы'!L$4,100,('исходные данные'!N167-'минимумы и максимумы'!L$2)/('минимумы и максимумы'!L$4-'минимумы и максимумы'!L$2)*100)</f>
        <v>49.93356304354905</v>
      </c>
      <c r="O167" s="1">
        <f>IF('исходные данные'!O167&gt;'минимумы и максимумы'!M$4,100,('исходные данные'!O167-'минимумы и максимумы'!M$2)/('минимумы и максимумы'!M$4-'минимумы и максимумы'!M$2)*100)</f>
        <v>33.333333333333329</v>
      </c>
      <c r="P167" s="1">
        <f>IF('исходные данные'!P167&gt;'минимумы и максимумы'!N$4,100,('исходные данные'!P167-'минимумы и максимумы'!N$2)/('минимумы и максимумы'!N$4-'минимумы и максимумы'!N$2)*100)</f>
        <v>0</v>
      </c>
      <c r="Q167" s="1">
        <f>IF('исходные данные'!Q167&gt;'минимумы и максимумы'!O$4,100,('исходные данные'!Q167-'минимумы и максимумы'!O$2)/('минимумы и максимумы'!O$4-'минимумы и максимумы'!O$2)*100)</f>
        <v>100</v>
      </c>
      <c r="R167" s="1">
        <f>IF('исходные данные'!R167&gt;'минимумы и максимумы'!P$4,100,('исходные данные'!R167-'минимумы и максимумы'!P$2)/('минимумы и максимумы'!P$4-'минимумы и максимумы'!P$2)*100)</f>
        <v>100</v>
      </c>
      <c r="S167" s="1">
        <f>IF('исходные данные'!S167&gt;'минимумы и максимумы'!Q$4,100,('исходные данные'!S167-'минимумы и максимумы'!Q$2)/('минимумы и максимумы'!Q$4-'минимумы и максимумы'!Q$2)*100)</f>
        <v>22.222222222222221</v>
      </c>
      <c r="T167" s="1">
        <f>IF('исходные данные'!T167&gt;'минимумы и максимумы'!R$4,100,('исходные данные'!T167-'минимумы и максимумы'!R$2)/('минимумы и максимумы'!R$4-'минимумы и максимумы'!R$2)*100)</f>
        <v>3.4522439585730722</v>
      </c>
      <c r="U167" s="1">
        <f>IF('исходные данные'!U167&gt;'минимумы и максимумы'!S$4,100,('исходные данные'!U167-'минимумы и максимумы'!S$2)/('минимумы и максимумы'!S$4-'минимумы и максимумы'!S$2)*100)</f>
        <v>0</v>
      </c>
    </row>
    <row r="168" spans="1:21" x14ac:dyDescent="0.45">
      <c r="A168" s="4">
        <v>242</v>
      </c>
      <c r="B168" s="4">
        <v>0</v>
      </c>
      <c r="C168" s="4">
        <v>0</v>
      </c>
      <c r="D168" s="1">
        <f>IF('исходные данные'!D168&gt;'минимумы и максимумы'!B$4,100,('исходные данные'!D168-'минимумы и максимумы'!B$2)/('минимумы и максимумы'!B$4-'минимумы и максимумы'!B$2)*100)</f>
        <v>12.5</v>
      </c>
      <c r="E168" s="1">
        <f>IF('исходные данные'!E168&gt;'минимумы и максимумы'!C$4,100,('исходные данные'!E168-'минимумы и максимумы'!C$2)/('минимумы и максимумы'!C$4-'минимумы и максимумы'!C$2)*100)</f>
        <v>37.5</v>
      </c>
      <c r="F168" s="1">
        <f>IF('исходные данные'!F168&gt;'минимумы и максимумы'!D$4,100,('исходные данные'!F168-'минимумы и максимумы'!D$2)/('минимумы и максимумы'!D$4-'минимумы и максимумы'!D$2)*100)</f>
        <v>25</v>
      </c>
      <c r="G168" s="1">
        <f>IF('исходные данные'!G168&gt;'минимумы и максимумы'!E$4,100,('исходные данные'!G168-'минимумы и максимумы'!E$2)/('минимумы и максимумы'!E$4-'минимумы и максимумы'!E$2)*100)</f>
        <v>48.648648648648653</v>
      </c>
      <c r="H168" s="1">
        <f>IF('исходные данные'!H168&gt;'минимумы и максимумы'!F$4,100,('исходные данные'!H168-'минимумы и максимумы'!F$2)/('минимумы и максимумы'!F$4-'минимумы и максимумы'!F$2)*100)</f>
        <v>44.736842105263158</v>
      </c>
      <c r="I168" s="1">
        <f>IF('исходные данные'!I168&gt;'минимумы и максимумы'!G$4,100,('исходные данные'!I168-'минимумы и максимумы'!G$2)/('минимумы и максимумы'!G$4-'минимумы и максимумы'!G$2)*100)</f>
        <v>8.4337349397590362</v>
      </c>
      <c r="J168" s="1">
        <f>IF('исходные данные'!J168&gt;'минимумы и максимумы'!H$4,100,('исходные данные'!J168-'минимумы и максимумы'!H$2)/('минимумы и максимумы'!H$4-'минимумы и максимумы'!H$2)*100)</f>
        <v>0</v>
      </c>
      <c r="K168" s="1">
        <f>IF('исходные данные'!K168&gt;'минимумы и максимумы'!I$4,100,('исходные данные'!K168-'минимумы и максимумы'!I$2)/('минимумы и максимумы'!I$4-'минимумы и максимумы'!I$2)*100)</f>
        <v>0</v>
      </c>
      <c r="L168" s="1">
        <f>IF('исходные данные'!L168&gt;'минимумы и максимумы'!J$4,100,('исходные данные'!L168-'минимумы и максимумы'!J$2)/('минимумы и максимумы'!J$4-'минимумы и максимумы'!J$2)*100)</f>
        <v>0</v>
      </c>
      <c r="M168" s="1">
        <f>IF('исходные данные'!M168&gt;'минимумы и максимумы'!K$4,100,('исходные данные'!M168-'минимумы и максимумы'!K$2)/('минимумы и максимумы'!K$4-'минимумы и максимумы'!K$2)*100)</f>
        <v>8.5106382978723403</v>
      </c>
      <c r="N168" s="1">
        <f>IF('исходные данные'!N168&gt;'минимумы и максимумы'!L$4,100,('исходные данные'!N168-'минимумы и максимумы'!L$2)/('минимумы и максимумы'!L$4-'минимумы и максимумы'!L$2)*100)</f>
        <v>50.118081985333205</v>
      </c>
      <c r="O168" s="1">
        <f>IF('исходные данные'!O168&gt;'минимумы и максимумы'!M$4,100,('исходные данные'!O168-'минимумы и максимумы'!M$2)/('минимумы и максимумы'!M$4-'минимумы и максимумы'!M$2)*100)</f>
        <v>100</v>
      </c>
      <c r="P168" s="1">
        <f>IF('исходные данные'!P168&gt;'минимумы и максимумы'!N$4,100,('исходные данные'!P168-'минимумы и максимумы'!N$2)/('минимумы и максимумы'!N$4-'минимумы и максимумы'!N$2)*100)</f>
        <v>0</v>
      </c>
      <c r="Q168" s="1">
        <f>IF('исходные данные'!Q168&gt;'минимумы и максимумы'!O$4,100,('исходные данные'!Q168-'минимумы и максимумы'!O$2)/('минимумы и максимумы'!O$4-'минимумы и максимумы'!O$2)*100)</f>
        <v>100</v>
      </c>
      <c r="R168" s="1">
        <f>IF('исходные данные'!R168&gt;'минимумы и максимумы'!P$4,100,('исходные данные'!R168-'минимумы и максимумы'!P$2)/('минимумы и максимумы'!P$4-'минимумы и максимумы'!P$2)*100)</f>
        <v>100</v>
      </c>
      <c r="S168" s="1">
        <f>IF('исходные данные'!S168&gt;'минимумы и максимумы'!Q$4,100,('исходные данные'!S168-'минимумы и максимумы'!Q$2)/('минимумы и максимумы'!Q$4-'минимумы и максимумы'!Q$2)*100)</f>
        <v>22.222222222222221</v>
      </c>
      <c r="T168" s="1">
        <f>IF('исходные данные'!T168&gt;'минимумы и максимумы'!R$4,100,('исходные данные'!T168-'минимумы и максимумы'!R$2)/('минимумы и максимумы'!R$4-'минимумы и максимумы'!R$2)*100)</f>
        <v>6.2140391254315306</v>
      </c>
      <c r="U168" s="1">
        <f>IF('исходные данные'!U168&gt;'минимумы и максимумы'!S$4,100,('исходные данные'!U168-'минимумы и максимумы'!S$2)/('минимумы и максимумы'!S$4-'минимумы и максимумы'!S$2)*100)</f>
        <v>33.333333333333329</v>
      </c>
    </row>
    <row r="169" spans="1:21" x14ac:dyDescent="0.45">
      <c r="A169" s="4">
        <v>244</v>
      </c>
      <c r="B169" s="4">
        <v>0</v>
      </c>
      <c r="C169" s="4">
        <v>0</v>
      </c>
      <c r="D169" s="1">
        <f>IF('исходные данные'!D169&gt;'минимумы и максимумы'!B$4,100,('исходные данные'!D169-'минимумы и максимумы'!B$2)/('минимумы и максимумы'!B$4-'минимумы и максимумы'!B$2)*100)</f>
        <v>0</v>
      </c>
      <c r="E169" s="1">
        <f>IF('исходные данные'!E169&gt;'минимумы и максимумы'!C$4,100,('исходные данные'!E169-'минимумы и максимумы'!C$2)/('минимумы и максимумы'!C$4-'минимумы и максимумы'!C$2)*100)</f>
        <v>0</v>
      </c>
      <c r="F169" s="1">
        <f>IF('исходные данные'!F169&gt;'минимумы и максимумы'!D$4,100,('исходные данные'!F169-'минимумы и максимумы'!D$2)/('минимумы и максимумы'!D$4-'минимумы и максимумы'!D$2)*100)</f>
        <v>0</v>
      </c>
      <c r="G169" s="1">
        <f>IF('исходные данные'!G169&gt;'минимумы и максимумы'!E$4,100,('исходные данные'!G169-'минимумы и максимумы'!E$2)/('минимумы и максимумы'!E$4-'минимумы и максимумы'!E$2)*100)</f>
        <v>0</v>
      </c>
      <c r="H169" s="1">
        <f>IF('исходные данные'!H169&gt;'минимумы и максимумы'!F$4,100,('исходные данные'!H169-'минимумы и максимумы'!F$2)/('минимумы и максимумы'!F$4-'минимумы и максимумы'!F$2)*100)</f>
        <v>0</v>
      </c>
      <c r="I169" s="1">
        <f>IF('исходные данные'!I169&gt;'минимумы и максимумы'!G$4,100,('исходные данные'!I169-'минимумы и максимумы'!G$2)/('минимумы и максимумы'!G$4-'минимумы и максимумы'!G$2)*100)</f>
        <v>0</v>
      </c>
      <c r="J169" s="1">
        <f>IF('исходные данные'!J169&gt;'минимумы и максимумы'!H$4,100,('исходные данные'!J169-'минимумы и максимумы'!H$2)/('минимумы и максимумы'!H$4-'минимумы и максимумы'!H$2)*100)</f>
        <v>0</v>
      </c>
      <c r="K169" s="1">
        <f>IF('исходные данные'!K169&gt;'минимумы и максимумы'!I$4,100,('исходные данные'!K169-'минимумы и максимумы'!I$2)/('минимумы и максимумы'!I$4-'минимумы и максимумы'!I$2)*100)</f>
        <v>0</v>
      </c>
      <c r="L169" s="1">
        <f>IF('исходные данные'!L169&gt;'минимумы и максимумы'!J$4,100,('исходные данные'!L169-'минимумы и максимумы'!J$2)/('минимумы и максимумы'!J$4-'минимумы и максимумы'!J$2)*100)</f>
        <v>0</v>
      </c>
      <c r="M169" s="1">
        <f>IF('исходные данные'!M169&gt;'минимумы и максимумы'!K$4,100,('исходные данные'!M169-'минимумы и максимумы'!K$2)/('минимумы и максимумы'!K$4-'минимумы и максимумы'!K$2)*100)</f>
        <v>0</v>
      </c>
      <c r="N169" s="1">
        <f>IF('исходные данные'!N169&gt;'минимумы и максимумы'!L$4,100,('исходные данные'!N169-'минимумы и максимумы'!L$2)/('минимумы и максимумы'!L$4-'минимумы и максимумы'!L$2)*100)</f>
        <v>50.52344660190321</v>
      </c>
      <c r="O169" s="1">
        <f>IF('исходные данные'!O169&gt;'минимумы и максимумы'!M$4,100,('исходные данные'!O169-'минимумы и максимумы'!M$2)/('минимумы и максимумы'!M$4-'минимумы и максимумы'!M$2)*100)</f>
        <v>66.666666666666657</v>
      </c>
      <c r="P169" s="1">
        <f>IF('исходные данные'!P169&gt;'минимумы и максимумы'!N$4,100,('исходные данные'!P169-'минимумы и максимумы'!N$2)/('минимумы и максимумы'!N$4-'минимумы и максимумы'!N$2)*100)</f>
        <v>0</v>
      </c>
      <c r="Q169" s="1">
        <f>IF('исходные данные'!Q169&gt;'минимумы и максимумы'!O$4,100,('исходные данные'!Q169-'минимумы и максимумы'!O$2)/('минимумы и максимумы'!O$4-'минимумы и максимумы'!O$2)*100)</f>
        <v>0</v>
      </c>
      <c r="R169" s="1">
        <f>IF('исходные данные'!R169&gt;'минимумы и максимумы'!P$4,100,('исходные данные'!R169-'минимумы и максимумы'!P$2)/('минимумы и максимумы'!P$4-'минимумы и максимумы'!P$2)*100)</f>
        <v>25</v>
      </c>
      <c r="S169" s="1">
        <f>IF('исходные данные'!S169&gt;'минимумы и максимумы'!Q$4,100,('исходные данные'!S169-'минимумы и максимумы'!Q$2)/('минимумы и максимумы'!Q$4-'минимумы и максимумы'!Q$2)*100)</f>
        <v>11.111111111111111</v>
      </c>
      <c r="T169" s="1">
        <f>IF('исходные данные'!T169&gt;'минимумы и максимумы'!R$4,100,('исходные данные'!T169-'минимумы и максимумы'!R$2)/('минимумы и максимумы'!R$4-'минимумы и максимумы'!R$2)*100)</f>
        <v>24.510932105868815</v>
      </c>
      <c r="U169" s="1">
        <f>IF('исходные данные'!U169&gt;'минимумы и максимумы'!S$4,100,('исходные данные'!U169-'минимумы и максимумы'!S$2)/('минимумы и максимумы'!S$4-'минимумы и максимумы'!S$2)*100)</f>
        <v>0</v>
      </c>
    </row>
    <row r="170" spans="1:21" x14ac:dyDescent="0.45">
      <c r="A170" s="4">
        <v>245</v>
      </c>
      <c r="B170" s="4">
        <v>0</v>
      </c>
      <c r="C170" s="4">
        <v>0</v>
      </c>
      <c r="D170" s="1">
        <f>IF('исходные данные'!D170&gt;'минимумы и максимумы'!B$4,100,('исходные данные'!D170-'минимумы и максимумы'!B$2)/('минимумы и максимумы'!B$4-'минимумы и максимумы'!B$2)*100)</f>
        <v>0</v>
      </c>
      <c r="E170" s="1">
        <f>IF('исходные данные'!E170&gt;'минимумы и максимумы'!C$4,100,('исходные данные'!E170-'минимумы и максимумы'!C$2)/('минимумы и максимумы'!C$4-'минимумы и максимумы'!C$2)*100)</f>
        <v>0</v>
      </c>
      <c r="F170" s="1">
        <f>IF('исходные данные'!F170&gt;'минимумы и максимумы'!D$4,100,('исходные данные'!F170-'минимумы и максимумы'!D$2)/('минимумы и максимумы'!D$4-'минимумы и максимумы'!D$2)*100)</f>
        <v>0</v>
      </c>
      <c r="G170" s="1">
        <f>IF('исходные данные'!G170&gt;'минимумы и максимумы'!E$4,100,('исходные данные'!G170-'минимумы и максимумы'!E$2)/('минимумы и максимумы'!E$4-'минимумы и максимумы'!E$2)*100)</f>
        <v>0</v>
      </c>
      <c r="H170" s="1">
        <f>IF('исходные данные'!H170&gt;'минимумы и максимумы'!F$4,100,('исходные данные'!H170-'минимумы и максимумы'!F$2)/('минимумы и максимумы'!F$4-'минимумы и максимумы'!F$2)*100)</f>
        <v>0</v>
      </c>
      <c r="I170" s="1">
        <f>IF('исходные данные'!I170&gt;'минимумы и максимумы'!G$4,100,('исходные данные'!I170-'минимумы и максимумы'!G$2)/('минимумы и максимумы'!G$4-'минимумы и максимумы'!G$2)*100)</f>
        <v>0</v>
      </c>
      <c r="J170" s="1">
        <f>IF('исходные данные'!J170&gt;'минимумы и максимумы'!H$4,100,('исходные данные'!J170-'минимумы и максимумы'!H$2)/('минимумы и максимумы'!H$4-'минимумы и максимумы'!H$2)*100)</f>
        <v>0</v>
      </c>
      <c r="K170" s="1">
        <f>IF('исходные данные'!K170&gt;'минимумы и максимумы'!I$4,100,('исходные данные'!K170-'минимумы и максимумы'!I$2)/('минимумы и максимумы'!I$4-'минимумы и максимумы'!I$2)*100)</f>
        <v>0</v>
      </c>
      <c r="L170" s="1">
        <f>IF('исходные данные'!L170&gt;'минимумы и максимумы'!J$4,100,('исходные данные'!L170-'минимумы и максимумы'!J$2)/('минимумы и максимумы'!J$4-'минимумы и максимумы'!J$2)*100)</f>
        <v>0</v>
      </c>
      <c r="M170" s="1">
        <f>IF('исходные данные'!M170&gt;'минимумы и максимумы'!K$4,100,('исходные данные'!M170-'минимумы и максимумы'!K$2)/('минимумы и максимумы'!K$4-'минимумы и максимумы'!K$2)*100)</f>
        <v>10.638297872340425</v>
      </c>
      <c r="N170" s="1">
        <f>IF('исходные данные'!N170&gt;'минимумы и максимумы'!L$4,100,('исходные данные'!N170-'минимумы и максимумы'!L$2)/('минимумы и максимумы'!L$4-'минимумы и максимумы'!L$2)*100)</f>
        <v>47.766718404470588</v>
      </c>
      <c r="O170" s="1">
        <f>IF('исходные данные'!O170&gt;'минимумы и максимумы'!M$4,100,('исходные данные'!O170-'минимумы и максимумы'!M$2)/('минимумы и максимумы'!M$4-'минимумы и максимумы'!M$2)*100)</f>
        <v>0</v>
      </c>
      <c r="P170" s="1">
        <f>IF('исходные данные'!P170&gt;'минимумы и максимумы'!N$4,100,('исходные данные'!P170-'минимумы и максимумы'!N$2)/('минимумы и максимумы'!N$4-'минимумы и максимумы'!N$2)*100)</f>
        <v>0</v>
      </c>
      <c r="Q170" s="1">
        <f>IF('исходные данные'!Q170&gt;'минимумы и максимумы'!O$4,100,('исходные данные'!Q170-'минимумы и максимумы'!O$2)/('минимумы и максимумы'!O$4-'минимумы и максимумы'!O$2)*100)</f>
        <v>0</v>
      </c>
      <c r="R170" s="1">
        <f>IF('исходные данные'!R170&gt;'минимумы и максимумы'!P$4,100,('исходные данные'!R170-'минимумы и максимумы'!P$2)/('минимумы и максимумы'!P$4-'минимумы и максимумы'!P$2)*100)</f>
        <v>25</v>
      </c>
      <c r="S170" s="1">
        <f>IF('исходные данные'!S170&gt;'минимумы и максимумы'!Q$4,100,('исходные данные'!S170-'минимумы и максимумы'!Q$2)/('минимумы и максимумы'!Q$4-'минимумы и максимумы'!Q$2)*100)</f>
        <v>11.111111111111111</v>
      </c>
      <c r="T170" s="1">
        <f>IF('исходные данные'!T170&gt;'минимумы и максимумы'!R$4,100,('исходные данные'!T170-'минимумы и максимумы'!R$2)/('минимумы и максимумы'!R$4-'минимумы и максимумы'!R$2)*100)</f>
        <v>2.6179516685845798</v>
      </c>
      <c r="U170" s="1">
        <f>IF('исходные данные'!U170&gt;'минимумы и максимумы'!S$4,100,('исходные данные'!U170-'минимумы и максимумы'!S$2)/('минимумы и максимумы'!S$4-'минимумы и максимумы'!S$2)*100)</f>
        <v>0</v>
      </c>
    </row>
    <row r="171" spans="1:21" x14ac:dyDescent="0.45">
      <c r="A171" s="4">
        <v>246</v>
      </c>
      <c r="B171" s="4">
        <v>0</v>
      </c>
      <c r="C171" s="4">
        <v>0</v>
      </c>
      <c r="D171" s="1">
        <f>IF('исходные данные'!D171&gt;'минимумы и максимумы'!B$4,100,('исходные данные'!D171-'минимумы и максимумы'!B$2)/('минимумы и максимумы'!B$4-'минимумы и максимумы'!B$2)*100)</f>
        <v>0</v>
      </c>
      <c r="E171" s="1">
        <f>IF('исходные данные'!E171&gt;'минимумы и максимумы'!C$4,100,('исходные данные'!E171-'минимумы и максимумы'!C$2)/('минимумы и максимумы'!C$4-'минимумы и максимумы'!C$2)*100)</f>
        <v>0</v>
      </c>
      <c r="F171" s="1">
        <f>IF('исходные данные'!F171&gt;'минимумы и максимумы'!D$4,100,('исходные данные'!F171-'минимумы и максимумы'!D$2)/('минимумы и максимумы'!D$4-'минимумы и максимумы'!D$2)*100)</f>
        <v>0</v>
      </c>
      <c r="G171" s="1">
        <f>IF('исходные данные'!G171&gt;'минимумы и максимумы'!E$4,100,('исходные данные'!G171-'минимумы и максимумы'!E$2)/('минимумы и максимумы'!E$4-'минимумы и максимумы'!E$2)*100)</f>
        <v>0</v>
      </c>
      <c r="H171" s="1">
        <f>IF('исходные данные'!H171&gt;'минимумы и максимумы'!F$4,100,('исходные данные'!H171-'минимумы и максимумы'!F$2)/('минимумы и максимумы'!F$4-'минимумы и максимумы'!F$2)*100)</f>
        <v>0</v>
      </c>
      <c r="I171" s="1">
        <f>IF('исходные данные'!I171&gt;'минимумы и максимумы'!G$4,100,('исходные данные'!I171-'минимумы и максимумы'!G$2)/('минимумы и максимумы'!G$4-'минимумы и максимумы'!G$2)*100)</f>
        <v>0</v>
      </c>
      <c r="J171" s="1">
        <f>IF('исходные данные'!J171&gt;'минимумы и максимумы'!H$4,100,('исходные данные'!J171-'минимумы и максимумы'!H$2)/('минимумы и максимумы'!H$4-'минимумы и максимумы'!H$2)*100)</f>
        <v>4.1666666666666661</v>
      </c>
      <c r="K171" s="1">
        <f>IF('исходные данные'!K171&gt;'минимумы и максимумы'!I$4,100,('исходные данные'!K171-'минимумы и максимумы'!I$2)/('минимумы и максимумы'!I$4-'минимумы и максимумы'!I$2)*100)</f>
        <v>3.5714285714285712</v>
      </c>
      <c r="L171" s="1">
        <f>IF('исходные данные'!L171&gt;'минимумы и максимумы'!J$4,100,('исходные данные'!L171-'минимумы и максимумы'!J$2)/('минимумы и максимумы'!J$4-'минимумы и максимумы'!J$2)*100)</f>
        <v>0</v>
      </c>
      <c r="M171" s="1">
        <f>IF('исходные данные'!M171&gt;'минимумы и максимумы'!K$4,100,('исходные данные'!M171-'минимумы и максимумы'!K$2)/('минимумы и максимумы'!K$4-'минимумы и максимумы'!K$2)*100)</f>
        <v>0</v>
      </c>
      <c r="N171" s="1">
        <f>IF('исходные данные'!N171&gt;'минимумы и максимумы'!L$4,100,('исходные данные'!N171-'минимумы и максимумы'!L$2)/('минимумы и максимумы'!L$4-'минимумы и максимумы'!L$2)*100)</f>
        <v>54.793280936488131</v>
      </c>
      <c r="O171" s="1">
        <f>IF('исходные данные'!O171&gt;'минимумы и максимумы'!M$4,100,('исходные данные'!O171-'минимумы и максимумы'!M$2)/('минимумы и максимумы'!M$4-'минимумы и максимумы'!M$2)*100)</f>
        <v>33.333333333333329</v>
      </c>
      <c r="P171" s="1">
        <f>IF('исходные данные'!P171&gt;'минимумы и максимумы'!N$4,100,('исходные данные'!P171-'минимумы и максимумы'!N$2)/('минимумы и максимумы'!N$4-'минимумы и максимумы'!N$2)*100)</f>
        <v>0</v>
      </c>
      <c r="Q171" s="1">
        <f>IF('исходные данные'!Q171&gt;'минимумы и максимумы'!O$4,100,('исходные данные'!Q171-'минимумы и максимумы'!O$2)/('минимумы и максимумы'!O$4-'минимумы и максимумы'!O$2)*100)</f>
        <v>100</v>
      </c>
      <c r="R171" s="1">
        <f>IF('исходные данные'!R171&gt;'минимумы и максимумы'!P$4,100,('исходные данные'!R171-'минимумы и максимумы'!P$2)/('минимумы и максимумы'!P$4-'минимумы и максимумы'!P$2)*100)</f>
        <v>100</v>
      </c>
      <c r="S171" s="1">
        <f>IF('исходные данные'!S171&gt;'минимумы и максимумы'!Q$4,100,('исходные данные'!S171-'минимумы и максимумы'!Q$2)/('минимумы и максимумы'!Q$4-'минимумы и максимумы'!Q$2)*100)</f>
        <v>22.222222222222221</v>
      </c>
      <c r="T171" s="1">
        <f>IF('исходные данные'!T171&gt;'минимумы и максимумы'!R$4,100,('исходные данные'!T171-'минимумы и максимумы'!R$2)/('минимумы и максимумы'!R$4-'минимумы и максимумы'!R$2)*100)</f>
        <v>8.3716915995396999</v>
      </c>
      <c r="U171" s="1">
        <f>IF('исходные данные'!U171&gt;'минимумы и максимумы'!S$4,100,('исходные данные'!U171-'минимумы и максимумы'!S$2)/('минимумы и максимумы'!S$4-'минимумы и максимумы'!S$2)*100)</f>
        <v>0</v>
      </c>
    </row>
    <row r="172" spans="1:21" x14ac:dyDescent="0.45">
      <c r="A172" s="4">
        <v>248</v>
      </c>
      <c r="B172" s="4">
        <v>0</v>
      </c>
      <c r="C172" s="4">
        <v>0</v>
      </c>
      <c r="D172" s="1">
        <f>IF('исходные данные'!D172&gt;'минимумы и максимумы'!B$4,100,('исходные данные'!D172-'минимумы и максимумы'!B$2)/('минимумы и максимумы'!B$4-'минимумы и максимумы'!B$2)*100)</f>
        <v>0</v>
      </c>
      <c r="E172" s="1">
        <f>IF('исходные данные'!E172&gt;'минимумы и максимумы'!C$4,100,('исходные данные'!E172-'минимумы и максимумы'!C$2)/('минимумы и максимумы'!C$4-'минимумы и максимумы'!C$2)*100)</f>
        <v>0</v>
      </c>
      <c r="F172" s="1">
        <f>IF('исходные данные'!F172&gt;'минимумы и максимумы'!D$4,100,('исходные данные'!F172-'минимумы и максимумы'!D$2)/('минимумы и максимумы'!D$4-'минимумы и максимумы'!D$2)*100)</f>
        <v>0</v>
      </c>
      <c r="G172" s="1">
        <f>IF('исходные данные'!G172&gt;'минимумы и максимумы'!E$4,100,('исходные данные'!G172-'минимумы и максимумы'!E$2)/('минимумы и максимумы'!E$4-'минимумы и максимумы'!E$2)*100)</f>
        <v>0</v>
      </c>
      <c r="H172" s="1">
        <f>IF('исходные данные'!H172&gt;'минимумы и максимумы'!F$4,100,('исходные данные'!H172-'минимумы и максимумы'!F$2)/('минимумы и максимумы'!F$4-'минимумы и максимумы'!F$2)*100)</f>
        <v>0</v>
      </c>
      <c r="I172" s="1">
        <f>IF('исходные данные'!I172&gt;'минимумы и максимумы'!G$4,100,('исходные данные'!I172-'минимумы и максимумы'!G$2)/('минимумы и максимумы'!G$4-'минимумы и максимумы'!G$2)*100)</f>
        <v>0</v>
      </c>
      <c r="J172" s="1">
        <f>IF('исходные данные'!J172&gt;'минимумы и максимумы'!H$4,100,('исходные данные'!J172-'минимумы и максимумы'!H$2)/('минимумы и максимумы'!H$4-'минимумы и максимумы'!H$2)*100)</f>
        <v>0</v>
      </c>
      <c r="K172" s="1">
        <f>IF('исходные данные'!K172&gt;'минимумы и максимумы'!I$4,100,('исходные данные'!K172-'минимумы и максимумы'!I$2)/('минимумы и максимумы'!I$4-'минимумы и максимумы'!I$2)*100)</f>
        <v>0</v>
      </c>
      <c r="L172" s="1">
        <f>IF('исходные данные'!L172&gt;'минимумы и максимумы'!J$4,100,('исходные данные'!L172-'минимумы и максимумы'!J$2)/('минимумы и максимумы'!J$4-'минимумы и максимумы'!J$2)*100)</f>
        <v>0</v>
      </c>
      <c r="M172" s="1">
        <f>IF('исходные данные'!M172&gt;'минимумы и максимумы'!K$4,100,('исходные данные'!M172-'минимумы и максимумы'!K$2)/('минимумы и максимумы'!K$4-'минимумы и максимумы'!K$2)*100)</f>
        <v>4.2553191489361701</v>
      </c>
      <c r="N172" s="1">
        <f>IF('исходные данные'!N172&gt;'минимумы и максимумы'!L$4,100,('исходные данные'!N172-'минимумы и максимумы'!L$2)/('минимумы и максимумы'!L$4-'минимумы и максимумы'!L$2)*100)</f>
        <v>49.11581874840126</v>
      </c>
      <c r="O172" s="1">
        <f>IF('исходные данные'!O172&gt;'минимумы и максимумы'!M$4,100,('исходные данные'!O172-'минимумы и максимумы'!M$2)/('минимумы и максимумы'!M$4-'минимумы и максимумы'!M$2)*100)</f>
        <v>33.333333333333329</v>
      </c>
      <c r="P172" s="1">
        <f>IF('исходные данные'!P172&gt;'минимумы и максимумы'!N$4,100,('исходные данные'!P172-'минимумы и максимумы'!N$2)/('минимумы и максимумы'!N$4-'минимумы и максимумы'!N$2)*100)</f>
        <v>0</v>
      </c>
      <c r="Q172" s="1">
        <f>IF('исходные данные'!Q172&gt;'минимумы и максимумы'!O$4,100,('исходные данные'!Q172-'минимумы и максимумы'!O$2)/('минимумы и максимумы'!O$4-'минимумы и максимумы'!O$2)*100)</f>
        <v>0</v>
      </c>
      <c r="R172" s="1">
        <f>IF('исходные данные'!R172&gt;'минимумы и максимумы'!P$4,100,('исходные данные'!R172-'минимумы и максимумы'!P$2)/('минимумы и максимумы'!P$4-'минимумы и максимумы'!P$2)*100)</f>
        <v>50</v>
      </c>
      <c r="S172" s="1">
        <f>IF('исходные данные'!S172&gt;'минимумы и максимумы'!Q$4,100,('исходные данные'!S172-'минимумы и максимумы'!Q$2)/('минимумы и максимумы'!Q$4-'минимумы и максимумы'!Q$2)*100)</f>
        <v>11.111111111111111</v>
      </c>
      <c r="T172" s="1">
        <f>IF('исходные данные'!T172&gt;'минимумы и максимумы'!R$4,100,('исходные данные'!T172-'минимумы и максимумы'!R$2)/('минимумы и максимумы'!R$4-'минимумы и максимумы'!R$2)*100)</f>
        <v>8.8032220943613346</v>
      </c>
      <c r="U172" s="1">
        <f>IF('исходные данные'!U172&gt;'минимумы и максимумы'!S$4,100,('исходные данные'!U172-'минимумы и максимумы'!S$2)/('минимумы и максимумы'!S$4-'минимумы и максимумы'!S$2)*100)</f>
        <v>66.666666666666657</v>
      </c>
    </row>
    <row r="173" spans="1:21" x14ac:dyDescent="0.45">
      <c r="A173" s="4">
        <v>249</v>
      </c>
      <c r="B173" s="4">
        <v>0</v>
      </c>
      <c r="C173" s="4">
        <v>0</v>
      </c>
      <c r="D173" s="1">
        <f>IF('исходные данные'!D173&gt;'минимумы и максимумы'!B$4,100,('исходные данные'!D173-'минимумы и максимумы'!B$2)/('минимумы и максимумы'!B$4-'минимумы и максимумы'!B$2)*100)</f>
        <v>0</v>
      </c>
      <c r="E173" s="1">
        <f>IF('исходные данные'!E173&gt;'минимумы и максимумы'!C$4,100,('исходные данные'!E173-'минимумы и максимумы'!C$2)/('минимумы и максимумы'!C$4-'минимумы и максимумы'!C$2)*100)</f>
        <v>0</v>
      </c>
      <c r="F173" s="1">
        <f>IF('исходные данные'!F173&gt;'минимумы и максимумы'!D$4,100,('исходные данные'!F173-'минимумы и максимумы'!D$2)/('минимумы и максимумы'!D$4-'минимумы и максимумы'!D$2)*100)</f>
        <v>0</v>
      </c>
      <c r="G173" s="1">
        <f>IF('исходные данные'!G173&gt;'минимумы и максимумы'!E$4,100,('исходные данные'!G173-'минимумы и максимумы'!E$2)/('минимумы и максимумы'!E$4-'минимумы и максимумы'!E$2)*100)</f>
        <v>0</v>
      </c>
      <c r="H173" s="1">
        <f>IF('исходные данные'!H173&gt;'минимумы и максимумы'!F$4,100,('исходные данные'!H173-'минимумы и максимумы'!F$2)/('минимумы и максимумы'!F$4-'минимумы и максимумы'!F$2)*100)</f>
        <v>0</v>
      </c>
      <c r="I173" s="1">
        <f>IF('исходные данные'!I173&gt;'минимумы и максимумы'!G$4,100,('исходные данные'!I173-'минимумы и максимумы'!G$2)/('минимумы и максимумы'!G$4-'минимумы и максимумы'!G$2)*100)</f>
        <v>0</v>
      </c>
      <c r="J173" s="1">
        <f>IF('исходные данные'!J173&gt;'минимумы и максимумы'!H$4,100,('исходные данные'!J173-'минимумы и максимумы'!H$2)/('минимумы и максимумы'!H$4-'минимумы и максимумы'!H$2)*100)</f>
        <v>0</v>
      </c>
      <c r="K173" s="1">
        <f>IF('исходные данные'!K173&gt;'минимумы и максимумы'!I$4,100,('исходные данные'!K173-'минимумы и максимумы'!I$2)/('минимумы и максимумы'!I$4-'минимумы и максимумы'!I$2)*100)</f>
        <v>0</v>
      </c>
      <c r="L173" s="1">
        <f>IF('исходные данные'!L173&gt;'минимумы и максимумы'!J$4,100,('исходные данные'!L173-'минимумы и максимумы'!J$2)/('минимумы и максимумы'!J$4-'минимумы и максимумы'!J$2)*100)</f>
        <v>0</v>
      </c>
      <c r="M173" s="1">
        <f>IF('исходные данные'!M173&gt;'минимумы и максимумы'!K$4,100,('исходные данные'!M173-'минимумы и максимумы'!K$2)/('минимумы и максимумы'!K$4-'минимумы и максимумы'!K$2)*100)</f>
        <v>0</v>
      </c>
      <c r="N173" s="1">
        <f>IF('исходные данные'!N173&gt;'минимумы и максимумы'!L$4,100,('исходные данные'!N173-'минимумы и максимумы'!L$2)/('минимумы и максимумы'!L$4-'минимумы и максимумы'!L$2)*100)</f>
        <v>54.104331993700974</v>
      </c>
      <c r="O173" s="1">
        <f>IF('исходные данные'!O173&gt;'минимумы и максимумы'!M$4,100,('исходные данные'!O173-'минимумы и максимумы'!M$2)/('минимумы и максимумы'!M$4-'минимумы и максимумы'!M$2)*100)</f>
        <v>33.333333333333329</v>
      </c>
      <c r="P173" s="1">
        <f>IF('исходные данные'!P173&gt;'минимумы и максимумы'!N$4,100,('исходные данные'!P173-'минимумы и максимумы'!N$2)/('минимумы и максимумы'!N$4-'минимумы и максимумы'!N$2)*100)</f>
        <v>0</v>
      </c>
      <c r="Q173" s="1">
        <f>IF('исходные данные'!Q173&gt;'минимумы и максимумы'!O$4,100,('исходные данные'!Q173-'минимумы и максимумы'!O$2)/('минимумы и максимумы'!O$4-'минимумы и максимумы'!O$2)*100)</f>
        <v>100</v>
      </c>
      <c r="R173" s="1">
        <f>IF('исходные данные'!R173&gt;'минимумы и максимумы'!P$4,100,('исходные данные'!R173-'минимумы и максимумы'!P$2)/('минимумы и максимумы'!P$4-'минимумы и максимумы'!P$2)*100)</f>
        <v>100</v>
      </c>
      <c r="S173" s="1">
        <f>IF('исходные данные'!S173&gt;'минимумы и максимумы'!Q$4,100,('исходные данные'!S173-'минимумы и максимумы'!Q$2)/('минимумы и максимумы'!Q$4-'минимумы и максимумы'!Q$2)*100)</f>
        <v>22.222222222222221</v>
      </c>
      <c r="T173" s="1">
        <f>IF('исходные данные'!T173&gt;'минимумы и максимумы'!R$4,100,('исходные данные'!T173-'минимумы и максимумы'!R$2)/('минимумы и максимумы'!R$4-'минимумы и максимумы'!R$2)*100)</f>
        <v>9.8388952819332562</v>
      </c>
      <c r="U173" s="1">
        <f>IF('исходные данные'!U173&gt;'минимумы и максимумы'!S$4,100,('исходные данные'!U173-'минимумы и максимумы'!S$2)/('минимумы и максимумы'!S$4-'минимумы и максимумы'!S$2)*100)</f>
        <v>33.333333333333329</v>
      </c>
    </row>
    <row r="174" spans="1:21" x14ac:dyDescent="0.45">
      <c r="A174" s="4">
        <v>250</v>
      </c>
      <c r="B174" s="4">
        <v>0</v>
      </c>
      <c r="C174" s="4">
        <v>1</v>
      </c>
      <c r="D174" s="1">
        <f>IF('исходные данные'!D174&gt;'минимумы и максимумы'!B$4,100,('исходные данные'!D174-'минимумы и максимумы'!B$2)/('минимумы и максимумы'!B$4-'минимумы и максимумы'!B$2)*100)</f>
        <v>0</v>
      </c>
      <c r="E174" s="1">
        <f>IF('исходные данные'!E174&gt;'минимумы и максимумы'!C$4,100,('исходные данные'!E174-'минимумы и максимумы'!C$2)/('минимумы и максимумы'!C$4-'минимумы и максимумы'!C$2)*100)</f>
        <v>6.25</v>
      </c>
      <c r="F174" s="1">
        <f>IF('исходные данные'!F174&gt;'минимумы и максимумы'!D$4,100,('исходные данные'!F174-'минимумы и максимумы'!D$2)/('минимумы и максимумы'!D$4-'минимумы и максимумы'!D$2)*100)</f>
        <v>0</v>
      </c>
      <c r="G174" s="1">
        <f>IF('исходные данные'!G174&gt;'минимумы и максимумы'!E$4,100,('исходные данные'!G174-'минимумы и максимумы'!E$2)/('минимумы и максимумы'!E$4-'минимумы и максимумы'!E$2)*100)</f>
        <v>0</v>
      </c>
      <c r="H174" s="1">
        <f>IF('исходные данные'!H174&gt;'минимумы и максимумы'!F$4,100,('исходные данные'!H174-'минимумы и максимумы'!F$2)/('минимумы и максимумы'!F$4-'минимумы и максимумы'!F$2)*100)</f>
        <v>10.526315789473683</v>
      </c>
      <c r="I174" s="1">
        <f>IF('исходные данные'!I174&gt;'минимумы и максимумы'!G$4,100,('исходные данные'!I174-'минимумы и максимумы'!G$2)/('минимумы и максимумы'!G$4-'минимумы и максимумы'!G$2)*100)</f>
        <v>19.277108433734941</v>
      </c>
      <c r="J174" s="1">
        <f>IF('исходные данные'!J174&gt;'минимумы и максимумы'!H$4,100,('исходные данные'!J174-'минимумы и максимумы'!H$2)/('минимумы и максимумы'!H$4-'минимумы и максимумы'!H$2)*100)</f>
        <v>0</v>
      </c>
      <c r="K174" s="1">
        <f>IF('исходные данные'!K174&gt;'минимумы и максимумы'!I$4,100,('исходные данные'!K174-'минимумы и максимумы'!I$2)/('минимумы и максимумы'!I$4-'минимумы и максимумы'!I$2)*100)</f>
        <v>14.285714285714285</v>
      </c>
      <c r="L174" s="1">
        <f>IF('исходные данные'!L174&gt;'минимумы и максимумы'!J$4,100,('исходные данные'!L174-'минимумы и максимумы'!J$2)/('минимумы и максимумы'!J$4-'минимумы и максимумы'!J$2)*100)</f>
        <v>12.5</v>
      </c>
      <c r="M174" s="1">
        <f>IF('исходные данные'!M174&gt;'минимумы и максимумы'!K$4,100,('исходные данные'!M174-'минимумы и максимумы'!K$2)/('минимумы и максимумы'!K$4-'минимумы и максимумы'!K$2)*100)</f>
        <v>25.531914893617021</v>
      </c>
      <c r="N174" s="1">
        <f>IF('исходные данные'!N174&gt;'минимумы и максимумы'!L$4,100,('исходные данные'!N174-'минимумы и максимумы'!L$2)/('минимумы и максимумы'!L$4-'минимумы и максимумы'!L$2)*100)</f>
        <v>18.680379042572948</v>
      </c>
      <c r="O174" s="1">
        <f>IF('исходные данные'!O174&gt;'минимумы и максимумы'!M$4,100,('исходные данные'!O174-'минимумы и максимумы'!M$2)/('минимумы и максимумы'!M$4-'минимумы и максимумы'!M$2)*100)</f>
        <v>100</v>
      </c>
      <c r="P174" s="1">
        <f>IF('исходные данные'!P174&gt;'минимумы и максимумы'!N$4,100,('исходные данные'!P174-'минимумы и максимумы'!N$2)/('минимумы и максимумы'!N$4-'минимумы и максимумы'!N$2)*100)</f>
        <v>100</v>
      </c>
      <c r="Q174" s="1">
        <f>IF('исходные данные'!Q174&gt;'минимумы и максимумы'!O$4,100,('исходные данные'!Q174-'минимумы и максимумы'!O$2)/('минимумы и максимумы'!O$4-'минимумы и максимумы'!O$2)*100)</f>
        <v>0</v>
      </c>
      <c r="R174" s="1">
        <f>IF('исходные данные'!R174&gt;'минимумы и максимумы'!P$4,100,('исходные данные'!R174-'минимумы и максимумы'!P$2)/('минимумы и максимумы'!P$4-'минимумы и максимумы'!P$2)*100)</f>
        <v>50</v>
      </c>
      <c r="S174" s="1">
        <f>IF('исходные данные'!S174&gt;'минимумы и максимумы'!Q$4,100,('исходные данные'!S174-'минимумы и максимумы'!Q$2)/('минимумы и максимумы'!Q$4-'минимумы и максимумы'!Q$2)*100)</f>
        <v>22.222222222222221</v>
      </c>
      <c r="T174" s="1">
        <f>IF('исходные данные'!T174&gt;'минимумы и максимумы'!R$4,100,('исходные данные'!T174-'минимумы и максимумы'!R$2)/('минимумы и максимумы'!R$4-'минимумы и максимумы'!R$2)*100)</f>
        <v>9.9827387802071339</v>
      </c>
      <c r="U174" s="1">
        <f>IF('исходные данные'!U174&gt;'минимумы и максимумы'!S$4,100,('исходные данные'!U174-'минимумы и максимумы'!S$2)/('минимумы и максимумы'!S$4-'минимумы и максимумы'!S$2)*100)</f>
        <v>0</v>
      </c>
    </row>
    <row r="175" spans="1:21" x14ac:dyDescent="0.45">
      <c r="A175" s="4">
        <v>253</v>
      </c>
      <c r="B175" s="4">
        <v>0</v>
      </c>
      <c r="C175" s="4">
        <v>0</v>
      </c>
      <c r="D175" s="1">
        <f>IF('исходные данные'!D175&gt;'минимумы и максимумы'!B$4,100,('исходные данные'!D175-'минимумы и максимумы'!B$2)/('минимумы и максимумы'!B$4-'минимумы и максимумы'!B$2)*100)</f>
        <v>12.5</v>
      </c>
      <c r="E175" s="1">
        <f>IF('исходные данные'!E175&gt;'минимумы и максимумы'!C$4,100,('исходные данные'!E175-'минимумы и максимумы'!C$2)/('минимумы и максимумы'!C$4-'минимумы и максимумы'!C$2)*100)</f>
        <v>0</v>
      </c>
      <c r="F175" s="1">
        <f>IF('исходные данные'!F175&gt;'минимумы и максимумы'!D$4,100,('исходные данные'!F175-'минимумы и максимумы'!D$2)/('минимумы и максимумы'!D$4-'минимумы и максимумы'!D$2)*100)</f>
        <v>25</v>
      </c>
      <c r="G175" s="1">
        <f>IF('исходные данные'!G175&gt;'минимумы и максимумы'!E$4,100,('исходные данные'!G175-'минимумы и максимумы'!E$2)/('минимумы и максимумы'!E$4-'минимумы и максимумы'!E$2)*100)</f>
        <v>2.7027027027027026</v>
      </c>
      <c r="H175" s="1">
        <f>IF('исходные данные'!H175&gt;'минимумы и максимумы'!F$4,100,('исходные данные'!H175-'минимумы и максимумы'!F$2)/('минимумы и максимумы'!F$4-'минимумы и максимумы'!F$2)*100)</f>
        <v>2.6315789473684208</v>
      </c>
      <c r="I175" s="1">
        <f>IF('исходные данные'!I175&gt;'минимумы и максимумы'!G$4,100,('исходные данные'!I175-'минимумы и максимумы'!G$2)/('минимумы и максимумы'!G$4-'минимумы и максимумы'!G$2)*100)</f>
        <v>6.024096385542169</v>
      </c>
      <c r="J175" s="1">
        <f>IF('исходные данные'!J175&gt;'минимумы и максимумы'!H$4,100,('исходные данные'!J175-'минимумы и максимумы'!H$2)/('минимумы и максимумы'!H$4-'минимумы и максимумы'!H$2)*100)</f>
        <v>8.3333333333333321</v>
      </c>
      <c r="K175" s="1">
        <f>IF('исходные данные'!K175&gt;'минимумы и максимумы'!I$4,100,('исходные данные'!K175-'минимумы и максимумы'!I$2)/('минимумы и максимумы'!I$4-'минимумы и максимумы'!I$2)*100)</f>
        <v>14.285714285714285</v>
      </c>
      <c r="L175" s="1">
        <f>IF('исходные данные'!L175&gt;'минимумы и максимумы'!J$4,100,('исходные данные'!L175-'минимумы и максимумы'!J$2)/('минимумы и максимумы'!J$4-'минимумы и максимумы'!J$2)*100)</f>
        <v>0</v>
      </c>
      <c r="M175" s="1">
        <f>IF('исходные данные'!M175&gt;'минимумы и максимумы'!K$4,100,('исходные данные'!M175-'минимумы и максимумы'!K$2)/('минимумы и максимумы'!K$4-'минимумы и максимумы'!K$2)*100)</f>
        <v>17.021276595744681</v>
      </c>
      <c r="N175" s="1">
        <f>IF('исходные данные'!N175&gt;'минимумы и максимумы'!L$4,100,('исходные данные'!N175-'минимумы и максимумы'!L$2)/('минимумы и максимумы'!L$4-'минимумы и максимумы'!L$2)*100)</f>
        <v>28.146891385801677</v>
      </c>
      <c r="O175" s="1">
        <f>IF('исходные данные'!O175&gt;'минимумы и максимумы'!M$4,100,('исходные данные'!O175-'минимумы и максимумы'!M$2)/('минимумы и максимумы'!M$4-'минимумы и максимумы'!M$2)*100)</f>
        <v>33.333333333333329</v>
      </c>
      <c r="P175" s="1">
        <f>IF('исходные данные'!P175&gt;'минимумы и максимумы'!N$4,100,('исходные данные'!P175-'минимумы и максимумы'!N$2)/('минимумы и максимумы'!N$4-'минимумы и максимумы'!N$2)*100)</f>
        <v>0</v>
      </c>
      <c r="Q175" s="1">
        <f>IF('исходные данные'!Q175&gt;'минимумы и максимумы'!O$4,100,('исходные данные'!Q175-'минимумы и максимумы'!O$2)/('минимумы и максимумы'!O$4-'минимумы и максимумы'!O$2)*100)</f>
        <v>100</v>
      </c>
      <c r="R175" s="1">
        <f>IF('исходные данные'!R175&gt;'минимумы и максимумы'!P$4,100,('исходные данные'!R175-'минимумы и максимумы'!P$2)/('минимумы и максимумы'!P$4-'минимумы и максимумы'!P$2)*100)</f>
        <v>75</v>
      </c>
      <c r="S175" s="1">
        <f>IF('исходные данные'!S175&gt;'минимумы и максимумы'!Q$4,100,('исходные данные'!S175-'минимумы и максимумы'!Q$2)/('минимумы и максимумы'!Q$4-'минимумы и максимумы'!Q$2)*100)</f>
        <v>22.222222222222221</v>
      </c>
      <c r="T175" s="1">
        <f>IF('исходные данные'!T175&gt;'минимумы и максимумы'!R$4,100,('исходные данные'!T175-'минимумы и максимумы'!R$2)/('минимумы и максимумы'!R$4-'минимумы и максимумы'!R$2)*100)</f>
        <v>4.0276179516685851</v>
      </c>
      <c r="U175" s="1">
        <f>IF('исходные данные'!U175&gt;'минимумы и максимумы'!S$4,100,('исходные данные'!U175-'минимумы и максимумы'!S$2)/('минимумы и максимумы'!S$4-'минимумы и максимумы'!S$2)*100)</f>
        <v>0</v>
      </c>
    </row>
    <row r="176" spans="1:21" x14ac:dyDescent="0.45">
      <c r="A176" s="4">
        <v>255</v>
      </c>
      <c r="B176" s="4">
        <v>0</v>
      </c>
      <c r="C176" s="4">
        <v>0</v>
      </c>
      <c r="D176" s="1">
        <f>IF('исходные данные'!D176&gt;'минимумы и максимумы'!B$4,100,('исходные данные'!D176-'минимумы и максимумы'!B$2)/('минимумы и максимумы'!B$4-'минимумы и максимумы'!B$2)*100)</f>
        <v>25</v>
      </c>
      <c r="E176" s="1">
        <f>IF('исходные данные'!E176&gt;'минимумы и максимумы'!C$4,100,('исходные данные'!E176-'минимумы и максимумы'!C$2)/('минимумы и максимумы'!C$4-'минимумы и максимумы'!C$2)*100)</f>
        <v>12.5</v>
      </c>
      <c r="F176" s="1">
        <f>IF('исходные данные'!F176&gt;'минимумы и максимумы'!D$4,100,('исходные данные'!F176-'минимумы и максимумы'!D$2)/('минимумы и максимумы'!D$4-'минимумы и максимумы'!D$2)*100)</f>
        <v>50</v>
      </c>
      <c r="G176" s="1">
        <f>IF('исходные данные'!G176&gt;'минимумы и максимумы'!E$4,100,('исходные данные'!G176-'минимумы и максимумы'!E$2)/('минимумы и максимумы'!E$4-'минимумы и максимумы'!E$2)*100)</f>
        <v>27.027027027027028</v>
      </c>
      <c r="H176" s="1">
        <f>IF('исходные данные'!H176&gt;'минимумы и максимумы'!F$4,100,('исходные данные'!H176-'минимумы и максимумы'!F$2)/('минимумы и максимумы'!F$4-'минимумы и максимумы'!F$2)*100)</f>
        <v>31.578947368421051</v>
      </c>
      <c r="I176" s="1">
        <f>IF('исходные данные'!I176&gt;'минимумы и максимумы'!G$4,100,('исходные данные'!I176-'минимумы и максимумы'!G$2)/('минимумы и максимумы'!G$4-'минимумы и максимумы'!G$2)*100)</f>
        <v>21.686746987951807</v>
      </c>
      <c r="J176" s="1">
        <f>IF('исходные данные'!J176&gt;'минимумы и максимумы'!H$4,100,('исходные данные'!J176-'минимумы и максимумы'!H$2)/('минимумы и максимумы'!H$4-'минимумы и максимумы'!H$2)*100)</f>
        <v>12.5</v>
      </c>
      <c r="K176" s="1">
        <f>IF('исходные данные'!K176&gt;'минимумы и максимумы'!I$4,100,('исходные данные'!K176-'минимумы и максимумы'!I$2)/('минимумы и максимумы'!I$4-'минимумы и максимумы'!I$2)*100)</f>
        <v>28.571428571428569</v>
      </c>
      <c r="L176" s="1">
        <f>IF('исходные данные'!L176&gt;'минимумы и максимумы'!J$4,100,('исходные данные'!L176-'минимумы и максимумы'!J$2)/('минимумы и максимумы'!J$4-'минимумы и максимумы'!J$2)*100)</f>
        <v>0</v>
      </c>
      <c r="M176" s="1">
        <f>IF('исходные данные'!M176&gt;'минимумы и максимумы'!K$4,100,('исходные данные'!M176-'минимумы и максимумы'!K$2)/('минимумы и максимумы'!K$4-'минимумы и максимумы'!K$2)*100)</f>
        <v>29.787234042553191</v>
      </c>
      <c r="N176" s="1">
        <f>IF('исходные данные'!N176&gt;'минимумы и максимумы'!L$4,100,('исходные данные'!N176-'минимумы и максимумы'!L$2)/('минимумы и максимумы'!L$4-'минимумы и максимумы'!L$2)*100)</f>
        <v>29.476090117025695</v>
      </c>
      <c r="O176" s="1">
        <f>IF('исходные данные'!O176&gt;'минимумы и максимумы'!M$4,100,('исходные данные'!O176-'минимумы и максимумы'!M$2)/('минимумы и максимумы'!M$4-'минимумы и максимумы'!M$2)*100)</f>
        <v>0</v>
      </c>
      <c r="P176" s="1">
        <f>IF('исходные данные'!P176&gt;'минимумы и максимумы'!N$4,100,('исходные данные'!P176-'минимумы и максимумы'!N$2)/('минимумы и максимумы'!N$4-'минимумы и максимумы'!N$2)*100)</f>
        <v>0</v>
      </c>
      <c r="Q176" s="1">
        <f>IF('исходные данные'!Q176&gt;'минимумы и максимумы'!O$4,100,('исходные данные'!Q176-'минимумы и максимумы'!O$2)/('минимумы и максимумы'!O$4-'минимумы и максимумы'!O$2)*100)</f>
        <v>100</v>
      </c>
      <c r="R176" s="1">
        <f>IF('исходные данные'!R176&gt;'минимумы и максимумы'!P$4,100,('исходные данные'!R176-'минимумы и максимумы'!P$2)/('минимумы и максимумы'!P$4-'минимумы и максимумы'!P$2)*100)</f>
        <v>25</v>
      </c>
      <c r="S176" s="1">
        <f>IF('исходные данные'!S176&gt;'минимумы и максимумы'!Q$4,100,('исходные данные'!S176-'минимумы и максимумы'!Q$2)/('минимумы и максимумы'!Q$4-'минимумы и максимумы'!Q$2)*100)</f>
        <v>22.222222222222221</v>
      </c>
      <c r="T176" s="1">
        <f>IF('исходные данные'!T176&gt;'минимумы и максимумы'!R$4,100,('исходные данные'!T176-'минимумы и максимумы'!R$2)/('минимумы и максимумы'!R$4-'минимумы и максимумы'!R$2)*100)</f>
        <v>7.7675489067894139</v>
      </c>
      <c r="U176" s="1">
        <f>IF('исходные данные'!U176&gt;'минимумы и максимумы'!S$4,100,('исходные данные'!U176-'минимумы и максимумы'!S$2)/('минимумы и максимумы'!S$4-'минимумы и максимумы'!S$2)*100)</f>
        <v>33.333333333333329</v>
      </c>
    </row>
    <row r="177" spans="1:21" x14ac:dyDescent="0.45">
      <c r="A177" s="4">
        <v>256</v>
      </c>
      <c r="B177" s="4">
        <v>0</v>
      </c>
      <c r="C177" s="4">
        <v>0</v>
      </c>
      <c r="D177" s="1">
        <f>IF('исходные данные'!D177&gt;'минимумы и максимумы'!B$4,100,('исходные данные'!D177-'минимумы и максимумы'!B$2)/('минимумы и максимумы'!B$4-'минимумы и максимумы'!B$2)*100)</f>
        <v>25</v>
      </c>
      <c r="E177" s="1">
        <f>IF('исходные данные'!E177&gt;'минимумы и максимумы'!C$4,100,('исходные данные'!E177-'минимумы и максимумы'!C$2)/('минимумы и максимумы'!C$4-'минимумы и максимумы'!C$2)*100)</f>
        <v>12.5</v>
      </c>
      <c r="F177" s="1">
        <f>IF('исходные данные'!F177&gt;'минимумы и максимумы'!D$4,100,('исходные данные'!F177-'минимумы и максимумы'!D$2)/('минимумы и максимумы'!D$4-'минимумы и максимумы'!D$2)*100)</f>
        <v>50</v>
      </c>
      <c r="G177" s="1">
        <f>IF('исходные данные'!G177&gt;'минимумы и максимумы'!E$4,100,('исходные данные'!G177-'минимумы и максимумы'!E$2)/('минимумы и максимумы'!E$4-'минимумы и максимумы'!E$2)*100)</f>
        <v>27.027027027027028</v>
      </c>
      <c r="H177" s="1">
        <f>IF('исходные данные'!H177&gt;'минимумы и максимумы'!F$4,100,('исходные данные'!H177-'минимумы и максимумы'!F$2)/('минимумы и максимумы'!F$4-'минимумы и максимумы'!F$2)*100)</f>
        <v>31.578947368421051</v>
      </c>
      <c r="I177" s="1">
        <f>IF('исходные данные'!I177&gt;'минимумы и максимумы'!G$4,100,('исходные данные'!I177-'минимумы и максимумы'!G$2)/('минимумы и максимумы'!G$4-'минимумы и максимумы'!G$2)*100)</f>
        <v>21.686746987951807</v>
      </c>
      <c r="J177" s="1">
        <f>IF('исходные данные'!J177&gt;'минимумы и максимумы'!H$4,100,('исходные данные'!J177-'минимумы и максимумы'!H$2)/('минимумы и максимумы'!H$4-'минимумы и максимумы'!H$2)*100)</f>
        <v>12.5</v>
      </c>
      <c r="K177" s="1">
        <f>IF('исходные данные'!K177&gt;'минимумы и максимумы'!I$4,100,('исходные данные'!K177-'минимумы и максимумы'!I$2)/('минимумы и максимумы'!I$4-'минимумы и максимумы'!I$2)*100)</f>
        <v>28.571428571428569</v>
      </c>
      <c r="L177" s="1">
        <f>IF('исходные данные'!L177&gt;'минимумы и максимумы'!J$4,100,('исходные данные'!L177-'минимумы и максимумы'!J$2)/('минимумы и максимумы'!J$4-'минимумы и максимумы'!J$2)*100)</f>
        <v>0</v>
      </c>
      <c r="M177" s="1">
        <f>IF('исходные данные'!M177&gt;'минимумы и максимумы'!K$4,100,('исходные данные'!M177-'минимумы и максимумы'!K$2)/('минимумы и максимумы'!K$4-'минимумы и максимумы'!K$2)*100)</f>
        <v>29.787234042553191</v>
      </c>
      <c r="N177" s="1">
        <f>IF('исходные данные'!N177&gt;'минимумы и максимумы'!L$4,100,('исходные данные'!N177-'минимумы и максимумы'!L$2)/('минимумы и максимумы'!L$4-'минимумы и максимумы'!L$2)*100)</f>
        <v>29.855189649846963</v>
      </c>
      <c r="O177" s="1">
        <f>IF('исходные данные'!O177&gt;'минимумы и максимумы'!M$4,100,('исходные данные'!O177-'минимумы и максимумы'!M$2)/('минимумы и максимумы'!M$4-'минимумы и максимумы'!M$2)*100)</f>
        <v>66.666666666666657</v>
      </c>
      <c r="P177" s="1">
        <f>IF('исходные данные'!P177&gt;'минимумы и максимумы'!N$4,100,('исходные данные'!P177-'минимумы и максимумы'!N$2)/('минимумы и максимумы'!N$4-'минимумы и максимумы'!N$2)*100)</f>
        <v>0</v>
      </c>
      <c r="Q177" s="1">
        <f>IF('исходные данные'!Q177&gt;'минимумы и максимумы'!O$4,100,('исходные данные'!Q177-'минимумы и максимумы'!O$2)/('минимумы и максимумы'!O$4-'минимумы и максимумы'!O$2)*100)</f>
        <v>100</v>
      </c>
      <c r="R177" s="1">
        <f>IF('исходные данные'!R177&gt;'минимумы и максимумы'!P$4,100,('исходные данные'!R177-'минимумы и максимумы'!P$2)/('минимумы и максимумы'!P$4-'минимумы и максимумы'!P$2)*100)</f>
        <v>100</v>
      </c>
      <c r="S177" s="1">
        <f>IF('исходные данные'!S177&gt;'минимумы и максимумы'!Q$4,100,('исходные данные'!S177-'минимумы и максимумы'!Q$2)/('минимумы и максимумы'!Q$4-'минимумы и максимумы'!Q$2)*100)</f>
        <v>11.111111111111111</v>
      </c>
      <c r="T177" s="1">
        <f>IF('исходные данные'!T177&gt;'минимумы и максимумы'!R$4,100,('исходные данные'!T177-'минимумы и максимумы'!R$2)/('минимумы и максимумы'!R$4-'минимумы и максимумы'!R$2)*100)</f>
        <v>15.276179516685845</v>
      </c>
      <c r="U177" s="1">
        <f>IF('исходные данные'!U177&gt;'минимумы и максимумы'!S$4,100,('исходные данные'!U177-'минимумы и максимумы'!S$2)/('минимумы и максимумы'!S$4-'минимумы и максимумы'!S$2)*100)</f>
        <v>0</v>
      </c>
    </row>
    <row r="178" spans="1:21" x14ac:dyDescent="0.45">
      <c r="A178" s="4">
        <v>260</v>
      </c>
      <c r="B178" s="4">
        <v>0</v>
      </c>
      <c r="C178" s="4">
        <v>0</v>
      </c>
      <c r="D178" s="1">
        <f>IF('исходные данные'!D178&gt;'минимумы и максимумы'!B$4,100,('исходные данные'!D178-'минимумы и максимумы'!B$2)/('минимумы и максимумы'!B$4-'минимумы и максимумы'!B$2)*100)</f>
        <v>0</v>
      </c>
      <c r="E178" s="1">
        <f>IF('исходные данные'!E178&gt;'минимумы и максимумы'!C$4,100,('исходные данные'!E178-'минимумы и максимумы'!C$2)/('минимумы и максимумы'!C$4-'минимумы и максимумы'!C$2)*100)</f>
        <v>6.25</v>
      </c>
      <c r="F178" s="1">
        <f>IF('исходные данные'!F178&gt;'минимумы и максимумы'!D$4,100,('исходные данные'!F178-'минимумы и максимумы'!D$2)/('минимумы и максимумы'!D$4-'минимумы и максимумы'!D$2)*100)</f>
        <v>0</v>
      </c>
      <c r="G178" s="1">
        <f>IF('исходные данные'!G178&gt;'минимумы и максимумы'!E$4,100,('исходные данные'!G178-'минимумы и максимумы'!E$2)/('минимумы и максимумы'!E$4-'минимумы и максимумы'!E$2)*100)</f>
        <v>5.4054054054054053</v>
      </c>
      <c r="H178" s="1">
        <f>IF('исходные данные'!H178&gt;'минимумы и максимумы'!F$4,100,('исходные данные'!H178-'минимумы и максимумы'!F$2)/('минимумы и максимумы'!F$4-'минимумы и максимумы'!F$2)*100)</f>
        <v>2.6315789473684208</v>
      </c>
      <c r="I178" s="1">
        <f>IF('исходные данные'!I178&gt;'минимумы и максимумы'!G$4,100,('исходные данные'!I178-'минимумы и максимумы'!G$2)/('минимумы и максимумы'!G$4-'минимумы и максимумы'!G$2)*100)</f>
        <v>1.2048192771084338</v>
      </c>
      <c r="J178" s="1">
        <f>IF('исходные данные'!J178&gt;'минимумы и максимумы'!H$4,100,('исходные данные'!J178-'минимумы и максимумы'!H$2)/('минимумы и максимумы'!H$4-'минимумы и максимумы'!H$2)*100)</f>
        <v>0</v>
      </c>
      <c r="K178" s="1">
        <f>IF('исходные данные'!K178&gt;'минимумы и максимумы'!I$4,100,('исходные данные'!K178-'минимумы и максимумы'!I$2)/('минимумы и максимумы'!I$4-'минимумы и максимумы'!I$2)*100)</f>
        <v>7.1428571428571423</v>
      </c>
      <c r="L178" s="1">
        <f>IF('исходные данные'!L178&gt;'минимумы и максимумы'!J$4,100,('исходные данные'!L178-'минимумы и максимумы'!J$2)/('минимумы и максимумы'!J$4-'минимумы и максимумы'!J$2)*100)</f>
        <v>0</v>
      </c>
      <c r="M178" s="1">
        <f>IF('исходные данные'!M178&gt;'минимумы и максимумы'!K$4,100,('исходные данные'!M178-'минимумы и максимумы'!K$2)/('минимумы и максимумы'!K$4-'минимумы и максимумы'!K$2)*100)</f>
        <v>14.893617021276595</v>
      </c>
      <c r="N178" s="1">
        <f>IF('исходные данные'!N178&gt;'минимумы и максимумы'!L$4,100,('исходные данные'!N178-'минимумы и максимумы'!L$2)/('минимумы и максимумы'!L$4-'минимумы и максимумы'!L$2)*100)</f>
        <v>31.161696446439347</v>
      </c>
      <c r="O178" s="1">
        <f>IF('исходные данные'!O178&gt;'минимумы и максимумы'!M$4,100,('исходные данные'!O178-'минимумы и максимумы'!M$2)/('минимумы и максимумы'!M$4-'минимумы и максимумы'!M$2)*100)</f>
        <v>66.666666666666657</v>
      </c>
      <c r="P178" s="1">
        <f>IF('исходные данные'!P178&gt;'минимумы и максимумы'!N$4,100,('исходные данные'!P178-'минимумы и максимумы'!N$2)/('минимумы и максимумы'!N$4-'минимумы и максимумы'!N$2)*100)</f>
        <v>0</v>
      </c>
      <c r="Q178" s="1">
        <f>IF('исходные данные'!Q178&gt;'минимумы и максимумы'!O$4,100,('исходные данные'!Q178-'минимумы и максимумы'!O$2)/('минимумы и максимумы'!O$4-'минимумы и максимумы'!O$2)*100)</f>
        <v>0</v>
      </c>
      <c r="R178" s="1">
        <f>IF('исходные данные'!R178&gt;'минимумы и максимумы'!P$4,100,('исходные данные'!R178-'минимумы и максимумы'!P$2)/('минимумы и максимумы'!P$4-'минимумы и максимумы'!P$2)*100)</f>
        <v>100</v>
      </c>
      <c r="S178" s="1">
        <f>IF('исходные данные'!S178&gt;'минимумы и максимумы'!Q$4,100,('исходные данные'!S178-'минимумы и максимумы'!Q$2)/('минимумы и максимумы'!Q$4-'минимумы и максимумы'!Q$2)*100)</f>
        <v>33.333333333333329</v>
      </c>
      <c r="T178" s="1">
        <f>IF('исходные данные'!T178&gt;'минимумы и максимумы'!R$4,100,('исходные данные'!T178-'минимумы и максимумы'!R$2)/('минимумы и максимумы'!R$4-'минимумы и максимумы'!R$2)*100)</f>
        <v>20.598388952819331</v>
      </c>
      <c r="U178" s="1">
        <f>IF('исходные данные'!U178&gt;'минимумы и максимумы'!S$4,100,('исходные данные'!U178-'минимумы и максимумы'!S$2)/('минимумы и максимумы'!S$4-'минимумы и максимумы'!S$2)*100)</f>
        <v>66.666666666666657</v>
      </c>
    </row>
    <row r="179" spans="1:21" x14ac:dyDescent="0.45">
      <c r="A179" s="4">
        <v>261</v>
      </c>
      <c r="B179" s="4">
        <v>0</v>
      </c>
      <c r="C179" s="4">
        <v>0</v>
      </c>
      <c r="D179" s="1">
        <f>IF('исходные данные'!D179&gt;'минимумы и максимумы'!B$4,100,('исходные данные'!D179-'минимумы и максимумы'!B$2)/('минимумы и максимумы'!B$4-'минимумы и максимумы'!B$2)*100)</f>
        <v>0</v>
      </c>
      <c r="E179" s="1">
        <f>IF('исходные данные'!E179&gt;'минимумы и максимумы'!C$4,100,('исходные данные'!E179-'минимумы и максимумы'!C$2)/('минимумы и максимумы'!C$4-'минимумы и максимумы'!C$2)*100)</f>
        <v>6.25</v>
      </c>
      <c r="F179" s="1">
        <f>IF('исходные данные'!F179&gt;'минимумы и максимумы'!D$4,100,('исходные данные'!F179-'минимумы и максимумы'!D$2)/('минимумы и максимумы'!D$4-'минимумы и максимумы'!D$2)*100)</f>
        <v>0</v>
      </c>
      <c r="G179" s="1">
        <f>IF('исходные данные'!G179&gt;'минимумы и максимумы'!E$4,100,('исходные данные'!G179-'минимумы и максимумы'!E$2)/('минимумы и максимумы'!E$4-'минимумы и максимумы'!E$2)*100)</f>
        <v>5.4054054054054053</v>
      </c>
      <c r="H179" s="1">
        <f>IF('исходные данные'!H179&gt;'минимумы и максимумы'!F$4,100,('исходные данные'!H179-'минимумы и максимумы'!F$2)/('минимумы и максимумы'!F$4-'минимумы и максимумы'!F$2)*100)</f>
        <v>2.6315789473684208</v>
      </c>
      <c r="I179" s="1">
        <f>IF('исходные данные'!I179&gt;'минимумы и максимумы'!G$4,100,('исходные данные'!I179-'минимумы и максимумы'!G$2)/('минимумы и максимумы'!G$4-'минимумы и максимумы'!G$2)*100)</f>
        <v>1.2048192771084338</v>
      </c>
      <c r="J179" s="1">
        <f>IF('исходные данные'!J179&gt;'минимумы и максимумы'!H$4,100,('исходные данные'!J179-'минимумы и максимумы'!H$2)/('минимумы и максимумы'!H$4-'минимумы и максимумы'!H$2)*100)</f>
        <v>0</v>
      </c>
      <c r="K179" s="1">
        <f>IF('исходные данные'!K179&gt;'минимумы и максимумы'!I$4,100,('исходные данные'!K179-'минимумы и максимумы'!I$2)/('минимумы и максимумы'!I$4-'минимумы и максимумы'!I$2)*100)</f>
        <v>7.1428571428571423</v>
      </c>
      <c r="L179" s="1">
        <f>IF('исходные данные'!L179&gt;'минимумы и максимумы'!J$4,100,('исходные данные'!L179-'минимумы и максимумы'!J$2)/('минимумы и максимумы'!J$4-'минимумы и максимумы'!J$2)*100)</f>
        <v>0</v>
      </c>
      <c r="M179" s="1">
        <f>IF('исходные данные'!M179&gt;'минимумы и максимумы'!K$4,100,('исходные данные'!M179-'минимумы и максимумы'!K$2)/('минимумы и максимумы'!K$4-'минимумы и максимумы'!K$2)*100)</f>
        <v>14.893617021276595</v>
      </c>
      <c r="N179" s="1">
        <f>IF('исходные данные'!N179&gt;'минимумы и максимумы'!L$4,100,('исходные данные'!N179-'минимумы и максимумы'!L$2)/('минимумы и максимумы'!L$4-'минимумы и максимумы'!L$2)*100)</f>
        <v>31.161696446439347</v>
      </c>
      <c r="O179" s="1">
        <f>IF('исходные данные'!O179&gt;'минимумы и максимумы'!M$4,100,('исходные данные'!O179-'минимумы и максимумы'!M$2)/('минимумы и максимумы'!M$4-'минимумы и максимумы'!M$2)*100)</f>
        <v>0</v>
      </c>
      <c r="P179" s="1">
        <f>IF('исходные данные'!P179&gt;'минимумы и максимумы'!N$4,100,('исходные данные'!P179-'минимумы и максимумы'!N$2)/('минимумы и максимумы'!N$4-'минимумы и максимумы'!N$2)*100)</f>
        <v>0</v>
      </c>
      <c r="Q179" s="1">
        <f>IF('исходные данные'!Q179&gt;'минимумы и максимумы'!O$4,100,('исходные данные'!Q179-'минимумы и максимумы'!O$2)/('минимумы и максимумы'!O$4-'минимумы и максимумы'!O$2)*100)</f>
        <v>100</v>
      </c>
      <c r="R179" s="1">
        <f>IF('исходные данные'!R179&gt;'минимумы и максимумы'!P$4,100,('исходные данные'!R179-'минимумы и максимумы'!P$2)/('минимумы и максимумы'!P$4-'минимумы и максимумы'!P$2)*100)</f>
        <v>100</v>
      </c>
      <c r="S179" s="1">
        <f>IF('исходные данные'!S179&gt;'минимумы и максимумы'!Q$4,100,('исходные данные'!S179-'минимумы и максимумы'!Q$2)/('минимумы и максимумы'!Q$4-'минимумы и максимумы'!Q$2)*100)</f>
        <v>11.111111111111111</v>
      </c>
      <c r="T179" s="1">
        <f>IF('исходные данные'!T179&gt;'минимумы и максимумы'!R$4,100,('исходные данные'!T179-'минимумы и максимумы'!R$2)/('минимумы и максимумы'!R$4-'минимумы и максимумы'!R$2)*100)</f>
        <v>2.9344073647871118</v>
      </c>
      <c r="U179" s="1">
        <f>IF('исходные данные'!U179&gt;'минимумы и максимумы'!S$4,100,('исходные данные'!U179-'минимумы и максимумы'!S$2)/('минимумы и максимумы'!S$4-'минимумы и максимумы'!S$2)*100)</f>
        <v>0</v>
      </c>
    </row>
    <row r="180" spans="1:21" x14ac:dyDescent="0.45">
      <c r="A180" s="4">
        <v>262</v>
      </c>
      <c r="B180" s="4">
        <v>0</v>
      </c>
      <c r="C180" s="4">
        <v>0</v>
      </c>
      <c r="D180" s="1">
        <f>IF('исходные данные'!D180&gt;'минимумы и максимумы'!B$4,100,('исходные данные'!D180-'минимумы и максимумы'!B$2)/('минимумы и максимумы'!B$4-'минимумы и максимумы'!B$2)*100)</f>
        <v>0</v>
      </c>
      <c r="E180" s="1">
        <f>IF('исходные данные'!E180&gt;'минимумы и максимумы'!C$4,100,('исходные данные'!E180-'минимумы и максимумы'!C$2)/('минимумы и максимумы'!C$4-'минимумы и максимумы'!C$2)*100)</f>
        <v>0</v>
      </c>
      <c r="F180" s="1">
        <f>IF('исходные данные'!F180&gt;'минимумы и максимумы'!D$4,100,('исходные данные'!F180-'минимумы и максимумы'!D$2)/('минимумы и максимумы'!D$4-'минимумы и максимумы'!D$2)*100)</f>
        <v>0</v>
      </c>
      <c r="G180" s="1">
        <f>IF('исходные данные'!G180&gt;'минимумы и максимумы'!E$4,100,('исходные данные'!G180-'минимумы и максимумы'!E$2)/('минимумы и максимумы'!E$4-'минимумы и максимумы'!E$2)*100)</f>
        <v>10.810810810810811</v>
      </c>
      <c r="H180" s="1">
        <f>IF('исходные данные'!H180&gt;'минимумы и максимумы'!F$4,100,('исходные данные'!H180-'минимумы и максимумы'!F$2)/('минимумы и максимумы'!F$4-'минимумы и максимумы'!F$2)*100)</f>
        <v>21.052631578947366</v>
      </c>
      <c r="I180" s="1">
        <f>IF('исходные данные'!I180&gt;'минимумы и максимумы'!G$4,100,('исходные данные'!I180-'минимумы и максимумы'!G$2)/('минимумы и максимумы'!G$4-'минимумы и максимумы'!G$2)*100)</f>
        <v>3.6144578313253009</v>
      </c>
      <c r="J180" s="1">
        <f>IF('исходные данные'!J180&gt;'минимумы и максимумы'!H$4,100,('исходные данные'!J180-'минимумы и максимумы'!H$2)/('минимумы и максимумы'!H$4-'минимумы и максимумы'!H$2)*100)</f>
        <v>0</v>
      </c>
      <c r="K180" s="1">
        <f>IF('исходные данные'!K180&gt;'минимумы и максимумы'!I$4,100,('исходные данные'!K180-'минимумы и максимумы'!I$2)/('минимумы и максимумы'!I$4-'минимумы и максимумы'!I$2)*100)</f>
        <v>0</v>
      </c>
      <c r="L180" s="1">
        <f>IF('исходные данные'!L180&gt;'минимумы и максимумы'!J$4,100,('исходные данные'!L180-'минимумы и максимумы'!J$2)/('минимумы и максимумы'!J$4-'минимумы и максимумы'!J$2)*100)</f>
        <v>0</v>
      </c>
      <c r="M180" s="1">
        <f>IF('исходные данные'!M180&gt;'минимумы и максимумы'!K$4,100,('исходные данные'!M180-'минимумы и максимумы'!K$2)/('минимумы и максимумы'!K$4-'минимумы и максимумы'!K$2)*100)</f>
        <v>14.893617021276595</v>
      </c>
      <c r="N180" s="1">
        <f>IF('исходные данные'!N180&gt;'минимумы и максимумы'!L$4,100,('исходные данные'!N180-'минимумы и максимумы'!L$2)/('минимумы и максимумы'!L$4-'минимумы и максимумы'!L$2)*100)</f>
        <v>29.806168063254894</v>
      </c>
      <c r="O180" s="1">
        <f>IF('исходные данные'!O180&gt;'минимумы и максимумы'!M$4,100,('исходные данные'!O180-'минимумы и максимумы'!M$2)/('минимумы и максимумы'!M$4-'минимумы и максимумы'!M$2)*100)</f>
        <v>33.333333333333329</v>
      </c>
      <c r="P180" s="1">
        <f>IF('исходные данные'!P180&gt;'минимумы и максимумы'!N$4,100,('исходные данные'!P180-'минимумы и максимумы'!N$2)/('минимумы и максимумы'!N$4-'минимумы и максимумы'!N$2)*100)</f>
        <v>0</v>
      </c>
      <c r="Q180" s="1">
        <f>IF('исходные данные'!Q180&gt;'минимумы и максимумы'!O$4,100,('исходные данные'!Q180-'минимумы и максимумы'!O$2)/('минимумы и максимумы'!O$4-'минимумы и максимумы'!O$2)*100)</f>
        <v>100</v>
      </c>
      <c r="R180" s="1">
        <f>IF('исходные данные'!R180&gt;'минимумы и максимумы'!P$4,100,('исходные данные'!R180-'минимумы и максимумы'!P$2)/('минимумы и максимумы'!P$4-'минимумы и максимумы'!P$2)*100)</f>
        <v>100</v>
      </c>
      <c r="S180" s="1">
        <f>IF('исходные данные'!S180&gt;'минимумы и максимумы'!Q$4,100,('исходные данные'!S180-'минимумы и максимумы'!Q$2)/('минимумы и максимумы'!Q$4-'минимумы и максимумы'!Q$2)*100)</f>
        <v>11.111111111111111</v>
      </c>
      <c r="T180" s="1">
        <f>IF('исходные данные'!T180&gt;'минимумы и максимумы'!R$4,100,('исходные данные'!T180-'минимумы и максимумы'!R$2)/('минимумы и максимумы'!R$4-'минимумы и максимумы'!R$2)*100)</f>
        <v>6.6455696202531636</v>
      </c>
      <c r="U180" s="1">
        <f>IF('исходные данные'!U180&gt;'минимумы и максимумы'!S$4,100,('исходные данные'!U180-'минимумы и максимумы'!S$2)/('минимумы и максимумы'!S$4-'минимумы и максимумы'!S$2)*100)</f>
        <v>0</v>
      </c>
    </row>
    <row r="181" spans="1:21" x14ac:dyDescent="0.45">
      <c r="A181" s="4">
        <v>263</v>
      </c>
      <c r="B181" s="4">
        <v>0</v>
      </c>
      <c r="C181" s="4">
        <v>0</v>
      </c>
      <c r="D181" s="1">
        <f>IF('исходные данные'!D181&gt;'минимумы и максимумы'!B$4,100,('исходные данные'!D181-'минимумы и максимумы'!B$2)/('минимумы и максимумы'!B$4-'минимумы и максимумы'!B$2)*100)</f>
        <v>0</v>
      </c>
      <c r="E181" s="1">
        <f>IF('исходные данные'!E181&gt;'минимумы и максимумы'!C$4,100,('исходные данные'!E181-'минимумы и максимумы'!C$2)/('минимумы и максимумы'!C$4-'минимумы и максимумы'!C$2)*100)</f>
        <v>6.25</v>
      </c>
      <c r="F181" s="1">
        <f>IF('исходные данные'!F181&gt;'минимумы и максимумы'!D$4,100,('исходные данные'!F181-'минимумы и максимумы'!D$2)/('минимумы и максимумы'!D$4-'минимумы и максимумы'!D$2)*100)</f>
        <v>0</v>
      </c>
      <c r="G181" s="1">
        <f>IF('исходные данные'!G181&gt;'минимумы и максимумы'!E$4,100,('исходные данные'!G181-'минимумы и максимумы'!E$2)/('минимумы и максимумы'!E$4-'минимумы и максимумы'!E$2)*100)</f>
        <v>16.216216216216218</v>
      </c>
      <c r="H181" s="1">
        <f>IF('исходные данные'!H181&gt;'минимумы и максимумы'!F$4,100,('исходные данные'!H181-'минимумы и максимумы'!F$2)/('минимумы и максимумы'!F$4-'минимумы и максимумы'!F$2)*100)</f>
        <v>18.421052631578945</v>
      </c>
      <c r="I181" s="1">
        <f>IF('исходные данные'!I181&gt;'минимумы и максимумы'!G$4,100,('исходные данные'!I181-'минимумы и максимумы'!G$2)/('минимумы и максимумы'!G$4-'минимумы и максимумы'!G$2)*100)</f>
        <v>8.4337349397590362</v>
      </c>
      <c r="J181" s="1">
        <f>IF('исходные данные'!J181&gt;'минимумы и максимумы'!H$4,100,('исходные данные'!J181-'минимумы и максимумы'!H$2)/('минимумы и максимумы'!H$4-'минимумы и максимумы'!H$2)*100)</f>
        <v>8.3333333333333321</v>
      </c>
      <c r="K181" s="1">
        <f>IF('исходные данные'!K181&gt;'минимумы и максимумы'!I$4,100,('исходные данные'!K181-'минимумы и максимумы'!I$2)/('минимумы и максимумы'!I$4-'минимумы и максимумы'!I$2)*100)</f>
        <v>10.714285714285714</v>
      </c>
      <c r="L181" s="1">
        <f>IF('исходные данные'!L181&gt;'минимумы и максимумы'!J$4,100,('исходные данные'!L181-'минимумы и максимумы'!J$2)/('минимумы и максимумы'!J$4-'минимумы и максимумы'!J$2)*100)</f>
        <v>0</v>
      </c>
      <c r="M181" s="1">
        <f>IF('исходные данные'!M181&gt;'минимумы и максимумы'!K$4,100,('исходные данные'!M181-'минимумы и максимумы'!K$2)/('минимумы и максимумы'!K$4-'минимумы и максимумы'!K$2)*100)</f>
        <v>14.893617021276595</v>
      </c>
      <c r="N181" s="1">
        <f>IF('исходные данные'!N181&gt;'минимумы и максимумы'!L$4,100,('исходные данные'!N181-'минимумы и максимумы'!L$2)/('минимумы и максимумы'!L$4-'минимумы и максимумы'!L$2)*100)</f>
        <v>32.457282273980567</v>
      </c>
      <c r="O181" s="1">
        <f>IF('исходные данные'!O181&gt;'минимумы и максимумы'!M$4,100,('исходные данные'!O181-'минимумы и максимумы'!M$2)/('минимумы и максимумы'!M$4-'минимумы и максимумы'!M$2)*100)</f>
        <v>0</v>
      </c>
      <c r="P181" s="1">
        <f>IF('исходные данные'!P181&gt;'минимумы и максимумы'!N$4,100,('исходные данные'!P181-'минимумы и максимумы'!N$2)/('минимумы и максимумы'!N$4-'минимумы и максимумы'!N$2)*100)</f>
        <v>0</v>
      </c>
      <c r="Q181" s="1">
        <f>IF('исходные данные'!Q181&gt;'минимумы и максимумы'!O$4,100,('исходные данные'!Q181-'минимумы и максимумы'!O$2)/('минимумы и максимумы'!O$4-'минимумы и максимумы'!O$2)*100)</f>
        <v>100</v>
      </c>
      <c r="R181" s="1">
        <f>IF('исходные данные'!R181&gt;'минимумы и максимумы'!P$4,100,('исходные данные'!R181-'минимумы и максимумы'!P$2)/('минимумы и максимумы'!P$4-'минимумы и максимумы'!P$2)*100)</f>
        <v>100</v>
      </c>
      <c r="S181" s="1">
        <f>IF('исходные данные'!S181&gt;'минимумы и максимумы'!Q$4,100,('исходные данные'!S181-'минимумы и максимумы'!Q$2)/('минимумы и максимумы'!Q$4-'минимумы и максимумы'!Q$2)*100)</f>
        <v>22.222222222222221</v>
      </c>
      <c r="T181" s="1">
        <f>IF('исходные данные'!T181&gt;'минимумы и максимумы'!R$4,100,('исходные данные'!T181-'минимумы и максимумы'!R$2)/('минимумы и максимумы'!R$4-'минимумы и максимумы'!R$2)*100)</f>
        <v>32.65247410817031</v>
      </c>
      <c r="U181" s="1">
        <f>IF('исходные данные'!U181&gt;'минимумы и максимумы'!S$4,100,('исходные данные'!U181-'минимумы и максимумы'!S$2)/('минимумы и максимумы'!S$4-'минимумы и максимумы'!S$2)*100)</f>
        <v>66.666666666666657</v>
      </c>
    </row>
    <row r="182" spans="1:21" x14ac:dyDescent="0.45">
      <c r="A182" s="4">
        <v>264</v>
      </c>
      <c r="B182" s="4">
        <v>0</v>
      </c>
      <c r="C182" s="4">
        <v>0</v>
      </c>
      <c r="D182" s="1">
        <f>IF('исходные данные'!D182&gt;'минимумы и максимумы'!B$4,100,('исходные данные'!D182-'минимумы и максимумы'!B$2)/('минимумы и максимумы'!B$4-'минимумы и максимумы'!B$2)*100)</f>
        <v>12.5</v>
      </c>
      <c r="E182" s="1">
        <f>IF('исходные данные'!E182&gt;'минимумы и максимумы'!C$4,100,('исходные данные'!E182-'минимумы и максимумы'!C$2)/('минимумы и максимумы'!C$4-'минимумы и максимумы'!C$2)*100)</f>
        <v>0</v>
      </c>
      <c r="F182" s="1">
        <f>IF('исходные данные'!F182&gt;'минимумы и максимумы'!D$4,100,('исходные данные'!F182-'минимумы и максимумы'!D$2)/('минимумы и максимумы'!D$4-'минимумы и максимумы'!D$2)*100)</f>
        <v>0</v>
      </c>
      <c r="G182" s="1">
        <f>IF('исходные данные'!G182&gt;'минимумы и максимумы'!E$4,100,('исходные данные'!G182-'минимумы и максимумы'!E$2)/('минимумы и максимумы'!E$4-'минимумы и максимумы'!E$2)*100)</f>
        <v>2.7027027027027026</v>
      </c>
      <c r="H182" s="1">
        <f>IF('исходные данные'!H182&gt;'минимумы и максимумы'!F$4,100,('исходные данные'!H182-'минимумы и максимумы'!F$2)/('минимумы и максимумы'!F$4-'минимумы и максимумы'!F$2)*100)</f>
        <v>5.2631578947368416</v>
      </c>
      <c r="I182" s="1">
        <f>IF('исходные данные'!I182&gt;'минимумы и максимумы'!G$4,100,('исходные данные'!I182-'минимумы и максимумы'!G$2)/('минимумы и максимумы'!G$4-'минимумы и максимумы'!G$2)*100)</f>
        <v>1.2048192771084338</v>
      </c>
      <c r="J182" s="1">
        <f>IF('исходные данные'!J182&gt;'минимумы и максимумы'!H$4,100,('исходные данные'!J182-'минимумы и максимумы'!H$2)/('минимумы и максимумы'!H$4-'минимумы и максимумы'!H$2)*100)</f>
        <v>0</v>
      </c>
      <c r="K182" s="1">
        <f>IF('исходные данные'!K182&gt;'минимумы и максимумы'!I$4,100,('исходные данные'!K182-'минимумы и максимумы'!I$2)/('минимумы и максимумы'!I$4-'минимумы и максимумы'!I$2)*100)</f>
        <v>0</v>
      </c>
      <c r="L182" s="1">
        <f>IF('исходные данные'!L182&gt;'минимумы и максимумы'!J$4,100,('исходные данные'!L182-'минимумы и максимумы'!J$2)/('минимумы и максимумы'!J$4-'минимумы и максимумы'!J$2)*100)</f>
        <v>0</v>
      </c>
      <c r="M182" s="1">
        <f>IF('исходные данные'!M182&gt;'минимумы и максимумы'!K$4,100,('исходные данные'!M182-'минимумы и максимумы'!K$2)/('минимумы и максимумы'!K$4-'минимумы и максимумы'!K$2)*100)</f>
        <v>12.76595744680851</v>
      </c>
      <c r="N182" s="1">
        <f>IF('исходные данные'!N182&gt;'минимумы и максимумы'!L$4,100,('исходные данные'!N182-'минимумы и максимумы'!L$2)/('минимумы и максимумы'!L$4-'минимумы и максимумы'!L$2)*100)</f>
        <v>33.285513338262589</v>
      </c>
      <c r="O182" s="1">
        <f>IF('исходные данные'!O182&gt;'минимумы и максимумы'!M$4,100,('исходные данные'!O182-'минимумы и максимумы'!M$2)/('минимумы и максимумы'!M$4-'минимумы и максимумы'!M$2)*100)</f>
        <v>0</v>
      </c>
      <c r="P182" s="1">
        <f>IF('исходные данные'!P182&gt;'минимумы и максимумы'!N$4,100,('исходные данные'!P182-'минимумы и максимумы'!N$2)/('минимумы и максимумы'!N$4-'минимумы и максимумы'!N$2)*100)</f>
        <v>0</v>
      </c>
      <c r="Q182" s="1">
        <f>IF('исходные данные'!Q182&gt;'минимумы и максимумы'!O$4,100,('исходные данные'!Q182-'минимумы и максимумы'!O$2)/('минимумы и максимумы'!O$4-'минимумы и максимумы'!O$2)*100)</f>
        <v>100</v>
      </c>
      <c r="R182" s="1">
        <f>IF('исходные данные'!R182&gt;'минимумы и максимумы'!P$4,100,('исходные данные'!R182-'минимумы и максимумы'!P$2)/('минимумы и максимумы'!P$4-'минимумы и максимумы'!P$2)*100)</f>
        <v>100</v>
      </c>
      <c r="S182" s="1">
        <f>IF('исходные данные'!S182&gt;'минимумы и максимумы'!Q$4,100,('исходные данные'!S182-'минимумы и максимумы'!Q$2)/('минимумы и максимумы'!Q$4-'минимумы и максимумы'!Q$2)*100)</f>
        <v>11.111111111111111</v>
      </c>
      <c r="T182" s="1">
        <f>IF('исходные данные'!T182&gt;'минимумы и максимумы'!R$4,100,('исходные данные'!T182-'минимумы и максимумы'!R$2)/('минимумы и максимумы'!R$4-'минимумы и максимумы'!R$2)*100)</f>
        <v>3.5385500575373992</v>
      </c>
      <c r="U182" s="1">
        <f>IF('исходные данные'!U182&gt;'минимумы и максимумы'!S$4,100,('исходные данные'!U182-'минимумы и максимумы'!S$2)/('минимумы и максимумы'!S$4-'минимумы и максимумы'!S$2)*100)</f>
        <v>0</v>
      </c>
    </row>
    <row r="183" spans="1:21" x14ac:dyDescent="0.45">
      <c r="A183" s="4">
        <v>265</v>
      </c>
      <c r="B183" s="4">
        <v>0</v>
      </c>
      <c r="C183" s="4">
        <v>0</v>
      </c>
      <c r="D183" s="1">
        <f>IF('исходные данные'!D183&gt;'минимумы и максимумы'!B$4,100,('исходные данные'!D183-'минимумы и максимумы'!B$2)/('минимумы и максимумы'!B$4-'минимумы и максимумы'!B$2)*100)</f>
        <v>12.5</v>
      </c>
      <c r="E183" s="1">
        <f>IF('исходные данные'!E183&gt;'минимумы и максимумы'!C$4,100,('исходные данные'!E183-'минимумы и максимумы'!C$2)/('минимумы и максимумы'!C$4-'минимумы и максимумы'!C$2)*100)</f>
        <v>0</v>
      </c>
      <c r="F183" s="1">
        <f>IF('исходные данные'!F183&gt;'минимумы и максимумы'!D$4,100,('исходные данные'!F183-'минимумы и максимумы'!D$2)/('минимумы и максимумы'!D$4-'минимумы и максимумы'!D$2)*100)</f>
        <v>0</v>
      </c>
      <c r="G183" s="1">
        <f>IF('исходные данные'!G183&gt;'минимумы и максимумы'!E$4,100,('исходные данные'!G183-'минимумы и максимумы'!E$2)/('минимумы и максимумы'!E$4-'минимумы и максимумы'!E$2)*100)</f>
        <v>2.7027027027027026</v>
      </c>
      <c r="H183" s="1">
        <f>IF('исходные данные'!H183&gt;'минимумы и максимумы'!F$4,100,('исходные данные'!H183-'минимумы и максимумы'!F$2)/('минимумы и максимумы'!F$4-'минимумы и максимумы'!F$2)*100)</f>
        <v>5.2631578947368416</v>
      </c>
      <c r="I183" s="1">
        <f>IF('исходные данные'!I183&gt;'минимумы и максимумы'!G$4,100,('исходные данные'!I183-'минимумы и максимумы'!G$2)/('минимумы и максимумы'!G$4-'минимумы и максимумы'!G$2)*100)</f>
        <v>1.2048192771084338</v>
      </c>
      <c r="J183" s="1">
        <f>IF('исходные данные'!J183&gt;'минимумы и максимумы'!H$4,100,('исходные данные'!J183-'минимумы и максимумы'!H$2)/('минимумы и максимумы'!H$4-'минимумы и максимумы'!H$2)*100)</f>
        <v>0</v>
      </c>
      <c r="K183" s="1">
        <f>IF('исходные данные'!K183&gt;'минимумы и максимумы'!I$4,100,('исходные данные'!K183-'минимумы и максимумы'!I$2)/('минимумы и максимумы'!I$4-'минимумы и максимумы'!I$2)*100)</f>
        <v>0</v>
      </c>
      <c r="L183" s="1">
        <f>IF('исходные данные'!L183&gt;'минимумы и максимумы'!J$4,100,('исходные данные'!L183-'минимумы и максимумы'!J$2)/('минимумы и максимумы'!J$4-'минимумы и максимумы'!J$2)*100)</f>
        <v>0</v>
      </c>
      <c r="M183" s="1">
        <f>IF('исходные данные'!M183&gt;'минимумы и максимумы'!K$4,100,('исходные данные'!M183-'минимумы и максимумы'!K$2)/('минимумы и максимумы'!K$4-'минимумы и максимумы'!K$2)*100)</f>
        <v>12.76595744680851</v>
      </c>
      <c r="N183" s="1">
        <f>IF('исходные данные'!N183&gt;'минимумы и максимумы'!L$4,100,('исходные данные'!N183-'минимумы и максимумы'!L$2)/('минимумы и максимумы'!L$4-'минимумы и максимумы'!L$2)*100)</f>
        <v>33.197301325719089</v>
      </c>
      <c r="O183" s="1">
        <f>IF('исходные данные'!O183&gt;'минимумы и максимумы'!M$4,100,('исходные данные'!O183-'минимумы и максимумы'!M$2)/('минимумы и максимумы'!M$4-'минимумы и максимумы'!M$2)*100)</f>
        <v>0</v>
      </c>
      <c r="P183" s="1">
        <f>IF('исходные данные'!P183&gt;'минимумы и максимумы'!N$4,100,('исходные данные'!P183-'минимумы и максимумы'!N$2)/('минимумы и максимумы'!N$4-'минимумы и максимумы'!N$2)*100)</f>
        <v>0</v>
      </c>
      <c r="Q183" s="1">
        <f>IF('исходные данные'!Q183&gt;'минимумы и максимумы'!O$4,100,('исходные данные'!Q183-'минимумы и максимумы'!O$2)/('минимумы и максимумы'!O$4-'минимумы и максимумы'!O$2)*100)</f>
        <v>100</v>
      </c>
      <c r="R183" s="1">
        <f>IF('исходные данные'!R183&gt;'минимумы и максимумы'!P$4,100,('исходные данные'!R183-'минимумы и максимумы'!P$2)/('минимумы и максимумы'!P$4-'минимумы и максимумы'!P$2)*100)</f>
        <v>100</v>
      </c>
      <c r="S183" s="1">
        <f>IF('исходные данные'!S183&gt;'минимумы и максимумы'!Q$4,100,('исходные данные'!S183-'минимумы и максимумы'!Q$2)/('минимумы и максимумы'!Q$4-'минимумы и максимумы'!Q$2)*100)</f>
        <v>11.111111111111111</v>
      </c>
      <c r="T183" s="1">
        <f>IF('исходные данные'!T183&gt;'минимумы и максимумы'!R$4,100,('исходные данные'!T183-'минимумы и максимумы'!R$2)/('минимумы и максимумы'!R$4-'минимумы и максимумы'!R$2)*100)</f>
        <v>4.6317606444188728</v>
      </c>
      <c r="U183" s="1">
        <f>IF('исходные данные'!U183&gt;'минимумы и максимумы'!S$4,100,('исходные данные'!U183-'минимумы и максимумы'!S$2)/('минимумы и максимумы'!S$4-'минимумы и максимумы'!S$2)*100)</f>
        <v>0</v>
      </c>
    </row>
    <row r="184" spans="1:21" x14ac:dyDescent="0.45">
      <c r="A184" s="4">
        <v>266</v>
      </c>
      <c r="B184" s="4">
        <v>0</v>
      </c>
      <c r="C184" s="4">
        <v>0</v>
      </c>
      <c r="D184" s="1">
        <f>IF('исходные данные'!D184&gt;'минимумы и максимумы'!B$4,100,('исходные данные'!D184-'минимумы и максимумы'!B$2)/('минимумы и максимумы'!B$4-'минимумы и максимумы'!B$2)*100)</f>
        <v>0</v>
      </c>
      <c r="E184" s="1">
        <f>IF('исходные данные'!E184&gt;'минимумы и максимумы'!C$4,100,('исходные данные'!E184-'минимумы и максимумы'!C$2)/('минимумы и максимумы'!C$4-'минимумы и максимумы'!C$2)*100)</f>
        <v>18.75</v>
      </c>
      <c r="F184" s="1">
        <f>IF('исходные данные'!F184&gt;'минимумы и максимумы'!D$4,100,('исходные данные'!F184-'минимумы и максимумы'!D$2)/('минимумы и максимумы'!D$4-'минимумы и максимумы'!D$2)*100)</f>
        <v>25</v>
      </c>
      <c r="G184" s="1">
        <f>IF('исходные данные'!G184&gt;'минимумы и максимумы'!E$4,100,('исходные данные'!G184-'минимумы и максимумы'!E$2)/('минимумы и максимумы'!E$4-'минимумы и максимумы'!E$2)*100)</f>
        <v>13.513513513513514</v>
      </c>
      <c r="H184" s="1">
        <f>IF('исходные данные'!H184&gt;'минимумы и максимумы'!F$4,100,('исходные данные'!H184-'минимумы и максимумы'!F$2)/('минимумы и максимумы'!F$4-'минимумы и максимумы'!F$2)*100)</f>
        <v>15.789473684210526</v>
      </c>
      <c r="I184" s="1">
        <f>IF('исходные данные'!I184&gt;'минимумы и максимумы'!G$4,100,('исходные данные'!I184-'минимумы и максимумы'!G$2)/('минимумы и максимумы'!G$4-'минимумы и максимумы'!G$2)*100)</f>
        <v>4.8192771084337354</v>
      </c>
      <c r="J184" s="1">
        <f>IF('исходные данные'!J184&gt;'минимумы и максимумы'!H$4,100,('исходные данные'!J184-'минимумы и максимумы'!H$2)/('минимумы и максимумы'!H$4-'минимумы и максимумы'!H$2)*100)</f>
        <v>8.3333333333333321</v>
      </c>
      <c r="K184" s="1">
        <f>IF('исходные данные'!K184&gt;'минимумы и максимумы'!I$4,100,('исходные данные'!K184-'минимумы и максимумы'!I$2)/('минимумы и максимумы'!I$4-'минимумы и максимумы'!I$2)*100)</f>
        <v>0</v>
      </c>
      <c r="L184" s="1">
        <f>IF('исходные данные'!L184&gt;'минимумы и максимумы'!J$4,100,('исходные данные'!L184-'минимумы и максимумы'!J$2)/('минимумы и максимумы'!J$4-'минимумы и максимумы'!J$2)*100)</f>
        <v>0</v>
      </c>
      <c r="M184" s="1">
        <f>IF('исходные данные'!M184&gt;'минимумы и максимумы'!K$4,100,('исходные данные'!M184-'минимумы и максимумы'!K$2)/('минимумы и максимумы'!K$4-'минимумы и максимумы'!K$2)*100)</f>
        <v>4.2553191489361701</v>
      </c>
      <c r="N184" s="1">
        <f>IF('исходные данные'!N184&gt;'минимумы и максимумы'!L$4,100,('исходные данные'!N184-'минимумы и максимумы'!L$2)/('минимумы и максимумы'!L$4-'минимумы и максимумы'!L$2)*100)</f>
        <v>36.457949252268193</v>
      </c>
      <c r="O184" s="1">
        <f>IF('исходные данные'!O184&gt;'минимумы и максимумы'!M$4,100,('исходные данные'!O184-'минимумы и максимумы'!M$2)/('минимумы и максимумы'!M$4-'минимумы и максимумы'!M$2)*100)</f>
        <v>0</v>
      </c>
      <c r="P184" s="1">
        <f>IF('исходные данные'!P184&gt;'минимумы и максимумы'!N$4,100,('исходные данные'!P184-'минимумы и максимумы'!N$2)/('минимумы и максимумы'!N$4-'минимумы и максимумы'!N$2)*100)</f>
        <v>0</v>
      </c>
      <c r="Q184" s="1">
        <f>IF('исходные данные'!Q184&gt;'минимумы и максимумы'!O$4,100,('исходные данные'!Q184-'минимумы и максимумы'!O$2)/('минимумы и максимумы'!O$4-'минимумы и максимумы'!O$2)*100)</f>
        <v>100</v>
      </c>
      <c r="R184" s="1">
        <f>IF('исходные данные'!R184&gt;'минимумы и максимумы'!P$4,100,('исходные данные'!R184-'минимумы и максимумы'!P$2)/('минимумы и максимумы'!P$4-'минимумы и максимумы'!P$2)*100)</f>
        <v>100</v>
      </c>
      <c r="S184" s="1">
        <f>IF('исходные данные'!S184&gt;'минимумы и максимумы'!Q$4,100,('исходные данные'!S184-'минимумы и максимумы'!Q$2)/('минимумы и максимумы'!Q$4-'минимумы и максимумы'!Q$2)*100)</f>
        <v>11.111111111111111</v>
      </c>
      <c r="T184" s="1">
        <f>IF('исходные данные'!T184&gt;'минимумы и максимумы'!R$4,100,('исходные данные'!T184-'минимумы и максимумы'!R$2)/('минимумы и максимумы'!R$4-'минимумы и максимумы'!R$2)*100)</f>
        <v>3.1357882623705411</v>
      </c>
      <c r="U184" s="1">
        <f>IF('исходные данные'!U184&gt;'минимумы и максимумы'!S$4,100,('исходные данные'!U184-'минимумы и максимумы'!S$2)/('минимумы и максимумы'!S$4-'минимумы и максимумы'!S$2)*100)</f>
        <v>0</v>
      </c>
    </row>
    <row r="185" spans="1:21" x14ac:dyDescent="0.45">
      <c r="A185" s="4">
        <v>269</v>
      </c>
      <c r="B185" s="4">
        <v>0</v>
      </c>
      <c r="C185" s="4">
        <v>0</v>
      </c>
      <c r="D185" s="1">
        <f>IF('исходные данные'!D185&gt;'минимумы и максимумы'!B$4,100,('исходные данные'!D185-'минимумы и максимумы'!B$2)/('минимумы и максимумы'!B$4-'минимумы и максимумы'!B$2)*100)</f>
        <v>12.5</v>
      </c>
      <c r="E185" s="1">
        <f>IF('исходные данные'!E185&gt;'минимумы и максимумы'!C$4,100,('исходные данные'!E185-'минимумы и максимумы'!C$2)/('минимумы и максимумы'!C$4-'минимумы и максимумы'!C$2)*100)</f>
        <v>6.25</v>
      </c>
      <c r="F185" s="1">
        <f>IF('исходные данные'!F185&gt;'минимумы и максимумы'!D$4,100,('исходные данные'!F185-'минимумы и максимумы'!D$2)/('минимумы и максимумы'!D$4-'минимумы и максимумы'!D$2)*100)</f>
        <v>0</v>
      </c>
      <c r="G185" s="1">
        <f>IF('исходные данные'!G185&gt;'минимумы и максимумы'!E$4,100,('исходные данные'!G185-'минимумы и максимумы'!E$2)/('минимумы и максимумы'!E$4-'минимумы и максимумы'!E$2)*100)</f>
        <v>0</v>
      </c>
      <c r="H185" s="1">
        <f>IF('исходные данные'!H185&gt;'минимумы и максимумы'!F$4,100,('исходные данные'!H185-'минимумы и максимумы'!F$2)/('минимумы и максимумы'!F$4-'минимумы и максимумы'!F$2)*100)</f>
        <v>0</v>
      </c>
      <c r="I185" s="1">
        <f>IF('исходные данные'!I185&gt;'минимумы и максимумы'!G$4,100,('исходные данные'!I185-'минимумы и максимумы'!G$2)/('минимумы и максимумы'!G$4-'минимумы и максимумы'!G$2)*100)</f>
        <v>1.2048192771084338</v>
      </c>
      <c r="J185" s="1">
        <f>IF('исходные данные'!J185&gt;'минимумы и максимумы'!H$4,100,('исходные данные'!J185-'минимумы и максимумы'!H$2)/('минимумы и максимумы'!H$4-'минимумы и максимумы'!H$2)*100)</f>
        <v>4.1666666666666661</v>
      </c>
      <c r="K185" s="1">
        <f>IF('исходные данные'!K185&gt;'минимумы и максимумы'!I$4,100,('исходные данные'!K185-'минимумы и максимумы'!I$2)/('минимумы и максимумы'!I$4-'минимумы и максимумы'!I$2)*100)</f>
        <v>0</v>
      </c>
      <c r="L185" s="1">
        <f>IF('исходные данные'!L185&gt;'минимумы и максимумы'!J$4,100,('исходные данные'!L185-'минимумы и максимумы'!J$2)/('минимумы и максимумы'!J$4-'минимумы и максимумы'!J$2)*100)</f>
        <v>0</v>
      </c>
      <c r="M185" s="1">
        <f>IF('исходные данные'!M185&gt;'минимумы и максимумы'!K$4,100,('исходные данные'!M185-'минимумы и максимумы'!K$2)/('минимумы и максимумы'!K$4-'минимумы и максимумы'!K$2)*100)</f>
        <v>6.3829787234042552</v>
      </c>
      <c r="N185" s="1">
        <f>IF('исходные данные'!N185&gt;'минимумы и максимумы'!L$4,100,('исходные данные'!N185-'минимумы и максимумы'!L$2)/('минимумы и максимумы'!L$4-'минимумы и максимумы'!L$2)*100)</f>
        <v>38.09774470597592</v>
      </c>
      <c r="O185" s="1">
        <f>IF('исходные данные'!O185&gt;'минимумы и максимумы'!M$4,100,('исходные данные'!O185-'минимумы и максимумы'!M$2)/('минимумы и максимумы'!M$4-'минимумы и максимумы'!M$2)*100)</f>
        <v>0</v>
      </c>
      <c r="P185" s="1">
        <f>IF('исходные данные'!P185&gt;'минимумы и максимумы'!N$4,100,('исходные данные'!P185-'минимумы и максимумы'!N$2)/('минимумы и максимумы'!N$4-'минимумы и максимумы'!N$2)*100)</f>
        <v>0</v>
      </c>
      <c r="Q185" s="1">
        <f>IF('исходные данные'!Q185&gt;'минимумы и максимумы'!O$4,100,('исходные данные'!Q185-'минимумы и максимумы'!O$2)/('минимумы и максимумы'!O$4-'минимумы и максимумы'!O$2)*100)</f>
        <v>100</v>
      </c>
      <c r="R185" s="1">
        <f>IF('исходные данные'!R185&gt;'минимумы и максимумы'!P$4,100,('исходные данные'!R185-'минимумы и максимумы'!P$2)/('минимумы и максимумы'!P$4-'минимумы и максимумы'!P$2)*100)</f>
        <v>100</v>
      </c>
      <c r="S185" s="1">
        <f>IF('исходные данные'!S185&gt;'минимумы и максимумы'!Q$4,100,('исходные данные'!S185-'минимумы и максимумы'!Q$2)/('минимумы и максимумы'!Q$4-'минимумы и максимумы'!Q$2)*100)</f>
        <v>11.111111111111111</v>
      </c>
      <c r="T185" s="1">
        <f>IF('исходные данные'!T185&gt;'минимумы и максимумы'!R$4,100,('исходные данные'!T185-'минимумы и максимумы'!R$2)/('минимумы и максимумы'!R$4-'минимумы и максимумы'!R$2)*100)</f>
        <v>28.337169159953966</v>
      </c>
      <c r="U185" s="1">
        <f>IF('исходные данные'!U185&gt;'минимумы и максимумы'!S$4,100,('исходные данные'!U185-'минимумы и максимумы'!S$2)/('минимумы и максимумы'!S$4-'минимумы и максимумы'!S$2)*100)</f>
        <v>66.666666666666657</v>
      </c>
    </row>
    <row r="186" spans="1:21" x14ac:dyDescent="0.45">
      <c r="A186" s="4">
        <v>271</v>
      </c>
      <c r="B186" s="4">
        <v>0</v>
      </c>
      <c r="C186" s="4">
        <v>0</v>
      </c>
      <c r="D186" s="1">
        <f>IF('исходные данные'!D186&gt;'минимумы и максимумы'!B$4,100,('исходные данные'!D186-'минимумы и максимумы'!B$2)/('минимумы и максимумы'!B$4-'минимумы и максимумы'!B$2)*100)</f>
        <v>0</v>
      </c>
      <c r="E186" s="1">
        <f>IF('исходные данные'!E186&gt;'минимумы и максимумы'!C$4,100,('исходные данные'!E186-'минимумы и максимумы'!C$2)/('минимумы и максимумы'!C$4-'минимумы и максимумы'!C$2)*100)</f>
        <v>0</v>
      </c>
      <c r="F186" s="1">
        <f>IF('исходные данные'!F186&gt;'минимумы и максимумы'!D$4,100,('исходные данные'!F186-'минимумы и максимумы'!D$2)/('минимумы и максимумы'!D$4-'минимумы и максимумы'!D$2)*100)</f>
        <v>0</v>
      </c>
      <c r="G186" s="1">
        <f>IF('исходные данные'!G186&gt;'минимумы и максимумы'!E$4,100,('исходные данные'!G186-'минимумы и максимумы'!E$2)/('минимумы и максимумы'!E$4-'минимумы и максимумы'!E$2)*100)</f>
        <v>0</v>
      </c>
      <c r="H186" s="1">
        <f>IF('исходные данные'!H186&gt;'минимумы и максимумы'!F$4,100,('исходные данные'!H186-'минимумы и максимумы'!F$2)/('минимумы и максимумы'!F$4-'минимумы и максимумы'!F$2)*100)</f>
        <v>0</v>
      </c>
      <c r="I186" s="1">
        <f>IF('исходные данные'!I186&gt;'минимумы и максимумы'!G$4,100,('исходные данные'!I186-'минимумы и максимумы'!G$2)/('минимумы и максимумы'!G$4-'минимумы и максимумы'!G$2)*100)</f>
        <v>0</v>
      </c>
      <c r="J186" s="1">
        <f>IF('исходные данные'!J186&gt;'минимумы и максимумы'!H$4,100,('исходные данные'!J186-'минимумы и максимумы'!H$2)/('минимумы и максимумы'!H$4-'минимумы и максимумы'!H$2)*100)</f>
        <v>0</v>
      </c>
      <c r="K186" s="1">
        <f>IF('исходные данные'!K186&gt;'минимумы и максимумы'!I$4,100,('исходные данные'!K186-'минимумы и максимумы'!I$2)/('минимумы и максимумы'!I$4-'минимумы и максимумы'!I$2)*100)</f>
        <v>0</v>
      </c>
      <c r="L186" s="1">
        <f>IF('исходные данные'!L186&gt;'минимумы и максимумы'!J$4,100,('исходные данные'!L186-'минимумы и максимумы'!J$2)/('минимумы и максимумы'!J$4-'минимумы и максимумы'!J$2)*100)</f>
        <v>0</v>
      </c>
      <c r="M186" s="1">
        <f>IF('исходные данные'!M186&gt;'минимумы и максимумы'!K$4,100,('исходные данные'!M186-'минимумы и максимумы'!K$2)/('минимумы и максимумы'!K$4-'минимумы и максимумы'!K$2)*100)</f>
        <v>0</v>
      </c>
      <c r="N186" s="1">
        <f>IF('исходные данные'!N186&gt;'минимумы и максимумы'!L$4,100,('исходные данные'!N186-'минимумы и максимумы'!L$2)/('минимумы и максимумы'!L$4-'минимумы и максимумы'!L$2)*100)</f>
        <v>45.240145176605388</v>
      </c>
      <c r="O186" s="1">
        <f>IF('исходные данные'!O186&gt;'минимумы и максимумы'!M$4,100,('исходные данные'!O186-'минимумы и максимумы'!M$2)/('минимумы и максимумы'!M$4-'минимумы и максимумы'!M$2)*100)</f>
        <v>66.666666666666657</v>
      </c>
      <c r="P186" s="1">
        <f>IF('исходные данные'!P186&gt;'минимумы и максимумы'!N$4,100,('исходные данные'!P186-'минимумы и максимумы'!N$2)/('минимумы и максимумы'!N$4-'минимумы и максимумы'!N$2)*100)</f>
        <v>0</v>
      </c>
      <c r="Q186" s="1">
        <f>IF('исходные данные'!Q186&gt;'минимумы и максимумы'!O$4,100,('исходные данные'!Q186-'минимумы и максимумы'!O$2)/('минимумы и максимумы'!O$4-'минимумы и максимумы'!O$2)*100)</f>
        <v>0</v>
      </c>
      <c r="R186" s="1">
        <f>IF('исходные данные'!R186&gt;'минимумы и максимумы'!P$4,100,('исходные данные'!R186-'минимумы и максимумы'!P$2)/('минимумы и максимумы'!P$4-'минимумы и максимумы'!P$2)*100)</f>
        <v>50</v>
      </c>
      <c r="S186" s="1">
        <f>IF('исходные данные'!S186&gt;'минимумы и максимумы'!Q$4,100,('исходные данные'!S186-'минимумы и максимумы'!Q$2)/('минимумы и максимумы'!Q$4-'минимумы и максимумы'!Q$2)*100)</f>
        <v>44.444444444444443</v>
      </c>
      <c r="T186" s="1">
        <f>IF('исходные данные'!T186&gt;'минимумы и максимумы'!R$4,100,('исходные данные'!T186-'минимумы и максимумы'!R$2)/('минимумы и максимумы'!R$4-'минимумы и максимумы'!R$2)*100)</f>
        <v>1.093210586881473</v>
      </c>
      <c r="U186" s="1">
        <f>IF('исходные данные'!U186&gt;'минимумы и максимумы'!S$4,100,('исходные данные'!U186-'минимумы и максимумы'!S$2)/('минимумы и максимумы'!S$4-'минимумы и максимумы'!S$2)*100)</f>
        <v>33.333333333333329</v>
      </c>
    </row>
    <row r="187" spans="1:21" x14ac:dyDescent="0.45">
      <c r="A187" s="4">
        <v>273</v>
      </c>
      <c r="B187" s="4">
        <v>0</v>
      </c>
      <c r="C187" s="4">
        <v>1</v>
      </c>
      <c r="D187" s="1">
        <f>IF('исходные данные'!D187&gt;'минимумы и максимумы'!B$4,100,('исходные данные'!D187-'минимумы и максимумы'!B$2)/('минимумы и максимумы'!B$4-'минимумы и максимумы'!B$2)*100)</f>
        <v>0</v>
      </c>
      <c r="E187" s="1">
        <f>IF('исходные данные'!E187&gt;'минимумы и максимумы'!C$4,100,('исходные данные'!E187-'минимумы и максимумы'!C$2)/('минимумы и максимумы'!C$4-'минимумы и максимумы'!C$2)*100)</f>
        <v>6.25</v>
      </c>
      <c r="F187" s="1">
        <f>IF('исходные данные'!F187&gt;'минимумы и максимумы'!D$4,100,('исходные данные'!F187-'минимумы и максимумы'!D$2)/('минимумы и максимумы'!D$4-'минимумы и максимумы'!D$2)*100)</f>
        <v>25</v>
      </c>
      <c r="G187" s="1">
        <f>IF('исходные данные'!G187&gt;'минимумы и максимумы'!E$4,100,('исходные данные'!G187-'минимумы и максимумы'!E$2)/('минимумы и максимумы'!E$4-'минимумы и максимумы'!E$2)*100)</f>
        <v>13.513513513513514</v>
      </c>
      <c r="H187" s="1">
        <f>IF('исходные данные'!H187&gt;'минимумы и максимумы'!F$4,100,('исходные данные'!H187-'минимумы и максимумы'!F$2)/('минимумы и максимумы'!F$4-'минимумы и максимумы'!F$2)*100)</f>
        <v>13.157894736842104</v>
      </c>
      <c r="I187" s="1">
        <f>IF('исходные данные'!I187&gt;'минимумы и максимумы'!G$4,100,('исходные данные'!I187-'минимумы и максимумы'!G$2)/('минимумы и максимумы'!G$4-'минимумы и максимумы'!G$2)*100)</f>
        <v>7.2289156626506017</v>
      </c>
      <c r="J187" s="1">
        <f>IF('исходные данные'!J187&gt;'минимумы и максимумы'!H$4,100,('исходные данные'!J187-'минимумы и максимумы'!H$2)/('минимумы и максимумы'!H$4-'минимумы и максимумы'!H$2)*100)</f>
        <v>0</v>
      </c>
      <c r="K187" s="1">
        <f>IF('исходные данные'!K187&gt;'минимумы и максимумы'!I$4,100,('исходные данные'!K187-'минимумы и максимумы'!I$2)/('минимумы и максимумы'!I$4-'минимумы и максимумы'!I$2)*100)</f>
        <v>3.5714285714285712</v>
      </c>
      <c r="L187" s="1">
        <f>IF('исходные данные'!L187&gt;'минимумы и максимумы'!J$4,100,('исходные данные'!L187-'минимумы и максимумы'!J$2)/('минимумы и максимумы'!J$4-'минимумы и максимумы'!J$2)*100)</f>
        <v>12.5</v>
      </c>
      <c r="M187" s="1">
        <f>IF('исходные данные'!M187&gt;'минимумы и максимумы'!K$4,100,('исходные данные'!M187-'минимумы и максимумы'!K$2)/('минимумы и максимумы'!K$4-'минимумы и максимумы'!K$2)*100)</f>
        <v>4.2553191489361701</v>
      </c>
      <c r="N187" s="1">
        <f>IF('исходные данные'!N187&gt;'минимумы и максимумы'!L$4,100,('исходные данные'!N187-'минимумы и максимумы'!L$2)/('минимумы и максимумы'!L$4-'минимумы и максимумы'!L$2)*100)</f>
        <v>24.02672337141561</v>
      </c>
      <c r="O187" s="1">
        <f>IF('исходные данные'!O187&gt;'минимумы и максимумы'!M$4,100,('исходные данные'!O187-'минимумы и максимумы'!M$2)/('минимумы и максимумы'!M$4-'минимумы и максимумы'!M$2)*100)</f>
        <v>66.666666666666657</v>
      </c>
      <c r="P187" s="1">
        <f>IF('исходные данные'!P187&gt;'минимумы и максимумы'!N$4,100,('исходные данные'!P187-'минимумы и максимумы'!N$2)/('минимумы и максимумы'!N$4-'минимумы и максимумы'!N$2)*100)</f>
        <v>0</v>
      </c>
      <c r="Q187" s="1">
        <f>IF('исходные данные'!Q187&gt;'минимумы и максимумы'!O$4,100,('исходные данные'!Q187-'минимумы и максимумы'!O$2)/('минимумы и максимумы'!O$4-'минимумы и максимумы'!O$2)*100)</f>
        <v>0</v>
      </c>
      <c r="R187" s="1">
        <f>IF('исходные данные'!R187&gt;'минимумы и максимумы'!P$4,100,('исходные данные'!R187-'минимумы и максимумы'!P$2)/('минимумы и максимумы'!P$4-'минимумы и максимумы'!P$2)*100)</f>
        <v>25</v>
      </c>
      <c r="S187" s="1">
        <f>IF('исходные данные'!S187&gt;'минимумы и максимумы'!Q$4,100,('исходные данные'!S187-'минимумы и максимумы'!Q$2)/('минимумы и максимумы'!Q$4-'минимумы и максимумы'!Q$2)*100)</f>
        <v>11.111111111111111</v>
      </c>
      <c r="T187" s="1">
        <f>IF('исходные данные'!T187&gt;'минимумы и максимумы'!R$4,100,('исходные данные'!T187-'минимумы и максимумы'!R$2)/('минимумы и максимумы'!R$4-'минимумы и максимумы'!R$2)*100)</f>
        <v>30.408515535097813</v>
      </c>
      <c r="U187" s="1">
        <f>IF('исходные данные'!U187&gt;'минимумы и максимумы'!S$4,100,('исходные данные'!U187-'минимумы и максимумы'!S$2)/('минимумы и максимумы'!S$4-'минимумы и максимумы'!S$2)*100)</f>
        <v>33.333333333333329</v>
      </c>
    </row>
    <row r="188" spans="1:21" x14ac:dyDescent="0.45">
      <c r="A188" s="4">
        <v>274</v>
      </c>
      <c r="B188" s="4">
        <v>0</v>
      </c>
      <c r="C188" s="4">
        <v>0</v>
      </c>
      <c r="D188" s="1">
        <f>IF('исходные данные'!D188&gt;'минимумы и максимумы'!B$4,100,('исходные данные'!D188-'минимумы и максимумы'!B$2)/('минимумы и максимумы'!B$4-'минимумы и максимумы'!B$2)*100)</f>
        <v>0</v>
      </c>
      <c r="E188" s="1">
        <f>IF('исходные данные'!E188&gt;'минимумы и максимумы'!C$4,100,('исходные данные'!E188-'минимумы и максимумы'!C$2)/('минимумы и максимумы'!C$4-'минимумы и максимумы'!C$2)*100)</f>
        <v>6.25</v>
      </c>
      <c r="F188" s="1">
        <f>IF('исходные данные'!F188&gt;'минимумы и максимумы'!D$4,100,('исходные данные'!F188-'минимумы и максимумы'!D$2)/('минимумы и максимумы'!D$4-'минимумы и максимумы'!D$2)*100)</f>
        <v>25</v>
      </c>
      <c r="G188" s="1">
        <f>IF('исходные данные'!G188&gt;'минимумы и максимумы'!E$4,100,('исходные данные'!G188-'минимумы и максимумы'!E$2)/('минимумы и максимумы'!E$4-'минимумы и максимумы'!E$2)*100)</f>
        <v>13.513513513513514</v>
      </c>
      <c r="H188" s="1">
        <f>IF('исходные данные'!H188&gt;'минимумы и максимумы'!F$4,100,('исходные данные'!H188-'минимумы и максимумы'!F$2)/('минимумы и максимумы'!F$4-'минимумы и максимумы'!F$2)*100)</f>
        <v>7.8947368421052628</v>
      </c>
      <c r="I188" s="1">
        <f>IF('исходные данные'!I188&gt;'минимумы и максимумы'!G$4,100,('исходные данные'!I188-'минимумы и максимумы'!G$2)/('минимумы и максимумы'!G$4-'минимумы и максимумы'!G$2)*100)</f>
        <v>2.4096385542168677</v>
      </c>
      <c r="J188" s="1">
        <f>IF('исходные данные'!J188&gt;'минимумы и максимумы'!H$4,100,('исходные данные'!J188-'минимумы и максимумы'!H$2)/('минимумы и максимумы'!H$4-'минимумы и максимумы'!H$2)*100)</f>
        <v>0</v>
      </c>
      <c r="K188" s="1">
        <f>IF('исходные данные'!K188&gt;'минимумы и максимумы'!I$4,100,('исходные данные'!K188-'минимумы и максимумы'!I$2)/('минимумы и максимумы'!I$4-'минимумы и максимумы'!I$2)*100)</f>
        <v>0</v>
      </c>
      <c r="L188" s="1">
        <f>IF('исходные данные'!L188&gt;'минимумы и максимумы'!J$4,100,('исходные данные'!L188-'минимумы и максимумы'!J$2)/('минимумы и максимумы'!J$4-'минимумы и максимумы'!J$2)*100)</f>
        <v>0</v>
      </c>
      <c r="M188" s="1">
        <f>IF('исходные данные'!M188&gt;'минимумы и максимумы'!K$4,100,('исходные данные'!M188-'минимумы и максимумы'!K$2)/('минимумы и максимумы'!K$4-'минимумы и максимумы'!K$2)*100)</f>
        <v>2.1276595744680851</v>
      </c>
      <c r="N188" s="1">
        <f>IF('исходные данные'!N188&gt;'минимумы и максимумы'!L$4,100,('исходные данные'!N188-'минимумы и максимумы'!L$2)/('минимумы и максимумы'!L$4-'минимумы и максимумы'!L$2)*100)</f>
        <v>23.157079286301467</v>
      </c>
      <c r="O188" s="1">
        <f>IF('исходные данные'!O188&gt;'минимумы и максимумы'!M$4,100,('исходные данные'!O188-'минимумы и максимумы'!M$2)/('минимумы и максимумы'!M$4-'минимумы и максимумы'!M$2)*100)</f>
        <v>33.333333333333329</v>
      </c>
      <c r="P188" s="1">
        <f>IF('исходные данные'!P188&gt;'минимумы и максимумы'!N$4,100,('исходные данные'!P188-'минимумы и максимумы'!N$2)/('минимумы и максимумы'!N$4-'минимумы и максимумы'!N$2)*100)</f>
        <v>0</v>
      </c>
      <c r="Q188" s="1">
        <f>IF('исходные данные'!Q188&gt;'минимумы и максимумы'!O$4,100,('исходные данные'!Q188-'минимумы и максимумы'!O$2)/('минимумы и максимумы'!O$4-'минимумы и максимумы'!O$2)*100)</f>
        <v>0</v>
      </c>
      <c r="R188" s="1">
        <f>IF('исходные данные'!R188&gt;'минимумы и максимумы'!P$4,100,('исходные данные'!R188-'минимумы и максимумы'!P$2)/('минимумы и максимумы'!P$4-'минимумы и максимумы'!P$2)*100)</f>
        <v>75</v>
      </c>
      <c r="S188" s="1">
        <f>IF('исходные данные'!S188&gt;'минимумы и максимумы'!Q$4,100,('исходные данные'!S188-'минимумы и максимумы'!Q$2)/('минимумы и максимумы'!Q$4-'минимумы и максимумы'!Q$2)*100)</f>
        <v>11.111111111111111</v>
      </c>
      <c r="T188" s="1">
        <f>IF('исходные данные'!T188&gt;'минимумы и максимумы'!R$4,100,('исходные данные'!T188-'минимумы и максимумы'!R$2)/('минимумы и максимумы'!R$4-'минимумы и максимумы'!R$2)*100)</f>
        <v>3.4234752589182968</v>
      </c>
      <c r="U188" s="1">
        <f>IF('исходные данные'!U188&gt;'минимумы и максимумы'!S$4,100,('исходные данные'!U188-'минимумы и максимумы'!S$2)/('минимумы и максимумы'!S$4-'минимумы и максимумы'!S$2)*100)</f>
        <v>0</v>
      </c>
    </row>
    <row r="189" spans="1:21" x14ac:dyDescent="0.45">
      <c r="A189" s="4">
        <v>275</v>
      </c>
      <c r="B189" s="4">
        <v>0</v>
      </c>
      <c r="C189" s="4">
        <v>0</v>
      </c>
      <c r="D189" s="1">
        <f>IF('исходные данные'!D189&gt;'минимумы и максимумы'!B$4,100,('исходные данные'!D189-'минимумы и максимумы'!B$2)/('минимумы и максимумы'!B$4-'минимумы и максимумы'!B$2)*100)</f>
        <v>12.5</v>
      </c>
      <c r="E189" s="1">
        <f>IF('исходные данные'!E189&gt;'минимумы и максимумы'!C$4,100,('исходные данные'!E189-'минимумы и максимумы'!C$2)/('минимумы и максимумы'!C$4-'минимумы и максимумы'!C$2)*100)</f>
        <v>0</v>
      </c>
      <c r="F189" s="1">
        <f>IF('исходные данные'!F189&gt;'минимумы и максимумы'!D$4,100,('исходные данные'!F189-'минимумы и максимумы'!D$2)/('минимумы и максимумы'!D$4-'минимумы и максимумы'!D$2)*100)</f>
        <v>0</v>
      </c>
      <c r="G189" s="1">
        <f>IF('исходные данные'!G189&gt;'минимумы и максимумы'!E$4,100,('исходные данные'!G189-'минимумы и максимумы'!E$2)/('минимумы и максимумы'!E$4-'минимумы и максимумы'!E$2)*100)</f>
        <v>0</v>
      </c>
      <c r="H189" s="1">
        <f>IF('исходные данные'!H189&gt;'минимумы и максимумы'!F$4,100,('исходные данные'!H189-'минимумы и максимумы'!F$2)/('минимумы и максимумы'!F$4-'минимумы и максимумы'!F$2)*100)</f>
        <v>5.2631578947368416</v>
      </c>
      <c r="I189" s="1">
        <f>IF('исходные данные'!I189&gt;'минимумы и максимумы'!G$4,100,('исходные данные'!I189-'минимумы и максимумы'!G$2)/('минимумы и максимумы'!G$4-'минимумы и максимумы'!G$2)*100)</f>
        <v>12.048192771084338</v>
      </c>
      <c r="J189" s="1">
        <f>IF('исходные данные'!J189&gt;'минимумы и максимумы'!H$4,100,('исходные данные'!J189-'минимумы и максимумы'!H$2)/('минимумы и максимумы'!H$4-'минимумы и максимумы'!H$2)*100)</f>
        <v>4.1666666666666661</v>
      </c>
      <c r="K189" s="1">
        <f>IF('исходные данные'!K189&gt;'минимумы и максимумы'!I$4,100,('исходные данные'!K189-'минимумы и максимумы'!I$2)/('минимумы и максимумы'!I$4-'минимумы и максимумы'!I$2)*100)</f>
        <v>14.285714285714285</v>
      </c>
      <c r="L189" s="1">
        <f>IF('исходные данные'!L189&gt;'минимумы и максимумы'!J$4,100,('исходные данные'!L189-'минимумы и максимумы'!J$2)/('минимумы и максимумы'!J$4-'минимумы и максимумы'!J$2)*100)</f>
        <v>12.5</v>
      </c>
      <c r="M189" s="1">
        <f>IF('исходные данные'!M189&gt;'минимумы и максимумы'!K$4,100,('исходные данные'!M189-'минимумы и максимумы'!K$2)/('минимумы и максимумы'!K$4-'минимумы и максимумы'!K$2)*100)</f>
        <v>10.638297872340425</v>
      </c>
      <c r="N189" s="1">
        <f>IF('исходные данные'!N189&gt;'минимумы и максимумы'!L$4,100,('исходные данные'!N189-'минимумы и максимумы'!L$2)/('минимумы и максимумы'!L$4-'минимумы и максимумы'!L$2)*100)</f>
        <v>26.848404998413073</v>
      </c>
      <c r="O189" s="1">
        <f>IF('исходные данные'!O189&gt;'минимумы и максимумы'!M$4,100,('исходные данные'!O189-'минимумы и максимумы'!M$2)/('минимумы и максимумы'!M$4-'минимумы и максимумы'!M$2)*100)</f>
        <v>100</v>
      </c>
      <c r="P189" s="1">
        <f>IF('исходные данные'!P189&gt;'минимумы и максимумы'!N$4,100,('исходные данные'!P189-'минимумы и максимумы'!N$2)/('минимумы и максимумы'!N$4-'минимумы и максимумы'!N$2)*100)</f>
        <v>0</v>
      </c>
      <c r="Q189" s="1">
        <f>IF('исходные данные'!Q189&gt;'минимумы и максимумы'!O$4,100,('исходные данные'!Q189-'минимумы и максимумы'!O$2)/('минимумы и максимумы'!O$4-'минимумы и максимумы'!O$2)*100)</f>
        <v>100</v>
      </c>
      <c r="R189" s="1">
        <f>IF('исходные данные'!R189&gt;'минимумы и максимумы'!P$4,100,('исходные данные'!R189-'минимумы и максимумы'!P$2)/('минимумы и максимумы'!P$4-'минимумы и максимумы'!P$2)*100)</f>
        <v>0</v>
      </c>
      <c r="S189" s="1">
        <f>IF('исходные данные'!S189&gt;'минимумы и максимумы'!Q$4,100,('исходные данные'!S189-'минимумы и максимумы'!Q$2)/('минимумы и максимумы'!Q$4-'минимумы и максимумы'!Q$2)*100)</f>
        <v>11.111111111111111</v>
      </c>
      <c r="T189" s="1">
        <f>IF('исходные данные'!T189&gt;'минимумы и максимумы'!R$4,100,('исходные данные'!T189-'минимумы и максимумы'!R$2)/('минимумы и максимумы'!R$4-'минимумы и максимумы'!R$2)*100)</f>
        <v>16.254315304948218</v>
      </c>
      <c r="U189" s="1">
        <f>IF('исходные данные'!U189&gt;'минимумы и максимумы'!S$4,100,('исходные данные'!U189-'минимумы и максимумы'!S$2)/('минимумы и максимумы'!S$4-'минимумы и максимумы'!S$2)*100)</f>
        <v>33.333333333333329</v>
      </c>
    </row>
    <row r="190" spans="1:21" x14ac:dyDescent="0.45">
      <c r="A190" s="4">
        <v>276</v>
      </c>
      <c r="B190" s="4">
        <v>0</v>
      </c>
      <c r="C190" s="4">
        <v>0</v>
      </c>
      <c r="D190" s="1">
        <f>IF('исходные данные'!D190&gt;'минимумы и максимумы'!B$4,100,('исходные данные'!D190-'минимумы и максимумы'!B$2)/('минимумы и максимумы'!B$4-'минимумы и максимумы'!B$2)*100)</f>
        <v>25</v>
      </c>
      <c r="E190" s="1">
        <f>IF('исходные данные'!E190&gt;'минимумы и максимумы'!C$4,100,('исходные данные'!E190-'минимумы и максимумы'!C$2)/('минимумы и максимумы'!C$4-'минимумы и максимумы'!C$2)*100)</f>
        <v>18.75</v>
      </c>
      <c r="F190" s="1">
        <f>IF('исходные данные'!F190&gt;'минимумы и максимумы'!D$4,100,('исходные данные'!F190-'минимумы и максимумы'!D$2)/('минимумы и максимумы'!D$4-'минимумы и максимумы'!D$2)*100)</f>
        <v>75</v>
      </c>
      <c r="G190" s="1">
        <f>IF('исходные данные'!G190&gt;'минимумы и максимумы'!E$4,100,('исходные данные'!G190-'минимумы и максимумы'!E$2)/('минимумы и максимумы'!E$4-'минимумы и максимумы'!E$2)*100)</f>
        <v>18.918918918918919</v>
      </c>
      <c r="H190" s="1">
        <f>IF('исходные данные'!H190&gt;'минимумы и максимумы'!F$4,100,('исходные данные'!H190-'минимумы и максимумы'!F$2)/('минимумы и максимумы'!F$4-'минимумы и максимумы'!F$2)*100)</f>
        <v>10.526315789473683</v>
      </c>
      <c r="I190" s="1">
        <f>IF('исходные данные'!I190&gt;'минимумы и максимумы'!G$4,100,('исходные данные'!I190-'минимумы и максимумы'!G$2)/('минимумы и максимумы'!G$4-'минимумы и максимумы'!G$2)*100)</f>
        <v>7.2289156626506017</v>
      </c>
      <c r="J190" s="1">
        <f>IF('исходные данные'!J190&gt;'минимумы и максимумы'!H$4,100,('исходные данные'!J190-'минимумы и максимумы'!H$2)/('минимумы и максимумы'!H$4-'минимумы и максимумы'!H$2)*100)</f>
        <v>8.3333333333333321</v>
      </c>
      <c r="K190" s="1">
        <f>IF('исходные данные'!K190&gt;'минимумы и максимумы'!I$4,100,('исходные данные'!K190-'минимумы и максимумы'!I$2)/('минимумы и максимумы'!I$4-'минимумы и максимумы'!I$2)*100)</f>
        <v>0</v>
      </c>
      <c r="L190" s="1">
        <f>IF('исходные данные'!L190&gt;'минимумы и максимумы'!J$4,100,('исходные данные'!L190-'минимумы и максимумы'!J$2)/('минимумы и максимумы'!J$4-'минимумы и максимумы'!J$2)*100)</f>
        <v>0</v>
      </c>
      <c r="M190" s="1">
        <f>IF('исходные данные'!M190&gt;'минимумы и максимумы'!K$4,100,('исходные данные'!M190-'минимумы и максимумы'!K$2)/('минимумы и максимумы'!K$4-'минимумы и максимумы'!K$2)*100)</f>
        <v>25.531914893617021</v>
      </c>
      <c r="N190" s="1">
        <f>IF('исходные данные'!N190&gt;'минимумы и максимумы'!L$4,100,('исходные данные'!N190-'минимумы и максимумы'!L$2)/('минимумы и максимумы'!L$4-'минимумы и максимумы'!L$2)*100)</f>
        <v>20.394618764224639</v>
      </c>
      <c r="O190" s="1">
        <f>IF('исходные данные'!O190&gt;'минимумы и максимумы'!M$4,100,('исходные данные'!O190-'минимумы и максимумы'!M$2)/('минимумы и максимумы'!M$4-'минимумы и максимумы'!M$2)*100)</f>
        <v>0</v>
      </c>
      <c r="P190" s="1">
        <f>IF('исходные данные'!P190&gt;'минимумы и максимумы'!N$4,100,('исходные данные'!P190-'минимумы и максимумы'!N$2)/('минимумы и максимумы'!N$4-'минимумы и максимумы'!N$2)*100)</f>
        <v>0</v>
      </c>
      <c r="Q190" s="1">
        <f>IF('исходные данные'!Q190&gt;'минимумы и максимумы'!O$4,100,('исходные данные'!Q190-'минимумы и максимумы'!O$2)/('минимумы и максимумы'!O$4-'минимумы и максимумы'!O$2)*100)</f>
        <v>0</v>
      </c>
      <c r="R190" s="1">
        <f>IF('исходные данные'!R190&gt;'минимумы и максимумы'!P$4,100,('исходные данные'!R190-'минимумы и максимумы'!P$2)/('минимумы и максимумы'!P$4-'минимумы и максимумы'!P$2)*100)</f>
        <v>50</v>
      </c>
      <c r="S190" s="1">
        <f>IF('исходные данные'!S190&gt;'минимумы и максимумы'!Q$4,100,('исходные данные'!S190-'минимумы и максимумы'!Q$2)/('минимумы и максимумы'!Q$4-'минимумы и максимумы'!Q$2)*100)</f>
        <v>11.111111111111111</v>
      </c>
      <c r="T190" s="1">
        <f>IF('исходные данные'!T190&gt;'минимумы и максимумы'!R$4,100,('исходные данные'!T190-'минимумы и максимумы'!R$2)/('минимумы и максимумы'!R$4-'минимумы и максимумы'!R$2)*100)</f>
        <v>1.2658227848101267</v>
      </c>
      <c r="U190" s="1">
        <f>IF('исходные данные'!U190&gt;'минимумы и максимумы'!S$4,100,('исходные данные'!U190-'минимумы и максимумы'!S$2)/('минимумы и максимумы'!S$4-'минимумы и максимумы'!S$2)*100)</f>
        <v>0</v>
      </c>
    </row>
    <row r="191" spans="1:21" x14ac:dyDescent="0.45">
      <c r="A191" s="4">
        <v>277</v>
      </c>
      <c r="B191" s="4">
        <v>0</v>
      </c>
      <c r="C191" s="4">
        <v>0</v>
      </c>
      <c r="D191" s="1">
        <f>IF('исходные данные'!D191&gt;'минимумы и максимумы'!B$4,100,('исходные данные'!D191-'минимумы и максимумы'!B$2)/('минимумы и максимумы'!B$4-'минимумы и максимумы'!B$2)*100)</f>
        <v>0</v>
      </c>
      <c r="E191" s="1">
        <f>IF('исходные данные'!E191&gt;'минимумы и максимумы'!C$4,100,('исходные данные'!E191-'минимумы и максимумы'!C$2)/('минимумы и максимумы'!C$4-'минимумы и максимумы'!C$2)*100)</f>
        <v>0</v>
      </c>
      <c r="F191" s="1">
        <f>IF('исходные данные'!F191&gt;'минимумы и максимумы'!D$4,100,('исходные данные'!F191-'минимумы и максимумы'!D$2)/('минимумы и максимумы'!D$4-'минимумы и максимумы'!D$2)*100)</f>
        <v>0</v>
      </c>
      <c r="G191" s="1">
        <f>IF('исходные данные'!G191&gt;'минимумы и максимумы'!E$4,100,('исходные данные'!G191-'минимумы и максимумы'!E$2)/('минимумы и максимумы'!E$4-'минимумы и максимумы'!E$2)*100)</f>
        <v>0</v>
      </c>
      <c r="H191" s="1">
        <f>IF('исходные данные'!H191&gt;'минимумы и максимумы'!F$4,100,('исходные данные'!H191-'минимумы и максимумы'!F$2)/('минимумы и максимумы'!F$4-'минимумы и максимумы'!F$2)*100)</f>
        <v>7.8947368421052628</v>
      </c>
      <c r="I191" s="1">
        <f>IF('исходные данные'!I191&gt;'минимумы и максимумы'!G$4,100,('исходные данные'!I191-'минимумы и максимумы'!G$2)/('минимумы и максимумы'!G$4-'минимумы и максимумы'!G$2)*100)</f>
        <v>10.843373493975903</v>
      </c>
      <c r="J191" s="1">
        <f>IF('исходные данные'!J191&gt;'минимумы и максимумы'!H$4,100,('исходные данные'!J191-'минимумы и максимумы'!H$2)/('минимумы и максимумы'!H$4-'минимумы и максимумы'!H$2)*100)</f>
        <v>0</v>
      </c>
      <c r="K191" s="1">
        <f>IF('исходные данные'!K191&gt;'минимумы и максимумы'!I$4,100,('исходные данные'!K191-'минимумы и максимумы'!I$2)/('минимумы и максимумы'!I$4-'минимумы и максимумы'!I$2)*100)</f>
        <v>7.1428571428571423</v>
      </c>
      <c r="L191" s="1">
        <f>IF('исходные данные'!L191&gt;'минимумы и максимумы'!J$4,100,('исходные данные'!L191-'минимумы и максимумы'!J$2)/('минимумы и максимумы'!J$4-'минимумы и максимумы'!J$2)*100)</f>
        <v>0</v>
      </c>
      <c r="M191" s="1">
        <f>IF('исходные данные'!M191&gt;'минимумы и максимумы'!K$4,100,('исходные данные'!M191-'минимумы и максимумы'!K$2)/('минимумы и максимумы'!K$4-'минимумы и максимумы'!K$2)*100)</f>
        <v>10.638297872340425</v>
      </c>
      <c r="N191" s="1">
        <f>IF('исходные данные'!N191&gt;'минимумы и максимумы'!L$4,100,('исходные данные'!N191-'минимумы и максимумы'!L$2)/('минимумы и максимумы'!L$4-'минимумы и максимумы'!L$2)*100)</f>
        <v>24.269530083527105</v>
      </c>
      <c r="O191" s="1">
        <f>IF('исходные данные'!O191&gt;'минимумы и максимумы'!M$4,100,('исходные данные'!O191-'минимумы и максимумы'!M$2)/('минимумы и максимумы'!M$4-'минимумы и максимумы'!M$2)*100)</f>
        <v>66.666666666666657</v>
      </c>
      <c r="P191" s="1">
        <f>IF('исходные данные'!P191&gt;'минимумы и максимумы'!N$4,100,('исходные данные'!P191-'минимумы и максимумы'!N$2)/('минимумы и максимумы'!N$4-'минимумы и максимумы'!N$2)*100)</f>
        <v>0</v>
      </c>
      <c r="Q191" s="1">
        <f>IF('исходные данные'!Q191&gt;'минимумы и максимумы'!O$4,100,('исходные данные'!Q191-'минимумы и максимумы'!O$2)/('минимумы и максимумы'!O$4-'минимумы и максимумы'!O$2)*100)</f>
        <v>0</v>
      </c>
      <c r="R191" s="1">
        <f>IF('исходные данные'!R191&gt;'минимумы и максимумы'!P$4,100,('исходные данные'!R191-'минимумы и максимумы'!P$2)/('минимумы и максимумы'!P$4-'минимумы и максимумы'!P$2)*100)</f>
        <v>25</v>
      </c>
      <c r="S191" s="1">
        <f>IF('исходные данные'!S191&gt;'минимумы и максимумы'!Q$4,100,('исходные данные'!S191-'минимумы и максимумы'!Q$2)/('минимумы и максимумы'!Q$4-'минимумы и максимумы'!Q$2)*100)</f>
        <v>22.222222222222221</v>
      </c>
      <c r="T191" s="1">
        <f>IF('исходные данные'!T191&gt;'минимумы и максимумы'!R$4,100,('исходные данные'!T191-'минимумы и максимумы'!R$2)/('минимумы и максимумы'!R$4-'минимумы и максимумы'!R$2)*100)</f>
        <v>49.021864211737629</v>
      </c>
      <c r="U191" s="1">
        <f>IF('исходные данные'!U191&gt;'минимумы и максимумы'!S$4,100,('исходные данные'!U191-'минимумы и максимумы'!S$2)/('минимумы и максимумы'!S$4-'минимумы и максимумы'!S$2)*100)</f>
        <v>66.666666666666657</v>
      </c>
    </row>
    <row r="192" spans="1:21" x14ac:dyDescent="0.45">
      <c r="A192" s="4">
        <v>278</v>
      </c>
      <c r="B192" s="4">
        <v>0</v>
      </c>
      <c r="C192" s="4">
        <v>0</v>
      </c>
      <c r="D192" s="1">
        <f>IF('исходные данные'!D192&gt;'минимумы и максимумы'!B$4,100,('исходные данные'!D192-'минимумы и максимумы'!B$2)/('минимумы и максимумы'!B$4-'минимумы и максимумы'!B$2)*100)</f>
        <v>0</v>
      </c>
      <c r="E192" s="1">
        <f>IF('исходные данные'!E192&gt;'минимумы и максимумы'!C$4,100,('исходные данные'!E192-'минимумы и максимумы'!C$2)/('минимумы и максимумы'!C$4-'минимумы и максимумы'!C$2)*100)</f>
        <v>0</v>
      </c>
      <c r="F192" s="1">
        <f>IF('исходные данные'!F192&gt;'минимумы и максимумы'!D$4,100,('исходные данные'!F192-'минимумы и максимумы'!D$2)/('минимумы и максимумы'!D$4-'минимумы и максимумы'!D$2)*100)</f>
        <v>0</v>
      </c>
      <c r="G192" s="1">
        <f>IF('исходные данные'!G192&gt;'минимумы и максимумы'!E$4,100,('исходные данные'!G192-'минимумы и максимумы'!E$2)/('минимумы и максимумы'!E$4-'минимумы и максимумы'!E$2)*100)</f>
        <v>5.4054054054054053</v>
      </c>
      <c r="H192" s="1">
        <f>IF('исходные данные'!H192&gt;'минимумы и максимумы'!F$4,100,('исходные данные'!H192-'минимумы и максимумы'!F$2)/('минимумы и максимумы'!F$4-'минимумы и максимумы'!F$2)*100)</f>
        <v>10.526315789473683</v>
      </c>
      <c r="I192" s="1">
        <f>IF('исходные данные'!I192&gt;'минимумы и максимумы'!G$4,100,('исходные данные'!I192-'минимумы и максимумы'!G$2)/('минимумы и максимумы'!G$4-'минимумы и максимумы'!G$2)*100)</f>
        <v>9.6385542168674707</v>
      </c>
      <c r="J192" s="1">
        <f>IF('исходные данные'!J192&gt;'минимумы и максимумы'!H$4,100,('исходные данные'!J192-'минимумы и максимумы'!H$2)/('минимумы и максимумы'!H$4-'минимумы и максимумы'!H$2)*100)</f>
        <v>0</v>
      </c>
      <c r="K192" s="1">
        <f>IF('исходные данные'!K192&gt;'минимумы и максимумы'!I$4,100,('исходные данные'!K192-'минимумы и максимумы'!I$2)/('минимумы и максимумы'!I$4-'минимумы и максимумы'!I$2)*100)</f>
        <v>3.5714285714285712</v>
      </c>
      <c r="L192" s="1">
        <f>IF('исходные данные'!L192&gt;'минимумы и максимумы'!J$4,100,('исходные данные'!L192-'минимумы и максимумы'!J$2)/('минимумы и максимумы'!J$4-'минимумы и максимумы'!J$2)*100)</f>
        <v>0</v>
      </c>
      <c r="M192" s="1">
        <f>IF('исходные данные'!M192&gt;'минимумы и максимумы'!K$4,100,('исходные данные'!M192-'минимумы и максимумы'!K$2)/('минимумы и максимумы'!K$4-'минимумы и максимумы'!K$2)*100)</f>
        <v>12.76595744680851</v>
      </c>
      <c r="N192" s="1">
        <f>IF('исходные данные'!N192&gt;'минимумы и максимумы'!L$4,100,('исходные данные'!N192-'минимумы и максимумы'!L$2)/('минимумы и максимумы'!L$4-'минимумы и максимумы'!L$2)*100)</f>
        <v>23.962466437468745</v>
      </c>
      <c r="O192" s="1">
        <f>IF('исходные данные'!O192&gt;'минимумы и максимумы'!M$4,100,('исходные данные'!O192-'минимумы и максимумы'!M$2)/('минимумы и максимумы'!M$4-'минимумы и максимумы'!M$2)*100)</f>
        <v>66.666666666666657</v>
      </c>
      <c r="P192" s="1">
        <f>IF('исходные данные'!P192&gt;'минимумы и максимумы'!N$4,100,('исходные данные'!P192-'минимумы и максимумы'!N$2)/('минимумы и максимумы'!N$4-'минимумы и максимумы'!N$2)*100)</f>
        <v>0</v>
      </c>
      <c r="Q192" s="1">
        <f>IF('исходные данные'!Q192&gt;'минимумы и максимумы'!O$4,100,('исходные данные'!Q192-'минимумы и максимумы'!O$2)/('минимумы и максимумы'!O$4-'минимумы и максимумы'!O$2)*100)</f>
        <v>0</v>
      </c>
      <c r="R192" s="1">
        <f>IF('исходные данные'!R192&gt;'минимумы и максимумы'!P$4,100,('исходные данные'!R192-'минимумы и максимумы'!P$2)/('минимумы и максимумы'!P$4-'минимумы и максимумы'!P$2)*100)</f>
        <v>25</v>
      </c>
      <c r="S192" s="1">
        <f>IF('исходные данные'!S192&gt;'минимумы и максимумы'!Q$4,100,('исходные данные'!S192-'минимумы и максимумы'!Q$2)/('минимумы и максимумы'!Q$4-'минимумы и максимумы'!Q$2)*100)</f>
        <v>44.444444444444443</v>
      </c>
      <c r="T192" s="1">
        <f>IF('исходные данные'!T192&gt;'минимумы и максимумы'!R$4,100,('исходные данные'!T192-'минимумы и максимумы'!R$2)/('минимумы и максимумы'!R$4-'минимумы и максимумы'!R$2)*100)</f>
        <v>50</v>
      </c>
      <c r="U192" s="1">
        <f>IF('исходные данные'!U192&gt;'минимумы и максимумы'!S$4,100,('исходные данные'!U192-'минимумы и максимумы'!S$2)/('минимумы и максимумы'!S$4-'минимумы и максимумы'!S$2)*100)</f>
        <v>66.666666666666657</v>
      </c>
    </row>
    <row r="193" spans="1:21" x14ac:dyDescent="0.45">
      <c r="A193" s="4">
        <v>279</v>
      </c>
      <c r="B193" s="4">
        <v>0</v>
      </c>
      <c r="C193" s="4">
        <v>0</v>
      </c>
      <c r="D193" s="1">
        <f>IF('исходные данные'!D193&gt;'минимумы и максимумы'!B$4,100,('исходные данные'!D193-'минимумы и максимумы'!B$2)/('минимумы и максимумы'!B$4-'минимумы и максимумы'!B$2)*100)</f>
        <v>0</v>
      </c>
      <c r="E193" s="1">
        <f>IF('исходные данные'!E193&gt;'минимумы и максимумы'!C$4,100,('исходные данные'!E193-'минимумы и максимумы'!C$2)/('минимумы и максимумы'!C$4-'минимумы и максимумы'!C$2)*100)</f>
        <v>18.75</v>
      </c>
      <c r="F193" s="1">
        <f>IF('исходные данные'!F193&gt;'минимумы и максимумы'!D$4,100,('исходные данные'!F193-'минимумы и максимумы'!D$2)/('минимумы и максимумы'!D$4-'минимумы и максимумы'!D$2)*100)</f>
        <v>50</v>
      </c>
      <c r="G193" s="1">
        <f>IF('исходные данные'!G193&gt;'минимумы и максимумы'!E$4,100,('исходные данные'!G193-'минимумы и максимумы'!E$2)/('минимумы и максимумы'!E$4-'минимумы и максимумы'!E$2)*100)</f>
        <v>10.810810810810811</v>
      </c>
      <c r="H193" s="1">
        <f>IF('исходные данные'!H193&gt;'минимумы и максимумы'!F$4,100,('исходные данные'!H193-'минимумы и максимумы'!F$2)/('минимумы и максимумы'!F$4-'минимумы и максимумы'!F$2)*100)</f>
        <v>13.157894736842104</v>
      </c>
      <c r="I193" s="1">
        <f>IF('исходные данные'!I193&gt;'минимумы и максимумы'!G$4,100,('исходные данные'!I193-'минимумы и максимумы'!G$2)/('минимумы и максимумы'!G$4-'минимумы и максимумы'!G$2)*100)</f>
        <v>22.891566265060241</v>
      </c>
      <c r="J193" s="1">
        <f>IF('исходные данные'!J193&gt;'минимумы и максимумы'!H$4,100,('исходные данные'!J193-'минимумы и максимумы'!H$2)/('минимумы и максимумы'!H$4-'минимумы и максимумы'!H$2)*100)</f>
        <v>4.1666666666666661</v>
      </c>
      <c r="K193" s="1">
        <f>IF('исходные данные'!K193&gt;'минимумы и максимумы'!I$4,100,('исходные данные'!K193-'минимумы и максимумы'!I$2)/('минимумы и максимумы'!I$4-'минимумы и максимумы'!I$2)*100)</f>
        <v>21.428571428571427</v>
      </c>
      <c r="L193" s="1">
        <f>IF('исходные данные'!L193&gt;'минимумы и максимумы'!J$4,100,('исходные данные'!L193-'минимумы и максимумы'!J$2)/('минимумы и максимумы'!J$4-'минимумы и максимумы'!J$2)*100)</f>
        <v>25</v>
      </c>
      <c r="M193" s="1">
        <f>IF('исходные данные'!M193&gt;'минимумы и максимумы'!K$4,100,('исходные данные'!M193-'минимумы и максимумы'!K$2)/('минимумы и максимумы'!K$4-'минимумы и максимумы'!K$2)*100)</f>
        <v>34.042553191489361</v>
      </c>
      <c r="N193" s="1">
        <f>IF('исходные данные'!N193&gt;'минимумы и максимумы'!L$4,100,('исходные данные'!N193-'минимумы и максимумы'!L$2)/('минимумы и максимумы'!L$4-'минимумы и максимумы'!L$2)*100)</f>
        <v>10.1351602659182</v>
      </c>
      <c r="O193" s="1">
        <f>IF('исходные данные'!O193&gt;'минимумы и максимумы'!M$4,100,('исходные данные'!O193-'минимумы и максимумы'!M$2)/('минимумы и максимумы'!M$4-'минимумы и максимумы'!M$2)*100)</f>
        <v>33.333333333333329</v>
      </c>
      <c r="P193" s="1">
        <f>IF('исходные данные'!P193&gt;'минимумы и максимумы'!N$4,100,('исходные данные'!P193-'минимумы и максимумы'!N$2)/('минимумы и максимумы'!N$4-'минимумы и максимумы'!N$2)*100)</f>
        <v>0</v>
      </c>
      <c r="Q193" s="1">
        <f>IF('исходные данные'!Q193&gt;'минимумы и максимумы'!O$4,100,('исходные данные'!Q193-'минимумы и максимумы'!O$2)/('минимумы и максимумы'!O$4-'минимумы и максимумы'!O$2)*100)</f>
        <v>0</v>
      </c>
      <c r="R193" s="1">
        <f>IF('исходные данные'!R193&gt;'минимумы и максимумы'!P$4,100,('исходные данные'!R193-'минимумы и максимумы'!P$2)/('минимумы и максимумы'!P$4-'минимумы и максимумы'!P$2)*100)</f>
        <v>75</v>
      </c>
      <c r="S193" s="1">
        <f>IF('исходные данные'!S193&gt;'минимумы и максимумы'!Q$4,100,('исходные данные'!S193-'минимумы и максимумы'!Q$2)/('минимумы и максимумы'!Q$4-'минимумы и максимумы'!Q$2)*100)</f>
        <v>22.222222222222221</v>
      </c>
      <c r="T193" s="1">
        <f>IF('исходные данные'!T193&gt;'минимумы и максимумы'!R$4,100,('исходные данные'!T193-'минимумы и максимумы'!R$2)/('минимумы и максимумы'!R$4-'минимумы и максимумы'!R$2)*100)</f>
        <v>17.577675489067897</v>
      </c>
      <c r="U193" s="1">
        <f>IF('исходные данные'!U193&gt;'минимумы и максимумы'!S$4,100,('исходные данные'!U193-'минимумы и максимумы'!S$2)/('минимумы и максимумы'!S$4-'минимумы и максимумы'!S$2)*100)</f>
        <v>0</v>
      </c>
    </row>
    <row r="194" spans="1:21" x14ac:dyDescent="0.45">
      <c r="A194" s="4">
        <v>280</v>
      </c>
      <c r="B194" s="4">
        <v>0</v>
      </c>
      <c r="C194" s="4">
        <v>0</v>
      </c>
      <c r="D194" s="1">
        <f>IF('исходные данные'!D194&gt;'минимумы и максимумы'!B$4,100,('исходные данные'!D194-'минимумы и максимумы'!B$2)/('минимумы и максимумы'!B$4-'минимумы и максимумы'!B$2)*100)</f>
        <v>0</v>
      </c>
      <c r="E194" s="1">
        <f>IF('исходные данные'!E194&gt;'минимумы и максимумы'!C$4,100,('исходные данные'!E194-'минимумы и максимумы'!C$2)/('минимумы и максимумы'!C$4-'минимумы и максимумы'!C$2)*100)</f>
        <v>18.75</v>
      </c>
      <c r="F194" s="1">
        <f>IF('исходные данные'!F194&gt;'минимумы и максимумы'!D$4,100,('исходные данные'!F194-'минимумы и максимумы'!D$2)/('минимумы и максимумы'!D$4-'минимумы и максимумы'!D$2)*100)</f>
        <v>50</v>
      </c>
      <c r="G194" s="1">
        <f>IF('исходные данные'!G194&gt;'минимумы и максимумы'!E$4,100,('исходные данные'!G194-'минимумы и максимумы'!E$2)/('минимумы и максимумы'!E$4-'минимумы и максимумы'!E$2)*100)</f>
        <v>10.810810810810811</v>
      </c>
      <c r="H194" s="1">
        <f>IF('исходные данные'!H194&gt;'минимумы и максимумы'!F$4,100,('исходные данные'!H194-'минимумы и максимумы'!F$2)/('минимумы и максимумы'!F$4-'минимумы и максимумы'!F$2)*100)</f>
        <v>13.157894736842104</v>
      </c>
      <c r="I194" s="1">
        <f>IF('исходные данные'!I194&gt;'минимумы и максимумы'!G$4,100,('исходные данные'!I194-'минимумы и максимумы'!G$2)/('минимумы и максимумы'!G$4-'минимумы и максимумы'!G$2)*100)</f>
        <v>22.891566265060241</v>
      </c>
      <c r="J194" s="1">
        <f>IF('исходные данные'!J194&gt;'минимумы и максимумы'!H$4,100,('исходные данные'!J194-'минимумы и максимумы'!H$2)/('минимумы и максимумы'!H$4-'минимумы и максимумы'!H$2)*100)</f>
        <v>4.1666666666666661</v>
      </c>
      <c r="K194" s="1">
        <f>IF('исходные данные'!K194&gt;'минимумы и максимумы'!I$4,100,('исходные данные'!K194-'минимумы и максимумы'!I$2)/('минимумы и максимумы'!I$4-'минимумы и максимумы'!I$2)*100)</f>
        <v>21.428571428571427</v>
      </c>
      <c r="L194" s="1">
        <f>IF('исходные данные'!L194&gt;'минимумы и максимумы'!J$4,100,('исходные данные'!L194-'минимумы и максимумы'!J$2)/('минимумы и максимумы'!J$4-'минимумы и максимумы'!J$2)*100)</f>
        <v>25</v>
      </c>
      <c r="M194" s="1">
        <f>IF('исходные данные'!M194&gt;'минимумы и максимумы'!K$4,100,('исходные данные'!M194-'минимумы и максимумы'!K$2)/('минимумы и максимумы'!K$4-'минимумы и максимумы'!K$2)*100)</f>
        <v>34.042553191489361</v>
      </c>
      <c r="N194" s="1">
        <f>IF('исходные данные'!N194&gt;'минимумы и максимумы'!L$4,100,('исходные данные'!N194-'минимумы и максимумы'!L$2)/('минимумы и максимумы'!L$4-'минимумы и максимумы'!L$2)*100)</f>
        <v>10.427051516349179</v>
      </c>
      <c r="O194" s="1">
        <f>IF('исходные данные'!O194&gt;'минимумы и максимумы'!M$4,100,('исходные данные'!O194-'минимумы и максимумы'!M$2)/('минимумы и максимумы'!M$4-'минимумы и максимумы'!M$2)*100)</f>
        <v>66.666666666666657</v>
      </c>
      <c r="P194" s="1">
        <f>IF('исходные данные'!P194&gt;'минимумы и максимумы'!N$4,100,('исходные данные'!P194-'минимумы и максимумы'!N$2)/('минимумы и максимумы'!N$4-'минимумы и максимумы'!N$2)*100)</f>
        <v>100</v>
      </c>
      <c r="Q194" s="1">
        <f>IF('исходные данные'!Q194&gt;'минимумы и максимумы'!O$4,100,('исходные данные'!Q194-'минимумы и максимумы'!O$2)/('минимумы и максимумы'!O$4-'минимумы и максимумы'!O$2)*100)</f>
        <v>100</v>
      </c>
      <c r="R194" s="1">
        <f>IF('исходные данные'!R194&gt;'минимумы и максимумы'!P$4,100,('исходные данные'!R194-'минимумы и максимумы'!P$2)/('минимумы и максимумы'!P$4-'минимумы и максимумы'!P$2)*100)</f>
        <v>75</v>
      </c>
      <c r="S194" s="1">
        <f>IF('исходные данные'!S194&gt;'минимумы и максимумы'!Q$4,100,('исходные данные'!S194-'минимумы и максимумы'!Q$2)/('минимумы и максимумы'!Q$4-'минимумы и максимумы'!Q$2)*100)</f>
        <v>77.777777777777786</v>
      </c>
      <c r="T194" s="1">
        <f>IF('исходные данные'!T194&gt;'минимумы и максимумы'!R$4,100,('исходные данные'!T194-'минимумы и максимумы'!R$2)/('минимумы и максимумы'!R$4-'минимумы и максимумы'!R$2)*100)</f>
        <v>90.161104718066738</v>
      </c>
      <c r="U194" s="1">
        <f>IF('исходные данные'!U194&gt;'минимумы и максимумы'!S$4,100,('исходные данные'!U194-'минимумы и максимумы'!S$2)/('минимумы и максимумы'!S$4-'минимумы и максимумы'!S$2)*100)</f>
        <v>100</v>
      </c>
    </row>
    <row r="195" spans="1:21" x14ac:dyDescent="0.45">
      <c r="A195" s="4">
        <v>281</v>
      </c>
      <c r="B195" s="4">
        <v>0</v>
      </c>
      <c r="C195" s="4">
        <v>0</v>
      </c>
      <c r="D195" s="1">
        <f>IF('исходные данные'!D195&gt;'минимумы и максимумы'!B$4,100,('исходные данные'!D195-'минимумы и максимумы'!B$2)/('минимумы и максимумы'!B$4-'минимумы и максимумы'!B$2)*100)</f>
        <v>0</v>
      </c>
      <c r="E195" s="1">
        <f>IF('исходные данные'!E195&gt;'минимумы и максимумы'!C$4,100,('исходные данные'!E195-'минимумы и максимумы'!C$2)/('минимумы и максимумы'!C$4-'минимумы и максимумы'!C$2)*100)</f>
        <v>18.75</v>
      </c>
      <c r="F195" s="1">
        <f>IF('исходные данные'!F195&gt;'минимумы и максимумы'!D$4,100,('исходные данные'!F195-'минимумы и максимумы'!D$2)/('минимумы и максимумы'!D$4-'минимумы и максимумы'!D$2)*100)</f>
        <v>50</v>
      </c>
      <c r="G195" s="1">
        <f>IF('исходные данные'!G195&gt;'минимумы и максимумы'!E$4,100,('исходные данные'!G195-'минимумы и максимумы'!E$2)/('минимумы и максимумы'!E$4-'минимумы и максимумы'!E$2)*100)</f>
        <v>10.810810810810811</v>
      </c>
      <c r="H195" s="1">
        <f>IF('исходные данные'!H195&gt;'минимумы и максимумы'!F$4,100,('исходные данные'!H195-'минимумы и максимумы'!F$2)/('минимумы и максимумы'!F$4-'минимумы и максимумы'!F$2)*100)</f>
        <v>13.157894736842104</v>
      </c>
      <c r="I195" s="1">
        <f>IF('исходные данные'!I195&gt;'минимумы и максимумы'!G$4,100,('исходные данные'!I195-'минимумы и максимумы'!G$2)/('минимумы и максимумы'!G$4-'минимумы и максимумы'!G$2)*100)</f>
        <v>22.891566265060241</v>
      </c>
      <c r="J195" s="1">
        <f>IF('исходные данные'!J195&gt;'минимумы и максимумы'!H$4,100,('исходные данные'!J195-'минимумы и максимумы'!H$2)/('минимумы и максимумы'!H$4-'минимумы и максимумы'!H$2)*100)</f>
        <v>4.1666666666666661</v>
      </c>
      <c r="K195" s="1">
        <f>IF('исходные данные'!K195&gt;'минимумы и максимумы'!I$4,100,('исходные данные'!K195-'минимумы и максимумы'!I$2)/('минимумы и максимумы'!I$4-'минимумы и максимумы'!I$2)*100)</f>
        <v>21.428571428571427</v>
      </c>
      <c r="L195" s="1">
        <f>IF('исходные данные'!L195&gt;'минимумы и максимумы'!J$4,100,('исходные данные'!L195-'минимумы и максимумы'!J$2)/('минимумы и максимумы'!J$4-'минимумы и максимумы'!J$2)*100)</f>
        <v>25</v>
      </c>
      <c r="M195" s="1">
        <f>IF('исходные данные'!M195&gt;'минимумы и максимумы'!K$4,100,('исходные данные'!M195-'минимумы и максимумы'!K$2)/('минимумы и максимумы'!K$4-'минимумы и максимумы'!K$2)*100)</f>
        <v>34.042553191489361</v>
      </c>
      <c r="N195" s="1">
        <f>IF('исходные данные'!N195&gt;'минимумы и максимумы'!L$4,100,('исходные данные'!N195-'минимумы и максимумы'!L$2)/('минимумы и максимумы'!L$4-'минимумы и максимумы'!L$2)*100)</f>
        <v>10.427051516349179</v>
      </c>
      <c r="O195" s="1">
        <f>IF('исходные данные'!O195&gt;'минимумы и максимумы'!M$4,100,('исходные данные'!O195-'минимумы и максимумы'!M$2)/('минимумы и максимумы'!M$4-'минимумы и максимумы'!M$2)*100)</f>
        <v>66.666666666666657</v>
      </c>
      <c r="P195" s="1">
        <f>IF('исходные данные'!P195&gt;'минимумы и максимумы'!N$4,100,('исходные данные'!P195-'минимумы и максимумы'!N$2)/('минимумы и максимумы'!N$4-'минимумы и максимумы'!N$2)*100)</f>
        <v>0</v>
      </c>
      <c r="Q195" s="1">
        <f>IF('исходные данные'!Q195&gt;'минимумы и максимумы'!O$4,100,('исходные данные'!Q195-'минимумы и максимумы'!O$2)/('минимумы и максимумы'!O$4-'минимумы и максимумы'!O$2)*100)</f>
        <v>100</v>
      </c>
      <c r="R195" s="1">
        <f>IF('исходные данные'!R195&gt;'минимумы и максимумы'!P$4,100,('исходные данные'!R195-'минимумы и максимумы'!P$2)/('минимумы и максимумы'!P$4-'минимумы и максимумы'!P$2)*100)</f>
        <v>75</v>
      </c>
      <c r="S195" s="1">
        <f>IF('исходные данные'!S195&gt;'минимумы и максимумы'!Q$4,100,('исходные данные'!S195-'минимумы и максимумы'!Q$2)/('минимумы и максимумы'!Q$4-'минимумы и максимумы'!Q$2)*100)</f>
        <v>22.222222222222221</v>
      </c>
      <c r="T195" s="1">
        <f>IF('исходные данные'!T195&gt;'минимумы и максимумы'!R$4,100,('исходные данные'!T195-'минимумы и максимумы'!R$2)/('минимумы и максимумы'!R$4-'минимумы и максимумы'!R$2)*100)</f>
        <v>7.2784810126582276</v>
      </c>
      <c r="U195" s="1">
        <f>IF('исходные данные'!U195&gt;'минимумы и максимумы'!S$4,100,('исходные данные'!U195-'минимумы и максимумы'!S$2)/('минимумы и максимумы'!S$4-'минимумы и максимумы'!S$2)*100)</f>
        <v>0</v>
      </c>
    </row>
    <row r="196" spans="1:21" x14ac:dyDescent="0.45">
      <c r="A196" s="4">
        <v>282</v>
      </c>
      <c r="B196" s="4">
        <v>0</v>
      </c>
      <c r="C196" s="4">
        <v>0</v>
      </c>
      <c r="D196" s="1">
        <f>IF('исходные данные'!D196&gt;'минимумы и максимумы'!B$4,100,('исходные данные'!D196-'минимумы и максимумы'!B$2)/('минимумы и максимумы'!B$4-'минимумы и максимумы'!B$2)*100)</f>
        <v>0</v>
      </c>
      <c r="E196" s="1">
        <f>IF('исходные данные'!E196&gt;'минимумы и максимумы'!C$4,100,('исходные данные'!E196-'минимумы и максимумы'!C$2)/('минимумы и максимумы'!C$4-'минимумы и максимумы'!C$2)*100)</f>
        <v>18.75</v>
      </c>
      <c r="F196" s="1">
        <f>IF('исходные данные'!F196&gt;'минимумы и максимумы'!D$4,100,('исходные данные'!F196-'минимумы и максимумы'!D$2)/('минимумы и максимумы'!D$4-'минимумы и максимумы'!D$2)*100)</f>
        <v>50</v>
      </c>
      <c r="G196" s="1">
        <f>IF('исходные данные'!G196&gt;'минимумы и максимумы'!E$4,100,('исходные данные'!G196-'минимумы и максимумы'!E$2)/('минимумы и максимумы'!E$4-'минимумы и максимумы'!E$2)*100)</f>
        <v>8.1081081081081088</v>
      </c>
      <c r="H196" s="1">
        <f>IF('исходные данные'!H196&gt;'минимумы и максимумы'!F$4,100,('исходные данные'!H196-'минимумы и максимумы'!F$2)/('минимумы и максимумы'!F$4-'минимумы и максимумы'!F$2)*100)</f>
        <v>10.526315789473683</v>
      </c>
      <c r="I196" s="1">
        <f>IF('исходные данные'!I196&gt;'минимумы и максимумы'!G$4,100,('исходные данные'!I196-'минимумы и максимумы'!G$2)/('минимумы и максимумы'!G$4-'минимумы и максимумы'!G$2)*100)</f>
        <v>18.072289156626507</v>
      </c>
      <c r="J196" s="1">
        <f>IF('исходные данные'!J196&gt;'минимумы и максимумы'!H$4,100,('исходные данные'!J196-'минимумы и максимумы'!H$2)/('минимумы и максимумы'!H$4-'минимумы и максимумы'!H$2)*100)</f>
        <v>0</v>
      </c>
      <c r="K196" s="1">
        <f>IF('исходные данные'!K196&gt;'минимумы и максимумы'!I$4,100,('исходные данные'!K196-'минимумы и максимумы'!I$2)/('минимумы и максимумы'!I$4-'минимумы и максимумы'!I$2)*100)</f>
        <v>21.428571428571427</v>
      </c>
      <c r="L196" s="1">
        <f>IF('исходные данные'!L196&gt;'минимумы и максимумы'!J$4,100,('исходные данные'!L196-'минимумы и максимумы'!J$2)/('минимумы и максимумы'!J$4-'минимумы и максимумы'!J$2)*100)</f>
        <v>25</v>
      </c>
      <c r="M196" s="1">
        <f>IF('исходные данные'!M196&gt;'минимумы и максимумы'!K$4,100,('исходные данные'!M196-'минимумы и максимумы'!K$2)/('минимумы и максимумы'!K$4-'минимумы и максимумы'!K$2)*100)</f>
        <v>27.659574468085108</v>
      </c>
      <c r="N196" s="1">
        <f>IF('исходные данные'!N196&gt;'минимумы и максимумы'!L$4,100,('исходные данные'!N196-'минимумы и максимумы'!L$2)/('минимумы и максимумы'!L$4-'минимумы и максимумы'!L$2)*100)</f>
        <v>10.427051516349179</v>
      </c>
      <c r="O196" s="1">
        <f>IF('исходные данные'!O196&gt;'минимумы и максимумы'!M$4,100,('исходные данные'!O196-'минимумы и максимумы'!M$2)/('минимумы и максимумы'!M$4-'минимумы и максимумы'!M$2)*100)</f>
        <v>66.666666666666657</v>
      </c>
      <c r="P196" s="1">
        <f>IF('исходные данные'!P196&gt;'минимумы и максимумы'!N$4,100,('исходные данные'!P196-'минимумы и максимумы'!N$2)/('минимумы и максимумы'!N$4-'минимумы и максимумы'!N$2)*100)</f>
        <v>100</v>
      </c>
      <c r="Q196" s="1">
        <f>IF('исходные данные'!Q196&gt;'минимумы и максимумы'!O$4,100,('исходные данные'!Q196-'минимумы и максимумы'!O$2)/('минимумы и максимумы'!O$4-'минимумы и максимумы'!O$2)*100)</f>
        <v>100</v>
      </c>
      <c r="R196" s="1">
        <f>IF('исходные данные'!R196&gt;'минимумы и максимумы'!P$4,100,('исходные данные'!R196-'минимумы и максимумы'!P$2)/('минимумы и максимумы'!P$4-'минимумы и максимумы'!P$2)*100)</f>
        <v>75</v>
      </c>
      <c r="S196" s="1">
        <f>IF('исходные данные'!S196&gt;'минимумы и максимумы'!Q$4,100,('исходные данные'!S196-'минимумы и максимумы'!Q$2)/('минимумы и максимумы'!Q$4-'минимумы и максимумы'!Q$2)*100)</f>
        <v>22.222222222222221</v>
      </c>
      <c r="T196" s="1">
        <f>IF('исходные данные'!T196&gt;'минимумы и максимумы'!R$4,100,('исходные данные'!T196-'минимумы и максимумы'!R$2)/('минимумы и максимумы'!R$4-'минимумы и максимумы'!R$2)*100)</f>
        <v>13.176064441887227</v>
      </c>
      <c r="U196" s="1">
        <f>IF('исходные данные'!U196&gt;'минимумы и максимумы'!S$4,100,('исходные данные'!U196-'минимумы и максимумы'!S$2)/('минимумы и максимумы'!S$4-'минимумы и максимумы'!S$2)*100)</f>
        <v>33.333333333333329</v>
      </c>
    </row>
    <row r="197" spans="1:21" x14ac:dyDescent="0.45">
      <c r="A197" s="4">
        <v>283</v>
      </c>
      <c r="B197" s="4">
        <v>0</v>
      </c>
      <c r="C197" s="4">
        <v>0</v>
      </c>
      <c r="D197" s="1">
        <f>IF('исходные данные'!D197&gt;'минимумы и максимумы'!B$4,100,('исходные данные'!D197-'минимумы и максимумы'!B$2)/('минимумы и максимумы'!B$4-'минимумы и максимумы'!B$2)*100)</f>
        <v>0</v>
      </c>
      <c r="E197" s="1">
        <f>IF('исходные данные'!E197&gt;'минимумы и максимумы'!C$4,100,('исходные данные'!E197-'минимумы и максимумы'!C$2)/('минимумы и максимумы'!C$4-'минимумы и максимумы'!C$2)*100)</f>
        <v>18.75</v>
      </c>
      <c r="F197" s="1">
        <f>IF('исходные данные'!F197&gt;'минимумы и максимумы'!D$4,100,('исходные данные'!F197-'минимумы и максимумы'!D$2)/('минимумы и максимумы'!D$4-'минимумы и максимумы'!D$2)*100)</f>
        <v>50</v>
      </c>
      <c r="G197" s="1">
        <f>IF('исходные данные'!G197&gt;'минимумы и максимумы'!E$4,100,('исходные данные'!G197-'минимумы и максимумы'!E$2)/('минимумы и максимумы'!E$4-'минимумы и максимумы'!E$2)*100)</f>
        <v>5.4054054054054053</v>
      </c>
      <c r="H197" s="1">
        <f>IF('исходные данные'!H197&gt;'минимумы и максимумы'!F$4,100,('исходные данные'!H197-'минимумы и максимумы'!F$2)/('минимумы и максимумы'!F$4-'минимумы и максимумы'!F$2)*100)</f>
        <v>10.526315789473683</v>
      </c>
      <c r="I197" s="1">
        <f>IF('исходные данные'!I197&gt;'минимумы и максимумы'!G$4,100,('исходные данные'!I197-'минимумы и максимумы'!G$2)/('минимумы и максимумы'!G$4-'минимумы и максимумы'!G$2)*100)</f>
        <v>18.072289156626507</v>
      </c>
      <c r="J197" s="1">
        <f>IF('исходные данные'!J197&gt;'минимумы и максимумы'!H$4,100,('исходные данные'!J197-'минимумы и максимумы'!H$2)/('минимумы и максимумы'!H$4-'минимумы и максимумы'!H$2)*100)</f>
        <v>0</v>
      </c>
      <c r="K197" s="1">
        <f>IF('исходные данные'!K197&gt;'минимумы и максимумы'!I$4,100,('исходные данные'!K197-'минимумы и максимумы'!I$2)/('минимумы и максимумы'!I$4-'минимумы и максимумы'!I$2)*100)</f>
        <v>10.714285714285714</v>
      </c>
      <c r="L197" s="1">
        <f>IF('исходные данные'!L197&gt;'минимумы и максимумы'!J$4,100,('исходные данные'!L197-'минимумы и максимумы'!J$2)/('минимумы и максимумы'!J$4-'минимумы и максимумы'!J$2)*100)</f>
        <v>12.5</v>
      </c>
      <c r="M197" s="1">
        <f>IF('исходные данные'!M197&gt;'минимумы и максимумы'!K$4,100,('исходные данные'!M197-'минимумы и максимумы'!K$2)/('минимумы и максимумы'!K$4-'минимумы и максимумы'!K$2)*100)</f>
        <v>29.787234042553191</v>
      </c>
      <c r="N197" s="1">
        <f>IF('исходные данные'!N197&gt;'минимумы и максимумы'!L$4,100,('исходные данные'!N197-'минимумы и максимумы'!L$2)/('минимумы и максимумы'!L$4-'минимумы и максимумы'!L$2)*100)</f>
        <v>10.784115561466329</v>
      </c>
      <c r="O197" s="1">
        <f>IF('исходные данные'!O197&gt;'минимумы и максимумы'!M$4,100,('исходные данные'!O197-'минимумы и максимумы'!M$2)/('минимумы и максимумы'!M$4-'минимумы и максимумы'!M$2)*100)</f>
        <v>66.666666666666657</v>
      </c>
      <c r="P197" s="1">
        <f>IF('исходные данные'!P197&gt;'минимумы и максимумы'!N$4,100,('исходные данные'!P197-'минимумы и максимумы'!N$2)/('минимумы и максимумы'!N$4-'минимумы и максимумы'!N$2)*100)</f>
        <v>100</v>
      </c>
      <c r="Q197" s="1">
        <f>IF('исходные данные'!Q197&gt;'минимумы и максимумы'!O$4,100,('исходные данные'!Q197-'минимумы и максимумы'!O$2)/('минимумы и максимумы'!O$4-'минимумы и максимумы'!O$2)*100)</f>
        <v>100</v>
      </c>
      <c r="R197" s="1">
        <f>IF('исходные данные'!R197&gt;'минимумы и максимумы'!P$4,100,('исходные данные'!R197-'минимумы и максимумы'!P$2)/('минимумы и максимумы'!P$4-'минимумы и максимумы'!P$2)*100)</f>
        <v>75</v>
      </c>
      <c r="S197" s="1">
        <f>IF('исходные данные'!S197&gt;'минимумы и максимумы'!Q$4,100,('исходные данные'!S197-'минимумы и максимумы'!Q$2)/('минимумы и максимумы'!Q$4-'минимумы и максимумы'!Q$2)*100)</f>
        <v>22.222222222222221</v>
      </c>
      <c r="T197" s="1">
        <f>IF('исходные данные'!T197&gt;'минимумы и максимумы'!R$4,100,('исходные данные'!T197-'минимумы и максимумы'!R$2)/('минимумы и максимумы'!R$4-'минимумы и максимумы'!R$2)*100)</f>
        <v>22.49712313003452</v>
      </c>
      <c r="U197" s="1">
        <f>IF('исходные данные'!U197&gt;'минимумы и максимумы'!S$4,100,('исходные данные'!U197-'минимумы и максимумы'!S$2)/('минимумы и максимумы'!S$4-'минимумы и максимумы'!S$2)*100)</f>
        <v>33.333333333333329</v>
      </c>
    </row>
    <row r="198" spans="1:21" x14ac:dyDescent="0.45">
      <c r="A198" s="4">
        <v>284</v>
      </c>
      <c r="B198" s="4">
        <v>0</v>
      </c>
      <c r="C198" s="4">
        <v>0</v>
      </c>
      <c r="D198" s="1">
        <f>IF('исходные данные'!D198&gt;'минимумы и максимумы'!B$4,100,('исходные данные'!D198-'минимумы и максимумы'!B$2)/('минимумы и максимумы'!B$4-'минимумы и максимумы'!B$2)*100)</f>
        <v>0</v>
      </c>
      <c r="E198" s="1">
        <f>IF('исходные данные'!E198&gt;'минимумы и максимумы'!C$4,100,('исходные данные'!E198-'минимумы и максимумы'!C$2)/('минимумы и максимумы'!C$4-'минимумы и максимумы'!C$2)*100)</f>
        <v>18.75</v>
      </c>
      <c r="F198" s="1">
        <f>IF('исходные данные'!F198&gt;'минимумы и максимумы'!D$4,100,('исходные данные'!F198-'минимумы и максимумы'!D$2)/('минимумы и максимумы'!D$4-'минимумы и максимумы'!D$2)*100)</f>
        <v>50</v>
      </c>
      <c r="G198" s="1">
        <f>IF('исходные данные'!G198&gt;'минимумы и максимумы'!E$4,100,('исходные данные'!G198-'минимумы и максимумы'!E$2)/('минимумы и максимумы'!E$4-'минимумы и максимумы'!E$2)*100)</f>
        <v>8.1081081081081088</v>
      </c>
      <c r="H198" s="1">
        <f>IF('исходные данные'!H198&gt;'минимумы и максимумы'!F$4,100,('исходные данные'!H198-'минимумы и максимумы'!F$2)/('минимумы и максимумы'!F$4-'минимумы и максимумы'!F$2)*100)</f>
        <v>10.526315789473683</v>
      </c>
      <c r="I198" s="1">
        <f>IF('исходные данные'!I198&gt;'минимумы и максимумы'!G$4,100,('исходные данные'!I198-'минимумы и максимумы'!G$2)/('минимумы и максимумы'!G$4-'минимумы и максимумы'!G$2)*100)</f>
        <v>18.072289156626507</v>
      </c>
      <c r="J198" s="1">
        <f>IF('исходные данные'!J198&gt;'минимумы и максимумы'!H$4,100,('исходные данные'!J198-'минимумы и максимумы'!H$2)/('минимумы и максимумы'!H$4-'минимумы и максимумы'!H$2)*100)</f>
        <v>0</v>
      </c>
      <c r="K198" s="1">
        <f>IF('исходные данные'!K198&gt;'минимумы и максимумы'!I$4,100,('исходные данные'!K198-'минимумы и максимумы'!I$2)/('минимумы и максимумы'!I$4-'минимумы и максимумы'!I$2)*100)</f>
        <v>21.428571428571427</v>
      </c>
      <c r="L198" s="1">
        <f>IF('исходные данные'!L198&gt;'минимумы и максимумы'!J$4,100,('исходные данные'!L198-'минимумы и максимумы'!J$2)/('минимумы и максимумы'!J$4-'минимумы и максимумы'!J$2)*100)</f>
        <v>25</v>
      </c>
      <c r="M198" s="1">
        <f>IF('исходные данные'!M198&gt;'минимумы и максимумы'!K$4,100,('исходные данные'!M198-'минимумы и максимумы'!K$2)/('минимумы и максимумы'!K$4-'минимумы и максимумы'!K$2)*100)</f>
        <v>27.659574468085108</v>
      </c>
      <c r="N198" s="1">
        <f>IF('исходные данные'!N198&gt;'минимумы и максимумы'!L$4,100,('исходные данные'!N198-'минимумы и максимумы'!L$2)/('минимумы и максимумы'!L$4-'минимумы и максимумы'!L$2)*100)</f>
        <v>10.586766737651283</v>
      </c>
      <c r="O198" s="1">
        <f>IF('исходные данные'!O198&gt;'минимумы и максимумы'!M$4,100,('исходные данные'!O198-'минимумы и максимумы'!M$2)/('минимумы и максимумы'!M$4-'минимумы и максимумы'!M$2)*100)</f>
        <v>66.666666666666657</v>
      </c>
      <c r="P198" s="1">
        <f>IF('исходные данные'!P198&gt;'минимумы и максимумы'!N$4,100,('исходные данные'!P198-'минимумы и максимумы'!N$2)/('минимумы и максимумы'!N$4-'минимумы и максимумы'!N$2)*100)</f>
        <v>100</v>
      </c>
      <c r="Q198" s="1">
        <f>IF('исходные данные'!Q198&gt;'минимумы и максимумы'!O$4,100,('исходные данные'!Q198-'минимумы и максимумы'!O$2)/('минимумы и максимумы'!O$4-'минимумы и максимумы'!O$2)*100)</f>
        <v>100</v>
      </c>
      <c r="R198" s="1">
        <f>IF('исходные данные'!R198&gt;'минимумы и максимумы'!P$4,100,('исходные данные'!R198-'минимумы и максимумы'!P$2)/('минимумы и максимумы'!P$4-'минимумы и максимумы'!P$2)*100)</f>
        <v>75</v>
      </c>
      <c r="S198" s="1">
        <f>IF('исходные данные'!S198&gt;'минимумы и максимумы'!Q$4,100,('исходные данные'!S198-'минимумы и максимумы'!Q$2)/('минимумы и максимумы'!Q$4-'минимумы и максимумы'!Q$2)*100)</f>
        <v>33.333333333333329</v>
      </c>
      <c r="T198" s="1">
        <f>IF('исходные данные'!T198&gt;'минимумы и максимумы'!R$4,100,('исходные данные'!T198-'минимумы и максимумы'!R$2)/('минимумы и максимумы'!R$4-'минимумы и максимумы'!R$2)*100)</f>
        <v>9.8388952819332562</v>
      </c>
      <c r="U198" s="1">
        <f>IF('исходные данные'!U198&gt;'минимумы и максимумы'!S$4,100,('исходные данные'!U198-'минимумы и максимумы'!S$2)/('минимумы и максимумы'!S$4-'минимумы и максимумы'!S$2)*100)</f>
        <v>0</v>
      </c>
    </row>
    <row r="199" spans="1:21" x14ac:dyDescent="0.45">
      <c r="A199" s="4">
        <v>285</v>
      </c>
      <c r="B199" s="4">
        <v>0</v>
      </c>
      <c r="C199" s="4">
        <v>0</v>
      </c>
      <c r="D199" s="1">
        <f>IF('исходные данные'!D199&gt;'минимумы и максимумы'!B$4,100,('исходные данные'!D199-'минимумы и максимумы'!B$2)/('минимумы и максимумы'!B$4-'минимумы и максимумы'!B$2)*100)</f>
        <v>0</v>
      </c>
      <c r="E199" s="1">
        <f>IF('исходные данные'!E199&gt;'минимумы и максимумы'!C$4,100,('исходные данные'!E199-'минимумы и максимумы'!C$2)/('минимумы и максимумы'!C$4-'минимумы и максимумы'!C$2)*100)</f>
        <v>18.75</v>
      </c>
      <c r="F199" s="1">
        <f>IF('исходные данные'!F199&gt;'минимумы и максимумы'!D$4,100,('исходные данные'!F199-'минимумы и максимумы'!D$2)/('минимумы и максимумы'!D$4-'минимумы и максимумы'!D$2)*100)</f>
        <v>50</v>
      </c>
      <c r="G199" s="1">
        <f>IF('исходные данные'!G199&gt;'минимумы и максимумы'!E$4,100,('исходные данные'!G199-'минимумы и максимумы'!E$2)/('минимумы и максимумы'!E$4-'минимумы и максимумы'!E$2)*100)</f>
        <v>8.1081081081081088</v>
      </c>
      <c r="H199" s="1">
        <f>IF('исходные данные'!H199&gt;'минимумы и максимумы'!F$4,100,('исходные данные'!H199-'минимумы и максимумы'!F$2)/('минимумы и максимумы'!F$4-'минимумы и максимумы'!F$2)*100)</f>
        <v>10.526315789473683</v>
      </c>
      <c r="I199" s="1">
        <f>IF('исходные данные'!I199&gt;'минимумы и максимумы'!G$4,100,('исходные данные'!I199-'минимумы и максимумы'!G$2)/('минимумы и максимумы'!G$4-'минимумы и максимумы'!G$2)*100)</f>
        <v>18.072289156626507</v>
      </c>
      <c r="J199" s="1">
        <f>IF('исходные данные'!J199&gt;'минимумы и максимумы'!H$4,100,('исходные данные'!J199-'минимумы и максимумы'!H$2)/('минимумы и максимумы'!H$4-'минимумы и максимумы'!H$2)*100)</f>
        <v>0</v>
      </c>
      <c r="K199" s="1">
        <f>IF('исходные данные'!K199&gt;'минимумы и максимумы'!I$4,100,('исходные данные'!K199-'минимумы и максимумы'!I$2)/('минимумы и максимумы'!I$4-'минимумы и максимумы'!I$2)*100)</f>
        <v>21.428571428571427</v>
      </c>
      <c r="L199" s="1">
        <f>IF('исходные данные'!L199&gt;'минимумы и максимумы'!J$4,100,('исходные данные'!L199-'минимумы и максимумы'!J$2)/('минимумы и максимумы'!J$4-'минимумы и максимумы'!J$2)*100)</f>
        <v>25</v>
      </c>
      <c r="M199" s="1">
        <f>IF('исходные данные'!M199&gt;'минимумы и максимумы'!K$4,100,('исходные данные'!M199-'минимумы и максимумы'!K$2)/('минимумы и максимумы'!K$4-'минимумы и максимумы'!K$2)*100)</f>
        <v>27.659574468085108</v>
      </c>
      <c r="N199" s="1">
        <f>IF('исходные данные'!N199&gt;'минимумы и максимумы'!L$4,100,('исходные данные'!N199-'минимумы и максимумы'!L$2)/('минимумы и максимумы'!L$4-'минимумы и максимумы'!L$2)*100)</f>
        <v>10.427051516349179</v>
      </c>
      <c r="O199" s="1">
        <f>IF('исходные данные'!O199&gt;'минимумы и максимумы'!M$4,100,('исходные данные'!O199-'минимумы и максимумы'!M$2)/('минимумы и максимумы'!M$4-'минимумы и максимумы'!M$2)*100)</f>
        <v>66.666666666666657</v>
      </c>
      <c r="P199" s="1">
        <f>IF('исходные данные'!P199&gt;'минимумы и максимумы'!N$4,100,('исходные данные'!P199-'минимумы и максимумы'!N$2)/('минимумы и максимумы'!N$4-'минимумы и максимумы'!N$2)*100)</f>
        <v>100</v>
      </c>
      <c r="Q199" s="1">
        <f>IF('исходные данные'!Q199&gt;'минимумы и максимумы'!O$4,100,('исходные данные'!Q199-'минимумы и максимумы'!O$2)/('минимумы и максимумы'!O$4-'минимумы и максимумы'!O$2)*100)</f>
        <v>100</v>
      </c>
      <c r="R199" s="1">
        <f>IF('исходные данные'!R199&gt;'минимумы и максимумы'!P$4,100,('исходные данные'!R199-'минимумы и максимумы'!P$2)/('минимумы и максимумы'!P$4-'минимумы и максимумы'!P$2)*100)</f>
        <v>75</v>
      </c>
      <c r="S199" s="1">
        <f>IF('исходные данные'!S199&gt;'минимумы и максимумы'!Q$4,100,('исходные данные'!S199-'минимумы и максимумы'!Q$2)/('минимумы и максимумы'!Q$4-'минимумы и максимумы'!Q$2)*100)</f>
        <v>22.222222222222221</v>
      </c>
      <c r="T199" s="1">
        <f>IF('исходные данные'!T199&gt;'минимумы и максимумы'!R$4,100,('исходные данные'!T199-'минимумы и максимумы'!R$2)/('минимумы и максимумы'!R$4-'минимумы и максимумы'!R$2)*100)</f>
        <v>5.8688147295742237</v>
      </c>
      <c r="U199" s="1">
        <f>IF('исходные данные'!U199&gt;'минимумы и максимумы'!S$4,100,('исходные данные'!U199-'минимумы и максимумы'!S$2)/('минимумы и максимумы'!S$4-'минимумы и максимумы'!S$2)*100)</f>
        <v>0</v>
      </c>
    </row>
    <row r="200" spans="1:21" x14ac:dyDescent="0.45">
      <c r="A200" s="4">
        <v>286</v>
      </c>
      <c r="B200" s="4">
        <v>0</v>
      </c>
      <c r="C200" s="4">
        <v>0</v>
      </c>
      <c r="D200" s="1">
        <f>IF('исходные данные'!D200&gt;'минимумы и максимумы'!B$4,100,('исходные данные'!D200-'минимумы и максимумы'!B$2)/('минимумы и максимумы'!B$4-'минимумы и максимумы'!B$2)*100)</f>
        <v>0</v>
      </c>
      <c r="E200" s="1">
        <f>IF('исходные данные'!E200&gt;'минимумы и максимумы'!C$4,100,('исходные данные'!E200-'минимумы и максимумы'!C$2)/('минимумы и максимумы'!C$4-'минимумы и максимумы'!C$2)*100)</f>
        <v>18.75</v>
      </c>
      <c r="F200" s="1">
        <f>IF('исходные данные'!F200&gt;'минимумы и максимумы'!D$4,100,('исходные данные'!F200-'минимумы и максимумы'!D$2)/('минимумы и максимумы'!D$4-'минимумы и максимумы'!D$2)*100)</f>
        <v>50</v>
      </c>
      <c r="G200" s="1">
        <f>IF('исходные данные'!G200&gt;'минимумы и максимумы'!E$4,100,('исходные данные'!G200-'минимумы и максимумы'!E$2)/('минимумы и максимумы'!E$4-'минимумы и максимумы'!E$2)*100)</f>
        <v>5.4054054054054053</v>
      </c>
      <c r="H200" s="1">
        <f>IF('исходные данные'!H200&gt;'минимумы и максимумы'!F$4,100,('исходные данные'!H200-'минимумы и максимумы'!F$2)/('минимумы и максимумы'!F$4-'минимумы и максимумы'!F$2)*100)</f>
        <v>10.526315789473683</v>
      </c>
      <c r="I200" s="1">
        <f>IF('исходные данные'!I200&gt;'минимумы и максимумы'!G$4,100,('исходные данные'!I200-'минимумы и максимумы'!G$2)/('минимумы и максимумы'!G$4-'минимумы и максимумы'!G$2)*100)</f>
        <v>18.072289156626507</v>
      </c>
      <c r="J200" s="1">
        <f>IF('исходные данные'!J200&gt;'минимумы и максимумы'!H$4,100,('исходные данные'!J200-'минимумы и максимумы'!H$2)/('минимумы и максимумы'!H$4-'минимумы и максимумы'!H$2)*100)</f>
        <v>0</v>
      </c>
      <c r="K200" s="1">
        <f>IF('исходные данные'!K200&gt;'минимумы и максимумы'!I$4,100,('исходные данные'!K200-'минимумы и максимумы'!I$2)/('минимумы и максимумы'!I$4-'минимумы и максимумы'!I$2)*100)</f>
        <v>10.714285714285714</v>
      </c>
      <c r="L200" s="1">
        <f>IF('исходные данные'!L200&gt;'минимумы и максимумы'!J$4,100,('исходные данные'!L200-'минимумы и максимумы'!J$2)/('минимумы и максимумы'!J$4-'минимумы и максимумы'!J$2)*100)</f>
        <v>12.5</v>
      </c>
      <c r="M200" s="1">
        <f>IF('исходные данные'!M200&gt;'минимумы и максимумы'!K$4,100,('исходные данные'!M200-'минимумы и максимумы'!K$2)/('минимумы и максимумы'!K$4-'минимумы и максимумы'!K$2)*100)</f>
        <v>29.787234042553191</v>
      </c>
      <c r="N200" s="1">
        <f>IF('исходные данные'!N200&gt;'минимумы и максимумы'!L$4,100,('исходные данные'!N200-'минимумы и максимумы'!L$2)/('минимумы и максимумы'!L$4-'минимумы и максимумы'!L$2)*100)</f>
        <v>10.784115561466329</v>
      </c>
      <c r="O200" s="1">
        <f>IF('исходные данные'!O200&gt;'минимумы и максимумы'!M$4,100,('исходные данные'!O200-'минимумы и максимумы'!M$2)/('минимумы и максимумы'!M$4-'минимумы и максимумы'!M$2)*100)</f>
        <v>66.666666666666657</v>
      </c>
      <c r="P200" s="1">
        <f>IF('исходные данные'!P200&gt;'минимумы и максимумы'!N$4,100,('исходные данные'!P200-'минимумы и максимумы'!N$2)/('минимумы и максимумы'!N$4-'минимумы и максимумы'!N$2)*100)</f>
        <v>100</v>
      </c>
      <c r="Q200" s="1">
        <f>IF('исходные данные'!Q200&gt;'минимумы и максимумы'!O$4,100,('исходные данные'!Q200-'минимумы и максимумы'!O$2)/('минимумы и максимумы'!O$4-'минимумы и максимумы'!O$2)*100)</f>
        <v>100</v>
      </c>
      <c r="R200" s="1">
        <f>IF('исходные данные'!R200&gt;'минимумы и максимумы'!P$4,100,('исходные данные'!R200-'минимумы и максимумы'!P$2)/('минимумы и максимумы'!P$4-'минимумы и максимумы'!P$2)*100)</f>
        <v>75</v>
      </c>
      <c r="S200" s="1">
        <f>IF('исходные данные'!S200&gt;'минимумы и максимумы'!Q$4,100,('исходные данные'!S200-'минимумы и максимумы'!Q$2)/('минимумы и максимумы'!Q$4-'минимумы и максимумы'!Q$2)*100)</f>
        <v>11.111111111111111</v>
      </c>
      <c r="T200" s="1">
        <f>IF('исходные данные'!T200&gt;'минимумы и максимумы'!R$4,100,('исходные данные'!T200-'минимумы и максимумы'!R$2)/('минимумы и максимумы'!R$4-'минимумы и максимумы'!R$2)*100)</f>
        <v>8.9470655926352123</v>
      </c>
      <c r="U200" s="1">
        <f>IF('исходные данные'!U200&gt;'минимумы и максимумы'!S$4,100,('исходные данные'!U200-'минимумы и максимумы'!S$2)/('минимумы и максимумы'!S$4-'минимумы и максимумы'!S$2)*100)</f>
        <v>0</v>
      </c>
    </row>
    <row r="201" spans="1:21" x14ac:dyDescent="0.45">
      <c r="A201" s="4">
        <v>287</v>
      </c>
      <c r="B201" s="4">
        <v>0</v>
      </c>
      <c r="C201" s="4">
        <v>0</v>
      </c>
      <c r="D201" s="1">
        <f>IF('исходные данные'!D201&gt;'минимумы и максимумы'!B$4,100,('исходные данные'!D201-'минимумы и максимумы'!B$2)/('минимумы и максимумы'!B$4-'минимумы и максимумы'!B$2)*100)</f>
        <v>0</v>
      </c>
      <c r="E201" s="1">
        <f>IF('исходные данные'!E201&gt;'минимумы и максимумы'!C$4,100,('исходные данные'!E201-'минимумы и максимумы'!C$2)/('минимумы и максимумы'!C$4-'минимумы и максимумы'!C$2)*100)</f>
        <v>18.75</v>
      </c>
      <c r="F201" s="1">
        <f>IF('исходные данные'!F201&gt;'минимумы и максимумы'!D$4,100,('исходные данные'!F201-'минимумы и максимумы'!D$2)/('минимумы и максимумы'!D$4-'минимумы и максимумы'!D$2)*100)</f>
        <v>50</v>
      </c>
      <c r="G201" s="1">
        <f>IF('исходные данные'!G201&gt;'минимумы и максимумы'!E$4,100,('исходные данные'!G201-'минимумы и максимумы'!E$2)/('минимумы и максимумы'!E$4-'минимумы и максимумы'!E$2)*100)</f>
        <v>5.4054054054054053</v>
      </c>
      <c r="H201" s="1">
        <f>IF('исходные данные'!H201&gt;'минимумы и максимумы'!F$4,100,('исходные данные'!H201-'минимумы и максимумы'!F$2)/('минимумы и максимумы'!F$4-'минимумы и максимумы'!F$2)*100)</f>
        <v>10.526315789473683</v>
      </c>
      <c r="I201" s="1">
        <f>IF('исходные данные'!I201&gt;'минимумы и максимумы'!G$4,100,('исходные данные'!I201-'минимумы и максимумы'!G$2)/('минимумы и максимумы'!G$4-'минимумы и максимумы'!G$2)*100)</f>
        <v>18.072289156626507</v>
      </c>
      <c r="J201" s="1">
        <f>IF('исходные данные'!J201&gt;'минимумы и максимумы'!H$4,100,('исходные данные'!J201-'минимумы и максимумы'!H$2)/('минимумы и максимумы'!H$4-'минимумы и максимумы'!H$2)*100)</f>
        <v>0</v>
      </c>
      <c r="K201" s="1">
        <f>IF('исходные данные'!K201&gt;'минимумы и максимумы'!I$4,100,('исходные данные'!K201-'минимумы и максимумы'!I$2)/('минимумы и максимумы'!I$4-'минимумы и максимумы'!I$2)*100)</f>
        <v>10.714285714285714</v>
      </c>
      <c r="L201" s="1">
        <f>IF('исходные данные'!L201&gt;'минимумы и максимумы'!J$4,100,('исходные данные'!L201-'минимумы и максимумы'!J$2)/('минимумы и максимумы'!J$4-'минимумы и максимумы'!J$2)*100)</f>
        <v>12.5</v>
      </c>
      <c r="M201" s="1">
        <f>IF('исходные данные'!M201&gt;'минимумы и максимумы'!K$4,100,('исходные данные'!M201-'минимумы и максимумы'!K$2)/('минимумы и максимумы'!K$4-'минимумы и максимумы'!K$2)*100)</f>
        <v>29.787234042553191</v>
      </c>
      <c r="N201" s="1">
        <f>IF('исходные данные'!N201&gt;'минимумы и максимумы'!L$4,100,('исходные данные'!N201-'минимумы и максимумы'!L$2)/('минимумы и максимумы'!L$4-'минимумы и максимумы'!L$2)*100)</f>
        <v>11.758091169896684</v>
      </c>
      <c r="O201" s="1">
        <f>IF('исходные данные'!O201&gt;'минимумы и максимумы'!M$4,100,('исходные данные'!O201-'минимумы и максимумы'!M$2)/('минимумы и максимумы'!M$4-'минимумы и максимумы'!M$2)*100)</f>
        <v>66.666666666666657</v>
      </c>
      <c r="P201" s="1">
        <f>IF('исходные данные'!P201&gt;'минимумы и максимумы'!N$4,100,('исходные данные'!P201-'минимумы и максимумы'!N$2)/('минимумы и максимумы'!N$4-'минимумы и максимумы'!N$2)*100)</f>
        <v>0</v>
      </c>
      <c r="Q201" s="1">
        <f>IF('исходные данные'!Q201&gt;'минимумы и максимумы'!O$4,100,('исходные данные'!Q201-'минимумы и максимумы'!O$2)/('минимумы и максимумы'!O$4-'минимумы и максимумы'!O$2)*100)</f>
        <v>100</v>
      </c>
      <c r="R201" s="1">
        <f>IF('исходные данные'!R201&gt;'минимумы и максимумы'!P$4,100,('исходные данные'!R201-'минимумы и максимумы'!P$2)/('минимумы и максимумы'!P$4-'минимумы и максимумы'!P$2)*100)</f>
        <v>75</v>
      </c>
      <c r="S201" s="1">
        <f>IF('исходные данные'!S201&gt;'минимумы и максимумы'!Q$4,100,('исходные данные'!S201-'минимумы и максимумы'!Q$2)/('минимумы и максимумы'!Q$4-'минимумы и максимумы'!Q$2)*100)</f>
        <v>22.222222222222221</v>
      </c>
      <c r="T201" s="1">
        <f>IF('исходные данные'!T201&gt;'минимумы и максимумы'!R$4,100,('исходные данные'!T201-'минимумы и максимумы'!R$2)/('минимумы и максимумы'!R$4-'минимумы и максимумы'!R$2)*100)</f>
        <v>16.7433831990794</v>
      </c>
      <c r="U201" s="1">
        <f>IF('исходные данные'!U201&gt;'минимумы и максимумы'!S$4,100,('исходные данные'!U201-'минимумы и максимумы'!S$2)/('минимумы и максимумы'!S$4-'минимумы и максимумы'!S$2)*100)</f>
        <v>0</v>
      </c>
    </row>
    <row r="202" spans="1:21" x14ac:dyDescent="0.45">
      <c r="A202" s="4">
        <v>288</v>
      </c>
      <c r="B202" s="4">
        <v>0</v>
      </c>
      <c r="C202" s="4">
        <v>0</v>
      </c>
      <c r="D202" s="1">
        <f>IF('исходные данные'!D202&gt;'минимумы и максимумы'!B$4,100,('исходные данные'!D202-'минимумы и максимумы'!B$2)/('минимумы и максимумы'!B$4-'минимумы и максимумы'!B$2)*100)</f>
        <v>0</v>
      </c>
      <c r="E202" s="1">
        <f>IF('исходные данные'!E202&gt;'минимумы и максимумы'!C$4,100,('исходные данные'!E202-'минимумы и максимумы'!C$2)/('минимумы и максимумы'!C$4-'минимумы и максимумы'!C$2)*100)</f>
        <v>18.75</v>
      </c>
      <c r="F202" s="1">
        <f>IF('исходные данные'!F202&gt;'минимумы и максимумы'!D$4,100,('исходные данные'!F202-'минимумы и максимумы'!D$2)/('минимумы и максимумы'!D$4-'минимумы и максимумы'!D$2)*100)</f>
        <v>50</v>
      </c>
      <c r="G202" s="1">
        <f>IF('исходные данные'!G202&gt;'минимумы и максимумы'!E$4,100,('исходные данные'!G202-'минимумы и максимумы'!E$2)/('минимумы и максимумы'!E$4-'минимумы и максимумы'!E$2)*100)</f>
        <v>5.4054054054054053</v>
      </c>
      <c r="H202" s="1">
        <f>IF('исходные данные'!H202&gt;'минимумы и максимумы'!F$4,100,('исходные данные'!H202-'минимумы и максимумы'!F$2)/('минимумы и максимумы'!F$4-'минимумы и максимумы'!F$2)*100)</f>
        <v>10.526315789473683</v>
      </c>
      <c r="I202" s="1">
        <f>IF('исходные данные'!I202&gt;'минимумы и максимумы'!G$4,100,('исходные данные'!I202-'минимумы и максимумы'!G$2)/('минимумы и максимумы'!G$4-'минимумы и максимумы'!G$2)*100)</f>
        <v>18.072289156626507</v>
      </c>
      <c r="J202" s="1">
        <f>IF('исходные данные'!J202&gt;'минимумы и максимумы'!H$4,100,('исходные данные'!J202-'минимумы и максимумы'!H$2)/('минимумы и максимумы'!H$4-'минимумы и максимумы'!H$2)*100)</f>
        <v>0</v>
      </c>
      <c r="K202" s="1">
        <f>IF('исходные данные'!K202&gt;'минимумы и максимумы'!I$4,100,('исходные данные'!K202-'минимумы и максимумы'!I$2)/('минимумы и максимумы'!I$4-'минимумы и максимумы'!I$2)*100)</f>
        <v>10.714285714285714</v>
      </c>
      <c r="L202" s="1">
        <f>IF('исходные данные'!L202&gt;'минимумы и максимумы'!J$4,100,('исходные данные'!L202-'минимумы и максимумы'!J$2)/('минимумы и максимумы'!J$4-'минимумы и максимумы'!J$2)*100)</f>
        <v>12.5</v>
      </c>
      <c r="M202" s="1">
        <f>IF('исходные данные'!M202&gt;'минимумы и максимумы'!K$4,100,('исходные данные'!M202-'минимумы и максимумы'!K$2)/('минимумы и максимумы'!K$4-'минимумы и максимумы'!K$2)*100)</f>
        <v>29.787234042553191</v>
      </c>
      <c r="N202" s="1">
        <f>IF('исходные данные'!N202&gt;'минимумы и максимумы'!L$4,100,('исходные данные'!N202-'минимумы и максимумы'!L$2)/('минимумы и максимумы'!L$4-'минимумы и максимумы'!L$2)*100)</f>
        <v>11.00325103051035</v>
      </c>
      <c r="O202" s="1">
        <f>IF('исходные данные'!O202&gt;'минимумы и максимумы'!M$4,100,('исходные данные'!O202-'минимумы и максимумы'!M$2)/('минимумы и максимумы'!M$4-'минимумы и максимумы'!M$2)*100)</f>
        <v>66.666666666666657</v>
      </c>
      <c r="P202" s="1">
        <f>IF('исходные данные'!P202&gt;'минимумы и максимумы'!N$4,100,('исходные данные'!P202-'минимумы и максимумы'!N$2)/('минимумы и максимумы'!N$4-'минимумы и максимумы'!N$2)*100)</f>
        <v>0</v>
      </c>
      <c r="Q202" s="1">
        <f>IF('исходные данные'!Q202&gt;'минимумы и максимумы'!O$4,100,('исходные данные'!Q202-'минимумы и максимумы'!O$2)/('минимумы и максимумы'!O$4-'минимумы и максимумы'!O$2)*100)</f>
        <v>100</v>
      </c>
      <c r="R202" s="1">
        <f>IF('исходные данные'!R202&gt;'минимумы и максимумы'!P$4,100,('исходные данные'!R202-'минимумы и максимумы'!P$2)/('минимумы и максимумы'!P$4-'минимумы и максимумы'!P$2)*100)</f>
        <v>75</v>
      </c>
      <c r="S202" s="1">
        <f>IF('исходные данные'!S202&gt;'минимумы и максимумы'!Q$4,100,('исходные данные'!S202-'минимумы и максимумы'!Q$2)/('минимумы и максимумы'!Q$4-'минимумы и максимумы'!Q$2)*100)</f>
        <v>11.111111111111111</v>
      </c>
      <c r="T202" s="1">
        <f>IF('исходные данные'!T202&gt;'минимумы и максимумы'!R$4,100,('исходные данные'!T202-'минимумы и максимумы'!R$2)/('минимумы и максимумы'!R$4-'минимумы и максимумы'!R$2)*100)</f>
        <v>3.5673187571921749</v>
      </c>
      <c r="U202" s="1">
        <f>IF('исходные данные'!U202&gt;'минимумы и максимумы'!S$4,100,('исходные данные'!U202-'минимумы и максимумы'!S$2)/('минимумы и максимумы'!S$4-'минимумы и максимумы'!S$2)*100)</f>
        <v>33.333333333333329</v>
      </c>
    </row>
    <row r="203" spans="1:21" x14ac:dyDescent="0.45">
      <c r="A203" s="4">
        <v>289</v>
      </c>
      <c r="B203" s="4">
        <v>0</v>
      </c>
      <c r="C203" s="4">
        <v>0</v>
      </c>
      <c r="D203" s="1">
        <f>IF('исходные данные'!D203&gt;'минимумы и максимумы'!B$4,100,('исходные данные'!D203-'минимумы и максимумы'!B$2)/('минимумы и максимумы'!B$4-'минимумы и максимумы'!B$2)*100)</f>
        <v>0</v>
      </c>
      <c r="E203" s="1">
        <f>IF('исходные данные'!E203&gt;'минимумы и максимумы'!C$4,100,('исходные данные'!E203-'минимумы и максимумы'!C$2)/('минимумы и максимумы'!C$4-'минимумы и максимумы'!C$2)*100)</f>
        <v>0</v>
      </c>
      <c r="F203" s="1">
        <f>IF('исходные данные'!F203&gt;'минимумы и максимумы'!D$4,100,('исходные данные'!F203-'минимумы и максимумы'!D$2)/('минимумы и максимумы'!D$4-'минимумы и максимумы'!D$2)*100)</f>
        <v>0</v>
      </c>
      <c r="G203" s="1">
        <f>IF('исходные данные'!G203&gt;'минимумы и максимумы'!E$4,100,('исходные данные'!G203-'минимумы и максимумы'!E$2)/('минимумы и максимумы'!E$4-'минимумы и максимумы'!E$2)*100)</f>
        <v>2.7027027027027026</v>
      </c>
      <c r="H203" s="1">
        <f>IF('исходные данные'!H203&gt;'минимумы и максимумы'!F$4,100,('исходные данные'!H203-'минимумы и максимумы'!F$2)/('минимумы и максимумы'!F$4-'минимумы и максимумы'!F$2)*100)</f>
        <v>2.6315789473684208</v>
      </c>
      <c r="I203" s="1">
        <f>IF('исходные данные'!I203&gt;'минимумы и максимумы'!G$4,100,('исходные данные'!I203-'минимумы и максимумы'!G$2)/('минимумы и максимумы'!G$4-'минимумы и максимумы'!G$2)*100)</f>
        <v>6.024096385542169</v>
      </c>
      <c r="J203" s="1">
        <f>IF('исходные данные'!J203&gt;'минимумы и максимумы'!H$4,100,('исходные данные'!J203-'минимумы и максимумы'!H$2)/('минимумы и максимумы'!H$4-'минимумы и максимумы'!H$2)*100)</f>
        <v>0</v>
      </c>
      <c r="K203" s="1">
        <f>IF('исходные данные'!K203&gt;'минимумы и максимумы'!I$4,100,('исходные данные'!K203-'минимумы и максимумы'!I$2)/('минимумы и максимумы'!I$4-'минимумы и максимумы'!I$2)*100)</f>
        <v>7.1428571428571423</v>
      </c>
      <c r="L203" s="1">
        <f>IF('исходные данные'!L203&gt;'минимумы и максимумы'!J$4,100,('исходные данные'!L203-'минимумы и максимумы'!J$2)/('минимумы и максимумы'!J$4-'минимумы и максимумы'!J$2)*100)</f>
        <v>0</v>
      </c>
      <c r="M203" s="1">
        <f>IF('исходные данные'!M203&gt;'минимумы и максимумы'!K$4,100,('исходные данные'!M203-'минимумы и максимумы'!K$2)/('минимумы и максимумы'!K$4-'минимумы и максимумы'!K$2)*100)</f>
        <v>14.893617021276595</v>
      </c>
      <c r="N203" s="1">
        <f>IF('исходные данные'!N203&gt;'минимумы и максимумы'!L$4,100,('исходные данные'!N203-'минимумы и максимумы'!L$2)/('минимумы и максимумы'!L$4-'минимумы и максимумы'!L$2)*100)</f>
        <v>11.758091169896684</v>
      </c>
      <c r="O203" s="1">
        <f>IF('исходные данные'!O203&gt;'минимумы и максимумы'!M$4,100,('исходные данные'!O203-'минимумы и максимумы'!M$2)/('минимумы и максимумы'!M$4-'минимумы и максимумы'!M$2)*100)</f>
        <v>66.666666666666657</v>
      </c>
      <c r="P203" s="1">
        <f>IF('исходные данные'!P203&gt;'минимумы и максимумы'!N$4,100,('исходные данные'!P203-'минимумы и максимумы'!N$2)/('минимумы и максимумы'!N$4-'минимумы и максимумы'!N$2)*100)</f>
        <v>0</v>
      </c>
      <c r="Q203" s="1">
        <f>IF('исходные данные'!Q203&gt;'минимумы и максимумы'!O$4,100,('исходные данные'!Q203-'минимумы и максимумы'!O$2)/('минимумы и максимумы'!O$4-'минимумы и максимумы'!O$2)*100)</f>
        <v>100</v>
      </c>
      <c r="R203" s="1">
        <f>IF('исходные данные'!R203&gt;'минимумы и максимумы'!P$4,100,('исходные данные'!R203-'минимумы и максимумы'!P$2)/('минимумы и максимумы'!P$4-'минимумы и максимумы'!P$2)*100)</f>
        <v>75</v>
      </c>
      <c r="S203" s="1">
        <f>IF('исходные данные'!S203&gt;'минимумы и максимумы'!Q$4,100,('исходные данные'!S203-'минимумы и максимумы'!Q$2)/('минимумы и максимумы'!Q$4-'минимумы и максимумы'!Q$2)*100)</f>
        <v>11.111111111111111</v>
      </c>
      <c r="T203" s="1">
        <f>IF('исходные данные'!T203&gt;'минимумы и максимумы'!R$4,100,('исходные данные'!T203-'минимумы и максимумы'!R$2)/('минимумы и максимумы'!R$4-'минимумы и максимумы'!R$2)*100)</f>
        <v>12.859608745684694</v>
      </c>
      <c r="U203" s="1">
        <f>IF('исходные данные'!U203&gt;'минимумы и максимумы'!S$4,100,('исходные данные'!U203-'минимумы и максимумы'!S$2)/('минимумы и максимумы'!S$4-'минимумы и максимумы'!S$2)*100)</f>
        <v>0</v>
      </c>
    </row>
    <row r="204" spans="1:21" x14ac:dyDescent="0.45">
      <c r="A204" s="4">
        <v>290</v>
      </c>
      <c r="B204" s="4">
        <v>0</v>
      </c>
      <c r="C204" s="4">
        <v>0</v>
      </c>
      <c r="D204" s="1">
        <f>IF('исходные данные'!D204&gt;'минимумы и максимумы'!B$4,100,('исходные данные'!D204-'минимумы и максимумы'!B$2)/('минимумы и максимумы'!B$4-'минимумы и максимумы'!B$2)*100)</f>
        <v>0</v>
      </c>
      <c r="E204" s="1">
        <f>IF('исходные данные'!E204&gt;'минимумы и максимумы'!C$4,100,('исходные данные'!E204-'минимумы и максимумы'!C$2)/('минимумы и максимумы'!C$4-'минимумы и максимумы'!C$2)*100)</f>
        <v>18.75</v>
      </c>
      <c r="F204" s="1">
        <f>IF('исходные данные'!F204&gt;'минимумы и максимумы'!D$4,100,('исходные данные'!F204-'минимумы и максимумы'!D$2)/('минимумы и максимумы'!D$4-'минимумы и максимумы'!D$2)*100)</f>
        <v>50</v>
      </c>
      <c r="G204" s="1">
        <f>IF('исходные данные'!G204&gt;'минимумы и максимумы'!E$4,100,('исходные данные'!G204-'минимумы и максимумы'!E$2)/('минимумы и максимумы'!E$4-'минимумы и максимумы'!E$2)*100)</f>
        <v>5.4054054054054053</v>
      </c>
      <c r="H204" s="1">
        <f>IF('исходные данные'!H204&gt;'минимумы и максимумы'!F$4,100,('исходные данные'!H204-'минимумы и максимумы'!F$2)/('минимумы и максимумы'!F$4-'минимумы и максимумы'!F$2)*100)</f>
        <v>10.526315789473683</v>
      </c>
      <c r="I204" s="1">
        <f>IF('исходные данные'!I204&gt;'минимумы и максимумы'!G$4,100,('исходные данные'!I204-'минимумы и максимумы'!G$2)/('минимумы и максимумы'!G$4-'минимумы и максимумы'!G$2)*100)</f>
        <v>18.072289156626507</v>
      </c>
      <c r="J204" s="1">
        <f>IF('исходные данные'!J204&gt;'минимумы и максимумы'!H$4,100,('исходные данные'!J204-'минимумы и максимумы'!H$2)/('минимумы и максимумы'!H$4-'минимумы и максимумы'!H$2)*100)</f>
        <v>0</v>
      </c>
      <c r="K204" s="1">
        <f>IF('исходные данные'!K204&gt;'минимумы и максимумы'!I$4,100,('исходные данные'!K204-'минимумы и максимумы'!I$2)/('минимумы и максимумы'!I$4-'минимумы и максимумы'!I$2)*100)</f>
        <v>10.714285714285714</v>
      </c>
      <c r="L204" s="1">
        <f>IF('исходные данные'!L204&gt;'минимумы и максимумы'!J$4,100,('исходные данные'!L204-'минимумы и максимумы'!J$2)/('минимумы и максимумы'!J$4-'минимумы и максимумы'!J$2)*100)</f>
        <v>12.5</v>
      </c>
      <c r="M204" s="1">
        <f>IF('исходные данные'!M204&gt;'минимумы и максимумы'!K$4,100,('исходные данные'!M204-'минимумы и максимумы'!K$2)/('минимумы и максимумы'!K$4-'минимумы и максимумы'!K$2)*100)</f>
        <v>29.787234042553191</v>
      </c>
      <c r="N204" s="1">
        <f>IF('исходные данные'!N204&gt;'минимумы и максимумы'!L$4,100,('исходные данные'!N204-'минимумы и максимумы'!L$2)/('минимумы и максимумы'!L$4-'минимумы и максимумы'!L$2)*100)</f>
        <v>10.784115561466329</v>
      </c>
      <c r="O204" s="1">
        <f>IF('исходные данные'!O204&gt;'минимумы и максимумы'!M$4,100,('исходные данные'!O204-'минимумы и максимумы'!M$2)/('минимумы и максимумы'!M$4-'минимумы и максимумы'!M$2)*100)</f>
        <v>66.666666666666657</v>
      </c>
      <c r="P204" s="1">
        <f>IF('исходные данные'!P204&gt;'минимумы и максимумы'!N$4,100,('исходные данные'!P204-'минимумы и максимумы'!N$2)/('минимумы и максимумы'!N$4-'минимумы и максимумы'!N$2)*100)</f>
        <v>100</v>
      </c>
      <c r="Q204" s="1">
        <f>IF('исходные данные'!Q204&gt;'минимумы и максимумы'!O$4,100,('исходные данные'!Q204-'минимумы и максимумы'!O$2)/('минимумы и максимумы'!O$4-'минимумы и максимумы'!O$2)*100)</f>
        <v>100</v>
      </c>
      <c r="R204" s="1">
        <f>IF('исходные данные'!R204&gt;'минимумы и максимумы'!P$4,100,('исходные данные'!R204-'минимумы и максимумы'!P$2)/('минимумы и максимумы'!P$4-'минимумы и максимумы'!P$2)*100)</f>
        <v>75</v>
      </c>
      <c r="S204" s="1">
        <f>IF('исходные данные'!S204&gt;'минимумы и максимумы'!Q$4,100,('исходные данные'!S204-'минимумы и максимумы'!Q$2)/('минимумы и максимумы'!Q$4-'минимумы и максимумы'!Q$2)*100)</f>
        <v>22.222222222222221</v>
      </c>
      <c r="T204" s="1">
        <f>IF('исходные данные'!T204&gt;'минимумы и максимумы'!R$4,100,('исходные данные'!T204-'минимумы и максимумы'!R$2)/('минимумы и максимумы'!R$4-'минимумы и максимумы'!R$2)*100)</f>
        <v>30.75373993095512</v>
      </c>
      <c r="U204" s="1">
        <f>IF('исходные данные'!U204&gt;'минимумы и максимумы'!S$4,100,('исходные данные'!U204-'минимумы и максимумы'!S$2)/('минимумы и максимумы'!S$4-'минимумы и максимумы'!S$2)*100)</f>
        <v>66.666666666666657</v>
      </c>
    </row>
    <row r="205" spans="1:21" x14ac:dyDescent="0.45">
      <c r="A205" s="4">
        <v>291</v>
      </c>
      <c r="B205" s="4">
        <v>0</v>
      </c>
      <c r="C205" s="4">
        <v>0</v>
      </c>
      <c r="D205" s="1">
        <f>IF('исходные данные'!D205&gt;'минимумы и максимумы'!B$4,100,('исходные данные'!D205-'минимумы и максимумы'!B$2)/('минимумы и максимумы'!B$4-'минимумы и максимумы'!B$2)*100)</f>
        <v>0</v>
      </c>
      <c r="E205" s="1">
        <f>IF('исходные данные'!E205&gt;'минимумы и максимумы'!C$4,100,('исходные данные'!E205-'минимумы и максимумы'!C$2)/('минимумы и максимумы'!C$4-'минимумы и максимумы'!C$2)*100)</f>
        <v>12.5</v>
      </c>
      <c r="F205" s="1">
        <f>IF('исходные данные'!F205&gt;'минимумы и максимумы'!D$4,100,('исходные данные'!F205-'минимумы и максимумы'!D$2)/('минимумы и максимумы'!D$4-'минимумы и максимумы'!D$2)*100)</f>
        <v>50</v>
      </c>
      <c r="G205" s="1">
        <f>IF('исходные данные'!G205&gt;'минимумы и максимумы'!E$4,100,('исходные данные'!G205-'минимумы и максимумы'!E$2)/('минимумы и максимумы'!E$4-'минимумы и максимумы'!E$2)*100)</f>
        <v>2.7027027027027026</v>
      </c>
      <c r="H205" s="1">
        <f>IF('исходные данные'!H205&gt;'минимумы и максимумы'!F$4,100,('исходные данные'!H205-'минимумы и максимумы'!F$2)/('минимумы и максимумы'!F$4-'минимумы и максимумы'!F$2)*100)</f>
        <v>2.6315789473684208</v>
      </c>
      <c r="I205" s="1">
        <f>IF('исходные данные'!I205&gt;'минимумы и максимумы'!G$4,100,('исходные данные'!I205-'минимумы и максимумы'!G$2)/('минимумы и максимумы'!G$4-'минимумы и максимумы'!G$2)*100)</f>
        <v>7.2289156626506017</v>
      </c>
      <c r="J205" s="1">
        <f>IF('исходные данные'!J205&gt;'минимумы и максимумы'!H$4,100,('исходные данные'!J205-'минимумы и максимумы'!H$2)/('минимумы и максимумы'!H$4-'минимумы и максимумы'!H$2)*100)</f>
        <v>0</v>
      </c>
      <c r="K205" s="1">
        <f>IF('исходные данные'!K205&gt;'минимумы и максимумы'!I$4,100,('исходные данные'!K205-'минимумы и максимумы'!I$2)/('минимумы и максимумы'!I$4-'минимумы и максимумы'!I$2)*100)</f>
        <v>3.5714285714285712</v>
      </c>
      <c r="L205" s="1">
        <f>IF('исходные данные'!L205&gt;'минимумы и максимумы'!J$4,100,('исходные данные'!L205-'минимумы и максимумы'!J$2)/('минимумы и максимумы'!J$4-'минимумы и максимумы'!J$2)*100)</f>
        <v>12.5</v>
      </c>
      <c r="M205" s="1">
        <f>IF('исходные данные'!M205&gt;'минимумы и максимумы'!K$4,100,('исходные данные'!M205-'минимумы и максимумы'!K$2)/('минимумы и максимумы'!K$4-'минимумы и максимумы'!K$2)*100)</f>
        <v>19.148936170212767</v>
      </c>
      <c r="N205" s="1">
        <f>IF('исходные данные'!N205&gt;'минимумы и максимумы'!L$4,100,('исходные данные'!N205-'минимумы и максимумы'!L$2)/('минимумы и максимумы'!L$4-'минимумы и максимумы'!L$2)*100)</f>
        <v>10.813872022872301</v>
      </c>
      <c r="O205" s="1">
        <f>IF('исходные данные'!O205&gt;'минимумы и максимумы'!M$4,100,('исходные данные'!O205-'минимумы и максимумы'!M$2)/('минимумы и максимумы'!M$4-'минимумы и максимумы'!M$2)*100)</f>
        <v>66.666666666666657</v>
      </c>
      <c r="P205" s="1">
        <f>IF('исходные данные'!P205&gt;'минимумы и максимумы'!N$4,100,('исходные данные'!P205-'минимумы и максимумы'!N$2)/('минимумы и максимумы'!N$4-'минимумы и максимумы'!N$2)*100)</f>
        <v>0</v>
      </c>
      <c r="Q205" s="1">
        <f>IF('исходные данные'!Q205&gt;'минимумы и максимумы'!O$4,100,('исходные данные'!Q205-'минимумы и максимумы'!O$2)/('минимумы и максимумы'!O$4-'минимумы и максимумы'!O$2)*100)</f>
        <v>100</v>
      </c>
      <c r="R205" s="1">
        <f>IF('исходные данные'!R205&gt;'минимумы и максимумы'!P$4,100,('исходные данные'!R205-'минимумы и максимумы'!P$2)/('минимумы и максимумы'!P$4-'минимумы и максимумы'!P$2)*100)</f>
        <v>75</v>
      </c>
      <c r="S205" s="1">
        <f>IF('исходные данные'!S205&gt;'минимумы и максимумы'!Q$4,100,('исходные данные'!S205-'минимумы и максимумы'!Q$2)/('минимумы и максимумы'!Q$4-'минимумы и максимумы'!Q$2)*100)</f>
        <v>22.222222222222221</v>
      </c>
      <c r="T205" s="1">
        <f>IF('исходные данные'!T205&gt;'минимумы и максимумы'!R$4,100,('исходные данные'!T205-'минимумы и максимумы'!R$2)/('минимумы и максимумы'!R$4-'минимумы и максимумы'!R$2)*100)</f>
        <v>1.8124280782508631</v>
      </c>
      <c r="U205" s="1">
        <f>IF('исходные данные'!U205&gt;'минимумы и максимумы'!S$4,100,('исходные данные'!U205-'минимумы и максимумы'!S$2)/('минимумы и максимумы'!S$4-'минимумы и максимумы'!S$2)*100)</f>
        <v>0</v>
      </c>
    </row>
    <row r="206" spans="1:21" x14ac:dyDescent="0.45">
      <c r="A206" s="4">
        <v>292</v>
      </c>
      <c r="B206" s="4">
        <v>0</v>
      </c>
      <c r="C206" s="4">
        <v>0</v>
      </c>
      <c r="D206" s="1">
        <f>IF('исходные данные'!D206&gt;'минимумы и максимумы'!B$4,100,('исходные данные'!D206-'минимумы и максимумы'!B$2)/('минимумы и максимумы'!B$4-'минимумы и максимумы'!B$2)*100)</f>
        <v>0</v>
      </c>
      <c r="E206" s="1">
        <f>IF('исходные данные'!E206&gt;'минимумы и максимумы'!C$4,100,('исходные данные'!E206-'минимумы и максимумы'!C$2)/('минимумы и максимумы'!C$4-'минимумы и максимумы'!C$2)*100)</f>
        <v>12.5</v>
      </c>
      <c r="F206" s="1">
        <f>IF('исходные данные'!F206&gt;'минимумы и максимумы'!D$4,100,('исходные данные'!F206-'минимумы и максимумы'!D$2)/('минимумы и максимумы'!D$4-'минимумы и максимумы'!D$2)*100)</f>
        <v>50</v>
      </c>
      <c r="G206" s="1">
        <f>IF('исходные данные'!G206&gt;'минимумы и максимумы'!E$4,100,('исходные данные'!G206-'минимумы и максимумы'!E$2)/('минимумы и максимумы'!E$4-'минимумы и максимумы'!E$2)*100)</f>
        <v>2.7027027027027026</v>
      </c>
      <c r="H206" s="1">
        <f>IF('исходные данные'!H206&gt;'минимумы и максимумы'!F$4,100,('исходные данные'!H206-'минимумы и максимумы'!F$2)/('минимумы и максимумы'!F$4-'минимумы и максимумы'!F$2)*100)</f>
        <v>2.6315789473684208</v>
      </c>
      <c r="I206" s="1">
        <f>IF('исходные данные'!I206&gt;'минимумы и максимумы'!G$4,100,('исходные данные'!I206-'минимумы и максимумы'!G$2)/('минимумы и максимумы'!G$4-'минимумы и максимумы'!G$2)*100)</f>
        <v>7.2289156626506017</v>
      </c>
      <c r="J206" s="1">
        <f>IF('исходные данные'!J206&gt;'минимумы и максимумы'!H$4,100,('исходные данные'!J206-'минимумы и максимумы'!H$2)/('минимумы и максимумы'!H$4-'минимумы и максимумы'!H$2)*100)</f>
        <v>0</v>
      </c>
      <c r="K206" s="1">
        <f>IF('исходные данные'!K206&gt;'минимумы и максимумы'!I$4,100,('исходные данные'!K206-'минимумы и максимумы'!I$2)/('минимумы и максимумы'!I$4-'минимумы и максимумы'!I$2)*100)</f>
        <v>3.5714285714285712</v>
      </c>
      <c r="L206" s="1">
        <f>IF('исходные данные'!L206&gt;'минимумы и максимумы'!J$4,100,('исходные данные'!L206-'минимумы и максимумы'!J$2)/('минимумы и максимумы'!J$4-'минимумы и максимумы'!J$2)*100)</f>
        <v>12.5</v>
      </c>
      <c r="M206" s="1">
        <f>IF('исходные данные'!M206&gt;'минимумы и максимумы'!K$4,100,('исходные данные'!M206-'минимумы и максимумы'!K$2)/('минимумы и максимумы'!K$4-'минимумы и максимумы'!K$2)*100)</f>
        <v>19.148936170212767</v>
      </c>
      <c r="N206" s="1">
        <f>IF('исходные данные'!N206&gt;'минимумы и максимумы'!L$4,100,('исходные данные'!N206-'минимумы и максимумы'!L$2)/('минимумы и максимумы'!L$4-'минимумы и максимумы'!L$2)*100)</f>
        <v>11.927139497649025</v>
      </c>
      <c r="O206" s="1">
        <f>IF('исходные данные'!O206&gt;'минимумы и максимумы'!M$4,100,('исходные данные'!O206-'минимумы и максимумы'!M$2)/('минимумы и максимумы'!M$4-'минимумы и максимумы'!M$2)*100)</f>
        <v>66.666666666666657</v>
      </c>
      <c r="P206" s="1">
        <f>IF('исходные данные'!P206&gt;'минимумы и максимумы'!N$4,100,('исходные данные'!P206-'минимумы и максимумы'!N$2)/('минимумы и максимумы'!N$4-'минимумы и максимумы'!N$2)*100)</f>
        <v>100</v>
      </c>
      <c r="Q206" s="1">
        <f>IF('исходные данные'!Q206&gt;'минимумы и максимумы'!O$4,100,('исходные данные'!Q206-'минимумы и максимумы'!O$2)/('минимумы и максимумы'!O$4-'минимумы и максимумы'!O$2)*100)</f>
        <v>100</v>
      </c>
      <c r="R206" s="1">
        <f>IF('исходные данные'!R206&gt;'минимумы и максимумы'!P$4,100,('исходные данные'!R206-'минимумы и максимумы'!P$2)/('минимумы и максимумы'!P$4-'минимумы и максимумы'!P$2)*100)</f>
        <v>75</v>
      </c>
      <c r="S206" s="1">
        <f>IF('исходные данные'!S206&gt;'минимумы и максимумы'!Q$4,100,('исходные данные'!S206-'минимумы и максимумы'!Q$2)/('минимумы и максимумы'!Q$4-'минимумы и максимумы'!Q$2)*100)</f>
        <v>77.777777777777786</v>
      </c>
      <c r="T206" s="1">
        <f>IF('исходные данные'!T206&gt;'минимумы и максимумы'!R$4,100,('исходные данные'!T206-'минимумы и максимумы'!R$2)/('минимумы и максимумы'!R$4-'минимумы и максимумы'!R$2)*100)</f>
        <v>74.539700805523594</v>
      </c>
      <c r="U206" s="1">
        <f>IF('исходные данные'!U206&gt;'минимумы и максимумы'!S$4,100,('исходные данные'!U206-'минимумы и максимумы'!S$2)/('минимумы и максимумы'!S$4-'минимумы и максимумы'!S$2)*100)</f>
        <v>100</v>
      </c>
    </row>
    <row r="207" spans="1:21" x14ac:dyDescent="0.45">
      <c r="A207" s="4">
        <v>293</v>
      </c>
      <c r="B207" s="4">
        <v>0</v>
      </c>
      <c r="C207" s="4">
        <v>0</v>
      </c>
      <c r="D207" s="1">
        <f>IF('исходные данные'!D207&gt;'минимумы и максимумы'!B$4,100,('исходные данные'!D207-'минимумы и максимумы'!B$2)/('минимумы и максимумы'!B$4-'минимумы и максимумы'!B$2)*100)</f>
        <v>0</v>
      </c>
      <c r="E207" s="1">
        <f>IF('исходные данные'!E207&gt;'минимумы и максимумы'!C$4,100,('исходные данные'!E207-'минимумы и максимумы'!C$2)/('минимумы и максимумы'!C$4-'минимумы и максимумы'!C$2)*100)</f>
        <v>18.75</v>
      </c>
      <c r="F207" s="1">
        <f>IF('исходные данные'!F207&gt;'минимумы и максимумы'!D$4,100,('исходные данные'!F207-'минимумы и максимумы'!D$2)/('минимумы и максимумы'!D$4-'минимумы и максимумы'!D$2)*100)</f>
        <v>50</v>
      </c>
      <c r="G207" s="1">
        <f>IF('исходные данные'!G207&gt;'минимумы и максимумы'!E$4,100,('исходные данные'!G207-'минимумы и максимумы'!E$2)/('минимумы и максимумы'!E$4-'минимумы и максимумы'!E$2)*100)</f>
        <v>8.1081081081081088</v>
      </c>
      <c r="H207" s="1">
        <f>IF('исходные данные'!H207&gt;'минимумы и максимумы'!F$4,100,('исходные данные'!H207-'минимумы и максимумы'!F$2)/('минимумы и максимумы'!F$4-'минимумы и максимумы'!F$2)*100)</f>
        <v>2.6315789473684208</v>
      </c>
      <c r="I207" s="1">
        <f>IF('исходные данные'!I207&gt;'минимумы и максимумы'!G$4,100,('исходные данные'!I207-'минимумы и максимумы'!G$2)/('минимумы и максимумы'!G$4-'минимумы и максимумы'!G$2)*100)</f>
        <v>9.6385542168674707</v>
      </c>
      <c r="J207" s="1">
        <f>IF('исходные данные'!J207&gt;'минимумы и максимумы'!H$4,100,('исходные данные'!J207-'минимумы и максимумы'!H$2)/('минимумы и максимумы'!H$4-'минимумы и максимумы'!H$2)*100)</f>
        <v>0</v>
      </c>
      <c r="K207" s="1">
        <f>IF('исходные данные'!K207&gt;'минимумы и максимумы'!I$4,100,('исходные данные'!K207-'минимумы и максимумы'!I$2)/('минимумы и максимумы'!I$4-'минимумы и максимумы'!I$2)*100)</f>
        <v>3.5714285714285712</v>
      </c>
      <c r="L207" s="1">
        <f>IF('исходные данные'!L207&gt;'минимумы и максимумы'!J$4,100,('исходные данные'!L207-'минимумы и максимумы'!J$2)/('минимумы и максимумы'!J$4-'минимумы и максимумы'!J$2)*100)</f>
        <v>12.5</v>
      </c>
      <c r="M207" s="1">
        <f>IF('исходные данные'!M207&gt;'минимумы и максимумы'!K$4,100,('исходные данные'!M207-'минимумы и максимумы'!K$2)/('минимумы и максимумы'!K$4-'минимумы и максимумы'!K$2)*100)</f>
        <v>21.276595744680851</v>
      </c>
      <c r="N207" s="1">
        <f>IF('исходные данные'!N207&gt;'минимумы и максимумы'!L$4,100,('исходные данные'!N207-'минимумы и максимумы'!L$2)/('минимумы и максимумы'!L$4-'минимумы и максимумы'!L$2)*100)</f>
        <v>10.406533574651064</v>
      </c>
      <c r="O207" s="1">
        <f>IF('исходные данные'!O207&gt;'минимумы и максимумы'!M$4,100,('исходные данные'!O207-'минимумы и максимумы'!M$2)/('минимумы и максимумы'!M$4-'минимумы и максимумы'!M$2)*100)</f>
        <v>66.666666666666657</v>
      </c>
      <c r="P207" s="1">
        <f>IF('исходные данные'!P207&gt;'минимумы и максимумы'!N$4,100,('исходные данные'!P207-'минимумы и максимумы'!N$2)/('минимумы и максимумы'!N$4-'минимумы и максимумы'!N$2)*100)</f>
        <v>100</v>
      </c>
      <c r="Q207" s="1">
        <f>IF('исходные данные'!Q207&gt;'минимумы и максимумы'!O$4,100,('исходные данные'!Q207-'минимумы и максимумы'!O$2)/('минимумы и максимумы'!O$4-'минимумы и максимумы'!O$2)*100)</f>
        <v>100</v>
      </c>
      <c r="R207" s="1">
        <f>IF('исходные данные'!R207&gt;'минимумы и максимумы'!P$4,100,('исходные данные'!R207-'минимумы и максимумы'!P$2)/('минимумы и максимумы'!P$4-'минимумы и максимумы'!P$2)*100)</f>
        <v>75</v>
      </c>
      <c r="S207" s="1">
        <f>IF('исходные данные'!S207&gt;'минимумы и максимумы'!Q$4,100,('исходные данные'!S207-'минимумы и максимумы'!Q$2)/('минимумы и максимумы'!Q$4-'минимумы и максимумы'!Q$2)*100)</f>
        <v>22.222222222222221</v>
      </c>
      <c r="T207" s="1">
        <f>IF('исходные данные'!T207&gt;'минимумы и максимумы'!R$4,100,('исходные данные'!T207-'минимумы и максимумы'!R$2)/('минимумы и максимумы'!R$4-'минимумы и максимумы'!R$2)*100)</f>
        <v>4.6605293440736482</v>
      </c>
      <c r="U207" s="1">
        <f>IF('исходные данные'!U207&gt;'минимумы и максимумы'!S$4,100,('исходные данные'!U207-'минимумы и максимумы'!S$2)/('минимумы и максимумы'!S$4-'минимумы и максимумы'!S$2)*100)</f>
        <v>33.333333333333329</v>
      </c>
    </row>
    <row r="208" spans="1:21" x14ac:dyDescent="0.45">
      <c r="A208" s="4">
        <v>294</v>
      </c>
      <c r="B208" s="4">
        <v>0</v>
      </c>
      <c r="C208" s="4">
        <v>0</v>
      </c>
      <c r="D208" s="1">
        <f>IF('исходные данные'!D208&gt;'минимумы и максимумы'!B$4,100,('исходные данные'!D208-'минимумы и максимумы'!B$2)/('минимумы и максимумы'!B$4-'минимумы и максимумы'!B$2)*100)</f>
        <v>0</v>
      </c>
      <c r="E208" s="1">
        <f>IF('исходные данные'!E208&gt;'минимумы и максимумы'!C$4,100,('исходные данные'!E208-'минимумы и максимумы'!C$2)/('минимумы и максимумы'!C$4-'минимумы и максимумы'!C$2)*100)</f>
        <v>18.75</v>
      </c>
      <c r="F208" s="1">
        <f>IF('исходные данные'!F208&gt;'минимумы и максимумы'!D$4,100,('исходные данные'!F208-'минимумы и максимумы'!D$2)/('минимумы и максимумы'!D$4-'минимумы и максимумы'!D$2)*100)</f>
        <v>50</v>
      </c>
      <c r="G208" s="1">
        <f>IF('исходные данные'!G208&gt;'минимумы и максимумы'!E$4,100,('исходные данные'!G208-'минимумы и максимумы'!E$2)/('минимумы и максимумы'!E$4-'минимумы и максимумы'!E$2)*100)</f>
        <v>8.1081081081081088</v>
      </c>
      <c r="H208" s="1">
        <f>IF('исходные данные'!H208&gt;'минимумы и максимумы'!F$4,100,('исходные данные'!H208-'минимумы и максимумы'!F$2)/('минимумы и максимумы'!F$4-'минимумы и максимумы'!F$2)*100)</f>
        <v>2.6315789473684208</v>
      </c>
      <c r="I208" s="1">
        <f>IF('исходные данные'!I208&gt;'минимумы и максимумы'!G$4,100,('исходные данные'!I208-'минимумы и максимумы'!G$2)/('минимумы и максимумы'!G$4-'минимумы и максимумы'!G$2)*100)</f>
        <v>9.6385542168674707</v>
      </c>
      <c r="J208" s="1">
        <f>IF('исходные данные'!J208&gt;'минимумы и максимумы'!H$4,100,('исходные данные'!J208-'минимумы и максимумы'!H$2)/('минимумы и максимумы'!H$4-'минимумы и максимумы'!H$2)*100)</f>
        <v>0</v>
      </c>
      <c r="K208" s="1">
        <f>IF('исходные данные'!K208&gt;'минимумы и максимумы'!I$4,100,('исходные данные'!K208-'минимумы и максимумы'!I$2)/('минимумы и максимумы'!I$4-'минимумы и максимумы'!I$2)*100)</f>
        <v>3.5714285714285712</v>
      </c>
      <c r="L208" s="1">
        <f>IF('исходные данные'!L208&gt;'минимумы и максимумы'!J$4,100,('исходные данные'!L208-'минимумы и максимумы'!J$2)/('минимумы и максимумы'!J$4-'минимумы и максимумы'!J$2)*100)</f>
        <v>12.5</v>
      </c>
      <c r="M208" s="1">
        <f>IF('исходные данные'!M208&gt;'минимумы и максимумы'!K$4,100,('исходные данные'!M208-'минимумы и максимумы'!K$2)/('минимумы и максимумы'!K$4-'минимумы и максимумы'!K$2)*100)</f>
        <v>21.276595744680851</v>
      </c>
      <c r="N208" s="1">
        <f>IF('исходные данные'!N208&gt;'минимумы и максимумы'!L$4,100,('исходные данные'!N208-'минимумы и максимумы'!L$2)/('минимумы и максимумы'!L$4-'минимумы и максимумы'!L$2)*100)</f>
        <v>10.406533574651064</v>
      </c>
      <c r="O208" s="1">
        <f>IF('исходные данные'!O208&gt;'минимумы и максимумы'!M$4,100,('исходные данные'!O208-'минимумы и максимумы'!M$2)/('минимумы и максимумы'!M$4-'минимумы и максимумы'!M$2)*100)</f>
        <v>66.666666666666657</v>
      </c>
      <c r="P208" s="1">
        <f>IF('исходные данные'!P208&gt;'минимумы и максимумы'!N$4,100,('исходные данные'!P208-'минимумы и максимумы'!N$2)/('минимумы и максимумы'!N$4-'минимумы и максимумы'!N$2)*100)</f>
        <v>100</v>
      </c>
      <c r="Q208" s="1">
        <f>IF('исходные данные'!Q208&gt;'минимумы и максимумы'!O$4,100,('исходные данные'!Q208-'минимумы и максимумы'!O$2)/('минимумы и максимумы'!O$4-'минимумы и максимумы'!O$2)*100)</f>
        <v>100</v>
      </c>
      <c r="R208" s="1">
        <f>IF('исходные данные'!R208&gt;'минимумы и максимумы'!P$4,100,('исходные данные'!R208-'минимумы и максимумы'!P$2)/('минимумы и максимумы'!P$4-'минимумы и максимумы'!P$2)*100)</f>
        <v>75</v>
      </c>
      <c r="S208" s="1">
        <f>IF('исходные данные'!S208&gt;'минимумы и максимумы'!Q$4,100,('исходные данные'!S208-'минимумы и максимумы'!Q$2)/('минимумы и максимумы'!Q$4-'минимумы и максимумы'!Q$2)*100)</f>
        <v>11.111111111111111</v>
      </c>
      <c r="T208" s="1">
        <f>IF('исходные данные'!T208&gt;'минимумы и максимумы'!R$4,100,('исходные данные'!T208-'минимумы и максимумы'!R$2)/('минимумы и максимумы'!R$4-'минимумы и максимумы'!R$2)*100)</f>
        <v>3.3659378596087453</v>
      </c>
      <c r="U208" s="1">
        <f>IF('исходные данные'!U208&gt;'минимумы и максимумы'!S$4,100,('исходные данные'!U208-'минимумы и максимумы'!S$2)/('минимумы и максимумы'!S$4-'минимумы и максимумы'!S$2)*100)</f>
        <v>0</v>
      </c>
    </row>
    <row r="209" spans="1:21" x14ac:dyDescent="0.45">
      <c r="A209" s="4">
        <v>295</v>
      </c>
      <c r="B209" s="4">
        <v>0</v>
      </c>
      <c r="C209" s="4">
        <v>0</v>
      </c>
      <c r="D209" s="1">
        <f>IF('исходные данные'!D209&gt;'минимумы и максимумы'!B$4,100,('исходные данные'!D209-'минимумы и максимумы'!B$2)/('минимумы и максимумы'!B$4-'минимумы и максимумы'!B$2)*100)</f>
        <v>0</v>
      </c>
      <c r="E209" s="1">
        <f>IF('исходные данные'!E209&gt;'минимумы и максимумы'!C$4,100,('исходные данные'!E209-'минимумы и максимумы'!C$2)/('минимумы и максимумы'!C$4-'минимумы и максимумы'!C$2)*100)</f>
        <v>12.5</v>
      </c>
      <c r="F209" s="1">
        <f>IF('исходные данные'!F209&gt;'минимумы и максимумы'!D$4,100,('исходные данные'!F209-'минимумы и максимумы'!D$2)/('минимумы и максимумы'!D$4-'минимумы и максимумы'!D$2)*100)</f>
        <v>50</v>
      </c>
      <c r="G209" s="1">
        <f>IF('исходные данные'!G209&gt;'минимумы и максимумы'!E$4,100,('исходные данные'!G209-'минимумы и максимумы'!E$2)/('минимумы и максимумы'!E$4-'минимумы и максимумы'!E$2)*100)</f>
        <v>2.7027027027027026</v>
      </c>
      <c r="H209" s="1">
        <f>IF('исходные данные'!H209&gt;'минимумы и максимумы'!F$4,100,('исходные данные'!H209-'минимумы и максимумы'!F$2)/('минимумы и максимумы'!F$4-'минимумы и максимумы'!F$2)*100)</f>
        <v>2.6315789473684208</v>
      </c>
      <c r="I209" s="1">
        <f>IF('исходные данные'!I209&gt;'минимумы и максимумы'!G$4,100,('исходные данные'!I209-'минимумы и максимумы'!G$2)/('минимумы и максимумы'!G$4-'минимумы и максимумы'!G$2)*100)</f>
        <v>7.2289156626506017</v>
      </c>
      <c r="J209" s="1">
        <f>IF('исходные данные'!J209&gt;'минимумы и максимумы'!H$4,100,('исходные данные'!J209-'минимумы и максимумы'!H$2)/('минимумы и максимумы'!H$4-'минимумы и максимумы'!H$2)*100)</f>
        <v>0</v>
      </c>
      <c r="K209" s="1">
        <f>IF('исходные данные'!K209&gt;'минимумы и максимумы'!I$4,100,('исходные данные'!K209-'минимумы и максимумы'!I$2)/('минимумы и максимумы'!I$4-'минимумы и максимумы'!I$2)*100)</f>
        <v>3.5714285714285712</v>
      </c>
      <c r="L209" s="1">
        <f>IF('исходные данные'!L209&gt;'минимумы и максимумы'!J$4,100,('исходные данные'!L209-'минимумы и максимумы'!J$2)/('минимумы и максимумы'!J$4-'минимумы и максимумы'!J$2)*100)</f>
        <v>12.5</v>
      </c>
      <c r="M209" s="1">
        <f>IF('исходные данные'!M209&gt;'минимумы и максимумы'!K$4,100,('исходные данные'!M209-'минимумы и максимумы'!K$2)/('минимумы и максимумы'!K$4-'минимумы и максимумы'!K$2)*100)</f>
        <v>19.148936170212767</v>
      </c>
      <c r="N209" s="1">
        <f>IF('исходные данные'!N209&gt;'минимумы и максимумы'!L$4,100,('исходные данные'!N209-'минимумы и максимумы'!L$2)/('минимумы и максимумы'!L$4-'минимумы и максимумы'!L$2)*100)</f>
        <v>10.813872022872301</v>
      </c>
      <c r="O209" s="1">
        <f>IF('исходные данные'!O209&gt;'минимумы и максимумы'!M$4,100,('исходные данные'!O209-'минимумы и максимумы'!M$2)/('минимумы и максимумы'!M$4-'минимумы и максимумы'!M$2)*100)</f>
        <v>66.666666666666657</v>
      </c>
      <c r="P209" s="1">
        <f>IF('исходные данные'!P209&gt;'минимумы и максимумы'!N$4,100,('исходные данные'!P209-'минимумы и максимумы'!N$2)/('минимумы и максимумы'!N$4-'минимумы и максимумы'!N$2)*100)</f>
        <v>100</v>
      </c>
      <c r="Q209" s="1">
        <f>IF('исходные данные'!Q209&gt;'минимумы и максимумы'!O$4,100,('исходные данные'!Q209-'минимумы и максимумы'!O$2)/('минимумы и максимумы'!O$4-'минимумы и максимумы'!O$2)*100)</f>
        <v>100</v>
      </c>
      <c r="R209" s="1">
        <f>IF('исходные данные'!R209&gt;'минимумы и максимумы'!P$4,100,('исходные данные'!R209-'минимумы и максимумы'!P$2)/('минимумы и максимумы'!P$4-'минимумы и максимумы'!P$2)*100)</f>
        <v>75</v>
      </c>
      <c r="S209" s="1">
        <f>IF('исходные данные'!S209&gt;'минимумы и максимумы'!Q$4,100,('исходные данные'!S209-'минимумы и максимумы'!Q$2)/('минимумы и максимумы'!Q$4-'минимумы и максимумы'!Q$2)*100)</f>
        <v>22.222222222222221</v>
      </c>
      <c r="T209" s="1">
        <f>IF('исходные данные'!T209&gt;'минимумы и максимумы'!R$4,100,('исходные данные'!T209-'минимумы и максимумы'!R$2)/('минимумы и максимумы'!R$4-'минимумы и максимумы'!R$2)*100)</f>
        <v>5.0632911392405067</v>
      </c>
      <c r="U209" s="1">
        <f>IF('исходные данные'!U209&gt;'минимумы и максимумы'!S$4,100,('исходные данные'!U209-'минимумы и максимумы'!S$2)/('минимумы и максимумы'!S$4-'минимумы и максимумы'!S$2)*100)</f>
        <v>66.666666666666657</v>
      </c>
    </row>
    <row r="210" spans="1:21" x14ac:dyDescent="0.45">
      <c r="A210" s="4">
        <v>297</v>
      </c>
      <c r="B210" s="4">
        <v>0</v>
      </c>
      <c r="C210" s="4">
        <v>0</v>
      </c>
      <c r="D210" s="1">
        <f>IF('исходные данные'!D210&gt;'минимумы и максимумы'!B$4,100,('исходные данные'!D210-'минимумы и максимумы'!B$2)/('минимумы и максимумы'!B$4-'минимумы и максимумы'!B$2)*100)</f>
        <v>0</v>
      </c>
      <c r="E210" s="1">
        <f>IF('исходные данные'!E210&gt;'минимумы и максимумы'!C$4,100,('исходные данные'!E210-'минимумы и максимумы'!C$2)/('минимумы и максимумы'!C$4-'минимумы и максимумы'!C$2)*100)</f>
        <v>0</v>
      </c>
      <c r="F210" s="1">
        <f>IF('исходные данные'!F210&gt;'минимумы и максимумы'!D$4,100,('исходные данные'!F210-'минимумы и максимумы'!D$2)/('минимумы и максимумы'!D$4-'минимумы и максимумы'!D$2)*100)</f>
        <v>0</v>
      </c>
      <c r="G210" s="1">
        <f>IF('исходные данные'!G210&gt;'минимумы и максимумы'!E$4,100,('исходные данные'!G210-'минимумы и максимумы'!E$2)/('минимумы и максимумы'!E$4-'минимумы и максимумы'!E$2)*100)</f>
        <v>0</v>
      </c>
      <c r="H210" s="1">
        <f>IF('исходные данные'!H210&gt;'минимумы и максимумы'!F$4,100,('исходные данные'!H210-'минимумы и максимумы'!F$2)/('минимумы и максимумы'!F$4-'минимумы и максимумы'!F$2)*100)</f>
        <v>0</v>
      </c>
      <c r="I210" s="1">
        <f>IF('исходные данные'!I210&gt;'минимумы и максимумы'!G$4,100,('исходные данные'!I210-'минимумы и максимумы'!G$2)/('минимумы и максимумы'!G$4-'минимумы и максимумы'!G$2)*100)</f>
        <v>1.2048192771084338</v>
      </c>
      <c r="J210" s="1">
        <f>IF('исходные данные'!J210&gt;'минимумы и максимумы'!H$4,100,('исходные данные'!J210-'минимумы и максимумы'!H$2)/('минимумы и максимумы'!H$4-'минимумы и максимумы'!H$2)*100)</f>
        <v>0</v>
      </c>
      <c r="K210" s="1">
        <f>IF('исходные данные'!K210&gt;'минимумы и максимумы'!I$4,100,('исходные данные'!K210-'минимумы и максимумы'!I$2)/('минимумы и максимумы'!I$4-'минимумы и максимумы'!I$2)*100)</f>
        <v>10.714285714285714</v>
      </c>
      <c r="L210" s="1">
        <f>IF('исходные данные'!L210&gt;'минимумы и максимумы'!J$4,100,('исходные данные'!L210-'минимумы и максимумы'!J$2)/('минимумы и максимумы'!J$4-'минимумы и максимумы'!J$2)*100)</f>
        <v>0</v>
      </c>
      <c r="M210" s="1">
        <f>IF('исходные данные'!M210&gt;'минимумы и максимумы'!K$4,100,('исходные данные'!M210-'минимумы и максимумы'!K$2)/('минимумы и максимумы'!K$4-'минимумы и максимумы'!K$2)*100)</f>
        <v>4.2553191489361701</v>
      </c>
      <c r="N210" s="1">
        <f>IF('исходные данные'!N210&gt;'минимумы и максимумы'!L$4,100,('исходные данные'!N210-'минимумы и максимумы'!L$2)/('минимумы и максимумы'!L$4-'минимумы и максимумы'!L$2)*100)</f>
        <v>14.371185297385319</v>
      </c>
      <c r="O210" s="1">
        <f>IF('исходные данные'!O210&gt;'минимумы и максимумы'!M$4,100,('исходные данные'!O210-'минимумы и максимумы'!M$2)/('минимумы и максимумы'!M$4-'минимумы и максимумы'!M$2)*100)</f>
        <v>66.666666666666657</v>
      </c>
      <c r="P210" s="1">
        <f>IF('исходные данные'!P210&gt;'минимумы и максимумы'!N$4,100,('исходные данные'!P210-'минимумы и максимумы'!N$2)/('минимумы и максимумы'!N$4-'минимумы и максимумы'!N$2)*100)</f>
        <v>100</v>
      </c>
      <c r="Q210" s="1">
        <f>IF('исходные данные'!Q210&gt;'минимумы и максимумы'!O$4,100,('исходные данные'!Q210-'минимумы и максимумы'!O$2)/('минимумы и максимумы'!O$4-'минимумы и максимумы'!O$2)*100)</f>
        <v>0</v>
      </c>
      <c r="R210" s="1">
        <f>IF('исходные данные'!R210&gt;'минимумы и максимумы'!P$4,100,('исходные данные'!R210-'минимумы и максимумы'!P$2)/('минимумы и максимумы'!P$4-'минимумы и максимумы'!P$2)*100)</f>
        <v>100</v>
      </c>
      <c r="S210" s="1">
        <f>IF('исходные данные'!S210&gt;'минимумы и максимумы'!Q$4,100,('исходные данные'!S210-'минимумы и максимумы'!Q$2)/('минимумы и максимумы'!Q$4-'минимумы и максимумы'!Q$2)*100)</f>
        <v>33.333333333333329</v>
      </c>
      <c r="T210" s="1">
        <f>IF('исходные данные'!T210&gt;'минимумы и максимумы'!R$4,100,('исходные данные'!T210-'минимумы и максимумы'!R$2)/('минимумы и максимумы'!R$4-'минимумы и максимумы'!R$2)*100)</f>
        <v>14.672036823935558</v>
      </c>
      <c r="U210" s="1">
        <f>IF('исходные данные'!U210&gt;'минимумы и максимумы'!S$4,100,('исходные данные'!U210-'минимумы и максимумы'!S$2)/('минимумы и максимумы'!S$4-'минимумы и максимумы'!S$2)*100)</f>
        <v>0</v>
      </c>
    </row>
    <row r="211" spans="1:21" x14ac:dyDescent="0.45">
      <c r="A211" s="4">
        <v>298</v>
      </c>
      <c r="B211" s="4">
        <v>0</v>
      </c>
      <c r="C211" s="4">
        <v>0</v>
      </c>
      <c r="D211" s="1">
        <f>IF('исходные данные'!D211&gt;'минимумы и максимумы'!B$4,100,('исходные данные'!D211-'минимумы и максимумы'!B$2)/('минимумы и максимумы'!B$4-'минимумы и максимумы'!B$2)*100)</f>
        <v>0</v>
      </c>
      <c r="E211" s="1">
        <f>IF('исходные данные'!E211&gt;'минимумы и максимумы'!C$4,100,('исходные данные'!E211-'минимумы и максимумы'!C$2)/('минимумы и максимумы'!C$4-'минимумы и максимумы'!C$2)*100)</f>
        <v>0</v>
      </c>
      <c r="F211" s="1">
        <f>IF('исходные данные'!F211&gt;'минимумы и максимумы'!D$4,100,('исходные данные'!F211-'минимумы и максимумы'!D$2)/('минимумы и максимумы'!D$4-'минимумы и максимумы'!D$2)*100)</f>
        <v>0</v>
      </c>
      <c r="G211" s="1">
        <f>IF('исходные данные'!G211&gt;'минимумы и максимумы'!E$4,100,('исходные данные'!G211-'минимумы и максимумы'!E$2)/('минимумы и максимумы'!E$4-'минимумы и максимумы'!E$2)*100)</f>
        <v>0</v>
      </c>
      <c r="H211" s="1">
        <f>IF('исходные данные'!H211&gt;'минимумы и максимумы'!F$4,100,('исходные данные'!H211-'минимумы и максимумы'!F$2)/('минимумы и максимумы'!F$4-'минимумы и максимумы'!F$2)*100)</f>
        <v>0</v>
      </c>
      <c r="I211" s="1">
        <f>IF('исходные данные'!I211&gt;'минимумы и максимумы'!G$4,100,('исходные данные'!I211-'минимумы и максимумы'!G$2)/('минимумы и максимумы'!G$4-'минимумы и максимумы'!G$2)*100)</f>
        <v>1.2048192771084338</v>
      </c>
      <c r="J211" s="1">
        <f>IF('исходные данные'!J211&gt;'минимумы и максимумы'!H$4,100,('исходные данные'!J211-'минимумы и максимумы'!H$2)/('минимумы и максимумы'!H$4-'минимумы и максимумы'!H$2)*100)</f>
        <v>0</v>
      </c>
      <c r="K211" s="1">
        <f>IF('исходные данные'!K211&gt;'минимумы и максимумы'!I$4,100,('исходные данные'!K211-'минимумы и максимумы'!I$2)/('минимумы и максимумы'!I$4-'минимумы и максимумы'!I$2)*100)</f>
        <v>10.714285714285714</v>
      </c>
      <c r="L211" s="1">
        <f>IF('исходные данные'!L211&gt;'минимумы и максимумы'!J$4,100,('исходные данные'!L211-'минимумы и максимумы'!J$2)/('минимумы и максимумы'!J$4-'минимумы и максимумы'!J$2)*100)</f>
        <v>0</v>
      </c>
      <c r="M211" s="1">
        <f>IF('исходные данные'!M211&gt;'минимумы и максимумы'!K$4,100,('исходные данные'!M211-'минимумы и максимумы'!K$2)/('минимумы и максимумы'!K$4-'минимумы и максимумы'!K$2)*100)</f>
        <v>4.2553191489361701</v>
      </c>
      <c r="N211" s="1">
        <f>IF('исходные данные'!N211&gt;'минимумы и максимумы'!L$4,100,('исходные данные'!N211-'минимумы и максимумы'!L$2)/('минимумы и максимумы'!L$4-'минимумы и максимумы'!L$2)*100)</f>
        <v>14.093090278643697</v>
      </c>
      <c r="O211" s="1">
        <f>IF('исходные данные'!O211&gt;'минимумы и максимумы'!M$4,100,('исходные данные'!O211-'минимумы и максимумы'!M$2)/('минимумы и максимумы'!M$4-'минимумы и максимумы'!M$2)*100)</f>
        <v>66.666666666666657</v>
      </c>
      <c r="P211" s="1">
        <f>IF('исходные данные'!P211&gt;'минимумы и максимумы'!N$4,100,('исходные данные'!P211-'минимумы и максимумы'!N$2)/('минимумы и максимумы'!N$4-'минимумы и максимумы'!N$2)*100)</f>
        <v>100</v>
      </c>
      <c r="Q211" s="1">
        <f>IF('исходные данные'!Q211&gt;'минимумы и максимумы'!O$4,100,('исходные данные'!Q211-'минимумы и максимумы'!O$2)/('минимумы и максимумы'!O$4-'минимумы и максимумы'!O$2)*100)</f>
        <v>0</v>
      </c>
      <c r="R211" s="1">
        <f>IF('исходные данные'!R211&gt;'минимумы и максимумы'!P$4,100,('исходные данные'!R211-'минимумы и максимумы'!P$2)/('минимумы и максимумы'!P$4-'минимумы и максимумы'!P$2)*100)</f>
        <v>100</v>
      </c>
      <c r="S211" s="1">
        <f>IF('исходные данные'!S211&gt;'минимумы и максимумы'!Q$4,100,('исходные данные'!S211-'минимумы и максимумы'!Q$2)/('минимумы и максимумы'!Q$4-'минимумы и максимумы'!Q$2)*100)</f>
        <v>33.333333333333329</v>
      </c>
      <c r="T211" s="1">
        <f>IF('исходные данные'!T211&gt;'минимумы и максимумы'!R$4,100,('исходные данные'!T211-'минимумы и максимумы'!R$2)/('минимумы и максимумы'!R$4-'минимумы и максимумы'!R$2)*100)</f>
        <v>49.942462600690455</v>
      </c>
      <c r="U211" s="1">
        <f>IF('исходные данные'!U211&gt;'минимумы и максимумы'!S$4,100,('исходные данные'!U211-'минимумы и максимумы'!S$2)/('минимумы и максимумы'!S$4-'минимумы и максимумы'!S$2)*100)</f>
        <v>33.333333333333329</v>
      </c>
    </row>
    <row r="212" spans="1:21" x14ac:dyDescent="0.45">
      <c r="A212" s="4">
        <v>299</v>
      </c>
      <c r="B212" s="4">
        <v>0</v>
      </c>
      <c r="C212" s="4">
        <v>0</v>
      </c>
      <c r="D212" s="1">
        <f>IF('исходные данные'!D212&gt;'минимумы и максимумы'!B$4,100,('исходные данные'!D212-'минимумы и максимумы'!B$2)/('минимумы и максимумы'!B$4-'минимумы и максимумы'!B$2)*100)</f>
        <v>25</v>
      </c>
      <c r="E212" s="1">
        <f>IF('исходные данные'!E212&gt;'минимумы и максимумы'!C$4,100,('исходные данные'!E212-'минимумы и максимумы'!C$2)/('минимумы и максимумы'!C$4-'минимумы и максимумы'!C$2)*100)</f>
        <v>12.5</v>
      </c>
      <c r="F212" s="1">
        <f>IF('исходные данные'!F212&gt;'минимумы и максимумы'!D$4,100,('исходные данные'!F212-'минимумы и максимумы'!D$2)/('минимумы и максимумы'!D$4-'минимумы и максимумы'!D$2)*100)</f>
        <v>0</v>
      </c>
      <c r="G212" s="1">
        <f>IF('исходные данные'!G212&gt;'минимумы и максимумы'!E$4,100,('исходные данные'!G212-'минимумы и максимумы'!E$2)/('минимумы и максимумы'!E$4-'минимумы и максимумы'!E$2)*100)</f>
        <v>2.7027027027027026</v>
      </c>
      <c r="H212" s="1">
        <f>IF('исходные данные'!H212&gt;'минимумы и максимумы'!F$4,100,('исходные данные'!H212-'минимумы и максимумы'!F$2)/('минимумы и максимумы'!F$4-'минимумы и максимумы'!F$2)*100)</f>
        <v>5.2631578947368416</v>
      </c>
      <c r="I212" s="1">
        <f>IF('исходные данные'!I212&gt;'минимумы и максимумы'!G$4,100,('исходные данные'!I212-'минимумы и максимумы'!G$2)/('минимумы и максимумы'!G$4-'минимумы и максимумы'!G$2)*100)</f>
        <v>1.2048192771084338</v>
      </c>
      <c r="J212" s="1">
        <f>IF('исходные данные'!J212&gt;'минимумы и максимумы'!H$4,100,('исходные данные'!J212-'минимумы и максимумы'!H$2)/('минимумы и максимумы'!H$4-'минимумы и максимумы'!H$2)*100)</f>
        <v>0</v>
      </c>
      <c r="K212" s="1">
        <f>IF('исходные данные'!K212&gt;'минимумы и максимумы'!I$4,100,('исходные данные'!K212-'минимумы и максимумы'!I$2)/('минимумы и максимумы'!I$4-'минимумы и максимумы'!I$2)*100)</f>
        <v>3.5714285714285712</v>
      </c>
      <c r="L212" s="1">
        <f>IF('исходные данные'!L212&gt;'минимумы и максимумы'!J$4,100,('исходные данные'!L212-'минимумы и максимумы'!J$2)/('минимумы и максимумы'!J$4-'минимумы и максимумы'!J$2)*100)</f>
        <v>0</v>
      </c>
      <c r="M212" s="1">
        <f>IF('исходные данные'!M212&gt;'минимумы и максимумы'!K$4,100,('исходные данные'!M212-'минимумы и максимумы'!K$2)/('минимумы и максимумы'!K$4-'минимумы и максимумы'!K$2)*100)</f>
        <v>29.787234042553191</v>
      </c>
      <c r="N212" s="1">
        <f>IF('исходные данные'!N212&gt;'минимумы и максимумы'!L$4,100,('исходные данные'!N212-'минимумы и максимумы'!L$2)/('минимумы и максимумы'!L$4-'минимумы и максимумы'!L$2)*100)</f>
        <v>18.630084084880021</v>
      </c>
      <c r="O212" s="1">
        <f>IF('исходные данные'!O212&gt;'минимумы и максимумы'!M$4,100,('исходные данные'!O212-'минимумы и максимумы'!M$2)/('минимумы и максимумы'!M$4-'минимумы и максимумы'!M$2)*100)</f>
        <v>33.333333333333329</v>
      </c>
      <c r="P212" s="1">
        <f>IF('исходные данные'!P212&gt;'минимумы и максимумы'!N$4,100,('исходные данные'!P212-'минимумы и максимумы'!N$2)/('минимумы и максимумы'!N$4-'минимумы и максимумы'!N$2)*100)</f>
        <v>0</v>
      </c>
      <c r="Q212" s="1">
        <f>IF('исходные данные'!Q212&gt;'минимумы и максимумы'!O$4,100,('исходные данные'!Q212-'минимумы и максимумы'!O$2)/('минимумы и максимумы'!O$4-'минимумы и максимумы'!O$2)*100)</f>
        <v>0</v>
      </c>
      <c r="R212" s="1">
        <f>IF('исходные данные'!R212&gt;'минимумы и максимумы'!P$4,100,('исходные данные'!R212-'минимумы и максимумы'!P$2)/('минимумы и максимумы'!P$4-'минимумы и максимумы'!P$2)*100)</f>
        <v>25</v>
      </c>
      <c r="S212" s="1">
        <f>IF('исходные данные'!S212&gt;'минимумы и максимумы'!Q$4,100,('исходные данные'!S212-'минимумы и максимумы'!Q$2)/('минимумы и максимумы'!Q$4-'минимумы и максимумы'!Q$2)*100)</f>
        <v>11.111111111111111</v>
      </c>
      <c r="T212" s="1">
        <f>IF('исходные данные'!T212&gt;'минимумы и максимумы'!R$4,100,('исходные данные'!T212-'минимумы и максимумы'!R$2)/('минимумы и максимумы'!R$4-'минимумы и максимумы'!R$2)*100)</f>
        <v>10.960874568469507</v>
      </c>
      <c r="U212" s="1">
        <f>IF('исходные данные'!U212&gt;'минимумы и максимумы'!S$4,100,('исходные данные'!U212-'минимумы и максимумы'!S$2)/('минимумы и максимумы'!S$4-'минимумы и максимумы'!S$2)*100)</f>
        <v>0</v>
      </c>
    </row>
    <row r="213" spans="1:21" x14ac:dyDescent="0.45">
      <c r="A213" s="4">
        <v>300</v>
      </c>
      <c r="B213" s="4">
        <v>0</v>
      </c>
      <c r="C213" s="4">
        <v>0</v>
      </c>
      <c r="D213" s="1">
        <f>IF('исходные данные'!D213&gt;'минимумы и максимумы'!B$4,100,('исходные данные'!D213-'минимумы и максимумы'!B$2)/('минимумы и максимумы'!B$4-'минимумы и максимумы'!B$2)*100)</f>
        <v>25</v>
      </c>
      <c r="E213" s="1">
        <f>IF('исходные данные'!E213&gt;'минимумы и максимумы'!C$4,100,('исходные данные'!E213-'минимумы и максимумы'!C$2)/('минимумы и максимумы'!C$4-'минимумы и максимумы'!C$2)*100)</f>
        <v>18.75</v>
      </c>
      <c r="F213" s="1">
        <f>IF('исходные данные'!F213&gt;'минимумы и максимумы'!D$4,100,('исходные данные'!F213-'минимумы и максимумы'!D$2)/('минимумы и максимумы'!D$4-'минимумы и максимумы'!D$2)*100)</f>
        <v>0</v>
      </c>
      <c r="G213" s="1">
        <f>IF('исходные данные'!G213&gt;'минимумы и максимумы'!E$4,100,('исходные данные'!G213-'минимумы и максимумы'!E$2)/('минимумы и максимумы'!E$4-'минимумы и максимумы'!E$2)*100)</f>
        <v>2.7027027027027026</v>
      </c>
      <c r="H213" s="1">
        <f>IF('исходные данные'!H213&gt;'минимумы и максимумы'!F$4,100,('исходные данные'!H213-'минимумы и максимумы'!F$2)/('минимумы и максимумы'!F$4-'минимумы и максимумы'!F$2)*100)</f>
        <v>7.8947368421052628</v>
      </c>
      <c r="I213" s="1">
        <f>IF('исходные данные'!I213&gt;'минимумы и максимумы'!G$4,100,('исходные данные'!I213-'минимумы и максимумы'!G$2)/('минимумы и максимумы'!G$4-'минимумы и максимумы'!G$2)*100)</f>
        <v>2.4096385542168677</v>
      </c>
      <c r="J213" s="1">
        <f>IF('исходные данные'!J213&gt;'минимумы и максимумы'!H$4,100,('исходные данные'!J213-'минимумы и максимумы'!H$2)/('минимумы и максимумы'!H$4-'минимумы и максимумы'!H$2)*100)</f>
        <v>0</v>
      </c>
      <c r="K213" s="1">
        <f>IF('исходные данные'!K213&gt;'минимумы и максимумы'!I$4,100,('исходные данные'!K213-'минимумы и максимумы'!I$2)/('минимумы и максимумы'!I$4-'минимумы и максимумы'!I$2)*100)</f>
        <v>32.142857142857146</v>
      </c>
      <c r="L213" s="1">
        <f>IF('исходные данные'!L213&gt;'минимумы и максимумы'!J$4,100,('исходные данные'!L213-'минимумы и максимумы'!J$2)/('минимумы и максимумы'!J$4-'минимумы и максимумы'!J$2)*100)</f>
        <v>0</v>
      </c>
      <c r="M213" s="1">
        <f>IF('исходные данные'!M213&gt;'минимумы и максимумы'!K$4,100,('исходные данные'!M213-'минимумы и максимумы'!K$2)/('минимумы и максимумы'!K$4-'минимумы и максимумы'!K$2)*100)</f>
        <v>23.404255319148938</v>
      </c>
      <c r="N213" s="1">
        <f>IF('исходные данные'!N213&gt;'минимумы и максимумы'!L$4,100,('исходные данные'!N213-'минимумы и максимумы'!L$2)/('минимумы и максимумы'!L$4-'минимумы и максимумы'!L$2)*100)</f>
        <v>18.073165631103173</v>
      </c>
      <c r="O213" s="1">
        <f>IF('исходные данные'!O213&gt;'минимумы и максимумы'!M$4,100,('исходные данные'!O213-'минимумы и максимумы'!M$2)/('минимумы и максимумы'!M$4-'минимумы и максимумы'!M$2)*100)</f>
        <v>33.333333333333329</v>
      </c>
      <c r="P213" s="1">
        <f>IF('исходные данные'!P213&gt;'минимумы и максимумы'!N$4,100,('исходные данные'!P213-'минимумы и максимумы'!N$2)/('минимумы и максимумы'!N$4-'минимумы и максимумы'!N$2)*100)</f>
        <v>0</v>
      </c>
      <c r="Q213" s="1">
        <f>IF('исходные данные'!Q213&gt;'минимумы и максимумы'!O$4,100,('исходные данные'!Q213-'минимумы и максимумы'!O$2)/('минимумы и максимумы'!O$4-'минимумы и максимумы'!O$2)*100)</f>
        <v>100</v>
      </c>
      <c r="R213" s="1">
        <f>IF('исходные данные'!R213&gt;'минимумы и максимумы'!P$4,100,('исходные данные'!R213-'минимумы и максимумы'!P$2)/('минимумы и максимумы'!P$4-'минимумы и максимумы'!P$2)*100)</f>
        <v>25</v>
      </c>
      <c r="S213" s="1">
        <f>IF('исходные данные'!S213&gt;'минимумы и максимумы'!Q$4,100,('исходные данные'!S213-'минимумы и максимумы'!Q$2)/('минимумы и максимумы'!Q$4-'минимумы и максимумы'!Q$2)*100)</f>
        <v>22.222222222222221</v>
      </c>
      <c r="T213" s="1">
        <f>IF('исходные данные'!T213&gt;'минимумы и максимумы'!R$4,100,('исходные данные'!T213-'минимумы и максимумы'!R$2)/('минимумы и максимумы'!R$4-'минимумы и максимумы'!R$2)*100)</f>
        <v>25.143843498273878</v>
      </c>
      <c r="U213" s="1">
        <f>IF('исходные данные'!U213&gt;'минимумы и максимумы'!S$4,100,('исходные данные'!U213-'минимумы и максимумы'!S$2)/('минимумы и максимумы'!S$4-'минимумы и максимумы'!S$2)*100)</f>
        <v>100</v>
      </c>
    </row>
    <row r="214" spans="1:21" x14ac:dyDescent="0.45">
      <c r="A214" s="4">
        <v>301</v>
      </c>
      <c r="B214" s="4">
        <v>0</v>
      </c>
      <c r="C214" s="4">
        <v>0</v>
      </c>
      <c r="D214" s="1">
        <f>IF('исходные данные'!D214&gt;'минимумы и максимумы'!B$4,100,('исходные данные'!D214-'минимумы и максимумы'!B$2)/('минимумы и максимумы'!B$4-'минимумы и максимумы'!B$2)*100)</f>
        <v>12.5</v>
      </c>
      <c r="E214" s="1">
        <f>IF('исходные данные'!E214&gt;'минимумы и максимумы'!C$4,100,('исходные данные'!E214-'минимумы и максимумы'!C$2)/('минимумы и максимумы'!C$4-'минимумы и максимумы'!C$2)*100)</f>
        <v>12.5</v>
      </c>
      <c r="F214" s="1">
        <f>IF('исходные данные'!F214&gt;'минимумы и максимумы'!D$4,100,('исходные данные'!F214-'минимумы и максимумы'!D$2)/('минимумы и максимумы'!D$4-'минимумы и максимумы'!D$2)*100)</f>
        <v>25</v>
      </c>
      <c r="G214" s="1">
        <f>IF('исходные данные'!G214&gt;'минимумы и максимумы'!E$4,100,('исходные данные'!G214-'минимумы и максимумы'!E$2)/('минимумы и максимумы'!E$4-'минимумы и максимумы'!E$2)*100)</f>
        <v>8.1081081081081088</v>
      </c>
      <c r="H214" s="1">
        <f>IF('исходные данные'!H214&gt;'минимумы и максимумы'!F$4,100,('исходные данные'!H214-'минимумы и максимумы'!F$2)/('минимумы и максимумы'!F$4-'минимумы и максимумы'!F$2)*100)</f>
        <v>2.6315789473684208</v>
      </c>
      <c r="I214" s="1">
        <f>IF('исходные данные'!I214&gt;'минимумы и максимумы'!G$4,100,('исходные данные'!I214-'минимумы и максимумы'!G$2)/('минимумы и максимумы'!G$4-'минимумы и максимумы'!G$2)*100)</f>
        <v>13.253012048192772</v>
      </c>
      <c r="J214" s="1">
        <f>IF('исходные данные'!J214&gt;'минимумы и максимумы'!H$4,100,('исходные данные'!J214-'минимумы и максимумы'!H$2)/('минимумы и максимумы'!H$4-'минимумы и максимумы'!H$2)*100)</f>
        <v>0</v>
      </c>
      <c r="K214" s="1">
        <f>IF('исходные данные'!K214&gt;'минимумы и максимумы'!I$4,100,('исходные данные'!K214-'минимумы и максимумы'!I$2)/('минимумы и максимумы'!I$4-'минимумы и максимумы'!I$2)*100)</f>
        <v>10.714285714285714</v>
      </c>
      <c r="L214" s="1">
        <f>IF('исходные данные'!L214&gt;'минимумы и максимумы'!J$4,100,('исходные данные'!L214-'минимумы и максимумы'!J$2)/('минимумы и максимумы'!J$4-'минимумы и максимумы'!J$2)*100)</f>
        <v>0</v>
      </c>
      <c r="M214" s="1">
        <f>IF('исходные данные'!M214&gt;'минимумы и максимумы'!K$4,100,('исходные данные'!M214-'минимумы и максимумы'!K$2)/('минимумы и максимумы'!K$4-'минимумы и максимумы'!K$2)*100)</f>
        <v>31.914893617021278</v>
      </c>
      <c r="N214" s="1">
        <f>IF('исходные данные'!N214&gt;'минимумы и максимумы'!L$4,100,('исходные данные'!N214-'минимумы и максимумы'!L$2)/('минимумы и максимумы'!L$4-'минимумы и максимумы'!L$2)*100)</f>
        <v>18.245309081804368</v>
      </c>
      <c r="O214" s="1">
        <f>IF('исходные данные'!O214&gt;'минимумы и максимумы'!M$4,100,('исходные данные'!O214-'минимумы и максимумы'!M$2)/('минимумы и максимумы'!M$4-'минимумы и максимумы'!M$2)*100)</f>
        <v>100</v>
      </c>
      <c r="P214" s="1">
        <f>IF('исходные данные'!P214&gt;'минимумы и максимумы'!N$4,100,('исходные данные'!P214-'минимумы и максимумы'!N$2)/('минимумы и максимумы'!N$4-'минимумы и максимумы'!N$2)*100)</f>
        <v>0</v>
      </c>
      <c r="Q214" s="1">
        <f>IF('исходные данные'!Q214&gt;'минимумы и максимумы'!O$4,100,('исходные данные'!Q214-'минимумы и максимумы'!O$2)/('минимумы и максимумы'!O$4-'минимумы и максимумы'!O$2)*100)</f>
        <v>100</v>
      </c>
      <c r="R214" s="1">
        <f>IF('исходные данные'!R214&gt;'минимумы и максимумы'!P$4,100,('исходные данные'!R214-'минимумы и максимумы'!P$2)/('минимумы и максимумы'!P$4-'минимумы и максимумы'!P$2)*100)</f>
        <v>75</v>
      </c>
      <c r="S214" s="1">
        <f>IF('исходные данные'!S214&gt;'минимумы и максимумы'!Q$4,100,('исходные данные'!S214-'минимумы и максимумы'!Q$2)/('минимумы и максимумы'!Q$4-'минимумы и максимумы'!Q$2)*100)</f>
        <v>55.555555555555557</v>
      </c>
      <c r="T214" s="1">
        <f>IF('исходные данные'!T214&gt;'минимумы и максимумы'!R$4,100,('исходные данные'!T214-'минимумы и максимумы'!R$2)/('минимумы и максимумы'!R$4-'минимумы и максимумы'!R$2)*100)</f>
        <v>20.512082853855006</v>
      </c>
      <c r="U214" s="1">
        <f>IF('исходные данные'!U214&gt;'минимумы и максимумы'!S$4,100,('исходные данные'!U214-'минимумы и максимумы'!S$2)/('минимумы и максимумы'!S$4-'минимумы и максимумы'!S$2)*100)</f>
        <v>0</v>
      </c>
    </row>
    <row r="215" spans="1:21" x14ac:dyDescent="0.45">
      <c r="A215" s="4">
        <v>302</v>
      </c>
      <c r="B215" s="4">
        <v>0</v>
      </c>
      <c r="C215" s="4">
        <v>0</v>
      </c>
      <c r="D215" s="1">
        <f>IF('исходные данные'!D215&gt;'минимумы и максимумы'!B$4,100,('исходные данные'!D215-'минимумы и максимумы'!B$2)/('минимумы и максимумы'!B$4-'минимумы и максимумы'!B$2)*100)</f>
        <v>37.5</v>
      </c>
      <c r="E215" s="1">
        <f>IF('исходные данные'!E215&gt;'минимумы и максимумы'!C$4,100,('исходные данные'!E215-'минимумы и максимумы'!C$2)/('минимумы и максимумы'!C$4-'минимумы и максимумы'!C$2)*100)</f>
        <v>25</v>
      </c>
      <c r="F215" s="1">
        <f>IF('исходные данные'!F215&gt;'минимумы и максимумы'!D$4,100,('исходные данные'!F215-'минимумы и максимумы'!D$2)/('минимумы и максимумы'!D$4-'минимумы и максимумы'!D$2)*100)</f>
        <v>0</v>
      </c>
      <c r="G215" s="1">
        <f>IF('исходные данные'!G215&gt;'минимумы и максимумы'!E$4,100,('исходные данные'!G215-'минимумы и максимумы'!E$2)/('минимумы и максимумы'!E$4-'минимумы и максимумы'!E$2)*100)</f>
        <v>16.216216216216218</v>
      </c>
      <c r="H215" s="1">
        <f>IF('исходные данные'!H215&gt;'минимумы и максимумы'!F$4,100,('исходные данные'!H215-'минимумы и максимумы'!F$2)/('минимумы и максимумы'!F$4-'минимумы и максимумы'!F$2)*100)</f>
        <v>23.684210526315788</v>
      </c>
      <c r="I215" s="1">
        <f>IF('исходные данные'!I215&gt;'минимумы и максимумы'!G$4,100,('исходные данные'!I215-'минимумы и максимумы'!G$2)/('минимумы и максимумы'!G$4-'минимумы и максимумы'!G$2)*100)</f>
        <v>8.4337349397590362</v>
      </c>
      <c r="J215" s="1">
        <f>IF('исходные данные'!J215&gt;'минимумы и максимумы'!H$4,100,('исходные данные'!J215-'минимумы и максимумы'!H$2)/('минимумы и максимумы'!H$4-'минимумы и максимумы'!H$2)*100)</f>
        <v>0</v>
      </c>
      <c r="K215" s="1">
        <f>IF('исходные данные'!K215&gt;'минимумы и максимумы'!I$4,100,('исходные данные'!K215-'минимумы и максимумы'!I$2)/('минимумы и максимумы'!I$4-'минимумы и максимумы'!I$2)*100)</f>
        <v>42.857142857142854</v>
      </c>
      <c r="L215" s="1">
        <f>IF('исходные данные'!L215&gt;'минимумы и максимумы'!J$4,100,('исходные данные'!L215-'минимумы и максимумы'!J$2)/('минимумы и максимумы'!J$4-'минимумы и максимумы'!J$2)*100)</f>
        <v>0</v>
      </c>
      <c r="M215" s="1">
        <f>IF('исходные данные'!M215&gt;'минимумы и максимумы'!K$4,100,('исходные данные'!M215-'минимумы и максимумы'!K$2)/('минимумы и максимумы'!K$4-'минимумы и максимумы'!K$2)*100)</f>
        <v>29.787234042553191</v>
      </c>
      <c r="N215" s="1">
        <f>IF('исходные данные'!N215&gt;'минимумы и максимумы'!L$4,100,('исходные данные'!N215-'минимумы и максимумы'!L$2)/('минимумы и максимумы'!L$4-'минимумы и максимумы'!L$2)*100)</f>
        <v>18.649615192260502</v>
      </c>
      <c r="O215" s="1">
        <f>IF('исходные данные'!O215&gt;'минимумы и максимумы'!M$4,100,('исходные данные'!O215-'минимумы и максимумы'!M$2)/('минимумы и максимумы'!M$4-'минимумы и максимумы'!M$2)*100)</f>
        <v>66.666666666666657</v>
      </c>
      <c r="P215" s="1">
        <f>IF('исходные данные'!P215&gt;'минимумы и максимумы'!N$4,100,('исходные данные'!P215-'минимумы и максимумы'!N$2)/('минимумы и максимумы'!N$4-'минимумы и максимумы'!N$2)*100)</f>
        <v>0</v>
      </c>
      <c r="Q215" s="1">
        <f>IF('исходные данные'!Q215&gt;'минимумы и максимумы'!O$4,100,('исходные данные'!Q215-'минимумы и максимумы'!O$2)/('минимумы и максимумы'!O$4-'минимумы и максимумы'!O$2)*100)</f>
        <v>100</v>
      </c>
      <c r="R215" s="1">
        <f>IF('исходные данные'!R215&gt;'минимумы и максимумы'!P$4,100,('исходные данные'!R215-'минимумы и максимумы'!P$2)/('минимумы и максимумы'!P$4-'минимумы и максимумы'!P$2)*100)</f>
        <v>75</v>
      </c>
      <c r="S215" s="1">
        <f>IF('исходные данные'!S215&gt;'минимумы и максимумы'!Q$4,100,('исходные данные'!S215-'минимумы и максимумы'!Q$2)/('минимумы и максимумы'!Q$4-'минимумы и максимумы'!Q$2)*100)</f>
        <v>44.444444444444443</v>
      </c>
      <c r="T215" s="1">
        <f>IF('исходные данные'!T215&gt;'минимумы и максимумы'!R$4,100,('исходные данные'!T215-'минимумы и максимумы'!R$2)/('минимумы и максимумы'!R$4-'минимумы и максимумы'!R$2)*100)</f>
        <v>25.20138089758343</v>
      </c>
      <c r="U215" s="1">
        <f>IF('исходные данные'!U215&gt;'минимумы и максимумы'!S$4,100,('исходные данные'!U215-'минимумы и максимумы'!S$2)/('минимумы и максимумы'!S$4-'минимумы и максимумы'!S$2)*100)</f>
        <v>66.666666666666657</v>
      </c>
    </row>
    <row r="216" spans="1:21" x14ac:dyDescent="0.45">
      <c r="A216" s="4">
        <v>303</v>
      </c>
      <c r="B216" s="4">
        <v>0</v>
      </c>
      <c r="C216" s="4">
        <v>0</v>
      </c>
      <c r="D216" s="1">
        <f>IF('исходные данные'!D216&gt;'минимумы и максимумы'!B$4,100,('исходные данные'!D216-'минимумы и максимумы'!B$2)/('минимумы и максимумы'!B$4-'минимумы и максимумы'!B$2)*100)</f>
        <v>0</v>
      </c>
      <c r="E216" s="1">
        <f>IF('исходные данные'!E216&gt;'минимумы и максимумы'!C$4,100,('исходные данные'!E216-'минимумы и максимумы'!C$2)/('минимумы и максимумы'!C$4-'минимумы и максимумы'!C$2)*100)</f>
        <v>0</v>
      </c>
      <c r="F216" s="1">
        <f>IF('исходные данные'!F216&gt;'минимумы и максимумы'!D$4,100,('исходные данные'!F216-'минимумы и максимумы'!D$2)/('минимумы и максимумы'!D$4-'минимумы и максимумы'!D$2)*100)</f>
        <v>0</v>
      </c>
      <c r="G216" s="1">
        <f>IF('исходные данные'!G216&gt;'минимумы и максимумы'!E$4,100,('исходные данные'!G216-'минимумы и максимумы'!E$2)/('минимумы и максимумы'!E$4-'минимумы и максимумы'!E$2)*100)</f>
        <v>0</v>
      </c>
      <c r="H216" s="1">
        <f>IF('исходные данные'!H216&gt;'минимумы и максимумы'!F$4,100,('исходные данные'!H216-'минимумы и максимумы'!F$2)/('минимумы и максимумы'!F$4-'минимумы и максимумы'!F$2)*100)</f>
        <v>0</v>
      </c>
      <c r="I216" s="1">
        <f>IF('исходные данные'!I216&gt;'минимумы и максимумы'!G$4,100,('исходные данные'!I216-'минимумы и максимумы'!G$2)/('минимумы и максимумы'!G$4-'минимумы и максимумы'!G$2)*100)</f>
        <v>3.6144578313253009</v>
      </c>
      <c r="J216" s="1">
        <f>IF('исходные данные'!J216&gt;'минимумы и максимумы'!H$4,100,('исходные данные'!J216-'минимумы и максимумы'!H$2)/('минимумы и максимумы'!H$4-'минимумы и максимумы'!H$2)*100)</f>
        <v>0</v>
      </c>
      <c r="K216" s="1">
        <f>IF('исходные данные'!K216&gt;'минимумы и максимумы'!I$4,100,('исходные данные'!K216-'минимумы и максимумы'!I$2)/('минимумы и максимумы'!I$4-'минимумы и максимумы'!I$2)*100)</f>
        <v>17.857142857142858</v>
      </c>
      <c r="L216" s="1">
        <f>IF('исходные данные'!L216&gt;'минимумы и максимумы'!J$4,100,('исходные данные'!L216-'минимумы и максимумы'!J$2)/('минимумы и максимумы'!J$4-'минимумы и максимумы'!J$2)*100)</f>
        <v>0</v>
      </c>
      <c r="M216" s="1">
        <f>IF('исходные данные'!M216&gt;'минимумы и максимумы'!K$4,100,('исходные данные'!M216-'минимумы и максимумы'!K$2)/('минимумы и максимумы'!K$4-'минимумы и максимумы'!K$2)*100)</f>
        <v>21.276595744680851</v>
      </c>
      <c r="N216" s="1">
        <f>IF('исходные данные'!N216&gt;'минимумы и максимумы'!L$4,100,('исходные данные'!N216-'минимумы и максимумы'!L$2)/('минимумы и максимумы'!L$4-'минимумы и максимумы'!L$2)*100)</f>
        <v>12.768809271600926</v>
      </c>
      <c r="O216" s="1">
        <f>IF('исходные данные'!O216&gt;'минимумы и максимумы'!M$4,100,('исходные данные'!O216-'минимумы и максимумы'!M$2)/('минимумы и максимумы'!M$4-'минимумы и максимумы'!M$2)*100)</f>
        <v>66.666666666666657</v>
      </c>
      <c r="P216" s="1">
        <f>IF('исходные данные'!P216&gt;'минимумы и максимумы'!N$4,100,('исходные данные'!P216-'минимумы и максимумы'!N$2)/('минимумы и максимумы'!N$4-'минимумы и максимумы'!N$2)*100)</f>
        <v>0</v>
      </c>
      <c r="Q216" s="1">
        <f>IF('исходные данные'!Q216&gt;'минимумы и максимумы'!O$4,100,('исходные данные'!Q216-'минимумы и максимумы'!O$2)/('минимумы и максимумы'!O$4-'минимумы и максимумы'!O$2)*100)</f>
        <v>0</v>
      </c>
      <c r="R216" s="1">
        <f>IF('исходные данные'!R216&gt;'минимумы и максимумы'!P$4,100,('исходные данные'!R216-'минимумы и максимумы'!P$2)/('минимумы и максимумы'!P$4-'минимумы и максимумы'!P$2)*100)</f>
        <v>25</v>
      </c>
      <c r="S216" s="1">
        <f>IF('исходные данные'!S216&gt;'минимумы и максимумы'!Q$4,100,('исходные данные'!S216-'минимумы и максимумы'!Q$2)/('минимумы и максимумы'!Q$4-'минимумы и максимумы'!Q$2)*100)</f>
        <v>11.111111111111111</v>
      </c>
      <c r="T216" s="1">
        <f>IF('исходные данные'!T216&gt;'минимумы и максимумы'!R$4,100,('исходные данные'!T216-'минимумы и максимумы'!R$2)/('минимумы и максимумы'!R$4-'минимумы и максимумы'!R$2)*100)</f>
        <v>11.507479861910241</v>
      </c>
      <c r="U216" s="1">
        <f>IF('исходные данные'!U216&gt;'минимумы и максимумы'!S$4,100,('исходные данные'!U216-'минимумы и максимумы'!S$2)/('минимумы и максимумы'!S$4-'минимумы и максимумы'!S$2)*100)</f>
        <v>100</v>
      </c>
    </row>
    <row r="217" spans="1:21" x14ac:dyDescent="0.45">
      <c r="A217" s="4">
        <v>304</v>
      </c>
      <c r="B217" s="4">
        <v>1</v>
      </c>
      <c r="C217" s="4">
        <v>0</v>
      </c>
      <c r="D217" s="1">
        <f>IF('исходные данные'!D217&gt;'минимумы и максимумы'!B$4,100,('исходные данные'!D217-'минимумы и максимумы'!B$2)/('минимумы и максимумы'!B$4-'минимумы и максимумы'!B$2)*100)</f>
        <v>0</v>
      </c>
      <c r="E217" s="1">
        <f>IF('исходные данные'!E217&gt;'минимумы и максимумы'!C$4,100,('исходные данные'!E217-'минимумы и максимумы'!C$2)/('минимумы и максимумы'!C$4-'минимумы и максимумы'!C$2)*100)</f>
        <v>0</v>
      </c>
      <c r="F217" s="1">
        <f>IF('исходные данные'!F217&gt;'минимумы и максимумы'!D$4,100,('исходные данные'!F217-'минимумы и максимумы'!D$2)/('минимумы и максимумы'!D$4-'минимумы и максимумы'!D$2)*100)</f>
        <v>0</v>
      </c>
      <c r="G217" s="1">
        <f>IF('исходные данные'!G217&gt;'минимумы и максимумы'!E$4,100,('исходные данные'!G217-'минимумы и максимумы'!E$2)/('минимумы и максимумы'!E$4-'минимумы и максимумы'!E$2)*100)</f>
        <v>5.4054054054054053</v>
      </c>
      <c r="H217" s="1">
        <f>IF('исходные данные'!H217&gt;'минимумы и максимумы'!F$4,100,('исходные данные'!H217-'минимумы и максимумы'!F$2)/('минимумы и максимумы'!F$4-'минимумы и максимумы'!F$2)*100)</f>
        <v>0</v>
      </c>
      <c r="I217" s="1">
        <f>IF('исходные данные'!I217&gt;'минимумы и максимумы'!G$4,100,('исходные данные'!I217-'минимумы и максимумы'!G$2)/('минимумы и максимумы'!G$4-'минимумы и максимумы'!G$2)*100)</f>
        <v>7.2289156626506017</v>
      </c>
      <c r="J217" s="1">
        <f>IF('исходные данные'!J217&gt;'минимумы и максимумы'!H$4,100,('исходные данные'!J217-'минимумы и максимумы'!H$2)/('минимумы и максимумы'!H$4-'минимумы и максимумы'!H$2)*100)</f>
        <v>0</v>
      </c>
      <c r="K217" s="1">
        <f>IF('исходные данные'!K217&gt;'минимумы и максимумы'!I$4,100,('исходные данные'!K217-'минимумы и максимумы'!I$2)/('минимумы и максимумы'!I$4-'минимумы и максимумы'!I$2)*100)</f>
        <v>10.714285714285714</v>
      </c>
      <c r="L217" s="1">
        <f>IF('исходные данные'!L217&gt;'минимумы и максимумы'!J$4,100,('исходные данные'!L217-'минимумы и максимумы'!J$2)/('минимумы и максимумы'!J$4-'минимумы и максимумы'!J$2)*100)</f>
        <v>0</v>
      </c>
      <c r="M217" s="1">
        <f>IF('исходные данные'!M217&gt;'минимумы и максимумы'!K$4,100,('исходные данные'!M217-'минимумы и максимумы'!K$2)/('минимумы и максимумы'!K$4-'минимумы и максимумы'!K$2)*100)</f>
        <v>19.148936170212767</v>
      </c>
      <c r="N217" s="1">
        <f>IF('исходные данные'!N217&gt;'минимумы и максимумы'!L$4,100,('исходные данные'!N217-'минимумы и максимумы'!L$2)/('минимумы и максимумы'!L$4-'минимумы и максимумы'!L$2)*100)</f>
        <v>14.432846519311882</v>
      </c>
      <c r="O217" s="1">
        <f>IF('исходные данные'!O217&gt;'минимумы и максимумы'!M$4,100,('исходные данные'!O217-'минимумы и максимумы'!M$2)/('минимумы и максимумы'!M$4-'минимумы и максимумы'!M$2)*100)</f>
        <v>0</v>
      </c>
      <c r="P217" s="1">
        <f>IF('исходные данные'!P217&gt;'минимумы и максимумы'!N$4,100,('исходные данные'!P217-'минимумы и максимумы'!N$2)/('минимумы и максимумы'!N$4-'минимумы и максимумы'!N$2)*100)</f>
        <v>0</v>
      </c>
      <c r="Q217" s="1">
        <f>IF('исходные данные'!Q217&gt;'минимумы и максимумы'!O$4,100,('исходные данные'!Q217-'минимумы и максимумы'!O$2)/('минимумы и максимумы'!O$4-'минимумы и максимумы'!O$2)*100)</f>
        <v>0</v>
      </c>
      <c r="R217" s="1">
        <f>IF('исходные данные'!R217&gt;'минимумы и максимумы'!P$4,100,('исходные данные'!R217-'минимумы и максимумы'!P$2)/('минимумы и максимумы'!P$4-'минимумы и максимумы'!P$2)*100)</f>
        <v>25</v>
      </c>
      <c r="S217" s="1">
        <f>IF('исходные данные'!S217&gt;'минимумы и максимумы'!Q$4,100,('исходные данные'!S217-'минимумы и максимумы'!Q$2)/('минимумы и максимумы'!Q$4-'минимумы и максимумы'!Q$2)*100)</f>
        <v>11.111111111111111</v>
      </c>
      <c r="T217" s="1">
        <f>IF('исходные данные'!T217&gt;'минимумы и максимумы'!R$4,100,('исходные данные'!T217-'минимумы и максимумы'!R$2)/('минимумы и максимумы'!R$4-'минимумы и максимумы'!R$2)*100)</f>
        <v>11.881472957422325</v>
      </c>
      <c r="U217" s="1">
        <f>IF('исходные данные'!U217&gt;'минимумы и максимумы'!S$4,100,('исходные данные'!U217-'минимумы и максимумы'!S$2)/('минимумы и максимумы'!S$4-'минимумы и максимумы'!S$2)*100)</f>
        <v>0</v>
      </c>
    </row>
    <row r="218" spans="1:21" x14ac:dyDescent="0.45">
      <c r="A218" s="4">
        <v>305</v>
      </c>
      <c r="B218" s="4">
        <v>0</v>
      </c>
      <c r="C218" s="4">
        <v>1</v>
      </c>
      <c r="D218" s="1">
        <f>IF('исходные данные'!D218&gt;'минимумы и максимумы'!B$4,100,('исходные данные'!D218-'минимумы и максимумы'!B$2)/('минимумы и максимумы'!B$4-'минимумы и максимумы'!B$2)*100)</f>
        <v>0</v>
      </c>
      <c r="E218" s="1">
        <f>IF('исходные данные'!E218&gt;'минимумы и максимумы'!C$4,100,('исходные данные'!E218-'минимумы и максимумы'!C$2)/('минимумы и максимумы'!C$4-'минимумы и максимумы'!C$2)*100)</f>
        <v>0</v>
      </c>
      <c r="F218" s="1">
        <f>IF('исходные данные'!F218&gt;'минимумы и максимумы'!D$4,100,('исходные данные'!F218-'минимумы и максимумы'!D$2)/('минимумы и максимумы'!D$4-'минимумы и максимумы'!D$2)*100)</f>
        <v>25</v>
      </c>
      <c r="G218" s="1">
        <f>IF('исходные данные'!G218&gt;'минимумы и максимумы'!E$4,100,('исходные данные'!G218-'минимумы и максимумы'!E$2)/('минимумы и максимумы'!E$4-'минимумы и максимумы'!E$2)*100)</f>
        <v>2.7027027027027026</v>
      </c>
      <c r="H218" s="1">
        <f>IF('исходные данные'!H218&gt;'минимумы и максимумы'!F$4,100,('исходные данные'!H218-'минимумы и максимумы'!F$2)/('минимумы и максимумы'!F$4-'минимумы и максимумы'!F$2)*100)</f>
        <v>5.2631578947368416</v>
      </c>
      <c r="I218" s="1">
        <f>IF('исходные данные'!I218&gt;'минимумы и максимумы'!G$4,100,('исходные данные'!I218-'минимумы и максимумы'!G$2)/('минимумы и максимумы'!G$4-'минимумы и максимумы'!G$2)*100)</f>
        <v>6.024096385542169</v>
      </c>
      <c r="J218" s="1">
        <f>IF('исходные данные'!J218&gt;'минимумы и максимумы'!H$4,100,('исходные данные'!J218-'минимумы и максимумы'!H$2)/('минимумы и максимумы'!H$4-'минимумы и максимумы'!H$2)*100)</f>
        <v>0</v>
      </c>
      <c r="K218" s="1">
        <f>IF('исходные данные'!K218&gt;'минимумы и максимумы'!I$4,100,('исходные данные'!K218-'минимумы и максимумы'!I$2)/('минимумы и максимумы'!I$4-'минимумы и максимумы'!I$2)*100)</f>
        <v>17.857142857142858</v>
      </c>
      <c r="L218" s="1">
        <f>IF('исходные данные'!L218&gt;'минимумы и максимумы'!J$4,100,('исходные данные'!L218-'минимумы и максимумы'!J$2)/('минимумы и максимумы'!J$4-'минимумы и максимумы'!J$2)*100)</f>
        <v>25</v>
      </c>
      <c r="M218" s="1">
        <f>IF('исходные данные'!M218&gt;'минимумы и максимумы'!K$4,100,('исходные данные'!M218-'минимумы и максимумы'!K$2)/('минимумы и максимумы'!K$4-'минимумы и максимумы'!K$2)*100)</f>
        <v>25.531914893617021</v>
      </c>
      <c r="N218" s="1">
        <f>IF('исходные данные'!N218&gt;'минимумы и максимумы'!L$4,100,('исходные данные'!N218-'минимумы и максимумы'!L$2)/('минимумы и максимумы'!L$4-'минимумы и максимумы'!L$2)*100)</f>
        <v>16.10352230482119</v>
      </c>
      <c r="O218" s="1">
        <f>IF('исходные данные'!O218&gt;'минимумы и максимумы'!M$4,100,('исходные данные'!O218-'минимумы и максимумы'!M$2)/('минимумы и максимумы'!M$4-'минимумы и максимумы'!M$2)*100)</f>
        <v>0</v>
      </c>
      <c r="P218" s="1">
        <f>IF('исходные данные'!P218&gt;'минимумы и максимумы'!N$4,100,('исходные данные'!P218-'минимумы и максимумы'!N$2)/('минимумы и максимумы'!N$4-'минимумы и максимумы'!N$2)*100)</f>
        <v>0</v>
      </c>
      <c r="Q218" s="1">
        <f>IF('исходные данные'!Q218&gt;'минимумы и максимумы'!O$4,100,('исходные данные'!Q218-'минимумы и максимумы'!O$2)/('минимумы и максимумы'!O$4-'минимумы и максимумы'!O$2)*100)</f>
        <v>0</v>
      </c>
      <c r="R218" s="1">
        <f>IF('исходные данные'!R218&gt;'минимумы и максимумы'!P$4,100,('исходные данные'!R218-'минимумы и максимумы'!P$2)/('минимумы и максимумы'!P$4-'минимумы и максимумы'!P$2)*100)</f>
        <v>25</v>
      </c>
      <c r="S218" s="1">
        <f>IF('исходные данные'!S218&gt;'минимумы и максимумы'!Q$4,100,('исходные данные'!S218-'минимумы и максимумы'!Q$2)/('минимумы и максимумы'!Q$4-'минимумы и максимумы'!Q$2)*100)</f>
        <v>11.111111111111111</v>
      </c>
      <c r="T218" s="1">
        <f>IF('исходные данные'!T218&gt;'минимумы и максимумы'!R$4,100,('исходные данные'!T218-'минимумы и максимумы'!R$2)/('минимумы и максимумы'!R$4-'минимумы и максимумы'!R$2)*100)</f>
        <v>11.363636363636363</v>
      </c>
      <c r="U218" s="1">
        <f>IF('исходные данные'!U218&gt;'минимумы и максимумы'!S$4,100,('исходные данные'!U218-'минимумы и максимумы'!S$2)/('минимумы и максимумы'!S$4-'минимумы и максимумы'!S$2)*100)</f>
        <v>0</v>
      </c>
    </row>
    <row r="219" spans="1:21" x14ac:dyDescent="0.45">
      <c r="A219" s="4">
        <v>306</v>
      </c>
      <c r="B219" s="4">
        <v>0</v>
      </c>
      <c r="C219" s="4">
        <v>0</v>
      </c>
      <c r="D219" s="1">
        <f>IF('исходные данные'!D219&gt;'минимумы и максимумы'!B$4,100,('исходные данные'!D219-'минимумы и максимумы'!B$2)/('минимумы и максимумы'!B$4-'минимумы и максимумы'!B$2)*100)</f>
        <v>0</v>
      </c>
      <c r="E219" s="1">
        <f>IF('исходные данные'!E219&gt;'минимумы и максимумы'!C$4,100,('исходные данные'!E219-'минимумы и максимумы'!C$2)/('минимумы и максимумы'!C$4-'минимумы и максимумы'!C$2)*100)</f>
        <v>6.25</v>
      </c>
      <c r="F219" s="1">
        <f>IF('исходные данные'!F219&gt;'минимумы и максимумы'!D$4,100,('исходные данные'!F219-'минимумы и максимумы'!D$2)/('минимумы и максимумы'!D$4-'минимумы и максимумы'!D$2)*100)</f>
        <v>0</v>
      </c>
      <c r="G219" s="1">
        <f>IF('исходные данные'!G219&gt;'минимумы и максимумы'!E$4,100,('исходные данные'!G219-'минимумы и максимумы'!E$2)/('минимумы и максимумы'!E$4-'минимумы и максимумы'!E$2)*100)</f>
        <v>18.918918918918919</v>
      </c>
      <c r="H219" s="1">
        <f>IF('исходные данные'!H219&gt;'минимумы и максимумы'!F$4,100,('исходные данные'!H219-'минимумы и максимумы'!F$2)/('минимумы и максимумы'!F$4-'минимумы и максимумы'!F$2)*100)</f>
        <v>18.421052631578945</v>
      </c>
      <c r="I219" s="1">
        <f>IF('исходные данные'!I219&gt;'минимумы и максимумы'!G$4,100,('исходные данные'!I219-'минимумы и максимумы'!G$2)/('минимумы и максимумы'!G$4-'минимумы и максимумы'!G$2)*100)</f>
        <v>20.481927710843372</v>
      </c>
      <c r="J219" s="1">
        <f>IF('исходные данные'!J219&gt;'минимумы и максимумы'!H$4,100,('исходные данные'!J219-'минимумы и максимумы'!H$2)/('минимумы и максимумы'!H$4-'минимумы и максимумы'!H$2)*100)</f>
        <v>0</v>
      </c>
      <c r="K219" s="1">
        <f>IF('исходные данные'!K219&gt;'минимумы и максимумы'!I$4,100,('исходные данные'!K219-'минимумы и максимумы'!I$2)/('минимумы и максимумы'!I$4-'минимумы и максимумы'!I$2)*100)</f>
        <v>28.571428571428569</v>
      </c>
      <c r="L219" s="1">
        <f>IF('исходные данные'!L219&gt;'минимумы и максимумы'!J$4,100,('исходные данные'!L219-'минимумы и максимумы'!J$2)/('минимумы и максимумы'!J$4-'минимумы и максимумы'!J$2)*100)</f>
        <v>0</v>
      </c>
      <c r="M219" s="1">
        <f>IF('исходные данные'!M219&gt;'минимумы и максимумы'!K$4,100,('исходные данные'!M219-'минимумы и максимумы'!K$2)/('минимумы и максимумы'!K$4-'минимумы и максимумы'!K$2)*100)</f>
        <v>31.914893617021278</v>
      </c>
      <c r="N219" s="1">
        <f>IF('исходные данные'!N219&gt;'минимумы и максимумы'!L$4,100,('исходные данные'!N219-'минимумы и максимумы'!L$2)/('минимумы и максимумы'!L$4-'минимумы и максимумы'!L$2)*100)</f>
        <v>17.692075030024093</v>
      </c>
      <c r="O219" s="1">
        <f>IF('исходные данные'!O219&gt;'минимумы и максимумы'!M$4,100,('исходные данные'!O219-'минимумы и максимумы'!M$2)/('минимумы и максимумы'!M$4-'минимумы и максимумы'!M$2)*100)</f>
        <v>0</v>
      </c>
      <c r="P219" s="1">
        <f>IF('исходные данные'!P219&gt;'минимумы и максимумы'!N$4,100,('исходные данные'!P219-'минимумы и максимумы'!N$2)/('минимумы и максимумы'!N$4-'минимумы и максимумы'!N$2)*100)</f>
        <v>100</v>
      </c>
      <c r="Q219" s="1">
        <f>IF('исходные данные'!Q219&gt;'минимумы и максимумы'!O$4,100,('исходные данные'!Q219-'минимумы и максимумы'!O$2)/('минимумы и максимумы'!O$4-'минимумы и максимумы'!O$2)*100)</f>
        <v>100</v>
      </c>
      <c r="R219" s="1">
        <f>IF('исходные данные'!R219&gt;'минимумы и максимумы'!P$4,100,('исходные данные'!R219-'минимумы и максимумы'!P$2)/('минимумы и максимумы'!P$4-'минимумы и максимумы'!P$2)*100)</f>
        <v>75</v>
      </c>
      <c r="S219" s="1">
        <f>IF('исходные данные'!S219&gt;'минимумы и максимумы'!Q$4,100,('исходные данные'!S219-'минимумы и максимумы'!Q$2)/('минимумы и максимумы'!Q$4-'минимумы и максимумы'!Q$2)*100)</f>
        <v>33.333333333333329</v>
      </c>
      <c r="T219" s="1">
        <f>IF('исходные данные'!T219&gt;'минимумы и максимумы'!R$4,100,('исходные данные'!T219-'минимумы и максимумы'!R$2)/('минимумы и максимумы'!R$4-'минимумы и максимумы'!R$2)*100)</f>
        <v>13.463751438434981</v>
      </c>
      <c r="U219" s="1">
        <f>IF('исходные данные'!U219&gt;'минимумы и максимумы'!S$4,100,('исходные данные'!U219-'минимумы и максимумы'!S$2)/('минимумы и максимумы'!S$4-'минимумы и максимумы'!S$2)*100)</f>
        <v>0</v>
      </c>
    </row>
    <row r="220" spans="1:21" x14ac:dyDescent="0.45">
      <c r="A220" s="4">
        <v>307</v>
      </c>
      <c r="B220" s="4">
        <v>0</v>
      </c>
      <c r="C220" s="4">
        <v>0</v>
      </c>
      <c r="D220" s="1">
        <f>IF('исходные данные'!D220&gt;'минимумы и максимумы'!B$4,100,('исходные данные'!D220-'минимумы и максимумы'!B$2)/('минимумы и максимумы'!B$4-'минимумы и максимумы'!B$2)*100)</f>
        <v>0</v>
      </c>
      <c r="E220" s="1">
        <f>IF('исходные данные'!E220&gt;'минимумы и максимумы'!C$4,100,('исходные данные'!E220-'минимумы и максимумы'!C$2)/('минимумы и максимумы'!C$4-'минимумы и максимумы'!C$2)*100)</f>
        <v>6.25</v>
      </c>
      <c r="F220" s="1">
        <f>IF('исходные данные'!F220&gt;'минимумы и максимумы'!D$4,100,('исходные данные'!F220-'минимумы и максимумы'!D$2)/('минимумы и максимумы'!D$4-'минимумы и максимумы'!D$2)*100)</f>
        <v>0</v>
      </c>
      <c r="G220" s="1">
        <f>IF('исходные данные'!G220&gt;'минимумы и максимумы'!E$4,100,('исходные данные'!G220-'минимумы и максимумы'!E$2)/('минимумы и максимумы'!E$4-'минимумы и максимумы'!E$2)*100)</f>
        <v>18.918918918918919</v>
      </c>
      <c r="H220" s="1">
        <f>IF('исходные данные'!H220&gt;'минимумы и максимумы'!F$4,100,('исходные данные'!H220-'минимумы и максимумы'!F$2)/('минимумы и максимумы'!F$4-'минимумы и максимумы'!F$2)*100)</f>
        <v>18.421052631578945</v>
      </c>
      <c r="I220" s="1">
        <f>IF('исходные данные'!I220&gt;'минимумы и максимумы'!G$4,100,('исходные данные'!I220-'минимумы и максимумы'!G$2)/('минимумы и максимумы'!G$4-'минимумы и максимумы'!G$2)*100)</f>
        <v>20.481927710843372</v>
      </c>
      <c r="J220" s="1">
        <f>IF('исходные данные'!J220&gt;'минимумы и максимумы'!H$4,100,('исходные данные'!J220-'минимумы и максимумы'!H$2)/('минимумы и максимумы'!H$4-'минимумы и максимумы'!H$2)*100)</f>
        <v>0</v>
      </c>
      <c r="K220" s="1">
        <f>IF('исходные данные'!K220&gt;'минимумы и максимумы'!I$4,100,('исходные данные'!K220-'минимумы и максимумы'!I$2)/('минимумы и максимумы'!I$4-'минимумы и максимумы'!I$2)*100)</f>
        <v>28.571428571428569</v>
      </c>
      <c r="L220" s="1">
        <f>IF('исходные данные'!L220&gt;'минимумы и максимумы'!J$4,100,('исходные данные'!L220-'минимумы и максимумы'!J$2)/('минимумы и максимумы'!J$4-'минимумы и максимумы'!J$2)*100)</f>
        <v>0</v>
      </c>
      <c r="M220" s="1">
        <f>IF('исходные данные'!M220&gt;'минимумы и максимумы'!K$4,100,('исходные данные'!M220-'минимумы и максимумы'!K$2)/('минимумы и максимумы'!K$4-'минимумы и максимумы'!K$2)*100)</f>
        <v>31.914893617021278</v>
      </c>
      <c r="N220" s="1">
        <f>IF('исходные данные'!N220&gt;'минимумы и максимумы'!L$4,100,('исходные данные'!N220-'минимумы и максимумы'!L$2)/('минимумы и максимумы'!L$4-'минимумы и максимумы'!L$2)*100)</f>
        <v>17.206177115262594</v>
      </c>
      <c r="O220" s="1">
        <f>IF('исходные данные'!O220&gt;'минимумы и максимумы'!M$4,100,('исходные данные'!O220-'минимумы и максимумы'!M$2)/('минимумы и максимумы'!M$4-'минимумы и максимумы'!M$2)*100)</f>
        <v>66.666666666666657</v>
      </c>
      <c r="P220" s="1">
        <f>IF('исходные данные'!P220&gt;'минимумы и максимумы'!N$4,100,('исходные данные'!P220-'минимумы и максимумы'!N$2)/('минимумы и максимумы'!N$4-'минимумы и максимумы'!N$2)*100)</f>
        <v>100</v>
      </c>
      <c r="Q220" s="1">
        <f>IF('исходные данные'!Q220&gt;'минимумы и максимумы'!O$4,100,('исходные данные'!Q220-'минимумы и максимумы'!O$2)/('минимумы и максимумы'!O$4-'минимумы и максимумы'!O$2)*100)</f>
        <v>100</v>
      </c>
      <c r="R220" s="1">
        <f>IF('исходные данные'!R220&gt;'минимумы и максимумы'!P$4,100,('исходные данные'!R220-'минимумы и максимумы'!P$2)/('минимумы и максимумы'!P$4-'минимумы и максимумы'!P$2)*100)</f>
        <v>75</v>
      </c>
      <c r="S220" s="1">
        <f>IF('исходные данные'!S220&gt;'минимумы и максимумы'!Q$4,100,('исходные данные'!S220-'минимумы и максимумы'!Q$2)/('минимумы и максимумы'!Q$4-'минимумы и максимумы'!Q$2)*100)</f>
        <v>55.555555555555557</v>
      </c>
      <c r="T220" s="1">
        <f>IF('исходные данные'!T220&gt;'минимумы и максимумы'!R$4,100,('исходные данные'!T220-'минимумы и максимумы'!R$2)/('минимумы и максимумы'!R$4-'минимумы и максимумы'!R$2)*100)</f>
        <v>42.894131185270425</v>
      </c>
      <c r="U220" s="1">
        <f>IF('исходные данные'!U220&gt;'минимумы и максимумы'!S$4,100,('исходные данные'!U220-'минимумы и максимумы'!S$2)/('минимумы и максимумы'!S$4-'минимумы и максимумы'!S$2)*100)</f>
        <v>33.333333333333329</v>
      </c>
    </row>
    <row r="221" spans="1:21" x14ac:dyDescent="0.45">
      <c r="A221" s="4">
        <v>308</v>
      </c>
      <c r="B221" s="4">
        <v>0</v>
      </c>
      <c r="C221" s="4">
        <v>0</v>
      </c>
      <c r="D221" s="1">
        <f>IF('исходные данные'!D221&gt;'минимумы и максимумы'!B$4,100,('исходные данные'!D221-'минимумы и максимумы'!B$2)/('минимумы и максимумы'!B$4-'минимумы и максимумы'!B$2)*100)</f>
        <v>0</v>
      </c>
      <c r="E221" s="1">
        <f>IF('исходные данные'!E221&gt;'минимумы и максимумы'!C$4,100,('исходные данные'!E221-'минимумы и максимумы'!C$2)/('минимумы и максимумы'!C$4-'минимумы и максимумы'!C$2)*100)</f>
        <v>0</v>
      </c>
      <c r="F221" s="1">
        <f>IF('исходные данные'!F221&gt;'минимумы и максимумы'!D$4,100,('исходные данные'!F221-'минимумы и максимумы'!D$2)/('минимумы и максимумы'!D$4-'минимумы и максимумы'!D$2)*100)</f>
        <v>0</v>
      </c>
      <c r="G221" s="1">
        <f>IF('исходные данные'!G221&gt;'минимумы и максимумы'!E$4,100,('исходные данные'!G221-'минимумы и максимумы'!E$2)/('минимумы и максимумы'!E$4-'минимумы и максимумы'!E$2)*100)</f>
        <v>0</v>
      </c>
      <c r="H221" s="1">
        <f>IF('исходные данные'!H221&gt;'минимумы и максимумы'!F$4,100,('исходные данные'!H221-'минимумы и максимумы'!F$2)/('минимумы и максимумы'!F$4-'минимумы и максимумы'!F$2)*100)</f>
        <v>0</v>
      </c>
      <c r="I221" s="1">
        <f>IF('исходные данные'!I221&gt;'минимумы и максимумы'!G$4,100,('исходные данные'!I221-'минимумы и максимумы'!G$2)/('минимумы и максимумы'!G$4-'минимумы и максимумы'!G$2)*100)</f>
        <v>1.2048192771084338</v>
      </c>
      <c r="J221" s="1">
        <f>IF('исходные данные'!J221&gt;'минимумы и максимумы'!H$4,100,('исходные данные'!J221-'минимумы и максимумы'!H$2)/('минимумы и максимумы'!H$4-'минимумы и максимумы'!H$2)*100)</f>
        <v>0</v>
      </c>
      <c r="K221" s="1">
        <f>IF('исходные данные'!K221&gt;'минимумы и максимумы'!I$4,100,('исходные данные'!K221-'минимумы и максимумы'!I$2)/('минимумы и максимумы'!I$4-'минимумы и максимумы'!I$2)*100)</f>
        <v>7.1428571428571423</v>
      </c>
      <c r="L221" s="1">
        <f>IF('исходные данные'!L221&gt;'минимумы и максимумы'!J$4,100,('исходные данные'!L221-'минимумы и максимумы'!J$2)/('минимумы и максимумы'!J$4-'минимумы и максимумы'!J$2)*100)</f>
        <v>0</v>
      </c>
      <c r="M221" s="1">
        <f>IF('исходные данные'!M221&gt;'минимумы и максимумы'!K$4,100,('исходные данные'!M221-'минимумы и максимумы'!K$2)/('минимумы и максимумы'!K$4-'минимумы и максимумы'!K$2)*100)</f>
        <v>8.5106382978723403</v>
      </c>
      <c r="N221" s="1">
        <f>IF('исходные данные'!N221&gt;'минимумы и максимумы'!L$4,100,('исходные данные'!N221-'минимумы и максимумы'!L$2)/('минимумы и максимумы'!L$4-'минимумы и максимумы'!L$2)*100)</f>
        <v>16.101350096915137</v>
      </c>
      <c r="O221" s="1">
        <f>IF('исходные данные'!O221&gt;'минимумы и максимумы'!M$4,100,('исходные данные'!O221-'минимумы и максимумы'!M$2)/('минимумы и максимумы'!M$4-'минимумы и максимумы'!M$2)*100)</f>
        <v>66.666666666666657</v>
      </c>
      <c r="P221" s="1">
        <f>IF('исходные данные'!P221&gt;'минимумы и максимумы'!N$4,100,('исходные данные'!P221-'минимумы и максимумы'!N$2)/('минимумы и максимумы'!N$4-'минимумы и максимумы'!N$2)*100)</f>
        <v>0</v>
      </c>
      <c r="Q221" s="1">
        <f>IF('исходные данные'!Q221&gt;'минимумы и максимумы'!O$4,100,('исходные данные'!Q221-'минимумы и максимумы'!O$2)/('минимумы и максимумы'!O$4-'минимумы и максимумы'!O$2)*100)</f>
        <v>100</v>
      </c>
      <c r="R221" s="1">
        <f>IF('исходные данные'!R221&gt;'минимумы и максимумы'!P$4,100,('исходные данные'!R221-'минимумы и максимумы'!P$2)/('минимумы и максимумы'!P$4-'минимумы и максимумы'!P$2)*100)</f>
        <v>75</v>
      </c>
      <c r="S221" s="1">
        <f>IF('исходные данные'!S221&gt;'минимумы и максимумы'!Q$4,100,('исходные данные'!S221-'минимумы и максимумы'!Q$2)/('минимумы и максимумы'!Q$4-'минимумы и максимумы'!Q$2)*100)</f>
        <v>55.555555555555557</v>
      </c>
      <c r="T221" s="1">
        <f>IF('исходные данные'!T221&gt;'минимумы и максимумы'!R$4,100,('исходные данные'!T221-'минимумы и максимумы'!R$2)/('минимумы и максимумы'!R$4-'минимумы и максимумы'!R$2)*100)</f>
        <v>13.319907940161105</v>
      </c>
      <c r="U221" s="1">
        <f>IF('исходные данные'!U221&gt;'минимумы и максимумы'!S$4,100,('исходные данные'!U221-'минимумы и максимумы'!S$2)/('минимумы и максимумы'!S$4-'минимумы и максимумы'!S$2)*100)</f>
        <v>0</v>
      </c>
    </row>
    <row r="222" spans="1:21" x14ac:dyDescent="0.45">
      <c r="A222" s="4">
        <v>309</v>
      </c>
      <c r="B222" s="4">
        <v>0</v>
      </c>
      <c r="C222" s="4">
        <v>1</v>
      </c>
      <c r="D222" s="1">
        <f>IF('исходные данные'!D222&gt;'минимумы и максимумы'!B$4,100,('исходные данные'!D222-'минимумы и максимумы'!B$2)/('минимумы и максимумы'!B$4-'минимумы и максимумы'!B$2)*100)</f>
        <v>25</v>
      </c>
      <c r="E222" s="1">
        <f>IF('исходные данные'!E222&gt;'минимумы и максимумы'!C$4,100,('исходные данные'!E222-'минимумы и максимумы'!C$2)/('минимумы и максимумы'!C$4-'минимумы и максимумы'!C$2)*100)</f>
        <v>12.5</v>
      </c>
      <c r="F222" s="1">
        <f>IF('исходные данные'!F222&gt;'минимумы и максимумы'!D$4,100,('исходные данные'!F222-'минимумы и максимумы'!D$2)/('минимумы и максимумы'!D$4-'минимумы и максимумы'!D$2)*100)</f>
        <v>0</v>
      </c>
      <c r="G222" s="1">
        <f>IF('исходные данные'!G222&gt;'минимумы и максимумы'!E$4,100,('исходные данные'!G222-'минимумы и максимумы'!E$2)/('минимумы и максимумы'!E$4-'минимумы и максимумы'!E$2)*100)</f>
        <v>10.810810810810811</v>
      </c>
      <c r="H222" s="1">
        <f>IF('исходные данные'!H222&gt;'минимумы и максимумы'!F$4,100,('исходные данные'!H222-'минимумы и максимумы'!F$2)/('минимумы и максимумы'!F$4-'минимумы и максимумы'!F$2)*100)</f>
        <v>13.157894736842104</v>
      </c>
      <c r="I222" s="1">
        <f>IF('исходные данные'!I222&gt;'минимумы и максимумы'!G$4,100,('исходные данные'!I222-'минимумы и максимумы'!G$2)/('минимумы и максимумы'!G$4-'минимумы и максимумы'!G$2)*100)</f>
        <v>7.2289156626506017</v>
      </c>
      <c r="J222" s="1">
        <f>IF('исходные данные'!J222&gt;'минимумы и максимумы'!H$4,100,('исходные данные'!J222-'минимумы и максимумы'!H$2)/('минимумы и максимумы'!H$4-'минимумы и максимумы'!H$2)*100)</f>
        <v>0</v>
      </c>
      <c r="K222" s="1">
        <f>IF('исходные данные'!K222&gt;'минимумы и максимумы'!I$4,100,('исходные данные'!K222-'минимумы и максимумы'!I$2)/('минимумы и максимумы'!I$4-'минимумы и максимумы'!I$2)*100)</f>
        <v>3.5714285714285712</v>
      </c>
      <c r="L222" s="1">
        <f>IF('исходные данные'!L222&gt;'минимумы и максимумы'!J$4,100,('исходные данные'!L222-'минимумы и максимумы'!J$2)/('минимумы и максимумы'!J$4-'минимумы и максимумы'!J$2)*100)</f>
        <v>0</v>
      </c>
      <c r="M222" s="1">
        <f>IF('исходные данные'!M222&gt;'минимумы и максимумы'!K$4,100,('исходные данные'!M222-'минимумы и максимумы'!K$2)/('минимумы и максимумы'!K$4-'минимумы и максимумы'!K$2)*100)</f>
        <v>42.553191489361701</v>
      </c>
      <c r="N222" s="1">
        <f>IF('исходные данные'!N222&gt;'минимумы и максимумы'!L$4,100,('исходные данные'!N222-'минимумы и максимумы'!L$2)/('минимумы и максимумы'!L$4-'минимумы и максимумы'!L$2)*100)</f>
        <v>26.092540040158575</v>
      </c>
      <c r="O222" s="1">
        <f>IF('исходные данные'!O222&gt;'минимумы и максимумы'!M$4,100,('исходные данные'!O222-'минимумы и максимумы'!M$2)/('минимумы и максимумы'!M$4-'минимумы и максимумы'!M$2)*100)</f>
        <v>0</v>
      </c>
      <c r="P222" s="1">
        <f>IF('исходные данные'!P222&gt;'минимумы и максимумы'!N$4,100,('исходные данные'!P222-'минимумы и максимумы'!N$2)/('минимумы и максимумы'!N$4-'минимумы и максимумы'!N$2)*100)</f>
        <v>0</v>
      </c>
      <c r="Q222" s="1">
        <f>IF('исходные данные'!Q222&gt;'минимумы и максимумы'!O$4,100,('исходные данные'!Q222-'минимумы и максимумы'!O$2)/('минимумы и максимумы'!O$4-'минимумы и максимумы'!O$2)*100)</f>
        <v>100</v>
      </c>
      <c r="R222" s="1">
        <f>IF('исходные данные'!R222&gt;'минимумы и максимумы'!P$4,100,('исходные данные'!R222-'минимумы и максимумы'!P$2)/('минимумы и максимумы'!P$4-'минимумы и максимумы'!P$2)*100)</f>
        <v>100</v>
      </c>
      <c r="S222" s="1">
        <f>IF('исходные данные'!S222&gt;'минимумы и максимумы'!Q$4,100,('исходные данные'!S222-'минимумы и максимумы'!Q$2)/('минимумы и максимумы'!Q$4-'минимумы и максимумы'!Q$2)*100)</f>
        <v>22.222222222222221</v>
      </c>
      <c r="T222" s="1">
        <f>IF('исходные данные'!T222&gt;'минимумы и максимумы'!R$4,100,('исходные данные'!T222-'минимумы и максимумы'!R$2)/('минимумы и максимумы'!R$4-'минимумы и максимумы'!R$2)*100)</f>
        <v>4.1426927502876865</v>
      </c>
      <c r="U222" s="1">
        <f>IF('исходные данные'!U222&gt;'минимумы и максимумы'!S$4,100,('исходные данные'!U222-'минимумы и максимумы'!S$2)/('минимумы и максимумы'!S$4-'минимумы и максимумы'!S$2)*100)</f>
        <v>0</v>
      </c>
    </row>
    <row r="223" spans="1:21" x14ac:dyDescent="0.45">
      <c r="A223" s="4">
        <v>311</v>
      </c>
      <c r="B223" s="4">
        <v>0</v>
      </c>
      <c r="C223" s="4">
        <v>1</v>
      </c>
      <c r="D223" s="1">
        <f>IF('исходные данные'!D223&gt;'минимумы и максимумы'!B$4,100,('исходные данные'!D223-'минимумы и максимумы'!B$2)/('минимумы и максимумы'!B$4-'минимумы и максимумы'!B$2)*100)</f>
        <v>12.5</v>
      </c>
      <c r="E223" s="1">
        <f>IF('исходные данные'!E223&gt;'минимумы и максимумы'!C$4,100,('исходные данные'!E223-'минимумы и максимумы'!C$2)/('минимумы и максимумы'!C$4-'минимумы и максимумы'!C$2)*100)</f>
        <v>0</v>
      </c>
      <c r="F223" s="1">
        <f>IF('исходные данные'!F223&gt;'минимумы и максимумы'!D$4,100,('исходные данные'!F223-'минимумы и максимумы'!D$2)/('минимумы и максимумы'!D$4-'минимумы и максимумы'!D$2)*100)</f>
        <v>0</v>
      </c>
      <c r="G223" s="1">
        <f>IF('исходные данные'!G223&gt;'минимумы и максимумы'!E$4,100,('исходные данные'!G223-'минимумы и максимумы'!E$2)/('минимумы и максимумы'!E$4-'минимумы и максимумы'!E$2)*100)</f>
        <v>10.810810810810811</v>
      </c>
      <c r="H223" s="1">
        <f>IF('исходные данные'!H223&gt;'минимумы и максимумы'!F$4,100,('исходные данные'!H223-'минимумы и максимумы'!F$2)/('минимумы и максимумы'!F$4-'минимумы и максимумы'!F$2)*100)</f>
        <v>13.157894736842104</v>
      </c>
      <c r="I223" s="1">
        <f>IF('исходные данные'!I223&gt;'минимумы и максимумы'!G$4,100,('исходные данные'!I223-'минимумы и максимумы'!G$2)/('минимумы и максимумы'!G$4-'минимумы и максимумы'!G$2)*100)</f>
        <v>24.096385542168676</v>
      </c>
      <c r="J223" s="1">
        <f>IF('исходные данные'!J223&gt;'минимумы и максимумы'!H$4,100,('исходные данные'!J223-'минимумы и максимумы'!H$2)/('минимумы и максимумы'!H$4-'минимумы и максимумы'!H$2)*100)</f>
        <v>0</v>
      </c>
      <c r="K223" s="1">
        <f>IF('исходные данные'!K223&gt;'минимумы и максимумы'!I$4,100,('исходные данные'!K223-'минимумы и максимумы'!I$2)/('минимумы и максимумы'!I$4-'минимумы и максимумы'!I$2)*100)</f>
        <v>3.5714285714285712</v>
      </c>
      <c r="L223" s="1">
        <f>IF('исходные данные'!L223&gt;'минимумы и максимумы'!J$4,100,('исходные данные'!L223-'минимумы и максимумы'!J$2)/('минимумы и максимумы'!J$4-'минимумы и максимумы'!J$2)*100)</f>
        <v>12.5</v>
      </c>
      <c r="M223" s="1">
        <f>IF('исходные данные'!M223&gt;'минимумы и максимумы'!K$4,100,('исходные данные'!M223-'минимумы и максимумы'!K$2)/('минимумы и максимумы'!K$4-'минимумы и максимумы'!K$2)*100)</f>
        <v>17.021276595744681</v>
      </c>
      <c r="N223" s="1">
        <f>IF('исходные данные'!N223&gt;'минимумы и максимумы'!L$4,100,('исходные данные'!N223-'минимумы и максимумы'!L$2)/('минимумы и максимумы'!L$4-'минимумы и максимумы'!L$2)*100)</f>
        <v>20.467950069125102</v>
      </c>
      <c r="O223" s="1">
        <f>IF('исходные данные'!O223&gt;'минимумы и максимумы'!M$4,100,('исходные данные'!O223-'минимумы и максимумы'!M$2)/('минимумы и максимумы'!M$4-'минимумы и максимумы'!M$2)*100)</f>
        <v>0</v>
      </c>
      <c r="P223" s="1">
        <f>IF('исходные данные'!P223&gt;'минимумы и максимумы'!N$4,100,('исходные данные'!P223-'минимумы и максимумы'!N$2)/('минимумы и максимумы'!N$4-'минимумы и максимумы'!N$2)*100)</f>
        <v>0</v>
      </c>
      <c r="Q223" s="1">
        <f>IF('исходные данные'!Q223&gt;'минимумы и максимумы'!O$4,100,('исходные данные'!Q223-'минимумы и максимумы'!O$2)/('минимумы и максимумы'!O$4-'минимумы и максимумы'!O$2)*100)</f>
        <v>100</v>
      </c>
      <c r="R223" s="1">
        <f>IF('исходные данные'!R223&gt;'минимумы и максимумы'!P$4,100,('исходные данные'!R223-'минимумы и максимумы'!P$2)/('минимумы и максимумы'!P$4-'минимумы и максимумы'!P$2)*100)</f>
        <v>25</v>
      </c>
      <c r="S223" s="1">
        <f>IF('исходные данные'!S223&gt;'минимумы и максимумы'!Q$4,100,('исходные данные'!S223-'минимумы и максимумы'!Q$2)/('минимумы и максимумы'!Q$4-'минимумы и максимумы'!Q$2)*100)</f>
        <v>11.111111111111111</v>
      </c>
      <c r="T223" s="1">
        <f>IF('исходные данные'!T223&gt;'минимумы и максимумы'!R$4,100,('исходные данные'!T223-'минимумы и максимумы'!R$2)/('минимумы и максимумы'!R$4-'минимумы и максимумы'!R$2)*100)</f>
        <v>12.054085155350979</v>
      </c>
      <c r="U223" s="1">
        <f>IF('исходные данные'!U223&gt;'минимумы и максимумы'!S$4,100,('исходные данные'!U223-'минимумы и максимумы'!S$2)/('минимумы и максимумы'!S$4-'минимумы и максимумы'!S$2)*100)</f>
        <v>0</v>
      </c>
    </row>
    <row r="224" spans="1:21" x14ac:dyDescent="0.45">
      <c r="A224" s="4">
        <v>313</v>
      </c>
      <c r="B224" s="4">
        <v>0</v>
      </c>
      <c r="C224" s="4">
        <v>0</v>
      </c>
      <c r="D224" s="1">
        <f>IF('исходные данные'!D224&gt;'минимумы и максимумы'!B$4,100,('исходные данные'!D224-'минимумы и максимумы'!B$2)/('минимумы и максимумы'!B$4-'минимумы и максимумы'!B$2)*100)</f>
        <v>12.5</v>
      </c>
      <c r="E224" s="1">
        <f>IF('исходные данные'!E224&gt;'минимумы и максимумы'!C$4,100,('исходные данные'!E224-'минимумы и максимумы'!C$2)/('минимумы и максимумы'!C$4-'минимумы и максимумы'!C$2)*100)</f>
        <v>0</v>
      </c>
      <c r="F224" s="1">
        <f>IF('исходные данные'!F224&gt;'минимумы и максимумы'!D$4,100,('исходные данные'!F224-'минимумы и максимумы'!D$2)/('минимумы и максимумы'!D$4-'минимумы и максимумы'!D$2)*100)</f>
        <v>75</v>
      </c>
      <c r="G224" s="1">
        <f>IF('исходные данные'!G224&gt;'минимумы и максимумы'!E$4,100,('исходные данные'!G224-'минимумы и максимумы'!E$2)/('минимумы и максимумы'!E$4-'минимумы и максимумы'!E$2)*100)</f>
        <v>13.513513513513514</v>
      </c>
      <c r="H224" s="1">
        <f>IF('исходные данные'!H224&gt;'минимумы и максимумы'!F$4,100,('исходные данные'!H224-'минимумы и максимумы'!F$2)/('минимумы и максимумы'!F$4-'минимумы и максимумы'!F$2)*100)</f>
        <v>23.684210526315788</v>
      </c>
      <c r="I224" s="1">
        <f>IF('исходные данные'!I224&gt;'минимумы и максимумы'!G$4,100,('исходные данные'!I224-'минимумы и максимумы'!G$2)/('минимумы и максимумы'!G$4-'минимумы и максимумы'!G$2)*100)</f>
        <v>4.8192771084337354</v>
      </c>
      <c r="J224" s="1">
        <f>IF('исходные данные'!J224&gt;'минимумы и максимумы'!H$4,100,('исходные данные'!J224-'минимумы и максимумы'!H$2)/('минимумы и максимумы'!H$4-'минимумы и максимумы'!H$2)*100)</f>
        <v>4.1666666666666661</v>
      </c>
      <c r="K224" s="1">
        <f>IF('исходные данные'!K224&gt;'минимумы и максимумы'!I$4,100,('исходные данные'!K224-'минимумы и максимумы'!I$2)/('минимумы и максимумы'!I$4-'минимумы и максимумы'!I$2)*100)</f>
        <v>7.1428571428571423</v>
      </c>
      <c r="L224" s="1">
        <f>IF('исходные данные'!L224&gt;'минимумы и максимумы'!J$4,100,('исходные данные'!L224-'минимумы и максимумы'!J$2)/('минимумы и максимумы'!J$4-'минимумы и максимумы'!J$2)*100)</f>
        <v>12.5</v>
      </c>
      <c r="M224" s="1">
        <f>IF('исходные данные'!M224&gt;'минимумы и максимумы'!K$4,100,('исходные данные'!M224-'минимумы и максимумы'!K$2)/('минимумы и максимумы'!K$4-'минимумы и максимумы'!K$2)*100)</f>
        <v>12.76595744680851</v>
      </c>
      <c r="N224" s="1">
        <f>IF('исходные данные'!N224&gt;'минимумы и максимумы'!L$4,100,('исходные данные'!N224-'минимумы и максимумы'!L$2)/('минимумы и максимумы'!L$4-'минимумы и максимумы'!L$2)*100)</f>
        <v>24.95407991687112</v>
      </c>
      <c r="O224" s="1">
        <f>IF('исходные данные'!O224&gt;'минимумы и максимумы'!M$4,100,('исходные данные'!O224-'минимумы и максимумы'!M$2)/('минимумы и максимумы'!M$4-'минимумы и максимумы'!M$2)*100)</f>
        <v>0</v>
      </c>
      <c r="P224" s="1">
        <f>IF('исходные данные'!P224&gt;'минимумы и максимумы'!N$4,100,('исходные данные'!P224-'минимумы и максимумы'!N$2)/('минимумы и максимумы'!N$4-'минимумы и максимумы'!N$2)*100)</f>
        <v>0</v>
      </c>
      <c r="Q224" s="1">
        <f>IF('исходные данные'!Q224&gt;'минимумы и максимумы'!O$4,100,('исходные данные'!Q224-'минимумы и максимумы'!O$2)/('минимумы и максимумы'!O$4-'минимумы и максимумы'!O$2)*100)</f>
        <v>100</v>
      </c>
      <c r="R224" s="1">
        <f>IF('исходные данные'!R224&gt;'минимумы и максимумы'!P$4,100,('исходные данные'!R224-'минимумы и максимумы'!P$2)/('минимумы и максимумы'!P$4-'минимумы и максимумы'!P$2)*100)</f>
        <v>100</v>
      </c>
      <c r="S224" s="1">
        <f>IF('исходные данные'!S224&gt;'минимумы и максимумы'!Q$4,100,('исходные данные'!S224-'минимумы и максимумы'!Q$2)/('минимумы и максимумы'!Q$4-'минимумы и максимумы'!Q$2)*100)</f>
        <v>33.333333333333329</v>
      </c>
      <c r="T224" s="1">
        <f>IF('исходные данные'!T224&gt;'минимумы и максимумы'!R$4,100,('исходные данные'!T224-'минимумы и максимумы'!R$2)/('минимумы и максимумы'!R$4-'минимумы и максимумы'!R$2)*100)</f>
        <v>18.555811277330264</v>
      </c>
      <c r="U224" s="1">
        <f>IF('исходные данные'!U224&gt;'минимумы и максимумы'!S$4,100,('исходные данные'!U224-'минимумы и максимумы'!S$2)/('минимумы и максимумы'!S$4-'минимумы и максимумы'!S$2)*100)</f>
        <v>33.333333333333329</v>
      </c>
    </row>
    <row r="225" spans="1:21" x14ac:dyDescent="0.45">
      <c r="A225" s="4">
        <v>314</v>
      </c>
      <c r="B225" s="4">
        <v>0</v>
      </c>
      <c r="C225" s="4">
        <v>0</v>
      </c>
      <c r="D225" s="1">
        <f>IF('исходные данные'!D225&gt;'минимумы и максимумы'!B$4,100,('исходные данные'!D225-'минимумы и максимумы'!B$2)/('минимумы и максимумы'!B$4-'минимумы и максимумы'!B$2)*100)</f>
        <v>12.5</v>
      </c>
      <c r="E225" s="1">
        <f>IF('исходные данные'!E225&gt;'минимумы и максимумы'!C$4,100,('исходные данные'!E225-'минимумы и максимумы'!C$2)/('минимумы и максимумы'!C$4-'минимумы и максимумы'!C$2)*100)</f>
        <v>0</v>
      </c>
      <c r="F225" s="1">
        <f>IF('исходные данные'!F225&gt;'минимумы и максимумы'!D$4,100,('исходные данные'!F225-'минимумы и максимумы'!D$2)/('минимумы и максимумы'!D$4-'минимумы и максимумы'!D$2)*100)</f>
        <v>75</v>
      </c>
      <c r="G225" s="1">
        <f>IF('исходные данные'!G225&gt;'минимумы и максимумы'!E$4,100,('исходные данные'!G225-'минимумы и максимумы'!E$2)/('минимумы и максимумы'!E$4-'минимумы и максимумы'!E$2)*100)</f>
        <v>13.513513513513514</v>
      </c>
      <c r="H225" s="1">
        <f>IF('исходные данные'!H225&gt;'минимумы и максимумы'!F$4,100,('исходные данные'!H225-'минимумы и максимумы'!F$2)/('минимумы и максимумы'!F$4-'минимумы и максимумы'!F$2)*100)</f>
        <v>23.684210526315788</v>
      </c>
      <c r="I225" s="1">
        <f>IF('исходные данные'!I225&gt;'минимумы и максимумы'!G$4,100,('исходные данные'!I225-'минимумы и максимумы'!G$2)/('минимумы и максимумы'!G$4-'минимумы и максимумы'!G$2)*100)</f>
        <v>4.8192771084337354</v>
      </c>
      <c r="J225" s="1">
        <f>IF('исходные данные'!J225&gt;'минимумы и максимумы'!H$4,100,('исходные данные'!J225-'минимумы и максимумы'!H$2)/('минимумы и максимумы'!H$4-'минимумы и максимумы'!H$2)*100)</f>
        <v>4.1666666666666661</v>
      </c>
      <c r="K225" s="1">
        <f>IF('исходные данные'!K225&gt;'минимумы и максимумы'!I$4,100,('исходные данные'!K225-'минимумы и максимумы'!I$2)/('минимумы и максимумы'!I$4-'минимумы и максимумы'!I$2)*100)</f>
        <v>7.1428571428571423</v>
      </c>
      <c r="L225" s="1">
        <f>IF('исходные данные'!L225&gt;'минимумы и максимумы'!J$4,100,('исходные данные'!L225-'минимумы и максимумы'!J$2)/('минимумы и максимумы'!J$4-'минимумы и максимумы'!J$2)*100)</f>
        <v>12.5</v>
      </c>
      <c r="M225" s="1">
        <f>IF('исходные данные'!M225&gt;'минимумы и максимумы'!K$4,100,('исходные данные'!M225-'минимумы и максимумы'!K$2)/('минимумы и максимумы'!K$4-'минимумы и максимумы'!K$2)*100)</f>
        <v>12.76595744680851</v>
      </c>
      <c r="N225" s="1">
        <f>IF('исходные данные'!N225&gt;'минимумы и максимумы'!L$4,100,('исходные данные'!N225-'минимумы и максимумы'!L$2)/('минимумы и максимумы'!L$4-'минимумы и максимумы'!L$2)*100)</f>
        <v>25.157823668202955</v>
      </c>
      <c r="O225" s="1">
        <f>IF('исходные данные'!O225&gt;'минимумы и максимумы'!M$4,100,('исходные данные'!O225-'минимумы и максимумы'!M$2)/('минимумы и максимумы'!M$4-'минимумы и максимумы'!M$2)*100)</f>
        <v>66.666666666666657</v>
      </c>
      <c r="P225" s="1">
        <f>IF('исходные данные'!P225&gt;'минимумы и максимумы'!N$4,100,('исходные данные'!P225-'минимумы и максимумы'!N$2)/('минимумы и максимумы'!N$4-'минимумы и максимумы'!N$2)*100)</f>
        <v>0</v>
      </c>
      <c r="Q225" s="1">
        <f>IF('исходные данные'!Q225&gt;'минимумы и максимумы'!O$4,100,('исходные данные'!Q225-'минимумы и максимумы'!O$2)/('минимумы и максимумы'!O$4-'минимумы и максимумы'!O$2)*100)</f>
        <v>100</v>
      </c>
      <c r="R225" s="1">
        <f>IF('исходные данные'!R225&gt;'минимумы и максимумы'!P$4,100,('исходные данные'!R225-'минимумы и максимумы'!P$2)/('минимумы и максимумы'!P$4-'минимумы и максимумы'!P$2)*100)</f>
        <v>100</v>
      </c>
      <c r="S225" s="1">
        <f>IF('исходные данные'!S225&gt;'минимумы и максимумы'!Q$4,100,('исходные данные'!S225-'минимумы и максимумы'!Q$2)/('минимумы и максимумы'!Q$4-'минимумы и максимумы'!Q$2)*100)</f>
        <v>33.333333333333329</v>
      </c>
      <c r="T225" s="1">
        <f>IF('исходные данные'!T225&gt;'минимумы и максимумы'!R$4,100,('исходные данные'!T225-'минимумы и максимумы'!R$2)/('минимумы и максимумы'!R$4-'минимумы и максимумы'!R$2)*100)</f>
        <v>18.555811277330264</v>
      </c>
      <c r="U225" s="1">
        <f>IF('исходные данные'!U225&gt;'минимумы и максимумы'!S$4,100,('исходные данные'!U225-'минимумы и максимумы'!S$2)/('минимумы и максимумы'!S$4-'минимумы и максимумы'!S$2)*100)</f>
        <v>33.333333333333329</v>
      </c>
    </row>
    <row r="226" spans="1:21" x14ac:dyDescent="0.45">
      <c r="A226" s="4">
        <v>315</v>
      </c>
      <c r="B226" s="4">
        <v>0</v>
      </c>
      <c r="C226" s="4">
        <v>0</v>
      </c>
      <c r="D226" s="1">
        <f>IF('исходные данные'!D226&gt;'минимумы и максимумы'!B$4,100,('исходные данные'!D226-'минимумы и максимумы'!B$2)/('минимумы и максимумы'!B$4-'минимумы и максимумы'!B$2)*100)</f>
        <v>12.5</v>
      </c>
      <c r="E226" s="1">
        <f>IF('исходные данные'!E226&gt;'минимумы и максимумы'!C$4,100,('исходные данные'!E226-'минимумы и максимумы'!C$2)/('минимумы и максимумы'!C$4-'минимумы и максимумы'!C$2)*100)</f>
        <v>0</v>
      </c>
      <c r="F226" s="1">
        <f>IF('исходные данные'!F226&gt;'минимумы и максимумы'!D$4,100,('исходные данные'!F226-'минимумы и максимумы'!D$2)/('минимумы и максимумы'!D$4-'минимумы и максимумы'!D$2)*100)</f>
        <v>75</v>
      </c>
      <c r="G226" s="1">
        <f>IF('исходные данные'!G226&gt;'минимумы и максимумы'!E$4,100,('исходные данные'!G226-'минимумы и максимумы'!E$2)/('минимумы и максимумы'!E$4-'минимумы и максимумы'!E$2)*100)</f>
        <v>13.513513513513514</v>
      </c>
      <c r="H226" s="1">
        <f>IF('исходные данные'!H226&gt;'минимумы и максимумы'!F$4,100,('исходные данные'!H226-'минимумы и максимумы'!F$2)/('минимумы и максимумы'!F$4-'минимумы и максимумы'!F$2)*100)</f>
        <v>23.684210526315788</v>
      </c>
      <c r="I226" s="1">
        <f>IF('исходные данные'!I226&gt;'минимумы и максимумы'!G$4,100,('исходные данные'!I226-'минимумы и максимумы'!G$2)/('минимумы и максимумы'!G$4-'минимумы и максимумы'!G$2)*100)</f>
        <v>4.8192771084337354</v>
      </c>
      <c r="J226" s="1">
        <f>IF('исходные данные'!J226&gt;'минимумы и максимумы'!H$4,100,('исходные данные'!J226-'минимумы и максимумы'!H$2)/('минимумы и максимумы'!H$4-'минимумы и максимумы'!H$2)*100)</f>
        <v>4.1666666666666661</v>
      </c>
      <c r="K226" s="1">
        <f>IF('исходные данные'!K226&gt;'минимумы и максимумы'!I$4,100,('исходные данные'!K226-'минимумы и максимумы'!I$2)/('минимумы и максимумы'!I$4-'минимумы и максимумы'!I$2)*100)</f>
        <v>7.1428571428571423</v>
      </c>
      <c r="L226" s="1">
        <f>IF('исходные данные'!L226&gt;'минимумы и максимумы'!J$4,100,('исходные данные'!L226-'минимумы и максимумы'!J$2)/('минимумы и максимумы'!J$4-'минимумы и максимумы'!J$2)*100)</f>
        <v>12.5</v>
      </c>
      <c r="M226" s="1">
        <f>IF('исходные данные'!M226&gt;'минимумы и максимумы'!K$4,100,('исходные данные'!M226-'минимумы и максимумы'!K$2)/('минимумы и максимумы'!K$4-'минимумы и максимумы'!K$2)*100)</f>
        <v>12.76595744680851</v>
      </c>
      <c r="N226" s="1">
        <f>IF('исходные данные'!N226&gt;'минимумы и максимумы'!L$4,100,('исходные данные'!N226-'минимумы и максимумы'!L$2)/('минимумы и максимумы'!L$4-'минимумы и максимумы'!L$2)*100)</f>
        <v>25.133486930397385</v>
      </c>
      <c r="O226" s="1">
        <f>IF('исходные данные'!O226&gt;'минимумы и максимумы'!M$4,100,('исходные данные'!O226-'минимумы и максимумы'!M$2)/('минимумы и максимумы'!M$4-'минимумы и максимумы'!M$2)*100)</f>
        <v>66.666666666666657</v>
      </c>
      <c r="P226" s="1">
        <f>IF('исходные данные'!P226&gt;'минимумы и максимумы'!N$4,100,('исходные данные'!P226-'минимумы и максимумы'!N$2)/('минимумы и максимумы'!N$4-'минимумы и максимумы'!N$2)*100)</f>
        <v>0</v>
      </c>
      <c r="Q226" s="1">
        <f>IF('исходные данные'!Q226&gt;'минимумы и максимумы'!O$4,100,('исходные данные'!Q226-'минимумы и максимумы'!O$2)/('минимумы и максимумы'!O$4-'минимумы и максимумы'!O$2)*100)</f>
        <v>100</v>
      </c>
      <c r="R226" s="1">
        <f>IF('исходные данные'!R226&gt;'минимумы и максимумы'!P$4,100,('исходные данные'!R226-'минимумы и максимумы'!P$2)/('минимумы и максимумы'!P$4-'минимумы и максимумы'!P$2)*100)</f>
        <v>100</v>
      </c>
      <c r="S226" s="1">
        <f>IF('исходные данные'!S226&gt;'минимумы и максимумы'!Q$4,100,('исходные данные'!S226-'минимумы и максимумы'!Q$2)/('минимумы и максимумы'!Q$4-'минимумы и максимумы'!Q$2)*100)</f>
        <v>33.333333333333329</v>
      </c>
      <c r="T226" s="1">
        <f>IF('исходные данные'!T226&gt;'минимумы и максимумы'!R$4,100,('исходные данные'!T226-'минимумы и максимумы'!R$2)/('минимумы и максимумы'!R$4-'минимумы и максимумы'!R$2)*100)</f>
        <v>18.555811277330264</v>
      </c>
      <c r="U226" s="1">
        <f>IF('исходные данные'!U226&gt;'минимумы и максимумы'!S$4,100,('исходные данные'!U226-'минимумы и максимумы'!S$2)/('минимумы и максимумы'!S$4-'минимумы и максимумы'!S$2)*100)</f>
        <v>33.333333333333329</v>
      </c>
    </row>
    <row r="227" spans="1:21" x14ac:dyDescent="0.45">
      <c r="A227" s="4">
        <v>316</v>
      </c>
      <c r="B227" s="4">
        <v>0</v>
      </c>
      <c r="C227" s="4">
        <v>0</v>
      </c>
      <c r="D227" s="1">
        <f>IF('исходные данные'!D227&gt;'минимумы и максимумы'!B$4,100,('исходные данные'!D227-'минимумы и максимумы'!B$2)/('минимумы и максимумы'!B$4-'минимумы и максимумы'!B$2)*100)</f>
        <v>12.5</v>
      </c>
      <c r="E227" s="1">
        <f>IF('исходные данные'!E227&gt;'минимумы и максимумы'!C$4,100,('исходные данные'!E227-'минимумы и максимумы'!C$2)/('минимумы и максимумы'!C$4-'минимумы и максимумы'!C$2)*100)</f>
        <v>6.25</v>
      </c>
      <c r="F227" s="1">
        <f>IF('исходные данные'!F227&gt;'минимумы и максимумы'!D$4,100,('исходные данные'!F227-'минимумы и максимумы'!D$2)/('минимумы и максимумы'!D$4-'минимумы и максимумы'!D$2)*100)</f>
        <v>75</v>
      </c>
      <c r="G227" s="1">
        <f>IF('исходные данные'!G227&gt;'минимумы и максимумы'!E$4,100,('исходные данные'!G227-'минимумы и максимумы'!E$2)/('минимумы и максимумы'!E$4-'минимумы и максимумы'!E$2)*100)</f>
        <v>13.513513513513514</v>
      </c>
      <c r="H227" s="1">
        <f>IF('исходные данные'!H227&gt;'минимумы и максимумы'!F$4,100,('исходные данные'!H227-'минимумы и максимумы'!F$2)/('минимумы и максимумы'!F$4-'минимумы и максимумы'!F$2)*100)</f>
        <v>23.684210526315788</v>
      </c>
      <c r="I227" s="1">
        <f>IF('исходные данные'!I227&gt;'минимумы и максимумы'!G$4,100,('исходные данные'!I227-'минимумы и максимумы'!G$2)/('минимумы и максимумы'!G$4-'минимумы и максимумы'!G$2)*100)</f>
        <v>3.6144578313253009</v>
      </c>
      <c r="J227" s="1">
        <f>IF('исходные данные'!J227&gt;'минимумы и максимумы'!H$4,100,('исходные данные'!J227-'минимумы и максимумы'!H$2)/('минимумы и максимумы'!H$4-'минимумы и максимумы'!H$2)*100)</f>
        <v>0</v>
      </c>
      <c r="K227" s="1">
        <f>IF('исходные данные'!K227&gt;'минимумы и максимумы'!I$4,100,('исходные данные'!K227-'минимумы и максимумы'!I$2)/('минимумы и максимумы'!I$4-'минимумы и максимумы'!I$2)*100)</f>
        <v>0</v>
      </c>
      <c r="L227" s="1">
        <f>IF('исходные данные'!L227&gt;'минимумы и максимумы'!J$4,100,('исходные данные'!L227-'минимумы и максимумы'!J$2)/('минимумы и максимумы'!J$4-'минимумы и максимумы'!J$2)*100)</f>
        <v>12.5</v>
      </c>
      <c r="M227" s="1">
        <f>IF('исходные данные'!M227&gt;'минимумы и максимумы'!K$4,100,('исходные данные'!M227-'минимумы и максимумы'!K$2)/('минимумы и максимумы'!K$4-'минимумы и максимумы'!K$2)*100)</f>
        <v>8.5106382978723403</v>
      </c>
      <c r="N227" s="1">
        <f>IF('исходные данные'!N227&gt;'минимумы и максимумы'!L$4,100,('исходные данные'!N227-'минимумы и максимумы'!L$2)/('минимумы и максимумы'!L$4-'минимумы и максимумы'!L$2)*100)</f>
        <v>27.068278704035553</v>
      </c>
      <c r="O227" s="1">
        <f>IF('исходные данные'!O227&gt;'минимумы и максимумы'!M$4,100,('исходные данные'!O227-'минимумы и максимумы'!M$2)/('минимумы и максимумы'!M$4-'минимумы и максимумы'!M$2)*100)</f>
        <v>66.666666666666657</v>
      </c>
      <c r="P227" s="1">
        <f>IF('исходные данные'!P227&gt;'минимумы и максимумы'!N$4,100,('исходные данные'!P227-'минимумы и максимумы'!N$2)/('минимумы и максимумы'!N$4-'минимумы и максимумы'!N$2)*100)</f>
        <v>0</v>
      </c>
      <c r="Q227" s="1">
        <f>IF('исходные данные'!Q227&gt;'минимумы и максимумы'!O$4,100,('исходные данные'!Q227-'минимумы и максимумы'!O$2)/('минимумы и максимумы'!O$4-'минимумы и максимумы'!O$2)*100)</f>
        <v>100</v>
      </c>
      <c r="R227" s="1">
        <f>IF('исходные данные'!R227&gt;'минимумы и максимумы'!P$4,100,('исходные данные'!R227-'минимумы и максимумы'!P$2)/('минимумы и максимумы'!P$4-'минимумы и максимумы'!P$2)*100)</f>
        <v>75</v>
      </c>
      <c r="S227" s="1">
        <f>IF('исходные данные'!S227&gt;'минимумы и максимумы'!Q$4,100,('исходные данные'!S227-'минимумы и максимумы'!Q$2)/('минимумы и максимумы'!Q$4-'минимумы и максимумы'!Q$2)*100)</f>
        <v>22.222222222222221</v>
      </c>
      <c r="T227" s="1">
        <f>IF('исходные данные'!T227&gt;'минимумы и максимумы'!R$4,100,('исходные данные'!T227-'минимумы и максимумы'!R$2)/('минимумы и максимумы'!R$4-'минимумы и максимумы'!R$2)*100)</f>
        <v>14.844649021864212</v>
      </c>
      <c r="U227" s="1">
        <f>IF('исходные данные'!U227&gt;'минимумы и максимумы'!S$4,100,('исходные данные'!U227-'минимумы и максимумы'!S$2)/('минимумы и максимумы'!S$4-'минимумы и максимумы'!S$2)*100)</f>
        <v>0</v>
      </c>
    </row>
    <row r="228" spans="1:21" x14ac:dyDescent="0.45">
      <c r="A228" s="4">
        <v>317</v>
      </c>
      <c r="B228" s="4">
        <v>0</v>
      </c>
      <c r="C228" s="4">
        <v>0</v>
      </c>
      <c r="D228" s="1">
        <f>IF('исходные данные'!D228&gt;'минимумы и максимумы'!B$4,100,('исходные данные'!D228-'минимумы и максимумы'!B$2)/('минимумы и максимумы'!B$4-'минимумы и максимумы'!B$2)*100)</f>
        <v>0</v>
      </c>
      <c r="E228" s="1">
        <f>IF('исходные данные'!E228&gt;'минимумы и максимумы'!C$4,100,('исходные данные'!E228-'минимумы и максимумы'!C$2)/('минимумы и максимумы'!C$4-'минимумы и максимумы'!C$2)*100)</f>
        <v>6.25</v>
      </c>
      <c r="F228" s="1">
        <f>IF('исходные данные'!F228&gt;'минимумы и максимумы'!D$4,100,('исходные данные'!F228-'минимумы и максимумы'!D$2)/('минимумы и максимумы'!D$4-'минимумы и максимумы'!D$2)*100)</f>
        <v>0</v>
      </c>
      <c r="G228" s="1">
        <f>IF('исходные данные'!G228&gt;'минимумы и максимумы'!E$4,100,('исходные данные'!G228-'минимумы и максимумы'!E$2)/('минимумы и максимумы'!E$4-'минимумы и максимумы'!E$2)*100)</f>
        <v>10.810810810810811</v>
      </c>
      <c r="H228" s="1">
        <f>IF('исходные данные'!H228&gt;'минимумы и максимумы'!F$4,100,('исходные данные'!H228-'минимумы и максимумы'!F$2)/('минимумы и максимумы'!F$4-'минимумы и максимумы'!F$2)*100)</f>
        <v>15.789473684210526</v>
      </c>
      <c r="I228" s="1">
        <f>IF('исходные данные'!I228&gt;'минимумы и максимумы'!G$4,100,('исходные данные'!I228-'минимумы и максимумы'!G$2)/('минимумы и максимумы'!G$4-'минимумы и максимумы'!G$2)*100)</f>
        <v>8.4337349397590362</v>
      </c>
      <c r="J228" s="1">
        <f>IF('исходные данные'!J228&gt;'минимумы и максимумы'!H$4,100,('исходные данные'!J228-'минимумы и максимумы'!H$2)/('минимумы и максимумы'!H$4-'минимумы и максимумы'!H$2)*100)</f>
        <v>4.1666666666666661</v>
      </c>
      <c r="K228" s="1">
        <f>IF('исходные данные'!K228&gt;'минимумы и максимумы'!I$4,100,('исходные данные'!K228-'минимумы и максимумы'!I$2)/('минимумы и максимумы'!I$4-'минимумы и максимумы'!I$2)*100)</f>
        <v>0</v>
      </c>
      <c r="L228" s="1">
        <f>IF('исходные данные'!L228&gt;'минимумы и максимумы'!J$4,100,('исходные данные'!L228-'минимумы и максимумы'!J$2)/('минимумы и максимумы'!J$4-'минимумы и максимумы'!J$2)*100)</f>
        <v>0</v>
      </c>
      <c r="M228" s="1">
        <f>IF('исходные данные'!M228&gt;'минимумы и максимумы'!K$4,100,('исходные данные'!M228-'минимумы и максимумы'!K$2)/('минимумы и максимумы'!K$4-'минимумы и максимумы'!K$2)*100)</f>
        <v>38.297872340425535</v>
      </c>
      <c r="N228" s="1">
        <f>IF('исходные данные'!N228&gt;'минимумы и максимумы'!L$4,100,('исходные данные'!N228-'минимумы и максимумы'!L$2)/('минимумы и максимумы'!L$4-'минимумы и максимумы'!L$2)*100)</f>
        <v>29.473860823474318</v>
      </c>
      <c r="O228" s="1">
        <f>IF('исходные данные'!O228&gt;'минимумы и максимумы'!M$4,100,('исходные данные'!O228-'минимумы и максимумы'!M$2)/('минимумы и максимумы'!M$4-'минимумы и максимумы'!M$2)*100)</f>
        <v>0</v>
      </c>
      <c r="P228" s="1">
        <f>IF('исходные данные'!P228&gt;'минимумы и максимумы'!N$4,100,('исходные данные'!P228-'минимумы и максимумы'!N$2)/('минимумы и максимумы'!N$4-'минимумы и максимумы'!N$2)*100)</f>
        <v>0</v>
      </c>
      <c r="Q228" s="1">
        <f>IF('исходные данные'!Q228&gt;'минимумы и максимумы'!O$4,100,('исходные данные'!Q228-'минимумы и максимумы'!O$2)/('минимумы и максимумы'!O$4-'минимумы и максимумы'!O$2)*100)</f>
        <v>100</v>
      </c>
      <c r="R228" s="1">
        <f>IF('исходные данные'!R228&gt;'минимумы и максимумы'!P$4,100,('исходные данные'!R228-'минимумы и максимумы'!P$2)/('минимумы и максимумы'!P$4-'минимумы и максимумы'!P$2)*100)</f>
        <v>100</v>
      </c>
      <c r="S228" s="1">
        <f>IF('исходные данные'!S228&gt;'минимумы и максимумы'!Q$4,100,('исходные данные'!S228-'минимумы и максимумы'!Q$2)/('минимумы и максимумы'!Q$4-'минимумы и максимумы'!Q$2)*100)</f>
        <v>55.555555555555557</v>
      </c>
      <c r="T228" s="1">
        <f>IF('исходные данные'!T228&gt;'минимумы и максимумы'!R$4,100,('исходные данные'!T228-'минимумы и максимумы'!R$2)/('минимумы и максимумы'!R$4-'минимумы и максимумы'!R$2)*100)</f>
        <v>21.921749136939013</v>
      </c>
      <c r="U228" s="1">
        <f>IF('исходные данные'!U228&gt;'минимумы и максимумы'!S$4,100,('исходные данные'!U228-'минимумы и максимумы'!S$2)/('минимумы и максимумы'!S$4-'минимумы и максимумы'!S$2)*100)</f>
        <v>0</v>
      </c>
    </row>
    <row r="229" spans="1:21" x14ac:dyDescent="0.45">
      <c r="A229" s="4">
        <v>318</v>
      </c>
      <c r="B229" s="4">
        <v>0</v>
      </c>
      <c r="C229" s="4">
        <v>0</v>
      </c>
      <c r="D229" s="1">
        <f>IF('исходные данные'!D229&gt;'минимумы и максимумы'!B$4,100,('исходные данные'!D229-'минимумы и максимумы'!B$2)/('минимумы и максимумы'!B$4-'минимумы и максимумы'!B$2)*100)</f>
        <v>12.5</v>
      </c>
      <c r="E229" s="1">
        <f>IF('исходные данные'!E229&gt;'минимумы и максимумы'!C$4,100,('исходные данные'!E229-'минимумы и максимумы'!C$2)/('минимумы и максимумы'!C$4-'минимумы и максимумы'!C$2)*100)</f>
        <v>12.5</v>
      </c>
      <c r="F229" s="1">
        <f>IF('исходные данные'!F229&gt;'минимумы и максимумы'!D$4,100,('исходные данные'!F229-'минимумы и максимумы'!D$2)/('минимумы и максимумы'!D$4-'минимумы и максимумы'!D$2)*100)</f>
        <v>25</v>
      </c>
      <c r="G229" s="1">
        <f>IF('исходные данные'!G229&gt;'минимумы и максимумы'!E$4,100,('исходные данные'!G229-'минимумы и максимумы'!E$2)/('минимумы и максимумы'!E$4-'минимумы и максимумы'!E$2)*100)</f>
        <v>16.216216216216218</v>
      </c>
      <c r="H229" s="1">
        <f>IF('исходные данные'!H229&gt;'минимумы и максимумы'!F$4,100,('исходные данные'!H229-'минимумы и максимумы'!F$2)/('минимумы и максимумы'!F$4-'минимумы и максимумы'!F$2)*100)</f>
        <v>13.157894736842104</v>
      </c>
      <c r="I229" s="1">
        <f>IF('исходные данные'!I229&gt;'минимумы и максимумы'!G$4,100,('исходные данные'!I229-'минимумы и максимумы'!G$2)/('минимумы и максимумы'!G$4-'минимумы и максимумы'!G$2)*100)</f>
        <v>1.2048192771084338</v>
      </c>
      <c r="J229" s="1">
        <f>IF('исходные данные'!J229&gt;'минимумы и максимумы'!H$4,100,('исходные данные'!J229-'минимумы и максимумы'!H$2)/('минимумы и максимумы'!H$4-'минимумы и максимумы'!H$2)*100)</f>
        <v>0</v>
      </c>
      <c r="K229" s="1">
        <f>IF('исходные данные'!K229&gt;'минимумы и максимумы'!I$4,100,('исходные данные'!K229-'минимумы и максимумы'!I$2)/('минимумы и максимумы'!I$4-'минимумы и максимумы'!I$2)*100)</f>
        <v>0</v>
      </c>
      <c r="L229" s="1">
        <f>IF('исходные данные'!L229&gt;'минимумы и максимумы'!J$4,100,('исходные данные'!L229-'минимумы и максимумы'!J$2)/('минимумы и максимумы'!J$4-'минимумы и максимумы'!J$2)*100)</f>
        <v>0</v>
      </c>
      <c r="M229" s="1">
        <f>IF('исходные данные'!M229&gt;'минимумы и максимумы'!K$4,100,('исходные данные'!M229-'минимумы и максимумы'!K$2)/('минимумы и максимумы'!K$4-'минимумы и максимумы'!K$2)*100)</f>
        <v>17.021276595744681</v>
      </c>
      <c r="N229" s="1">
        <f>IF('исходные данные'!N229&gt;'минимумы и максимумы'!L$4,100,('исходные данные'!N229-'минимумы и максимумы'!L$2)/('минимумы и максимумы'!L$4-'минимумы и максимумы'!L$2)*100)</f>
        <v>34.380750808181872</v>
      </c>
      <c r="O229" s="1">
        <f>IF('исходные данные'!O229&gt;'минимумы и максимумы'!M$4,100,('исходные данные'!O229-'минимумы и максимумы'!M$2)/('минимумы и максимумы'!M$4-'минимумы и максимумы'!M$2)*100)</f>
        <v>100</v>
      </c>
      <c r="P229" s="1">
        <f>IF('исходные данные'!P229&gt;'минимумы и максимумы'!N$4,100,('исходные данные'!P229-'минимумы и максимумы'!N$2)/('минимумы и максимумы'!N$4-'минимумы и максимумы'!N$2)*100)</f>
        <v>0</v>
      </c>
      <c r="Q229" s="1">
        <f>IF('исходные данные'!Q229&gt;'минимумы и максимумы'!O$4,100,('исходные данные'!Q229-'минимумы и максимумы'!O$2)/('минимумы и максимумы'!O$4-'минимумы и максимумы'!O$2)*100)</f>
        <v>100</v>
      </c>
      <c r="R229" s="1">
        <f>IF('исходные данные'!R229&gt;'минимумы и максимумы'!P$4,100,('исходные данные'!R229-'минимумы и максимумы'!P$2)/('минимумы и максимумы'!P$4-'минимумы и максимумы'!P$2)*100)</f>
        <v>75</v>
      </c>
      <c r="S229" s="1">
        <f>IF('исходные данные'!S229&gt;'минимумы и максимумы'!Q$4,100,('исходные данные'!S229-'минимумы и максимумы'!Q$2)/('минимумы и максимумы'!Q$4-'минимумы и максимумы'!Q$2)*100)</f>
        <v>44.444444444444443</v>
      </c>
      <c r="T229" s="1">
        <f>IF('исходные данные'!T229&gt;'минимумы и максимумы'!R$4,100,('исходные данные'!T229-'минимумы и максимумы'!R$2)/('минимумы и максимумы'!R$4-'минимумы и максимумы'!R$2)*100)</f>
        <v>100</v>
      </c>
      <c r="U229" s="1">
        <f>IF('исходные данные'!U229&gt;'минимумы и максимумы'!S$4,100,('исходные данные'!U229-'минимумы и максимумы'!S$2)/('минимумы и максимумы'!S$4-'минимумы и максимумы'!S$2)*100)</f>
        <v>100</v>
      </c>
    </row>
    <row r="230" spans="1:21" x14ac:dyDescent="0.45">
      <c r="A230" s="4">
        <v>319</v>
      </c>
      <c r="B230" s="4">
        <v>0</v>
      </c>
      <c r="C230" s="4">
        <v>0</v>
      </c>
      <c r="D230" s="1">
        <f>IF('исходные данные'!D230&gt;'минимумы и максимумы'!B$4,100,('исходные данные'!D230-'минимумы и максимумы'!B$2)/('минимумы и максимумы'!B$4-'минимумы и максимумы'!B$2)*100)</f>
        <v>37.5</v>
      </c>
      <c r="E230" s="1">
        <f>IF('исходные данные'!E230&gt;'минимумы и максимумы'!C$4,100,('исходные данные'!E230-'минимумы и максимумы'!C$2)/('минимумы и максимумы'!C$4-'минимумы и максимумы'!C$2)*100)</f>
        <v>25</v>
      </c>
      <c r="F230" s="1">
        <f>IF('исходные данные'!F230&gt;'минимумы и максимумы'!D$4,100,('исходные данные'!F230-'минимумы и максимумы'!D$2)/('минимумы и максимумы'!D$4-'минимумы и максимумы'!D$2)*100)</f>
        <v>75</v>
      </c>
      <c r="G230" s="1">
        <f>IF('исходные данные'!G230&gt;'минимумы и максимумы'!E$4,100,('исходные данные'!G230-'минимумы и максимумы'!E$2)/('минимумы и максимумы'!E$4-'минимумы и максимумы'!E$2)*100)</f>
        <v>10.810810810810811</v>
      </c>
      <c r="H230" s="1">
        <f>IF('исходные данные'!H230&gt;'минимумы и максимумы'!F$4,100,('исходные данные'!H230-'минимумы и максимумы'!F$2)/('минимумы и максимумы'!F$4-'минимумы и максимумы'!F$2)*100)</f>
        <v>10.526315789473683</v>
      </c>
      <c r="I230" s="1">
        <f>IF('исходные данные'!I230&gt;'минимумы и максимумы'!G$4,100,('исходные данные'!I230-'минимумы и максимумы'!G$2)/('минимумы и максимумы'!G$4-'минимумы и максимумы'!G$2)*100)</f>
        <v>2.4096385542168677</v>
      </c>
      <c r="J230" s="1">
        <f>IF('исходные данные'!J230&gt;'минимумы и максимумы'!H$4,100,('исходные данные'!J230-'минимумы и максимумы'!H$2)/('минимумы и максимумы'!H$4-'минимумы и максимумы'!H$2)*100)</f>
        <v>0</v>
      </c>
      <c r="K230" s="1">
        <f>IF('исходные данные'!K230&gt;'минимумы и максимумы'!I$4,100,('исходные данные'!K230-'минимумы и максимумы'!I$2)/('минимумы и максимумы'!I$4-'минимумы и максимумы'!I$2)*100)</f>
        <v>0</v>
      </c>
      <c r="L230" s="1">
        <f>IF('исходные данные'!L230&gt;'минимумы и максимумы'!J$4,100,('исходные данные'!L230-'минимумы и максимумы'!J$2)/('минимумы и максимумы'!J$4-'минимумы и максимумы'!J$2)*100)</f>
        <v>0</v>
      </c>
      <c r="M230" s="1">
        <f>IF('исходные данные'!M230&gt;'минимумы и максимумы'!K$4,100,('исходные данные'!M230-'минимумы и максимумы'!K$2)/('минимумы и максимумы'!K$4-'минимумы и максимумы'!K$2)*100)</f>
        <v>14.893617021276595</v>
      </c>
      <c r="N230" s="1">
        <f>IF('исходные данные'!N230&gt;'минимумы и максимумы'!L$4,100,('исходные данные'!N230-'минимумы и максимумы'!L$2)/('минимумы и максимумы'!L$4-'минимумы и максимумы'!L$2)*100)</f>
        <v>39.703750025451882</v>
      </c>
      <c r="O230" s="1">
        <f>IF('исходные данные'!O230&gt;'минимумы и максимумы'!M$4,100,('исходные данные'!O230-'минимумы и максимумы'!M$2)/('минимумы и максимумы'!M$4-'минимумы и максимумы'!M$2)*100)</f>
        <v>100</v>
      </c>
      <c r="P230" s="1">
        <f>IF('исходные данные'!P230&gt;'минимумы и максимумы'!N$4,100,('исходные данные'!P230-'минимумы и максимумы'!N$2)/('минимумы и максимумы'!N$4-'минимумы и максимумы'!N$2)*100)</f>
        <v>0</v>
      </c>
      <c r="Q230" s="1">
        <f>IF('исходные данные'!Q230&gt;'минимумы и максимумы'!O$4,100,('исходные данные'!Q230-'минимумы и максимумы'!O$2)/('минимумы и максимумы'!O$4-'минимумы и максимумы'!O$2)*100)</f>
        <v>100</v>
      </c>
      <c r="R230" s="1">
        <f>IF('исходные данные'!R230&gt;'минимумы и максимумы'!P$4,100,('исходные данные'!R230-'минимумы и максимумы'!P$2)/('минимумы и максимумы'!P$4-'минимумы и максимумы'!P$2)*100)</f>
        <v>100</v>
      </c>
      <c r="S230" s="1">
        <f>IF('исходные данные'!S230&gt;'минимумы и максимумы'!Q$4,100,('исходные данные'!S230-'минимумы и максимумы'!Q$2)/('минимумы и максимумы'!Q$4-'минимумы и максимумы'!Q$2)*100)</f>
        <v>22.222222222222221</v>
      </c>
      <c r="T230" s="1">
        <f>IF('исходные данные'!T230&gt;'минимумы и максимумы'!R$4,100,('исходные данные'!T230-'минимумы и максимумы'!R$2)/('минимумы и максимумы'!R$4-'минимумы и максимумы'!R$2)*100)</f>
        <v>30.235903337169162</v>
      </c>
      <c r="U230" s="1">
        <f>IF('исходные данные'!U230&gt;'минимумы и максимумы'!S$4,100,('исходные данные'!U230-'минимумы и максимумы'!S$2)/('минимумы и максимумы'!S$4-'минимумы и максимумы'!S$2)*100)</f>
        <v>66.666666666666657</v>
      </c>
    </row>
    <row r="231" spans="1:21" x14ac:dyDescent="0.45">
      <c r="A231" s="4">
        <v>320</v>
      </c>
      <c r="B231" s="4">
        <v>0</v>
      </c>
      <c r="C231" s="4">
        <v>0</v>
      </c>
      <c r="D231" s="1">
        <f>IF('исходные данные'!D231&gt;'минимумы и максимумы'!B$4,100,('исходные данные'!D231-'минимумы и максимумы'!B$2)/('минимумы и максимумы'!B$4-'минимумы и максимумы'!B$2)*100)</f>
        <v>25</v>
      </c>
      <c r="E231" s="1">
        <f>IF('исходные данные'!E231&gt;'минимумы и максимумы'!C$4,100,('исходные данные'!E231-'минимумы и максимумы'!C$2)/('минимумы и максимумы'!C$4-'минимумы и максимумы'!C$2)*100)</f>
        <v>25</v>
      </c>
      <c r="F231" s="1">
        <f>IF('исходные данные'!F231&gt;'минимумы и максимумы'!D$4,100,('исходные данные'!F231-'минимумы и максимумы'!D$2)/('минимумы и максимумы'!D$4-'минимумы и максимумы'!D$2)*100)</f>
        <v>25</v>
      </c>
      <c r="G231" s="1">
        <f>IF('исходные данные'!G231&gt;'минимумы и максимумы'!E$4,100,('исходные данные'!G231-'минимумы и максимумы'!E$2)/('минимумы и максимумы'!E$4-'минимумы и максимумы'!E$2)*100)</f>
        <v>32.432432432432435</v>
      </c>
      <c r="H231" s="1">
        <f>IF('исходные данные'!H231&gt;'минимумы и максимумы'!F$4,100,('исходные данные'!H231-'минимумы и максимумы'!F$2)/('минимумы и максимумы'!F$4-'минимумы и максимумы'!F$2)*100)</f>
        <v>26.315789473684209</v>
      </c>
      <c r="I231" s="1">
        <f>IF('исходные данные'!I231&gt;'минимумы и максимумы'!G$4,100,('исходные данные'!I231-'минимумы и максимумы'!G$2)/('минимумы и максимумы'!G$4-'минимумы и максимумы'!G$2)*100)</f>
        <v>7.2289156626506017</v>
      </c>
      <c r="J231" s="1">
        <f>IF('исходные данные'!J231&gt;'минимумы и максимумы'!H$4,100,('исходные данные'!J231-'минимумы и максимумы'!H$2)/('минимумы и максимумы'!H$4-'минимумы и максимумы'!H$2)*100)</f>
        <v>4.1666666666666661</v>
      </c>
      <c r="K231" s="1">
        <f>IF('исходные данные'!K231&gt;'минимумы и максимумы'!I$4,100,('исходные данные'!K231-'минимумы и максимумы'!I$2)/('минимумы и максимумы'!I$4-'минимумы и максимумы'!I$2)*100)</f>
        <v>3.5714285714285712</v>
      </c>
      <c r="L231" s="1">
        <f>IF('исходные данные'!L231&gt;'минимумы и максимумы'!J$4,100,('исходные данные'!L231-'минимумы и максимумы'!J$2)/('минимумы и максимумы'!J$4-'минимумы и максимумы'!J$2)*100)</f>
        <v>0</v>
      </c>
      <c r="M231" s="1">
        <f>IF('исходные данные'!M231&gt;'минимумы и максимумы'!K$4,100,('исходные данные'!M231-'минимумы и максимумы'!K$2)/('минимумы и максимумы'!K$4-'минимумы и максимумы'!K$2)*100)</f>
        <v>14.893617021276595</v>
      </c>
      <c r="N231" s="1">
        <f>IF('исходные данные'!N231&gt;'минимумы и максимумы'!L$4,100,('исходные данные'!N231-'минимумы и максимумы'!L$2)/('минимумы и максимумы'!L$4-'минимумы и максимумы'!L$2)*100)</f>
        <v>39.010088242441924</v>
      </c>
      <c r="O231" s="1">
        <f>IF('исходные данные'!O231&gt;'минимумы и максимумы'!M$4,100,('исходные данные'!O231-'минимумы и максимумы'!M$2)/('минимумы и максимумы'!M$4-'минимумы и максимумы'!M$2)*100)</f>
        <v>100</v>
      </c>
      <c r="P231" s="1">
        <f>IF('исходные данные'!P231&gt;'минимумы и максимумы'!N$4,100,('исходные данные'!P231-'минимумы и максимумы'!N$2)/('минимумы и максимумы'!N$4-'минимумы и максимумы'!N$2)*100)</f>
        <v>0</v>
      </c>
      <c r="Q231" s="1">
        <f>IF('исходные данные'!Q231&gt;'минимумы и максимумы'!O$4,100,('исходные данные'!Q231-'минимумы и максимумы'!O$2)/('минимумы и максимумы'!O$4-'минимумы и максимумы'!O$2)*100)</f>
        <v>100</v>
      </c>
      <c r="R231" s="1">
        <f>IF('исходные данные'!R231&gt;'минимумы и максимумы'!P$4,100,('исходные данные'!R231-'минимумы и максимумы'!P$2)/('минимумы и максимумы'!P$4-'минимумы и максимумы'!P$2)*100)</f>
        <v>75</v>
      </c>
      <c r="S231" s="1">
        <f>IF('исходные данные'!S231&gt;'минимумы и максимумы'!Q$4,100,('исходные данные'!S231-'минимумы и максимумы'!Q$2)/('минимумы и максимумы'!Q$4-'минимумы и максимумы'!Q$2)*100)</f>
        <v>33.333333333333329</v>
      </c>
      <c r="T231" s="1">
        <f>IF('исходные данные'!T231&gt;'минимумы и максимумы'!R$4,100,('исходные данные'!T231-'минимумы и максимумы'!R$2)/('минимумы и максимумы'!R$4-'минимумы и максимумы'!R$2)*100)</f>
        <v>13.924050632911392</v>
      </c>
      <c r="U231" s="1">
        <f>IF('исходные данные'!U231&gt;'минимумы и максимумы'!S$4,100,('исходные данные'!U231-'минимумы и максимумы'!S$2)/('минимумы и максимумы'!S$4-'минимумы и максимумы'!S$2)*100)</f>
        <v>33.333333333333329</v>
      </c>
    </row>
    <row r="232" spans="1:21" x14ac:dyDescent="0.45">
      <c r="A232" s="4">
        <v>324</v>
      </c>
      <c r="B232" s="4">
        <v>0</v>
      </c>
      <c r="C232" s="4">
        <v>1</v>
      </c>
      <c r="D232" s="1">
        <f>IF('исходные данные'!D232&gt;'минимумы и максимумы'!B$4,100,('исходные данные'!D232-'минимумы и максимумы'!B$2)/('минимумы и максимумы'!B$4-'минимумы и максимумы'!B$2)*100)</f>
        <v>0</v>
      </c>
      <c r="E232" s="1">
        <f>IF('исходные данные'!E232&gt;'минимумы и максимумы'!C$4,100,('исходные данные'!E232-'минимумы и максимумы'!C$2)/('минимумы и максимумы'!C$4-'минимумы и максимумы'!C$2)*100)</f>
        <v>0</v>
      </c>
      <c r="F232" s="1">
        <f>IF('исходные данные'!F232&gt;'минимумы и максимумы'!D$4,100,('исходные данные'!F232-'минимумы и максимумы'!D$2)/('минимумы и максимумы'!D$4-'минимумы и максимумы'!D$2)*100)</f>
        <v>0</v>
      </c>
      <c r="G232" s="1">
        <f>IF('исходные данные'!G232&gt;'минимумы и максимумы'!E$4,100,('исходные данные'!G232-'минимумы и максимумы'!E$2)/('минимумы и максимумы'!E$4-'минимумы и максимумы'!E$2)*100)</f>
        <v>0</v>
      </c>
      <c r="H232" s="1">
        <f>IF('исходные данные'!H232&gt;'минимумы и максимумы'!F$4,100,('исходные данные'!H232-'минимумы и максимумы'!F$2)/('минимумы и максимумы'!F$4-'минимумы и максимумы'!F$2)*100)</f>
        <v>2.6315789473684208</v>
      </c>
      <c r="I232" s="1">
        <f>IF('исходные данные'!I232&gt;'минимумы и максимумы'!G$4,100,('исходные данные'!I232-'минимумы и максимумы'!G$2)/('минимумы и максимумы'!G$4-'минимумы и максимумы'!G$2)*100)</f>
        <v>0</v>
      </c>
      <c r="J232" s="1">
        <f>IF('исходные данные'!J232&gt;'минимумы и максимумы'!H$4,100,('исходные данные'!J232-'минимумы и максимумы'!H$2)/('минимумы и максимумы'!H$4-'минимумы и максимумы'!H$2)*100)</f>
        <v>0</v>
      </c>
      <c r="K232" s="1">
        <f>IF('исходные данные'!K232&gt;'минимумы и максимумы'!I$4,100,('исходные данные'!K232-'минимумы и максимумы'!I$2)/('минимумы и максимумы'!I$4-'минимумы и максимумы'!I$2)*100)</f>
        <v>0</v>
      </c>
      <c r="L232" s="1">
        <f>IF('исходные данные'!L232&gt;'минимумы и максимумы'!J$4,100,('исходные данные'!L232-'минимумы и максимумы'!J$2)/('минимумы и максимумы'!J$4-'минимумы и максимумы'!J$2)*100)</f>
        <v>0</v>
      </c>
      <c r="M232" s="1">
        <f>IF('исходные данные'!M232&gt;'минимумы и максимумы'!K$4,100,('исходные данные'!M232-'минимумы и максимумы'!K$2)/('минимумы и максимумы'!K$4-'минимумы и максимумы'!K$2)*100)</f>
        <v>4.2553191489361701</v>
      </c>
      <c r="N232" s="1">
        <f>IF('исходные данные'!N232&gt;'минимумы и максимумы'!L$4,100,('исходные данные'!N232-'минимумы и максимумы'!L$2)/('минимумы и максимумы'!L$4-'минимумы и максимумы'!L$2)*100)</f>
        <v>41.597539680680654</v>
      </c>
      <c r="O232" s="1">
        <f>IF('исходные данные'!O232&gt;'минимумы и максимумы'!M$4,100,('исходные данные'!O232-'минимумы и максимумы'!M$2)/('минимумы и максимумы'!M$4-'минимумы и максимумы'!M$2)*100)</f>
        <v>33.333333333333329</v>
      </c>
      <c r="P232" s="1">
        <f>IF('исходные данные'!P232&gt;'минимумы и максимумы'!N$4,100,('исходные данные'!P232-'минимумы и максимумы'!N$2)/('минимумы и максимумы'!N$4-'минимумы и максимумы'!N$2)*100)</f>
        <v>0</v>
      </c>
      <c r="Q232" s="1">
        <f>IF('исходные данные'!Q232&gt;'минимумы и максимумы'!O$4,100,('исходные данные'!Q232-'минимумы и максимумы'!O$2)/('минимумы и максимумы'!O$4-'минимумы и максимумы'!O$2)*100)</f>
        <v>100</v>
      </c>
      <c r="R232" s="1">
        <f>IF('исходные данные'!R232&gt;'минимумы и максимумы'!P$4,100,('исходные данные'!R232-'минимумы и максимумы'!P$2)/('минимумы и максимумы'!P$4-'минимумы и максимумы'!P$2)*100)</f>
        <v>100</v>
      </c>
      <c r="S232" s="1">
        <f>IF('исходные данные'!S232&gt;'минимумы и максимумы'!Q$4,100,('исходные данные'!S232-'минимумы и максимумы'!Q$2)/('минимумы и максимумы'!Q$4-'минимумы и максимумы'!Q$2)*100)</f>
        <v>22.222222222222221</v>
      </c>
      <c r="T232" s="1">
        <f>IF('исходные данные'!T232&gt;'минимумы и максимумы'!R$4,100,('исходные данные'!T232-'минимумы и максимумы'!R$2)/('минимумы и максимумы'!R$4-'минимумы и максимумы'!R$2)*100)</f>
        <v>11.478711162255467</v>
      </c>
      <c r="U232" s="1">
        <f>IF('исходные данные'!U232&gt;'минимумы и максимумы'!S$4,100,('исходные данные'!U232-'минимумы и максимумы'!S$2)/('минимумы и максимумы'!S$4-'минимумы и максимумы'!S$2)*100)</f>
        <v>33.333333333333329</v>
      </c>
    </row>
    <row r="233" spans="1:21" x14ac:dyDescent="0.45">
      <c r="A233" s="4">
        <v>325</v>
      </c>
      <c r="B233" s="4">
        <v>0</v>
      </c>
      <c r="C233" s="4">
        <v>0</v>
      </c>
      <c r="D233" s="1">
        <f>IF('исходные данные'!D233&gt;'минимумы и максимумы'!B$4,100,('исходные данные'!D233-'минимумы и максимумы'!B$2)/('минимумы и максимумы'!B$4-'минимумы и максимумы'!B$2)*100)</f>
        <v>0</v>
      </c>
      <c r="E233" s="1">
        <f>IF('исходные данные'!E233&gt;'минимумы и максимумы'!C$4,100,('исходные данные'!E233-'минимумы и максимумы'!C$2)/('минимумы и максимумы'!C$4-'минимумы и максимумы'!C$2)*100)</f>
        <v>0</v>
      </c>
      <c r="F233" s="1">
        <f>IF('исходные данные'!F233&gt;'минимумы и максимумы'!D$4,100,('исходные данные'!F233-'минимумы и максимумы'!D$2)/('минимумы и максимумы'!D$4-'минимумы и максимумы'!D$2)*100)</f>
        <v>0</v>
      </c>
      <c r="G233" s="1">
        <f>IF('исходные данные'!G233&gt;'минимумы и максимумы'!E$4,100,('исходные данные'!G233-'минимумы и максимумы'!E$2)/('минимумы и максимумы'!E$4-'минимумы и максимумы'!E$2)*100)</f>
        <v>5.4054054054054053</v>
      </c>
      <c r="H233" s="1">
        <f>IF('исходные данные'!H233&gt;'минимумы и максимумы'!F$4,100,('исходные данные'!H233-'минимумы и максимумы'!F$2)/('минимумы и максимумы'!F$4-'минимумы и максимумы'!F$2)*100)</f>
        <v>5.2631578947368416</v>
      </c>
      <c r="I233" s="1">
        <f>IF('исходные данные'!I233&gt;'минимумы и максимумы'!G$4,100,('исходные данные'!I233-'минимумы и максимумы'!G$2)/('минимумы и максимумы'!G$4-'минимумы и максимумы'!G$2)*100)</f>
        <v>3.6144578313253009</v>
      </c>
      <c r="J233" s="1">
        <f>IF('исходные данные'!J233&gt;'минимумы и максимумы'!H$4,100,('исходные данные'!J233-'минимумы и максимумы'!H$2)/('минимумы и максимумы'!H$4-'минимумы и максимумы'!H$2)*100)</f>
        <v>0</v>
      </c>
      <c r="K233" s="1">
        <f>IF('исходные данные'!K233&gt;'минимумы и максимумы'!I$4,100,('исходные данные'!K233-'минимумы и максимумы'!I$2)/('минимумы и максимумы'!I$4-'минимумы и максимумы'!I$2)*100)</f>
        <v>0</v>
      </c>
      <c r="L233" s="1">
        <f>IF('исходные данные'!L233&gt;'минимумы и максимумы'!J$4,100,('исходные данные'!L233-'минимумы и максимумы'!J$2)/('минимумы и максимумы'!J$4-'минимумы и максимумы'!J$2)*100)</f>
        <v>0</v>
      </c>
      <c r="M233" s="1">
        <f>IF('исходные данные'!M233&gt;'минимумы и максимумы'!K$4,100,('исходные данные'!M233-'минимумы и максимумы'!K$2)/('минимумы и максимумы'!K$4-'минимумы и максимумы'!K$2)*100)</f>
        <v>8.5106382978723403</v>
      </c>
      <c r="N233" s="1">
        <f>IF('исходные данные'!N233&gt;'минимумы и максимумы'!L$4,100,('исходные данные'!N233-'минимумы и максимумы'!L$2)/('минимумы и максимумы'!L$4-'минимумы и максимумы'!L$2)*100)</f>
        <v>39.608193384863455</v>
      </c>
      <c r="O233" s="1">
        <f>IF('исходные данные'!O233&gt;'минимумы и максимумы'!M$4,100,('исходные данные'!O233-'минимумы и максимумы'!M$2)/('минимумы и максимумы'!M$4-'минимумы и максимумы'!M$2)*100)</f>
        <v>0</v>
      </c>
      <c r="P233" s="1">
        <f>IF('исходные данные'!P233&gt;'минимумы и максимумы'!N$4,100,('исходные данные'!P233-'минимумы и максимумы'!N$2)/('минимумы и максимумы'!N$4-'минимумы и максимумы'!N$2)*100)</f>
        <v>0</v>
      </c>
      <c r="Q233" s="1">
        <f>IF('исходные данные'!Q233&gt;'минимумы и максимумы'!O$4,100,('исходные данные'!Q233-'минимумы и максимумы'!O$2)/('минимумы и максимумы'!O$4-'минимумы и максимумы'!O$2)*100)</f>
        <v>100</v>
      </c>
      <c r="R233" s="1">
        <f>IF('исходные данные'!R233&gt;'минимумы и максимумы'!P$4,100,('исходные данные'!R233-'минимумы и максимумы'!P$2)/('минимумы и максимумы'!P$4-'минимумы и максимумы'!P$2)*100)</f>
        <v>25</v>
      </c>
      <c r="S233" s="1">
        <f>IF('исходные данные'!S233&gt;'минимумы и максимумы'!Q$4,100,('исходные данные'!S233-'минимумы и максимумы'!Q$2)/('минимумы и максимумы'!Q$4-'минимумы и максимумы'!Q$2)*100)</f>
        <v>22.222222222222221</v>
      </c>
      <c r="T233" s="1">
        <f>IF('исходные данные'!T233&gt;'минимумы и максимумы'!R$4,100,('исходные данные'!T233-'минимумы и максимумы'!R$2)/('минимумы и максимумы'!R$4-'минимумы и максимумы'!R$2)*100)</f>
        <v>21.202531645569618</v>
      </c>
      <c r="U233" s="1">
        <f>IF('исходные данные'!U233&gt;'минимумы и максимумы'!S$4,100,('исходные данные'!U233-'минимумы и максимумы'!S$2)/('минимумы и максимумы'!S$4-'минимумы и максимумы'!S$2)*100)</f>
        <v>0</v>
      </c>
    </row>
    <row r="234" spans="1:21" x14ac:dyDescent="0.45">
      <c r="A234" s="4">
        <v>326</v>
      </c>
      <c r="B234" s="4">
        <v>0</v>
      </c>
      <c r="C234" s="4">
        <v>1</v>
      </c>
      <c r="D234" s="1">
        <f>IF('исходные данные'!D234&gt;'минимумы и максимумы'!B$4,100,('исходные данные'!D234-'минимумы и максимумы'!B$2)/('минимумы и максимумы'!B$4-'минимумы и максимумы'!B$2)*100)</f>
        <v>0</v>
      </c>
      <c r="E234" s="1">
        <f>IF('исходные данные'!E234&gt;'минимумы и максимумы'!C$4,100,('исходные данные'!E234-'минимумы и максимумы'!C$2)/('минимумы и максимумы'!C$4-'минимумы и максимумы'!C$2)*100)</f>
        <v>0</v>
      </c>
      <c r="F234" s="1">
        <f>IF('исходные данные'!F234&gt;'минимумы и максимумы'!D$4,100,('исходные данные'!F234-'минимумы и максимумы'!D$2)/('минимумы и максимумы'!D$4-'минимумы и максимумы'!D$2)*100)</f>
        <v>0</v>
      </c>
      <c r="G234" s="1">
        <f>IF('исходные данные'!G234&gt;'минимумы и максимумы'!E$4,100,('исходные данные'!G234-'минимумы и максимумы'!E$2)/('минимумы и максимумы'!E$4-'минимумы и максимумы'!E$2)*100)</f>
        <v>0</v>
      </c>
      <c r="H234" s="1">
        <f>IF('исходные данные'!H234&gt;'минимумы и максимумы'!F$4,100,('исходные данные'!H234-'минимумы и максимумы'!F$2)/('минимумы и максимумы'!F$4-'минимумы и максимумы'!F$2)*100)</f>
        <v>0</v>
      </c>
      <c r="I234" s="1">
        <f>IF('исходные данные'!I234&gt;'минимумы и максимумы'!G$4,100,('исходные данные'!I234-'минимумы и максимумы'!G$2)/('минимумы и максимумы'!G$4-'минимумы и максимумы'!G$2)*100)</f>
        <v>0</v>
      </c>
      <c r="J234" s="1">
        <f>IF('исходные данные'!J234&gt;'минимумы и максимумы'!H$4,100,('исходные данные'!J234-'минимумы и максимумы'!H$2)/('минимумы и максимумы'!H$4-'минимумы и максимумы'!H$2)*100)</f>
        <v>0</v>
      </c>
      <c r="K234" s="1">
        <f>IF('исходные данные'!K234&gt;'минимумы и максимумы'!I$4,100,('исходные данные'!K234-'минимумы и максимумы'!I$2)/('минимумы и максимумы'!I$4-'минимумы и максимумы'!I$2)*100)</f>
        <v>3.5714285714285712</v>
      </c>
      <c r="L234" s="1">
        <f>IF('исходные данные'!L234&gt;'минимумы и максимумы'!J$4,100,('исходные данные'!L234-'минимумы и максимумы'!J$2)/('минимумы и максимумы'!J$4-'минимумы и максимумы'!J$2)*100)</f>
        <v>0</v>
      </c>
      <c r="M234" s="1">
        <f>IF('исходные данные'!M234&gt;'минимумы и максимумы'!K$4,100,('исходные данные'!M234-'минимумы и максимумы'!K$2)/('минимумы и максимумы'!K$4-'минимумы и максимумы'!K$2)*100)</f>
        <v>6.3829787234042552</v>
      </c>
      <c r="N234" s="1">
        <f>IF('исходные данные'!N234&gt;'минимумы и максимумы'!L$4,100,('исходные данные'!N234-'минимумы и максимумы'!L$2)/('минимумы и максимумы'!L$4-'минимумы и максимумы'!L$2)*100)</f>
        <v>40.667438754141763</v>
      </c>
      <c r="O234" s="1">
        <f>IF('исходные данные'!O234&gt;'минимумы и максимумы'!M$4,100,('исходные данные'!O234-'минимумы и максимумы'!M$2)/('минимумы и максимумы'!M$4-'минимумы и максимумы'!M$2)*100)</f>
        <v>0</v>
      </c>
      <c r="P234" s="1">
        <f>IF('исходные данные'!P234&gt;'минимумы и максимумы'!N$4,100,('исходные данные'!P234-'минимумы и максимумы'!N$2)/('минимумы и максимумы'!N$4-'минимумы и максимумы'!N$2)*100)</f>
        <v>0</v>
      </c>
      <c r="Q234" s="1">
        <f>IF('исходные данные'!Q234&gt;'минимумы и максимумы'!O$4,100,('исходные данные'!Q234-'минимумы и максимумы'!O$2)/('минимумы и максимумы'!O$4-'минимумы и максимумы'!O$2)*100)</f>
        <v>100</v>
      </c>
      <c r="R234" s="1">
        <f>IF('исходные данные'!R234&gt;'минимумы и максимумы'!P$4,100,('исходные данные'!R234-'минимумы и максимумы'!P$2)/('минимумы и максимумы'!P$4-'минимумы и максимумы'!P$2)*100)</f>
        <v>25</v>
      </c>
      <c r="S234" s="1">
        <f>IF('исходные данные'!S234&gt;'минимумы и максимумы'!Q$4,100,('исходные данные'!S234-'минимумы и максимумы'!Q$2)/('минимумы и максимумы'!Q$4-'минимумы и максимумы'!Q$2)*100)</f>
        <v>11.111111111111111</v>
      </c>
      <c r="T234" s="1">
        <f>IF('исходные данные'!T234&gt;'минимумы и максимумы'!R$4,100,('исходные данные'!T234-'минимумы и максимумы'!R$2)/('минимумы и максимумы'!R$4-'минимумы и максимумы'!R$2)*100)</f>
        <v>13.434982738780207</v>
      </c>
      <c r="U234" s="1">
        <f>IF('исходные данные'!U234&gt;'минимумы и максимумы'!S$4,100,('исходные данные'!U234-'минимумы и максимумы'!S$2)/('минимумы и максимумы'!S$4-'минимумы и максимумы'!S$2)*100)</f>
        <v>66.666666666666657</v>
      </c>
    </row>
    <row r="235" spans="1:21" x14ac:dyDescent="0.45">
      <c r="A235" s="4">
        <v>327</v>
      </c>
      <c r="B235" s="4">
        <v>0</v>
      </c>
      <c r="C235" s="4">
        <v>0</v>
      </c>
      <c r="D235" s="1">
        <f>IF('исходные данные'!D235&gt;'минимумы и максимумы'!B$4,100,('исходные данные'!D235-'минимумы и максимумы'!B$2)/('минимумы и максимумы'!B$4-'минимумы и максимумы'!B$2)*100)</f>
        <v>0</v>
      </c>
      <c r="E235" s="1">
        <f>IF('исходные данные'!E235&gt;'минимумы и максимумы'!C$4,100,('исходные данные'!E235-'минимумы и максимумы'!C$2)/('минимумы и максимумы'!C$4-'минимумы и максимумы'!C$2)*100)</f>
        <v>0</v>
      </c>
      <c r="F235" s="1">
        <f>IF('исходные данные'!F235&gt;'минимумы и максимумы'!D$4,100,('исходные данные'!F235-'минимумы и максимумы'!D$2)/('минимумы и максимумы'!D$4-'минимумы и максимумы'!D$2)*100)</f>
        <v>0</v>
      </c>
      <c r="G235" s="1">
        <f>IF('исходные данные'!G235&gt;'минимумы и максимумы'!E$4,100,('исходные данные'!G235-'минимумы и максимумы'!E$2)/('минимумы и максимумы'!E$4-'минимумы и максимумы'!E$2)*100)</f>
        <v>0</v>
      </c>
      <c r="H235" s="1">
        <f>IF('исходные данные'!H235&gt;'минимумы и максимумы'!F$4,100,('исходные данные'!H235-'минимумы и максимумы'!F$2)/('минимумы и максимумы'!F$4-'минимумы и максимумы'!F$2)*100)</f>
        <v>0</v>
      </c>
      <c r="I235" s="1">
        <f>IF('исходные данные'!I235&gt;'минимумы и максимумы'!G$4,100,('исходные данные'!I235-'минимумы и максимумы'!G$2)/('минимумы и максимумы'!G$4-'минимумы и максимумы'!G$2)*100)</f>
        <v>0</v>
      </c>
      <c r="J235" s="1">
        <f>IF('исходные данные'!J235&gt;'минимумы и максимумы'!H$4,100,('исходные данные'!J235-'минимумы и максимумы'!H$2)/('минимумы и максимумы'!H$4-'минимумы и максимумы'!H$2)*100)</f>
        <v>0</v>
      </c>
      <c r="K235" s="1">
        <f>IF('исходные данные'!K235&gt;'минимумы и максимумы'!I$4,100,('исходные данные'!K235-'минимумы и максимумы'!I$2)/('минимумы и максимумы'!I$4-'минимумы и максимумы'!I$2)*100)</f>
        <v>3.5714285714285712</v>
      </c>
      <c r="L235" s="1">
        <f>IF('исходные данные'!L235&gt;'минимумы и максимумы'!J$4,100,('исходные данные'!L235-'минимумы и максимумы'!J$2)/('минимумы и максимумы'!J$4-'минимумы и максимумы'!J$2)*100)</f>
        <v>0</v>
      </c>
      <c r="M235" s="1">
        <f>IF('исходные данные'!M235&gt;'минимумы и максимумы'!K$4,100,('исходные данные'!M235-'минимумы и максимумы'!K$2)/('минимумы и максимумы'!K$4-'минимумы и максимумы'!K$2)*100)</f>
        <v>8.5106382978723403</v>
      </c>
      <c r="N235" s="1">
        <f>IF('исходные данные'!N235&gt;'минимумы и максимумы'!L$4,100,('исходные данные'!N235-'минимумы и максимумы'!L$2)/('минимумы и максимумы'!L$4-'минимумы и максимумы'!L$2)*100)</f>
        <v>40.086161999357735</v>
      </c>
      <c r="O235" s="1">
        <f>IF('исходные данные'!O235&gt;'минимумы и максимумы'!M$4,100,('исходные данные'!O235-'минимумы и максимумы'!M$2)/('минимумы и максимумы'!M$4-'минимумы и максимумы'!M$2)*100)</f>
        <v>0</v>
      </c>
      <c r="P235" s="1">
        <f>IF('исходные данные'!P235&gt;'минимумы и максимумы'!N$4,100,('исходные данные'!P235-'минимумы и максимумы'!N$2)/('минимумы и максимумы'!N$4-'минимумы и максимумы'!N$2)*100)</f>
        <v>0</v>
      </c>
      <c r="Q235" s="1">
        <f>IF('исходные данные'!Q235&gt;'минимумы и максимумы'!O$4,100,('исходные данные'!Q235-'минимумы и максимумы'!O$2)/('минимумы и максимумы'!O$4-'минимумы и максимумы'!O$2)*100)</f>
        <v>100</v>
      </c>
      <c r="R235" s="1">
        <f>IF('исходные данные'!R235&gt;'минимумы и максимумы'!P$4,100,('исходные данные'!R235-'минимумы и максимумы'!P$2)/('минимумы и максимумы'!P$4-'минимумы и максимумы'!P$2)*100)</f>
        <v>25</v>
      </c>
      <c r="S235" s="1">
        <f>IF('исходные данные'!S235&gt;'минимумы и максимумы'!Q$4,100,('исходные данные'!S235-'минимумы и максимумы'!Q$2)/('минимумы и максимумы'!Q$4-'минимумы и максимумы'!Q$2)*100)</f>
        <v>11.111111111111111</v>
      </c>
      <c r="T235" s="1">
        <f>IF('исходные данные'!T235&gt;'минимумы и максимумы'!R$4,100,('исходные данные'!T235-'минимумы и максимумы'!R$2)/('минимумы и максимумы'!R$4-'минимумы и максимумы'!R$2)*100)</f>
        <v>13.032220943613348</v>
      </c>
      <c r="U235" s="1">
        <f>IF('исходные данные'!U235&gt;'минимумы и максимумы'!S$4,100,('исходные данные'!U235-'минимумы и максимумы'!S$2)/('минимумы и максимумы'!S$4-'минимумы и максимумы'!S$2)*100)</f>
        <v>66.666666666666657</v>
      </c>
    </row>
    <row r="236" spans="1:21" x14ac:dyDescent="0.45">
      <c r="A236" s="4">
        <v>328</v>
      </c>
      <c r="B236" s="4">
        <v>0</v>
      </c>
      <c r="C236" s="4">
        <v>0</v>
      </c>
      <c r="D236" s="1">
        <f>IF('исходные данные'!D236&gt;'минимумы и максимумы'!B$4,100,('исходные данные'!D236-'минимумы и максимумы'!B$2)/('минимумы и максимумы'!B$4-'минимумы и максимумы'!B$2)*100)</f>
        <v>0</v>
      </c>
      <c r="E236" s="1">
        <f>IF('исходные данные'!E236&gt;'минимумы и максимумы'!C$4,100,('исходные данные'!E236-'минимумы и максимумы'!C$2)/('минимумы и максимумы'!C$4-'минимумы и максимумы'!C$2)*100)</f>
        <v>0</v>
      </c>
      <c r="F236" s="1">
        <f>IF('исходные данные'!F236&gt;'минимумы и максимумы'!D$4,100,('исходные данные'!F236-'минимумы и максимумы'!D$2)/('минимумы и максимумы'!D$4-'минимумы и максимумы'!D$2)*100)</f>
        <v>0</v>
      </c>
      <c r="G236" s="1">
        <f>IF('исходные данные'!G236&gt;'минимумы и максимумы'!E$4,100,('исходные данные'!G236-'минимумы и максимумы'!E$2)/('минимумы и максимумы'!E$4-'минимумы и максимумы'!E$2)*100)</f>
        <v>0</v>
      </c>
      <c r="H236" s="1">
        <f>IF('исходные данные'!H236&gt;'минимумы и максимумы'!F$4,100,('исходные данные'!H236-'минимумы и максимумы'!F$2)/('минимумы и максимумы'!F$4-'минимумы и максимумы'!F$2)*100)</f>
        <v>0</v>
      </c>
      <c r="I236" s="1">
        <f>IF('исходные данные'!I236&gt;'минимумы и максимумы'!G$4,100,('исходные данные'!I236-'минимумы и максимумы'!G$2)/('минимумы и максимумы'!G$4-'минимумы и максимумы'!G$2)*100)</f>
        <v>0</v>
      </c>
      <c r="J236" s="1">
        <f>IF('исходные данные'!J236&gt;'минимумы и максимумы'!H$4,100,('исходные данные'!J236-'минимумы и максимумы'!H$2)/('минимумы и максимумы'!H$4-'минимумы и максимумы'!H$2)*100)</f>
        <v>0</v>
      </c>
      <c r="K236" s="1">
        <f>IF('исходные данные'!K236&gt;'минимумы и максимумы'!I$4,100,('исходные данные'!K236-'минимумы и максимумы'!I$2)/('минимумы и максимумы'!I$4-'минимумы и максимумы'!I$2)*100)</f>
        <v>3.5714285714285712</v>
      </c>
      <c r="L236" s="1">
        <f>IF('исходные данные'!L236&gt;'минимумы и максимумы'!J$4,100,('исходные данные'!L236-'минимумы и максимумы'!J$2)/('минимумы и максимумы'!J$4-'минимумы и максимумы'!J$2)*100)</f>
        <v>0</v>
      </c>
      <c r="M236" s="1">
        <f>IF('исходные данные'!M236&gt;'минимумы и максимумы'!K$4,100,('исходные данные'!M236-'минимумы и максимумы'!K$2)/('минимумы и максимумы'!K$4-'минимумы и максимумы'!K$2)*100)</f>
        <v>8.5106382978723403</v>
      </c>
      <c r="N236" s="1">
        <f>IF('исходные данные'!N236&gt;'минимумы и максимумы'!L$4,100,('исходные данные'!N236-'минимумы и максимумы'!L$2)/('минимумы и максимумы'!L$4-'минимумы и максимумы'!L$2)*100)</f>
        <v>40.045315319422826</v>
      </c>
      <c r="O236" s="1">
        <f>IF('исходные данные'!O236&gt;'минимумы и максимумы'!M$4,100,('исходные данные'!O236-'минимумы и максимумы'!M$2)/('минимумы и максимумы'!M$4-'минимумы и максимумы'!M$2)*100)</f>
        <v>0</v>
      </c>
      <c r="P236" s="1">
        <f>IF('исходные данные'!P236&gt;'минимумы и максимумы'!N$4,100,('исходные данные'!P236-'минимумы и максимумы'!N$2)/('минимумы и максимумы'!N$4-'минимумы и максимумы'!N$2)*100)</f>
        <v>0</v>
      </c>
      <c r="Q236" s="1">
        <f>IF('исходные данные'!Q236&gt;'минимумы и максимумы'!O$4,100,('исходные данные'!Q236-'минимумы и максимумы'!O$2)/('минимумы и максимумы'!O$4-'минимумы и максимумы'!O$2)*100)</f>
        <v>100</v>
      </c>
      <c r="R236" s="1">
        <f>IF('исходные данные'!R236&gt;'минимумы и максимумы'!P$4,100,('исходные данные'!R236-'минимумы и максимумы'!P$2)/('минимумы и максимумы'!P$4-'минимумы и максимумы'!P$2)*100)</f>
        <v>25</v>
      </c>
      <c r="S236" s="1">
        <f>IF('исходные данные'!S236&gt;'минимумы и максимумы'!Q$4,100,('исходные данные'!S236-'минимумы и максимумы'!Q$2)/('минимумы и максимумы'!Q$4-'минимумы и максимумы'!Q$2)*100)</f>
        <v>11.111111111111111</v>
      </c>
      <c r="T236" s="1">
        <f>IF('исходные данные'!T236&gt;'минимумы и максимумы'!R$4,100,('исходные данные'!T236-'минимумы и максимумы'!R$2)/('минимумы и максимумы'!R$4-'минимумы и максимумы'!R$2)*100)</f>
        <v>13.089758342922901</v>
      </c>
      <c r="U236" s="1">
        <f>IF('исходные данные'!U236&gt;'минимумы и максимумы'!S$4,100,('исходные данные'!U236-'минимумы и максимумы'!S$2)/('минимумы и максимумы'!S$4-'минимумы и максимумы'!S$2)*100)</f>
        <v>66.666666666666657</v>
      </c>
    </row>
    <row r="237" spans="1:21" x14ac:dyDescent="0.45">
      <c r="A237" s="4">
        <v>329</v>
      </c>
      <c r="B237" s="4">
        <v>0</v>
      </c>
      <c r="C237" s="4">
        <v>0</v>
      </c>
      <c r="D237" s="1">
        <f>IF('исходные данные'!D237&gt;'минимумы и максимумы'!B$4,100,('исходные данные'!D237-'минимумы и максимумы'!B$2)/('минимумы и максимумы'!B$4-'минимумы и максимумы'!B$2)*100)</f>
        <v>0</v>
      </c>
      <c r="E237" s="1">
        <f>IF('исходные данные'!E237&gt;'минимумы и максимумы'!C$4,100,('исходные данные'!E237-'минимумы и максимумы'!C$2)/('минимумы и максимумы'!C$4-'минимумы и максимумы'!C$2)*100)</f>
        <v>0</v>
      </c>
      <c r="F237" s="1">
        <f>IF('исходные данные'!F237&gt;'минимумы и максимумы'!D$4,100,('исходные данные'!F237-'минимумы и максимумы'!D$2)/('минимумы и максимумы'!D$4-'минимумы и максимумы'!D$2)*100)</f>
        <v>0</v>
      </c>
      <c r="G237" s="1">
        <f>IF('исходные данные'!G237&gt;'минимумы и максимумы'!E$4,100,('исходные данные'!G237-'минимумы и максимумы'!E$2)/('минимумы и максимумы'!E$4-'минимумы и максимумы'!E$2)*100)</f>
        <v>0</v>
      </c>
      <c r="H237" s="1">
        <f>IF('исходные данные'!H237&gt;'минимумы и максимумы'!F$4,100,('исходные данные'!H237-'минимумы и максимумы'!F$2)/('минимумы и максимумы'!F$4-'минимумы и максимумы'!F$2)*100)</f>
        <v>0</v>
      </c>
      <c r="I237" s="1">
        <f>IF('исходные данные'!I237&gt;'минимумы и максимумы'!G$4,100,('исходные данные'!I237-'минимумы и максимумы'!G$2)/('минимумы и максимумы'!G$4-'минимумы и максимумы'!G$2)*100)</f>
        <v>0</v>
      </c>
      <c r="J237" s="1">
        <f>IF('исходные данные'!J237&gt;'минимумы и максимумы'!H$4,100,('исходные данные'!J237-'минимумы и максимумы'!H$2)/('минимумы и максимумы'!H$4-'минимумы и максимумы'!H$2)*100)</f>
        <v>0</v>
      </c>
      <c r="K237" s="1">
        <f>IF('исходные данные'!K237&gt;'минимумы и максимумы'!I$4,100,('исходные данные'!K237-'минимумы и максимумы'!I$2)/('минимумы и максимумы'!I$4-'минимумы и максимумы'!I$2)*100)</f>
        <v>3.5714285714285712</v>
      </c>
      <c r="L237" s="1">
        <f>IF('исходные данные'!L237&gt;'минимумы и максимумы'!J$4,100,('исходные данные'!L237-'минимумы и максимумы'!J$2)/('минимумы и максимумы'!J$4-'минимумы и максимумы'!J$2)*100)</f>
        <v>0</v>
      </c>
      <c r="M237" s="1">
        <f>IF('исходные данные'!M237&gt;'минимумы и максимумы'!K$4,100,('исходные данные'!M237-'минимумы и максимумы'!K$2)/('минимумы и максимумы'!K$4-'минимумы и максимумы'!K$2)*100)</f>
        <v>8.5106382978723403</v>
      </c>
      <c r="N237" s="1">
        <f>IF('исходные данные'!N237&gt;'минимумы и максимумы'!L$4,100,('исходные данные'!N237-'минимумы и максимумы'!L$2)/('минимумы и максимумы'!L$4-'минимумы и максимумы'!L$2)*100)</f>
        <v>39.853125128523779</v>
      </c>
      <c r="O237" s="1">
        <f>IF('исходные данные'!O237&gt;'минимумы и максимумы'!M$4,100,('исходные данные'!O237-'минимумы и максимумы'!M$2)/('минимумы и максимумы'!M$4-'минимумы и максимумы'!M$2)*100)</f>
        <v>0</v>
      </c>
      <c r="P237" s="1">
        <f>IF('исходные данные'!P237&gt;'минимумы и максимумы'!N$4,100,('исходные данные'!P237-'минимумы и максимумы'!N$2)/('минимумы и максимумы'!N$4-'минимумы и максимумы'!N$2)*100)</f>
        <v>0</v>
      </c>
      <c r="Q237" s="1">
        <f>IF('исходные данные'!Q237&gt;'минимумы и максимумы'!O$4,100,('исходные данные'!Q237-'минимумы и максимумы'!O$2)/('минимумы и максимумы'!O$4-'минимумы и максимумы'!O$2)*100)</f>
        <v>100</v>
      </c>
      <c r="R237" s="1">
        <f>IF('исходные данные'!R237&gt;'минимумы и максимумы'!P$4,100,('исходные данные'!R237-'минимумы и максимумы'!P$2)/('минимумы и максимумы'!P$4-'минимумы и максимумы'!P$2)*100)</f>
        <v>25</v>
      </c>
      <c r="S237" s="1">
        <f>IF('исходные данные'!S237&gt;'минимумы и максимумы'!Q$4,100,('исходные данные'!S237-'минимумы и максимумы'!Q$2)/('минимумы и максимумы'!Q$4-'минимумы и максимумы'!Q$2)*100)</f>
        <v>11.111111111111111</v>
      </c>
      <c r="T237" s="1">
        <f>IF('исходные данные'!T237&gt;'минимумы и максимумы'!R$4,100,('исходные данные'!T237-'минимумы и максимумы'!R$2)/('минимумы и максимумы'!R$4-'минимумы и максимумы'!R$2)*100)</f>
        <v>13.032220943613348</v>
      </c>
      <c r="U237" s="1">
        <f>IF('исходные данные'!U237&gt;'минимумы и максимумы'!S$4,100,('исходные данные'!U237-'минимумы и максимумы'!S$2)/('минимумы и максимумы'!S$4-'минимумы и максимумы'!S$2)*100)</f>
        <v>66.666666666666657</v>
      </c>
    </row>
    <row r="238" spans="1:21" x14ac:dyDescent="0.45">
      <c r="A238" s="4">
        <v>330</v>
      </c>
      <c r="B238" s="4">
        <v>0</v>
      </c>
      <c r="C238" s="4">
        <v>0</v>
      </c>
      <c r="D238" s="1">
        <f>IF('исходные данные'!D238&gt;'минимумы и максимумы'!B$4,100,('исходные данные'!D238-'минимумы и максимумы'!B$2)/('минимумы и максимумы'!B$4-'минимумы и максимумы'!B$2)*100)</f>
        <v>0</v>
      </c>
      <c r="E238" s="1">
        <f>IF('исходные данные'!E238&gt;'минимумы и максимумы'!C$4,100,('исходные данные'!E238-'минимумы и максимумы'!C$2)/('минимумы и максимумы'!C$4-'минимумы и максимумы'!C$2)*100)</f>
        <v>6.25</v>
      </c>
      <c r="F238" s="1">
        <f>IF('исходные данные'!F238&gt;'минимумы и максимумы'!D$4,100,('исходные данные'!F238-'минимумы и максимумы'!D$2)/('минимумы и максимумы'!D$4-'минимумы и максимумы'!D$2)*100)</f>
        <v>0</v>
      </c>
      <c r="G238" s="1">
        <f>IF('исходные данные'!G238&gt;'минимумы и максимумы'!E$4,100,('исходные данные'!G238-'минимумы и максимумы'!E$2)/('минимумы и максимумы'!E$4-'минимумы и максимумы'!E$2)*100)</f>
        <v>0</v>
      </c>
      <c r="H238" s="1">
        <f>IF('исходные данные'!H238&gt;'минимумы и максимумы'!F$4,100,('исходные данные'!H238-'минимумы и максимумы'!F$2)/('минимумы и максимумы'!F$4-'минимумы и максимумы'!F$2)*100)</f>
        <v>10.526315789473683</v>
      </c>
      <c r="I238" s="1">
        <f>IF('исходные данные'!I238&gt;'минимумы и максимумы'!G$4,100,('исходные данные'!I238-'минимумы и максимумы'!G$2)/('минимумы и максимумы'!G$4-'минимумы и максимумы'!G$2)*100)</f>
        <v>0</v>
      </c>
      <c r="J238" s="1">
        <f>IF('исходные данные'!J238&gt;'минимумы и максимумы'!H$4,100,('исходные данные'!J238-'минимумы и максимумы'!H$2)/('минимумы и максимумы'!H$4-'минимумы и максимумы'!H$2)*100)</f>
        <v>4.1666666666666661</v>
      </c>
      <c r="K238" s="1">
        <f>IF('исходные данные'!K238&gt;'минимумы и максимумы'!I$4,100,('исходные данные'!K238-'минимумы и максимумы'!I$2)/('минимумы и максимумы'!I$4-'минимумы и максимумы'!I$2)*100)</f>
        <v>0</v>
      </c>
      <c r="L238" s="1">
        <f>IF('исходные данные'!L238&gt;'минимумы и максимумы'!J$4,100,('исходные данные'!L238-'минимумы и максимумы'!J$2)/('минимумы и максимумы'!J$4-'минимумы и максимумы'!J$2)*100)</f>
        <v>0</v>
      </c>
      <c r="M238" s="1">
        <f>IF('исходные данные'!M238&gt;'минимумы и максимумы'!K$4,100,('исходные данные'!M238-'минимумы и максимумы'!K$2)/('минимумы и максимумы'!K$4-'минимумы и максимумы'!K$2)*100)</f>
        <v>4.2553191489361701</v>
      </c>
      <c r="N238" s="1">
        <f>IF('исходные данные'!N238&gt;'минимумы и максимумы'!L$4,100,('исходные данные'!N238-'минимумы и максимумы'!L$2)/('минимумы и максимумы'!L$4-'минимумы и максимумы'!L$2)*100)</f>
        <v>34.397958170867923</v>
      </c>
      <c r="O238" s="1">
        <f>IF('исходные данные'!O238&gt;'минимумы и максимумы'!M$4,100,('исходные данные'!O238-'минимумы и максимумы'!M$2)/('минимумы и максимумы'!M$4-'минимумы и максимумы'!M$2)*100)</f>
        <v>0</v>
      </c>
      <c r="P238" s="1">
        <f>IF('исходные данные'!P238&gt;'минимумы и максимумы'!N$4,100,('исходные данные'!P238-'минимумы и максимумы'!N$2)/('минимумы и максимумы'!N$4-'минимумы и максимумы'!N$2)*100)</f>
        <v>0</v>
      </c>
      <c r="Q238" s="1">
        <f>IF('исходные данные'!Q238&gt;'минимумы и максимумы'!O$4,100,('исходные данные'!Q238-'минимумы и максимумы'!O$2)/('минимумы и максимумы'!O$4-'минимумы и максимумы'!O$2)*100)</f>
        <v>100</v>
      </c>
      <c r="R238" s="1">
        <f>IF('исходные данные'!R238&gt;'минимумы и максимумы'!P$4,100,('исходные данные'!R238-'минимумы и максимумы'!P$2)/('минимумы и максимумы'!P$4-'минимумы и максимумы'!P$2)*100)</f>
        <v>50</v>
      </c>
      <c r="S238" s="1">
        <f>IF('исходные данные'!S238&gt;'минимумы и максимумы'!Q$4,100,('исходные данные'!S238-'минимумы и максимумы'!Q$2)/('минимумы и максимумы'!Q$4-'минимумы и максимумы'!Q$2)*100)</f>
        <v>11.111111111111111</v>
      </c>
      <c r="T238" s="1">
        <f>IF('исходные данные'!T238&gt;'минимумы и максимумы'!R$4,100,('исходные данные'!T238-'минимумы и максимумы'!R$2)/('минимумы и максимумы'!R$4-'минимумы и максимумы'!R$2)*100)</f>
        <v>3.5097813578826234</v>
      </c>
      <c r="U238" s="1">
        <f>IF('исходные данные'!U238&gt;'минимумы и максимумы'!S$4,100,('исходные данные'!U238-'минимумы и максимумы'!S$2)/('минимумы и максимумы'!S$4-'минимумы и максимумы'!S$2)*100)</f>
        <v>0</v>
      </c>
    </row>
    <row r="239" spans="1:21" x14ac:dyDescent="0.45">
      <c r="A239" s="4">
        <v>331</v>
      </c>
      <c r="B239" s="4">
        <v>0</v>
      </c>
      <c r="C239" s="4">
        <v>0</v>
      </c>
      <c r="D239" s="1">
        <f>IF('исходные данные'!D239&gt;'минимумы и максимумы'!B$4,100,('исходные данные'!D239-'минимумы и максимумы'!B$2)/('минимумы и максимумы'!B$4-'минимумы и максимумы'!B$2)*100)</f>
        <v>0</v>
      </c>
      <c r="E239" s="1">
        <f>IF('исходные данные'!E239&gt;'минимумы и максимумы'!C$4,100,('исходные данные'!E239-'минимумы и максимумы'!C$2)/('минимумы и максимумы'!C$4-'минимумы и максимумы'!C$2)*100)</f>
        <v>0</v>
      </c>
      <c r="F239" s="1">
        <f>IF('исходные данные'!F239&gt;'минимумы и максимумы'!D$4,100,('исходные данные'!F239-'минимумы и максимумы'!D$2)/('минимумы и максимумы'!D$4-'минимумы и максимумы'!D$2)*100)</f>
        <v>0</v>
      </c>
      <c r="G239" s="1">
        <f>IF('исходные данные'!G239&gt;'минимумы и максимумы'!E$4,100,('исходные данные'!G239-'минимумы и максимумы'!E$2)/('минимумы и максимумы'!E$4-'минимумы и максимумы'!E$2)*100)</f>
        <v>0</v>
      </c>
      <c r="H239" s="1">
        <f>IF('исходные данные'!H239&gt;'минимумы и максимумы'!F$4,100,('исходные данные'!H239-'минимумы и максимумы'!F$2)/('минимумы и максимумы'!F$4-'минимумы и максимумы'!F$2)*100)</f>
        <v>0</v>
      </c>
      <c r="I239" s="1">
        <f>IF('исходные данные'!I239&gt;'минимумы и максимумы'!G$4,100,('исходные данные'!I239-'минимумы и максимумы'!G$2)/('минимумы и максимумы'!G$4-'минимумы и максимумы'!G$2)*100)</f>
        <v>0</v>
      </c>
      <c r="J239" s="1">
        <f>IF('исходные данные'!J239&gt;'минимумы и максимумы'!H$4,100,('исходные данные'!J239-'минимумы и максимумы'!H$2)/('минимумы и максимумы'!H$4-'минимумы и максимумы'!H$2)*100)</f>
        <v>0</v>
      </c>
      <c r="K239" s="1">
        <f>IF('исходные данные'!K239&gt;'минимумы и максимумы'!I$4,100,('исходные данные'!K239-'минимумы и максимумы'!I$2)/('минимумы и максимумы'!I$4-'минимумы и максимумы'!I$2)*100)</f>
        <v>0</v>
      </c>
      <c r="L239" s="1">
        <f>IF('исходные данные'!L239&gt;'минимумы и максимумы'!J$4,100,('исходные данные'!L239-'минимумы и максимумы'!J$2)/('минимумы и максимумы'!J$4-'минимумы и максимумы'!J$2)*100)</f>
        <v>0</v>
      </c>
      <c r="M239" s="1">
        <f>IF('исходные данные'!M239&gt;'минимумы и максимумы'!K$4,100,('исходные данные'!M239-'минимумы и максимумы'!K$2)/('минимумы и максимумы'!K$4-'минимумы и максимумы'!K$2)*100)</f>
        <v>2.1276595744680851</v>
      </c>
      <c r="N239" s="1">
        <f>IF('исходные данные'!N239&gt;'минимумы и максимумы'!L$4,100,('исходные данные'!N239-'минимумы и максимумы'!L$2)/('минимумы и максимумы'!L$4-'минимумы и максимумы'!L$2)*100)</f>
        <v>35.698900660359165</v>
      </c>
      <c r="O239" s="1">
        <f>IF('исходные данные'!O239&gt;'минимумы и максимумы'!M$4,100,('исходные данные'!O239-'минимумы и максимумы'!M$2)/('минимумы и максимумы'!M$4-'минимумы и максимумы'!M$2)*100)</f>
        <v>0</v>
      </c>
      <c r="P239" s="1">
        <f>IF('исходные данные'!P239&gt;'минимумы и максимумы'!N$4,100,('исходные данные'!P239-'минимумы и максимумы'!N$2)/('минимумы и максимумы'!N$4-'минимумы и максимумы'!N$2)*100)</f>
        <v>0</v>
      </c>
      <c r="Q239" s="1">
        <f>IF('исходные данные'!Q239&gt;'минимумы и максимумы'!O$4,100,('исходные данные'!Q239-'минимумы и максимумы'!O$2)/('минимумы и максимумы'!O$4-'минимумы и максимумы'!O$2)*100)</f>
        <v>100</v>
      </c>
      <c r="R239" s="1">
        <f>IF('исходные данные'!R239&gt;'минимумы и максимумы'!P$4,100,('исходные данные'!R239-'минимумы и максимумы'!P$2)/('минимумы и максимумы'!P$4-'минимумы и максимумы'!P$2)*100)</f>
        <v>75</v>
      </c>
      <c r="S239" s="1">
        <f>IF('исходные данные'!S239&gt;'минимумы и максимумы'!Q$4,100,('исходные данные'!S239-'минимумы и максимумы'!Q$2)/('минимумы и максимумы'!Q$4-'минимумы и максимумы'!Q$2)*100)</f>
        <v>11.111111111111111</v>
      </c>
      <c r="T239" s="1">
        <f>IF('исходные данные'!T239&gt;'минимумы и максимумы'!R$4,100,('исходные данные'!T239-'минимумы и максимумы'!R$2)/('минимумы и максимумы'!R$4-'минимумы и максимумы'!R$2)*100)</f>
        <v>2.2727272727272729</v>
      </c>
      <c r="U239" s="1">
        <f>IF('исходные данные'!U239&gt;'минимумы и максимумы'!S$4,100,('исходные данные'!U239-'минимумы и максимумы'!S$2)/('минимумы и максимумы'!S$4-'минимумы и максимумы'!S$2)*100)</f>
        <v>0</v>
      </c>
    </row>
    <row r="240" spans="1:21" x14ac:dyDescent="0.45">
      <c r="A240" s="4">
        <v>332</v>
      </c>
      <c r="B240" s="4">
        <v>0</v>
      </c>
      <c r="C240" s="4">
        <v>0</v>
      </c>
      <c r="D240" s="1">
        <f>IF('исходные данные'!D240&gt;'минимумы и максимумы'!B$4,100,('исходные данные'!D240-'минимумы и максимумы'!B$2)/('минимумы и максимумы'!B$4-'минимумы и максимумы'!B$2)*100)</f>
        <v>0</v>
      </c>
      <c r="E240" s="1">
        <f>IF('исходные данные'!E240&gt;'минимумы и максимумы'!C$4,100,('исходные данные'!E240-'минимумы и максимумы'!C$2)/('минимумы и максимумы'!C$4-'минимумы и максимумы'!C$2)*100)</f>
        <v>0</v>
      </c>
      <c r="F240" s="1">
        <f>IF('исходные данные'!F240&gt;'минимумы и максимумы'!D$4,100,('исходные данные'!F240-'минимумы и максимумы'!D$2)/('минимумы и максимумы'!D$4-'минимумы и максимумы'!D$2)*100)</f>
        <v>0</v>
      </c>
      <c r="G240" s="1">
        <f>IF('исходные данные'!G240&gt;'минимумы и максимумы'!E$4,100,('исходные данные'!G240-'минимумы и максимумы'!E$2)/('минимумы и максимумы'!E$4-'минимумы и максимумы'!E$2)*100)</f>
        <v>0</v>
      </c>
      <c r="H240" s="1">
        <f>IF('исходные данные'!H240&gt;'минимумы и максимумы'!F$4,100,('исходные данные'!H240-'минимумы и максимумы'!F$2)/('минимумы и максимумы'!F$4-'минимумы и максимумы'!F$2)*100)</f>
        <v>0</v>
      </c>
      <c r="I240" s="1">
        <f>IF('исходные данные'!I240&gt;'минимумы и максимумы'!G$4,100,('исходные данные'!I240-'минимумы и максимумы'!G$2)/('минимумы и максимумы'!G$4-'минимумы и максимумы'!G$2)*100)</f>
        <v>0</v>
      </c>
      <c r="J240" s="1">
        <f>IF('исходные данные'!J240&gt;'минимумы и максимумы'!H$4,100,('исходные данные'!J240-'минимумы и максимумы'!H$2)/('минимумы и максимумы'!H$4-'минимумы и максимумы'!H$2)*100)</f>
        <v>0</v>
      </c>
      <c r="K240" s="1">
        <f>IF('исходные данные'!K240&gt;'минимумы и максимумы'!I$4,100,('исходные данные'!K240-'минимумы и максимумы'!I$2)/('минимумы и максимумы'!I$4-'минимумы и максимумы'!I$2)*100)</f>
        <v>0</v>
      </c>
      <c r="L240" s="1">
        <f>IF('исходные данные'!L240&gt;'минимумы и максимумы'!J$4,100,('исходные данные'!L240-'минимумы и максимумы'!J$2)/('минимумы и максимумы'!J$4-'минимумы и максимумы'!J$2)*100)</f>
        <v>0</v>
      </c>
      <c r="M240" s="1">
        <f>IF('исходные данные'!M240&gt;'минимумы и максимумы'!K$4,100,('исходные данные'!M240-'минимумы и максимумы'!K$2)/('минимумы и максимумы'!K$4-'минимумы и максимумы'!K$2)*100)</f>
        <v>0</v>
      </c>
      <c r="N240" s="1">
        <f>IF('исходные данные'!N240&gt;'минимумы и максимумы'!L$4,100,('исходные данные'!N240-'минимумы и максимумы'!L$2)/('минимумы и максимумы'!L$4-'минимумы и максимумы'!L$2)*100)</f>
        <v>38.87614174158476</v>
      </c>
      <c r="O240" s="1">
        <f>IF('исходные данные'!O240&gt;'минимумы и максимумы'!M$4,100,('исходные данные'!O240-'минимумы и максимумы'!M$2)/('минимумы и максимумы'!M$4-'минимумы и максимумы'!M$2)*100)</f>
        <v>0</v>
      </c>
      <c r="P240" s="1">
        <f>IF('исходные данные'!P240&gt;'минимумы и максимумы'!N$4,100,('исходные данные'!P240-'минимумы и максимумы'!N$2)/('минимумы и максимумы'!N$4-'минимумы и максимумы'!N$2)*100)</f>
        <v>0</v>
      </c>
      <c r="Q240" s="1">
        <f>IF('исходные данные'!Q240&gt;'минимумы и максимумы'!O$4,100,('исходные данные'!Q240-'минимумы и максимумы'!O$2)/('минимумы и максимумы'!O$4-'минимумы и максимумы'!O$2)*100)</f>
        <v>100</v>
      </c>
      <c r="R240" s="1">
        <f>IF('исходные данные'!R240&gt;'минимумы и максимумы'!P$4,100,('исходные данные'!R240-'минимумы и максимумы'!P$2)/('минимумы и максимумы'!P$4-'минимумы и максимумы'!P$2)*100)</f>
        <v>100</v>
      </c>
      <c r="S240" s="1">
        <f>IF('исходные данные'!S240&gt;'минимумы и максимумы'!Q$4,100,('исходные данные'!S240-'минимумы и максимумы'!Q$2)/('минимумы и максимумы'!Q$4-'минимумы и максимумы'!Q$2)*100)</f>
        <v>11.111111111111111</v>
      </c>
      <c r="T240" s="1">
        <f>IF('исходные данные'!T240&gt;'минимумы и максимумы'!R$4,100,('исходные данные'!T240-'минимумы и максимумы'!R$2)/('минимумы и максимумы'!R$4-'минимумы и максимумы'!R$2)*100)</f>
        <v>60.903337169159954</v>
      </c>
      <c r="U240" s="1">
        <f>IF('исходные данные'!U240&gt;'минимумы и максимумы'!S$4,100,('исходные данные'!U240-'минимумы и максимумы'!S$2)/('минимумы и максимумы'!S$4-'минимумы и максимумы'!S$2)*100)</f>
        <v>0</v>
      </c>
    </row>
    <row r="241" spans="1:21" x14ac:dyDescent="0.45">
      <c r="A241" s="4">
        <v>333</v>
      </c>
      <c r="B241" s="4">
        <v>0</v>
      </c>
      <c r="C241" s="4">
        <v>0</v>
      </c>
      <c r="D241" s="1">
        <f>IF('исходные данные'!D241&gt;'минимумы и максимумы'!B$4,100,('исходные данные'!D241-'минимумы и максимумы'!B$2)/('минимумы и максимумы'!B$4-'минимумы и максимумы'!B$2)*100)</f>
        <v>0</v>
      </c>
      <c r="E241" s="1">
        <f>IF('исходные данные'!E241&gt;'минимумы и максимумы'!C$4,100,('исходные данные'!E241-'минимумы и максимумы'!C$2)/('минимумы и максимумы'!C$4-'минимумы и максимумы'!C$2)*100)</f>
        <v>0</v>
      </c>
      <c r="F241" s="1">
        <f>IF('исходные данные'!F241&gt;'минимумы и максимумы'!D$4,100,('исходные данные'!F241-'минимумы и максимумы'!D$2)/('минимумы и максимумы'!D$4-'минимумы и максимумы'!D$2)*100)</f>
        <v>0</v>
      </c>
      <c r="G241" s="1">
        <f>IF('исходные данные'!G241&gt;'минимумы и максимумы'!E$4,100,('исходные данные'!G241-'минимумы и максимумы'!E$2)/('минимумы и максимумы'!E$4-'минимумы и максимумы'!E$2)*100)</f>
        <v>0</v>
      </c>
      <c r="H241" s="1">
        <f>IF('исходные данные'!H241&gt;'минимумы и максимумы'!F$4,100,('исходные данные'!H241-'минимумы и максимумы'!F$2)/('минимумы и максимумы'!F$4-'минимумы и максимумы'!F$2)*100)</f>
        <v>0</v>
      </c>
      <c r="I241" s="1">
        <f>IF('исходные данные'!I241&gt;'минимумы и максимумы'!G$4,100,('исходные данные'!I241-'минимумы и максимумы'!G$2)/('минимумы и максимумы'!G$4-'минимумы и максимумы'!G$2)*100)</f>
        <v>0</v>
      </c>
      <c r="J241" s="1">
        <f>IF('исходные данные'!J241&gt;'минимумы и максимумы'!H$4,100,('исходные данные'!J241-'минимумы и максимумы'!H$2)/('минимумы и максимумы'!H$4-'минимумы и максимумы'!H$2)*100)</f>
        <v>0</v>
      </c>
      <c r="K241" s="1">
        <f>IF('исходные данные'!K241&gt;'минимумы и максимумы'!I$4,100,('исходные данные'!K241-'минимумы и максимумы'!I$2)/('минимумы и максимумы'!I$4-'минимумы и максимумы'!I$2)*100)</f>
        <v>0</v>
      </c>
      <c r="L241" s="1">
        <f>IF('исходные данные'!L241&gt;'минимумы и максимумы'!J$4,100,('исходные данные'!L241-'минимумы и максимумы'!J$2)/('минимумы и максимумы'!J$4-'минимумы и максимумы'!J$2)*100)</f>
        <v>0</v>
      </c>
      <c r="M241" s="1">
        <f>IF('исходные данные'!M241&gt;'минимумы и максимумы'!K$4,100,('исходные данные'!M241-'минимумы и максимумы'!K$2)/('минимумы и максимумы'!K$4-'минимумы и максимумы'!K$2)*100)</f>
        <v>0</v>
      </c>
      <c r="N241" s="1">
        <f>IF('исходные данные'!N241&gt;'минимумы и максимумы'!L$4,100,('исходные данные'!N241-'минимумы и максимумы'!L$2)/('минимумы и максимумы'!L$4-'минимумы и максимумы'!L$2)*100)</f>
        <v>38.690394257354335</v>
      </c>
      <c r="O241" s="1">
        <f>IF('исходные данные'!O241&gt;'минимумы и максимумы'!M$4,100,('исходные данные'!O241-'минимумы и максимумы'!M$2)/('минимумы и максимумы'!M$4-'минимумы и максимумы'!M$2)*100)</f>
        <v>0</v>
      </c>
      <c r="P241" s="1">
        <f>IF('исходные данные'!P241&gt;'минимумы и максимумы'!N$4,100,('исходные данные'!P241-'минимумы и максимумы'!N$2)/('минимумы и максимумы'!N$4-'минимумы и максимумы'!N$2)*100)</f>
        <v>0</v>
      </c>
      <c r="Q241" s="1">
        <f>IF('исходные данные'!Q241&gt;'минимумы и максимумы'!O$4,100,('исходные данные'!Q241-'минимумы и максимумы'!O$2)/('минимумы и максимумы'!O$4-'минимумы и максимумы'!O$2)*100)</f>
        <v>100</v>
      </c>
      <c r="R241" s="1">
        <f>IF('исходные данные'!R241&gt;'минимумы и максимумы'!P$4,100,('исходные данные'!R241-'минимумы и максимумы'!P$2)/('минимумы и максимумы'!P$4-'минимумы и максимумы'!P$2)*100)</f>
        <v>100</v>
      </c>
      <c r="S241" s="1">
        <f>IF('исходные данные'!S241&gt;'минимумы и максимумы'!Q$4,100,('исходные данные'!S241-'минимумы и максимумы'!Q$2)/('минимумы и максимумы'!Q$4-'минимумы и максимумы'!Q$2)*100)</f>
        <v>11.111111111111111</v>
      </c>
      <c r="T241" s="1">
        <f>IF('исходные данные'!T241&gt;'минимумы и максимумы'!R$4,100,('исходные данные'!T241-'минимумы и максимумы'!R$2)/('минимумы и максимумы'!R$4-'минимумы и максимумы'!R$2)*100)</f>
        <v>34.953970080552359</v>
      </c>
      <c r="U241" s="1">
        <f>IF('исходные данные'!U241&gt;'минимумы и максимумы'!S$4,100,('исходные данные'!U241-'минимумы и максимумы'!S$2)/('минимумы и максимумы'!S$4-'минимумы и максимумы'!S$2)*100)</f>
        <v>0</v>
      </c>
    </row>
    <row r="242" spans="1:21" x14ac:dyDescent="0.45">
      <c r="A242" s="4">
        <v>334</v>
      </c>
      <c r="B242" s="4">
        <v>0</v>
      </c>
      <c r="C242" s="4">
        <v>0</v>
      </c>
      <c r="D242" s="1">
        <f>IF('исходные данные'!D242&gt;'минимумы и максимумы'!B$4,100,('исходные данные'!D242-'минимумы и максимумы'!B$2)/('минимумы и максимумы'!B$4-'минимумы и максимумы'!B$2)*100)</f>
        <v>0</v>
      </c>
      <c r="E242" s="1">
        <f>IF('исходные данные'!E242&gt;'минимумы и максимумы'!C$4,100,('исходные данные'!E242-'минимумы и максимумы'!C$2)/('минимумы и максимумы'!C$4-'минимумы и максимумы'!C$2)*100)</f>
        <v>0</v>
      </c>
      <c r="F242" s="1">
        <f>IF('исходные данные'!F242&gt;'минимумы и максимумы'!D$4,100,('исходные данные'!F242-'минимумы и максимумы'!D$2)/('минимумы и максимумы'!D$4-'минимумы и максимумы'!D$2)*100)</f>
        <v>0</v>
      </c>
      <c r="G242" s="1">
        <f>IF('исходные данные'!G242&gt;'минимумы и максимумы'!E$4,100,('исходные данные'!G242-'минимумы и максимумы'!E$2)/('минимумы и максимумы'!E$4-'минимумы и максимумы'!E$2)*100)</f>
        <v>0</v>
      </c>
      <c r="H242" s="1">
        <f>IF('исходные данные'!H242&gt;'минимумы и максимумы'!F$4,100,('исходные данные'!H242-'минимумы и максимумы'!F$2)/('минимумы и максимумы'!F$4-'минимумы и максимумы'!F$2)*100)</f>
        <v>0</v>
      </c>
      <c r="I242" s="1">
        <f>IF('исходные данные'!I242&gt;'минимумы и максимумы'!G$4,100,('исходные данные'!I242-'минимумы и максимумы'!G$2)/('минимумы и максимумы'!G$4-'минимумы и максимумы'!G$2)*100)</f>
        <v>0</v>
      </c>
      <c r="J242" s="1">
        <f>IF('исходные данные'!J242&gt;'минимумы и максимумы'!H$4,100,('исходные данные'!J242-'минимумы и максимумы'!H$2)/('минимумы и максимумы'!H$4-'минимумы и максимумы'!H$2)*100)</f>
        <v>0</v>
      </c>
      <c r="K242" s="1">
        <f>IF('исходные данные'!K242&gt;'минимумы и максимумы'!I$4,100,('исходные данные'!K242-'минимумы и максимумы'!I$2)/('минимумы и максимумы'!I$4-'минимумы и максимумы'!I$2)*100)</f>
        <v>0</v>
      </c>
      <c r="L242" s="1">
        <f>IF('исходные данные'!L242&gt;'минимумы и максимумы'!J$4,100,('исходные данные'!L242-'минимумы и максимумы'!J$2)/('минимумы и максимумы'!J$4-'минимумы и максимумы'!J$2)*100)</f>
        <v>0</v>
      </c>
      <c r="M242" s="1">
        <f>IF('исходные данные'!M242&gt;'минимумы и максимумы'!K$4,100,('исходные данные'!M242-'минимумы и максимумы'!K$2)/('минимумы и максимумы'!K$4-'минимумы и максимумы'!K$2)*100)</f>
        <v>0</v>
      </c>
      <c r="N242" s="1">
        <f>IF('исходные данные'!N242&gt;'минимумы и максимумы'!L$4,100,('исходные данные'!N242-'минимумы и максимумы'!L$2)/('минимумы и максимумы'!L$4-'минимумы и максимумы'!L$2)*100)</f>
        <v>38.997652370433435</v>
      </c>
      <c r="O242" s="1">
        <f>IF('исходные данные'!O242&gt;'минимумы и максимумы'!M$4,100,('исходные данные'!O242-'минимумы и максимумы'!M$2)/('минимумы и максимумы'!M$4-'минимумы и максимумы'!M$2)*100)</f>
        <v>0</v>
      </c>
      <c r="P242" s="1">
        <f>IF('исходные данные'!P242&gt;'минимумы и максимумы'!N$4,100,('исходные данные'!P242-'минимумы и максимумы'!N$2)/('минимумы и максимумы'!N$4-'минимумы и максимумы'!N$2)*100)</f>
        <v>0</v>
      </c>
      <c r="Q242" s="1">
        <f>IF('исходные данные'!Q242&gt;'минимумы и максимумы'!O$4,100,('исходные данные'!Q242-'минимумы и максимумы'!O$2)/('минимумы и максимумы'!O$4-'минимумы и максимумы'!O$2)*100)</f>
        <v>100</v>
      </c>
      <c r="R242" s="1">
        <f>IF('исходные данные'!R242&gt;'минимумы и максимумы'!P$4,100,('исходные данные'!R242-'минимумы и максимумы'!P$2)/('минимумы и максимумы'!P$4-'минимумы и максимумы'!P$2)*100)</f>
        <v>100</v>
      </c>
      <c r="S242" s="1">
        <f>IF('исходные данные'!S242&gt;'минимумы и максимумы'!Q$4,100,('исходные данные'!S242-'минимумы и максимумы'!Q$2)/('минимумы и максимумы'!Q$4-'минимумы и максимумы'!Q$2)*100)</f>
        <v>11.111111111111111</v>
      </c>
      <c r="T242" s="1">
        <f>IF('исходные данные'!T242&gt;'минимумы и максимумы'!R$4,100,('исходные данные'!T242-'минимумы и максимумы'!R$2)/('минимумы и максимумы'!R$4-'минимумы и максимумы'!R$2)*100)</f>
        <v>64.298043728423465</v>
      </c>
      <c r="U242" s="1">
        <f>IF('исходные данные'!U242&gt;'минимумы и максимумы'!S$4,100,('исходные данные'!U242-'минимумы и максимумы'!S$2)/('минимумы и максимумы'!S$4-'минимумы и максимумы'!S$2)*100)</f>
        <v>0</v>
      </c>
    </row>
    <row r="243" spans="1:21" x14ac:dyDescent="0.45">
      <c r="A243" s="4">
        <v>335</v>
      </c>
      <c r="B243" s="4">
        <v>0</v>
      </c>
      <c r="C243" s="4">
        <v>0</v>
      </c>
      <c r="D243" s="1">
        <f>IF('исходные данные'!D243&gt;'минимумы и максимумы'!B$4,100,('исходные данные'!D243-'минимумы и максимумы'!B$2)/('минимумы и максимумы'!B$4-'минимумы и максимумы'!B$2)*100)</f>
        <v>0</v>
      </c>
      <c r="E243" s="1">
        <f>IF('исходные данные'!E243&gt;'минимумы и максимумы'!C$4,100,('исходные данные'!E243-'минимумы и максимумы'!C$2)/('минимумы и максимумы'!C$4-'минимумы и максимумы'!C$2)*100)</f>
        <v>0</v>
      </c>
      <c r="F243" s="1">
        <f>IF('исходные данные'!F243&gt;'минимумы и максимумы'!D$4,100,('исходные данные'!F243-'минимумы и максимумы'!D$2)/('минимумы и максимумы'!D$4-'минимумы и максимумы'!D$2)*100)</f>
        <v>0</v>
      </c>
      <c r="G243" s="1">
        <f>IF('исходные данные'!G243&gt;'минимумы и максимумы'!E$4,100,('исходные данные'!G243-'минимумы и максимумы'!E$2)/('минимумы и максимумы'!E$4-'минимумы и максимумы'!E$2)*100)</f>
        <v>0</v>
      </c>
      <c r="H243" s="1">
        <f>IF('исходные данные'!H243&gt;'минимумы и максимумы'!F$4,100,('исходные данные'!H243-'минимумы и максимумы'!F$2)/('минимумы и максимумы'!F$4-'минимумы и максимумы'!F$2)*100)</f>
        <v>0</v>
      </c>
      <c r="I243" s="1">
        <f>IF('исходные данные'!I243&gt;'минимумы и максимумы'!G$4,100,('исходные данные'!I243-'минимумы и максимумы'!G$2)/('минимумы и максимумы'!G$4-'минимумы и максимумы'!G$2)*100)</f>
        <v>0</v>
      </c>
      <c r="J243" s="1">
        <f>IF('исходные данные'!J243&gt;'минимумы и максимумы'!H$4,100,('исходные данные'!J243-'минимумы и максимумы'!H$2)/('минимумы и максимумы'!H$4-'минимумы и максимумы'!H$2)*100)</f>
        <v>0</v>
      </c>
      <c r="K243" s="1">
        <f>IF('исходные данные'!K243&gt;'минимумы и максимумы'!I$4,100,('исходные данные'!K243-'минимумы и максимумы'!I$2)/('минимумы и максимумы'!I$4-'минимумы и максимумы'!I$2)*100)</f>
        <v>0</v>
      </c>
      <c r="L243" s="1">
        <f>IF('исходные данные'!L243&gt;'минимумы и максимумы'!J$4,100,('исходные данные'!L243-'минимумы и максимумы'!J$2)/('минимумы и максимумы'!J$4-'минимумы и максимумы'!J$2)*100)</f>
        <v>0</v>
      </c>
      <c r="M243" s="1">
        <f>IF('исходные данные'!M243&gt;'минимумы и максимумы'!K$4,100,('исходные данные'!M243-'минимумы и максимумы'!K$2)/('минимумы и максимумы'!K$4-'минимумы и максимумы'!K$2)*100)</f>
        <v>0</v>
      </c>
      <c r="N243" s="1">
        <f>IF('исходные данные'!N243&gt;'минимумы и максимумы'!L$4,100,('исходные данные'!N243-'минимумы и максимумы'!L$2)/('минимумы и максимумы'!L$4-'минимумы и максимумы'!L$2)*100)</f>
        <v>38.524112148904351</v>
      </c>
      <c r="O243" s="1">
        <f>IF('исходные данные'!O243&gt;'минимумы и максимумы'!M$4,100,('исходные данные'!O243-'минимумы и максимумы'!M$2)/('минимумы и максимумы'!M$4-'минимумы и максимумы'!M$2)*100)</f>
        <v>0</v>
      </c>
      <c r="P243" s="1">
        <f>IF('исходные данные'!P243&gt;'минимумы и максимумы'!N$4,100,('исходные данные'!P243-'минимумы и максимумы'!N$2)/('минимумы и максимумы'!N$4-'минимумы и максимумы'!N$2)*100)</f>
        <v>0</v>
      </c>
      <c r="Q243" s="1">
        <f>IF('исходные данные'!Q243&gt;'минимумы и максимумы'!O$4,100,('исходные данные'!Q243-'минимумы и максимумы'!O$2)/('минимумы и максимумы'!O$4-'минимумы и максимумы'!O$2)*100)</f>
        <v>100</v>
      </c>
      <c r="R243" s="1">
        <f>IF('исходные данные'!R243&gt;'минимумы и максимумы'!P$4,100,('исходные данные'!R243-'минимумы и максимумы'!P$2)/('минимумы и максимумы'!P$4-'минимумы и максимумы'!P$2)*100)</f>
        <v>100</v>
      </c>
      <c r="S243" s="1">
        <f>IF('исходные данные'!S243&gt;'минимумы и максимумы'!Q$4,100,('исходные данные'!S243-'минимумы и максимумы'!Q$2)/('минимумы и максимумы'!Q$4-'минимумы и максимумы'!Q$2)*100)</f>
        <v>11.111111111111111</v>
      </c>
      <c r="T243" s="1">
        <f>IF('исходные данные'!T243&gt;'минимумы и максимумы'!R$4,100,('исходные данные'!T243-'минимумы и максимумы'!R$2)/('минимумы и максимумы'!R$4-'минимумы и максимумы'!R$2)*100)</f>
        <v>39.672036823935557</v>
      </c>
      <c r="U243" s="1">
        <f>IF('исходные данные'!U243&gt;'минимумы и максимумы'!S$4,100,('исходные данные'!U243-'минимумы и максимумы'!S$2)/('минимумы и максимумы'!S$4-'минимумы и максимумы'!S$2)*100)</f>
        <v>0</v>
      </c>
    </row>
    <row r="244" spans="1:21" x14ac:dyDescent="0.45">
      <c r="A244" s="4">
        <v>338</v>
      </c>
      <c r="B244" s="4">
        <v>0</v>
      </c>
      <c r="C244" s="4">
        <v>0</v>
      </c>
      <c r="D244" s="1">
        <f>IF('исходные данные'!D244&gt;'минимумы и максимумы'!B$4,100,('исходные данные'!D244-'минимумы и максимумы'!B$2)/('минимумы и максимумы'!B$4-'минимумы и максимумы'!B$2)*100)</f>
        <v>50</v>
      </c>
      <c r="E244" s="1">
        <f>IF('исходные данные'!E244&gt;'минимумы и максимумы'!C$4,100,('исходные данные'!E244-'минимумы и максимумы'!C$2)/('минимумы и максимумы'!C$4-'минимумы и максимумы'!C$2)*100)</f>
        <v>31.25</v>
      </c>
      <c r="F244" s="1">
        <f>IF('исходные данные'!F244&gt;'минимумы и максимумы'!D$4,100,('исходные данные'!F244-'минимумы и максимумы'!D$2)/('минимумы и максимумы'!D$4-'минимумы и максимумы'!D$2)*100)</f>
        <v>25</v>
      </c>
      <c r="G244" s="1">
        <f>IF('исходные данные'!G244&gt;'минимумы и максимумы'!E$4,100,('исходные данные'!G244-'минимумы и максимумы'!E$2)/('минимумы и максимумы'!E$4-'минимумы и максимумы'!E$2)*100)</f>
        <v>16.216216216216218</v>
      </c>
      <c r="H244" s="1">
        <f>IF('исходные данные'!H244&gt;'минимумы и максимумы'!F$4,100,('исходные данные'!H244-'минимумы и максимумы'!F$2)/('минимумы и максимумы'!F$4-'минимумы и максимумы'!F$2)*100)</f>
        <v>71.05263157894737</v>
      </c>
      <c r="I244" s="1">
        <f>IF('исходные данные'!I244&gt;'минимумы и максимумы'!G$4,100,('исходные данные'!I244-'минимумы и максимумы'!G$2)/('минимумы и максимумы'!G$4-'минимумы и максимумы'!G$2)*100)</f>
        <v>16.867469879518072</v>
      </c>
      <c r="J244" s="1">
        <f>IF('исходные данные'!J244&gt;'минимумы и максимумы'!H$4,100,('исходные данные'!J244-'минимумы и максимумы'!H$2)/('минимумы и максимумы'!H$4-'минимумы и максимумы'!H$2)*100)</f>
        <v>0</v>
      </c>
      <c r="K244" s="1">
        <f>IF('исходные данные'!K244&gt;'минимумы и максимумы'!I$4,100,('исходные данные'!K244-'минимумы и максимумы'!I$2)/('минимумы и максимумы'!I$4-'минимумы и максимумы'!I$2)*100)</f>
        <v>0</v>
      </c>
      <c r="L244" s="1">
        <f>IF('исходные данные'!L244&gt;'минимумы и максимумы'!J$4,100,('исходные данные'!L244-'минимумы и максимумы'!J$2)/('минимумы и максимумы'!J$4-'минимумы и максимумы'!J$2)*100)</f>
        <v>100</v>
      </c>
      <c r="M244" s="1">
        <f>IF('исходные данные'!M244&gt;'минимумы и максимумы'!K$4,100,('исходные данные'!M244-'минимумы и максимумы'!K$2)/('минимумы и максимумы'!K$4-'минимумы и максимумы'!K$2)*100)</f>
        <v>31.914893617021278</v>
      </c>
      <c r="N244" s="1">
        <f>IF('исходные данные'!N244&gt;'минимумы и максимумы'!L$4,100,('исходные данные'!N244-'минимумы и максимумы'!L$2)/('минимумы и максимумы'!L$4-'минимумы и максимумы'!L$2)*100)</f>
        <v>30.867070282900393</v>
      </c>
      <c r="O244" s="1">
        <f>IF('исходные данные'!O244&gt;'минимумы и максимумы'!M$4,100,('исходные данные'!O244-'минимумы и максимумы'!M$2)/('минимумы и максимумы'!M$4-'минимумы и максимумы'!M$2)*100)</f>
        <v>66.666666666666657</v>
      </c>
      <c r="P244" s="1">
        <f>IF('исходные данные'!P244&gt;'минимумы и максимумы'!N$4,100,('исходные данные'!P244-'минимумы и максимумы'!N$2)/('минимумы и максимумы'!N$4-'минимумы и максимумы'!N$2)*100)</f>
        <v>0</v>
      </c>
      <c r="Q244" s="1">
        <f>IF('исходные данные'!Q244&gt;'минимумы и максимумы'!O$4,100,('исходные данные'!Q244-'минимумы и максимумы'!O$2)/('минимумы и максимумы'!O$4-'минимумы и максимумы'!O$2)*100)</f>
        <v>0</v>
      </c>
      <c r="R244" s="1">
        <f>IF('исходные данные'!R244&gt;'минимумы и максимумы'!P$4,100,('исходные данные'!R244-'минимумы и максимумы'!P$2)/('минимумы и максимумы'!P$4-'минимумы и максимумы'!P$2)*100)</f>
        <v>100</v>
      </c>
      <c r="S244" s="1">
        <f>IF('исходные данные'!S244&gt;'минимумы и максимумы'!Q$4,100,('исходные данные'!S244-'минимумы и максимумы'!Q$2)/('минимумы и максимумы'!Q$4-'минимумы и максимумы'!Q$2)*100)</f>
        <v>44.444444444444443</v>
      </c>
      <c r="T244" s="1">
        <f>IF('исходные данные'!T244&gt;'минимумы и максимумы'!R$4,100,('исходные данные'!T244-'минимумы и максимумы'!R$2)/('минимумы и максимумы'!R$4-'минимумы и максимумы'!R$2)*100)</f>
        <v>28.682393555811274</v>
      </c>
      <c r="U244" s="1">
        <f>IF('исходные данные'!U244&gt;'минимумы и максимумы'!S$4,100,('исходные данные'!U244-'минимумы и максимумы'!S$2)/('минимумы и максимумы'!S$4-'минимумы и максимумы'!S$2)*100)</f>
        <v>0</v>
      </c>
    </row>
    <row r="245" spans="1:21" x14ac:dyDescent="0.45">
      <c r="A245" s="4">
        <v>339</v>
      </c>
      <c r="B245" s="4">
        <v>0</v>
      </c>
      <c r="C245" s="4">
        <v>0</v>
      </c>
      <c r="D245" s="1">
        <f>IF('исходные данные'!D245&gt;'минимумы и максимумы'!B$4,100,('исходные данные'!D245-'минимумы и максимумы'!B$2)/('минимумы и максимумы'!B$4-'минимумы и максимумы'!B$2)*100)</f>
        <v>25</v>
      </c>
      <c r="E245" s="1">
        <f>IF('исходные данные'!E245&gt;'минимумы и максимумы'!C$4,100,('исходные данные'!E245-'минимумы и максимумы'!C$2)/('минимумы и максимумы'!C$4-'минимумы и максимумы'!C$2)*100)</f>
        <v>25</v>
      </c>
      <c r="F245" s="1">
        <f>IF('исходные данные'!F245&gt;'минимумы и максимумы'!D$4,100,('исходные данные'!F245-'минимумы и максимумы'!D$2)/('минимумы и максимумы'!D$4-'минимумы и максимумы'!D$2)*100)</f>
        <v>0</v>
      </c>
      <c r="G245" s="1">
        <f>IF('исходные данные'!G245&gt;'минимумы и максимумы'!E$4,100,('исходные данные'!G245-'минимумы и максимумы'!E$2)/('минимумы и максимумы'!E$4-'минимумы и максимумы'!E$2)*100)</f>
        <v>5.4054054054054053</v>
      </c>
      <c r="H245" s="1">
        <f>IF('исходные данные'!H245&gt;'минимумы и максимумы'!F$4,100,('исходные данные'!H245-'минимумы и максимумы'!F$2)/('минимумы и максимумы'!F$4-'минимумы и максимумы'!F$2)*100)</f>
        <v>7.8947368421052628</v>
      </c>
      <c r="I245" s="1">
        <f>IF('исходные данные'!I245&gt;'минимумы и максимумы'!G$4,100,('исходные данные'!I245-'минимумы и максимумы'!G$2)/('минимумы и максимумы'!G$4-'минимумы и максимумы'!G$2)*100)</f>
        <v>2.4096385542168677</v>
      </c>
      <c r="J245" s="1">
        <f>IF('исходные данные'!J245&gt;'минимумы и максимумы'!H$4,100,('исходные данные'!J245-'минимумы и максимумы'!H$2)/('минимумы и максимумы'!H$4-'минимумы и максимумы'!H$2)*100)</f>
        <v>0</v>
      </c>
      <c r="K245" s="1">
        <f>IF('исходные данные'!K245&gt;'минимумы и максимумы'!I$4,100,('исходные данные'!K245-'минимумы и максимумы'!I$2)/('минимумы и максимумы'!I$4-'минимумы и максимумы'!I$2)*100)</f>
        <v>0</v>
      </c>
      <c r="L245" s="1">
        <f>IF('исходные данные'!L245&gt;'минимумы и максимумы'!J$4,100,('исходные данные'!L245-'минимумы и максимумы'!J$2)/('минимумы и максимумы'!J$4-'минимумы и максимумы'!J$2)*100)</f>
        <v>12.5</v>
      </c>
      <c r="M245" s="1">
        <f>IF('исходные данные'!M245&gt;'минимумы и максимумы'!K$4,100,('исходные данные'!M245-'минимумы и максимумы'!K$2)/('минимумы и максимумы'!K$4-'минимумы и максимумы'!K$2)*100)</f>
        <v>12.76595744680851</v>
      </c>
      <c r="N245" s="1">
        <f>IF('исходные данные'!N245&gt;'минимумы и максимумы'!L$4,100,('исходные данные'!N245-'минимумы и максимумы'!L$2)/('минимумы и максимумы'!L$4-'минимумы и максимумы'!L$2)*100)</f>
        <v>22.466331391048293</v>
      </c>
      <c r="O245" s="1">
        <f>IF('исходные данные'!O245&gt;'минимумы и максимумы'!M$4,100,('исходные данные'!O245-'минимумы и максимумы'!M$2)/('минимумы и максимумы'!M$4-'минимумы и максимумы'!M$2)*100)</f>
        <v>100</v>
      </c>
      <c r="P245" s="1">
        <f>IF('исходные данные'!P245&gt;'минимумы и максимумы'!N$4,100,('исходные данные'!P245-'минимумы и максимумы'!N$2)/('минимумы и максимумы'!N$4-'минимумы и максимумы'!N$2)*100)</f>
        <v>0</v>
      </c>
      <c r="Q245" s="1">
        <f>IF('исходные данные'!Q245&gt;'минимумы и максимумы'!O$4,100,('исходные данные'!Q245-'минимумы и максимумы'!O$2)/('минимумы и максимумы'!O$4-'минимумы и максимумы'!O$2)*100)</f>
        <v>0</v>
      </c>
      <c r="R245" s="1">
        <f>IF('исходные данные'!R245&gt;'минимумы и максимумы'!P$4,100,('исходные данные'!R245-'минимумы и максимумы'!P$2)/('минимумы и максимумы'!P$4-'минимумы и максимумы'!P$2)*100)</f>
        <v>25</v>
      </c>
      <c r="S245" s="1">
        <f>IF('исходные данные'!S245&gt;'минимумы и максимумы'!Q$4,100,('исходные данные'!S245-'минимумы и максимумы'!Q$2)/('минимумы и максимумы'!Q$4-'минимумы и максимумы'!Q$2)*100)</f>
        <v>33.333333333333329</v>
      </c>
      <c r="T245" s="1">
        <f>IF('исходные данные'!T245&gt;'минимумы и максимумы'!R$4,100,('исходные данные'!T245-'минимумы и максимумы'!R$2)/('минимумы и максимумы'!R$4-'минимумы и максимумы'!R$2)*100)</f>
        <v>28.135788262370543</v>
      </c>
      <c r="U245" s="1">
        <f>IF('исходные данные'!U245&gt;'минимумы и максимумы'!S$4,100,('исходные данные'!U245-'минимумы и максимумы'!S$2)/('минимумы и максимумы'!S$4-'минимумы и максимумы'!S$2)*100)</f>
        <v>0</v>
      </c>
    </row>
    <row r="246" spans="1:21" x14ac:dyDescent="0.45">
      <c r="A246" s="4">
        <v>340</v>
      </c>
      <c r="B246" s="4">
        <v>0</v>
      </c>
      <c r="C246" s="4">
        <v>0</v>
      </c>
      <c r="D246" s="1">
        <f>IF('исходные данные'!D246&gt;'минимумы и максимумы'!B$4,100,('исходные данные'!D246-'минимумы и максимумы'!B$2)/('минимумы и максимумы'!B$4-'минимумы и максимумы'!B$2)*100)</f>
        <v>0</v>
      </c>
      <c r="E246" s="1">
        <f>IF('исходные данные'!E246&gt;'минимумы и максимумы'!C$4,100,('исходные данные'!E246-'минимумы и максимумы'!C$2)/('минимумы и максимумы'!C$4-'минимумы и максимумы'!C$2)*100)</f>
        <v>0</v>
      </c>
      <c r="F246" s="1">
        <f>IF('исходные данные'!F246&gt;'минимумы и максимумы'!D$4,100,('исходные данные'!F246-'минимумы и максимумы'!D$2)/('минимумы и максимумы'!D$4-'минимумы и максимумы'!D$2)*100)</f>
        <v>0</v>
      </c>
      <c r="G246" s="1">
        <f>IF('исходные данные'!G246&gt;'минимумы и максимумы'!E$4,100,('исходные данные'!G246-'минимумы и максимумы'!E$2)/('минимумы и максимумы'!E$4-'минимумы и максимумы'!E$2)*100)</f>
        <v>0</v>
      </c>
      <c r="H246" s="1">
        <f>IF('исходные данные'!H246&gt;'минимумы и максимумы'!F$4,100,('исходные данные'!H246-'минимумы и максимумы'!F$2)/('минимумы и максимумы'!F$4-'минимумы и максимумы'!F$2)*100)</f>
        <v>0</v>
      </c>
      <c r="I246" s="1">
        <f>IF('исходные данные'!I246&gt;'минимумы и максимумы'!G$4,100,('исходные данные'!I246-'минимумы и максимумы'!G$2)/('минимумы и максимумы'!G$4-'минимумы и максимумы'!G$2)*100)</f>
        <v>0</v>
      </c>
      <c r="J246" s="1">
        <f>IF('исходные данные'!J246&gt;'минимумы и максимумы'!H$4,100,('исходные данные'!J246-'минимумы и максимумы'!H$2)/('минимумы и максимумы'!H$4-'минимумы и максимумы'!H$2)*100)</f>
        <v>0</v>
      </c>
      <c r="K246" s="1">
        <f>IF('исходные данные'!K246&gt;'минимумы и максимумы'!I$4,100,('исходные данные'!K246-'минимумы и максимумы'!I$2)/('минимумы и максимумы'!I$4-'минимумы и максимумы'!I$2)*100)</f>
        <v>0</v>
      </c>
      <c r="L246" s="1">
        <f>IF('исходные данные'!L246&gt;'минимумы и максимумы'!J$4,100,('исходные данные'!L246-'минимумы и максимумы'!J$2)/('минимумы и максимумы'!J$4-'минимумы и максимумы'!J$2)*100)</f>
        <v>0</v>
      </c>
      <c r="M246" s="1">
        <f>IF('исходные данные'!M246&gt;'минимумы и максимумы'!K$4,100,('исходные данные'!M246-'минимумы и максимумы'!K$2)/('минимумы и максимумы'!K$4-'минимумы и максимумы'!K$2)*100)</f>
        <v>0</v>
      </c>
      <c r="N246" s="1">
        <f>IF('исходные данные'!N246&gt;'минимумы и максимумы'!L$4,100,('исходные данные'!N246-'минимумы и максимумы'!L$2)/('минимумы и максимумы'!L$4-'минимумы и максимумы'!L$2)*100)</f>
        <v>36.09551719552438</v>
      </c>
      <c r="O246" s="1">
        <f>IF('исходные данные'!O246&gt;'минимумы и максимумы'!M$4,100,('исходные данные'!O246-'минимумы и максимумы'!M$2)/('минимумы и максимумы'!M$4-'минимумы и максимумы'!M$2)*100)</f>
        <v>0</v>
      </c>
      <c r="P246" s="1">
        <f>IF('исходные данные'!P246&gt;'минимумы и максимумы'!N$4,100,('исходные данные'!P246-'минимумы и максимумы'!N$2)/('минимумы и максимумы'!N$4-'минимумы и максимумы'!N$2)*100)</f>
        <v>0</v>
      </c>
      <c r="Q246" s="1">
        <f>IF('исходные данные'!Q246&gt;'минимумы и максимумы'!O$4,100,('исходные данные'!Q246-'минимумы и максимумы'!O$2)/('минимумы и максимумы'!O$4-'минимумы и максимумы'!O$2)*100)</f>
        <v>0</v>
      </c>
      <c r="R246" s="1">
        <f>IF('исходные данные'!R246&gt;'минимумы и максимумы'!P$4,100,('исходные данные'!R246-'минимумы и максимумы'!P$2)/('минимумы и максимумы'!P$4-'минимумы и максимумы'!P$2)*100)</f>
        <v>25</v>
      </c>
      <c r="S246" s="1">
        <f>IF('исходные данные'!S246&gt;'минимумы и максимумы'!Q$4,100,('исходные данные'!S246-'минимумы и максимумы'!Q$2)/('минимумы и максимумы'!Q$4-'минимумы и максимумы'!Q$2)*100)</f>
        <v>44.444444444444443</v>
      </c>
      <c r="T246" s="1">
        <f>IF('исходные данные'!T246&gt;'минимумы и максимумы'!R$4,100,('исходные данные'!T246-'минимумы и максимумы'!R$2)/('минимумы и максимумы'!R$4-'минимумы и максимумы'!R$2)*100)</f>
        <v>23.878020713463751</v>
      </c>
      <c r="U246" s="1">
        <f>IF('исходные данные'!U246&gt;'минимумы и максимумы'!S$4,100,('исходные данные'!U246-'минимумы и максимумы'!S$2)/('минимумы и максимумы'!S$4-'минимумы и максимумы'!S$2)*100)</f>
        <v>0</v>
      </c>
    </row>
    <row r="247" spans="1:21" x14ac:dyDescent="0.45">
      <c r="A247" s="4">
        <v>341</v>
      </c>
      <c r="B247" s="4">
        <v>0</v>
      </c>
      <c r="C247" s="4">
        <v>0</v>
      </c>
      <c r="D247" s="1">
        <f>IF('исходные данные'!D247&gt;'минимумы и максимумы'!B$4,100,('исходные данные'!D247-'минимумы и максимумы'!B$2)/('минимумы и максимумы'!B$4-'минимумы и максимумы'!B$2)*100)</f>
        <v>0</v>
      </c>
      <c r="E247" s="1">
        <f>IF('исходные данные'!E247&gt;'минимумы и максимумы'!C$4,100,('исходные данные'!E247-'минимумы и максимумы'!C$2)/('минимумы и максимумы'!C$4-'минимумы и максимумы'!C$2)*100)</f>
        <v>6.25</v>
      </c>
      <c r="F247" s="1">
        <f>IF('исходные данные'!F247&gt;'минимумы и максимумы'!D$4,100,('исходные данные'!F247-'минимумы и максимумы'!D$2)/('минимумы и максимумы'!D$4-'минимумы и максимумы'!D$2)*100)</f>
        <v>25</v>
      </c>
      <c r="G247" s="1">
        <f>IF('исходные данные'!G247&gt;'минимумы и максимумы'!E$4,100,('исходные данные'!G247-'минимумы и максимумы'!E$2)/('минимумы и максимумы'!E$4-'минимумы и максимумы'!E$2)*100)</f>
        <v>5.4054054054054053</v>
      </c>
      <c r="H247" s="1">
        <f>IF('исходные данные'!H247&gt;'минимумы и максимумы'!F$4,100,('исходные данные'!H247-'минимумы и максимумы'!F$2)/('минимумы и максимумы'!F$4-'минимумы и максимумы'!F$2)*100)</f>
        <v>5.2631578947368416</v>
      </c>
      <c r="I247" s="1">
        <f>IF('исходные данные'!I247&gt;'минимумы и максимумы'!G$4,100,('исходные данные'!I247-'минимумы и максимумы'!G$2)/('минимумы и максимумы'!G$4-'минимумы и максимумы'!G$2)*100)</f>
        <v>1.2048192771084338</v>
      </c>
      <c r="J247" s="1">
        <f>IF('исходные данные'!J247&gt;'минимумы и максимумы'!H$4,100,('исходные данные'!J247-'минимумы и максимумы'!H$2)/('минимумы и максимумы'!H$4-'минимумы и максимумы'!H$2)*100)</f>
        <v>0</v>
      </c>
      <c r="K247" s="1">
        <f>IF('исходные данные'!K247&gt;'минимумы и максимумы'!I$4,100,('исходные данные'!K247-'минимумы и максимумы'!I$2)/('минимумы и максимумы'!I$4-'минимумы и максимумы'!I$2)*100)</f>
        <v>3.5714285714285712</v>
      </c>
      <c r="L247" s="1">
        <f>IF('исходные данные'!L247&gt;'минимумы и максимумы'!J$4,100,('исходные данные'!L247-'минимумы и максимумы'!J$2)/('минимумы и максимумы'!J$4-'минимумы и максимумы'!J$2)*100)</f>
        <v>0</v>
      </c>
      <c r="M247" s="1">
        <f>IF('исходные данные'!M247&gt;'минимумы и максимумы'!K$4,100,('исходные данные'!M247-'минимумы и максимумы'!K$2)/('минимумы и максимумы'!K$4-'минимумы и максимумы'!K$2)*100)</f>
        <v>6.3829787234042552</v>
      </c>
      <c r="N247" s="1">
        <f>IF('исходные данные'!N247&gt;'минимумы и максимумы'!L$4,100,('исходные данные'!N247-'минимумы и максимумы'!L$2)/('минимумы и максимумы'!L$4-'минимумы и максимумы'!L$2)*100)</f>
        <v>33.260510272132677</v>
      </c>
      <c r="O247" s="1">
        <f>IF('исходные данные'!O247&gt;'минимумы и максимумы'!M$4,100,('исходные данные'!O247-'минимумы и максимумы'!M$2)/('минимумы и максимумы'!M$4-'минимумы и максимумы'!M$2)*100)</f>
        <v>66.666666666666657</v>
      </c>
      <c r="P247" s="1">
        <f>IF('исходные данные'!P247&gt;'минимумы и максимумы'!N$4,100,('исходные данные'!P247-'минимумы и максимумы'!N$2)/('минимумы и максимумы'!N$4-'минимумы и максимумы'!N$2)*100)</f>
        <v>100</v>
      </c>
      <c r="Q247" s="1">
        <f>IF('исходные данные'!Q247&gt;'минимумы и максимумы'!O$4,100,('исходные данные'!Q247-'минимумы и максимумы'!O$2)/('минимумы и максимумы'!O$4-'минимумы и максимумы'!O$2)*100)</f>
        <v>100</v>
      </c>
      <c r="R247" s="1">
        <f>IF('исходные данные'!R247&gt;'минимумы и максимумы'!P$4,100,('исходные данные'!R247-'минимумы и максимумы'!P$2)/('минимумы и максимумы'!P$4-'минимумы и максимумы'!P$2)*100)</f>
        <v>75</v>
      </c>
      <c r="S247" s="1">
        <f>IF('исходные данные'!S247&gt;'минимумы и максимумы'!Q$4,100,('исходные данные'!S247-'минимумы и максимумы'!Q$2)/('минимумы и максимумы'!Q$4-'минимумы и максимумы'!Q$2)*100)</f>
        <v>22.222222222222221</v>
      </c>
      <c r="T247" s="1">
        <f>IF('исходные данные'!T247&gt;'минимумы и максимумы'!R$4,100,('исходные данные'!T247-'минимумы и максимумы'!R$2)/('минимумы и максимумы'!R$4-'минимумы и максимумы'!R$2)*100)</f>
        <v>3.0782508630609899</v>
      </c>
      <c r="U247" s="1">
        <f>IF('исходные данные'!U247&gt;'минимумы и максимумы'!S$4,100,('исходные данные'!U247-'минимумы и максимумы'!S$2)/('минимумы и максимумы'!S$4-'минимумы и максимумы'!S$2)*100)</f>
        <v>0</v>
      </c>
    </row>
    <row r="248" spans="1:21" x14ac:dyDescent="0.45">
      <c r="A248" s="4">
        <v>342</v>
      </c>
      <c r="B248" s="4">
        <v>0</v>
      </c>
      <c r="C248" s="4">
        <v>0</v>
      </c>
      <c r="D248" s="1">
        <f>IF('исходные данные'!D248&gt;'минимумы и максимумы'!B$4,100,('исходные данные'!D248-'минимумы и максимумы'!B$2)/('минимумы и максимумы'!B$4-'минимумы и максимумы'!B$2)*100)</f>
        <v>12.5</v>
      </c>
      <c r="E248" s="1">
        <f>IF('исходные данные'!E248&gt;'минимумы и максимумы'!C$4,100,('исходные данные'!E248-'минимумы и максимумы'!C$2)/('минимумы и максимумы'!C$4-'минимумы и максимумы'!C$2)*100)</f>
        <v>12.5</v>
      </c>
      <c r="F248" s="1">
        <f>IF('исходные данные'!F248&gt;'минимумы и максимумы'!D$4,100,('исходные данные'!F248-'минимумы и максимумы'!D$2)/('минимумы и максимумы'!D$4-'минимумы и максимумы'!D$2)*100)</f>
        <v>0</v>
      </c>
      <c r="G248" s="1">
        <f>IF('исходные данные'!G248&gt;'минимумы и максимумы'!E$4,100,('исходные данные'!G248-'минимумы и максимумы'!E$2)/('минимумы и максимумы'!E$4-'минимумы и максимумы'!E$2)*100)</f>
        <v>13.513513513513514</v>
      </c>
      <c r="H248" s="1">
        <f>IF('исходные данные'!H248&gt;'минимумы и максимумы'!F$4,100,('исходные данные'!H248-'минимумы и максимумы'!F$2)/('минимумы и максимумы'!F$4-'минимумы и максимумы'!F$2)*100)</f>
        <v>23.684210526315788</v>
      </c>
      <c r="I248" s="1">
        <f>IF('исходные данные'!I248&gt;'минимумы и максимумы'!G$4,100,('исходные данные'!I248-'минимумы и максимумы'!G$2)/('минимумы и максимумы'!G$4-'минимумы и максимумы'!G$2)*100)</f>
        <v>7.2289156626506017</v>
      </c>
      <c r="J248" s="1">
        <f>IF('исходные данные'!J248&gt;'минимумы и максимумы'!H$4,100,('исходные данные'!J248-'минимумы и максимумы'!H$2)/('минимумы и максимумы'!H$4-'минимумы и максимумы'!H$2)*100)</f>
        <v>8.3333333333333321</v>
      </c>
      <c r="K248" s="1">
        <f>IF('исходные данные'!K248&gt;'минимумы и максимумы'!I$4,100,('исходные данные'!K248-'минимумы и максимумы'!I$2)/('минимумы и максимумы'!I$4-'минимумы и максимумы'!I$2)*100)</f>
        <v>0</v>
      </c>
      <c r="L248" s="1">
        <f>IF('исходные данные'!L248&gt;'минимумы и максимумы'!J$4,100,('исходные данные'!L248-'минимумы и максимумы'!J$2)/('минимумы и максимумы'!J$4-'минимумы и максимумы'!J$2)*100)</f>
        <v>12.5</v>
      </c>
      <c r="M248" s="1">
        <f>IF('исходные данные'!M248&gt;'минимумы и максимумы'!K$4,100,('исходные данные'!M248-'минимумы и максимумы'!K$2)/('минимумы и максимумы'!K$4-'минимумы и максимумы'!K$2)*100)</f>
        <v>21.276595744680851</v>
      </c>
      <c r="N248" s="1">
        <f>IF('исходные данные'!N248&gt;'минимумы и максимумы'!L$4,100,('исходные данные'!N248-'минимумы и максимумы'!L$2)/('минимумы и максимумы'!L$4-'минимумы и максимумы'!L$2)*100)</f>
        <v>33.77120475881042</v>
      </c>
      <c r="O248" s="1">
        <f>IF('исходные данные'!O248&gt;'минимумы и максимумы'!M$4,100,('исходные данные'!O248-'минимумы и максимумы'!M$2)/('минимумы и максимумы'!M$4-'минимумы и максимумы'!M$2)*100)</f>
        <v>0</v>
      </c>
      <c r="P248" s="1">
        <f>IF('исходные данные'!P248&gt;'минимумы и максимумы'!N$4,100,('исходные данные'!P248-'минимумы и максимумы'!N$2)/('минимумы и максимумы'!N$4-'минимумы и максимумы'!N$2)*100)</f>
        <v>0</v>
      </c>
      <c r="Q248" s="1">
        <f>IF('исходные данные'!Q248&gt;'минимумы и максимумы'!O$4,100,('исходные данные'!Q248-'минимумы и максимумы'!O$2)/('минимумы и максимумы'!O$4-'минимумы и максимумы'!O$2)*100)</f>
        <v>100</v>
      </c>
      <c r="R248" s="1">
        <f>IF('исходные данные'!R248&gt;'минимумы и максимумы'!P$4,100,('исходные данные'!R248-'минимумы и максимумы'!P$2)/('минимумы и максимумы'!P$4-'минимумы и максимумы'!P$2)*100)</f>
        <v>100</v>
      </c>
      <c r="S248" s="1">
        <f>IF('исходные данные'!S248&gt;'минимумы и максимумы'!Q$4,100,('исходные данные'!S248-'минимумы и максимумы'!Q$2)/('минимумы и максимумы'!Q$4-'минимумы и максимумы'!Q$2)*100)</f>
        <v>33.333333333333329</v>
      </c>
      <c r="T248" s="1">
        <f>IF('исходные данные'!T248&gt;'минимумы и максимумы'!R$4,100,('исходные данные'!T248-'минимумы и максимумы'!R$2)/('минимумы и максимумы'!R$4-'минимумы и максимумы'!R$2)*100)</f>
        <v>3.4234752589182968</v>
      </c>
      <c r="U248" s="1">
        <f>IF('исходные данные'!U248&gt;'минимумы и максимумы'!S$4,100,('исходные данные'!U248-'минимумы и максимумы'!S$2)/('минимумы и максимумы'!S$4-'минимумы и максимумы'!S$2)*100)</f>
        <v>0</v>
      </c>
    </row>
    <row r="249" spans="1:21" x14ac:dyDescent="0.45">
      <c r="A249" s="4">
        <v>343</v>
      </c>
      <c r="B249" s="4">
        <v>0</v>
      </c>
      <c r="C249" s="4">
        <v>0</v>
      </c>
      <c r="D249" s="1">
        <f>IF('исходные данные'!D249&gt;'минимумы и максимумы'!B$4,100,('исходные данные'!D249-'минимумы и максимумы'!B$2)/('минимумы и максимумы'!B$4-'минимумы и максимумы'!B$2)*100)</f>
        <v>12.5</v>
      </c>
      <c r="E249" s="1">
        <f>IF('исходные данные'!E249&gt;'минимумы и максимумы'!C$4,100,('исходные данные'!E249-'минимумы и максимумы'!C$2)/('минимумы и максимумы'!C$4-'минимумы и максимумы'!C$2)*100)</f>
        <v>12.5</v>
      </c>
      <c r="F249" s="1">
        <f>IF('исходные данные'!F249&gt;'минимумы и максимумы'!D$4,100,('исходные данные'!F249-'минимумы и максимумы'!D$2)/('минимумы и максимумы'!D$4-'минимумы и максимумы'!D$2)*100)</f>
        <v>25</v>
      </c>
      <c r="G249" s="1">
        <f>IF('исходные данные'!G249&gt;'минимумы и максимумы'!E$4,100,('исходные данные'!G249-'минимумы и максимумы'!E$2)/('минимумы и максимумы'!E$4-'минимумы и максимумы'!E$2)*100)</f>
        <v>13.513513513513514</v>
      </c>
      <c r="H249" s="1">
        <f>IF('исходные данные'!H249&gt;'минимумы и максимумы'!F$4,100,('исходные данные'!H249-'минимумы и максимумы'!F$2)/('минимумы и максимумы'!F$4-'минимумы и максимумы'!F$2)*100)</f>
        <v>23.684210526315788</v>
      </c>
      <c r="I249" s="1">
        <f>IF('исходные данные'!I249&gt;'минимумы и максимумы'!G$4,100,('исходные данные'!I249-'минимумы и максимумы'!G$2)/('минимумы и максимумы'!G$4-'минимумы и максимумы'!G$2)*100)</f>
        <v>7.2289156626506017</v>
      </c>
      <c r="J249" s="1">
        <f>IF('исходные данные'!J249&gt;'минимумы и максимумы'!H$4,100,('исходные данные'!J249-'минимумы и максимумы'!H$2)/('минимумы и максимумы'!H$4-'минимумы и максимумы'!H$2)*100)</f>
        <v>8.3333333333333321</v>
      </c>
      <c r="K249" s="1">
        <f>IF('исходные данные'!K249&gt;'минимумы и максимумы'!I$4,100,('исходные данные'!K249-'минимумы и максимумы'!I$2)/('минимумы и максимумы'!I$4-'минимумы и максимумы'!I$2)*100)</f>
        <v>0</v>
      </c>
      <c r="L249" s="1">
        <f>IF('исходные данные'!L249&gt;'минимумы и максимумы'!J$4,100,('исходные данные'!L249-'минимумы и максимумы'!J$2)/('минимумы и максимумы'!J$4-'минимумы и максимумы'!J$2)*100)</f>
        <v>0</v>
      </c>
      <c r="M249" s="1">
        <f>IF('исходные данные'!M249&gt;'минимумы и максимумы'!K$4,100,('исходные данные'!M249-'минимумы и максимумы'!K$2)/('минимумы и максимумы'!K$4-'минимумы и максимумы'!K$2)*100)</f>
        <v>21.276595744680851</v>
      </c>
      <c r="N249" s="1">
        <f>IF('исходные данные'!N249&gt;'минимумы и максимумы'!L$4,100,('исходные данные'!N249-'минимумы и максимумы'!L$2)/('минимумы и максимумы'!L$4-'минимумы и максимумы'!L$2)*100)</f>
        <v>33.024719400688838</v>
      </c>
      <c r="O249" s="1">
        <f>IF('исходные данные'!O249&gt;'минимумы и максимумы'!M$4,100,('исходные данные'!O249-'минимумы и максимумы'!M$2)/('минимумы и максимумы'!M$4-'минимумы и максимумы'!M$2)*100)</f>
        <v>66.666666666666657</v>
      </c>
      <c r="P249" s="1">
        <f>IF('исходные данные'!P249&gt;'минимумы и максимумы'!N$4,100,('исходные данные'!P249-'минимумы и максимумы'!N$2)/('минимумы и максимумы'!N$4-'минимумы и максимумы'!N$2)*100)</f>
        <v>0</v>
      </c>
      <c r="Q249" s="1">
        <f>IF('исходные данные'!Q249&gt;'минимумы и максимумы'!O$4,100,('исходные данные'!Q249-'минимумы и максимумы'!O$2)/('минимумы и максимумы'!O$4-'минимумы и максимумы'!O$2)*100)</f>
        <v>0</v>
      </c>
      <c r="R249" s="1">
        <f>IF('исходные данные'!R249&gt;'минимумы и максимумы'!P$4,100,('исходные данные'!R249-'минимумы и максимумы'!P$2)/('минимумы и максимумы'!P$4-'минимумы и максимумы'!P$2)*100)</f>
        <v>75</v>
      </c>
      <c r="S249" s="1">
        <f>IF('исходные данные'!S249&gt;'минимумы и максимумы'!Q$4,100,('исходные данные'!S249-'минимумы и максимумы'!Q$2)/('минимумы и максимумы'!Q$4-'минимумы и максимумы'!Q$2)*100)</f>
        <v>11.111111111111111</v>
      </c>
      <c r="T249" s="1">
        <f>IF('исходные данные'!T249&gt;'минимумы и максимумы'!R$4,100,('исходные данные'!T249-'минимумы и максимумы'!R$2)/('минимумы и максимумы'!R$4-'минимумы и максимумы'!R$2)*100)</f>
        <v>5.6962025316455698</v>
      </c>
      <c r="U249" s="1">
        <f>IF('исходные данные'!U249&gt;'минимумы и максимумы'!S$4,100,('исходные данные'!U249-'минимумы и максимумы'!S$2)/('минимумы и максимумы'!S$4-'минимумы и максимумы'!S$2)*100)</f>
        <v>0</v>
      </c>
    </row>
    <row r="250" spans="1:21" x14ac:dyDescent="0.45">
      <c r="A250" s="4">
        <v>344</v>
      </c>
      <c r="B250" s="4">
        <v>0</v>
      </c>
      <c r="C250" s="4">
        <v>0</v>
      </c>
      <c r="D250" s="1">
        <f>IF('исходные данные'!D250&gt;'минимумы и максимумы'!B$4,100,('исходные данные'!D250-'минимумы и максимумы'!B$2)/('минимумы и максимумы'!B$4-'минимумы и максимумы'!B$2)*100)</f>
        <v>37.5</v>
      </c>
      <c r="E250" s="1">
        <f>IF('исходные данные'!E250&gt;'минимумы и максимумы'!C$4,100,('исходные данные'!E250-'минимумы и максимумы'!C$2)/('минимумы и максимумы'!C$4-'минимумы и максимумы'!C$2)*100)</f>
        <v>12.5</v>
      </c>
      <c r="F250" s="1">
        <f>IF('исходные данные'!F250&gt;'минимумы и максимумы'!D$4,100,('исходные данные'!F250-'минимумы и максимумы'!D$2)/('минимумы и максимумы'!D$4-'минимумы и максимумы'!D$2)*100)</f>
        <v>0</v>
      </c>
      <c r="G250" s="1">
        <f>IF('исходные данные'!G250&gt;'минимумы и максимумы'!E$4,100,('исходные данные'!G250-'минимумы и максимумы'!E$2)/('минимумы и максимумы'!E$4-'минимумы и максимумы'!E$2)*100)</f>
        <v>21.621621621621621</v>
      </c>
      <c r="H250" s="1">
        <f>IF('исходные данные'!H250&gt;'минимумы и максимумы'!F$4,100,('исходные данные'!H250-'минимумы и максимумы'!F$2)/('минимумы и максимумы'!F$4-'минимумы и максимумы'!F$2)*100)</f>
        <v>26.315789473684209</v>
      </c>
      <c r="I250" s="1">
        <f>IF('исходные данные'!I250&gt;'минимумы и максимумы'!G$4,100,('исходные данные'!I250-'минимумы и максимумы'!G$2)/('минимумы и максимумы'!G$4-'минимумы и максимумы'!G$2)*100)</f>
        <v>8.4337349397590362</v>
      </c>
      <c r="J250" s="1">
        <f>IF('исходные данные'!J250&gt;'минимумы и максимумы'!H$4,100,('исходные данные'!J250-'минимумы и максимумы'!H$2)/('минимумы и максимумы'!H$4-'минимумы и максимумы'!H$2)*100)</f>
        <v>8.3333333333333321</v>
      </c>
      <c r="K250" s="1">
        <f>IF('исходные данные'!K250&gt;'минимумы и максимумы'!I$4,100,('исходные данные'!K250-'минимумы и максимумы'!I$2)/('минимумы и максимумы'!I$4-'минимумы и максимумы'!I$2)*100)</f>
        <v>0</v>
      </c>
      <c r="L250" s="1">
        <f>IF('исходные данные'!L250&gt;'минимумы и максимумы'!J$4,100,('исходные данные'!L250-'минимумы и максимумы'!J$2)/('минимумы и максимумы'!J$4-'минимумы и максимумы'!J$2)*100)</f>
        <v>12.5</v>
      </c>
      <c r="M250" s="1">
        <f>IF('исходные данные'!M250&gt;'минимумы и максимумы'!K$4,100,('исходные данные'!M250-'минимумы и максимумы'!K$2)/('минимумы и максимумы'!K$4-'минимумы и максимумы'!K$2)*100)</f>
        <v>25.531914893617021</v>
      </c>
      <c r="N250" s="1">
        <f>IF('исходные данные'!N250&gt;'минимумы и максимумы'!L$4,100,('исходные данные'!N250-'минимумы и максимумы'!L$2)/('минимумы и максимумы'!L$4-'минимумы и максимумы'!L$2)*100)</f>
        <v>32.700978547811793</v>
      </c>
      <c r="O250" s="1">
        <f>IF('исходные данные'!O250&gt;'минимумы и максимумы'!M$4,100,('исходные данные'!O250-'минимумы и максимумы'!M$2)/('минимумы и максимумы'!M$4-'минимумы и максимумы'!M$2)*100)</f>
        <v>100</v>
      </c>
      <c r="P250" s="1">
        <f>IF('исходные данные'!P250&gt;'минимумы и максимумы'!N$4,100,('исходные данные'!P250-'минимумы и максимумы'!N$2)/('минимумы и максимумы'!N$4-'минимумы и максимумы'!N$2)*100)</f>
        <v>0</v>
      </c>
      <c r="Q250" s="1">
        <f>IF('исходные данные'!Q250&gt;'минимумы и максимумы'!O$4,100,('исходные данные'!Q250-'минимумы и максимумы'!O$2)/('минимумы и максимумы'!O$4-'минимумы и максимумы'!O$2)*100)</f>
        <v>100</v>
      </c>
      <c r="R250" s="1">
        <f>IF('исходные данные'!R250&gt;'минимумы и максимумы'!P$4,100,('исходные данные'!R250-'минимумы и максимумы'!P$2)/('минимумы и максимумы'!P$4-'минимумы и максимумы'!P$2)*100)</f>
        <v>25</v>
      </c>
      <c r="S250" s="1">
        <f>IF('исходные данные'!S250&gt;'минимумы и максимумы'!Q$4,100,('исходные данные'!S250-'минимумы и максимумы'!Q$2)/('минимумы и максимумы'!Q$4-'минимумы и максимумы'!Q$2)*100)</f>
        <v>11.111111111111111</v>
      </c>
      <c r="T250" s="1">
        <f>IF('исходные данные'!T250&gt;'минимумы и максимумы'!R$4,100,('исходные данные'!T250-'минимумы и максимумы'!R$2)/('минимумы и максимумы'!R$4-'минимумы и максимумы'!R$2)*100)</f>
        <v>3.6823935558112773</v>
      </c>
      <c r="U250" s="1">
        <f>IF('исходные данные'!U250&gt;'минимумы и максимумы'!S$4,100,('исходные данные'!U250-'минимумы и максимумы'!S$2)/('минимумы и максимумы'!S$4-'минимумы и максимумы'!S$2)*100)</f>
        <v>0</v>
      </c>
    </row>
    <row r="251" spans="1:21" x14ac:dyDescent="0.45">
      <c r="A251" s="4">
        <v>345</v>
      </c>
      <c r="B251" s="4">
        <v>0</v>
      </c>
      <c r="C251" s="4">
        <v>1</v>
      </c>
      <c r="D251" s="1">
        <f>IF('исходные данные'!D251&gt;'минимумы и максимумы'!B$4,100,('исходные данные'!D251-'минимумы и максимумы'!B$2)/('минимумы и максимумы'!B$4-'минимумы и максимумы'!B$2)*100)</f>
        <v>37.5</v>
      </c>
      <c r="E251" s="1">
        <f>IF('исходные данные'!E251&gt;'минимумы и максимумы'!C$4,100,('исходные данные'!E251-'минимумы и максимумы'!C$2)/('минимумы и максимумы'!C$4-'минимумы и максимумы'!C$2)*100)</f>
        <v>12.5</v>
      </c>
      <c r="F251" s="1">
        <f>IF('исходные данные'!F251&gt;'минимумы и максимумы'!D$4,100,('исходные данные'!F251-'минимумы и максимумы'!D$2)/('минимумы и максимумы'!D$4-'минимумы и максимумы'!D$2)*100)</f>
        <v>0</v>
      </c>
      <c r="G251" s="1">
        <f>IF('исходные данные'!G251&gt;'минимумы и максимумы'!E$4,100,('исходные данные'!G251-'минимумы и максимумы'!E$2)/('минимумы и максимумы'!E$4-'минимумы и максимумы'!E$2)*100)</f>
        <v>21.621621621621621</v>
      </c>
      <c r="H251" s="1">
        <f>IF('исходные данные'!H251&gt;'минимумы и максимумы'!F$4,100,('исходные данные'!H251-'минимумы и максимумы'!F$2)/('минимумы и максимумы'!F$4-'минимумы и максимумы'!F$2)*100)</f>
        <v>26.315789473684209</v>
      </c>
      <c r="I251" s="1">
        <f>IF('исходные данные'!I251&gt;'минимумы и максимумы'!G$4,100,('исходные данные'!I251-'минимумы и максимумы'!G$2)/('минимумы и максимумы'!G$4-'минимумы и максимумы'!G$2)*100)</f>
        <v>8.4337349397590362</v>
      </c>
      <c r="J251" s="1">
        <f>IF('исходные данные'!J251&gt;'минимумы и максимумы'!H$4,100,('исходные данные'!J251-'минимумы и максимумы'!H$2)/('минимумы и максимумы'!H$4-'минимумы и максимумы'!H$2)*100)</f>
        <v>8.3333333333333321</v>
      </c>
      <c r="K251" s="1">
        <f>IF('исходные данные'!K251&gt;'минимумы и максимумы'!I$4,100,('исходные данные'!K251-'минимумы и максимумы'!I$2)/('минимумы и максимумы'!I$4-'минимумы и максимумы'!I$2)*100)</f>
        <v>0</v>
      </c>
      <c r="L251" s="1">
        <f>IF('исходные данные'!L251&gt;'минимумы и максимумы'!J$4,100,('исходные данные'!L251-'минимумы и максимумы'!J$2)/('минимумы и максимумы'!J$4-'минимумы и максимумы'!J$2)*100)</f>
        <v>12.5</v>
      </c>
      <c r="M251" s="1">
        <f>IF('исходные данные'!M251&gt;'минимумы и максимумы'!K$4,100,('исходные данные'!M251-'минимумы и максимумы'!K$2)/('минимумы и максимумы'!K$4-'минимумы и максимумы'!K$2)*100)</f>
        <v>25.531914893617021</v>
      </c>
      <c r="N251" s="1">
        <f>IF('исходные данные'!N251&gt;'минимумы и максимумы'!L$4,100,('исходные данные'!N251-'минимумы и максимумы'!L$2)/('минимумы и максимумы'!L$4-'минимумы и максимумы'!L$2)*100)</f>
        <v>32.974026817990854</v>
      </c>
      <c r="O251" s="1">
        <f>IF('исходные данные'!O251&gt;'минимумы и максимумы'!M$4,100,('исходные данные'!O251-'минимумы и максимумы'!M$2)/('минимумы и максимумы'!M$4-'минимумы и максимумы'!M$2)*100)</f>
        <v>0</v>
      </c>
      <c r="P251" s="1">
        <f>IF('исходные данные'!P251&gt;'минимумы и максимумы'!N$4,100,('исходные данные'!P251-'минимумы и максимумы'!N$2)/('минимумы и максимумы'!N$4-'минимумы и максимумы'!N$2)*100)</f>
        <v>0</v>
      </c>
      <c r="Q251" s="1">
        <f>IF('исходные данные'!Q251&gt;'минимумы и максимумы'!O$4,100,('исходные данные'!Q251-'минимумы и максимумы'!O$2)/('минимумы и максимумы'!O$4-'минимумы и максимумы'!O$2)*100)</f>
        <v>0</v>
      </c>
      <c r="R251" s="1">
        <f>IF('исходные данные'!R251&gt;'минимумы и максимумы'!P$4,100,('исходные данные'!R251-'минимумы и максимумы'!P$2)/('минимумы и максимумы'!P$4-'минимумы и максимумы'!P$2)*100)</f>
        <v>25</v>
      </c>
      <c r="S251" s="1">
        <f>IF('исходные данные'!S251&gt;'минимумы и максимумы'!Q$4,100,('исходные данные'!S251-'минимумы и максимумы'!Q$2)/('минимумы и максимумы'!Q$4-'минимумы и максимумы'!Q$2)*100)</f>
        <v>11.111111111111111</v>
      </c>
      <c r="T251" s="1">
        <f>IF('исходные данные'!T251&gt;'минимумы и максимумы'!R$4,100,('исходные данные'!T251-'минимумы и максимумы'!R$2)/('минимумы и максимумы'!R$4-'минимумы и максимумы'!R$2)*100)</f>
        <v>7.0483314154200229</v>
      </c>
      <c r="U251" s="1">
        <f>IF('исходные данные'!U251&gt;'минимумы и максимумы'!S$4,100,('исходные данные'!U251-'минимумы и максимумы'!S$2)/('минимумы и максимумы'!S$4-'минимумы и максимумы'!S$2)*100)</f>
        <v>0</v>
      </c>
    </row>
    <row r="252" spans="1:21" x14ac:dyDescent="0.45">
      <c r="A252" s="4">
        <v>346</v>
      </c>
      <c r="B252" s="4">
        <v>0</v>
      </c>
      <c r="C252" s="4">
        <v>0</v>
      </c>
      <c r="D252" s="1">
        <f>IF('исходные данные'!D252&gt;'минимумы и максимумы'!B$4,100,('исходные данные'!D252-'минимумы и максимумы'!B$2)/('минимумы и максимумы'!B$4-'минимумы и максимумы'!B$2)*100)</f>
        <v>0</v>
      </c>
      <c r="E252" s="1">
        <f>IF('исходные данные'!E252&gt;'минимумы и максимумы'!C$4,100,('исходные данные'!E252-'минимумы и максимумы'!C$2)/('минимумы и максимумы'!C$4-'минимумы и максимумы'!C$2)*100)</f>
        <v>0</v>
      </c>
      <c r="F252" s="1">
        <f>IF('исходные данные'!F252&gt;'минимумы и максимумы'!D$4,100,('исходные данные'!F252-'минимумы и максимумы'!D$2)/('минимумы и максимумы'!D$4-'минимумы и максимумы'!D$2)*100)</f>
        <v>0</v>
      </c>
      <c r="G252" s="1">
        <f>IF('исходные данные'!G252&gt;'минимумы и максимумы'!E$4,100,('исходные данные'!G252-'минимумы и максимумы'!E$2)/('минимумы и максимумы'!E$4-'минимумы и максимумы'!E$2)*100)</f>
        <v>0</v>
      </c>
      <c r="H252" s="1">
        <f>IF('исходные данные'!H252&gt;'минимумы и максимумы'!F$4,100,('исходные данные'!H252-'минимумы и максимумы'!F$2)/('минимумы и максимумы'!F$4-'минимумы и максимумы'!F$2)*100)</f>
        <v>0</v>
      </c>
      <c r="I252" s="1">
        <f>IF('исходные данные'!I252&gt;'минимумы и максимумы'!G$4,100,('исходные данные'!I252-'минимумы и максимумы'!G$2)/('минимумы и максимумы'!G$4-'минимумы и максимумы'!G$2)*100)</f>
        <v>2.4096385542168677</v>
      </c>
      <c r="J252" s="1">
        <f>IF('исходные данные'!J252&gt;'минимумы и максимумы'!H$4,100,('исходные данные'!J252-'минимумы и максимумы'!H$2)/('минимумы и максимумы'!H$4-'минимумы и максимумы'!H$2)*100)</f>
        <v>0</v>
      </c>
      <c r="K252" s="1">
        <f>IF('исходные данные'!K252&gt;'минимумы и максимумы'!I$4,100,('исходные данные'!K252-'минимумы и максимумы'!I$2)/('минимумы и максимумы'!I$4-'минимумы и максимумы'!I$2)*100)</f>
        <v>0</v>
      </c>
      <c r="L252" s="1">
        <f>IF('исходные данные'!L252&gt;'минимумы и максимумы'!J$4,100,('исходные данные'!L252-'минимумы и максимумы'!J$2)/('минимумы и максимумы'!J$4-'минимумы и максимумы'!J$2)*100)</f>
        <v>0</v>
      </c>
      <c r="M252" s="1">
        <f>IF('исходные данные'!M252&gt;'минимумы и максимумы'!K$4,100,('исходные данные'!M252-'минимумы и максимумы'!K$2)/('минимумы и максимумы'!K$4-'минимумы и максимумы'!K$2)*100)</f>
        <v>6.3829787234042552</v>
      </c>
      <c r="N252" s="1">
        <f>IF('исходные данные'!N252&gt;'минимумы и максимумы'!L$4,100,('исходные данные'!N252-'минимумы и максимумы'!L$2)/('минимумы и максимумы'!L$4-'минимумы и максимумы'!L$2)*100)</f>
        <v>30.507714256794767</v>
      </c>
      <c r="O252" s="1">
        <f>IF('исходные данные'!O252&gt;'минимумы и максимумы'!M$4,100,('исходные данные'!O252-'минимумы и максимумы'!M$2)/('минимумы и максимумы'!M$4-'минимумы и максимумы'!M$2)*100)</f>
        <v>33.333333333333329</v>
      </c>
      <c r="P252" s="1">
        <f>IF('исходные данные'!P252&gt;'минимумы и максимумы'!N$4,100,('исходные данные'!P252-'минимумы и максимумы'!N$2)/('минимумы и максимумы'!N$4-'минимумы и максимумы'!N$2)*100)</f>
        <v>100</v>
      </c>
      <c r="Q252" s="1">
        <f>IF('исходные данные'!Q252&gt;'минимумы и максимумы'!O$4,100,('исходные данные'!Q252-'минимумы и максимумы'!O$2)/('минимумы и максимумы'!O$4-'минимумы и максимумы'!O$2)*100)</f>
        <v>100</v>
      </c>
      <c r="R252" s="1">
        <f>IF('исходные данные'!R252&gt;'минимумы и максимумы'!P$4,100,('исходные данные'!R252-'минимумы и максимумы'!P$2)/('минимумы и максимумы'!P$4-'минимумы и максимумы'!P$2)*100)</f>
        <v>75</v>
      </c>
      <c r="S252" s="1">
        <f>IF('исходные данные'!S252&gt;'минимумы и максимумы'!Q$4,100,('исходные данные'!S252-'минимумы и максимумы'!Q$2)/('минимумы и максимумы'!Q$4-'минимумы и максимумы'!Q$2)*100)</f>
        <v>22.222222222222221</v>
      </c>
      <c r="T252" s="1">
        <f>IF('исходные данные'!T252&gt;'минимумы и максимумы'!R$4,100,('исходные данные'!T252-'минимумы и максимумы'!R$2)/('минимумы и максимумы'!R$4-'минимумы и максимумы'!R$2)*100)</f>
        <v>14.959723820483314</v>
      </c>
      <c r="U252" s="1">
        <f>IF('исходные данные'!U252&gt;'минимумы и максимумы'!S$4,100,('исходные данные'!U252-'минимумы и максимумы'!S$2)/('минимумы и максимумы'!S$4-'минимумы и максимумы'!S$2)*100)</f>
        <v>33.333333333333329</v>
      </c>
    </row>
    <row r="253" spans="1:21" x14ac:dyDescent="0.45">
      <c r="A253" s="4">
        <v>347</v>
      </c>
      <c r="B253" s="4">
        <v>0</v>
      </c>
      <c r="C253" s="4">
        <v>0</v>
      </c>
      <c r="D253" s="1">
        <f>IF('исходные данные'!D253&gt;'минимумы и максимумы'!B$4,100,('исходные данные'!D253-'минимумы и максимумы'!B$2)/('минимумы и максимумы'!B$4-'минимумы и максимумы'!B$2)*100)</f>
        <v>0</v>
      </c>
      <c r="E253" s="1">
        <f>IF('исходные данные'!E253&gt;'минимумы и максимумы'!C$4,100,('исходные данные'!E253-'минимумы и максимумы'!C$2)/('минимумы и максимумы'!C$4-'минимумы и максимумы'!C$2)*100)</f>
        <v>0</v>
      </c>
      <c r="F253" s="1">
        <f>IF('исходные данные'!F253&gt;'минимумы и максимумы'!D$4,100,('исходные данные'!F253-'минимумы и максимумы'!D$2)/('минимумы и максимумы'!D$4-'минимумы и максимумы'!D$2)*100)</f>
        <v>0</v>
      </c>
      <c r="G253" s="1">
        <f>IF('исходные данные'!G253&gt;'минимумы и максимумы'!E$4,100,('исходные данные'!G253-'минимумы и максимумы'!E$2)/('минимумы и максимумы'!E$4-'минимумы и максимумы'!E$2)*100)</f>
        <v>0</v>
      </c>
      <c r="H253" s="1">
        <f>IF('исходные данные'!H253&gt;'минимумы и максимумы'!F$4,100,('исходные данные'!H253-'минимумы и максимумы'!F$2)/('минимумы и максимумы'!F$4-'минимумы и максимумы'!F$2)*100)</f>
        <v>0</v>
      </c>
      <c r="I253" s="1">
        <f>IF('исходные данные'!I253&gt;'минимумы и максимумы'!G$4,100,('исходные данные'!I253-'минимумы и максимумы'!G$2)/('минимумы и максимумы'!G$4-'минимумы и максимумы'!G$2)*100)</f>
        <v>1.2048192771084338</v>
      </c>
      <c r="J253" s="1">
        <f>IF('исходные данные'!J253&gt;'минимумы и максимумы'!H$4,100,('исходные данные'!J253-'минимумы и максимумы'!H$2)/('минимумы и максимумы'!H$4-'минимумы и максимумы'!H$2)*100)</f>
        <v>0</v>
      </c>
      <c r="K253" s="1">
        <f>IF('исходные данные'!K253&gt;'минимумы и максимумы'!I$4,100,('исходные данные'!K253-'минимумы и максимумы'!I$2)/('минимумы и максимумы'!I$4-'минимумы и максимумы'!I$2)*100)</f>
        <v>0</v>
      </c>
      <c r="L253" s="1">
        <f>IF('исходные данные'!L253&gt;'минимумы и максимумы'!J$4,100,('исходные данные'!L253-'минимумы и максимумы'!J$2)/('минимумы и максимумы'!J$4-'минимумы и максимумы'!J$2)*100)</f>
        <v>0</v>
      </c>
      <c r="M253" s="1">
        <f>IF('исходные данные'!M253&gt;'минимумы и максимумы'!K$4,100,('исходные данные'!M253-'минимумы и максимумы'!K$2)/('минимумы и максимумы'!K$4-'минимумы и максимумы'!K$2)*100)</f>
        <v>0</v>
      </c>
      <c r="N253" s="1">
        <f>IF('исходные данные'!N253&gt;'минимумы и максимумы'!L$4,100,('исходные данные'!N253-'минимумы и максимумы'!L$2)/('минимумы и максимумы'!L$4-'минимумы и максимумы'!L$2)*100)</f>
        <v>36.694197733209016</v>
      </c>
      <c r="O253" s="1">
        <f>IF('исходные данные'!O253&gt;'минимумы и максимумы'!M$4,100,('исходные данные'!O253-'минимумы и максимумы'!M$2)/('минимумы и максимумы'!M$4-'минимумы и максимумы'!M$2)*100)</f>
        <v>100</v>
      </c>
      <c r="P253" s="1">
        <f>IF('исходные данные'!P253&gt;'минимумы и максимумы'!N$4,100,('исходные данные'!P253-'минимумы и максимумы'!N$2)/('минимумы и максимумы'!N$4-'минимумы и максимумы'!N$2)*100)</f>
        <v>100</v>
      </c>
      <c r="Q253" s="1">
        <f>IF('исходные данные'!Q253&gt;'минимумы и максимумы'!O$4,100,('исходные данные'!Q253-'минимумы и максимумы'!O$2)/('минимумы и максимумы'!O$4-'минимумы и максимумы'!O$2)*100)</f>
        <v>0</v>
      </c>
      <c r="R253" s="1">
        <f>IF('исходные данные'!R253&gt;'минимумы и максимумы'!P$4,100,('исходные данные'!R253-'минимумы и максимумы'!P$2)/('минимумы и максимумы'!P$4-'минимумы и максимумы'!P$2)*100)</f>
        <v>50</v>
      </c>
      <c r="S253" s="1">
        <f>IF('исходные данные'!S253&gt;'минимумы и максимумы'!Q$4,100,('исходные данные'!S253-'минимумы и максимумы'!Q$2)/('минимумы и максимумы'!Q$4-'минимумы и максимумы'!Q$2)*100)</f>
        <v>11.111111111111111</v>
      </c>
      <c r="T253" s="1">
        <f>IF('исходные данные'!T253&gt;'минимумы и максимумы'!R$4,100,('исходные данные'!T253-'минимумы и максимумы'!R$2)/('минимумы и максимумы'!R$4-'минимумы и максимумы'!R$2)*100)</f>
        <v>4.8619102416570765</v>
      </c>
      <c r="U253" s="1">
        <f>IF('исходные данные'!U253&gt;'минимумы и максимумы'!S$4,100,('исходные данные'!U253-'минимумы и максимумы'!S$2)/('минимумы и максимумы'!S$4-'минимумы и максимумы'!S$2)*100)</f>
        <v>0</v>
      </c>
    </row>
    <row r="254" spans="1:21" x14ac:dyDescent="0.45">
      <c r="A254" s="4">
        <v>348</v>
      </c>
      <c r="B254" s="4">
        <v>0</v>
      </c>
      <c r="C254" s="4">
        <v>0</v>
      </c>
      <c r="D254" s="1">
        <f>IF('исходные данные'!D254&gt;'минимумы и максимумы'!B$4,100,('исходные данные'!D254-'минимумы и максимумы'!B$2)/('минимумы и максимумы'!B$4-'минимумы и максимумы'!B$2)*100)</f>
        <v>0</v>
      </c>
      <c r="E254" s="1">
        <f>IF('исходные данные'!E254&gt;'минимумы и максимумы'!C$4,100,('исходные данные'!E254-'минимумы и максимумы'!C$2)/('минимумы и максимумы'!C$4-'минимумы и максимумы'!C$2)*100)</f>
        <v>0</v>
      </c>
      <c r="F254" s="1">
        <f>IF('исходные данные'!F254&gt;'минимумы и максимумы'!D$4,100,('исходные данные'!F254-'минимумы и максимумы'!D$2)/('минимумы и максимумы'!D$4-'минимумы и максимумы'!D$2)*100)</f>
        <v>0</v>
      </c>
      <c r="G254" s="1">
        <f>IF('исходные данные'!G254&gt;'минимумы и максимумы'!E$4,100,('исходные данные'!G254-'минимумы и максимумы'!E$2)/('минимумы и максимумы'!E$4-'минимумы и максимумы'!E$2)*100)</f>
        <v>2.7027027027027026</v>
      </c>
      <c r="H254" s="1">
        <f>IF('исходные данные'!H254&gt;'минимумы и максимумы'!F$4,100,('исходные данные'!H254-'минимумы и максимумы'!F$2)/('минимумы и максимумы'!F$4-'минимумы и максимумы'!F$2)*100)</f>
        <v>0</v>
      </c>
      <c r="I254" s="1">
        <f>IF('исходные данные'!I254&gt;'минимумы и максимумы'!G$4,100,('исходные данные'!I254-'минимумы и максимумы'!G$2)/('минимумы и максимумы'!G$4-'минимумы и максимумы'!G$2)*100)</f>
        <v>1.2048192771084338</v>
      </c>
      <c r="J254" s="1">
        <f>IF('исходные данные'!J254&gt;'минимумы и максимумы'!H$4,100,('исходные данные'!J254-'минимумы и максимумы'!H$2)/('минимумы и максимумы'!H$4-'минимумы и максимумы'!H$2)*100)</f>
        <v>0</v>
      </c>
      <c r="K254" s="1">
        <f>IF('исходные данные'!K254&gt;'минимумы и максимумы'!I$4,100,('исходные данные'!K254-'минимумы и максимумы'!I$2)/('минимумы и максимумы'!I$4-'минимумы и максимумы'!I$2)*100)</f>
        <v>0</v>
      </c>
      <c r="L254" s="1">
        <f>IF('исходные данные'!L254&gt;'минимумы и максимумы'!J$4,100,('исходные данные'!L254-'минимумы и максимумы'!J$2)/('минимумы и максимумы'!J$4-'минимумы и максимумы'!J$2)*100)</f>
        <v>0</v>
      </c>
      <c r="M254" s="1">
        <f>IF('исходные данные'!M254&gt;'минимумы и максимумы'!K$4,100,('исходные данные'!M254-'минимумы и максимумы'!K$2)/('минимумы и максимумы'!K$4-'минимумы и максимумы'!K$2)*100)</f>
        <v>0</v>
      </c>
      <c r="N254" s="1">
        <f>IF('исходные данные'!N254&gt;'минимумы и максимумы'!L$4,100,('исходные данные'!N254-'минимумы и максимумы'!L$2)/('минимумы и максимумы'!L$4-'минимумы и максимумы'!L$2)*100)</f>
        <v>36.348130979178464</v>
      </c>
      <c r="O254" s="1">
        <f>IF('исходные данные'!O254&gt;'минимумы и максимумы'!M$4,100,('исходные данные'!O254-'минимумы и максимумы'!M$2)/('минимумы и максимумы'!M$4-'минимумы и максимумы'!M$2)*100)</f>
        <v>100</v>
      </c>
      <c r="P254" s="1">
        <f>IF('исходные данные'!P254&gt;'минимумы и максимумы'!N$4,100,('исходные данные'!P254-'минимумы и максимумы'!N$2)/('минимумы и максимумы'!N$4-'минимумы и максимумы'!N$2)*100)</f>
        <v>100</v>
      </c>
      <c r="Q254" s="1">
        <f>IF('исходные данные'!Q254&gt;'минимумы и максимумы'!O$4,100,('исходные данные'!Q254-'минимумы и максимумы'!O$2)/('минимумы и максимумы'!O$4-'минимумы и максимумы'!O$2)*100)</f>
        <v>0</v>
      </c>
      <c r="R254" s="1">
        <f>IF('исходные данные'!R254&gt;'минимумы и максимумы'!P$4,100,('исходные данные'!R254-'минимумы и максимумы'!P$2)/('минимумы и максимумы'!P$4-'минимумы и максимумы'!P$2)*100)</f>
        <v>50</v>
      </c>
      <c r="S254" s="1">
        <f>IF('исходные данные'!S254&gt;'минимумы и максимумы'!Q$4,100,('исходные данные'!S254-'минимумы и максимумы'!Q$2)/('минимумы и максимумы'!Q$4-'минимумы и максимумы'!Q$2)*100)</f>
        <v>11.111111111111111</v>
      </c>
      <c r="T254" s="1">
        <f>IF('исходные данные'!T254&gt;'минимумы и максимумы'!R$4,100,('исходные данные'!T254-'минимумы и максимумы'!R$2)/('минимумы и максимумы'!R$4-'минимумы и максимумы'!R$2)*100)</f>
        <v>4.8331415420023012</v>
      </c>
      <c r="U254" s="1">
        <f>IF('исходные данные'!U254&gt;'минимумы и максимумы'!S$4,100,('исходные данные'!U254-'минимумы и максимумы'!S$2)/('минимумы и максимумы'!S$4-'минимумы и максимумы'!S$2)*100)</f>
        <v>0</v>
      </c>
    </row>
    <row r="255" spans="1:21" x14ac:dyDescent="0.45">
      <c r="A255" s="4">
        <v>349</v>
      </c>
      <c r="B255" s="4">
        <v>0</v>
      </c>
      <c r="C255" s="4">
        <v>0</v>
      </c>
      <c r="D255" s="1">
        <f>IF('исходные данные'!D255&gt;'минимумы и максимумы'!B$4,100,('исходные данные'!D255-'минимумы и максимумы'!B$2)/('минимумы и максимумы'!B$4-'минимумы и максимумы'!B$2)*100)</f>
        <v>0</v>
      </c>
      <c r="E255" s="1">
        <f>IF('исходные данные'!E255&gt;'минимумы и максимумы'!C$4,100,('исходные данные'!E255-'минимумы и максимумы'!C$2)/('минимумы и максимумы'!C$4-'минимумы и максимумы'!C$2)*100)</f>
        <v>0</v>
      </c>
      <c r="F255" s="1">
        <f>IF('исходные данные'!F255&gt;'минимумы и максимумы'!D$4,100,('исходные данные'!F255-'минимумы и максимумы'!D$2)/('минимумы и максимумы'!D$4-'минимумы и максимумы'!D$2)*100)</f>
        <v>0</v>
      </c>
      <c r="G255" s="1">
        <f>IF('исходные данные'!G255&gt;'минимумы и максимумы'!E$4,100,('исходные данные'!G255-'минимумы и максимумы'!E$2)/('минимумы и максимумы'!E$4-'минимумы и максимумы'!E$2)*100)</f>
        <v>2.7027027027027026</v>
      </c>
      <c r="H255" s="1">
        <f>IF('исходные данные'!H255&gt;'минимумы и максимумы'!F$4,100,('исходные данные'!H255-'минимумы и максимумы'!F$2)/('минимумы и максимумы'!F$4-'минимумы и максимумы'!F$2)*100)</f>
        <v>0</v>
      </c>
      <c r="I255" s="1">
        <f>IF('исходные данные'!I255&gt;'минимумы и максимумы'!G$4,100,('исходные данные'!I255-'минимумы и максимумы'!G$2)/('минимумы и максимумы'!G$4-'минимумы и максимумы'!G$2)*100)</f>
        <v>2.4096385542168677</v>
      </c>
      <c r="J255" s="1">
        <f>IF('исходные данные'!J255&gt;'минимумы и максимумы'!H$4,100,('исходные данные'!J255-'минимумы и максимумы'!H$2)/('минимумы и максимумы'!H$4-'минимумы и максимумы'!H$2)*100)</f>
        <v>0</v>
      </c>
      <c r="K255" s="1">
        <f>IF('исходные данные'!K255&gt;'минимумы и максимумы'!I$4,100,('исходные данные'!K255-'минимумы и максимумы'!I$2)/('минимумы и максимумы'!I$4-'минимумы и максимумы'!I$2)*100)</f>
        <v>3.5714285714285712</v>
      </c>
      <c r="L255" s="1">
        <f>IF('исходные данные'!L255&gt;'минимумы и максимумы'!J$4,100,('исходные данные'!L255-'минимумы и максимумы'!J$2)/('минимумы и максимумы'!J$4-'минимумы и максимумы'!J$2)*100)</f>
        <v>0</v>
      </c>
      <c r="M255" s="1">
        <f>IF('исходные данные'!M255&gt;'минимумы и максимумы'!K$4,100,('исходные данные'!M255-'минимумы и максимумы'!K$2)/('минимумы и максимумы'!K$4-'минимумы и максимумы'!K$2)*100)</f>
        <v>0</v>
      </c>
      <c r="N255" s="1">
        <f>IF('исходные данные'!N255&gt;'минимумы и максимумы'!L$4,100,('исходные данные'!N255-'минимумы и максимумы'!L$2)/('минимумы и максимумы'!L$4-'минимумы и максимумы'!L$2)*100)</f>
        <v>36.121354414750243</v>
      </c>
      <c r="O255" s="1">
        <f>IF('исходные данные'!O255&gt;'минимумы и максимумы'!M$4,100,('исходные данные'!O255-'минимумы и максимумы'!M$2)/('минимумы и максимумы'!M$4-'минимумы и максимумы'!M$2)*100)</f>
        <v>100</v>
      </c>
      <c r="P255" s="1">
        <f>IF('исходные данные'!P255&gt;'минимумы и максимумы'!N$4,100,('исходные данные'!P255-'минимумы и максимумы'!N$2)/('минимумы и максимумы'!N$4-'минимумы и максимумы'!N$2)*100)</f>
        <v>100</v>
      </c>
      <c r="Q255" s="1">
        <f>IF('исходные данные'!Q255&gt;'минимумы и максимумы'!O$4,100,('исходные данные'!Q255-'минимумы и максимумы'!O$2)/('минимумы и максимумы'!O$4-'минимумы и максимумы'!O$2)*100)</f>
        <v>0</v>
      </c>
      <c r="R255" s="1">
        <f>IF('исходные данные'!R255&gt;'минимумы и максимумы'!P$4,100,('исходные данные'!R255-'минимумы и максимумы'!P$2)/('минимумы и максимумы'!P$4-'минимумы и максимумы'!P$2)*100)</f>
        <v>50</v>
      </c>
      <c r="S255" s="1">
        <f>IF('исходные данные'!S255&gt;'минимумы и максимумы'!Q$4,100,('исходные данные'!S255-'минимумы и максимумы'!Q$2)/('минимумы и максимумы'!Q$4-'минимумы и максимумы'!Q$2)*100)</f>
        <v>11.111111111111111</v>
      </c>
      <c r="T255" s="1">
        <f>IF('исходные данные'!T255&gt;'минимумы и максимумы'!R$4,100,('исходные данные'!T255-'минимумы и максимумы'!R$2)/('минимумы и максимумы'!R$4-'минимумы и максимумы'!R$2)*100)</f>
        <v>10.788262370540853</v>
      </c>
      <c r="U255" s="1">
        <f>IF('исходные данные'!U255&gt;'минимумы и максимумы'!S$4,100,('исходные данные'!U255-'минимумы и максимумы'!S$2)/('минимумы и максимумы'!S$4-'минимумы и максимумы'!S$2)*100)</f>
        <v>0</v>
      </c>
    </row>
    <row r="256" spans="1:21" x14ac:dyDescent="0.45">
      <c r="A256" s="4">
        <v>350</v>
      </c>
      <c r="B256" s="4">
        <v>0</v>
      </c>
      <c r="C256" s="4">
        <v>0</v>
      </c>
      <c r="D256" s="1">
        <f>IF('исходные данные'!D256&gt;'минимумы и максимумы'!B$4,100,('исходные данные'!D256-'минимумы и максимумы'!B$2)/('минимумы и максимумы'!B$4-'минимумы и максимумы'!B$2)*100)</f>
        <v>0</v>
      </c>
      <c r="E256" s="1">
        <f>IF('исходные данные'!E256&gt;'минимумы и максимумы'!C$4,100,('исходные данные'!E256-'минимумы и максимумы'!C$2)/('минимумы и максимумы'!C$4-'минимумы и максимумы'!C$2)*100)</f>
        <v>0</v>
      </c>
      <c r="F256" s="1">
        <f>IF('исходные данные'!F256&gt;'минимумы и максимумы'!D$4,100,('исходные данные'!F256-'минимумы и максимумы'!D$2)/('минимумы и максимумы'!D$4-'минимумы и максимумы'!D$2)*100)</f>
        <v>0</v>
      </c>
      <c r="G256" s="1">
        <f>IF('исходные данные'!G256&gt;'минимумы и максимумы'!E$4,100,('исходные данные'!G256-'минимумы и максимумы'!E$2)/('минимумы и максимумы'!E$4-'минимумы и максимумы'!E$2)*100)</f>
        <v>2.7027027027027026</v>
      </c>
      <c r="H256" s="1">
        <f>IF('исходные данные'!H256&gt;'минимумы и максимумы'!F$4,100,('исходные данные'!H256-'минимумы и максимумы'!F$2)/('минимумы и максимумы'!F$4-'минимумы и максимумы'!F$2)*100)</f>
        <v>0</v>
      </c>
      <c r="I256" s="1">
        <f>IF('исходные данные'!I256&gt;'минимумы и максимумы'!G$4,100,('исходные данные'!I256-'минимумы и максимумы'!G$2)/('минимумы и максимумы'!G$4-'минимумы и максимумы'!G$2)*100)</f>
        <v>2.4096385542168677</v>
      </c>
      <c r="J256" s="1">
        <f>IF('исходные данные'!J256&gt;'минимумы и максимумы'!H$4,100,('исходные данные'!J256-'минимумы и максимумы'!H$2)/('минимумы и максимумы'!H$4-'минимумы и максимумы'!H$2)*100)</f>
        <v>0</v>
      </c>
      <c r="K256" s="1">
        <f>IF('исходные данные'!K256&gt;'минимумы и максимумы'!I$4,100,('исходные данные'!K256-'минимумы и максимумы'!I$2)/('минимумы и максимумы'!I$4-'минимумы и максимумы'!I$2)*100)</f>
        <v>3.5714285714285712</v>
      </c>
      <c r="L256" s="1">
        <f>IF('исходные данные'!L256&gt;'минимумы и максимумы'!J$4,100,('исходные данные'!L256-'минимумы и максимумы'!J$2)/('минимумы и максимумы'!J$4-'минимумы и максимумы'!J$2)*100)</f>
        <v>0</v>
      </c>
      <c r="M256" s="1">
        <f>IF('исходные данные'!M256&gt;'минимумы и максимумы'!K$4,100,('исходные данные'!M256-'минимумы и максимумы'!K$2)/('минимумы и максимумы'!K$4-'минимумы и максимумы'!K$2)*100)</f>
        <v>0</v>
      </c>
      <c r="N256" s="1">
        <f>IF('исходные данные'!N256&gt;'минимумы и максимумы'!L$4,100,('исходные данные'!N256-'минимумы и максимумы'!L$2)/('минимумы и максимумы'!L$4-'минимумы и максимумы'!L$2)*100)</f>
        <v>35.87974623309205</v>
      </c>
      <c r="O256" s="1">
        <f>IF('исходные данные'!O256&gt;'минимумы и максимумы'!M$4,100,('исходные данные'!O256-'минимумы и максимумы'!M$2)/('минимумы и максимумы'!M$4-'минимумы и максимумы'!M$2)*100)</f>
        <v>100</v>
      </c>
      <c r="P256" s="1">
        <f>IF('исходные данные'!P256&gt;'минимумы и максимумы'!N$4,100,('исходные данные'!P256-'минимумы и максимумы'!N$2)/('минимумы и максимумы'!N$4-'минимумы и максимумы'!N$2)*100)</f>
        <v>0</v>
      </c>
      <c r="Q256" s="1">
        <f>IF('исходные данные'!Q256&gt;'минимумы и максимумы'!O$4,100,('исходные данные'!Q256-'минимумы и максимумы'!O$2)/('минимумы и максимумы'!O$4-'минимумы и максимумы'!O$2)*100)</f>
        <v>0</v>
      </c>
      <c r="R256" s="1">
        <f>IF('исходные данные'!R256&gt;'минимумы и максимумы'!P$4,100,('исходные данные'!R256-'минимумы и максимумы'!P$2)/('минимумы и максимумы'!P$4-'минимумы и максимумы'!P$2)*100)</f>
        <v>50</v>
      </c>
      <c r="S256" s="1">
        <f>IF('исходные данные'!S256&gt;'минимумы и максимумы'!Q$4,100,('исходные данные'!S256-'минимумы и максимумы'!Q$2)/('минимумы и максимумы'!Q$4-'минимумы и максимумы'!Q$2)*100)</f>
        <v>11.111111111111111</v>
      </c>
      <c r="T256" s="1">
        <f>IF('исходные данные'!T256&gt;'минимумы и максимумы'!R$4,100,('исходные данные'!T256-'минимумы и максимумы'!R$2)/('минимумы и максимумы'!R$4-'минимумы и максимумы'!R$2)*100)</f>
        <v>8.0264672036823939</v>
      </c>
      <c r="U256" s="1">
        <f>IF('исходные данные'!U256&gt;'минимумы и максимумы'!S$4,100,('исходные данные'!U256-'минимумы и максимумы'!S$2)/('минимумы и максимумы'!S$4-'минимумы и максимумы'!S$2)*100)</f>
        <v>0</v>
      </c>
    </row>
    <row r="257" spans="1:21" x14ac:dyDescent="0.45">
      <c r="A257" s="4">
        <v>351</v>
      </c>
      <c r="B257" s="4">
        <v>0</v>
      </c>
      <c r="C257" s="4">
        <v>0</v>
      </c>
      <c r="D257" s="1">
        <f>IF('исходные данные'!D257&gt;'минимумы и максимумы'!B$4,100,('исходные данные'!D257-'минимумы и максимумы'!B$2)/('минимумы и максимумы'!B$4-'минимумы и максимумы'!B$2)*100)</f>
        <v>0</v>
      </c>
      <c r="E257" s="1">
        <f>IF('исходные данные'!E257&gt;'минимумы и максимумы'!C$4,100,('исходные данные'!E257-'минимумы и максимумы'!C$2)/('минимумы и максимумы'!C$4-'минимумы и максимумы'!C$2)*100)</f>
        <v>0</v>
      </c>
      <c r="F257" s="1">
        <f>IF('исходные данные'!F257&gt;'минимумы и максимумы'!D$4,100,('исходные данные'!F257-'минимумы и максимумы'!D$2)/('минимумы и максимумы'!D$4-'минимумы и максимумы'!D$2)*100)</f>
        <v>0</v>
      </c>
      <c r="G257" s="1">
        <f>IF('исходные данные'!G257&gt;'минимумы и максимумы'!E$4,100,('исходные данные'!G257-'минимумы и максимумы'!E$2)/('минимумы и максимумы'!E$4-'минимумы и максимумы'!E$2)*100)</f>
        <v>2.7027027027027026</v>
      </c>
      <c r="H257" s="1">
        <f>IF('исходные данные'!H257&gt;'минимумы и максимумы'!F$4,100,('исходные данные'!H257-'минимумы и максимумы'!F$2)/('минимумы и максимумы'!F$4-'минимумы и максимумы'!F$2)*100)</f>
        <v>0</v>
      </c>
      <c r="I257" s="1">
        <f>IF('исходные данные'!I257&gt;'минимумы и максимумы'!G$4,100,('исходные данные'!I257-'минимумы и максимумы'!G$2)/('минимумы и максимумы'!G$4-'минимумы и максимумы'!G$2)*100)</f>
        <v>3.6144578313253009</v>
      </c>
      <c r="J257" s="1">
        <f>IF('исходные данные'!J257&gt;'минимумы и максимумы'!H$4,100,('исходные данные'!J257-'минимумы и максимумы'!H$2)/('минимумы и максимумы'!H$4-'минимумы и максимумы'!H$2)*100)</f>
        <v>0</v>
      </c>
      <c r="K257" s="1">
        <f>IF('исходные данные'!K257&gt;'минимумы и максимумы'!I$4,100,('исходные данные'!K257-'минимумы и максимумы'!I$2)/('минимумы и максимумы'!I$4-'минимумы и максимумы'!I$2)*100)</f>
        <v>7.1428571428571423</v>
      </c>
      <c r="L257" s="1">
        <f>IF('исходные данные'!L257&gt;'минимумы и максимумы'!J$4,100,('исходные данные'!L257-'минимумы и максимумы'!J$2)/('минимумы и максимумы'!J$4-'минимумы и максимумы'!J$2)*100)</f>
        <v>0</v>
      </c>
      <c r="M257" s="1">
        <f>IF('исходные данные'!M257&gt;'минимумы и максимумы'!K$4,100,('исходные данные'!M257-'минимумы и максимумы'!K$2)/('минимумы и максимумы'!K$4-'минимумы и максимумы'!K$2)*100)</f>
        <v>6.3829787234042552</v>
      </c>
      <c r="N257" s="1">
        <f>IF('исходные данные'!N257&gt;'минимумы и максимумы'!L$4,100,('исходные данные'!N257-'минимумы и максимумы'!L$2)/('минимумы и максимумы'!L$4-'минимумы и максимумы'!L$2)*100)</f>
        <v>33.554064430983956</v>
      </c>
      <c r="O257" s="1">
        <f>IF('исходные данные'!O257&gt;'минимумы и максимумы'!M$4,100,('исходные данные'!O257-'минимумы и максимумы'!M$2)/('минимумы и максимумы'!M$4-'минимумы и максимумы'!M$2)*100)</f>
        <v>33.333333333333329</v>
      </c>
      <c r="P257" s="1">
        <f>IF('исходные данные'!P257&gt;'минимумы и максимумы'!N$4,100,('исходные данные'!P257-'минимумы и максимумы'!N$2)/('минимумы и максимумы'!N$4-'минимумы и максимумы'!N$2)*100)</f>
        <v>0</v>
      </c>
      <c r="Q257" s="1">
        <f>IF('исходные данные'!Q257&gt;'минимумы и максимумы'!O$4,100,('исходные данные'!Q257-'минимумы и максимумы'!O$2)/('минимумы и максимумы'!O$4-'минимумы и максимумы'!O$2)*100)</f>
        <v>0</v>
      </c>
      <c r="R257" s="1">
        <f>IF('исходные данные'!R257&gt;'минимумы и максимумы'!P$4,100,('исходные данные'!R257-'минимумы и максимумы'!P$2)/('минимумы и максимумы'!P$4-'минимумы и максимумы'!P$2)*100)</f>
        <v>25</v>
      </c>
      <c r="S257" s="1">
        <f>IF('исходные данные'!S257&gt;'минимумы и максимумы'!Q$4,100,('исходные данные'!S257-'минимумы и максимумы'!Q$2)/('минимумы и максимумы'!Q$4-'минимумы и максимумы'!Q$2)*100)</f>
        <v>11.111111111111111</v>
      </c>
      <c r="T257" s="1">
        <f>IF('исходные данные'!T257&gt;'минимумы и максимумы'!R$4,100,('исходные данные'!T257-'минимумы и максимумы'!R$2)/('минимумы и максимумы'!R$4-'минимумы и максимумы'!R$2)*100)</f>
        <v>0.2589182968929804</v>
      </c>
      <c r="U257" s="1">
        <f>IF('исходные данные'!U257&gt;'минимумы и максимумы'!S$4,100,('исходные данные'!U257-'минимумы и максимумы'!S$2)/('минимумы и максимумы'!S$4-'минимумы и максимумы'!S$2)*100)</f>
        <v>0</v>
      </c>
    </row>
    <row r="258" spans="1:21" x14ac:dyDescent="0.45">
      <c r="A258" s="4">
        <v>352</v>
      </c>
      <c r="B258" s="4">
        <v>0</v>
      </c>
      <c r="C258" s="4">
        <v>0</v>
      </c>
      <c r="D258" s="1">
        <f>IF('исходные данные'!D258&gt;'минимумы и максимумы'!B$4,100,('исходные данные'!D258-'минимумы и максимумы'!B$2)/('минимумы и максимумы'!B$4-'минимумы и максимумы'!B$2)*100)</f>
        <v>0</v>
      </c>
      <c r="E258" s="1">
        <f>IF('исходные данные'!E258&gt;'минимумы и максимумы'!C$4,100,('исходные данные'!E258-'минимумы и максимумы'!C$2)/('минимумы и максимумы'!C$4-'минимумы и максимумы'!C$2)*100)</f>
        <v>0</v>
      </c>
      <c r="F258" s="1">
        <f>IF('исходные данные'!F258&gt;'минимумы и максимумы'!D$4,100,('исходные данные'!F258-'минимумы и максимумы'!D$2)/('минимумы и максимумы'!D$4-'минимумы и максимумы'!D$2)*100)</f>
        <v>0</v>
      </c>
      <c r="G258" s="1">
        <f>IF('исходные данные'!G258&gt;'минимумы и максимумы'!E$4,100,('исходные данные'!G258-'минимумы и максимумы'!E$2)/('минимумы и максимумы'!E$4-'минимумы и максимумы'!E$2)*100)</f>
        <v>0</v>
      </c>
      <c r="H258" s="1">
        <f>IF('исходные данные'!H258&gt;'минимумы и максимумы'!F$4,100,('исходные данные'!H258-'минимумы и максимумы'!F$2)/('минимумы и максимумы'!F$4-'минимумы и максимумы'!F$2)*100)</f>
        <v>0</v>
      </c>
      <c r="I258" s="1">
        <f>IF('исходные данные'!I258&gt;'минимумы и максимумы'!G$4,100,('исходные данные'!I258-'минимумы и максимумы'!G$2)/('минимумы и максимумы'!G$4-'минимумы и максимумы'!G$2)*100)</f>
        <v>0</v>
      </c>
      <c r="J258" s="1">
        <f>IF('исходные данные'!J258&gt;'минимумы и максимумы'!H$4,100,('исходные данные'!J258-'минимумы и максимумы'!H$2)/('минимумы и максимумы'!H$4-'минимумы и максимумы'!H$2)*100)</f>
        <v>0</v>
      </c>
      <c r="K258" s="1">
        <f>IF('исходные данные'!K258&gt;'минимумы и максимумы'!I$4,100,('исходные данные'!K258-'минимумы и максимумы'!I$2)/('минимумы и максимумы'!I$4-'минимумы и максимумы'!I$2)*100)</f>
        <v>0</v>
      </c>
      <c r="L258" s="1">
        <f>IF('исходные данные'!L258&gt;'минимумы и максимумы'!J$4,100,('исходные данные'!L258-'минимумы и максимумы'!J$2)/('минимумы и максимумы'!J$4-'минимумы и максимумы'!J$2)*100)</f>
        <v>0</v>
      </c>
      <c r="M258" s="1">
        <f>IF('исходные данные'!M258&gt;'минимумы и максимумы'!K$4,100,('исходные данные'!M258-'минимумы и максимумы'!K$2)/('минимумы и максимумы'!K$4-'минимумы и максимумы'!K$2)*100)</f>
        <v>0</v>
      </c>
      <c r="N258" s="1">
        <f>IF('исходные данные'!N258&gt;'минимумы и максимумы'!L$4,100,('исходные данные'!N258-'минимумы и максимумы'!L$2)/('минимумы и максимумы'!L$4-'минимумы и максимумы'!L$2)*100)</f>
        <v>37.836262256077745</v>
      </c>
      <c r="O258" s="1">
        <f>IF('исходные данные'!O258&gt;'минимумы и максимумы'!M$4,100,('исходные данные'!O258-'минимумы и максимумы'!M$2)/('минимумы и максимумы'!M$4-'минимумы и максимумы'!M$2)*100)</f>
        <v>66.666666666666657</v>
      </c>
      <c r="P258" s="1">
        <f>IF('исходные данные'!P258&gt;'минимумы и максимумы'!N$4,100,('исходные данные'!P258-'минимумы и максимумы'!N$2)/('минимумы и максимумы'!N$4-'минимумы и максимумы'!N$2)*100)</f>
        <v>0</v>
      </c>
      <c r="Q258" s="1">
        <f>IF('исходные данные'!Q258&gt;'минимумы и максимумы'!O$4,100,('исходные данные'!Q258-'минимумы и максимумы'!O$2)/('минимумы и максимумы'!O$4-'минимумы и максимумы'!O$2)*100)</f>
        <v>0</v>
      </c>
      <c r="R258" s="1">
        <f>IF('исходные данные'!R258&gt;'минимумы и максимумы'!P$4,100,('исходные данные'!R258-'минимумы и максимумы'!P$2)/('минимумы и максимумы'!P$4-'минимумы и максимумы'!P$2)*100)</f>
        <v>50</v>
      </c>
      <c r="S258" s="1">
        <f>IF('исходные данные'!S258&gt;'минимумы и максимумы'!Q$4,100,('исходные данные'!S258-'минимумы и максимумы'!Q$2)/('минимумы и максимумы'!Q$4-'минимумы и максимумы'!Q$2)*100)</f>
        <v>11.111111111111111</v>
      </c>
      <c r="T258" s="1">
        <f>IF('исходные данные'!T258&gt;'минимумы и максимумы'!R$4,100,('исходные данные'!T258-'минимумы и максимумы'!R$2)/('минимумы и максимумы'!R$4-'минимумы и максимумы'!R$2)*100)</f>
        <v>3.0494821634062141</v>
      </c>
      <c r="U258" s="1">
        <f>IF('исходные данные'!U258&gt;'минимумы и максимумы'!S$4,100,('исходные данные'!U258-'минимумы и максимумы'!S$2)/('минимумы и максимумы'!S$4-'минимумы и максимумы'!S$2)*100)</f>
        <v>0</v>
      </c>
    </row>
    <row r="259" spans="1:21" x14ac:dyDescent="0.45">
      <c r="A259" s="4">
        <v>353</v>
      </c>
      <c r="B259" s="4">
        <v>0</v>
      </c>
      <c r="C259" s="4">
        <v>0</v>
      </c>
      <c r="D259" s="1">
        <f>IF('исходные данные'!D259&gt;'минимумы и максимумы'!B$4,100,('исходные данные'!D259-'минимумы и максимумы'!B$2)/('минимумы и максимумы'!B$4-'минимумы и максимумы'!B$2)*100)</f>
        <v>0</v>
      </c>
      <c r="E259" s="1">
        <f>IF('исходные данные'!E259&gt;'минимумы и максимумы'!C$4,100,('исходные данные'!E259-'минимумы и максимумы'!C$2)/('минимумы и максимумы'!C$4-'минимумы и максимумы'!C$2)*100)</f>
        <v>0</v>
      </c>
      <c r="F259" s="1">
        <f>IF('исходные данные'!F259&gt;'минимумы и максимумы'!D$4,100,('исходные данные'!F259-'минимумы и максимумы'!D$2)/('минимумы и максимумы'!D$4-'минимумы и максимумы'!D$2)*100)</f>
        <v>0</v>
      </c>
      <c r="G259" s="1">
        <f>IF('исходные данные'!G259&gt;'минимумы и максимумы'!E$4,100,('исходные данные'!G259-'минимумы и максимумы'!E$2)/('минимумы и максимумы'!E$4-'минимумы и максимумы'!E$2)*100)</f>
        <v>0</v>
      </c>
      <c r="H259" s="1">
        <f>IF('исходные данные'!H259&gt;'минимумы и максимумы'!F$4,100,('исходные данные'!H259-'минимумы и максимумы'!F$2)/('минимумы и максимумы'!F$4-'минимумы и максимумы'!F$2)*100)</f>
        <v>0</v>
      </c>
      <c r="I259" s="1">
        <f>IF('исходные данные'!I259&gt;'минимумы и максимумы'!G$4,100,('исходные данные'!I259-'минимумы и максимумы'!G$2)/('минимумы и максимумы'!G$4-'минимумы и максимумы'!G$2)*100)</f>
        <v>0</v>
      </c>
      <c r="J259" s="1">
        <f>IF('исходные данные'!J259&gt;'минимумы и максимумы'!H$4,100,('исходные данные'!J259-'минимумы и максимумы'!H$2)/('минимумы и максимумы'!H$4-'минимумы и максимумы'!H$2)*100)</f>
        <v>0</v>
      </c>
      <c r="K259" s="1">
        <f>IF('исходные данные'!K259&gt;'минимумы и максимумы'!I$4,100,('исходные данные'!K259-'минимумы и максимумы'!I$2)/('минимумы и максимумы'!I$4-'минимумы и максимумы'!I$2)*100)</f>
        <v>0</v>
      </c>
      <c r="L259" s="1">
        <f>IF('исходные данные'!L259&gt;'минимумы и максимумы'!J$4,100,('исходные данные'!L259-'минимумы и максимумы'!J$2)/('минимумы и максимумы'!J$4-'минимумы и максимумы'!J$2)*100)</f>
        <v>0</v>
      </c>
      <c r="M259" s="1">
        <f>IF('исходные данные'!M259&gt;'минимумы и максимумы'!K$4,100,('исходные данные'!M259-'минимумы и максимумы'!K$2)/('минимумы и максимумы'!K$4-'минимумы и максимумы'!K$2)*100)</f>
        <v>0</v>
      </c>
      <c r="N259" s="1">
        <f>IF('исходные данные'!N259&gt;'минимумы и максимумы'!L$4,100,('исходные данные'!N259-'минимумы и максимумы'!L$2)/('минимумы и максимумы'!L$4-'минимумы и максимумы'!L$2)*100)</f>
        <v>35.997784704709012</v>
      </c>
      <c r="O259" s="1">
        <f>IF('исходные данные'!O259&gt;'минимумы и максимумы'!M$4,100,('исходные данные'!O259-'минимумы и максимумы'!M$2)/('минимумы и максимумы'!M$4-'минимумы и максимумы'!M$2)*100)</f>
        <v>0</v>
      </c>
      <c r="P259" s="1">
        <f>IF('исходные данные'!P259&gt;'минимумы и максимумы'!N$4,100,('исходные данные'!P259-'минимумы и максимумы'!N$2)/('минимумы и максимумы'!N$4-'минимумы и максимумы'!N$2)*100)</f>
        <v>0</v>
      </c>
      <c r="Q259" s="1">
        <f>IF('исходные данные'!Q259&gt;'минимумы и максимумы'!O$4,100,('исходные данные'!Q259-'минимумы и максимумы'!O$2)/('минимумы и максимумы'!O$4-'минимумы и максимумы'!O$2)*100)</f>
        <v>0</v>
      </c>
      <c r="R259" s="1">
        <f>IF('исходные данные'!R259&gt;'минимумы и максимумы'!P$4,100,('исходные данные'!R259-'минимумы и максимумы'!P$2)/('минимумы и максимумы'!P$4-'минимумы и максимумы'!P$2)*100)</f>
        <v>25</v>
      </c>
      <c r="S259" s="1">
        <f>IF('исходные данные'!S259&gt;'минимумы и максимумы'!Q$4,100,('исходные данные'!S259-'минимумы и максимумы'!Q$2)/('минимумы и максимумы'!Q$4-'минимумы и максимумы'!Q$2)*100)</f>
        <v>11.111111111111111</v>
      </c>
      <c r="T259" s="1">
        <f>IF('исходные данные'!T259&gt;'минимумы и максимумы'!R$4,100,('исходные данные'!T259-'минимумы и максимумы'!R$2)/('минимумы и максимумы'!R$4-'минимумы и максимумы'!R$2)*100)</f>
        <v>0.54660529344073649</v>
      </c>
      <c r="U259" s="1">
        <f>IF('исходные данные'!U259&gt;'минимумы и максимумы'!S$4,100,('исходные данные'!U259-'минимумы и максимумы'!S$2)/('минимумы и максимумы'!S$4-'минимумы и максимумы'!S$2)*100)</f>
        <v>0</v>
      </c>
    </row>
    <row r="260" spans="1:21" x14ac:dyDescent="0.45">
      <c r="A260" s="4">
        <v>355</v>
      </c>
      <c r="B260" s="4">
        <v>0</v>
      </c>
      <c r="C260" s="4">
        <v>0</v>
      </c>
      <c r="D260" s="1">
        <f>IF('исходные данные'!D260&gt;'минимумы и максимумы'!B$4,100,('исходные данные'!D260-'минимумы и максимумы'!B$2)/('минимумы и максимумы'!B$4-'минимумы и максимумы'!B$2)*100)</f>
        <v>12.5</v>
      </c>
      <c r="E260" s="1">
        <f>IF('исходные данные'!E260&gt;'минимумы и максимумы'!C$4,100,('исходные данные'!E260-'минимумы и максимумы'!C$2)/('минимумы и максимумы'!C$4-'минимумы и максимумы'!C$2)*100)</f>
        <v>6.25</v>
      </c>
      <c r="F260" s="1">
        <f>IF('исходные данные'!F260&gt;'минимумы и максимумы'!D$4,100,('исходные данные'!F260-'минимумы и максимумы'!D$2)/('минимумы и максимумы'!D$4-'минимумы и максимумы'!D$2)*100)</f>
        <v>0</v>
      </c>
      <c r="G260" s="1">
        <f>IF('исходные данные'!G260&gt;'минимумы и максимумы'!E$4,100,('исходные данные'!G260-'минимумы и максимумы'!E$2)/('минимумы и максимумы'!E$4-'минимумы и максимумы'!E$2)*100)</f>
        <v>10.810810810810811</v>
      </c>
      <c r="H260" s="1">
        <f>IF('исходные данные'!H260&gt;'минимумы и максимумы'!F$4,100,('исходные данные'!H260-'минимумы и максимумы'!F$2)/('минимумы и максимумы'!F$4-'минимумы и максимумы'!F$2)*100)</f>
        <v>15.789473684210526</v>
      </c>
      <c r="I260" s="1">
        <f>IF('исходные данные'!I260&gt;'минимумы и максимумы'!G$4,100,('исходные данные'!I260-'минимумы и максимумы'!G$2)/('минимумы и максимумы'!G$4-'минимумы и максимумы'!G$2)*100)</f>
        <v>15.66265060240964</v>
      </c>
      <c r="J260" s="1">
        <f>IF('исходные данные'!J260&gt;'минимумы и максимумы'!H$4,100,('исходные данные'!J260-'минимумы и максимумы'!H$2)/('минимумы и максимумы'!H$4-'минимумы и максимумы'!H$2)*100)</f>
        <v>0</v>
      </c>
      <c r="K260" s="1">
        <f>IF('исходные данные'!K260&gt;'минимумы и максимумы'!I$4,100,('исходные данные'!K260-'минимумы и максимумы'!I$2)/('минимумы и максимумы'!I$4-'минимумы и максимумы'!I$2)*100)</f>
        <v>21.428571428571427</v>
      </c>
      <c r="L260" s="1">
        <f>IF('исходные данные'!L260&gt;'минимумы и максимумы'!J$4,100,('исходные данные'!L260-'минимумы и максимумы'!J$2)/('минимумы и максимумы'!J$4-'минимумы и максимумы'!J$2)*100)</f>
        <v>0</v>
      </c>
      <c r="M260" s="1">
        <f>IF('исходные данные'!M260&gt;'минимумы и максимумы'!K$4,100,('исходные данные'!M260-'минимумы и максимумы'!K$2)/('минимумы и максимумы'!K$4-'минимумы и максимумы'!K$2)*100)</f>
        <v>14.893617021276595</v>
      </c>
      <c r="N260" s="1">
        <f>IF('исходные данные'!N260&gt;'минимумы и максимумы'!L$4,100,('исходные данные'!N260-'минимумы и максимумы'!L$2)/('минимумы и максимумы'!L$4-'минимумы и максимумы'!L$2)*100)</f>
        <v>21.792497703853975</v>
      </c>
      <c r="O260" s="1">
        <f>IF('исходные данные'!O260&gt;'минимумы и максимумы'!M$4,100,('исходные данные'!O260-'минимумы и максимумы'!M$2)/('минимумы и максимумы'!M$4-'минимумы и максимумы'!M$2)*100)</f>
        <v>66.666666666666657</v>
      </c>
      <c r="P260" s="1">
        <f>IF('исходные данные'!P260&gt;'минимумы и максимумы'!N$4,100,('исходные данные'!P260-'минимумы и максимумы'!N$2)/('минимумы и максимумы'!N$4-'минимумы и максимумы'!N$2)*100)</f>
        <v>0</v>
      </c>
      <c r="Q260" s="1">
        <f>IF('исходные данные'!Q260&gt;'минимумы и максимумы'!O$4,100,('исходные данные'!Q260-'минимумы и максимумы'!O$2)/('минимумы и максимумы'!O$4-'минимумы и максимумы'!O$2)*100)</f>
        <v>100</v>
      </c>
      <c r="R260" s="1">
        <f>IF('исходные данные'!R260&gt;'минимумы и максимумы'!P$4,100,('исходные данные'!R260-'минимумы и максимумы'!P$2)/('минимумы и максимумы'!P$4-'минимумы и максимумы'!P$2)*100)</f>
        <v>25</v>
      </c>
      <c r="S260" s="1">
        <f>IF('исходные данные'!S260&gt;'минимумы и максимумы'!Q$4,100,('исходные данные'!S260-'минимумы и максимумы'!Q$2)/('минимумы и максимумы'!Q$4-'минимумы и максимумы'!Q$2)*100)</f>
        <v>44.444444444444443</v>
      </c>
      <c r="T260" s="1">
        <f>IF('исходные данные'!T260&gt;'минимумы и максимумы'!R$4,100,('исходные данные'!T260-'минимумы и максимумы'!R$2)/('минимумы и максимумы'!R$4-'минимумы и максимумы'!R$2)*100)</f>
        <v>28.365937859608749</v>
      </c>
      <c r="U260" s="1">
        <f>IF('исходные данные'!U260&gt;'минимумы и максимумы'!S$4,100,('исходные данные'!U260-'минимумы и максимумы'!S$2)/('минимумы и максимумы'!S$4-'минимумы и максимумы'!S$2)*100)</f>
        <v>66.666666666666657</v>
      </c>
    </row>
    <row r="261" spans="1:21" x14ac:dyDescent="0.45">
      <c r="A261" s="4">
        <v>356</v>
      </c>
      <c r="B261" s="4">
        <v>0</v>
      </c>
      <c r="C261" s="4">
        <v>0</v>
      </c>
      <c r="D261" s="1">
        <f>IF('исходные данные'!D261&gt;'минимумы и максимумы'!B$4,100,('исходные данные'!D261-'минимумы и максимумы'!B$2)/('минимумы и максимумы'!B$4-'минимумы и максимумы'!B$2)*100)</f>
        <v>12.5</v>
      </c>
      <c r="E261" s="1">
        <f>IF('исходные данные'!E261&gt;'минимумы и максимумы'!C$4,100,('исходные данные'!E261-'минимумы и максимумы'!C$2)/('минимумы и максимумы'!C$4-'минимумы и максимумы'!C$2)*100)</f>
        <v>6.25</v>
      </c>
      <c r="F261" s="1">
        <f>IF('исходные данные'!F261&gt;'минимумы и максимумы'!D$4,100,('исходные данные'!F261-'минимумы и максимумы'!D$2)/('минимумы и максимумы'!D$4-'минимумы и максимумы'!D$2)*100)</f>
        <v>0</v>
      </c>
      <c r="G261" s="1">
        <f>IF('исходные данные'!G261&gt;'минимумы и максимумы'!E$4,100,('исходные данные'!G261-'минимумы и максимумы'!E$2)/('минимумы и максимумы'!E$4-'минимумы и максимумы'!E$2)*100)</f>
        <v>10.810810810810811</v>
      </c>
      <c r="H261" s="1">
        <f>IF('исходные данные'!H261&gt;'минимумы и максимумы'!F$4,100,('исходные данные'!H261-'минимумы и максимумы'!F$2)/('минимумы и максимумы'!F$4-'минимумы и максимумы'!F$2)*100)</f>
        <v>15.789473684210526</v>
      </c>
      <c r="I261" s="1">
        <f>IF('исходные данные'!I261&gt;'минимумы и максимумы'!G$4,100,('исходные данные'!I261-'минимумы и максимумы'!G$2)/('минимумы и максимумы'!G$4-'минимумы и максимумы'!G$2)*100)</f>
        <v>15.66265060240964</v>
      </c>
      <c r="J261" s="1">
        <f>IF('исходные данные'!J261&gt;'минимумы и максимумы'!H$4,100,('исходные данные'!J261-'минимумы и максимумы'!H$2)/('минимумы и максимумы'!H$4-'минимумы и максимумы'!H$2)*100)</f>
        <v>0</v>
      </c>
      <c r="K261" s="1">
        <f>IF('исходные данные'!K261&gt;'минимумы и максимумы'!I$4,100,('исходные данные'!K261-'минимумы и максимумы'!I$2)/('минимумы и максимумы'!I$4-'минимумы и максимумы'!I$2)*100)</f>
        <v>21.428571428571427</v>
      </c>
      <c r="L261" s="1">
        <f>IF('исходные данные'!L261&gt;'минимумы и максимумы'!J$4,100,('исходные данные'!L261-'минимумы и максимумы'!J$2)/('минимумы и максимумы'!J$4-'минимумы и максимумы'!J$2)*100)</f>
        <v>0</v>
      </c>
      <c r="M261" s="1">
        <f>IF('исходные данные'!M261&gt;'минимумы и максимумы'!K$4,100,('исходные данные'!M261-'минимумы и максимумы'!K$2)/('минимумы и максимумы'!K$4-'минимумы и максимумы'!K$2)*100)</f>
        <v>14.893617021276595</v>
      </c>
      <c r="N261" s="1">
        <f>IF('исходные данные'!N261&gt;'минимумы и максимумы'!L$4,100,('исходные данные'!N261-'минимумы и максимумы'!L$2)/('минимумы и максимумы'!L$4-'минимумы и максимумы'!L$2)*100)</f>
        <v>22.18856331146209</v>
      </c>
      <c r="O261" s="1">
        <f>IF('исходные данные'!O261&gt;'минимумы и максимумы'!M$4,100,('исходные данные'!O261-'минимумы и максимумы'!M$2)/('минимумы и максимумы'!M$4-'минимумы и максимумы'!M$2)*100)</f>
        <v>66.666666666666657</v>
      </c>
      <c r="P261" s="1">
        <f>IF('исходные данные'!P261&gt;'минимумы и максимумы'!N$4,100,('исходные данные'!P261-'минимумы и максимумы'!N$2)/('минимумы и максимумы'!N$4-'минимумы и максимумы'!N$2)*100)</f>
        <v>0</v>
      </c>
      <c r="Q261" s="1">
        <f>IF('исходные данные'!Q261&gt;'минимумы и максимумы'!O$4,100,('исходные данные'!Q261-'минимумы и максимумы'!O$2)/('минимумы и максимумы'!O$4-'минимумы и максимумы'!O$2)*100)</f>
        <v>100</v>
      </c>
      <c r="R261" s="1">
        <f>IF('исходные данные'!R261&gt;'минимумы и максимумы'!P$4,100,('исходные данные'!R261-'минимумы и максимумы'!P$2)/('минимумы и максимумы'!P$4-'минимумы и максимумы'!P$2)*100)</f>
        <v>25</v>
      </c>
      <c r="S261" s="1">
        <f>IF('исходные данные'!S261&gt;'минимумы и максимумы'!Q$4,100,('исходные данные'!S261-'минимумы и максимумы'!Q$2)/('минимумы и максимумы'!Q$4-'минимумы и максимумы'!Q$2)*100)</f>
        <v>11.111111111111111</v>
      </c>
      <c r="T261" s="1">
        <f>IF('исходные данные'!T261&gt;'минимумы и максимумы'!R$4,100,('исходные данные'!T261-'минимумы и максимумы'!R$2)/('минимумы и максимумы'!R$4-'минимумы и максимумы'!R$2)*100)</f>
        <v>8.6018411967779063</v>
      </c>
      <c r="U261" s="1">
        <f>IF('исходные данные'!U261&gt;'минимумы и максимумы'!S$4,100,('исходные данные'!U261-'минимумы и максимумы'!S$2)/('минимумы и максимумы'!S$4-'минимумы и максимумы'!S$2)*100)</f>
        <v>0</v>
      </c>
    </row>
    <row r="262" spans="1:21" x14ac:dyDescent="0.45">
      <c r="A262" s="4">
        <v>357</v>
      </c>
      <c r="B262" s="4">
        <v>0</v>
      </c>
      <c r="C262" s="4">
        <v>0</v>
      </c>
      <c r="D262" s="1">
        <f>IF('исходные данные'!D262&gt;'минимумы и максимумы'!B$4,100,('исходные данные'!D262-'минимумы и максимумы'!B$2)/('минимумы и максимумы'!B$4-'минимумы и максимумы'!B$2)*100)</f>
        <v>12.5</v>
      </c>
      <c r="E262" s="1">
        <f>IF('исходные данные'!E262&gt;'минимумы и максимумы'!C$4,100,('исходные данные'!E262-'минимумы и максимумы'!C$2)/('минимумы и максимумы'!C$4-'минимумы и максимумы'!C$2)*100)</f>
        <v>6.25</v>
      </c>
      <c r="F262" s="1">
        <f>IF('исходные данные'!F262&gt;'минимумы и максимумы'!D$4,100,('исходные данные'!F262-'минимумы и максимумы'!D$2)/('минимумы и максимумы'!D$4-'минимумы и максимумы'!D$2)*100)</f>
        <v>0</v>
      </c>
      <c r="G262" s="1">
        <f>IF('исходные данные'!G262&gt;'минимумы и максимумы'!E$4,100,('исходные данные'!G262-'минимумы и максимумы'!E$2)/('минимумы и максимумы'!E$4-'минимумы и максимумы'!E$2)*100)</f>
        <v>10.810810810810811</v>
      </c>
      <c r="H262" s="1">
        <f>IF('исходные данные'!H262&gt;'минимумы и максимумы'!F$4,100,('исходные данные'!H262-'минимумы и максимумы'!F$2)/('минимумы и максимумы'!F$4-'минимумы и максимумы'!F$2)*100)</f>
        <v>15.789473684210526</v>
      </c>
      <c r="I262" s="1">
        <f>IF('исходные данные'!I262&gt;'минимумы и максимумы'!G$4,100,('исходные данные'!I262-'минимумы и максимумы'!G$2)/('минимумы и максимумы'!G$4-'минимумы и максимумы'!G$2)*100)</f>
        <v>15.66265060240964</v>
      </c>
      <c r="J262" s="1">
        <f>IF('исходные данные'!J262&gt;'минимумы и максимумы'!H$4,100,('исходные данные'!J262-'минимумы и максимумы'!H$2)/('минимумы и максимумы'!H$4-'минимумы и максимумы'!H$2)*100)</f>
        <v>0</v>
      </c>
      <c r="K262" s="1">
        <f>IF('исходные данные'!K262&gt;'минимумы и максимумы'!I$4,100,('исходные данные'!K262-'минимумы и максимумы'!I$2)/('минимумы и максимумы'!I$4-'минимумы и максимумы'!I$2)*100)</f>
        <v>21.428571428571427</v>
      </c>
      <c r="L262" s="1">
        <f>IF('исходные данные'!L262&gt;'минимумы и максимумы'!J$4,100,('исходные данные'!L262-'минимумы и максимумы'!J$2)/('минимумы и максимумы'!J$4-'минимумы и максимумы'!J$2)*100)</f>
        <v>0</v>
      </c>
      <c r="M262" s="1">
        <f>IF('исходные данные'!M262&gt;'минимумы и максимумы'!K$4,100,('исходные данные'!M262-'минимумы и максимумы'!K$2)/('минимумы и максимумы'!K$4-'минимумы и максимумы'!K$2)*100)</f>
        <v>14.893617021276595</v>
      </c>
      <c r="N262" s="1">
        <f>IF('исходные данные'!N262&gt;'минимумы и максимумы'!L$4,100,('исходные данные'!N262-'минимумы и максимумы'!L$2)/('минимумы и максимумы'!L$4-'минимумы и максимумы'!L$2)*100)</f>
        <v>21.976792663303478</v>
      </c>
      <c r="O262" s="1">
        <f>IF('исходные данные'!O262&gt;'минимумы и максимумы'!M$4,100,('исходные данные'!O262-'минимумы и максимумы'!M$2)/('минимумы и максимумы'!M$4-'минимумы и максимумы'!M$2)*100)</f>
        <v>66.666666666666657</v>
      </c>
      <c r="P262" s="1">
        <f>IF('исходные данные'!P262&gt;'минимумы и максимумы'!N$4,100,('исходные данные'!P262-'минимумы и максимумы'!N$2)/('минимумы и максимумы'!N$4-'минимумы и максимумы'!N$2)*100)</f>
        <v>0</v>
      </c>
      <c r="Q262" s="1">
        <f>IF('исходные данные'!Q262&gt;'минимумы и максимумы'!O$4,100,('исходные данные'!Q262-'минимумы и максимумы'!O$2)/('минимумы и максимумы'!O$4-'минимумы и максимумы'!O$2)*100)</f>
        <v>100</v>
      </c>
      <c r="R262" s="1">
        <f>IF('исходные данные'!R262&gt;'минимумы и максимумы'!P$4,100,('исходные данные'!R262-'минимумы и максимумы'!P$2)/('минимумы и максимумы'!P$4-'минимумы и максимумы'!P$2)*100)</f>
        <v>25</v>
      </c>
      <c r="S262" s="1">
        <f>IF('исходные данные'!S262&gt;'минимумы и максимумы'!Q$4,100,('исходные данные'!S262-'минимумы и максимумы'!Q$2)/('минимумы и максимумы'!Q$4-'минимумы и максимумы'!Q$2)*100)</f>
        <v>22.222222222222221</v>
      </c>
      <c r="T262" s="1">
        <f>IF('исходные данные'!T262&gt;'минимумы и максимумы'!R$4,100,('исходные данные'!T262-'минимумы и максимумы'!R$2)/('минимумы и максимумы'!R$4-'минимумы и максимумы'!R$2)*100)</f>
        <v>5.5235903337169159</v>
      </c>
      <c r="U262" s="1">
        <f>IF('исходные данные'!U262&gt;'минимумы и максимумы'!S$4,100,('исходные данные'!U262-'минимумы и максимумы'!S$2)/('минимумы и максимумы'!S$4-'минимумы и максимумы'!S$2)*100)</f>
        <v>0</v>
      </c>
    </row>
    <row r="263" spans="1:21" x14ac:dyDescent="0.45">
      <c r="A263" s="4">
        <v>358</v>
      </c>
      <c r="B263" s="4">
        <v>0</v>
      </c>
      <c r="C263" s="4">
        <v>0</v>
      </c>
      <c r="D263" s="1">
        <f>IF('исходные данные'!D263&gt;'минимумы и максимумы'!B$4,100,('исходные данные'!D263-'минимумы и максимумы'!B$2)/('минимумы и максимумы'!B$4-'минимумы и максимумы'!B$2)*100)</f>
        <v>12.5</v>
      </c>
      <c r="E263" s="1">
        <f>IF('исходные данные'!E263&gt;'минимумы и максимумы'!C$4,100,('исходные данные'!E263-'минимумы и максимумы'!C$2)/('минимумы и максимумы'!C$4-'минимумы и максимумы'!C$2)*100)</f>
        <v>6.25</v>
      </c>
      <c r="F263" s="1">
        <f>IF('исходные данные'!F263&gt;'минимумы и максимумы'!D$4,100,('исходные данные'!F263-'минимумы и максимумы'!D$2)/('минимумы и максимумы'!D$4-'минимумы и максимумы'!D$2)*100)</f>
        <v>0</v>
      </c>
      <c r="G263" s="1">
        <f>IF('исходные данные'!G263&gt;'минимумы и максимумы'!E$4,100,('исходные данные'!G263-'минимумы и максимумы'!E$2)/('минимумы и максимумы'!E$4-'минимумы и максимумы'!E$2)*100)</f>
        <v>10.810810810810811</v>
      </c>
      <c r="H263" s="1">
        <f>IF('исходные данные'!H263&gt;'минимумы и максимумы'!F$4,100,('исходные данные'!H263-'минимумы и максимумы'!F$2)/('минимумы и максимумы'!F$4-'минимумы и максимумы'!F$2)*100)</f>
        <v>15.789473684210526</v>
      </c>
      <c r="I263" s="1">
        <f>IF('исходные данные'!I263&gt;'минимумы и максимумы'!G$4,100,('исходные данные'!I263-'минимумы и максимумы'!G$2)/('минимумы и максимумы'!G$4-'минимумы и максимумы'!G$2)*100)</f>
        <v>15.66265060240964</v>
      </c>
      <c r="J263" s="1">
        <f>IF('исходные данные'!J263&gt;'минимумы и максимумы'!H$4,100,('исходные данные'!J263-'минимумы и максимумы'!H$2)/('минимумы и максимумы'!H$4-'минимумы и максимумы'!H$2)*100)</f>
        <v>0</v>
      </c>
      <c r="K263" s="1">
        <f>IF('исходные данные'!K263&gt;'минимумы и максимумы'!I$4,100,('исходные данные'!K263-'минимумы и максимумы'!I$2)/('минимумы и максимумы'!I$4-'минимумы и максимумы'!I$2)*100)</f>
        <v>21.428571428571427</v>
      </c>
      <c r="L263" s="1">
        <f>IF('исходные данные'!L263&gt;'минимумы и максимумы'!J$4,100,('исходные данные'!L263-'минимумы и максимумы'!J$2)/('минимумы и максимумы'!J$4-'минимумы и максимумы'!J$2)*100)</f>
        <v>0</v>
      </c>
      <c r="M263" s="1">
        <f>IF('исходные данные'!M263&gt;'минимумы и максимумы'!K$4,100,('исходные данные'!M263-'минимумы и максимумы'!K$2)/('минимумы и максимумы'!K$4-'минимумы и максимумы'!K$2)*100)</f>
        <v>14.893617021276595</v>
      </c>
      <c r="N263" s="1">
        <f>IF('исходные данные'!N263&gt;'минимумы и максимумы'!L$4,100,('исходные данные'!N263-'минимумы и максимумы'!L$2)/('минимумы и максимумы'!L$4-'минимумы и максимумы'!L$2)*100)</f>
        <v>21.976792663303478</v>
      </c>
      <c r="O263" s="1">
        <f>IF('исходные данные'!O263&gt;'минимумы и максимумы'!M$4,100,('исходные данные'!O263-'минимумы и максимумы'!M$2)/('минимумы и максимумы'!M$4-'минимумы и максимумы'!M$2)*100)</f>
        <v>66.666666666666657</v>
      </c>
      <c r="P263" s="1">
        <f>IF('исходные данные'!P263&gt;'минимумы и максимумы'!N$4,100,('исходные данные'!P263-'минимумы и максимумы'!N$2)/('минимумы и максимумы'!N$4-'минимумы и максимумы'!N$2)*100)</f>
        <v>0</v>
      </c>
      <c r="Q263" s="1">
        <f>IF('исходные данные'!Q263&gt;'минимумы и максимумы'!O$4,100,('исходные данные'!Q263-'минимумы и максимумы'!O$2)/('минимумы и максимумы'!O$4-'минимумы и максимумы'!O$2)*100)</f>
        <v>100</v>
      </c>
      <c r="R263" s="1">
        <f>IF('исходные данные'!R263&gt;'минимумы и максимумы'!P$4,100,('исходные данные'!R263-'минимумы и максимумы'!P$2)/('минимумы и максимумы'!P$4-'минимумы и максимумы'!P$2)*100)</f>
        <v>25</v>
      </c>
      <c r="S263" s="1">
        <f>IF('исходные данные'!S263&gt;'минимумы и максимумы'!Q$4,100,('исходные данные'!S263-'минимумы и максимумы'!Q$2)/('минимумы и максимумы'!Q$4-'минимумы и максимумы'!Q$2)*100)</f>
        <v>22.222222222222221</v>
      </c>
      <c r="T263" s="1">
        <f>IF('исходные данные'!T263&gt;'минимумы и максимумы'!R$4,100,('исходные данные'!T263-'минимумы и максимумы'!R$2)/('минимумы и максимумы'!R$4-'минимумы и максимумы'!R$2)*100)</f>
        <v>5.6674338319907935</v>
      </c>
      <c r="U263" s="1">
        <f>IF('исходные данные'!U263&gt;'минимумы и максимумы'!S$4,100,('исходные данные'!U263-'минимумы и максимумы'!S$2)/('минимумы и максимумы'!S$4-'минимумы и максимумы'!S$2)*100)</f>
        <v>0</v>
      </c>
    </row>
    <row r="264" spans="1:21" x14ac:dyDescent="0.45">
      <c r="A264" s="4">
        <v>359</v>
      </c>
      <c r="B264" s="4">
        <v>0</v>
      </c>
      <c r="C264" s="4">
        <v>0</v>
      </c>
      <c r="D264" s="1">
        <f>IF('исходные данные'!D264&gt;'минимумы и максимумы'!B$4,100,('исходные данные'!D264-'минимумы и максимумы'!B$2)/('минимумы и максимумы'!B$4-'минимумы и максимумы'!B$2)*100)</f>
        <v>12.5</v>
      </c>
      <c r="E264" s="1">
        <f>IF('исходные данные'!E264&gt;'минимумы и максимумы'!C$4,100,('исходные данные'!E264-'минимумы и максимумы'!C$2)/('минимумы и максимумы'!C$4-'минимумы и максимумы'!C$2)*100)</f>
        <v>6.25</v>
      </c>
      <c r="F264" s="1">
        <f>IF('исходные данные'!F264&gt;'минимумы и максимумы'!D$4,100,('исходные данные'!F264-'минимумы и максимумы'!D$2)/('минимумы и максимумы'!D$4-'минимумы и максимумы'!D$2)*100)</f>
        <v>0</v>
      </c>
      <c r="G264" s="1">
        <f>IF('исходные данные'!G264&gt;'минимумы и максимумы'!E$4,100,('исходные данные'!G264-'минимумы и максимумы'!E$2)/('минимумы и максимумы'!E$4-'минимумы и максимумы'!E$2)*100)</f>
        <v>10.810810810810811</v>
      </c>
      <c r="H264" s="1">
        <f>IF('исходные данные'!H264&gt;'минимумы и максимумы'!F$4,100,('исходные данные'!H264-'минимумы и максимумы'!F$2)/('минимумы и максимумы'!F$4-'минимумы и максимумы'!F$2)*100)</f>
        <v>15.789473684210526</v>
      </c>
      <c r="I264" s="1">
        <f>IF('исходные данные'!I264&gt;'минимумы и максимумы'!G$4,100,('исходные данные'!I264-'минимумы и максимумы'!G$2)/('минимумы и максимумы'!G$4-'минимумы и максимумы'!G$2)*100)</f>
        <v>15.66265060240964</v>
      </c>
      <c r="J264" s="1">
        <f>IF('исходные данные'!J264&gt;'минимумы и максимумы'!H$4,100,('исходные данные'!J264-'минимумы и максимумы'!H$2)/('минимумы и максимумы'!H$4-'минимумы и максимумы'!H$2)*100)</f>
        <v>0</v>
      </c>
      <c r="K264" s="1">
        <f>IF('исходные данные'!K264&gt;'минимумы и максимумы'!I$4,100,('исходные данные'!K264-'минимумы и максимумы'!I$2)/('минимумы и максимумы'!I$4-'минимумы и максимумы'!I$2)*100)</f>
        <v>21.428571428571427</v>
      </c>
      <c r="L264" s="1">
        <f>IF('исходные данные'!L264&gt;'минимумы и максимумы'!J$4,100,('исходные данные'!L264-'минимумы и максимумы'!J$2)/('минимумы и максимумы'!J$4-'минимумы и максимумы'!J$2)*100)</f>
        <v>0</v>
      </c>
      <c r="M264" s="1">
        <f>IF('исходные данные'!M264&gt;'минимумы и максимумы'!K$4,100,('исходные данные'!M264-'минимумы и максимумы'!K$2)/('минимумы и максимумы'!K$4-'минимумы и максимумы'!K$2)*100)</f>
        <v>14.893617021276595</v>
      </c>
      <c r="N264" s="1">
        <f>IF('исходные данные'!N264&gt;'минимумы и максимумы'!L$4,100,('исходные данные'!N264-'минимумы и максимумы'!L$2)/('минимумы и максимумы'!L$4-'минимумы и максимумы'!L$2)*100)</f>
        <v>22.135254611667005</v>
      </c>
      <c r="O264" s="1">
        <f>IF('исходные данные'!O264&gt;'минимумы и максимумы'!M$4,100,('исходные данные'!O264-'минимумы и максимумы'!M$2)/('минимумы и максимумы'!M$4-'минимумы и максимумы'!M$2)*100)</f>
        <v>66.666666666666657</v>
      </c>
      <c r="P264" s="1">
        <f>IF('исходные данные'!P264&gt;'минимумы и максимумы'!N$4,100,('исходные данные'!P264-'минимумы и максимумы'!N$2)/('минимумы и максимумы'!N$4-'минимумы и максимумы'!N$2)*100)</f>
        <v>0</v>
      </c>
      <c r="Q264" s="1">
        <f>IF('исходные данные'!Q264&gt;'минимумы и максимумы'!O$4,100,('исходные данные'!Q264-'минимумы и максимумы'!O$2)/('минимумы и максимумы'!O$4-'минимумы и максимумы'!O$2)*100)</f>
        <v>100</v>
      </c>
      <c r="R264" s="1">
        <f>IF('исходные данные'!R264&gt;'минимумы и максимумы'!P$4,100,('исходные данные'!R264-'минимумы и максимумы'!P$2)/('минимумы и максимумы'!P$4-'минимумы и максимумы'!P$2)*100)</f>
        <v>25</v>
      </c>
      <c r="S264" s="1">
        <f>IF('исходные данные'!S264&gt;'минимумы и максимумы'!Q$4,100,('исходные данные'!S264-'минимумы и максимумы'!Q$2)/('минимумы и максимумы'!Q$4-'минимумы и максимумы'!Q$2)*100)</f>
        <v>44.444444444444443</v>
      </c>
      <c r="T264" s="1">
        <f>IF('исходные данные'!T264&gt;'минимумы и максимумы'!R$4,100,('исходные данные'!T264-'минимумы и максимумы'!R$2)/('минимумы и максимумы'!R$4-'минимумы и максимумы'!R$2)*100)</f>
        <v>16.858457997698505</v>
      </c>
      <c r="U264" s="1">
        <f>IF('исходные данные'!U264&gt;'минимумы и максимумы'!S$4,100,('исходные данные'!U264-'минимумы и максимумы'!S$2)/('минимумы и максимумы'!S$4-'минимумы и максимумы'!S$2)*100)</f>
        <v>0</v>
      </c>
    </row>
    <row r="265" spans="1:21" x14ac:dyDescent="0.45">
      <c r="A265" s="4">
        <v>360</v>
      </c>
      <c r="B265" s="4">
        <v>0</v>
      </c>
      <c r="C265" s="4">
        <v>0</v>
      </c>
      <c r="D265" s="1">
        <f>IF('исходные данные'!D265&gt;'минимумы и максимумы'!B$4,100,('исходные данные'!D265-'минимумы и максимумы'!B$2)/('минимумы и максимумы'!B$4-'минимумы и максимумы'!B$2)*100)</f>
        <v>0</v>
      </c>
      <c r="E265" s="1">
        <f>IF('исходные данные'!E265&gt;'минимумы и максимумы'!C$4,100,('исходные данные'!E265-'минимумы и максимумы'!C$2)/('минимумы и максимумы'!C$4-'минимумы и максимумы'!C$2)*100)</f>
        <v>0</v>
      </c>
      <c r="F265" s="1">
        <f>IF('исходные данные'!F265&gt;'минимумы и максимумы'!D$4,100,('исходные данные'!F265-'минимумы и максимумы'!D$2)/('минимумы и максимумы'!D$4-'минимумы и максимумы'!D$2)*100)</f>
        <v>0</v>
      </c>
      <c r="G265" s="1">
        <f>IF('исходные данные'!G265&gt;'минимумы и максимумы'!E$4,100,('исходные данные'!G265-'минимумы и максимумы'!E$2)/('минимумы и максимумы'!E$4-'минимумы и максимумы'!E$2)*100)</f>
        <v>0</v>
      </c>
      <c r="H265" s="1">
        <f>IF('исходные данные'!H265&gt;'минимумы и максимумы'!F$4,100,('исходные данные'!H265-'минимумы и максимумы'!F$2)/('минимумы и максимумы'!F$4-'минимумы и максимумы'!F$2)*100)</f>
        <v>0</v>
      </c>
      <c r="I265" s="1">
        <f>IF('исходные данные'!I265&gt;'минимумы и максимумы'!G$4,100,('исходные данные'!I265-'минимумы и максимумы'!G$2)/('минимумы и максимумы'!G$4-'минимумы и максимумы'!G$2)*100)</f>
        <v>2.4096385542168677</v>
      </c>
      <c r="J265" s="1">
        <f>IF('исходные данные'!J265&gt;'минимумы и максимумы'!H$4,100,('исходные данные'!J265-'минимумы и максимумы'!H$2)/('минимумы и максимумы'!H$4-'минимумы и максимумы'!H$2)*100)</f>
        <v>0</v>
      </c>
      <c r="K265" s="1">
        <f>IF('исходные данные'!K265&gt;'минимумы и максимумы'!I$4,100,('исходные данные'!K265-'минимумы и максимумы'!I$2)/('минимумы и максимумы'!I$4-'минимумы и максимумы'!I$2)*100)</f>
        <v>0</v>
      </c>
      <c r="L265" s="1">
        <f>IF('исходные данные'!L265&gt;'минимумы и максимумы'!J$4,100,('исходные данные'!L265-'минимумы и максимумы'!J$2)/('минимумы и максимумы'!J$4-'минимумы и максимумы'!J$2)*100)</f>
        <v>0</v>
      </c>
      <c r="M265" s="1">
        <f>IF('исходные данные'!M265&gt;'минимумы и максимумы'!K$4,100,('исходные данные'!M265-'минимумы и максимумы'!K$2)/('минимумы и максимумы'!K$4-'минимумы и максимумы'!K$2)*100)</f>
        <v>6.3829787234042552</v>
      </c>
      <c r="N265" s="1">
        <f>IF('исходные данные'!N265&gt;'минимумы и максимумы'!L$4,100,('исходные данные'!N265-'минимумы и максимумы'!L$2)/('минимумы и максимумы'!L$4-'минимумы и максимумы'!L$2)*100)</f>
        <v>27.91065260468169</v>
      </c>
      <c r="O265" s="1">
        <f>IF('исходные данные'!O265&gt;'минимумы и максимумы'!M$4,100,('исходные данные'!O265-'минимумы и максимумы'!M$2)/('минимумы и максимумы'!M$4-'минимумы и максимумы'!M$2)*100)</f>
        <v>0</v>
      </c>
      <c r="P265" s="1">
        <f>IF('исходные данные'!P265&gt;'минимумы и максимумы'!N$4,100,('исходные данные'!P265-'минимумы и максимумы'!N$2)/('минимумы и максимумы'!N$4-'минимумы и максимумы'!N$2)*100)</f>
        <v>100</v>
      </c>
      <c r="Q265" s="1">
        <f>IF('исходные данные'!Q265&gt;'минимумы и максимумы'!O$4,100,('исходные данные'!Q265-'минимумы и максимумы'!O$2)/('минимумы и максимумы'!O$4-'минимумы и максимумы'!O$2)*100)</f>
        <v>0</v>
      </c>
      <c r="R265" s="1">
        <f>IF('исходные данные'!R265&gt;'минимумы и максимумы'!P$4,100,('исходные данные'!R265-'минимумы и максимумы'!P$2)/('минимумы и максимумы'!P$4-'минимумы и максимумы'!P$2)*100)</f>
        <v>75</v>
      </c>
      <c r="S265" s="1">
        <f>IF('исходные данные'!S265&gt;'минимумы и максимумы'!Q$4,100,('исходные данные'!S265-'минимумы и максимумы'!Q$2)/('минимумы и максимумы'!Q$4-'минимумы и максимумы'!Q$2)*100)</f>
        <v>33.333333333333329</v>
      </c>
      <c r="T265" s="1">
        <f>IF('исходные данные'!T265&gt;'минимумы и максимумы'!R$4,100,('исходные данные'!T265-'минимумы и максимумы'!R$2)/('минимумы и максимумы'!R$4-'минимумы и максимумы'!R$2)*100)</f>
        <v>40.794016110471809</v>
      </c>
      <c r="U265" s="1">
        <f>IF('исходные данные'!U265&gt;'минимумы и максимумы'!S$4,100,('исходные данные'!U265-'минимумы и максимумы'!S$2)/('минимумы и максимумы'!S$4-'минимумы и максимумы'!S$2)*100)</f>
        <v>66.666666666666657</v>
      </c>
    </row>
    <row r="266" spans="1:21" x14ac:dyDescent="0.45">
      <c r="A266" s="4">
        <v>361</v>
      </c>
      <c r="B266" s="4">
        <v>0</v>
      </c>
      <c r="C266" s="4">
        <v>0</v>
      </c>
      <c r="D266" s="1">
        <f>IF('исходные данные'!D266&gt;'минимумы и максимумы'!B$4,100,('исходные данные'!D266-'минимумы и максимумы'!B$2)/('минимумы и максимумы'!B$4-'минимумы и максимумы'!B$2)*100)</f>
        <v>12.5</v>
      </c>
      <c r="E266" s="1">
        <f>IF('исходные данные'!E266&gt;'минимумы и максимумы'!C$4,100,('исходные данные'!E266-'минимумы и максимумы'!C$2)/('минимумы и максимумы'!C$4-'минимумы и максимумы'!C$2)*100)</f>
        <v>0</v>
      </c>
      <c r="F266" s="1">
        <f>IF('исходные данные'!F266&gt;'минимумы и максимумы'!D$4,100,('исходные данные'!F266-'минимумы и максимумы'!D$2)/('минимумы и максимумы'!D$4-'минимумы и максимумы'!D$2)*100)</f>
        <v>0</v>
      </c>
      <c r="G266" s="1">
        <f>IF('исходные данные'!G266&gt;'минимумы и максимумы'!E$4,100,('исходные данные'!G266-'минимумы и максимумы'!E$2)/('минимумы и максимумы'!E$4-'минимумы и максимумы'!E$2)*100)</f>
        <v>0</v>
      </c>
      <c r="H266" s="1">
        <f>IF('исходные данные'!H266&gt;'минимумы и максимумы'!F$4,100,('исходные данные'!H266-'минимумы и максимумы'!F$2)/('минимумы и максимумы'!F$4-'минимумы и максимумы'!F$2)*100)</f>
        <v>0</v>
      </c>
      <c r="I266" s="1">
        <f>IF('исходные данные'!I266&gt;'минимумы и максимумы'!G$4,100,('исходные данные'!I266-'минимумы и максимумы'!G$2)/('минимумы и максимумы'!G$4-'минимумы и максимумы'!G$2)*100)</f>
        <v>3.6144578313253009</v>
      </c>
      <c r="J266" s="1">
        <f>IF('исходные данные'!J266&gt;'минимумы и максимумы'!H$4,100,('исходные данные'!J266-'минимумы и максимумы'!H$2)/('минимумы и максимумы'!H$4-'минимумы и максимумы'!H$2)*100)</f>
        <v>0</v>
      </c>
      <c r="K266" s="1">
        <f>IF('исходные данные'!K266&gt;'минимумы и максимумы'!I$4,100,('исходные данные'!K266-'минимумы и максимумы'!I$2)/('минимумы и максимумы'!I$4-'минимумы и максимумы'!I$2)*100)</f>
        <v>0</v>
      </c>
      <c r="L266" s="1">
        <f>IF('исходные данные'!L266&gt;'минимумы и максимумы'!J$4,100,('исходные данные'!L266-'минимумы и максимумы'!J$2)/('минимумы и максимумы'!J$4-'минимумы и максимумы'!J$2)*100)</f>
        <v>0</v>
      </c>
      <c r="M266" s="1">
        <f>IF('исходные данные'!M266&gt;'минимумы и максимумы'!K$4,100,('исходные данные'!M266-'минимумы и максимумы'!K$2)/('минимумы и максимумы'!K$4-'минимумы и максимумы'!K$2)*100)</f>
        <v>0</v>
      </c>
      <c r="N266" s="1">
        <f>IF('исходные данные'!N266&gt;'минимумы и максимумы'!L$4,100,('исходные данные'!N266-'минимумы и максимумы'!L$2)/('минимумы и максимумы'!L$4-'минимумы и максимумы'!L$2)*100)</f>
        <v>27.811982862389627</v>
      </c>
      <c r="O266" s="1">
        <f>IF('исходные данные'!O266&gt;'минимумы и максимумы'!M$4,100,('исходные данные'!O266-'минимумы и максимумы'!M$2)/('минимумы и максимумы'!M$4-'минимумы и максимумы'!M$2)*100)</f>
        <v>33.333333333333329</v>
      </c>
      <c r="P266" s="1">
        <f>IF('исходные данные'!P266&gt;'минимумы и максимумы'!N$4,100,('исходные данные'!P266-'минимумы и максимумы'!N$2)/('минимумы и максимумы'!N$4-'минимумы и максимумы'!N$2)*100)</f>
        <v>100</v>
      </c>
      <c r="Q266" s="1">
        <f>IF('исходные данные'!Q266&gt;'минимумы и максимумы'!O$4,100,('исходные данные'!Q266-'минимумы и максимумы'!O$2)/('минимумы и максимумы'!O$4-'минимумы и максимумы'!O$2)*100)</f>
        <v>100</v>
      </c>
      <c r="R266" s="1">
        <f>IF('исходные данные'!R266&gt;'минимумы и максимумы'!P$4,100,('исходные данные'!R266-'минимумы и максимумы'!P$2)/('минимумы и максимумы'!P$4-'минимумы и максимумы'!P$2)*100)</f>
        <v>75</v>
      </c>
      <c r="S266" s="1">
        <f>IF('исходные данные'!S266&gt;'минимумы и максимумы'!Q$4,100,('исходные данные'!S266-'минимумы и максимумы'!Q$2)/('минимумы и максимумы'!Q$4-'минимумы и максимумы'!Q$2)*100)</f>
        <v>22.222222222222221</v>
      </c>
      <c r="T266" s="1">
        <f>IF('исходные данные'!T266&gt;'минимумы и максимумы'!R$4,100,('исходные данные'!T266-'минимумы и максимумы'!R$2)/('минимумы и максимумы'!R$4-'минимумы и максимумы'!R$2)*100)</f>
        <v>37.428078250863059</v>
      </c>
      <c r="U266" s="1">
        <f>IF('исходные данные'!U266&gt;'минимумы и максимумы'!S$4,100,('исходные данные'!U266-'минимумы и максимумы'!S$2)/('минимумы и максимумы'!S$4-'минимумы и максимумы'!S$2)*100)</f>
        <v>0</v>
      </c>
    </row>
    <row r="267" spans="1:21" x14ac:dyDescent="0.45">
      <c r="A267" s="4">
        <v>362</v>
      </c>
      <c r="B267" s="4">
        <v>0</v>
      </c>
      <c r="C267" s="4">
        <v>0</v>
      </c>
      <c r="D267" s="1">
        <f>IF('исходные данные'!D267&gt;'минимумы и максимумы'!B$4,100,('исходные данные'!D267-'минимумы и максимумы'!B$2)/('минимумы и максимумы'!B$4-'минимумы и максимумы'!B$2)*100)</f>
        <v>12.5</v>
      </c>
      <c r="E267" s="1">
        <f>IF('исходные данные'!E267&gt;'минимумы и максимумы'!C$4,100,('исходные данные'!E267-'минимумы и максимумы'!C$2)/('минимумы и максимумы'!C$4-'минимумы и максимумы'!C$2)*100)</f>
        <v>31.25</v>
      </c>
      <c r="F267" s="1">
        <f>IF('исходные данные'!F267&gt;'минимумы и максимумы'!D$4,100,('исходные данные'!F267-'минимумы и максимумы'!D$2)/('минимумы и максимумы'!D$4-'минимумы и максимумы'!D$2)*100)</f>
        <v>0</v>
      </c>
      <c r="G267" s="1">
        <f>IF('исходные данные'!G267&gt;'минимумы и максимумы'!E$4,100,('исходные данные'!G267-'минимумы и максимумы'!E$2)/('минимумы и максимумы'!E$4-'минимумы и максимумы'!E$2)*100)</f>
        <v>24.324324324324326</v>
      </c>
      <c r="H267" s="1">
        <f>IF('исходные данные'!H267&gt;'минимумы и максимумы'!F$4,100,('исходные данные'!H267-'минимумы и максимумы'!F$2)/('минимумы и максимумы'!F$4-'минимумы и максимумы'!F$2)*100)</f>
        <v>36.84210526315789</v>
      </c>
      <c r="I267" s="1">
        <f>IF('исходные данные'!I267&gt;'минимумы и максимумы'!G$4,100,('исходные данные'!I267-'минимумы и максимумы'!G$2)/('минимумы и максимумы'!G$4-'минимумы и максимумы'!G$2)*100)</f>
        <v>15.66265060240964</v>
      </c>
      <c r="J267" s="1">
        <f>IF('исходные данные'!J267&gt;'минимумы и максимумы'!H$4,100,('исходные данные'!J267-'минимумы и максимумы'!H$2)/('минимумы и максимумы'!H$4-'минимумы и максимумы'!H$2)*100)</f>
        <v>8.3333333333333321</v>
      </c>
      <c r="K267" s="1">
        <f>IF('исходные данные'!K267&gt;'минимумы и максимумы'!I$4,100,('исходные данные'!K267-'минимумы и максимумы'!I$2)/('минимумы и максимумы'!I$4-'минимумы и максимумы'!I$2)*100)</f>
        <v>3.5714285714285712</v>
      </c>
      <c r="L267" s="1">
        <f>IF('исходные данные'!L267&gt;'минимумы и максимумы'!J$4,100,('исходные данные'!L267-'минимумы и максимумы'!J$2)/('минимумы и максимумы'!J$4-'минимумы и максимумы'!J$2)*100)</f>
        <v>12.5</v>
      </c>
      <c r="M267" s="1">
        <f>IF('исходные данные'!M267&gt;'минимумы и максимумы'!K$4,100,('исходные данные'!M267-'минимумы и максимумы'!K$2)/('минимумы и максимумы'!K$4-'минимумы и максимумы'!K$2)*100)</f>
        <v>40.425531914893611</v>
      </c>
      <c r="N267" s="1">
        <f>IF('исходные данные'!N267&gt;'минимумы и максимумы'!L$4,100,('исходные данные'!N267-'минимумы и максимумы'!L$2)/('минимумы и максимумы'!L$4-'минимумы и максимумы'!L$2)*100)</f>
        <v>19.19970571204874</v>
      </c>
      <c r="O267" s="1">
        <f>IF('исходные данные'!O267&gt;'минимумы и максимумы'!M$4,100,('исходные данные'!O267-'минимумы и максимумы'!M$2)/('минимумы и максимумы'!M$4-'минимумы и максимумы'!M$2)*100)</f>
        <v>66.666666666666657</v>
      </c>
      <c r="P267" s="1">
        <f>IF('исходные данные'!P267&gt;'минимумы и максимумы'!N$4,100,('исходные данные'!P267-'минимумы и максимумы'!N$2)/('минимумы и максимумы'!N$4-'минимумы и максимумы'!N$2)*100)</f>
        <v>0</v>
      </c>
      <c r="Q267" s="1">
        <f>IF('исходные данные'!Q267&gt;'минимумы и максимумы'!O$4,100,('исходные данные'!Q267-'минимумы и максимумы'!O$2)/('минимумы и максимумы'!O$4-'минимумы и максимумы'!O$2)*100)</f>
        <v>100</v>
      </c>
      <c r="R267" s="1">
        <f>IF('исходные данные'!R267&gt;'минимумы и максимумы'!P$4,100,('исходные данные'!R267-'минимумы и максимумы'!P$2)/('минимумы и максимумы'!P$4-'минимумы и максимумы'!P$2)*100)</f>
        <v>100</v>
      </c>
      <c r="S267" s="1">
        <f>IF('исходные данные'!S267&gt;'минимумы и максимумы'!Q$4,100,('исходные данные'!S267-'минимумы и максимумы'!Q$2)/('минимумы и максимумы'!Q$4-'минимумы и максимумы'!Q$2)*100)</f>
        <v>33.333333333333329</v>
      </c>
      <c r="T267" s="1">
        <f>IF('исходные данные'!T267&gt;'минимумы и максимумы'!R$4,100,('исходные данные'!T267-'минимумы и максимумы'!R$2)/('минимумы и максимумы'!R$4-'минимумы и максимумы'!R$2)*100)</f>
        <v>12.917146144994247</v>
      </c>
      <c r="U267" s="1">
        <f>IF('исходные данные'!U267&gt;'минимумы и максимумы'!S$4,100,('исходные данные'!U267-'минимумы и максимумы'!S$2)/('минимумы и максимумы'!S$4-'минимумы и максимумы'!S$2)*100)</f>
        <v>33.333333333333329</v>
      </c>
    </row>
    <row r="268" spans="1:21" x14ac:dyDescent="0.45">
      <c r="A268" s="4">
        <v>363</v>
      </c>
      <c r="B268" s="4">
        <v>0</v>
      </c>
      <c r="C268" s="4">
        <v>0</v>
      </c>
      <c r="D268" s="1">
        <f>IF('исходные данные'!D268&gt;'минимумы и максимумы'!B$4,100,('исходные данные'!D268-'минимумы и максимумы'!B$2)/('минимумы и максимумы'!B$4-'минимумы и максимумы'!B$2)*100)</f>
        <v>0</v>
      </c>
      <c r="E268" s="1">
        <f>IF('исходные данные'!E268&gt;'минимумы и максимумы'!C$4,100,('исходные данные'!E268-'минимумы и максимумы'!C$2)/('минимумы и максимумы'!C$4-'минимумы и максимумы'!C$2)*100)</f>
        <v>12.5</v>
      </c>
      <c r="F268" s="1">
        <f>IF('исходные данные'!F268&gt;'минимумы и максимумы'!D$4,100,('исходные данные'!F268-'минимумы и максимумы'!D$2)/('минимумы и максимумы'!D$4-'минимумы и максимумы'!D$2)*100)</f>
        <v>0</v>
      </c>
      <c r="G268" s="1">
        <f>IF('исходные данные'!G268&gt;'минимумы и максимумы'!E$4,100,('исходные данные'!G268-'минимумы и максимумы'!E$2)/('минимумы и максимумы'!E$4-'минимумы и максимумы'!E$2)*100)</f>
        <v>16.216216216216218</v>
      </c>
      <c r="H268" s="1">
        <f>IF('исходные данные'!H268&gt;'минимумы и максимумы'!F$4,100,('исходные данные'!H268-'минимумы и максимумы'!F$2)/('минимумы и максимумы'!F$4-'минимумы и максимумы'!F$2)*100)</f>
        <v>23.684210526315788</v>
      </c>
      <c r="I268" s="1">
        <f>IF('исходные данные'!I268&gt;'минимумы и максимумы'!G$4,100,('исходные данные'!I268-'минимумы и максимумы'!G$2)/('минимумы и максимумы'!G$4-'минимумы и максимумы'!G$2)*100)</f>
        <v>31.325301204819279</v>
      </c>
      <c r="J268" s="1">
        <f>IF('исходные данные'!J268&gt;'минимумы и максимумы'!H$4,100,('исходные данные'!J268-'минимумы и максимумы'!H$2)/('минимумы и максимумы'!H$4-'минимумы и максимумы'!H$2)*100)</f>
        <v>0</v>
      </c>
      <c r="K268" s="1">
        <f>IF('исходные данные'!K268&gt;'минимумы и максимумы'!I$4,100,('исходные данные'!K268-'минимумы и максимумы'!I$2)/('минимумы и максимумы'!I$4-'минимумы и максимумы'!I$2)*100)</f>
        <v>39.285714285714285</v>
      </c>
      <c r="L268" s="1">
        <f>IF('исходные данные'!L268&gt;'минимумы и максимумы'!J$4,100,('исходные данные'!L268-'минимумы и максимумы'!J$2)/('минимумы и максимумы'!J$4-'минимумы и максимумы'!J$2)*100)</f>
        <v>0</v>
      </c>
      <c r="M268" s="1">
        <f>IF('исходные данные'!M268&gt;'минимумы и максимумы'!K$4,100,('исходные данные'!M268-'минимумы и максимумы'!K$2)/('минимумы и максимумы'!K$4-'минимумы и максимумы'!K$2)*100)</f>
        <v>17.021276595744681</v>
      </c>
      <c r="N268" s="1">
        <f>IF('исходные данные'!N268&gt;'минимумы и максимумы'!L$4,100,('исходные данные'!N268-'минимумы и максимумы'!L$2)/('минимумы и максимумы'!L$4-'минимумы и максимумы'!L$2)*100)</f>
        <v>18.544182099406559</v>
      </c>
      <c r="O268" s="1">
        <f>IF('исходные данные'!O268&gt;'минимумы и максимумы'!M$4,100,('исходные данные'!O268-'минимумы и максимумы'!M$2)/('минимумы и максимумы'!M$4-'минимумы и максимумы'!M$2)*100)</f>
        <v>66.666666666666657</v>
      </c>
      <c r="P268" s="1">
        <f>IF('исходные данные'!P268&gt;'минимумы и максимумы'!N$4,100,('исходные данные'!P268-'минимумы и максимумы'!N$2)/('минимумы и максимумы'!N$4-'минимумы и максимумы'!N$2)*100)</f>
        <v>0</v>
      </c>
      <c r="Q268" s="1">
        <f>IF('исходные данные'!Q268&gt;'минимумы и максимумы'!O$4,100,('исходные данные'!Q268-'минимумы и максимумы'!O$2)/('минимумы и максимумы'!O$4-'минимумы и максимумы'!O$2)*100)</f>
        <v>100</v>
      </c>
      <c r="R268" s="1">
        <f>IF('исходные данные'!R268&gt;'минимумы и максимумы'!P$4,100,('исходные данные'!R268-'минимумы и максимумы'!P$2)/('минимумы и максимумы'!P$4-'минимумы и максимумы'!P$2)*100)</f>
        <v>25</v>
      </c>
      <c r="S268" s="1">
        <f>IF('исходные данные'!S268&gt;'минимумы и максимумы'!Q$4,100,('исходные данные'!S268-'минимумы и максимумы'!Q$2)/('минимумы и максимумы'!Q$4-'минимумы и максимумы'!Q$2)*100)</f>
        <v>22.222222222222221</v>
      </c>
      <c r="T268" s="1">
        <f>IF('исходные данные'!T268&gt;'минимумы и максимумы'!R$4,100,('исходные данные'!T268-'минимумы и максимумы'!R$2)/('минимумы и максимумы'!R$4-'минимумы и максимумы'!R$2)*100)</f>
        <v>5.3797468354430382</v>
      </c>
      <c r="U268" s="1">
        <f>IF('исходные данные'!U268&gt;'минимумы и максимумы'!S$4,100,('исходные данные'!U268-'минимумы и максимумы'!S$2)/('минимумы и максимумы'!S$4-'минимумы и максимумы'!S$2)*100)</f>
        <v>0</v>
      </c>
    </row>
    <row r="269" spans="1:21" x14ac:dyDescent="0.45">
      <c r="A269" s="4">
        <v>364</v>
      </c>
      <c r="B269" s="4">
        <v>0</v>
      </c>
      <c r="C269" s="4">
        <v>0</v>
      </c>
      <c r="D269" s="1">
        <f>IF('исходные данные'!D269&gt;'минимумы и максимумы'!B$4,100,('исходные данные'!D269-'минимумы и максимумы'!B$2)/('минимумы и максимумы'!B$4-'минимумы и максимумы'!B$2)*100)</f>
        <v>0</v>
      </c>
      <c r="E269" s="1">
        <f>IF('исходные данные'!E269&gt;'минимумы и максимумы'!C$4,100,('исходные данные'!E269-'минимумы и максимумы'!C$2)/('минимумы и максимумы'!C$4-'минимумы и максимумы'!C$2)*100)</f>
        <v>0</v>
      </c>
      <c r="F269" s="1">
        <f>IF('исходные данные'!F269&gt;'минимумы и максимумы'!D$4,100,('исходные данные'!F269-'минимумы и максимумы'!D$2)/('минимумы и максимумы'!D$4-'минимумы и максимумы'!D$2)*100)</f>
        <v>0</v>
      </c>
      <c r="G269" s="1">
        <f>IF('исходные данные'!G269&gt;'минимумы и максимумы'!E$4,100,('исходные данные'!G269-'минимумы и максимумы'!E$2)/('минимумы и максимумы'!E$4-'минимумы и максимумы'!E$2)*100)</f>
        <v>8.1081081081081088</v>
      </c>
      <c r="H269" s="1">
        <f>IF('исходные данные'!H269&gt;'минимумы и максимумы'!F$4,100,('исходные данные'!H269-'минимумы и максимумы'!F$2)/('минимумы и максимумы'!F$4-'минимумы и максимумы'!F$2)*100)</f>
        <v>0</v>
      </c>
      <c r="I269" s="1">
        <f>IF('исходные данные'!I269&gt;'минимумы и максимумы'!G$4,100,('исходные данные'!I269-'минимумы и максимумы'!G$2)/('минимумы и максимумы'!G$4-'минимумы и максимумы'!G$2)*100)</f>
        <v>27.710843373493976</v>
      </c>
      <c r="J269" s="1">
        <f>IF('исходные данные'!J269&gt;'минимумы и максимумы'!H$4,100,('исходные данные'!J269-'минимумы и максимумы'!H$2)/('минимумы и максимумы'!H$4-'минимумы и максимумы'!H$2)*100)</f>
        <v>0</v>
      </c>
      <c r="K269" s="1">
        <f>IF('исходные данные'!K269&gt;'минимумы и максимумы'!I$4,100,('исходные данные'!K269-'минимумы и максимумы'!I$2)/('минимумы и максимумы'!I$4-'минимумы и максимумы'!I$2)*100)</f>
        <v>21.428571428571427</v>
      </c>
      <c r="L269" s="1">
        <f>IF('исходные данные'!L269&gt;'минимумы и максимумы'!J$4,100,('исходные данные'!L269-'минимумы и максимумы'!J$2)/('минимумы и максимумы'!J$4-'минимумы и максимумы'!J$2)*100)</f>
        <v>0</v>
      </c>
      <c r="M269" s="1">
        <f>IF('исходные данные'!M269&gt;'минимумы и максимумы'!K$4,100,('исходные данные'!M269-'минимумы и максимумы'!K$2)/('минимумы и максимумы'!K$4-'минимумы и максимумы'!K$2)*100)</f>
        <v>17.021276595744681</v>
      </c>
      <c r="N269" s="1">
        <f>IF('исходные данные'!N269&gt;'минимумы и максимумы'!L$4,100,('исходные данные'!N269-'минимумы и максимумы'!L$2)/('минимумы и максимумы'!L$4-'минимумы и максимумы'!L$2)*100)</f>
        <v>20.313574498790839</v>
      </c>
      <c r="O269" s="1">
        <f>IF('исходные данные'!O269&gt;'минимумы и максимумы'!M$4,100,('исходные данные'!O269-'минимумы и максимумы'!M$2)/('минимумы и максимумы'!M$4-'минимумы и максимумы'!M$2)*100)</f>
        <v>0</v>
      </c>
      <c r="P269" s="1">
        <f>IF('исходные данные'!P269&gt;'минимумы и максимумы'!N$4,100,('исходные данные'!P269-'минимумы и максимумы'!N$2)/('минимумы и максимумы'!N$4-'минимумы и максимумы'!N$2)*100)</f>
        <v>0</v>
      </c>
      <c r="Q269" s="1">
        <f>IF('исходные данные'!Q269&gt;'минимумы и максимумы'!O$4,100,('исходные данные'!Q269-'минимумы и максимумы'!O$2)/('минимумы и максимумы'!O$4-'минимумы и максимумы'!O$2)*100)</f>
        <v>0</v>
      </c>
      <c r="R269" s="1">
        <f>IF('исходные данные'!R269&gt;'минимумы и максимумы'!P$4,100,('исходные данные'!R269-'минимумы и максимумы'!P$2)/('минимумы и максимумы'!P$4-'минимумы и максимумы'!P$2)*100)</f>
        <v>25</v>
      </c>
      <c r="S269" s="1">
        <f>IF('исходные данные'!S269&gt;'минимумы и максимумы'!Q$4,100,('исходные данные'!S269-'минимумы и максимумы'!Q$2)/('минимумы и максимумы'!Q$4-'минимумы и максимумы'!Q$2)*100)</f>
        <v>11.111111111111111</v>
      </c>
      <c r="T269" s="1">
        <f>IF('исходные данные'!T269&gt;'минимумы и максимумы'!R$4,100,('исходные данные'!T269-'минимумы и максимумы'!R$2)/('минимумы и максимумы'!R$4-'минимумы и максимумы'!R$2)*100)</f>
        <v>34.349827387802073</v>
      </c>
      <c r="U269" s="1">
        <f>IF('исходные данные'!U269&gt;'минимумы и максимумы'!S$4,100,('исходные данные'!U269-'минимумы и максимумы'!S$2)/('минимумы и максимумы'!S$4-'минимумы и максимумы'!S$2)*100)</f>
        <v>0</v>
      </c>
    </row>
    <row r="270" spans="1:21" x14ac:dyDescent="0.45">
      <c r="A270" s="4">
        <v>365</v>
      </c>
      <c r="B270" s="4">
        <v>0</v>
      </c>
      <c r="C270" s="4">
        <v>0</v>
      </c>
      <c r="D270" s="1">
        <f>IF('исходные данные'!D270&gt;'минимумы и максимумы'!B$4,100,('исходные данные'!D270-'минимумы и максимумы'!B$2)/('минимумы и максимумы'!B$4-'минимумы и максимумы'!B$2)*100)</f>
        <v>12.5</v>
      </c>
      <c r="E270" s="1">
        <f>IF('исходные данные'!E270&gt;'минимумы и максимумы'!C$4,100,('исходные данные'!E270-'минимумы и максимумы'!C$2)/('минимумы и максимумы'!C$4-'минимумы и максимумы'!C$2)*100)</f>
        <v>12.5</v>
      </c>
      <c r="F270" s="1">
        <f>IF('исходные данные'!F270&gt;'минимумы и максимумы'!D$4,100,('исходные данные'!F270-'минимумы и максимумы'!D$2)/('минимумы и максимумы'!D$4-'минимумы и максимумы'!D$2)*100)</f>
        <v>25</v>
      </c>
      <c r="G270" s="1">
        <f>IF('исходные данные'!G270&gt;'минимумы и максимумы'!E$4,100,('исходные данные'!G270-'минимумы и максимумы'!E$2)/('минимумы и максимумы'!E$4-'минимумы и максимумы'!E$2)*100)</f>
        <v>10.810810810810811</v>
      </c>
      <c r="H270" s="1">
        <f>IF('исходные данные'!H270&gt;'минимумы и максимумы'!F$4,100,('исходные данные'!H270-'минимумы и максимумы'!F$2)/('минимумы и максимумы'!F$4-'минимумы и максимумы'!F$2)*100)</f>
        <v>13.157894736842104</v>
      </c>
      <c r="I270" s="1">
        <f>IF('исходные данные'!I270&gt;'минимумы и максимумы'!G$4,100,('исходные данные'!I270-'минимумы и максимумы'!G$2)/('минимумы и максимумы'!G$4-'минимумы и максимумы'!G$2)*100)</f>
        <v>6.024096385542169</v>
      </c>
      <c r="J270" s="1">
        <f>IF('исходные данные'!J270&gt;'минимумы и максимумы'!H$4,100,('исходные данные'!J270-'минимумы и максимумы'!H$2)/('минимумы и максимумы'!H$4-'минимумы и максимумы'!H$2)*100)</f>
        <v>0</v>
      </c>
      <c r="K270" s="1">
        <f>IF('исходные данные'!K270&gt;'минимумы и максимумы'!I$4,100,('исходные данные'!K270-'минимумы и максимумы'!I$2)/('минимумы и максимумы'!I$4-'минимумы и максимумы'!I$2)*100)</f>
        <v>3.5714285714285712</v>
      </c>
      <c r="L270" s="1">
        <f>IF('исходные данные'!L270&gt;'минимумы и максимумы'!J$4,100,('исходные данные'!L270-'минимумы и максимумы'!J$2)/('минимумы и максимумы'!J$4-'минимумы и максимумы'!J$2)*100)</f>
        <v>0</v>
      </c>
      <c r="M270" s="1">
        <f>IF('исходные данные'!M270&gt;'минимумы и максимумы'!K$4,100,('исходные данные'!M270-'минимумы и максимумы'!K$2)/('минимумы и максимумы'!K$4-'минимумы и максимумы'!K$2)*100)</f>
        <v>34.042553191489361</v>
      </c>
      <c r="N270" s="1">
        <f>IF('исходные данные'!N270&gt;'минимумы и максимумы'!L$4,100,('исходные данные'!N270-'минимумы и максимумы'!L$2)/('минимумы и максимумы'!L$4-'минимумы и максимумы'!L$2)*100)</f>
        <v>17.684410785708039</v>
      </c>
      <c r="O270" s="1">
        <f>IF('исходные данные'!O270&gt;'минимумы и максимумы'!M$4,100,('исходные данные'!O270-'минимумы и максимумы'!M$2)/('минимумы и максимумы'!M$4-'минимумы и максимумы'!M$2)*100)</f>
        <v>100</v>
      </c>
      <c r="P270" s="1">
        <f>IF('исходные данные'!P270&gt;'минимумы и максимумы'!N$4,100,('исходные данные'!P270-'минимумы и максимумы'!N$2)/('минимумы и максимумы'!N$4-'минимумы и максимумы'!N$2)*100)</f>
        <v>100</v>
      </c>
      <c r="Q270" s="1">
        <f>IF('исходные данные'!Q270&gt;'минимумы и максимумы'!O$4,100,('исходные данные'!Q270-'минимумы и максимумы'!O$2)/('минимумы и максимумы'!O$4-'минимумы и максимумы'!O$2)*100)</f>
        <v>100</v>
      </c>
      <c r="R270" s="1">
        <f>IF('исходные данные'!R270&gt;'минимумы и максимумы'!P$4,100,('исходные данные'!R270-'минимумы и максимумы'!P$2)/('минимумы и максимумы'!P$4-'минимумы и максимумы'!P$2)*100)</f>
        <v>75</v>
      </c>
      <c r="S270" s="1">
        <f>IF('исходные данные'!S270&gt;'минимумы и максимумы'!Q$4,100,('исходные данные'!S270-'минимумы и максимумы'!Q$2)/('минимумы и максимумы'!Q$4-'минимумы и максимумы'!Q$2)*100)</f>
        <v>44.444444444444443</v>
      </c>
      <c r="T270" s="1">
        <f>IF('исходные данные'!T270&gt;'минимумы и максимумы'!R$4,100,('исходные данные'!T270-'минимумы и максимумы'!R$2)/('минимумы и максимумы'!R$4-'минимумы и максимумы'!R$2)*100)</f>
        <v>96.547756041426922</v>
      </c>
      <c r="U270" s="1">
        <f>IF('исходные данные'!U270&gt;'минимумы и максимумы'!S$4,100,('исходные данные'!U270-'минимумы и максимумы'!S$2)/('минимумы и максимумы'!S$4-'минимумы и максимумы'!S$2)*100)</f>
        <v>0</v>
      </c>
    </row>
    <row r="271" spans="1:21" x14ac:dyDescent="0.45">
      <c r="A271" s="4">
        <v>366</v>
      </c>
      <c r="B271" s="4">
        <v>0</v>
      </c>
      <c r="C271" s="4">
        <v>0</v>
      </c>
      <c r="D271" s="1">
        <f>IF('исходные данные'!D271&gt;'минимумы и максимумы'!B$4,100,('исходные данные'!D271-'минимумы и максимумы'!B$2)/('минимумы и максимумы'!B$4-'минимумы и максимумы'!B$2)*100)</f>
        <v>12.5</v>
      </c>
      <c r="E271" s="1">
        <f>IF('исходные данные'!E271&gt;'минимумы и максимумы'!C$4,100,('исходные данные'!E271-'минимумы и максимумы'!C$2)/('минимумы и максимумы'!C$4-'минимумы и максимумы'!C$2)*100)</f>
        <v>12.5</v>
      </c>
      <c r="F271" s="1">
        <f>IF('исходные данные'!F271&gt;'минимумы и максимумы'!D$4,100,('исходные данные'!F271-'минимумы и максимумы'!D$2)/('минимумы и максимумы'!D$4-'минимумы и максимумы'!D$2)*100)</f>
        <v>25</v>
      </c>
      <c r="G271" s="1">
        <f>IF('исходные данные'!G271&gt;'минимумы и максимумы'!E$4,100,('исходные данные'!G271-'минимумы и максимумы'!E$2)/('минимумы и максимумы'!E$4-'минимумы и максимумы'!E$2)*100)</f>
        <v>10.810810810810811</v>
      </c>
      <c r="H271" s="1">
        <f>IF('исходные данные'!H271&gt;'минимумы и максимумы'!F$4,100,('исходные данные'!H271-'минимумы и максимумы'!F$2)/('минимумы и максимумы'!F$4-'минимумы и максимумы'!F$2)*100)</f>
        <v>13.157894736842104</v>
      </c>
      <c r="I271" s="1">
        <f>IF('исходные данные'!I271&gt;'минимумы и максимумы'!G$4,100,('исходные данные'!I271-'минимумы и максимумы'!G$2)/('минимумы и максимумы'!G$4-'минимумы и максимумы'!G$2)*100)</f>
        <v>6.024096385542169</v>
      </c>
      <c r="J271" s="1">
        <f>IF('исходные данные'!J271&gt;'минимумы и максимумы'!H$4,100,('исходные данные'!J271-'минимумы и максимумы'!H$2)/('минимумы и максимумы'!H$4-'минимумы и максимумы'!H$2)*100)</f>
        <v>0</v>
      </c>
      <c r="K271" s="1">
        <f>IF('исходные данные'!K271&gt;'минимумы и максимумы'!I$4,100,('исходные данные'!K271-'минимумы и максимумы'!I$2)/('минимумы и максимумы'!I$4-'минимумы и максимумы'!I$2)*100)</f>
        <v>3.5714285714285712</v>
      </c>
      <c r="L271" s="1">
        <f>IF('исходные данные'!L271&gt;'минимумы и максимумы'!J$4,100,('исходные данные'!L271-'минимумы и максимумы'!J$2)/('минимумы и максимумы'!J$4-'минимумы и максимумы'!J$2)*100)</f>
        <v>0</v>
      </c>
      <c r="M271" s="1">
        <f>IF('исходные данные'!M271&gt;'минимумы и максимумы'!K$4,100,('исходные данные'!M271-'минимумы и максимумы'!K$2)/('минимумы и максимумы'!K$4-'минимумы и максимумы'!K$2)*100)</f>
        <v>34.042553191489361</v>
      </c>
      <c r="N271" s="1">
        <f>IF('исходные данные'!N271&gt;'минимумы и максимумы'!L$4,100,('исходные данные'!N271-'минимумы и максимумы'!L$2)/('минимумы и максимумы'!L$4-'минимумы и максимумы'!L$2)*100)</f>
        <v>17.684410785708039</v>
      </c>
      <c r="O271" s="1">
        <f>IF('исходные данные'!O271&gt;'минимумы и максимумы'!M$4,100,('исходные данные'!O271-'минимумы и максимумы'!M$2)/('минимумы и максимумы'!M$4-'минимумы и максимумы'!M$2)*100)</f>
        <v>66.666666666666657</v>
      </c>
      <c r="P271" s="1">
        <f>IF('исходные данные'!P271&gt;'минимумы и максимумы'!N$4,100,('исходные данные'!P271-'минимумы и максимумы'!N$2)/('минимумы и максимумы'!N$4-'минимумы и максимумы'!N$2)*100)</f>
        <v>100</v>
      </c>
      <c r="Q271" s="1">
        <f>IF('исходные данные'!Q271&gt;'минимумы и максимумы'!O$4,100,('исходные данные'!Q271-'минимумы и максимумы'!O$2)/('минимумы и максимумы'!O$4-'минимумы и максимумы'!O$2)*100)</f>
        <v>100</v>
      </c>
      <c r="R271" s="1">
        <f>IF('исходные данные'!R271&gt;'минимумы и максимумы'!P$4,100,('исходные данные'!R271-'минимумы и максимумы'!P$2)/('минимумы и максимумы'!P$4-'минимумы и максимумы'!P$2)*100)</f>
        <v>75</v>
      </c>
      <c r="S271" s="1">
        <f>IF('исходные данные'!S271&gt;'минимумы и максимумы'!Q$4,100,('исходные данные'!S271-'минимумы и максимумы'!Q$2)/('минимумы и максимумы'!Q$4-'минимумы и максимумы'!Q$2)*100)</f>
        <v>33.333333333333329</v>
      </c>
      <c r="T271" s="1">
        <f>IF('исходные данные'!T271&gt;'минимумы и максимумы'!R$4,100,('исходные данные'!T271-'минимумы и максимумы'!R$2)/('минимумы и максимумы'!R$4-'минимумы и максимумы'!R$2)*100)</f>
        <v>46.921749136939013</v>
      </c>
      <c r="U271" s="1">
        <f>IF('исходные данные'!U271&gt;'минимумы и максимумы'!S$4,100,('исходные данные'!U271-'минимумы и максимумы'!S$2)/('минимумы и максимумы'!S$4-'минимумы и максимумы'!S$2)*100)</f>
        <v>0</v>
      </c>
    </row>
    <row r="272" spans="1:21" x14ac:dyDescent="0.45">
      <c r="A272" s="4">
        <v>367</v>
      </c>
      <c r="B272" s="4">
        <v>0</v>
      </c>
      <c r="C272" s="4">
        <v>0</v>
      </c>
      <c r="D272" s="1">
        <f>IF('исходные данные'!D272&gt;'минимумы и максимумы'!B$4,100,('исходные данные'!D272-'минимумы и максимумы'!B$2)/('минимумы и максимумы'!B$4-'минимумы и максимумы'!B$2)*100)</f>
        <v>12.5</v>
      </c>
      <c r="E272" s="1">
        <f>IF('исходные данные'!E272&gt;'минимумы и максимумы'!C$4,100,('исходные данные'!E272-'минимумы и максимумы'!C$2)/('минимумы и максимумы'!C$4-'минимумы и максимумы'!C$2)*100)</f>
        <v>18.75</v>
      </c>
      <c r="F272" s="1">
        <f>IF('исходные данные'!F272&gt;'минимумы и максимумы'!D$4,100,('исходные данные'!F272-'минимумы и максимумы'!D$2)/('минимумы и максимумы'!D$4-'минимумы и максимумы'!D$2)*100)</f>
        <v>25</v>
      </c>
      <c r="G272" s="1">
        <f>IF('исходные данные'!G272&gt;'минимумы и максимумы'!E$4,100,('исходные данные'!G272-'минимумы и максимумы'!E$2)/('минимумы и максимумы'!E$4-'минимумы и максимумы'!E$2)*100)</f>
        <v>13.513513513513514</v>
      </c>
      <c r="H272" s="1">
        <f>IF('исходные данные'!H272&gt;'минимумы и максимумы'!F$4,100,('исходные данные'!H272-'минимумы и максимумы'!F$2)/('минимумы и максимумы'!F$4-'минимумы и максимумы'!F$2)*100)</f>
        <v>15.789473684210526</v>
      </c>
      <c r="I272" s="1">
        <f>IF('исходные данные'!I272&gt;'минимумы и максимумы'!G$4,100,('исходные данные'!I272-'минимумы и максимумы'!G$2)/('минимумы и максимумы'!G$4-'минимумы и максимумы'!G$2)*100)</f>
        <v>6.024096385542169</v>
      </c>
      <c r="J272" s="1">
        <f>IF('исходные данные'!J272&gt;'минимумы и максимумы'!H$4,100,('исходные данные'!J272-'минимумы и максимумы'!H$2)/('минимумы и максимумы'!H$4-'минимумы и максимумы'!H$2)*100)</f>
        <v>0</v>
      </c>
      <c r="K272" s="1">
        <f>IF('исходные данные'!K272&gt;'минимумы и максимумы'!I$4,100,('исходные данные'!K272-'минимумы и максимумы'!I$2)/('минимумы и максимумы'!I$4-'минимумы и максимумы'!I$2)*100)</f>
        <v>7.1428571428571423</v>
      </c>
      <c r="L272" s="1">
        <f>IF('исходные данные'!L272&gt;'минимумы и максимумы'!J$4,100,('исходные данные'!L272-'минимумы и максимумы'!J$2)/('минимумы и максимумы'!J$4-'минимумы и максимумы'!J$2)*100)</f>
        <v>0</v>
      </c>
      <c r="M272" s="1">
        <f>IF('исходные данные'!M272&gt;'минимумы и максимумы'!K$4,100,('исходные данные'!M272-'минимумы и максимумы'!K$2)/('минимумы и максимумы'!K$4-'минимумы и максимумы'!K$2)*100)</f>
        <v>38.297872340425535</v>
      </c>
      <c r="N272" s="1">
        <f>IF('исходные данные'!N272&gt;'минимумы и максимумы'!L$4,100,('исходные данные'!N272-'минимумы и максимумы'!L$2)/('минимумы и максимумы'!L$4-'минимумы и максимумы'!L$2)*100)</f>
        <v>17.684410785708039</v>
      </c>
      <c r="O272" s="1">
        <f>IF('исходные данные'!O272&gt;'минимумы и максимумы'!M$4,100,('исходные данные'!O272-'минимумы и максимумы'!M$2)/('минимумы и максимумы'!M$4-'минимумы и максимумы'!M$2)*100)</f>
        <v>66.666666666666657</v>
      </c>
      <c r="P272" s="1">
        <f>IF('исходные данные'!P272&gt;'минимумы и максимумы'!N$4,100,('исходные данные'!P272-'минимумы и максимумы'!N$2)/('минимумы и максимумы'!N$4-'минимумы и максимумы'!N$2)*100)</f>
        <v>100</v>
      </c>
      <c r="Q272" s="1">
        <f>IF('исходные данные'!Q272&gt;'минимумы и максимумы'!O$4,100,('исходные данные'!Q272-'минимумы и максимумы'!O$2)/('минимумы и максимумы'!O$4-'минимумы и максимумы'!O$2)*100)</f>
        <v>100</v>
      </c>
      <c r="R272" s="1">
        <f>IF('исходные данные'!R272&gt;'минимумы и максимумы'!P$4,100,('исходные данные'!R272-'минимумы и максимумы'!P$2)/('минимумы и максимумы'!P$4-'минимумы и максимумы'!P$2)*100)</f>
        <v>75</v>
      </c>
      <c r="S272" s="1">
        <f>IF('исходные данные'!S272&gt;'минимумы и максимумы'!Q$4,100,('исходные данные'!S272-'минимумы и максимумы'!Q$2)/('минимумы и максимумы'!Q$4-'минимумы и максимумы'!Q$2)*100)</f>
        <v>33.333333333333329</v>
      </c>
      <c r="T272" s="1">
        <f>IF('исходные данные'!T272&gt;'минимумы и максимумы'!R$4,100,('исходные данные'!T272-'минимумы и максимумы'!R$2)/('минимумы и максимумы'!R$4-'минимумы и максимумы'!R$2)*100)</f>
        <v>45.339470655926348</v>
      </c>
      <c r="U272" s="1">
        <f>IF('исходные данные'!U272&gt;'минимумы и максимумы'!S$4,100,('исходные данные'!U272-'минимумы и максимумы'!S$2)/('минимумы и максимумы'!S$4-'минимумы и максимумы'!S$2)*100)</f>
        <v>0</v>
      </c>
    </row>
    <row r="273" spans="1:21" x14ac:dyDescent="0.45">
      <c r="A273" s="4">
        <v>369</v>
      </c>
      <c r="B273" s="4">
        <v>0</v>
      </c>
      <c r="C273" s="4">
        <v>0</v>
      </c>
      <c r="D273" s="1">
        <f>IF('исходные данные'!D273&gt;'минимумы и максимумы'!B$4,100,('исходные данные'!D273-'минимумы и максимумы'!B$2)/('минимумы и максимумы'!B$4-'минимумы и максимумы'!B$2)*100)</f>
        <v>25</v>
      </c>
      <c r="E273" s="1">
        <f>IF('исходные данные'!E273&gt;'минимумы и максимумы'!C$4,100,('исходные данные'!E273-'минимумы и максимумы'!C$2)/('минимумы и максимумы'!C$4-'минимумы и максимумы'!C$2)*100)</f>
        <v>18.75</v>
      </c>
      <c r="F273" s="1">
        <f>IF('исходные данные'!F273&gt;'минимумы и максимумы'!D$4,100,('исходные данные'!F273-'минимумы и максимумы'!D$2)/('минимумы и максимумы'!D$4-'минимумы и максимумы'!D$2)*100)</f>
        <v>25</v>
      </c>
      <c r="G273" s="1">
        <f>IF('исходные данные'!G273&gt;'минимумы и максимумы'!E$4,100,('исходные данные'!G273-'минимумы и максимумы'!E$2)/('минимумы и максимумы'!E$4-'минимумы и максимумы'!E$2)*100)</f>
        <v>21.621621621621621</v>
      </c>
      <c r="H273" s="1">
        <f>IF('исходные данные'!H273&gt;'минимумы и максимумы'!F$4,100,('исходные данные'!H273-'минимумы и максимумы'!F$2)/('минимумы и максимумы'!F$4-'минимумы и максимумы'!F$2)*100)</f>
        <v>23.684210526315788</v>
      </c>
      <c r="I273" s="1">
        <f>IF('исходные данные'!I273&gt;'минимумы и максимумы'!G$4,100,('исходные данные'!I273-'минимумы и максимумы'!G$2)/('минимумы и максимумы'!G$4-'минимумы и максимумы'!G$2)*100)</f>
        <v>9.6385542168674707</v>
      </c>
      <c r="J273" s="1">
        <f>IF('исходные данные'!J273&gt;'минимумы и максимумы'!H$4,100,('исходные данные'!J273-'минимумы и максимумы'!H$2)/('минимумы и максимумы'!H$4-'минимумы и максимумы'!H$2)*100)</f>
        <v>0</v>
      </c>
      <c r="K273" s="1">
        <f>IF('исходные данные'!K273&gt;'минимумы и максимумы'!I$4,100,('исходные данные'!K273-'минимумы и максимумы'!I$2)/('минимумы и максимумы'!I$4-'минимумы и максимумы'!I$2)*100)</f>
        <v>25</v>
      </c>
      <c r="L273" s="1">
        <f>IF('исходные данные'!L273&gt;'минимумы и максимумы'!J$4,100,('исходные данные'!L273-'минимумы и максимумы'!J$2)/('минимумы и максимумы'!J$4-'минимумы и максимумы'!J$2)*100)</f>
        <v>87.5</v>
      </c>
      <c r="M273" s="1">
        <f>IF('исходные данные'!M273&gt;'минимумы и максимумы'!K$4,100,('исходные данные'!M273-'минимумы и максимумы'!K$2)/('минимумы и максимумы'!K$4-'минимумы и максимумы'!K$2)*100)</f>
        <v>27.659574468085108</v>
      </c>
      <c r="N273" s="1">
        <f>IF('исходные данные'!N273&gt;'минимумы и максимумы'!L$4,100,('исходные данные'!N273-'минимумы и максимумы'!L$2)/('минимумы и максимумы'!L$4-'минимумы и максимумы'!L$2)*100)</f>
        <v>18.934532340672195</v>
      </c>
      <c r="O273" s="1">
        <f>IF('исходные данные'!O273&gt;'минимумы и максимумы'!M$4,100,('исходные данные'!O273-'минимумы и максимумы'!M$2)/('минимумы и максимумы'!M$4-'минимумы и максимумы'!M$2)*100)</f>
        <v>100</v>
      </c>
      <c r="P273" s="1">
        <f>IF('исходные данные'!P273&gt;'минимумы и максимумы'!N$4,100,('исходные данные'!P273-'минимумы и максимумы'!N$2)/('минимумы и максимумы'!N$4-'минимумы и максимумы'!N$2)*100)</f>
        <v>0</v>
      </c>
      <c r="Q273" s="1">
        <f>IF('исходные данные'!Q273&gt;'минимумы и максимумы'!O$4,100,('исходные данные'!Q273-'минимумы и максимумы'!O$2)/('минимумы и максимумы'!O$4-'минимумы и максимумы'!O$2)*100)</f>
        <v>100</v>
      </c>
      <c r="R273" s="1">
        <f>IF('исходные данные'!R273&gt;'минимумы и максимумы'!P$4,100,('исходные данные'!R273-'минимумы и максимумы'!P$2)/('минимумы и максимумы'!P$4-'минимумы и максимумы'!P$2)*100)</f>
        <v>50</v>
      </c>
      <c r="S273" s="1">
        <f>IF('исходные данные'!S273&gt;'минимумы и максимумы'!Q$4,100,('исходные данные'!S273-'минимумы и максимумы'!Q$2)/('минимумы и максимумы'!Q$4-'минимумы и максимумы'!Q$2)*100)</f>
        <v>22.222222222222221</v>
      </c>
      <c r="T273" s="1">
        <f>IF('исходные данные'!T273&gt;'минимумы и максимумы'!R$4,100,('исходные данные'!T273-'минимумы и максимумы'!R$2)/('минимумы и максимумы'!R$4-'минимумы и максимумы'!R$2)*100)</f>
        <v>13.808975834292289</v>
      </c>
      <c r="U273" s="1">
        <f>IF('исходные данные'!U273&gt;'минимумы и максимумы'!S$4,100,('исходные данные'!U273-'минимумы и максимумы'!S$2)/('минимумы и максимумы'!S$4-'минимумы и максимумы'!S$2)*100)</f>
        <v>0</v>
      </c>
    </row>
    <row r="274" spans="1:21" x14ac:dyDescent="0.45">
      <c r="A274" s="4">
        <v>370</v>
      </c>
      <c r="B274" s="4">
        <v>1</v>
      </c>
      <c r="C274" s="4">
        <v>0</v>
      </c>
      <c r="D274" s="1">
        <f>IF('исходные данные'!D274&gt;'минимумы и максимумы'!B$4,100,('исходные данные'!D274-'минимумы и максимумы'!B$2)/('минимумы и максимумы'!B$4-'минимумы и максимумы'!B$2)*100)</f>
        <v>0</v>
      </c>
      <c r="E274" s="1">
        <f>IF('исходные данные'!E274&gt;'минимумы и максимумы'!C$4,100,('исходные данные'!E274-'минимумы и максимумы'!C$2)/('минимумы и максимумы'!C$4-'минимумы и максимумы'!C$2)*100)</f>
        <v>0</v>
      </c>
      <c r="F274" s="1">
        <f>IF('исходные данные'!F274&gt;'минимумы и максимумы'!D$4,100,('исходные данные'!F274-'минимумы и максимумы'!D$2)/('минимумы и максимумы'!D$4-'минимумы и максимумы'!D$2)*100)</f>
        <v>0</v>
      </c>
      <c r="G274" s="1">
        <f>IF('исходные данные'!G274&gt;'минимумы и максимумы'!E$4,100,('исходные данные'!G274-'минимумы и максимумы'!E$2)/('минимумы и максимумы'!E$4-'минимумы и максимумы'!E$2)*100)</f>
        <v>0</v>
      </c>
      <c r="H274" s="1">
        <f>IF('исходные данные'!H274&gt;'минимумы и максимумы'!F$4,100,('исходные данные'!H274-'минимумы и максимумы'!F$2)/('минимумы и максимумы'!F$4-'минимумы и максимумы'!F$2)*100)</f>
        <v>0</v>
      </c>
      <c r="I274" s="1">
        <f>IF('исходные данные'!I274&gt;'минимумы и максимумы'!G$4,100,('исходные данные'!I274-'минимумы и максимумы'!G$2)/('минимумы и максимумы'!G$4-'минимумы и максимумы'!G$2)*100)</f>
        <v>2.4096385542168677</v>
      </c>
      <c r="J274" s="1">
        <f>IF('исходные данные'!J274&gt;'минимумы и максимумы'!H$4,100,('исходные данные'!J274-'минимумы и максимумы'!H$2)/('минимумы и максимумы'!H$4-'минимумы и максимумы'!H$2)*100)</f>
        <v>0</v>
      </c>
      <c r="K274" s="1">
        <f>IF('исходные данные'!K274&gt;'минимумы и максимумы'!I$4,100,('исходные данные'!K274-'минимумы и максимумы'!I$2)/('минимумы и максимумы'!I$4-'минимумы и максимумы'!I$2)*100)</f>
        <v>7.1428571428571423</v>
      </c>
      <c r="L274" s="1">
        <f>IF('исходные данные'!L274&gt;'минимумы и максимумы'!J$4,100,('исходные данные'!L274-'минимумы и максимумы'!J$2)/('минимумы и максимумы'!J$4-'минимумы и максимумы'!J$2)*100)</f>
        <v>0</v>
      </c>
      <c r="M274" s="1">
        <f>IF('исходные данные'!M274&gt;'минимумы и максимумы'!K$4,100,('исходные данные'!M274-'минимумы и максимумы'!K$2)/('минимумы и максимумы'!K$4-'минимумы и максимумы'!K$2)*100)</f>
        <v>6.3829787234042552</v>
      </c>
      <c r="N274" s="1">
        <f>IF('исходные данные'!N274&gt;'минимумы и максимумы'!L$4,100,('исходные данные'!N274-'минимумы и максимумы'!L$2)/('минимумы и максимумы'!L$4-'минимумы и максимумы'!L$2)*100)</f>
        <v>41.027806841525042</v>
      </c>
      <c r="O274" s="1">
        <f>IF('исходные данные'!O274&gt;'минимумы и максимумы'!M$4,100,('исходные данные'!O274-'минимумы и максимумы'!M$2)/('минимумы и максимумы'!M$4-'минимумы и максимумы'!M$2)*100)</f>
        <v>0</v>
      </c>
      <c r="P274" s="1">
        <f>IF('исходные данные'!P274&gt;'минимумы и максимумы'!N$4,100,('исходные данные'!P274-'минимумы и максимумы'!N$2)/('минимумы и максимумы'!N$4-'минимумы и максимумы'!N$2)*100)</f>
        <v>100</v>
      </c>
      <c r="Q274" s="1">
        <f>IF('исходные данные'!Q274&gt;'минимумы и максимумы'!O$4,100,('исходные данные'!Q274-'минимумы и максимумы'!O$2)/('минимумы и максимумы'!O$4-'минимумы и максимумы'!O$2)*100)</f>
        <v>0</v>
      </c>
      <c r="R274" s="1">
        <f>IF('исходные данные'!R274&gt;'минимумы и максимумы'!P$4,100,('исходные данные'!R274-'минимумы и максимумы'!P$2)/('минимумы и максимумы'!P$4-'минимумы и максимумы'!P$2)*100)</f>
        <v>25</v>
      </c>
      <c r="S274" s="1">
        <f>IF('исходные данные'!S274&gt;'минимумы и максимумы'!Q$4,100,('исходные данные'!S274-'минимумы и максимумы'!Q$2)/('минимумы и максимумы'!Q$4-'минимумы и максимумы'!Q$2)*100)</f>
        <v>22.222222222222221</v>
      </c>
      <c r="T274" s="1">
        <f>IF('исходные данные'!T274&gt;'минимумы и максимумы'!R$4,100,('исходные данные'!T274-'минимумы и максимумы'!R$2)/('минимумы и максимумы'!R$4-'минимумы и максимумы'!R$2)*100)</f>
        <v>12.543153049482164</v>
      </c>
      <c r="U274" s="1">
        <f>IF('исходные данные'!U274&gt;'минимумы и максимумы'!S$4,100,('исходные данные'!U274-'минимумы и максимумы'!S$2)/('минимумы и максимумы'!S$4-'минимумы и максимумы'!S$2)*100)</f>
        <v>66.666666666666657</v>
      </c>
    </row>
    <row r="275" spans="1:21" x14ac:dyDescent="0.45">
      <c r="A275" s="4">
        <v>371</v>
      </c>
      <c r="B275" s="4">
        <v>0</v>
      </c>
      <c r="C275" s="4">
        <v>0</v>
      </c>
      <c r="D275" s="1">
        <f>IF('исходные данные'!D275&gt;'минимумы и максимумы'!B$4,100,('исходные данные'!D275-'минимумы и максимумы'!B$2)/('минимумы и максимумы'!B$4-'минимумы и максимумы'!B$2)*100)</f>
        <v>0</v>
      </c>
      <c r="E275" s="1">
        <f>IF('исходные данные'!E275&gt;'минимумы и максимумы'!C$4,100,('исходные данные'!E275-'минимумы и максимумы'!C$2)/('минимумы и максимумы'!C$4-'минимумы и максимумы'!C$2)*100)</f>
        <v>0</v>
      </c>
      <c r="F275" s="1">
        <f>IF('исходные данные'!F275&gt;'минимумы и максимумы'!D$4,100,('исходные данные'!F275-'минимумы и максимумы'!D$2)/('минимумы и максимумы'!D$4-'минимумы и максимумы'!D$2)*100)</f>
        <v>0</v>
      </c>
      <c r="G275" s="1">
        <f>IF('исходные данные'!G275&gt;'минимумы и максимумы'!E$4,100,('исходные данные'!G275-'минимумы и максимумы'!E$2)/('минимумы и максимумы'!E$4-'минимумы и максимумы'!E$2)*100)</f>
        <v>0</v>
      </c>
      <c r="H275" s="1">
        <f>IF('исходные данные'!H275&gt;'минимумы и максимумы'!F$4,100,('исходные данные'!H275-'минимумы и максимумы'!F$2)/('минимумы и максимумы'!F$4-'минимумы и максимумы'!F$2)*100)</f>
        <v>0</v>
      </c>
      <c r="I275" s="1">
        <f>IF('исходные данные'!I275&gt;'минимумы и максимумы'!G$4,100,('исходные данные'!I275-'минимумы и максимумы'!G$2)/('минимумы и максимумы'!G$4-'минимумы и максимумы'!G$2)*100)</f>
        <v>2.4096385542168677</v>
      </c>
      <c r="J275" s="1">
        <f>IF('исходные данные'!J275&gt;'минимумы и максимумы'!H$4,100,('исходные данные'!J275-'минимумы и максимумы'!H$2)/('минимумы и максимумы'!H$4-'минимумы и максимумы'!H$2)*100)</f>
        <v>0</v>
      </c>
      <c r="K275" s="1">
        <f>IF('исходные данные'!K275&gt;'минимумы и максимумы'!I$4,100,('исходные данные'!K275-'минимумы и максимумы'!I$2)/('минимумы и максимумы'!I$4-'минимумы и максимумы'!I$2)*100)</f>
        <v>7.1428571428571423</v>
      </c>
      <c r="L275" s="1">
        <f>IF('исходные данные'!L275&gt;'минимумы и максимумы'!J$4,100,('исходные данные'!L275-'минимумы и максимумы'!J$2)/('минимумы и максимумы'!J$4-'минимумы и максимумы'!J$2)*100)</f>
        <v>0</v>
      </c>
      <c r="M275" s="1">
        <f>IF('исходные данные'!M275&gt;'минимумы и максимумы'!K$4,100,('исходные данные'!M275-'минимумы и максимумы'!K$2)/('минимумы и максимумы'!K$4-'минимумы и максимумы'!K$2)*100)</f>
        <v>6.3829787234042552</v>
      </c>
      <c r="N275" s="1">
        <f>IF('исходные данные'!N275&gt;'минимумы и максимумы'!L$4,100,('исходные данные'!N275-'минимумы и максимумы'!L$2)/('минимумы и максимумы'!L$4-'минимумы и максимумы'!L$2)*100)</f>
        <v>41.027806841525042</v>
      </c>
      <c r="O275" s="1">
        <f>IF('исходные данные'!O275&gt;'минимумы и максимумы'!M$4,100,('исходные данные'!O275-'минимумы и максимумы'!M$2)/('минимумы и максимумы'!M$4-'минимумы и максимумы'!M$2)*100)</f>
        <v>66.666666666666657</v>
      </c>
      <c r="P275" s="1">
        <f>IF('исходные данные'!P275&gt;'минимумы и максимумы'!N$4,100,('исходные данные'!P275-'минимумы и максимумы'!N$2)/('минимумы и максимумы'!N$4-'минимумы и максимумы'!N$2)*100)</f>
        <v>100</v>
      </c>
      <c r="Q275" s="1">
        <f>IF('исходные данные'!Q275&gt;'минимумы и максимумы'!O$4,100,('исходные данные'!Q275-'минимумы и максимумы'!O$2)/('минимумы и максимумы'!O$4-'минимумы и максимумы'!O$2)*100)</f>
        <v>0</v>
      </c>
      <c r="R275" s="1">
        <f>IF('исходные данные'!R275&gt;'минимумы и максимумы'!P$4,100,('исходные данные'!R275-'минимумы и максимумы'!P$2)/('минимумы и максимумы'!P$4-'минимумы и максимумы'!P$2)*100)</f>
        <v>25</v>
      </c>
      <c r="S275" s="1">
        <f>IF('исходные данные'!S275&gt;'минимумы и максимумы'!Q$4,100,('исходные данные'!S275-'минимумы и максимумы'!Q$2)/('минимумы и максимумы'!Q$4-'минимумы и максимумы'!Q$2)*100)</f>
        <v>22.222222222222221</v>
      </c>
      <c r="T275" s="1">
        <f>IF('исходные данные'!T275&gt;'минимумы и максимумы'!R$4,100,('исходные данные'!T275-'минимумы и максимумы'!R$2)/('минимумы и максимумы'!R$4-'минимумы и максимумы'!R$2)*100)</f>
        <v>2.4453394706559264</v>
      </c>
      <c r="U275" s="1">
        <f>IF('исходные данные'!U275&gt;'минимумы и максимумы'!S$4,100,('исходные данные'!U275-'минимумы и максимумы'!S$2)/('минимумы и максимумы'!S$4-'минимумы и максимумы'!S$2)*100)</f>
        <v>0</v>
      </c>
    </row>
    <row r="276" spans="1:21" x14ac:dyDescent="0.45">
      <c r="A276" s="4">
        <v>372</v>
      </c>
      <c r="B276" s="4">
        <v>0</v>
      </c>
      <c r="C276" s="4">
        <v>0</v>
      </c>
      <c r="D276" s="1">
        <f>IF('исходные данные'!D276&gt;'минимумы и максимумы'!B$4,100,('исходные данные'!D276-'минимумы и максимумы'!B$2)/('минимумы и максимумы'!B$4-'минимумы и максимумы'!B$2)*100)</f>
        <v>0</v>
      </c>
      <c r="E276" s="1">
        <f>IF('исходные данные'!E276&gt;'минимумы и максимумы'!C$4,100,('исходные данные'!E276-'минимумы и максимумы'!C$2)/('минимумы и максимумы'!C$4-'минимумы и максимумы'!C$2)*100)</f>
        <v>0</v>
      </c>
      <c r="F276" s="1">
        <f>IF('исходные данные'!F276&gt;'минимумы и максимумы'!D$4,100,('исходные данные'!F276-'минимумы и максимумы'!D$2)/('минимумы и максимумы'!D$4-'минимумы и максимумы'!D$2)*100)</f>
        <v>0</v>
      </c>
      <c r="G276" s="1">
        <f>IF('исходные данные'!G276&gt;'минимумы и максимумы'!E$4,100,('исходные данные'!G276-'минимумы и максимумы'!E$2)/('минимумы и максимумы'!E$4-'минимумы и максимумы'!E$2)*100)</f>
        <v>0</v>
      </c>
      <c r="H276" s="1">
        <f>IF('исходные данные'!H276&gt;'минимумы и максимумы'!F$4,100,('исходные данные'!H276-'минимумы и максимумы'!F$2)/('минимумы и максимумы'!F$4-'минимумы и максимумы'!F$2)*100)</f>
        <v>0</v>
      </c>
      <c r="I276" s="1">
        <f>IF('исходные данные'!I276&gt;'минимумы и максимумы'!G$4,100,('исходные данные'!I276-'минимумы и максимумы'!G$2)/('минимумы и максимумы'!G$4-'минимумы и максимумы'!G$2)*100)</f>
        <v>2.4096385542168677</v>
      </c>
      <c r="J276" s="1">
        <f>IF('исходные данные'!J276&gt;'минимумы и максимумы'!H$4,100,('исходные данные'!J276-'минимумы и максимумы'!H$2)/('минимумы и максимумы'!H$4-'минимумы и максимумы'!H$2)*100)</f>
        <v>0</v>
      </c>
      <c r="K276" s="1">
        <f>IF('исходные данные'!K276&gt;'минимумы и максимумы'!I$4,100,('исходные данные'!K276-'минимумы и максимумы'!I$2)/('минимумы и максимумы'!I$4-'минимумы и максимумы'!I$2)*100)</f>
        <v>7.1428571428571423</v>
      </c>
      <c r="L276" s="1">
        <f>IF('исходные данные'!L276&gt;'минимумы и максимумы'!J$4,100,('исходные данные'!L276-'минимумы и максимумы'!J$2)/('минимумы и максимумы'!J$4-'минимумы и максимумы'!J$2)*100)</f>
        <v>0</v>
      </c>
      <c r="M276" s="1">
        <f>IF('исходные данные'!M276&gt;'минимумы и максимумы'!K$4,100,('исходные данные'!M276-'минимумы и максимумы'!K$2)/('минимумы и максимумы'!K$4-'минимумы и максимумы'!K$2)*100)</f>
        <v>6.3829787234042552</v>
      </c>
      <c r="N276" s="1">
        <f>IF('исходные данные'!N276&gt;'минимумы и максимумы'!L$4,100,('исходные данные'!N276-'минимумы и максимумы'!L$2)/('минимумы и максимумы'!L$4-'минимумы и максимумы'!L$2)*100)</f>
        <v>41.5228904687688</v>
      </c>
      <c r="O276" s="1">
        <f>IF('исходные данные'!O276&gt;'минимумы и максимумы'!M$4,100,('исходные данные'!O276-'минимумы и максимумы'!M$2)/('минимумы и максимумы'!M$4-'минимумы и максимумы'!M$2)*100)</f>
        <v>0</v>
      </c>
      <c r="P276" s="1">
        <f>IF('исходные данные'!P276&gt;'минимумы и максимумы'!N$4,100,('исходные данные'!P276-'минимумы и максимумы'!N$2)/('минимумы и максимумы'!N$4-'минимумы и максимумы'!N$2)*100)</f>
        <v>100</v>
      </c>
      <c r="Q276" s="1">
        <f>IF('исходные данные'!Q276&gt;'минимумы и максимумы'!O$4,100,('исходные данные'!Q276-'минимумы и максимумы'!O$2)/('минимумы и максимумы'!O$4-'минимумы и максимумы'!O$2)*100)</f>
        <v>0</v>
      </c>
      <c r="R276" s="1">
        <f>IF('исходные данные'!R276&gt;'минимумы и максимумы'!P$4,100,('исходные данные'!R276-'минимумы и максимумы'!P$2)/('минимумы и максимумы'!P$4-'минимумы и максимумы'!P$2)*100)</f>
        <v>25</v>
      </c>
      <c r="S276" s="1">
        <f>IF('исходные данные'!S276&gt;'минимумы и максимумы'!Q$4,100,('исходные данные'!S276-'минимумы и максимумы'!Q$2)/('минимумы и максимумы'!Q$4-'минимумы и максимумы'!Q$2)*100)</f>
        <v>22.222222222222221</v>
      </c>
      <c r="T276" s="1">
        <f>IF('исходные данные'!T276&gt;'минимумы и максимумы'!R$4,100,('исходные данные'!T276-'минимумы и максимумы'!R$2)/('минимумы и максимумы'!R$4-'минимумы и максимумы'!R$2)*100)</f>
        <v>7.9976985040276185</v>
      </c>
      <c r="U276" s="1">
        <f>IF('исходные данные'!U276&gt;'минимумы и максимумы'!S$4,100,('исходные данные'!U276-'минимумы и максимумы'!S$2)/('минимумы и максимумы'!S$4-'минимумы и максимумы'!S$2)*100)</f>
        <v>0</v>
      </c>
    </row>
    <row r="277" spans="1:21" x14ac:dyDescent="0.45">
      <c r="A277" s="4">
        <v>373</v>
      </c>
      <c r="B277" s="4">
        <v>0</v>
      </c>
      <c r="C277" s="4">
        <v>0</v>
      </c>
      <c r="D277" s="1">
        <f>IF('исходные данные'!D277&gt;'минимумы и максимумы'!B$4,100,('исходные данные'!D277-'минимумы и максимумы'!B$2)/('минимумы и максимумы'!B$4-'минимумы и максимумы'!B$2)*100)</f>
        <v>0</v>
      </c>
      <c r="E277" s="1">
        <f>IF('исходные данные'!E277&gt;'минимумы и максимумы'!C$4,100,('исходные данные'!E277-'минимумы и максимумы'!C$2)/('минимумы и максимумы'!C$4-'минимумы и максимумы'!C$2)*100)</f>
        <v>0</v>
      </c>
      <c r="F277" s="1">
        <f>IF('исходные данные'!F277&gt;'минимумы и максимумы'!D$4,100,('исходные данные'!F277-'минимумы и максимумы'!D$2)/('минимумы и максимумы'!D$4-'минимумы и максимумы'!D$2)*100)</f>
        <v>0</v>
      </c>
      <c r="G277" s="1">
        <f>IF('исходные данные'!G277&gt;'минимумы и максимумы'!E$4,100,('исходные данные'!G277-'минимумы и максимумы'!E$2)/('минимумы и максимумы'!E$4-'минимумы и максимумы'!E$2)*100)</f>
        <v>0</v>
      </c>
      <c r="H277" s="1">
        <f>IF('исходные данные'!H277&gt;'минимумы и максимумы'!F$4,100,('исходные данные'!H277-'минимумы и максимумы'!F$2)/('минимумы и максимумы'!F$4-'минимумы и максимумы'!F$2)*100)</f>
        <v>0</v>
      </c>
      <c r="I277" s="1">
        <f>IF('исходные данные'!I277&gt;'минимумы и максимумы'!G$4,100,('исходные данные'!I277-'минимумы и максимумы'!G$2)/('минимумы и максимумы'!G$4-'минимумы и максимумы'!G$2)*100)</f>
        <v>1.2048192771084338</v>
      </c>
      <c r="J277" s="1">
        <f>IF('исходные данные'!J277&gt;'минимумы и максимумы'!H$4,100,('исходные данные'!J277-'минимумы и максимумы'!H$2)/('минимумы и максимумы'!H$4-'минимумы и максимумы'!H$2)*100)</f>
        <v>0</v>
      </c>
      <c r="K277" s="1">
        <f>IF('исходные данные'!K277&gt;'минимумы и максимумы'!I$4,100,('исходные данные'!K277-'минимумы и максимумы'!I$2)/('минимумы и максимумы'!I$4-'минимумы и максимумы'!I$2)*100)</f>
        <v>7.1428571428571423</v>
      </c>
      <c r="L277" s="1">
        <f>IF('исходные данные'!L277&gt;'минимумы и максимумы'!J$4,100,('исходные данные'!L277-'минимумы и максимумы'!J$2)/('минимумы и максимумы'!J$4-'минимумы и максимумы'!J$2)*100)</f>
        <v>0</v>
      </c>
      <c r="M277" s="1">
        <f>IF('исходные данные'!M277&gt;'минимумы и максимумы'!K$4,100,('исходные данные'!M277-'минимумы и максимумы'!K$2)/('минимумы и максимумы'!K$4-'минимумы и максимумы'!K$2)*100)</f>
        <v>4.2553191489361701</v>
      </c>
      <c r="N277" s="1">
        <f>IF('исходные данные'!N277&gt;'минимумы и максимумы'!L$4,100,('исходные данные'!N277-'минимумы и максимумы'!L$2)/('минимумы и максимумы'!L$4-'минимумы и максимумы'!L$2)*100)</f>
        <v>41.758400889560598</v>
      </c>
      <c r="O277" s="1">
        <f>IF('исходные данные'!O277&gt;'минимумы и максимумы'!M$4,100,('исходные данные'!O277-'минимумы и максимумы'!M$2)/('минимумы и максимумы'!M$4-'минимумы и максимумы'!M$2)*100)</f>
        <v>33.333333333333329</v>
      </c>
      <c r="P277" s="1">
        <f>IF('исходные данные'!P277&gt;'минимумы и максимумы'!N$4,100,('исходные данные'!P277-'минимумы и максимумы'!N$2)/('минимумы и максимумы'!N$4-'минимумы и максимумы'!N$2)*100)</f>
        <v>100</v>
      </c>
      <c r="Q277" s="1">
        <f>IF('исходные данные'!Q277&gt;'минимумы и максимумы'!O$4,100,('исходные данные'!Q277-'минимумы и максимумы'!O$2)/('минимумы и максимумы'!O$4-'минимумы и максимумы'!O$2)*100)</f>
        <v>0</v>
      </c>
      <c r="R277" s="1">
        <f>IF('исходные данные'!R277&gt;'минимумы и максимумы'!P$4,100,('исходные данные'!R277-'минимумы и максимумы'!P$2)/('минимумы и максимумы'!P$4-'минимумы и максимумы'!P$2)*100)</f>
        <v>25</v>
      </c>
      <c r="S277" s="1">
        <f>IF('исходные данные'!S277&gt;'минимумы и максимумы'!Q$4,100,('исходные данные'!S277-'минимумы и максимумы'!Q$2)/('минимумы и максимумы'!Q$4-'минимумы и максимумы'!Q$2)*100)</f>
        <v>22.222222222222221</v>
      </c>
      <c r="T277" s="1">
        <f>IF('исходные данные'!T277&gt;'минимумы и максимумы'!R$4,100,('исходные данные'!T277-'минимумы и максимумы'!R$2)/('минимумы и максимумы'!R$4-'минимумы и максимумы'!R$2)*100)</f>
        <v>7.7675489067894139</v>
      </c>
      <c r="U277" s="1">
        <f>IF('исходные данные'!U277&gt;'минимумы и максимумы'!S$4,100,('исходные данные'!U277-'минимумы и максимумы'!S$2)/('минимумы и максимумы'!S$4-'минимумы и максимумы'!S$2)*100)</f>
        <v>0</v>
      </c>
    </row>
    <row r="278" spans="1:21" x14ac:dyDescent="0.45">
      <c r="A278" s="4">
        <v>374</v>
      </c>
      <c r="B278" s="4">
        <v>0</v>
      </c>
      <c r="C278" s="4">
        <v>0</v>
      </c>
      <c r="D278" s="1">
        <f>IF('исходные данные'!D278&gt;'минимумы и максимумы'!B$4,100,('исходные данные'!D278-'минимумы и максимумы'!B$2)/('минимумы и максимумы'!B$4-'минимумы и максимумы'!B$2)*100)</f>
        <v>0</v>
      </c>
      <c r="E278" s="1">
        <f>IF('исходные данные'!E278&gt;'минимумы и максимумы'!C$4,100,('исходные данные'!E278-'минимумы и максимумы'!C$2)/('минимумы и максимумы'!C$4-'минимумы и максимумы'!C$2)*100)</f>
        <v>0</v>
      </c>
      <c r="F278" s="1">
        <f>IF('исходные данные'!F278&gt;'минимумы и максимумы'!D$4,100,('исходные данные'!F278-'минимумы и максимумы'!D$2)/('минимумы и максимумы'!D$4-'минимумы и максимумы'!D$2)*100)</f>
        <v>0</v>
      </c>
      <c r="G278" s="1">
        <f>IF('исходные данные'!G278&gt;'минимумы и максимумы'!E$4,100,('исходные данные'!G278-'минимумы и максимумы'!E$2)/('минимумы и максимумы'!E$4-'минимумы и максимумы'!E$2)*100)</f>
        <v>0</v>
      </c>
      <c r="H278" s="1">
        <f>IF('исходные данные'!H278&gt;'минимумы и максимумы'!F$4,100,('исходные данные'!H278-'минимумы и максимумы'!F$2)/('минимумы и максимумы'!F$4-'минимумы и максимумы'!F$2)*100)</f>
        <v>0</v>
      </c>
      <c r="I278" s="1">
        <f>IF('исходные данные'!I278&gt;'минимумы и максимумы'!G$4,100,('исходные данные'!I278-'минимумы и максимумы'!G$2)/('минимумы и максимумы'!G$4-'минимумы и максимумы'!G$2)*100)</f>
        <v>2.4096385542168677</v>
      </c>
      <c r="J278" s="1">
        <f>IF('исходные данные'!J278&gt;'минимумы и максимумы'!H$4,100,('исходные данные'!J278-'минимумы и максимумы'!H$2)/('минимумы и максимумы'!H$4-'минимумы и максимумы'!H$2)*100)</f>
        <v>0</v>
      </c>
      <c r="K278" s="1">
        <f>IF('исходные данные'!K278&gt;'минимумы и максимумы'!I$4,100,('исходные данные'!K278-'минимумы и максимумы'!I$2)/('минимумы и максимумы'!I$4-'минимумы и максимумы'!I$2)*100)</f>
        <v>7.1428571428571423</v>
      </c>
      <c r="L278" s="1">
        <f>IF('исходные данные'!L278&gt;'минимумы и максимумы'!J$4,100,('исходные данные'!L278-'минимумы и максимумы'!J$2)/('минимумы и максимумы'!J$4-'минимумы и максимумы'!J$2)*100)</f>
        <v>0</v>
      </c>
      <c r="M278" s="1">
        <f>IF('исходные данные'!M278&gt;'минимумы и максимумы'!K$4,100,('исходные данные'!M278-'минимумы и максимумы'!K$2)/('минимумы и максимумы'!K$4-'минимумы и максимумы'!K$2)*100)</f>
        <v>6.3829787234042552</v>
      </c>
      <c r="N278" s="1">
        <f>IF('исходные данные'!N278&gt;'минимумы и максимумы'!L$4,100,('исходные данные'!N278-'минимумы и максимумы'!L$2)/('минимумы и максимумы'!L$4-'минимумы и максимумы'!L$2)*100)</f>
        <v>41.5228904687688</v>
      </c>
      <c r="O278" s="1">
        <f>IF('исходные данные'!O278&gt;'минимумы и максимумы'!M$4,100,('исходные данные'!O278-'минимумы и максимумы'!M$2)/('минимумы и максимумы'!M$4-'минимумы и максимумы'!M$2)*100)</f>
        <v>100</v>
      </c>
      <c r="P278" s="1">
        <f>IF('исходные данные'!P278&gt;'минимумы и максимумы'!N$4,100,('исходные данные'!P278-'минимумы и максимумы'!N$2)/('минимумы и максимумы'!N$4-'минимумы и максимумы'!N$2)*100)</f>
        <v>100</v>
      </c>
      <c r="Q278" s="1">
        <f>IF('исходные данные'!Q278&gt;'минимумы и максимумы'!O$4,100,('исходные данные'!Q278-'минимумы и максимумы'!O$2)/('минимумы и максимумы'!O$4-'минимумы и максимумы'!O$2)*100)</f>
        <v>0</v>
      </c>
      <c r="R278" s="1">
        <f>IF('исходные данные'!R278&gt;'минимумы и максимумы'!P$4,100,('исходные данные'!R278-'минимумы и максимумы'!P$2)/('минимумы и максимумы'!P$4-'минимумы и максимумы'!P$2)*100)</f>
        <v>25</v>
      </c>
      <c r="S278" s="1">
        <f>IF('исходные данные'!S278&gt;'минимумы и максимумы'!Q$4,100,('исходные данные'!S278-'минимумы и максимумы'!Q$2)/('минимумы и максимумы'!Q$4-'минимумы и максимумы'!Q$2)*100)</f>
        <v>22.222222222222221</v>
      </c>
      <c r="T278" s="1">
        <f>IF('исходные данные'!T278&gt;'минимумы и максимумы'!R$4,100,('исходные данные'!T278-'минимумы и максимумы'!R$2)/('минимумы и максимумы'!R$4-'минимумы и максимумы'!R$2)*100)</f>
        <v>20.627157652474107</v>
      </c>
      <c r="U278" s="1">
        <f>IF('исходные данные'!U278&gt;'минимумы и максимумы'!S$4,100,('исходные данные'!U278-'минимумы и максимумы'!S$2)/('минимумы и максимумы'!S$4-'минимумы и максимумы'!S$2)*100)</f>
        <v>33.333333333333329</v>
      </c>
    </row>
    <row r="279" spans="1:21" x14ac:dyDescent="0.45">
      <c r="A279" s="4">
        <v>375</v>
      </c>
      <c r="B279" s="4">
        <v>0</v>
      </c>
      <c r="C279" s="4">
        <v>0</v>
      </c>
      <c r="D279" s="1">
        <f>IF('исходные данные'!D279&gt;'минимумы и максимумы'!B$4,100,('исходные данные'!D279-'минимумы и максимумы'!B$2)/('минимумы и максимумы'!B$4-'минимумы и максимумы'!B$2)*100)</f>
        <v>0</v>
      </c>
      <c r="E279" s="1">
        <f>IF('исходные данные'!E279&gt;'минимумы и максимумы'!C$4,100,('исходные данные'!E279-'минимумы и максимумы'!C$2)/('минимумы и максимумы'!C$4-'минимумы и максимумы'!C$2)*100)</f>
        <v>0</v>
      </c>
      <c r="F279" s="1">
        <f>IF('исходные данные'!F279&gt;'минимумы и максимумы'!D$4,100,('исходные данные'!F279-'минимумы и максимумы'!D$2)/('минимумы и максимумы'!D$4-'минимумы и максимумы'!D$2)*100)</f>
        <v>0</v>
      </c>
      <c r="G279" s="1">
        <f>IF('исходные данные'!G279&gt;'минимумы и максимумы'!E$4,100,('исходные данные'!G279-'минимумы и максимумы'!E$2)/('минимумы и максимумы'!E$4-'минимумы и максимумы'!E$2)*100)</f>
        <v>2.7027027027027026</v>
      </c>
      <c r="H279" s="1">
        <f>IF('исходные данные'!H279&gt;'минимумы и максимумы'!F$4,100,('исходные данные'!H279-'минимумы и максимумы'!F$2)/('минимумы и максимумы'!F$4-'минимумы и максимумы'!F$2)*100)</f>
        <v>5.2631578947368416</v>
      </c>
      <c r="I279" s="1">
        <f>IF('исходные данные'!I279&gt;'минимумы и максимумы'!G$4,100,('исходные данные'!I279-'минимумы и максимумы'!G$2)/('минимумы и максимумы'!G$4-'минимумы и максимумы'!G$2)*100)</f>
        <v>2.4096385542168677</v>
      </c>
      <c r="J279" s="1">
        <f>IF('исходные данные'!J279&gt;'минимумы и максимумы'!H$4,100,('исходные данные'!J279-'минимумы и максимумы'!H$2)/('минимумы и максимумы'!H$4-'минимумы и максимумы'!H$2)*100)</f>
        <v>0</v>
      </c>
      <c r="K279" s="1">
        <f>IF('исходные данные'!K279&gt;'минимумы и максимумы'!I$4,100,('исходные данные'!K279-'минимумы и максимумы'!I$2)/('минимумы и максимумы'!I$4-'минимумы и максимумы'!I$2)*100)</f>
        <v>7.1428571428571423</v>
      </c>
      <c r="L279" s="1">
        <f>IF('исходные данные'!L279&gt;'минимумы и максимумы'!J$4,100,('исходные данные'!L279-'минимумы и максимумы'!J$2)/('минимумы и максимумы'!J$4-'минимумы и максимумы'!J$2)*100)</f>
        <v>0</v>
      </c>
      <c r="M279" s="1">
        <f>IF('исходные данные'!M279&gt;'минимумы и максимумы'!K$4,100,('исходные данные'!M279-'минимумы и максимумы'!K$2)/('минимумы и максимумы'!K$4-'минимумы и максимумы'!K$2)*100)</f>
        <v>4.2553191489361701</v>
      </c>
      <c r="N279" s="1">
        <f>IF('исходные данные'!N279&gt;'минимумы и максимумы'!L$4,100,('исходные данные'!N279-'минимумы и максимумы'!L$2)/('минимумы и максимумы'!L$4-'минимумы и максимумы'!L$2)*100)</f>
        <v>41.523469574101583</v>
      </c>
      <c r="O279" s="1">
        <f>IF('исходные данные'!O279&gt;'минимумы и максимумы'!M$4,100,('исходные данные'!O279-'минимумы и максимумы'!M$2)/('минимумы и максимумы'!M$4-'минимумы и максимумы'!M$2)*100)</f>
        <v>100</v>
      </c>
      <c r="P279" s="1">
        <f>IF('исходные данные'!P279&gt;'минимумы и максимумы'!N$4,100,('исходные данные'!P279-'минимумы и максимумы'!N$2)/('минимумы и максимумы'!N$4-'минимумы и максимумы'!N$2)*100)</f>
        <v>100</v>
      </c>
      <c r="Q279" s="1">
        <f>IF('исходные данные'!Q279&gt;'минимумы и максимумы'!O$4,100,('исходные данные'!Q279-'минимумы и максимумы'!O$2)/('минимумы и максимумы'!O$4-'минимумы и максимумы'!O$2)*100)</f>
        <v>0</v>
      </c>
      <c r="R279" s="1">
        <f>IF('исходные данные'!R279&gt;'минимумы и максимумы'!P$4,100,('исходные данные'!R279-'минимумы и максимумы'!P$2)/('минимумы и максимумы'!P$4-'минимумы и максимумы'!P$2)*100)</f>
        <v>25</v>
      </c>
      <c r="S279" s="1">
        <f>IF('исходные данные'!S279&gt;'минимумы и максимумы'!Q$4,100,('исходные данные'!S279-'минимумы и максимумы'!Q$2)/('минимумы и максимумы'!Q$4-'минимумы и максимумы'!Q$2)*100)</f>
        <v>44.444444444444443</v>
      </c>
      <c r="T279" s="1">
        <f>IF('исходные данные'!T279&gt;'минимумы и максимумы'!R$4,100,('исходные данные'!T279-'минимумы и максимумы'!R$2)/('минимумы и максимумы'!R$4-'минимумы и максимумы'!R$2)*100)</f>
        <v>27.4741081703107</v>
      </c>
      <c r="U279" s="1">
        <f>IF('исходные данные'!U279&gt;'минимумы и максимумы'!S$4,100,('исходные данные'!U279-'минимумы и максимумы'!S$2)/('минимумы и максимумы'!S$4-'минимумы и максимумы'!S$2)*100)</f>
        <v>66.666666666666657</v>
      </c>
    </row>
    <row r="280" spans="1:21" x14ac:dyDescent="0.45">
      <c r="A280" s="4">
        <v>376</v>
      </c>
      <c r="B280" s="4">
        <v>0</v>
      </c>
      <c r="C280" s="4">
        <v>0</v>
      </c>
      <c r="D280" s="1">
        <f>IF('исходные данные'!D280&gt;'минимумы и максимумы'!B$4,100,('исходные данные'!D280-'минимумы и максимумы'!B$2)/('минимумы и максимумы'!B$4-'минимумы и максимумы'!B$2)*100)</f>
        <v>0</v>
      </c>
      <c r="E280" s="1">
        <f>IF('исходные данные'!E280&gt;'минимумы и максимумы'!C$4,100,('исходные данные'!E280-'минимумы и максимумы'!C$2)/('минимумы и максимумы'!C$4-'минимумы и максимумы'!C$2)*100)</f>
        <v>6.25</v>
      </c>
      <c r="F280" s="1">
        <f>IF('исходные данные'!F280&gt;'минимумы и максимумы'!D$4,100,('исходные данные'!F280-'минимумы и максимумы'!D$2)/('минимумы и максимумы'!D$4-'минимумы и максимумы'!D$2)*100)</f>
        <v>0</v>
      </c>
      <c r="G280" s="1">
        <f>IF('исходные данные'!G280&gt;'минимумы и максимумы'!E$4,100,('исходные данные'!G280-'минимумы и максимумы'!E$2)/('минимумы и максимумы'!E$4-'минимумы и максимумы'!E$2)*100)</f>
        <v>13.513513513513514</v>
      </c>
      <c r="H280" s="1">
        <f>IF('исходные данные'!H280&gt;'минимумы и максимумы'!F$4,100,('исходные данные'!H280-'минимумы и максимумы'!F$2)/('минимумы и максимумы'!F$4-'минимумы и максимумы'!F$2)*100)</f>
        <v>15.789473684210526</v>
      </c>
      <c r="I280" s="1">
        <f>IF('исходные данные'!I280&gt;'минимумы и максимумы'!G$4,100,('исходные данные'!I280-'минимумы и максимумы'!G$2)/('минимумы и максимумы'!G$4-'минимумы и максимумы'!G$2)*100)</f>
        <v>2.4096385542168677</v>
      </c>
      <c r="J280" s="1">
        <f>IF('исходные данные'!J280&gt;'минимумы и максимумы'!H$4,100,('исходные данные'!J280-'минимумы и максимумы'!H$2)/('минимумы и максимумы'!H$4-'минимумы и максимумы'!H$2)*100)</f>
        <v>0</v>
      </c>
      <c r="K280" s="1">
        <f>IF('исходные данные'!K280&gt;'минимумы и максимумы'!I$4,100,('исходные данные'!K280-'минимумы и максимумы'!I$2)/('минимумы и максимумы'!I$4-'минимумы и максимумы'!I$2)*100)</f>
        <v>3.5714285714285712</v>
      </c>
      <c r="L280" s="1">
        <f>IF('исходные данные'!L280&gt;'минимумы и максимумы'!J$4,100,('исходные данные'!L280-'минимумы и максимумы'!J$2)/('минимумы и максимумы'!J$4-'минимумы и максимумы'!J$2)*100)</f>
        <v>0</v>
      </c>
      <c r="M280" s="1">
        <f>IF('исходные данные'!M280&gt;'минимумы и максимумы'!K$4,100,('исходные данные'!M280-'минимумы и максимумы'!K$2)/('минимумы и максимумы'!K$4-'минимумы и максимумы'!K$2)*100)</f>
        <v>6.3829787234042552</v>
      </c>
      <c r="N280" s="1">
        <f>IF('исходные данные'!N280&gt;'минимумы и максимумы'!L$4,100,('исходные данные'!N280-'минимумы и максимумы'!L$2)/('минимумы и максимумы'!L$4-'минимумы и максимумы'!L$2)*100)</f>
        <v>27.322044878412914</v>
      </c>
      <c r="O280" s="1">
        <f>IF('исходные данные'!O280&gt;'минимумы и максимумы'!M$4,100,('исходные данные'!O280-'минимумы и максимумы'!M$2)/('минимумы и максимумы'!M$4-'минимумы и максимумы'!M$2)*100)</f>
        <v>66.666666666666657</v>
      </c>
      <c r="P280" s="1">
        <f>IF('исходные данные'!P280&gt;'минимумы и максимумы'!N$4,100,('исходные данные'!P280-'минимумы и максимумы'!N$2)/('минимумы и максимумы'!N$4-'минимумы и максимумы'!N$2)*100)</f>
        <v>100</v>
      </c>
      <c r="Q280" s="1">
        <f>IF('исходные данные'!Q280&gt;'минимумы и максимумы'!O$4,100,('исходные данные'!Q280-'минимумы и максимумы'!O$2)/('минимумы и максимумы'!O$4-'минимумы и максимумы'!O$2)*100)</f>
        <v>100</v>
      </c>
      <c r="R280" s="1">
        <f>IF('исходные данные'!R280&gt;'минимумы и максимумы'!P$4,100,('исходные данные'!R280-'минимумы и максимумы'!P$2)/('минимумы и максимумы'!P$4-'минимумы и максимумы'!P$2)*100)</f>
        <v>100</v>
      </c>
      <c r="S280" s="1">
        <f>IF('исходные данные'!S280&gt;'минимумы и максимумы'!Q$4,100,('исходные данные'!S280-'минимумы и максимумы'!Q$2)/('минимумы и максимумы'!Q$4-'минимумы и максимумы'!Q$2)*100)</f>
        <v>33.333333333333329</v>
      </c>
      <c r="T280" s="1">
        <f>IF('исходные данные'!T280&gt;'минимумы и максимумы'!R$4,100,('исходные данные'!T280-'минимумы и максимумы'!R$2)/('минимумы и максимумы'!R$4-'минимумы и максимумы'!R$2)*100)</f>
        <v>14.2692750287687</v>
      </c>
      <c r="U280" s="1">
        <f>IF('исходные данные'!U280&gt;'минимумы и максимумы'!S$4,100,('исходные данные'!U280-'минимумы и максимумы'!S$2)/('минимумы и максимумы'!S$4-'минимумы и максимумы'!S$2)*100)</f>
        <v>66.666666666666657</v>
      </c>
    </row>
    <row r="281" spans="1:21" x14ac:dyDescent="0.45">
      <c r="A281" s="4">
        <v>377</v>
      </c>
      <c r="B281" s="4">
        <v>0</v>
      </c>
      <c r="C281" s="4">
        <v>0</v>
      </c>
      <c r="D281" s="1">
        <f>IF('исходные данные'!D281&gt;'минимумы и максимумы'!B$4,100,('исходные данные'!D281-'минимумы и максимумы'!B$2)/('минимумы и максимумы'!B$4-'минимумы и максимумы'!B$2)*100)</f>
        <v>12.5</v>
      </c>
      <c r="E281" s="1">
        <f>IF('исходные данные'!E281&gt;'минимумы и максимумы'!C$4,100,('исходные данные'!E281-'минимумы и максимумы'!C$2)/('минимумы и максимумы'!C$4-'минимумы и максимумы'!C$2)*100)</f>
        <v>0</v>
      </c>
      <c r="F281" s="1">
        <f>IF('исходные данные'!F281&gt;'минимумы и максимумы'!D$4,100,('исходные данные'!F281-'минимумы и максимумы'!D$2)/('минимумы и максимумы'!D$4-'минимумы и максимумы'!D$2)*100)</f>
        <v>0</v>
      </c>
      <c r="G281" s="1">
        <f>IF('исходные данные'!G281&gt;'минимумы и максимумы'!E$4,100,('исходные данные'!G281-'минимумы и максимумы'!E$2)/('минимумы и максимумы'!E$4-'минимумы и максимумы'!E$2)*100)</f>
        <v>8.1081081081081088</v>
      </c>
      <c r="H281" s="1">
        <f>IF('исходные данные'!H281&gt;'минимумы и максимумы'!F$4,100,('исходные данные'!H281-'минимумы и максимумы'!F$2)/('минимумы и максимумы'!F$4-'минимумы и максимумы'!F$2)*100)</f>
        <v>15.789473684210526</v>
      </c>
      <c r="I281" s="1">
        <f>IF('исходные данные'!I281&gt;'минимумы и максимумы'!G$4,100,('исходные данные'!I281-'минимумы и максимумы'!G$2)/('минимумы и максимумы'!G$4-'минимумы и максимумы'!G$2)*100)</f>
        <v>6.024096385542169</v>
      </c>
      <c r="J281" s="1">
        <f>IF('исходные данные'!J281&gt;'минимумы и максимумы'!H$4,100,('исходные данные'!J281-'минимумы и максимумы'!H$2)/('минимумы и максимумы'!H$4-'минимумы и максимумы'!H$2)*100)</f>
        <v>0</v>
      </c>
      <c r="K281" s="1">
        <f>IF('исходные данные'!K281&gt;'минимумы и максимумы'!I$4,100,('исходные данные'!K281-'минимумы и максимумы'!I$2)/('минимумы и максимумы'!I$4-'минимумы и максимумы'!I$2)*100)</f>
        <v>0</v>
      </c>
      <c r="L281" s="1">
        <f>IF('исходные данные'!L281&gt;'минимумы и максимумы'!J$4,100,('исходные данные'!L281-'минимумы и максимумы'!J$2)/('минимумы и максимумы'!J$4-'минимумы и максимумы'!J$2)*100)</f>
        <v>0</v>
      </c>
      <c r="M281" s="1">
        <f>IF('исходные данные'!M281&gt;'минимумы и максимумы'!K$4,100,('исходные данные'!M281-'минимумы и максимумы'!K$2)/('минимумы и максимумы'!K$4-'минимумы и максимумы'!K$2)*100)</f>
        <v>6.3829787234042552</v>
      </c>
      <c r="N281" s="1">
        <f>IF('исходные данные'!N281&gt;'минимумы и максимумы'!L$4,100,('исходные данные'!N281-'минимумы и максимумы'!L$2)/('минимумы и максимумы'!L$4-'минимумы и максимумы'!L$2)*100)</f>
        <v>32.810627239043392</v>
      </c>
      <c r="O281" s="1">
        <f>IF('исходные данные'!O281&gt;'минимумы и максимумы'!M$4,100,('исходные данные'!O281-'минимумы и максимумы'!M$2)/('минимумы и максимумы'!M$4-'минимумы и максимумы'!M$2)*100)</f>
        <v>0</v>
      </c>
      <c r="P281" s="1">
        <f>IF('исходные данные'!P281&gt;'минимумы и максимумы'!N$4,100,('исходные данные'!P281-'минимумы и максимумы'!N$2)/('минимумы и максимумы'!N$4-'минимумы и максимумы'!N$2)*100)</f>
        <v>0</v>
      </c>
      <c r="Q281" s="1">
        <f>IF('исходные данные'!Q281&gt;'минимумы и максимумы'!O$4,100,('исходные данные'!Q281-'минимумы и максимумы'!O$2)/('минимумы и максимумы'!O$4-'минимумы и максимумы'!O$2)*100)</f>
        <v>100</v>
      </c>
      <c r="R281" s="1">
        <f>IF('исходные данные'!R281&gt;'минимумы и максимумы'!P$4,100,('исходные данные'!R281-'минимумы и максимумы'!P$2)/('минимумы и максимумы'!P$4-'минимумы и максимумы'!P$2)*100)</f>
        <v>100</v>
      </c>
      <c r="S281" s="1">
        <f>IF('исходные данные'!S281&gt;'минимумы и максимумы'!Q$4,100,('исходные данные'!S281-'минимумы и максимумы'!Q$2)/('минимумы и максимумы'!Q$4-'минимумы и максимумы'!Q$2)*100)</f>
        <v>22.222222222222221</v>
      </c>
      <c r="T281" s="1">
        <f>IF('исходные данные'!T281&gt;'минимумы и максимумы'!R$4,100,('исходные данные'!T281-'минимумы и максимумы'!R$2)/('минимумы и максимумы'!R$4-'минимумы и максимумы'!R$2)*100)</f>
        <v>25.287686996547755</v>
      </c>
      <c r="U281" s="1">
        <f>IF('исходные данные'!U281&gt;'минимумы и максимумы'!S$4,100,('исходные данные'!U281-'минимумы и максимумы'!S$2)/('минимумы и максимумы'!S$4-'минимумы и максимумы'!S$2)*100)</f>
        <v>66.666666666666657</v>
      </c>
    </row>
    <row r="282" spans="1:21" x14ac:dyDescent="0.45">
      <c r="A282" s="4">
        <v>378</v>
      </c>
      <c r="B282" s="4">
        <v>0</v>
      </c>
      <c r="C282" s="4">
        <v>0</v>
      </c>
      <c r="D282" s="1">
        <f>IF('исходные данные'!D282&gt;'минимумы и максимумы'!B$4,100,('исходные данные'!D282-'минимумы и максимумы'!B$2)/('минимумы и максимумы'!B$4-'минимумы и максимумы'!B$2)*100)</f>
        <v>0</v>
      </c>
      <c r="E282" s="1">
        <f>IF('исходные данные'!E282&gt;'минимумы и максимумы'!C$4,100,('исходные данные'!E282-'минимумы и максимумы'!C$2)/('минимумы и максимумы'!C$4-'минимумы и максимумы'!C$2)*100)</f>
        <v>0</v>
      </c>
      <c r="F282" s="1">
        <f>IF('исходные данные'!F282&gt;'минимумы и максимумы'!D$4,100,('исходные данные'!F282-'минимумы и максимумы'!D$2)/('минимумы и максимумы'!D$4-'минимумы и максимумы'!D$2)*100)</f>
        <v>0</v>
      </c>
      <c r="G282" s="1">
        <f>IF('исходные данные'!G282&gt;'минимумы и максимумы'!E$4,100,('исходные данные'!G282-'минимумы и максимумы'!E$2)/('минимумы и максимумы'!E$4-'минимумы и максимумы'!E$2)*100)</f>
        <v>0</v>
      </c>
      <c r="H282" s="1">
        <f>IF('исходные данные'!H282&gt;'минимумы и максимумы'!F$4,100,('исходные данные'!H282-'минимумы и максимумы'!F$2)/('минимумы и максимумы'!F$4-'минимумы и максимумы'!F$2)*100)</f>
        <v>0</v>
      </c>
      <c r="I282" s="1">
        <f>IF('исходные данные'!I282&gt;'минимумы и максимумы'!G$4,100,('исходные данные'!I282-'минимумы и максимумы'!G$2)/('минимумы и максимумы'!G$4-'минимумы и максимумы'!G$2)*100)</f>
        <v>1.2048192771084338</v>
      </c>
      <c r="J282" s="1">
        <f>IF('исходные данные'!J282&gt;'минимумы и максимумы'!H$4,100,('исходные данные'!J282-'минимумы и максимумы'!H$2)/('минимумы и максимумы'!H$4-'минимумы и максимумы'!H$2)*100)</f>
        <v>4.1666666666666661</v>
      </c>
      <c r="K282" s="1">
        <f>IF('исходные данные'!K282&gt;'минимумы и максимумы'!I$4,100,('исходные данные'!K282-'минимумы и максимумы'!I$2)/('минимумы и максимумы'!I$4-'минимумы и максимумы'!I$2)*100)</f>
        <v>0</v>
      </c>
      <c r="L282" s="1">
        <f>IF('исходные данные'!L282&gt;'минимумы и максимумы'!J$4,100,('исходные данные'!L282-'минимумы и максимумы'!J$2)/('минимумы и максимумы'!J$4-'минимумы и максимумы'!J$2)*100)</f>
        <v>0</v>
      </c>
      <c r="M282" s="1">
        <f>IF('исходные данные'!M282&gt;'минимумы и максимумы'!K$4,100,('исходные данные'!M282-'минимумы и максимумы'!K$2)/('минимумы и максимумы'!K$4-'минимумы и максимумы'!K$2)*100)</f>
        <v>4.2553191489361701</v>
      </c>
      <c r="N282" s="1">
        <f>IF('исходные данные'!N282&gt;'минимумы и максимумы'!L$4,100,('исходные данные'!N282-'минимумы и максимумы'!L$2)/('минимумы и максимумы'!L$4-'минимумы и максимумы'!L$2)*100)</f>
        <v>33.301439377229457</v>
      </c>
      <c r="O282" s="1">
        <f>IF('исходные данные'!O282&gt;'минимумы и максимумы'!M$4,100,('исходные данные'!O282-'минимумы и максимумы'!M$2)/('минимумы и максимумы'!M$4-'минимумы и максимумы'!M$2)*100)</f>
        <v>33.333333333333329</v>
      </c>
      <c r="P282" s="1">
        <f>IF('исходные данные'!P282&gt;'минимумы и максимумы'!N$4,100,('исходные данные'!P282-'минимумы и максимумы'!N$2)/('минимумы и максимумы'!N$4-'минимумы и максимумы'!N$2)*100)</f>
        <v>0</v>
      </c>
      <c r="Q282" s="1">
        <f>IF('исходные данные'!Q282&gt;'минимумы и максимумы'!O$4,100,('исходные данные'!Q282-'минимумы и максимумы'!O$2)/('минимумы и максимумы'!O$4-'минимумы и максимумы'!O$2)*100)</f>
        <v>0</v>
      </c>
      <c r="R282" s="1">
        <f>IF('исходные данные'!R282&gt;'минимумы и максимумы'!P$4,100,('исходные данные'!R282-'минимумы и максимумы'!P$2)/('минимумы и максимумы'!P$4-'минимумы и максимумы'!P$2)*100)</f>
        <v>75</v>
      </c>
      <c r="S282" s="1">
        <f>IF('исходные данные'!S282&gt;'минимумы и максимумы'!Q$4,100,('исходные данные'!S282-'минимумы и максимумы'!Q$2)/('минимумы и максимумы'!Q$4-'минимумы и максимумы'!Q$2)*100)</f>
        <v>33.333333333333329</v>
      </c>
      <c r="T282" s="1">
        <f>IF('исходные данные'!T282&gt;'минимумы и максимумы'!R$4,100,('исходные данные'!T282-'минимумы и максимумы'!R$2)/('минимумы и максимумы'!R$4-'минимумы и максимумы'!R$2)*100)</f>
        <v>5.8400460299194474</v>
      </c>
      <c r="U282" s="1">
        <f>IF('исходные данные'!U282&gt;'минимумы и максимумы'!S$4,100,('исходные данные'!U282-'минимумы и максимумы'!S$2)/('минимумы и максимумы'!S$4-'минимумы и максимумы'!S$2)*100)</f>
        <v>0</v>
      </c>
    </row>
    <row r="283" spans="1:21" x14ac:dyDescent="0.45">
      <c r="A283" s="4">
        <v>379</v>
      </c>
      <c r="B283" s="4">
        <v>0</v>
      </c>
      <c r="C283" s="4">
        <v>0</v>
      </c>
      <c r="D283" s="1">
        <f>IF('исходные данные'!D283&gt;'минимумы и максимумы'!B$4,100,('исходные данные'!D283-'минимумы и максимумы'!B$2)/('минимумы и максимумы'!B$4-'минимумы и максимумы'!B$2)*100)</f>
        <v>12.5</v>
      </c>
      <c r="E283" s="1">
        <f>IF('исходные данные'!E283&gt;'минимумы и максимумы'!C$4,100,('исходные данные'!E283-'минимумы и максимумы'!C$2)/('минимумы и максимумы'!C$4-'минимумы и максимумы'!C$2)*100)</f>
        <v>6.25</v>
      </c>
      <c r="F283" s="1">
        <f>IF('исходные данные'!F283&gt;'минимумы и максимумы'!D$4,100,('исходные данные'!F283-'минимумы и максимумы'!D$2)/('минимумы и максимумы'!D$4-'минимумы и максимумы'!D$2)*100)</f>
        <v>0</v>
      </c>
      <c r="G283" s="1">
        <f>IF('исходные данные'!G283&gt;'минимумы и максимумы'!E$4,100,('исходные данные'!G283-'минимумы и максимумы'!E$2)/('минимумы и максимумы'!E$4-'минимумы и максимумы'!E$2)*100)</f>
        <v>8.1081081081081088</v>
      </c>
      <c r="H283" s="1">
        <f>IF('исходные данные'!H283&gt;'минимумы и максимумы'!F$4,100,('исходные данные'!H283-'минимумы и максимумы'!F$2)/('минимумы и максимумы'!F$4-'минимумы и максимумы'!F$2)*100)</f>
        <v>15.789473684210526</v>
      </c>
      <c r="I283" s="1">
        <f>IF('исходные данные'!I283&gt;'минимумы и максимумы'!G$4,100,('исходные данные'!I283-'минимумы и максимумы'!G$2)/('минимумы и максимумы'!G$4-'минимумы и максимумы'!G$2)*100)</f>
        <v>7.2289156626506017</v>
      </c>
      <c r="J283" s="1">
        <f>IF('исходные данные'!J283&gt;'минимумы и максимумы'!H$4,100,('исходные данные'!J283-'минимумы и максимумы'!H$2)/('минимумы и максимумы'!H$4-'минимумы и максимумы'!H$2)*100)</f>
        <v>0</v>
      </c>
      <c r="K283" s="1">
        <f>IF('исходные данные'!K283&gt;'минимумы и максимумы'!I$4,100,('исходные данные'!K283-'минимумы и максимумы'!I$2)/('минимумы и максимумы'!I$4-'минимумы и максимумы'!I$2)*100)</f>
        <v>0</v>
      </c>
      <c r="L283" s="1">
        <f>IF('исходные данные'!L283&gt;'минимумы и максимумы'!J$4,100,('исходные данные'!L283-'минимумы и максимумы'!J$2)/('минимумы и максимумы'!J$4-'минимумы и максимумы'!J$2)*100)</f>
        <v>0</v>
      </c>
      <c r="M283" s="1">
        <f>IF('исходные данные'!M283&gt;'минимумы и максимумы'!K$4,100,('исходные данные'!M283-'минимумы и максимумы'!K$2)/('минимумы и максимумы'!K$4-'минимумы и максимумы'!K$2)*100)</f>
        <v>6.3829787234042552</v>
      </c>
      <c r="N283" s="1">
        <f>IF('исходные данные'!N283&gt;'минимумы и максимумы'!L$4,100,('исходные данные'!N283-'минимумы и максимумы'!L$2)/('минимумы и максимумы'!L$4-'минимумы и максимумы'!L$2)*100)</f>
        <v>32.511488274831343</v>
      </c>
      <c r="O283" s="1">
        <f>IF('исходные данные'!O283&gt;'минимумы и максимумы'!M$4,100,('исходные данные'!O283-'минимумы и максимумы'!M$2)/('минимумы и максимумы'!M$4-'минимумы и максимумы'!M$2)*100)</f>
        <v>33.333333333333329</v>
      </c>
      <c r="P283" s="1">
        <f>IF('исходные данные'!P283&gt;'минимумы и максимумы'!N$4,100,('исходные данные'!P283-'минимумы и максимумы'!N$2)/('минимумы и максимумы'!N$4-'минимумы и максимумы'!N$2)*100)</f>
        <v>0</v>
      </c>
      <c r="Q283" s="1">
        <f>IF('исходные данные'!Q283&gt;'минимумы и максимумы'!O$4,100,('исходные данные'!Q283-'минимумы и максимумы'!O$2)/('минимумы и максимумы'!O$4-'минимумы и максимумы'!O$2)*100)</f>
        <v>0</v>
      </c>
      <c r="R283" s="1">
        <f>IF('исходные данные'!R283&gt;'минимумы и максимумы'!P$4,100,('исходные данные'!R283-'минимумы и максимумы'!P$2)/('минимумы и максимумы'!P$4-'минимумы и максимумы'!P$2)*100)</f>
        <v>75</v>
      </c>
      <c r="S283" s="1">
        <f>IF('исходные данные'!S283&gt;'минимумы и максимумы'!Q$4,100,('исходные данные'!S283-'минимумы и максимумы'!Q$2)/('минимумы и максимумы'!Q$4-'минимумы и максимумы'!Q$2)*100)</f>
        <v>11.111111111111111</v>
      </c>
      <c r="T283" s="1">
        <f>IF('исходные данные'!T283&gt;'минимумы и максимумы'!R$4,100,('исходные данные'!T283-'минимумы и максимумы'!R$2)/('минимумы и максимумы'!R$4-'минимумы и максимумы'!R$2)*100)</f>
        <v>2.905638665132336</v>
      </c>
      <c r="U283" s="1">
        <f>IF('исходные данные'!U283&gt;'минимумы и максимумы'!S$4,100,('исходные данные'!U283-'минимумы и максимумы'!S$2)/('минимумы и максимумы'!S$4-'минимумы и максимумы'!S$2)*100)</f>
        <v>0</v>
      </c>
    </row>
    <row r="284" spans="1:21" x14ac:dyDescent="0.45">
      <c r="A284" s="4">
        <v>380</v>
      </c>
      <c r="B284" s="4">
        <v>0</v>
      </c>
      <c r="C284" s="4">
        <v>0</v>
      </c>
      <c r="D284" s="1">
        <f>IF('исходные данные'!D284&gt;'минимумы и максимумы'!B$4,100,('исходные данные'!D284-'минимумы и максимумы'!B$2)/('минимумы и максимумы'!B$4-'минимумы и максимумы'!B$2)*100)</f>
        <v>0</v>
      </c>
      <c r="E284" s="1">
        <f>IF('исходные данные'!E284&gt;'минимумы и максимумы'!C$4,100,('исходные данные'!E284-'минимумы и максимумы'!C$2)/('минимумы и максимумы'!C$4-'минимумы и максимумы'!C$2)*100)</f>
        <v>0</v>
      </c>
      <c r="F284" s="1">
        <f>IF('исходные данные'!F284&gt;'минимумы и максимумы'!D$4,100,('исходные данные'!F284-'минимумы и максимумы'!D$2)/('минимумы и максимумы'!D$4-'минимумы и максимумы'!D$2)*100)</f>
        <v>0</v>
      </c>
      <c r="G284" s="1">
        <f>IF('исходные данные'!G284&gt;'минимумы и максимумы'!E$4,100,('исходные данные'!G284-'минимумы и максимумы'!E$2)/('минимумы и максимумы'!E$4-'минимумы и максимумы'!E$2)*100)</f>
        <v>0</v>
      </c>
      <c r="H284" s="1">
        <f>IF('исходные данные'!H284&gt;'минимумы и максимумы'!F$4,100,('исходные данные'!H284-'минимумы и максимумы'!F$2)/('минимумы и максимумы'!F$4-'минимумы и максимумы'!F$2)*100)</f>
        <v>0</v>
      </c>
      <c r="I284" s="1">
        <f>IF('исходные данные'!I284&gt;'минимумы и максимумы'!G$4,100,('исходные данные'!I284-'минимумы и максимумы'!G$2)/('минимумы и максимумы'!G$4-'минимумы и максимумы'!G$2)*100)</f>
        <v>1.2048192771084338</v>
      </c>
      <c r="J284" s="1">
        <f>IF('исходные данные'!J284&gt;'минимумы и максимумы'!H$4,100,('исходные данные'!J284-'минимумы и максимумы'!H$2)/('минимумы и максимумы'!H$4-'минимумы и максимумы'!H$2)*100)</f>
        <v>0</v>
      </c>
      <c r="K284" s="1">
        <f>IF('исходные данные'!K284&gt;'минимумы и максимумы'!I$4,100,('исходные данные'!K284-'минимумы и максимумы'!I$2)/('минимумы и максимумы'!I$4-'минимумы и максимумы'!I$2)*100)</f>
        <v>0</v>
      </c>
      <c r="L284" s="1">
        <f>IF('исходные данные'!L284&gt;'минимумы и максимумы'!J$4,100,('исходные данные'!L284-'минимумы и максимумы'!J$2)/('минимумы и максимумы'!J$4-'минимумы и максимумы'!J$2)*100)</f>
        <v>0</v>
      </c>
      <c r="M284" s="1">
        <f>IF('исходные данные'!M284&gt;'минимумы и максимумы'!K$4,100,('исходные данные'!M284-'минимумы и максимумы'!K$2)/('минимумы и максимумы'!K$4-'минимумы и максимумы'!K$2)*100)</f>
        <v>2.1276595744680851</v>
      </c>
      <c r="N284" s="1">
        <f>IF('исходные данные'!N284&gt;'минимумы и максимумы'!L$4,100,('исходные данные'!N284-'минимумы и максимумы'!L$2)/('минимумы и максимумы'!L$4-'минимумы и максимумы'!L$2)*100)</f>
        <v>33.195915559296566</v>
      </c>
      <c r="O284" s="1">
        <f>IF('исходные данные'!O284&gt;'минимумы и максимумы'!M$4,100,('исходные данные'!O284-'минимумы и максимумы'!M$2)/('минимумы и максимумы'!M$4-'минимумы и максимумы'!M$2)*100)</f>
        <v>0</v>
      </c>
      <c r="P284" s="1">
        <f>IF('исходные данные'!P284&gt;'минимумы и максимумы'!N$4,100,('исходные данные'!P284-'минимумы и максимумы'!N$2)/('минимумы и максимумы'!N$4-'минимумы и максимумы'!N$2)*100)</f>
        <v>100</v>
      </c>
      <c r="Q284" s="1">
        <f>IF('исходные данные'!Q284&gt;'минимумы и максимумы'!O$4,100,('исходные данные'!Q284-'минимумы и максимумы'!O$2)/('минимумы и максимумы'!O$4-'минимумы и максимумы'!O$2)*100)</f>
        <v>0</v>
      </c>
      <c r="R284" s="1">
        <f>IF('исходные данные'!R284&gt;'минимумы и максимумы'!P$4,100,('исходные данные'!R284-'минимумы и максимумы'!P$2)/('минимумы и максимумы'!P$4-'минимумы и максимумы'!P$2)*100)</f>
        <v>100</v>
      </c>
      <c r="S284" s="1">
        <f>IF('исходные данные'!S284&gt;'минимумы и максимумы'!Q$4,100,('исходные данные'!S284-'минимумы и максимумы'!Q$2)/('минимумы и максимумы'!Q$4-'минимумы и максимумы'!Q$2)*100)</f>
        <v>66.666666666666657</v>
      </c>
      <c r="T284" s="1">
        <f>IF('исходные данные'!T284&gt;'минимумы и максимумы'!R$4,100,('исходные данные'!T284-'минимумы и максимумы'!R$2)/('минимумы и максимумы'!R$4-'минимумы и максимумы'!R$2)*100)</f>
        <v>100</v>
      </c>
      <c r="U284" s="1">
        <f>IF('исходные данные'!U284&gt;'минимумы и максимумы'!S$4,100,('исходные данные'!U284-'минимумы и максимумы'!S$2)/('минимумы и максимумы'!S$4-'минимумы и максимумы'!S$2)*100)</f>
        <v>100</v>
      </c>
    </row>
    <row r="285" spans="1:21" x14ac:dyDescent="0.45">
      <c r="A285" s="4">
        <v>381</v>
      </c>
      <c r="B285" s="4">
        <v>0</v>
      </c>
      <c r="C285" s="4">
        <v>1</v>
      </c>
      <c r="D285" s="1">
        <f>IF('исходные данные'!D285&gt;'минимумы и максимумы'!B$4,100,('исходные данные'!D285-'минимумы и максимумы'!B$2)/('минимумы и максимумы'!B$4-'минимумы и максимумы'!B$2)*100)</f>
        <v>12.5</v>
      </c>
      <c r="E285" s="1">
        <f>IF('исходные данные'!E285&gt;'минимумы и максимумы'!C$4,100,('исходные данные'!E285-'минимумы и максимумы'!C$2)/('минимумы и максимумы'!C$4-'минимумы и максимумы'!C$2)*100)</f>
        <v>6.25</v>
      </c>
      <c r="F285" s="1">
        <f>IF('исходные данные'!F285&gt;'минимумы и максимумы'!D$4,100,('исходные данные'!F285-'минимумы и максимумы'!D$2)/('минимумы и максимумы'!D$4-'минимумы и максимумы'!D$2)*100)</f>
        <v>0</v>
      </c>
      <c r="G285" s="1">
        <f>IF('исходные данные'!G285&gt;'минимумы и максимумы'!E$4,100,('исходные данные'!G285-'минимумы и максимумы'!E$2)/('минимумы и максимумы'!E$4-'минимумы и максимумы'!E$2)*100)</f>
        <v>0</v>
      </c>
      <c r="H285" s="1">
        <f>IF('исходные данные'!H285&gt;'минимумы и максимумы'!F$4,100,('исходные данные'!H285-'минимумы и максимумы'!F$2)/('минимумы и максимумы'!F$4-'минимумы и максимумы'!F$2)*100)</f>
        <v>0</v>
      </c>
      <c r="I285" s="1">
        <f>IF('исходные данные'!I285&gt;'минимумы и максимумы'!G$4,100,('исходные данные'!I285-'минимумы и максимумы'!G$2)/('минимумы и максимумы'!G$4-'минимумы и максимумы'!G$2)*100)</f>
        <v>1.2048192771084338</v>
      </c>
      <c r="J285" s="1">
        <f>IF('исходные данные'!J285&gt;'минимумы и максимумы'!H$4,100,('исходные данные'!J285-'минимумы и максимумы'!H$2)/('минимумы и максимумы'!H$4-'минимумы и максимумы'!H$2)*100)</f>
        <v>0</v>
      </c>
      <c r="K285" s="1">
        <f>IF('исходные данные'!K285&gt;'минимумы и максимумы'!I$4,100,('исходные данные'!K285-'минимумы и максимумы'!I$2)/('минимумы и максимумы'!I$4-'минимумы и максимумы'!I$2)*100)</f>
        <v>0</v>
      </c>
      <c r="L285" s="1">
        <f>IF('исходные данные'!L285&gt;'минимумы и максимумы'!J$4,100,('исходные данные'!L285-'минимумы и максимумы'!J$2)/('минимумы и максимумы'!J$4-'минимумы и максимумы'!J$2)*100)</f>
        <v>0</v>
      </c>
      <c r="M285" s="1">
        <f>IF('исходные данные'!M285&gt;'минимумы и максимумы'!K$4,100,('исходные данные'!M285-'минимумы и максимумы'!K$2)/('минимумы и максимумы'!K$4-'минимумы и максимумы'!K$2)*100)</f>
        <v>4.2553191489361701</v>
      </c>
      <c r="N285" s="1">
        <f>IF('исходные данные'!N285&gt;'минимумы и максимумы'!L$4,100,('исходные данные'!N285-'минимумы и максимумы'!L$2)/('минимумы и максимумы'!L$4-'минимумы и максимумы'!L$2)*100)</f>
        <v>34.261667604700442</v>
      </c>
      <c r="O285" s="1">
        <f>IF('исходные данные'!O285&gt;'минимумы и максимумы'!M$4,100,('исходные данные'!O285-'минимумы и максимумы'!M$2)/('минимумы и максимумы'!M$4-'минимумы и максимумы'!M$2)*100)</f>
        <v>66.666666666666657</v>
      </c>
      <c r="P285" s="1">
        <f>IF('исходные данные'!P285&gt;'минимумы и максимумы'!N$4,100,('исходные данные'!P285-'минимумы и максимумы'!N$2)/('минимумы и максимумы'!N$4-'минимумы и максимумы'!N$2)*100)</f>
        <v>0</v>
      </c>
      <c r="Q285" s="1">
        <f>IF('исходные данные'!Q285&gt;'минимумы и максимумы'!O$4,100,('исходные данные'!Q285-'минимумы и максимумы'!O$2)/('минимумы и максимумы'!O$4-'минимумы и максимумы'!O$2)*100)</f>
        <v>0</v>
      </c>
      <c r="R285" s="1">
        <f>IF('исходные данные'!R285&gt;'минимумы и максимумы'!P$4,100,('исходные данные'!R285-'минимумы и максимумы'!P$2)/('минимумы и максимумы'!P$4-'минимумы и максимумы'!P$2)*100)</f>
        <v>75</v>
      </c>
      <c r="S285" s="1">
        <f>IF('исходные данные'!S285&gt;'минимумы и максимумы'!Q$4,100,('исходные данные'!S285-'минимумы и максимумы'!Q$2)/('минимумы и максимумы'!Q$4-'минимумы и максимумы'!Q$2)*100)</f>
        <v>22.222222222222221</v>
      </c>
      <c r="T285" s="1">
        <f>IF('исходные данные'!T285&gt;'минимумы и максимумы'!R$4,100,('исходные данные'!T285-'минимумы и максимумы'!R$2)/('минимумы и максимумы'!R$4-'минимумы и максимумы'!R$2)*100)</f>
        <v>16.829689298043728</v>
      </c>
      <c r="U285" s="1">
        <f>IF('исходные данные'!U285&gt;'минимумы и максимумы'!S$4,100,('исходные данные'!U285-'минимумы и максимумы'!S$2)/('минимумы и максимумы'!S$4-'минимумы и максимумы'!S$2)*100)</f>
        <v>0</v>
      </c>
    </row>
    <row r="286" spans="1:21" x14ac:dyDescent="0.45">
      <c r="A286" s="4">
        <v>386</v>
      </c>
      <c r="B286" s="4">
        <v>0</v>
      </c>
      <c r="C286" s="4">
        <v>1</v>
      </c>
      <c r="D286" s="1">
        <f>IF('исходные данные'!D286&gt;'минимумы и максимумы'!B$4,100,('исходные данные'!D286-'минимумы и максимумы'!B$2)/('минимумы и максимумы'!B$4-'минимумы и максимумы'!B$2)*100)</f>
        <v>0</v>
      </c>
      <c r="E286" s="1">
        <f>IF('исходные данные'!E286&gt;'минимумы и максимумы'!C$4,100,('исходные данные'!E286-'минимумы и максимумы'!C$2)/('минимумы и максимумы'!C$4-'минимумы и максимумы'!C$2)*100)</f>
        <v>0</v>
      </c>
      <c r="F286" s="1">
        <f>IF('исходные данные'!F286&gt;'минимумы и максимумы'!D$4,100,('исходные данные'!F286-'минимумы и максимумы'!D$2)/('минимумы и максимумы'!D$4-'минимумы и максимумы'!D$2)*100)</f>
        <v>0</v>
      </c>
      <c r="G286" s="1">
        <f>IF('исходные данные'!G286&gt;'минимумы и максимумы'!E$4,100,('исходные данные'!G286-'минимумы и максимумы'!E$2)/('минимумы и максимумы'!E$4-'минимумы и максимумы'!E$2)*100)</f>
        <v>0</v>
      </c>
      <c r="H286" s="1">
        <f>IF('исходные данные'!H286&gt;'минимумы и максимумы'!F$4,100,('исходные данные'!H286-'минимумы и максимумы'!F$2)/('минимумы и максимумы'!F$4-'минимумы и максимумы'!F$2)*100)</f>
        <v>0</v>
      </c>
      <c r="I286" s="1">
        <f>IF('исходные данные'!I286&gt;'минимумы и максимумы'!G$4,100,('исходные данные'!I286-'минимумы и максимумы'!G$2)/('минимумы и максимумы'!G$4-'минимумы и максимумы'!G$2)*100)</f>
        <v>0</v>
      </c>
      <c r="J286" s="1">
        <f>IF('исходные данные'!J286&gt;'минимумы и максимумы'!H$4,100,('исходные данные'!J286-'минимумы и максимумы'!H$2)/('минимумы и максимумы'!H$4-'минимумы и максимумы'!H$2)*100)</f>
        <v>0</v>
      </c>
      <c r="K286" s="1">
        <f>IF('исходные данные'!K286&gt;'минимумы и максимумы'!I$4,100,('исходные данные'!K286-'минимумы и максимумы'!I$2)/('минимумы и максимумы'!I$4-'минимумы и максимумы'!I$2)*100)</f>
        <v>0</v>
      </c>
      <c r="L286" s="1">
        <f>IF('исходные данные'!L286&gt;'минимумы и максимумы'!J$4,100,('исходные данные'!L286-'минимумы и максимумы'!J$2)/('минимумы и максимумы'!J$4-'минимумы и максимумы'!J$2)*100)</f>
        <v>0</v>
      </c>
      <c r="M286" s="1">
        <f>IF('исходные данные'!M286&gt;'минимумы и максимумы'!K$4,100,('исходные данные'!M286-'минимумы и максимумы'!K$2)/('минимумы и максимумы'!K$4-'минимумы и максимумы'!K$2)*100)</f>
        <v>0</v>
      </c>
      <c r="N286" s="1">
        <f>IF('исходные данные'!N286&gt;'минимумы и максимумы'!L$4,100,('исходные данные'!N286-'минимумы и максимумы'!L$2)/('минимумы и максимумы'!L$4-'минимумы и максимумы'!L$2)*100)</f>
        <v>60.598745036518196</v>
      </c>
      <c r="O286" s="1">
        <f>IF('исходные данные'!O286&gt;'минимумы и максимумы'!M$4,100,('исходные данные'!O286-'минимумы и максимумы'!M$2)/('минимумы и максимумы'!M$4-'минимумы и максимумы'!M$2)*100)</f>
        <v>66.666666666666657</v>
      </c>
      <c r="P286" s="1">
        <f>IF('исходные данные'!P286&gt;'минимумы и максимумы'!N$4,100,('исходные данные'!P286-'минимумы и максимумы'!N$2)/('минимумы и максимумы'!N$4-'минимумы и максимумы'!N$2)*100)</f>
        <v>0</v>
      </c>
      <c r="Q286" s="1">
        <f>IF('исходные данные'!Q286&gt;'минимумы и максимумы'!O$4,100,('исходные данные'!Q286-'минимумы и максимумы'!O$2)/('минимумы и максимумы'!O$4-'минимумы и максимумы'!O$2)*100)</f>
        <v>0</v>
      </c>
      <c r="R286" s="1">
        <f>IF('исходные данные'!R286&gt;'минимумы и максимумы'!P$4,100,('исходные данные'!R286-'минимумы и максимумы'!P$2)/('минимумы и максимумы'!P$4-'минимумы и максимумы'!P$2)*100)</f>
        <v>25</v>
      </c>
      <c r="S286" s="1">
        <f>IF('исходные данные'!S286&gt;'минимумы и максимумы'!Q$4,100,('исходные данные'!S286-'минимумы и максимумы'!Q$2)/('минимумы и максимумы'!Q$4-'минимумы и максимумы'!Q$2)*100)</f>
        <v>11.111111111111111</v>
      </c>
      <c r="T286" s="1">
        <f>IF('исходные данные'!T286&gt;'минимумы и максимумы'!R$4,100,('исходные данные'!T286-'минимумы и максимумы'!R$2)/('минимумы и максимумы'!R$4-'минимумы и максимумы'!R$2)*100)</f>
        <v>11.104718066743382</v>
      </c>
      <c r="U286" s="1">
        <f>IF('исходные данные'!U286&gt;'минимумы и максимумы'!S$4,100,('исходные данные'!U286-'минимумы и максимумы'!S$2)/('минимумы и максимумы'!S$4-'минимумы и максимумы'!S$2)*100)</f>
        <v>0</v>
      </c>
    </row>
    <row r="287" spans="1:21" x14ac:dyDescent="0.45">
      <c r="A287" s="4">
        <v>387</v>
      </c>
      <c r="B287" s="4">
        <v>0</v>
      </c>
      <c r="C287" s="4">
        <v>0</v>
      </c>
      <c r="D287" s="1">
        <f>IF('исходные данные'!D287&gt;'минимумы и максимумы'!B$4,100,('исходные данные'!D287-'минимумы и максимумы'!B$2)/('минимумы и максимумы'!B$4-'минимумы и максимумы'!B$2)*100)</f>
        <v>0</v>
      </c>
      <c r="E287" s="1">
        <f>IF('исходные данные'!E287&gt;'минимумы и максимумы'!C$4,100,('исходные данные'!E287-'минимумы и максимумы'!C$2)/('минимумы и максимумы'!C$4-'минимумы и максимумы'!C$2)*100)</f>
        <v>0</v>
      </c>
      <c r="F287" s="1">
        <f>IF('исходные данные'!F287&gt;'минимумы и максимумы'!D$4,100,('исходные данные'!F287-'минимумы и максимумы'!D$2)/('минимумы и максимумы'!D$4-'минимумы и максимумы'!D$2)*100)</f>
        <v>0</v>
      </c>
      <c r="G287" s="1">
        <f>IF('исходные данные'!G287&gt;'минимумы и максимумы'!E$4,100,('исходные данные'!G287-'минимумы и максимумы'!E$2)/('минимумы и максимумы'!E$4-'минимумы и максимумы'!E$2)*100)</f>
        <v>0</v>
      </c>
      <c r="H287" s="1">
        <f>IF('исходные данные'!H287&gt;'минимумы и максимумы'!F$4,100,('исходные данные'!H287-'минимумы и максимумы'!F$2)/('минимумы и максимумы'!F$4-'минимумы и максимумы'!F$2)*100)</f>
        <v>0</v>
      </c>
      <c r="I287" s="1">
        <f>IF('исходные данные'!I287&gt;'минимумы и максимумы'!G$4,100,('исходные данные'!I287-'минимумы и максимумы'!G$2)/('минимумы и максимумы'!G$4-'минимумы и максимумы'!G$2)*100)</f>
        <v>0</v>
      </c>
      <c r="J287" s="1">
        <f>IF('исходные данные'!J287&gt;'минимумы и максимумы'!H$4,100,('исходные данные'!J287-'минимумы и максимумы'!H$2)/('минимумы и максимумы'!H$4-'минимумы и максимумы'!H$2)*100)</f>
        <v>0</v>
      </c>
      <c r="K287" s="1">
        <f>IF('исходные данные'!K287&gt;'минимумы и максимумы'!I$4,100,('исходные данные'!K287-'минимумы и максимумы'!I$2)/('минимумы и максимумы'!I$4-'минимумы и максимумы'!I$2)*100)</f>
        <v>0</v>
      </c>
      <c r="L287" s="1">
        <f>IF('исходные данные'!L287&gt;'минимумы и максимумы'!J$4,100,('исходные данные'!L287-'минимумы и максимумы'!J$2)/('минимумы и максимумы'!J$4-'минимумы и максимумы'!J$2)*100)</f>
        <v>0</v>
      </c>
      <c r="M287" s="1">
        <f>IF('исходные данные'!M287&gt;'минимумы и максимумы'!K$4,100,('исходные данные'!M287-'минимумы и максимумы'!K$2)/('минимумы и максимумы'!K$4-'минимумы и максимумы'!K$2)*100)</f>
        <v>0</v>
      </c>
      <c r="N287" s="1">
        <f>IF('исходные данные'!N287&gt;'минимумы и максимумы'!L$4,100,('исходные данные'!N287-'минимумы и максимумы'!L$2)/('минимумы и максимумы'!L$4-'минимумы и максимумы'!L$2)*100)</f>
        <v>60.721647601809671</v>
      </c>
      <c r="O287" s="1">
        <f>IF('исходные данные'!O287&gt;'минимумы и максимумы'!M$4,100,('исходные данные'!O287-'минимумы и максимумы'!M$2)/('минимумы и максимумы'!M$4-'минимумы и максимумы'!M$2)*100)</f>
        <v>33.333333333333329</v>
      </c>
      <c r="P287" s="1">
        <f>IF('исходные данные'!P287&gt;'минимумы и максимумы'!N$4,100,('исходные данные'!P287-'минимумы и максимумы'!N$2)/('минимумы и максимумы'!N$4-'минимумы и максимумы'!N$2)*100)</f>
        <v>0</v>
      </c>
      <c r="Q287" s="1">
        <f>IF('исходные данные'!Q287&gt;'минимумы и максимумы'!O$4,100,('исходные данные'!Q287-'минимумы и максимумы'!O$2)/('минимумы и максимумы'!O$4-'минимумы и максимумы'!O$2)*100)</f>
        <v>0</v>
      </c>
      <c r="R287" s="1">
        <f>IF('исходные данные'!R287&gt;'минимумы и максимумы'!P$4,100,('исходные данные'!R287-'минимумы и максимумы'!P$2)/('минимумы и максимумы'!P$4-'минимумы и максимумы'!P$2)*100)</f>
        <v>25</v>
      </c>
      <c r="S287" s="1">
        <f>IF('исходные данные'!S287&gt;'минимумы и максимумы'!Q$4,100,('исходные данные'!S287-'минимумы и максимумы'!Q$2)/('минимумы и максимумы'!Q$4-'минимумы и максимумы'!Q$2)*100)</f>
        <v>11.111111111111111</v>
      </c>
      <c r="T287" s="1">
        <f>IF('исходные данные'!T287&gt;'минимумы и максимумы'!R$4,100,('исходные данные'!T287-'минимумы и максимумы'!R$2)/('минимумы и максимумы'!R$4-'минимумы и максимумы'!R$2)*100)</f>
        <v>18.268124280782509</v>
      </c>
      <c r="U287" s="1">
        <f>IF('исходные данные'!U287&gt;'минимумы и максимумы'!S$4,100,('исходные данные'!U287-'минимумы и максимумы'!S$2)/('минимумы и максимумы'!S$4-'минимумы и максимумы'!S$2)*100)</f>
        <v>0</v>
      </c>
    </row>
    <row r="288" spans="1:21" x14ac:dyDescent="0.45">
      <c r="A288" s="4">
        <v>389</v>
      </c>
      <c r="B288" s="4">
        <v>0</v>
      </c>
      <c r="C288" s="4">
        <v>1</v>
      </c>
      <c r="D288" s="1">
        <f>IF('исходные данные'!D288&gt;'минимумы и максимумы'!B$4,100,('исходные данные'!D288-'минимумы и максимумы'!B$2)/('минимумы и максимумы'!B$4-'минимумы и максимумы'!B$2)*100)</f>
        <v>0</v>
      </c>
      <c r="E288" s="1">
        <f>IF('исходные данные'!E288&gt;'минимумы и максимумы'!C$4,100,('исходные данные'!E288-'минимумы и максимумы'!C$2)/('минимумы и максимумы'!C$4-'минимумы и максимумы'!C$2)*100)</f>
        <v>0</v>
      </c>
      <c r="F288" s="1">
        <f>IF('исходные данные'!F288&gt;'минимумы и максимумы'!D$4,100,('исходные данные'!F288-'минимумы и максимумы'!D$2)/('минимумы и максимумы'!D$4-'минимумы и максимумы'!D$2)*100)</f>
        <v>0</v>
      </c>
      <c r="G288" s="1">
        <f>IF('исходные данные'!G288&gt;'минимумы и максимумы'!E$4,100,('исходные данные'!G288-'минимумы и максимумы'!E$2)/('минимумы и максимумы'!E$4-'минимумы и максимумы'!E$2)*100)</f>
        <v>10.810810810810811</v>
      </c>
      <c r="H288" s="1">
        <f>IF('исходные данные'!H288&gt;'минимумы и максимумы'!F$4,100,('исходные данные'!H288-'минимумы и максимумы'!F$2)/('минимумы и максимумы'!F$4-'минимумы и максимумы'!F$2)*100)</f>
        <v>18.421052631578945</v>
      </c>
      <c r="I288" s="1">
        <f>IF('исходные данные'!I288&gt;'минимумы и максимумы'!G$4,100,('исходные данные'!I288-'минимумы и максимумы'!G$2)/('минимумы и максимумы'!G$4-'минимумы и максимумы'!G$2)*100)</f>
        <v>6.024096385542169</v>
      </c>
      <c r="J288" s="1">
        <f>IF('исходные данные'!J288&gt;'минимумы и максимумы'!H$4,100,('исходные данные'!J288-'минимумы и максимумы'!H$2)/('минимумы и максимумы'!H$4-'минимумы и максимумы'!H$2)*100)</f>
        <v>0</v>
      </c>
      <c r="K288" s="1">
        <f>IF('исходные данные'!K288&gt;'минимумы и максимумы'!I$4,100,('исходные данные'!K288-'минимумы и максимумы'!I$2)/('минимумы и максимумы'!I$4-'минимумы и максимумы'!I$2)*100)</f>
        <v>0</v>
      </c>
      <c r="L288" s="1">
        <f>IF('исходные данные'!L288&gt;'минимумы и максимумы'!J$4,100,('исходные данные'!L288-'минимумы и максимумы'!J$2)/('минимумы и максимумы'!J$4-'минимумы и максимумы'!J$2)*100)</f>
        <v>0</v>
      </c>
      <c r="M288" s="1">
        <f>IF('исходные данные'!M288&gt;'минимумы и максимумы'!K$4,100,('исходные данные'!M288-'минимумы и максимумы'!K$2)/('минимумы и максимумы'!K$4-'минимумы и максимумы'!K$2)*100)</f>
        <v>4.2553191489361701</v>
      </c>
      <c r="N288" s="1">
        <f>IF('исходные данные'!N288&gt;'минимумы и максимумы'!L$4,100,('исходные данные'!N288-'минимумы и максимумы'!L$2)/('минимумы и максимумы'!L$4-'минимумы и максимумы'!L$2)*100)</f>
        <v>55.578438577316383</v>
      </c>
      <c r="O288" s="1">
        <f>IF('исходные данные'!O288&gt;'минимумы и максимумы'!M$4,100,('исходные данные'!O288-'минимумы и максимумы'!M$2)/('минимумы и максимумы'!M$4-'минимумы и максимумы'!M$2)*100)</f>
        <v>0</v>
      </c>
      <c r="P288" s="1">
        <f>IF('исходные данные'!P288&gt;'минимумы и максимумы'!N$4,100,('исходные данные'!P288-'минимумы и максимумы'!N$2)/('минимумы и максимумы'!N$4-'минимумы и максимумы'!N$2)*100)</f>
        <v>0</v>
      </c>
      <c r="Q288" s="1">
        <f>IF('исходные данные'!Q288&gt;'минимумы и максимумы'!O$4,100,('исходные данные'!Q288-'минимумы и максимумы'!O$2)/('минимумы и максимумы'!O$4-'минимумы и максимумы'!O$2)*100)</f>
        <v>100</v>
      </c>
      <c r="R288" s="1">
        <f>IF('исходные данные'!R288&gt;'минимумы и максимумы'!P$4,100,('исходные данные'!R288-'минимумы и максимумы'!P$2)/('минимумы и максимумы'!P$4-'минимумы и максимумы'!P$2)*100)</f>
        <v>100</v>
      </c>
      <c r="S288" s="1">
        <f>IF('исходные данные'!S288&gt;'минимумы и максимумы'!Q$4,100,('исходные данные'!S288-'минимумы и максимумы'!Q$2)/('минимумы и максимумы'!Q$4-'минимумы и максимумы'!Q$2)*100)</f>
        <v>11.111111111111111</v>
      </c>
      <c r="T288" s="1">
        <f>IF('исходные данные'!T288&gt;'минимумы и максимумы'!R$4,100,('исходные данные'!T288-'минимумы и максимумы'!R$2)/('минимумы и максимумы'!R$4-'минимумы и максимумы'!R$2)*100)</f>
        <v>1.2082853855005753</v>
      </c>
      <c r="U288" s="1">
        <f>IF('исходные данные'!U288&gt;'минимумы и максимумы'!S$4,100,('исходные данные'!U288-'минимумы и максимумы'!S$2)/('минимумы и максимумы'!S$4-'минимумы и максимумы'!S$2)*100)</f>
        <v>0</v>
      </c>
    </row>
    <row r="289" spans="1:21" x14ac:dyDescent="0.45">
      <c r="A289" s="4">
        <v>390</v>
      </c>
      <c r="B289" s="4">
        <v>0</v>
      </c>
      <c r="C289" s="4">
        <v>0</v>
      </c>
      <c r="D289" s="1">
        <f>IF('исходные данные'!D289&gt;'минимумы и максимумы'!B$4,100,('исходные данные'!D289-'минимумы и максимумы'!B$2)/('минимумы и максимумы'!B$4-'минимумы и максимумы'!B$2)*100)</f>
        <v>0</v>
      </c>
      <c r="E289" s="1">
        <f>IF('исходные данные'!E289&gt;'минимумы и максимумы'!C$4,100,('исходные данные'!E289-'минимумы и максимумы'!C$2)/('минимумы и максимумы'!C$4-'минимумы и максимумы'!C$2)*100)</f>
        <v>6.25</v>
      </c>
      <c r="F289" s="1">
        <f>IF('исходные данные'!F289&gt;'минимумы и максимумы'!D$4,100,('исходные данные'!F289-'минимумы и максимумы'!D$2)/('минимумы и максимумы'!D$4-'минимумы и максимумы'!D$2)*100)</f>
        <v>0</v>
      </c>
      <c r="G289" s="1">
        <f>IF('исходные данные'!G289&gt;'минимумы и максимумы'!E$4,100,('исходные данные'!G289-'минимумы и максимумы'!E$2)/('минимумы и максимумы'!E$4-'минимумы и максимумы'!E$2)*100)</f>
        <v>2.7027027027027026</v>
      </c>
      <c r="H289" s="1">
        <f>IF('исходные данные'!H289&gt;'минимумы и максимумы'!F$4,100,('исходные данные'!H289-'минимумы и максимумы'!F$2)/('минимумы и максимумы'!F$4-'минимумы и максимумы'!F$2)*100)</f>
        <v>5.2631578947368416</v>
      </c>
      <c r="I289" s="1">
        <f>IF('исходные данные'!I289&gt;'минимумы и максимумы'!G$4,100,('исходные данные'!I289-'минимумы и максимумы'!G$2)/('минимумы и максимумы'!G$4-'минимумы и максимумы'!G$2)*100)</f>
        <v>1.2048192771084338</v>
      </c>
      <c r="J289" s="1">
        <f>IF('исходные данные'!J289&gt;'минимумы и максимумы'!H$4,100,('исходные данные'!J289-'минимумы и максимумы'!H$2)/('минимумы и максимумы'!H$4-'минимумы и максимумы'!H$2)*100)</f>
        <v>0</v>
      </c>
      <c r="K289" s="1">
        <f>IF('исходные данные'!K289&gt;'минимумы и максимумы'!I$4,100,('исходные данные'!K289-'минимумы и максимумы'!I$2)/('минимумы и максимумы'!I$4-'минимумы и максимумы'!I$2)*100)</f>
        <v>0</v>
      </c>
      <c r="L289" s="1">
        <f>IF('исходные данные'!L289&gt;'минимумы и максимумы'!J$4,100,('исходные данные'!L289-'минимумы и максимумы'!J$2)/('минимумы и максимумы'!J$4-'минимумы и максимумы'!J$2)*100)</f>
        <v>0</v>
      </c>
      <c r="M289" s="1">
        <f>IF('исходные данные'!M289&gt;'минимумы и максимумы'!K$4,100,('исходные данные'!M289-'минимумы и максимумы'!K$2)/('минимумы и максимумы'!K$4-'минимумы и максимумы'!K$2)*100)</f>
        <v>6.3829787234042552</v>
      </c>
      <c r="N289" s="1">
        <f>IF('исходные данные'!N289&gt;'минимумы и максимумы'!L$4,100,('исходные данные'!N289-'минимумы и максимумы'!L$2)/('минимумы и максимумы'!L$4-'минимумы и максимумы'!L$2)*100)</f>
        <v>54.30647346350348</v>
      </c>
      <c r="O289" s="1">
        <f>IF('исходные данные'!O289&gt;'минимумы и максимумы'!M$4,100,('исходные данные'!O289-'минимумы и максимумы'!M$2)/('минимумы и максимумы'!M$4-'минимумы и максимумы'!M$2)*100)</f>
        <v>0</v>
      </c>
      <c r="P289" s="1">
        <f>IF('исходные данные'!P289&gt;'минимумы и максимумы'!N$4,100,('исходные данные'!P289-'минимумы и максимумы'!N$2)/('минимумы и максимумы'!N$4-'минимумы и максимумы'!N$2)*100)</f>
        <v>100</v>
      </c>
      <c r="Q289" s="1">
        <f>IF('исходные данные'!Q289&gt;'минимумы и максимумы'!O$4,100,('исходные данные'!Q289-'минимумы и максимумы'!O$2)/('минимумы и максимумы'!O$4-'минимумы и максимумы'!O$2)*100)</f>
        <v>100</v>
      </c>
      <c r="R289" s="1">
        <f>IF('исходные данные'!R289&gt;'минимумы и максимумы'!P$4,100,('исходные данные'!R289-'минимумы и максимумы'!P$2)/('минимумы и максимумы'!P$4-'минимумы и максимумы'!P$2)*100)</f>
        <v>50</v>
      </c>
      <c r="S289" s="1">
        <f>IF('исходные данные'!S289&gt;'минимумы и максимумы'!Q$4,100,('исходные данные'!S289-'минимумы и максимумы'!Q$2)/('минимумы и максимумы'!Q$4-'минимумы и максимумы'!Q$2)*100)</f>
        <v>22.222222222222221</v>
      </c>
      <c r="T289" s="1">
        <f>IF('исходные данные'!T289&gt;'минимумы и максимумы'!R$4,100,('исходные данные'!T289-'минимумы и максимумы'!R$2)/('минимумы и максимумы'!R$4-'минимумы и максимумы'!R$2)*100)</f>
        <v>9.6375143843498261</v>
      </c>
      <c r="U289" s="1">
        <f>IF('исходные данные'!U289&gt;'минимумы и максимумы'!S$4,100,('исходные данные'!U289-'минимумы и максимумы'!S$2)/('минимумы и максимумы'!S$4-'минимумы и максимумы'!S$2)*100)</f>
        <v>0</v>
      </c>
    </row>
    <row r="290" spans="1:21" x14ac:dyDescent="0.45">
      <c r="A290" s="4">
        <v>391</v>
      </c>
      <c r="B290" s="4">
        <v>0</v>
      </c>
      <c r="C290" s="4">
        <v>0</v>
      </c>
      <c r="D290" s="1">
        <f>IF('исходные данные'!D290&gt;'минимумы и максимумы'!B$4,100,('исходные данные'!D290-'минимумы и максимумы'!B$2)/('минимумы и максимумы'!B$4-'минимумы и максимумы'!B$2)*100)</f>
        <v>0</v>
      </c>
      <c r="E290" s="1">
        <f>IF('исходные данные'!E290&gt;'минимумы и максимумы'!C$4,100,('исходные данные'!E290-'минимумы и максимумы'!C$2)/('минимумы и максимумы'!C$4-'минимумы и максимумы'!C$2)*100)</f>
        <v>18.75</v>
      </c>
      <c r="F290" s="1">
        <f>IF('исходные данные'!F290&gt;'минимумы и максимумы'!D$4,100,('исходные данные'!F290-'минимумы и максимумы'!D$2)/('минимумы и максимумы'!D$4-'минимумы и максимумы'!D$2)*100)</f>
        <v>0</v>
      </c>
      <c r="G290" s="1">
        <f>IF('исходные данные'!G290&gt;'минимумы и максимумы'!E$4,100,('исходные данные'!G290-'минимумы и максимумы'!E$2)/('минимумы и максимумы'!E$4-'минимумы и максимумы'!E$2)*100)</f>
        <v>13.513513513513514</v>
      </c>
      <c r="H290" s="1">
        <f>IF('исходные данные'!H290&gt;'минимумы и максимумы'!F$4,100,('исходные данные'!H290-'минимумы и максимумы'!F$2)/('минимумы и максимумы'!F$4-'минимумы и максимумы'!F$2)*100)</f>
        <v>21.052631578947366</v>
      </c>
      <c r="I290" s="1">
        <f>IF('исходные данные'!I290&gt;'минимумы и максимумы'!G$4,100,('исходные данные'!I290-'минимумы и максимумы'!G$2)/('минимумы и максимумы'!G$4-'минимумы и максимумы'!G$2)*100)</f>
        <v>7.2289156626506017</v>
      </c>
      <c r="J290" s="1">
        <f>IF('исходные данные'!J290&gt;'минимумы и максимумы'!H$4,100,('исходные данные'!J290-'минимумы и максимумы'!H$2)/('минимумы и максимумы'!H$4-'минимумы и максимумы'!H$2)*100)</f>
        <v>0</v>
      </c>
      <c r="K290" s="1">
        <f>IF('исходные данные'!K290&gt;'минимумы и максимумы'!I$4,100,('исходные данные'!K290-'минимумы и максимумы'!I$2)/('минимумы и максимумы'!I$4-'минимумы и максимумы'!I$2)*100)</f>
        <v>0</v>
      </c>
      <c r="L290" s="1">
        <f>IF('исходные данные'!L290&gt;'минимумы и максимумы'!J$4,100,('исходные данные'!L290-'минимумы и максимумы'!J$2)/('минимумы и максимумы'!J$4-'минимумы и максимумы'!J$2)*100)</f>
        <v>0</v>
      </c>
      <c r="M290" s="1">
        <f>IF('исходные данные'!M290&gt;'минимумы и максимумы'!K$4,100,('исходные данные'!M290-'минимумы и максимумы'!K$2)/('минимумы и максимумы'!K$4-'минимумы и максимумы'!K$2)*100)</f>
        <v>27.659574468085108</v>
      </c>
      <c r="N290" s="1">
        <f>IF('исходные данные'!N290&gt;'минимумы и максимумы'!L$4,100,('исходные данные'!N290-'минимумы и максимумы'!L$2)/('минимумы и максимумы'!L$4-'минимумы и максимумы'!L$2)*100)</f>
        <v>46.508936588744966</v>
      </c>
      <c r="O290" s="1">
        <f>IF('исходные данные'!O290&gt;'минимумы и максимумы'!M$4,100,('исходные данные'!O290-'минимумы и максимумы'!M$2)/('минимумы и максимумы'!M$4-'минимумы и максимумы'!M$2)*100)</f>
        <v>0</v>
      </c>
      <c r="P290" s="1">
        <f>IF('исходные данные'!P290&gt;'минимумы и максимумы'!N$4,100,('исходные данные'!P290-'минимумы и максимумы'!N$2)/('минимумы и максимумы'!N$4-'минимумы и максимумы'!N$2)*100)</f>
        <v>100</v>
      </c>
      <c r="Q290" s="1">
        <f>IF('исходные данные'!Q290&gt;'минимумы и максимумы'!O$4,100,('исходные данные'!Q290-'минимумы и максимумы'!O$2)/('минимумы и максимумы'!O$4-'минимумы и максимумы'!O$2)*100)</f>
        <v>100</v>
      </c>
      <c r="R290" s="1">
        <f>IF('исходные данные'!R290&gt;'минимумы и максимумы'!P$4,100,('исходные данные'!R290-'минимумы и максимумы'!P$2)/('минимумы и максимумы'!P$4-'минимумы и максимумы'!P$2)*100)</f>
        <v>100</v>
      </c>
      <c r="S290" s="1">
        <f>IF('исходные данные'!S290&gt;'минимумы и максимумы'!Q$4,100,('исходные данные'!S290-'минимумы и максимумы'!Q$2)/('минимумы и максимумы'!Q$4-'минимумы и максимумы'!Q$2)*100)</f>
        <v>22.222222222222221</v>
      </c>
      <c r="T290" s="1">
        <f>IF('исходные данные'!T290&gt;'минимумы и максимумы'!R$4,100,('исходные данные'!T290-'минимумы и максимумы'!R$2)/('минимумы и максимумы'!R$4-'минимумы и максимумы'!R$2)*100)</f>
        <v>9.7813578826237055</v>
      </c>
      <c r="U290" s="1">
        <f>IF('исходные данные'!U290&gt;'минимумы и максимумы'!S$4,100,('исходные данные'!U290-'минимумы и максимумы'!S$2)/('минимумы и максимумы'!S$4-'минимумы и максимумы'!S$2)*100)</f>
        <v>66.666666666666657</v>
      </c>
    </row>
    <row r="291" spans="1:21" x14ac:dyDescent="0.45">
      <c r="A291" s="4">
        <v>392</v>
      </c>
      <c r="B291" s="4">
        <v>0</v>
      </c>
      <c r="C291" s="4">
        <v>0</v>
      </c>
      <c r="D291" s="1">
        <f>IF('исходные данные'!D291&gt;'минимумы и максимумы'!B$4,100,('исходные данные'!D291-'минимумы и максимумы'!B$2)/('минимумы и максимумы'!B$4-'минимумы и максимумы'!B$2)*100)</f>
        <v>0</v>
      </c>
      <c r="E291" s="1">
        <f>IF('исходные данные'!E291&gt;'минимумы и максимумы'!C$4,100,('исходные данные'!E291-'минимумы и максимумы'!C$2)/('минимумы и максимумы'!C$4-'минимумы и максимумы'!C$2)*100)</f>
        <v>6.25</v>
      </c>
      <c r="F291" s="1">
        <f>IF('исходные данные'!F291&gt;'минимумы и максимумы'!D$4,100,('исходные данные'!F291-'минимумы и максимумы'!D$2)/('минимумы и максимумы'!D$4-'минимумы и максимумы'!D$2)*100)</f>
        <v>0</v>
      </c>
      <c r="G291" s="1">
        <f>IF('исходные данные'!G291&gt;'минимумы и максимумы'!E$4,100,('исходные данные'!G291-'минимумы и максимумы'!E$2)/('минимумы и максимумы'!E$4-'минимумы и максимумы'!E$2)*100)</f>
        <v>2.7027027027027026</v>
      </c>
      <c r="H291" s="1">
        <f>IF('исходные данные'!H291&gt;'минимумы и максимумы'!F$4,100,('исходные данные'!H291-'минимумы и максимумы'!F$2)/('минимумы и максимумы'!F$4-'минимумы и максимумы'!F$2)*100)</f>
        <v>5.2631578947368416</v>
      </c>
      <c r="I291" s="1">
        <f>IF('исходные данные'!I291&gt;'минимумы и максимумы'!G$4,100,('исходные данные'!I291-'минимумы и максимумы'!G$2)/('минимумы и максимумы'!G$4-'минимумы и максимумы'!G$2)*100)</f>
        <v>1.2048192771084338</v>
      </c>
      <c r="J291" s="1">
        <f>IF('исходные данные'!J291&gt;'минимумы и максимумы'!H$4,100,('исходные данные'!J291-'минимумы и максимумы'!H$2)/('минимумы и максимумы'!H$4-'минимумы и максимумы'!H$2)*100)</f>
        <v>0</v>
      </c>
      <c r="K291" s="1">
        <f>IF('исходные данные'!K291&gt;'минимумы и максимумы'!I$4,100,('исходные данные'!K291-'минимумы и максимумы'!I$2)/('минимумы и максимумы'!I$4-'минимумы и максимумы'!I$2)*100)</f>
        <v>0</v>
      </c>
      <c r="L291" s="1">
        <f>IF('исходные данные'!L291&gt;'минимумы и максимумы'!J$4,100,('исходные данные'!L291-'минимумы и максимумы'!J$2)/('минимумы и максимумы'!J$4-'минимумы и максимумы'!J$2)*100)</f>
        <v>0</v>
      </c>
      <c r="M291" s="1">
        <f>IF('исходные данные'!M291&gt;'минимумы и максимумы'!K$4,100,('исходные данные'!M291-'минимумы и максимумы'!K$2)/('минимумы и максимумы'!K$4-'минимумы и максимумы'!K$2)*100)</f>
        <v>0</v>
      </c>
      <c r="N291" s="1">
        <f>IF('исходные данные'!N291&gt;'минимумы и максимумы'!L$4,100,('исходные данные'!N291-'минимумы и максимумы'!L$2)/('минимумы и максимумы'!L$4-'минимумы и максимумы'!L$2)*100)</f>
        <v>45.661170041475025</v>
      </c>
      <c r="O291" s="1">
        <f>IF('исходные данные'!O291&gt;'минимумы и максимумы'!M$4,100,('исходные данные'!O291-'минимумы и максимумы'!M$2)/('минимумы и максимумы'!M$4-'минимумы и максимумы'!M$2)*100)</f>
        <v>66.666666666666657</v>
      </c>
      <c r="P291" s="1">
        <f>IF('исходные данные'!P291&gt;'минимумы и максимумы'!N$4,100,('исходные данные'!P291-'минимумы и максимумы'!N$2)/('минимумы и максимумы'!N$4-'минимумы и максимумы'!N$2)*100)</f>
        <v>0</v>
      </c>
      <c r="Q291" s="1">
        <f>IF('исходные данные'!Q291&gt;'минимумы и максимумы'!O$4,100,('исходные данные'!Q291-'минимумы и максимумы'!O$2)/('минимумы и максимумы'!O$4-'минимумы и максимумы'!O$2)*100)</f>
        <v>0</v>
      </c>
      <c r="R291" s="1">
        <f>IF('исходные данные'!R291&gt;'минимумы и максимумы'!P$4,100,('исходные данные'!R291-'минимумы и максимумы'!P$2)/('минимумы и максимумы'!P$4-'минимумы и максимумы'!P$2)*100)</f>
        <v>25</v>
      </c>
      <c r="S291" s="1">
        <f>IF('исходные данные'!S291&gt;'минимумы и максимумы'!Q$4,100,('исходные данные'!S291-'минимумы и максимумы'!Q$2)/('минимумы и максимумы'!Q$4-'минимумы и максимумы'!Q$2)*100)</f>
        <v>22.222222222222221</v>
      </c>
      <c r="T291" s="1">
        <f>IF('исходные данные'!T291&gt;'минимумы и максимумы'!R$4,100,('исходные данные'!T291-'минимумы и максимумы'!R$2)/('минимумы и максимумы'!R$4-'минимумы и максимумы'!R$2)*100)</f>
        <v>35.471806674338318</v>
      </c>
      <c r="U291" s="1">
        <f>IF('исходные данные'!U291&gt;'минимумы и максимумы'!S$4,100,('исходные данные'!U291-'минимумы и максимумы'!S$2)/('минимумы и максимумы'!S$4-'минимумы и максимумы'!S$2)*100)</f>
        <v>0</v>
      </c>
    </row>
    <row r="292" spans="1:21" x14ac:dyDescent="0.45">
      <c r="A292" s="4">
        <v>393</v>
      </c>
      <c r="B292" s="4">
        <v>0</v>
      </c>
      <c r="C292" s="4">
        <v>0</v>
      </c>
      <c r="D292" s="1">
        <f>IF('исходные данные'!D292&gt;'минимумы и максимумы'!B$4,100,('исходные данные'!D292-'минимумы и максимумы'!B$2)/('минимумы и максимумы'!B$4-'минимумы и максимумы'!B$2)*100)</f>
        <v>0</v>
      </c>
      <c r="E292" s="1">
        <f>IF('исходные данные'!E292&gt;'минимумы и максимумы'!C$4,100,('исходные данные'!E292-'минимумы и максимумы'!C$2)/('минимумы и максимумы'!C$4-'минимумы и максимумы'!C$2)*100)</f>
        <v>6.25</v>
      </c>
      <c r="F292" s="1">
        <f>IF('исходные данные'!F292&gt;'минимумы и максимумы'!D$4,100,('исходные данные'!F292-'минимумы и максимумы'!D$2)/('минимумы и максимумы'!D$4-'минимумы и максимумы'!D$2)*100)</f>
        <v>0</v>
      </c>
      <c r="G292" s="1">
        <f>IF('исходные данные'!G292&gt;'минимумы и максимумы'!E$4,100,('исходные данные'!G292-'минимумы и максимумы'!E$2)/('минимумы и максимумы'!E$4-'минимумы и максимумы'!E$2)*100)</f>
        <v>0</v>
      </c>
      <c r="H292" s="1">
        <f>IF('исходные данные'!H292&gt;'минимумы и максимумы'!F$4,100,('исходные данные'!H292-'минимумы и максимумы'!F$2)/('минимумы и максимумы'!F$4-'минимумы и максимумы'!F$2)*100)</f>
        <v>2.6315789473684208</v>
      </c>
      <c r="I292" s="1">
        <f>IF('исходные данные'!I292&gt;'минимумы и максимумы'!G$4,100,('исходные данные'!I292-'минимумы и максимумы'!G$2)/('минимумы и максимумы'!G$4-'минимумы и максимумы'!G$2)*100)</f>
        <v>1.2048192771084338</v>
      </c>
      <c r="J292" s="1">
        <f>IF('исходные данные'!J292&gt;'минимумы и максимумы'!H$4,100,('исходные данные'!J292-'минимумы и максимумы'!H$2)/('минимумы и максимумы'!H$4-'минимумы и максимумы'!H$2)*100)</f>
        <v>0</v>
      </c>
      <c r="K292" s="1">
        <f>IF('исходные данные'!K292&gt;'минимумы и максимумы'!I$4,100,('исходные данные'!K292-'минимумы и максимумы'!I$2)/('минимумы и максимумы'!I$4-'минимумы и максимумы'!I$2)*100)</f>
        <v>0</v>
      </c>
      <c r="L292" s="1">
        <f>IF('исходные данные'!L292&gt;'минимумы и максимумы'!J$4,100,('исходные данные'!L292-'минимумы и максимумы'!J$2)/('минимумы и максимумы'!J$4-'минимумы и максимумы'!J$2)*100)</f>
        <v>0</v>
      </c>
      <c r="M292" s="1">
        <f>IF('исходные данные'!M292&gt;'минимумы и максимумы'!K$4,100,('исходные данные'!M292-'минимумы и максимумы'!K$2)/('минимумы и максимумы'!K$4-'минимумы и максимумы'!K$2)*100)</f>
        <v>6.3829787234042552</v>
      </c>
      <c r="N292" s="1">
        <f>IF('исходные данные'!N292&gt;'минимумы и максимумы'!L$4,100,('исходные данные'!N292-'минимумы и максимумы'!L$2)/('минимумы и максимумы'!L$4-'минимумы и максимумы'!L$2)*100)</f>
        <v>45.269028136141074</v>
      </c>
      <c r="O292" s="1">
        <f>IF('исходные данные'!O292&gt;'минимумы и максимумы'!M$4,100,('исходные данные'!O292-'минимумы и максимумы'!M$2)/('минимумы и максимумы'!M$4-'минимумы и максимумы'!M$2)*100)</f>
        <v>66.666666666666657</v>
      </c>
      <c r="P292" s="1">
        <f>IF('исходные данные'!P292&gt;'минимумы и максимумы'!N$4,100,('исходные данные'!P292-'минимумы и максимумы'!N$2)/('минимумы и максимумы'!N$4-'минимумы и максимумы'!N$2)*100)</f>
        <v>0</v>
      </c>
      <c r="Q292" s="1">
        <f>IF('исходные данные'!Q292&gt;'минимумы и максимумы'!O$4,100,('исходные данные'!Q292-'минимумы и максимумы'!O$2)/('минимумы и максимумы'!O$4-'минимумы и максимумы'!O$2)*100)</f>
        <v>0</v>
      </c>
      <c r="R292" s="1">
        <f>IF('исходные данные'!R292&gt;'минимумы и максимумы'!P$4,100,('исходные данные'!R292-'минимумы и максимумы'!P$2)/('минимумы и максимумы'!P$4-'минимумы и максимумы'!P$2)*100)</f>
        <v>25</v>
      </c>
      <c r="S292" s="1">
        <f>IF('исходные данные'!S292&gt;'минимумы и максимумы'!Q$4,100,('исходные данные'!S292-'минимумы и максимумы'!Q$2)/('минимумы и максимумы'!Q$4-'минимумы и максимумы'!Q$2)*100)</f>
        <v>22.222222222222221</v>
      </c>
      <c r="T292" s="1">
        <f>IF('исходные данные'!T292&gt;'минимумы и максимумы'!R$4,100,('исходные данные'!T292-'минимумы и максимумы'!R$2)/('минимумы и максимумы'!R$4-'минимумы и максимумы'!R$2)*100)</f>
        <v>20.368239355581128</v>
      </c>
      <c r="U292" s="1">
        <f>IF('исходные данные'!U292&gt;'минимумы и максимумы'!S$4,100,('исходные данные'!U292-'минимумы и максимумы'!S$2)/('минимумы и максимумы'!S$4-'минимумы и максимумы'!S$2)*100)</f>
        <v>0</v>
      </c>
    </row>
    <row r="293" spans="1:21" x14ac:dyDescent="0.45">
      <c r="A293" s="4">
        <v>394</v>
      </c>
      <c r="B293" s="4">
        <v>0</v>
      </c>
      <c r="C293" s="4">
        <v>1</v>
      </c>
      <c r="D293" s="1">
        <f>IF('исходные данные'!D293&gt;'минимумы и максимумы'!B$4,100,('исходные данные'!D293-'минимумы и максимумы'!B$2)/('минимумы и максимумы'!B$4-'минимумы и максимумы'!B$2)*100)</f>
        <v>0</v>
      </c>
      <c r="E293" s="1">
        <f>IF('исходные данные'!E293&gt;'минимумы и максимумы'!C$4,100,('исходные данные'!E293-'минимумы и максимумы'!C$2)/('минимумы и максимумы'!C$4-'минимумы и максимумы'!C$2)*100)</f>
        <v>6.25</v>
      </c>
      <c r="F293" s="1">
        <f>IF('исходные данные'!F293&gt;'минимумы и максимумы'!D$4,100,('исходные данные'!F293-'минимумы и максимумы'!D$2)/('минимумы и максимумы'!D$4-'минимумы и максимумы'!D$2)*100)</f>
        <v>0</v>
      </c>
      <c r="G293" s="1">
        <f>IF('исходные данные'!G293&gt;'минимумы и максимумы'!E$4,100,('исходные данные'!G293-'минимумы и максимумы'!E$2)/('минимумы и максимумы'!E$4-'минимумы и максимумы'!E$2)*100)</f>
        <v>8.1081081081081088</v>
      </c>
      <c r="H293" s="1">
        <f>IF('исходные данные'!H293&gt;'минимумы и максимумы'!F$4,100,('исходные данные'!H293-'минимумы и максимумы'!F$2)/('минимумы и максимумы'!F$4-'минимумы и максимумы'!F$2)*100)</f>
        <v>5.2631578947368416</v>
      </c>
      <c r="I293" s="1">
        <f>IF('исходные данные'!I293&gt;'минимумы и максимумы'!G$4,100,('исходные данные'!I293-'минимумы и максимумы'!G$2)/('минимумы и максимумы'!G$4-'минимумы и максимумы'!G$2)*100)</f>
        <v>1.2048192771084338</v>
      </c>
      <c r="J293" s="1">
        <f>IF('исходные данные'!J293&gt;'минимумы и максимумы'!H$4,100,('исходные данные'!J293-'минимумы и максимумы'!H$2)/('минимумы и максимумы'!H$4-'минимумы и максимумы'!H$2)*100)</f>
        <v>0</v>
      </c>
      <c r="K293" s="1">
        <f>IF('исходные данные'!K293&gt;'минимумы и максимумы'!I$4,100,('исходные данные'!K293-'минимумы и максимумы'!I$2)/('минимумы и максимумы'!I$4-'минимумы и максимумы'!I$2)*100)</f>
        <v>0</v>
      </c>
      <c r="L293" s="1">
        <f>IF('исходные данные'!L293&gt;'минимумы и максимумы'!J$4,100,('исходные данные'!L293-'минимумы и максимумы'!J$2)/('минимумы и максимумы'!J$4-'минимумы и максимумы'!J$2)*100)</f>
        <v>0</v>
      </c>
      <c r="M293" s="1">
        <f>IF('исходные данные'!M293&gt;'минимумы и максимумы'!K$4,100,('исходные данные'!M293-'минимумы и максимумы'!K$2)/('минимумы и максимумы'!K$4-'минимумы и максимумы'!K$2)*100)</f>
        <v>23.404255319148938</v>
      </c>
      <c r="N293" s="1">
        <f>IF('исходные данные'!N293&gt;'минимумы и максимумы'!L$4,100,('исходные данные'!N293-'минимумы и максимумы'!L$2)/('минимумы и максимумы'!L$4-'минимумы и максимумы'!L$2)*100)</f>
        <v>44.990579914112708</v>
      </c>
      <c r="O293" s="1">
        <f>IF('исходные данные'!O293&gt;'минимумы и максимумы'!M$4,100,('исходные данные'!O293-'минимумы и максимумы'!M$2)/('минимумы и максимумы'!M$4-'минимумы и максимумы'!M$2)*100)</f>
        <v>66.666666666666657</v>
      </c>
      <c r="P293" s="1">
        <f>IF('исходные данные'!P293&gt;'минимумы и максимумы'!N$4,100,('исходные данные'!P293-'минимумы и максимумы'!N$2)/('минимумы и максимумы'!N$4-'минимумы и максимумы'!N$2)*100)</f>
        <v>0</v>
      </c>
      <c r="Q293" s="1">
        <f>IF('исходные данные'!Q293&gt;'минимумы и максимумы'!O$4,100,('исходные данные'!Q293-'минимумы и максимумы'!O$2)/('минимумы и максимумы'!O$4-'минимумы и максимумы'!O$2)*100)</f>
        <v>0</v>
      </c>
      <c r="R293" s="1">
        <f>IF('исходные данные'!R293&gt;'минимумы и максимумы'!P$4,100,('исходные данные'!R293-'минимумы и максимумы'!P$2)/('минимумы и максимумы'!P$4-'минимумы и максимумы'!P$2)*100)</f>
        <v>25</v>
      </c>
      <c r="S293" s="1">
        <f>IF('исходные данные'!S293&gt;'минимумы и максимумы'!Q$4,100,('исходные данные'!S293-'минимумы и максимумы'!Q$2)/('минимумы и максимумы'!Q$4-'минимумы и максимумы'!Q$2)*100)</f>
        <v>11.111111111111111</v>
      </c>
      <c r="T293" s="1">
        <f>IF('исходные данные'!T293&gt;'минимумы и максимумы'!R$4,100,('исходные данные'!T293-'минимумы и максимумы'!R$2)/('минимумы и максимумы'!R$4-'минимумы и максимумы'!R$2)*100)</f>
        <v>3.3659378596087453</v>
      </c>
      <c r="U293" s="1">
        <f>IF('исходные данные'!U293&gt;'минимумы и максимумы'!S$4,100,('исходные данные'!U293-'минимумы и максимумы'!S$2)/('минимумы и максимумы'!S$4-'минимумы и максимумы'!S$2)*100)</f>
        <v>0</v>
      </c>
    </row>
    <row r="294" spans="1:21" x14ac:dyDescent="0.45">
      <c r="A294" s="4">
        <v>395</v>
      </c>
      <c r="B294" s="4">
        <v>0</v>
      </c>
      <c r="C294" s="4">
        <v>0</v>
      </c>
      <c r="D294" s="1">
        <f>IF('исходные данные'!D294&gt;'минимумы и максимумы'!B$4,100,('исходные данные'!D294-'минимумы и максимумы'!B$2)/('минимумы и максимумы'!B$4-'минимумы и максимумы'!B$2)*100)</f>
        <v>0</v>
      </c>
      <c r="E294" s="1">
        <f>IF('исходные данные'!E294&gt;'минимумы и максимумы'!C$4,100,('исходные данные'!E294-'минимумы и максимумы'!C$2)/('минимумы и максимумы'!C$4-'минимумы и максимумы'!C$2)*100)</f>
        <v>0</v>
      </c>
      <c r="F294" s="1">
        <f>IF('исходные данные'!F294&gt;'минимумы и максимумы'!D$4,100,('исходные данные'!F294-'минимумы и максимумы'!D$2)/('минимумы и максимумы'!D$4-'минимумы и максимумы'!D$2)*100)</f>
        <v>0</v>
      </c>
      <c r="G294" s="1">
        <f>IF('исходные данные'!G294&gt;'минимумы и максимумы'!E$4,100,('исходные данные'!G294-'минимумы и максимумы'!E$2)/('минимумы и максимумы'!E$4-'минимумы и максимумы'!E$2)*100)</f>
        <v>0</v>
      </c>
      <c r="H294" s="1">
        <f>IF('исходные данные'!H294&gt;'минимумы и максимумы'!F$4,100,('исходные данные'!H294-'минимумы и максимумы'!F$2)/('минимумы и максимумы'!F$4-'минимумы и максимумы'!F$2)*100)</f>
        <v>0</v>
      </c>
      <c r="I294" s="1">
        <f>IF('исходные данные'!I294&gt;'минимумы и максимумы'!G$4,100,('исходные данные'!I294-'минимумы и максимумы'!G$2)/('минимумы и максимумы'!G$4-'минимумы и максимумы'!G$2)*100)</f>
        <v>0</v>
      </c>
      <c r="J294" s="1">
        <f>IF('исходные данные'!J294&gt;'минимумы и максимумы'!H$4,100,('исходные данные'!J294-'минимумы и максимумы'!H$2)/('минимумы и максимумы'!H$4-'минимумы и максимумы'!H$2)*100)</f>
        <v>0</v>
      </c>
      <c r="K294" s="1">
        <f>IF('исходные данные'!K294&gt;'минимумы и максимумы'!I$4,100,('исходные данные'!K294-'минимумы и максимумы'!I$2)/('минимумы и максимумы'!I$4-'минимумы и максимумы'!I$2)*100)</f>
        <v>0</v>
      </c>
      <c r="L294" s="1">
        <f>IF('исходные данные'!L294&gt;'минимумы и максимумы'!J$4,100,('исходные данные'!L294-'минимумы и максимумы'!J$2)/('минимумы и максимумы'!J$4-'минимумы и максимумы'!J$2)*100)</f>
        <v>0</v>
      </c>
      <c r="M294" s="1">
        <f>IF('исходные данные'!M294&gt;'минимумы и максимумы'!K$4,100,('исходные данные'!M294-'минимумы и максимумы'!K$2)/('минимумы и максимумы'!K$4-'минимумы и максимумы'!K$2)*100)</f>
        <v>4.2553191489361701</v>
      </c>
      <c r="N294" s="1">
        <f>IF('исходные данные'!N294&gt;'минимумы и максимумы'!L$4,100,('исходные данные'!N294-'минимумы и максимумы'!L$2)/('минимумы и максимумы'!L$4-'минимумы и максимумы'!L$2)*100)</f>
        <v>44.44464027894216</v>
      </c>
      <c r="O294" s="1">
        <f>IF('исходные данные'!O294&gt;'минимумы и максимумы'!M$4,100,('исходные данные'!O294-'минимумы и максимумы'!M$2)/('минимумы и максимумы'!M$4-'минимумы и максимумы'!M$2)*100)</f>
        <v>33.333333333333329</v>
      </c>
      <c r="P294" s="1">
        <f>IF('исходные данные'!P294&gt;'минимумы и максимумы'!N$4,100,('исходные данные'!P294-'минимумы и максимумы'!N$2)/('минимумы и максимумы'!N$4-'минимумы и максимумы'!N$2)*100)</f>
        <v>0</v>
      </c>
      <c r="Q294" s="1">
        <f>IF('исходные данные'!Q294&gt;'минимумы и максимумы'!O$4,100,('исходные данные'!Q294-'минимумы и максимумы'!O$2)/('минимумы и максимумы'!O$4-'минимумы и максимумы'!O$2)*100)</f>
        <v>0</v>
      </c>
      <c r="R294" s="1">
        <f>IF('исходные данные'!R294&gt;'минимумы и максимумы'!P$4,100,('исходные данные'!R294-'минимумы и максимумы'!P$2)/('минимумы и максимумы'!P$4-'минимумы и максимумы'!P$2)*100)</f>
        <v>50</v>
      </c>
      <c r="S294" s="1">
        <f>IF('исходные данные'!S294&gt;'минимумы и максимумы'!Q$4,100,('исходные данные'!S294-'минимумы и максимумы'!Q$2)/('минимумы и максимумы'!Q$4-'минимумы и максимумы'!Q$2)*100)</f>
        <v>11.111111111111111</v>
      </c>
      <c r="T294" s="1">
        <f>IF('исходные данные'!T294&gt;'минимумы и максимумы'!R$4,100,('исходные данные'!T294-'минимумы и максимумы'!R$2)/('минимумы и максимумы'!R$4-'минимумы и максимумы'!R$2)*100)</f>
        <v>5.092059838895282</v>
      </c>
      <c r="U294" s="1">
        <f>IF('исходные данные'!U294&gt;'минимумы и максимумы'!S$4,100,('исходные данные'!U294-'минимумы и максимумы'!S$2)/('минимумы и максимумы'!S$4-'минимумы и максимумы'!S$2)*100)</f>
        <v>0</v>
      </c>
    </row>
    <row r="295" spans="1:21" x14ac:dyDescent="0.45">
      <c r="A295" s="4">
        <v>397</v>
      </c>
      <c r="B295" s="4">
        <v>0</v>
      </c>
      <c r="C295" s="4">
        <v>0</v>
      </c>
      <c r="D295" s="1">
        <f>IF('исходные данные'!D295&gt;'минимумы и максимумы'!B$4,100,('исходные данные'!D295-'минимумы и максимумы'!B$2)/('минимумы и максимумы'!B$4-'минимумы и максимумы'!B$2)*100)</f>
        <v>12.5</v>
      </c>
      <c r="E295" s="1">
        <f>IF('исходные данные'!E295&gt;'минимумы и максимумы'!C$4,100,('исходные данные'!E295-'минимумы и максимумы'!C$2)/('минимумы и максимумы'!C$4-'минимумы и максимумы'!C$2)*100)</f>
        <v>18.75</v>
      </c>
      <c r="F295" s="1">
        <f>IF('исходные данные'!F295&gt;'минимумы и максимумы'!D$4,100,('исходные данные'!F295-'минимумы и максимумы'!D$2)/('минимумы и максимумы'!D$4-'минимумы и максимумы'!D$2)*100)</f>
        <v>25</v>
      </c>
      <c r="G295" s="1">
        <f>IF('исходные данные'!G295&gt;'минимумы и максимумы'!E$4,100,('исходные данные'!G295-'минимумы и максимумы'!E$2)/('минимумы и максимумы'!E$4-'минимумы и максимумы'!E$2)*100)</f>
        <v>10.810810810810811</v>
      </c>
      <c r="H295" s="1">
        <f>IF('исходные данные'!H295&gt;'минимумы и максимумы'!F$4,100,('исходные данные'!H295-'минимумы и максимумы'!F$2)/('минимумы и максимумы'!F$4-'минимумы и максимумы'!F$2)*100)</f>
        <v>18.421052631578945</v>
      </c>
      <c r="I295" s="1">
        <f>IF('исходные данные'!I295&gt;'минимумы и максимумы'!G$4,100,('исходные данные'!I295-'минимумы и максимумы'!G$2)/('минимумы и максимумы'!G$4-'минимумы и максимумы'!G$2)*100)</f>
        <v>10.843373493975903</v>
      </c>
      <c r="J295" s="1">
        <f>IF('исходные данные'!J295&gt;'минимумы и максимумы'!H$4,100,('исходные данные'!J295-'минимумы и максимумы'!H$2)/('минимумы и максимумы'!H$4-'минимумы и максимумы'!H$2)*100)</f>
        <v>8.3333333333333321</v>
      </c>
      <c r="K295" s="1">
        <f>IF('исходные данные'!K295&gt;'минимумы и максимумы'!I$4,100,('исходные данные'!K295-'минимумы и максимумы'!I$2)/('минимумы и максимумы'!I$4-'минимумы и максимумы'!I$2)*100)</f>
        <v>21.428571428571427</v>
      </c>
      <c r="L295" s="1">
        <f>IF('исходные данные'!L295&gt;'минимумы и максимумы'!J$4,100,('исходные данные'!L295-'минимумы и максимумы'!J$2)/('минимумы и максимумы'!J$4-'минимумы и максимумы'!J$2)*100)</f>
        <v>0</v>
      </c>
      <c r="M295" s="1">
        <f>IF('исходные данные'!M295&gt;'минимумы и максимумы'!K$4,100,('исходные данные'!M295-'минимумы и максимумы'!K$2)/('минимумы и максимумы'!K$4-'минимумы и максимумы'!K$2)*100)</f>
        <v>48.936170212765958</v>
      </c>
      <c r="N295" s="1">
        <f>IF('исходные данные'!N295&gt;'минимумы и максимумы'!L$4,100,('исходные данные'!N295-'минимумы и максимумы'!L$2)/('минимумы и максимумы'!L$4-'минимумы и максимумы'!L$2)*100)</f>
        <v>40.39518021153247</v>
      </c>
      <c r="O295" s="1">
        <f>IF('исходные данные'!O295&gt;'минимумы и максимумы'!M$4,100,('исходные данные'!O295-'минимумы и максимумы'!M$2)/('минимумы и максимумы'!M$4-'минимумы и максимумы'!M$2)*100)</f>
        <v>66.666666666666657</v>
      </c>
      <c r="P295" s="1">
        <f>IF('исходные данные'!P295&gt;'минимумы и максимумы'!N$4,100,('исходные данные'!P295-'минимумы и максимумы'!N$2)/('минимумы и максимумы'!N$4-'минимумы и максимумы'!N$2)*100)</f>
        <v>0</v>
      </c>
      <c r="Q295" s="1">
        <f>IF('исходные данные'!Q295&gt;'минимумы и максимумы'!O$4,100,('исходные данные'!Q295-'минимумы и максимумы'!O$2)/('минимумы и максимумы'!O$4-'минимумы и максимумы'!O$2)*100)</f>
        <v>0</v>
      </c>
      <c r="R295" s="1">
        <f>IF('исходные данные'!R295&gt;'минимумы и максимумы'!P$4,100,('исходные данные'!R295-'минимумы и максимумы'!P$2)/('минимумы и максимумы'!P$4-'минимумы и максимумы'!P$2)*100)</f>
        <v>100</v>
      </c>
      <c r="S295" s="1">
        <f>IF('исходные данные'!S295&gt;'минимумы и максимумы'!Q$4,100,('исходные данные'!S295-'минимумы и максимумы'!Q$2)/('минимумы и максимумы'!Q$4-'минимумы и максимумы'!Q$2)*100)</f>
        <v>11.111111111111111</v>
      </c>
      <c r="T295" s="1">
        <f>IF('исходные данные'!T295&gt;'минимумы и максимумы'!R$4,100,('исходные данные'!T295-'минимумы и максимумы'!R$2)/('минимумы и максимумы'!R$4-'минимумы и максимумы'!R$2)*100)</f>
        <v>2.3878020713463752</v>
      </c>
      <c r="U295" s="1">
        <f>IF('исходные данные'!U295&gt;'минимумы и максимумы'!S$4,100,('исходные данные'!U295-'минимумы и максимумы'!S$2)/('минимумы и максимумы'!S$4-'минимумы и максимумы'!S$2)*100)</f>
        <v>33.333333333333329</v>
      </c>
    </row>
    <row r="296" spans="1:21" x14ac:dyDescent="0.45">
      <c r="A296" s="4">
        <v>398</v>
      </c>
      <c r="B296" s="4">
        <v>0</v>
      </c>
      <c r="C296" s="4">
        <v>0</v>
      </c>
      <c r="D296" s="1">
        <f>IF('исходные данные'!D296&gt;'минимумы и максимумы'!B$4,100,('исходные данные'!D296-'минимумы и максимумы'!B$2)/('минимумы и максимумы'!B$4-'минимумы и максимумы'!B$2)*100)</f>
        <v>12.5</v>
      </c>
      <c r="E296" s="1">
        <f>IF('исходные данные'!E296&gt;'минимумы и максимумы'!C$4,100,('исходные данные'!E296-'минимумы и максимумы'!C$2)/('минимумы и максимумы'!C$4-'минимумы и максимумы'!C$2)*100)</f>
        <v>37.5</v>
      </c>
      <c r="F296" s="1">
        <f>IF('исходные данные'!F296&gt;'минимумы и максимумы'!D$4,100,('исходные данные'!F296-'минимумы и максимумы'!D$2)/('минимумы и максимумы'!D$4-'минимумы и максимумы'!D$2)*100)</f>
        <v>0</v>
      </c>
      <c r="G296" s="1">
        <f>IF('исходные данные'!G296&gt;'минимумы и максимумы'!E$4,100,('исходные данные'!G296-'минимумы и максимумы'!E$2)/('минимумы и максимумы'!E$4-'минимумы и максимумы'!E$2)*100)</f>
        <v>40.54054054054054</v>
      </c>
      <c r="H296" s="1">
        <f>IF('исходные данные'!H296&gt;'минимумы и максимумы'!F$4,100,('исходные данные'!H296-'минимумы и максимумы'!F$2)/('минимумы и максимумы'!F$4-'минимумы и максимумы'!F$2)*100)</f>
        <v>55.26315789473685</v>
      </c>
      <c r="I296" s="1">
        <f>IF('исходные данные'!I296&gt;'минимумы и максимумы'!G$4,100,('исходные данные'!I296-'минимумы и максимумы'!G$2)/('минимумы и максимумы'!G$4-'минимумы и максимумы'!G$2)*100)</f>
        <v>18.072289156626507</v>
      </c>
      <c r="J296" s="1">
        <f>IF('исходные данные'!J296&gt;'минимумы и максимумы'!H$4,100,('исходные данные'!J296-'минимумы и максимумы'!H$2)/('минимумы и максимумы'!H$4-'минимумы и максимумы'!H$2)*100)</f>
        <v>4.1666666666666661</v>
      </c>
      <c r="K296" s="1">
        <f>IF('исходные данные'!K296&gt;'минимумы и максимумы'!I$4,100,('исходные данные'!K296-'минимумы и максимумы'!I$2)/('минимумы и максимумы'!I$4-'минимумы и максимумы'!I$2)*100)</f>
        <v>17.857142857142858</v>
      </c>
      <c r="L296" s="1">
        <f>IF('исходные данные'!L296&gt;'минимумы и максимумы'!J$4,100,('исходные данные'!L296-'минимумы и максимумы'!J$2)/('минимумы и максимумы'!J$4-'минимумы и максимумы'!J$2)*100)</f>
        <v>12.5</v>
      </c>
      <c r="M296" s="1">
        <f>IF('исходные данные'!M296&gt;'минимумы и максимумы'!K$4,100,('исходные данные'!M296-'минимумы и максимумы'!K$2)/('минимумы и максимумы'!K$4-'минимумы и максимумы'!K$2)*100)</f>
        <v>36.170212765957451</v>
      </c>
      <c r="N296" s="1">
        <f>IF('исходные данные'!N296&gt;'минимумы и максимумы'!L$4,100,('исходные данные'!N296-'минимумы и максимумы'!L$2)/('минимумы и максимумы'!L$4-'минимумы и максимумы'!L$2)*100)</f>
        <v>38.301527434201724</v>
      </c>
      <c r="O296" s="1">
        <f>IF('исходные данные'!O296&gt;'минимумы и максимумы'!M$4,100,('исходные данные'!O296-'минимумы и максимумы'!M$2)/('минимумы и максимумы'!M$4-'минимумы и максимумы'!M$2)*100)</f>
        <v>66.666666666666657</v>
      </c>
      <c r="P296" s="1">
        <f>IF('исходные данные'!P296&gt;'минимумы и максимумы'!N$4,100,('исходные данные'!P296-'минимумы и максимумы'!N$2)/('минимумы и максимумы'!N$4-'минимумы и максимумы'!N$2)*100)</f>
        <v>0</v>
      </c>
      <c r="Q296" s="1">
        <f>IF('исходные данные'!Q296&gt;'минимумы и максимумы'!O$4,100,('исходные данные'!Q296-'минимумы и максимумы'!O$2)/('минимумы и максимумы'!O$4-'минимумы и максимумы'!O$2)*100)</f>
        <v>100</v>
      </c>
      <c r="R296" s="1">
        <f>IF('исходные данные'!R296&gt;'минимумы и максимумы'!P$4,100,('исходные данные'!R296-'минимумы и максимумы'!P$2)/('минимумы и максимумы'!P$4-'минимумы и максимумы'!P$2)*100)</f>
        <v>100</v>
      </c>
      <c r="S296" s="1">
        <f>IF('исходные данные'!S296&gt;'минимумы и максимумы'!Q$4,100,('исходные данные'!S296-'минимумы и максимумы'!Q$2)/('минимумы и максимумы'!Q$4-'минимумы и максимумы'!Q$2)*100)</f>
        <v>44.444444444444443</v>
      </c>
      <c r="T296" s="1">
        <f>IF('исходные данные'!T296&gt;'минимумы и максимумы'!R$4,100,('исходные данные'!T296-'минимумы и максимумы'!R$2)/('минимумы и максимумы'!R$4-'минимумы и максимумы'!R$2)*100)</f>
        <v>21.087456846950516</v>
      </c>
      <c r="U296" s="1">
        <f>IF('исходные данные'!U296&gt;'минимумы и максимумы'!S$4,100,('исходные данные'!U296-'минимумы и максимумы'!S$2)/('минимумы и максимумы'!S$4-'минимумы и максимумы'!S$2)*100)</f>
        <v>66.666666666666657</v>
      </c>
    </row>
    <row r="297" spans="1:21" x14ac:dyDescent="0.45">
      <c r="A297" s="4">
        <v>399</v>
      </c>
      <c r="B297" s="4">
        <v>0</v>
      </c>
      <c r="C297" s="4">
        <v>0</v>
      </c>
      <c r="D297" s="1">
        <f>IF('исходные данные'!D297&gt;'минимумы и максимумы'!B$4,100,('исходные данные'!D297-'минимумы и максимумы'!B$2)/('минимумы и максимумы'!B$4-'минимумы и максимумы'!B$2)*100)</f>
        <v>12.5</v>
      </c>
      <c r="E297" s="1">
        <f>IF('исходные данные'!E297&gt;'минимумы и максимумы'!C$4,100,('исходные данные'!E297-'минимумы и максимумы'!C$2)/('минимумы и максимумы'!C$4-'минимумы и максимумы'!C$2)*100)</f>
        <v>37.5</v>
      </c>
      <c r="F297" s="1">
        <f>IF('исходные данные'!F297&gt;'минимумы и максимумы'!D$4,100,('исходные данные'!F297-'минимумы и максимумы'!D$2)/('минимумы и максимумы'!D$4-'минимумы и максимумы'!D$2)*100)</f>
        <v>0</v>
      </c>
      <c r="G297" s="1">
        <f>IF('исходные данные'!G297&gt;'минимумы и максимумы'!E$4,100,('исходные данные'!G297-'минимумы и максимумы'!E$2)/('минимумы и максимумы'!E$4-'минимумы и максимумы'!E$2)*100)</f>
        <v>40.54054054054054</v>
      </c>
      <c r="H297" s="1">
        <f>IF('исходные данные'!H297&gt;'минимумы и максимумы'!F$4,100,('исходные данные'!H297-'минимумы и максимумы'!F$2)/('минимумы и максимумы'!F$4-'минимумы и максимумы'!F$2)*100)</f>
        <v>55.26315789473685</v>
      </c>
      <c r="I297" s="1">
        <f>IF('исходные данные'!I297&gt;'минимумы и максимумы'!G$4,100,('исходные данные'!I297-'минимумы и максимумы'!G$2)/('минимумы и максимумы'!G$4-'минимумы и максимумы'!G$2)*100)</f>
        <v>18.072289156626507</v>
      </c>
      <c r="J297" s="1">
        <f>IF('исходные данные'!J297&gt;'минимумы и максимумы'!H$4,100,('исходные данные'!J297-'минимумы и максимумы'!H$2)/('минимумы и максимумы'!H$4-'минимумы и максимумы'!H$2)*100)</f>
        <v>4.1666666666666661</v>
      </c>
      <c r="K297" s="1">
        <f>IF('исходные данные'!K297&gt;'минимумы и максимумы'!I$4,100,('исходные данные'!K297-'минимумы и максимумы'!I$2)/('минимумы и максимумы'!I$4-'минимумы и максимумы'!I$2)*100)</f>
        <v>17.857142857142858</v>
      </c>
      <c r="L297" s="1">
        <f>IF('исходные данные'!L297&gt;'минимумы и максимумы'!J$4,100,('исходные данные'!L297-'минимумы и максимумы'!J$2)/('минимумы и максимумы'!J$4-'минимумы и максимумы'!J$2)*100)</f>
        <v>12.5</v>
      </c>
      <c r="M297" s="1">
        <f>IF('исходные данные'!M297&gt;'минимумы и максимумы'!K$4,100,('исходные данные'!M297-'минимумы и максимумы'!K$2)/('минимумы и максимумы'!K$4-'минимумы и максимумы'!K$2)*100)</f>
        <v>36.170212765957451</v>
      </c>
      <c r="N297" s="1">
        <f>IF('исходные данные'!N297&gt;'минимумы и максимумы'!L$4,100,('исходные данные'!N297-'минимумы и максимумы'!L$2)/('минимумы и максимумы'!L$4-'минимумы и максимумы'!L$2)*100)</f>
        <v>38.13515888007958</v>
      </c>
      <c r="O297" s="1">
        <f>IF('исходные данные'!O297&gt;'минимумы и максимумы'!M$4,100,('исходные данные'!O297-'минимумы и максимумы'!M$2)/('минимумы и максимумы'!M$4-'минимумы и максимумы'!M$2)*100)</f>
        <v>66.666666666666657</v>
      </c>
      <c r="P297" s="1">
        <f>IF('исходные данные'!P297&gt;'минимумы и максимумы'!N$4,100,('исходные данные'!P297-'минимумы и максимумы'!N$2)/('минимумы и максимумы'!N$4-'минимумы и максимумы'!N$2)*100)</f>
        <v>0</v>
      </c>
      <c r="Q297" s="1">
        <f>IF('исходные данные'!Q297&gt;'минимумы и максимумы'!O$4,100,('исходные данные'!Q297-'минимумы и максимумы'!O$2)/('минимумы и максимумы'!O$4-'минимумы и максимумы'!O$2)*100)</f>
        <v>100</v>
      </c>
      <c r="R297" s="1">
        <f>IF('исходные данные'!R297&gt;'минимумы и максимумы'!P$4,100,('исходные данные'!R297-'минимумы и максимумы'!P$2)/('минимумы и максимумы'!P$4-'минимумы и максимумы'!P$2)*100)</f>
        <v>100</v>
      </c>
      <c r="S297" s="1">
        <f>IF('исходные данные'!S297&gt;'минимумы и максимумы'!Q$4,100,('исходные данные'!S297-'минимумы и максимумы'!Q$2)/('минимумы и максимумы'!Q$4-'минимумы и максимумы'!Q$2)*100)</f>
        <v>22.222222222222221</v>
      </c>
      <c r="T297" s="1">
        <f>IF('исходные данные'!T297&gt;'минимумы и максимумы'!R$4,100,('исходные данные'!T297-'минимумы и максимумы'!R$2)/('минимумы и максимумы'!R$4-'минимумы и максимумы'!R$2)*100)</f>
        <v>12.83084004602992</v>
      </c>
      <c r="U297" s="1">
        <f>IF('исходные данные'!U297&gt;'минимумы и максимумы'!S$4,100,('исходные данные'!U297-'минимумы и максимумы'!S$2)/('минимумы и максимумы'!S$4-'минимумы и максимумы'!S$2)*100)</f>
        <v>0</v>
      </c>
    </row>
    <row r="298" spans="1:21" x14ac:dyDescent="0.45">
      <c r="A298" s="4">
        <v>400</v>
      </c>
      <c r="B298" s="4">
        <v>0</v>
      </c>
      <c r="C298" s="4">
        <v>0</v>
      </c>
      <c r="D298" s="1">
        <f>IF('исходные данные'!D298&gt;'минимумы и максимумы'!B$4,100,('исходные данные'!D298-'минимумы и максимумы'!B$2)/('минимумы и максимумы'!B$4-'минимумы и максимумы'!B$2)*100)</f>
        <v>12.5</v>
      </c>
      <c r="E298" s="1">
        <f>IF('исходные данные'!E298&gt;'минимумы и максимумы'!C$4,100,('исходные данные'!E298-'минимумы и максимумы'!C$2)/('минимумы и максимумы'!C$4-'минимумы и максимумы'!C$2)*100)</f>
        <v>25</v>
      </c>
      <c r="F298" s="1">
        <f>IF('исходные данные'!F298&gt;'минимумы и максимумы'!D$4,100,('исходные данные'!F298-'минимумы и максимумы'!D$2)/('минимумы и максимумы'!D$4-'минимумы и максимумы'!D$2)*100)</f>
        <v>25</v>
      </c>
      <c r="G298" s="1">
        <f>IF('исходные данные'!G298&gt;'минимумы и максимумы'!E$4,100,('исходные данные'!G298-'минимумы и максимумы'!E$2)/('минимумы и максимумы'!E$4-'минимумы и максимумы'!E$2)*100)</f>
        <v>18.918918918918919</v>
      </c>
      <c r="H298" s="1">
        <f>IF('исходные данные'!H298&gt;'минимумы и максимумы'!F$4,100,('исходные данные'!H298-'минимумы и максимумы'!F$2)/('минимумы и максимумы'!F$4-'минимумы и максимумы'!F$2)*100)</f>
        <v>28.947368421052634</v>
      </c>
      <c r="I298" s="1">
        <f>IF('исходные данные'!I298&gt;'минимумы и максимумы'!G$4,100,('исходные данные'!I298-'минимумы и максимумы'!G$2)/('минимумы и максимумы'!G$4-'минимумы и максимумы'!G$2)*100)</f>
        <v>7.2289156626506017</v>
      </c>
      <c r="J298" s="1">
        <f>IF('исходные данные'!J298&gt;'минимумы и максимумы'!H$4,100,('исходные данные'!J298-'минимумы и максимумы'!H$2)/('минимумы и максимумы'!H$4-'минимумы и максимумы'!H$2)*100)</f>
        <v>8.3333333333333321</v>
      </c>
      <c r="K298" s="1">
        <f>IF('исходные данные'!K298&gt;'минимумы и максимумы'!I$4,100,('исходные данные'!K298-'минимумы и максимумы'!I$2)/('минимумы и максимумы'!I$4-'минимумы и максимумы'!I$2)*100)</f>
        <v>3.5714285714285712</v>
      </c>
      <c r="L298" s="1">
        <f>IF('исходные данные'!L298&gt;'минимумы и максимумы'!J$4,100,('исходные данные'!L298-'минимумы и максимумы'!J$2)/('минимумы и максимумы'!J$4-'минимумы и максимумы'!J$2)*100)</f>
        <v>0</v>
      </c>
      <c r="M298" s="1">
        <f>IF('исходные данные'!M298&gt;'минимумы и максимумы'!K$4,100,('исходные данные'!M298-'минимумы и максимумы'!K$2)/('минимумы и максимумы'!K$4-'минимумы и максимумы'!K$2)*100)</f>
        <v>36.170212765957451</v>
      </c>
      <c r="N298" s="1">
        <f>IF('исходные данные'!N298&gt;'минимумы и максимумы'!L$4,100,('исходные данные'!N298-'минимумы и максимумы'!L$2)/('минимумы и максимумы'!L$4-'минимумы и максимумы'!L$2)*100)</f>
        <v>41.178738460199448</v>
      </c>
      <c r="O298" s="1">
        <f>IF('исходные данные'!O298&gt;'минимумы и максимумы'!M$4,100,('исходные данные'!O298-'минимумы и максимумы'!M$2)/('минимумы и максимумы'!M$4-'минимумы и максимумы'!M$2)*100)</f>
        <v>33.333333333333329</v>
      </c>
      <c r="P298" s="1">
        <f>IF('исходные данные'!P298&gt;'минимумы и максимумы'!N$4,100,('исходные данные'!P298-'минимумы и максимумы'!N$2)/('минимумы и максимумы'!N$4-'минимумы и максимумы'!N$2)*100)</f>
        <v>0</v>
      </c>
      <c r="Q298" s="1">
        <f>IF('исходные данные'!Q298&gt;'минимумы и максимумы'!O$4,100,('исходные данные'!Q298-'минимумы и максимумы'!O$2)/('минимумы и максимумы'!O$4-'минимумы и максимумы'!O$2)*100)</f>
        <v>100</v>
      </c>
      <c r="R298" s="1">
        <f>IF('исходные данные'!R298&gt;'минимумы и максимумы'!P$4,100,('исходные данные'!R298-'минимумы и максимумы'!P$2)/('минимумы и максимумы'!P$4-'минимумы и максимумы'!P$2)*100)</f>
        <v>100</v>
      </c>
      <c r="S298" s="1">
        <f>IF('исходные данные'!S298&gt;'минимумы и максимумы'!Q$4,100,('исходные данные'!S298-'минимумы и максимумы'!Q$2)/('минимумы и максимумы'!Q$4-'минимумы и максимумы'!Q$2)*100)</f>
        <v>55.555555555555557</v>
      </c>
      <c r="T298" s="1">
        <f>IF('исходные данные'!T298&gt;'минимумы и максимумы'!R$4,100,('исходные данные'!T298-'минимумы и максимумы'!R$2)/('минимумы и максимумы'!R$4-'минимумы и максимумы'!R$2)*100)</f>
        <v>52.790563866513232</v>
      </c>
      <c r="U298" s="1">
        <f>IF('исходные данные'!U298&gt;'минимумы и максимумы'!S$4,100,('исходные данные'!U298-'минимумы и максимумы'!S$2)/('минимумы и максимумы'!S$4-'минимумы и максимумы'!S$2)*100)</f>
        <v>66.666666666666657</v>
      </c>
    </row>
    <row r="299" spans="1:21" x14ac:dyDescent="0.45">
      <c r="A299" s="4">
        <v>401</v>
      </c>
      <c r="B299" s="4">
        <v>0</v>
      </c>
      <c r="C299" s="4">
        <v>0</v>
      </c>
      <c r="D299" s="1">
        <f>IF('исходные данные'!D299&gt;'минимумы и максимумы'!B$4,100,('исходные данные'!D299-'минимумы и максимумы'!B$2)/('минимумы и максимумы'!B$4-'минимумы и максимумы'!B$2)*100)</f>
        <v>12.5</v>
      </c>
      <c r="E299" s="1">
        <f>IF('исходные данные'!E299&gt;'минимумы и максимумы'!C$4,100,('исходные данные'!E299-'минимумы и максимумы'!C$2)/('минимумы и максимумы'!C$4-'минимумы и максимумы'!C$2)*100)</f>
        <v>18.75</v>
      </c>
      <c r="F299" s="1">
        <f>IF('исходные данные'!F299&gt;'минимумы и максимумы'!D$4,100,('исходные данные'!F299-'минимумы и максимумы'!D$2)/('минимумы и максимумы'!D$4-'минимумы и максимумы'!D$2)*100)</f>
        <v>0</v>
      </c>
      <c r="G299" s="1">
        <f>IF('исходные данные'!G299&gt;'минимумы и максимумы'!E$4,100,('исходные данные'!G299-'минимумы и максимумы'!E$2)/('минимумы и максимумы'!E$4-'минимумы и максимумы'!E$2)*100)</f>
        <v>2.7027027027027026</v>
      </c>
      <c r="H299" s="1">
        <f>IF('исходные данные'!H299&gt;'минимумы и максимумы'!F$4,100,('исходные данные'!H299-'минимумы и максимумы'!F$2)/('минимумы и максимумы'!F$4-'минимумы и максимумы'!F$2)*100)</f>
        <v>10.526315789473683</v>
      </c>
      <c r="I299" s="1">
        <f>IF('исходные данные'!I299&gt;'минимумы и максимумы'!G$4,100,('исходные данные'!I299-'минимумы и максимумы'!G$2)/('минимумы и максимумы'!G$4-'минимумы и максимумы'!G$2)*100)</f>
        <v>0</v>
      </c>
      <c r="J299" s="1">
        <f>IF('исходные данные'!J299&gt;'минимумы и максимумы'!H$4,100,('исходные данные'!J299-'минимумы и максимумы'!H$2)/('минимумы и максимумы'!H$4-'минимумы и максимумы'!H$2)*100)</f>
        <v>0</v>
      </c>
      <c r="K299" s="1">
        <f>IF('исходные данные'!K299&gt;'минимумы и максимумы'!I$4,100,('исходные данные'!K299-'минимумы и максимумы'!I$2)/('минимумы и максимумы'!I$4-'минимумы и максимумы'!I$2)*100)</f>
        <v>0</v>
      </c>
      <c r="L299" s="1">
        <f>IF('исходные данные'!L299&gt;'минимумы и максимумы'!J$4,100,('исходные данные'!L299-'минимумы и максимумы'!J$2)/('минимумы и максимумы'!J$4-'минимумы и максимумы'!J$2)*100)</f>
        <v>0</v>
      </c>
      <c r="M299" s="1">
        <f>IF('исходные данные'!M299&gt;'минимумы и максимумы'!K$4,100,('исходные данные'!M299-'минимумы и максимумы'!K$2)/('минимумы и максимумы'!K$4-'минимумы и максимумы'!K$2)*100)</f>
        <v>4.2553191489361701</v>
      </c>
      <c r="N299" s="1">
        <f>IF('исходные данные'!N299&gt;'минимумы и максимумы'!L$4,100,('исходные данные'!N299-'минимумы и максимумы'!L$2)/('минимумы и максимумы'!L$4-'минимумы и максимумы'!L$2)*100)</f>
        <v>43.448875359731773</v>
      </c>
      <c r="O299" s="1">
        <f>IF('исходные данные'!O299&gt;'минимумы и максимумы'!M$4,100,('исходные данные'!O299-'минимумы и максимумы'!M$2)/('минимумы и максимумы'!M$4-'минимумы и максимумы'!M$2)*100)</f>
        <v>0</v>
      </c>
      <c r="P299" s="1">
        <f>IF('исходные данные'!P299&gt;'минимумы и максимумы'!N$4,100,('исходные данные'!P299-'минимумы и максимумы'!N$2)/('минимумы и максимумы'!N$4-'минимумы и максимумы'!N$2)*100)</f>
        <v>0</v>
      </c>
      <c r="Q299" s="1">
        <f>IF('исходные данные'!Q299&gt;'минимумы и максимумы'!O$4,100,('исходные данные'!Q299-'минимумы и максимумы'!O$2)/('минимумы и максимумы'!O$4-'минимумы и максимумы'!O$2)*100)</f>
        <v>100</v>
      </c>
      <c r="R299" s="1">
        <f>IF('исходные данные'!R299&gt;'минимумы и максимумы'!P$4,100,('исходные данные'!R299-'минимумы и максимумы'!P$2)/('минимумы и максимумы'!P$4-'минимумы и максимумы'!P$2)*100)</f>
        <v>100</v>
      </c>
      <c r="S299" s="1">
        <f>IF('исходные данные'!S299&gt;'минимумы и максимумы'!Q$4,100,('исходные данные'!S299-'минимумы и максимумы'!Q$2)/('минимумы и максимумы'!Q$4-'минимумы и максимумы'!Q$2)*100)</f>
        <v>22.222222222222221</v>
      </c>
      <c r="T299" s="1">
        <f>IF('исходные данные'!T299&gt;'минимумы и максимумы'!R$4,100,('исходные данные'!T299-'минимумы и максимумы'!R$2)/('минимумы и максимумы'!R$4-'минимумы и максимумы'!R$2)*100)</f>
        <v>15.851553509781358</v>
      </c>
      <c r="U299" s="1">
        <f>IF('исходные данные'!U299&gt;'минимумы и максимумы'!S$4,100,('исходные данные'!U299-'минимумы и максимумы'!S$2)/('минимумы и максимумы'!S$4-'минимумы и максимумы'!S$2)*100)</f>
        <v>33.333333333333329</v>
      </c>
    </row>
    <row r="300" spans="1:21" x14ac:dyDescent="0.45">
      <c r="A300" s="4">
        <v>402</v>
      </c>
      <c r="B300" s="4">
        <v>0</v>
      </c>
      <c r="C300" s="4">
        <v>1</v>
      </c>
      <c r="D300" s="1">
        <f>IF('исходные данные'!D300&gt;'минимумы и максимумы'!B$4,100,('исходные данные'!D300-'минимумы и максимумы'!B$2)/('минимумы и максимумы'!B$4-'минимумы и максимумы'!B$2)*100)</f>
        <v>0</v>
      </c>
      <c r="E300" s="1">
        <f>IF('исходные данные'!E300&gt;'минимумы и максимумы'!C$4,100,('исходные данные'!E300-'минимумы и максимумы'!C$2)/('минимумы и максимумы'!C$4-'минимумы и максимумы'!C$2)*100)</f>
        <v>12.5</v>
      </c>
      <c r="F300" s="1">
        <f>IF('исходные данные'!F300&gt;'минимумы и максимумы'!D$4,100,('исходные данные'!F300-'минимумы и максимумы'!D$2)/('минимумы и максимумы'!D$4-'минимумы и максимумы'!D$2)*100)</f>
        <v>0</v>
      </c>
      <c r="G300" s="1">
        <f>IF('исходные данные'!G300&gt;'минимумы и максимумы'!E$4,100,('исходные данные'!G300-'минимумы и максимумы'!E$2)/('минимумы и максимумы'!E$4-'минимумы и максимумы'!E$2)*100)</f>
        <v>2.7027027027027026</v>
      </c>
      <c r="H300" s="1">
        <f>IF('исходные данные'!H300&gt;'минимумы и максимумы'!F$4,100,('исходные данные'!H300-'минимумы и максимумы'!F$2)/('минимумы и максимумы'!F$4-'минимумы и максимумы'!F$2)*100)</f>
        <v>10.526315789473683</v>
      </c>
      <c r="I300" s="1">
        <f>IF('исходные данные'!I300&gt;'минимумы и максимумы'!G$4,100,('исходные данные'!I300-'минимумы и максимумы'!G$2)/('минимумы и максимумы'!G$4-'минимумы и максимумы'!G$2)*100)</f>
        <v>1.2048192771084338</v>
      </c>
      <c r="J300" s="1">
        <f>IF('исходные данные'!J300&gt;'минимумы и максимумы'!H$4,100,('исходные данные'!J300-'минимумы и максимумы'!H$2)/('минимумы и максимумы'!H$4-'минимумы и максимумы'!H$2)*100)</f>
        <v>0</v>
      </c>
      <c r="K300" s="1">
        <f>IF('исходные данные'!K300&gt;'минимумы и максимумы'!I$4,100,('исходные данные'!K300-'минимумы и максимумы'!I$2)/('минимумы и максимумы'!I$4-'минимумы и максимумы'!I$2)*100)</f>
        <v>0</v>
      </c>
      <c r="L300" s="1">
        <f>IF('исходные данные'!L300&gt;'минимумы и максимумы'!J$4,100,('исходные данные'!L300-'минимумы и максимумы'!J$2)/('минимумы и максимумы'!J$4-'минимумы и максимумы'!J$2)*100)</f>
        <v>0</v>
      </c>
      <c r="M300" s="1">
        <f>IF('исходные данные'!M300&gt;'минимумы и максимумы'!K$4,100,('исходные данные'!M300-'минимумы и максимумы'!K$2)/('минимумы и максимумы'!K$4-'минимумы и максимумы'!K$2)*100)</f>
        <v>6.3829787234042552</v>
      </c>
      <c r="N300" s="1">
        <f>IF('исходные данные'!N300&gt;'минимумы и максимумы'!L$4,100,('исходные данные'!N300-'минимумы и максимумы'!L$2)/('минимумы и максимумы'!L$4-'минимумы и максимумы'!L$2)*100)</f>
        <v>43.617338133921024</v>
      </c>
      <c r="O300" s="1">
        <f>IF('исходные данные'!O300&gt;'минимумы и максимумы'!M$4,100,('исходные данные'!O300-'минимумы и максимумы'!M$2)/('минимумы и максимумы'!M$4-'минимумы и максимумы'!M$2)*100)</f>
        <v>0</v>
      </c>
      <c r="P300" s="1">
        <f>IF('исходные данные'!P300&gt;'минимумы и максимумы'!N$4,100,('исходные данные'!P300-'минимумы и максимумы'!N$2)/('минимумы и максимумы'!N$4-'минимумы и максимумы'!N$2)*100)</f>
        <v>0</v>
      </c>
      <c r="Q300" s="1">
        <f>IF('исходные данные'!Q300&gt;'минимумы и максимумы'!O$4,100,('исходные данные'!Q300-'минимумы и максимумы'!O$2)/('минимумы и максимумы'!O$4-'минимумы и максимумы'!O$2)*100)</f>
        <v>100</v>
      </c>
      <c r="R300" s="1">
        <f>IF('исходные данные'!R300&gt;'минимумы и максимумы'!P$4,100,('исходные данные'!R300-'минимумы и максимумы'!P$2)/('минимумы и максимумы'!P$4-'минимумы и максимумы'!P$2)*100)</f>
        <v>100</v>
      </c>
      <c r="S300" s="1">
        <f>IF('исходные данные'!S300&gt;'минимумы и максимумы'!Q$4,100,('исходные данные'!S300-'минимумы и максимумы'!Q$2)/('минимумы и максимумы'!Q$4-'минимумы и максимумы'!Q$2)*100)</f>
        <v>22.222222222222221</v>
      </c>
      <c r="T300" s="1">
        <f>IF('исходные данные'!T300&gt;'минимумы и максимумы'!R$4,100,('исходные данные'!T300-'минимумы и максимумы'!R$2)/('минимумы и максимумы'!R$4-'минимумы и максимумы'!R$2)*100)</f>
        <v>16.254315304948218</v>
      </c>
      <c r="U300" s="1">
        <f>IF('исходные данные'!U300&gt;'минимумы и максимумы'!S$4,100,('исходные данные'!U300-'минимумы и максимумы'!S$2)/('минимумы и максимумы'!S$4-'минимумы и максимумы'!S$2)*100)</f>
        <v>33.333333333333329</v>
      </c>
    </row>
    <row r="301" spans="1:21" x14ac:dyDescent="0.45">
      <c r="A301" s="4">
        <v>404</v>
      </c>
      <c r="B301" s="4">
        <v>0</v>
      </c>
      <c r="C301" s="4">
        <v>0</v>
      </c>
      <c r="D301" s="1">
        <f>IF('исходные данные'!D301&gt;'минимумы и максимумы'!B$4,100,('исходные данные'!D301-'минимумы и максимумы'!B$2)/('минимумы и максимумы'!B$4-'минимумы и максимумы'!B$2)*100)</f>
        <v>12.5</v>
      </c>
      <c r="E301" s="1">
        <f>IF('исходные данные'!E301&gt;'минимумы и максимумы'!C$4,100,('исходные данные'!E301-'минимумы и максимумы'!C$2)/('минимумы и максимумы'!C$4-'минимумы и максимумы'!C$2)*100)</f>
        <v>6.25</v>
      </c>
      <c r="F301" s="1">
        <f>IF('исходные данные'!F301&gt;'минимумы и максимумы'!D$4,100,('исходные данные'!F301-'минимумы и максимумы'!D$2)/('минимумы и максимумы'!D$4-'минимумы и максимумы'!D$2)*100)</f>
        <v>0</v>
      </c>
      <c r="G301" s="1">
        <f>IF('исходные данные'!G301&gt;'минимумы и максимумы'!E$4,100,('исходные данные'!G301-'минимумы и максимумы'!E$2)/('минимумы и максимумы'!E$4-'минимумы и максимумы'!E$2)*100)</f>
        <v>10.810810810810811</v>
      </c>
      <c r="H301" s="1">
        <f>IF('исходные данные'!H301&gt;'минимумы и максимумы'!F$4,100,('исходные данные'!H301-'минимумы и максимумы'!F$2)/('минимумы и максимумы'!F$4-'минимумы и максимумы'!F$2)*100)</f>
        <v>21.052631578947366</v>
      </c>
      <c r="I301" s="1">
        <f>IF('исходные данные'!I301&gt;'минимумы и максимумы'!G$4,100,('исходные данные'!I301-'минимумы и максимумы'!G$2)/('минимумы и максимумы'!G$4-'минимумы и максимумы'!G$2)*100)</f>
        <v>4.8192771084337354</v>
      </c>
      <c r="J301" s="1">
        <f>IF('исходные данные'!J301&gt;'минимумы и максимумы'!H$4,100,('исходные данные'!J301-'минимумы и максимумы'!H$2)/('минимумы и максимумы'!H$4-'минимумы и максимумы'!H$2)*100)</f>
        <v>0</v>
      </c>
      <c r="K301" s="1">
        <f>IF('исходные данные'!K301&gt;'минимумы и максимумы'!I$4,100,('исходные данные'!K301-'минимумы и максимумы'!I$2)/('минимумы и максимумы'!I$4-'минимумы и максимумы'!I$2)*100)</f>
        <v>0</v>
      </c>
      <c r="L301" s="1">
        <f>IF('исходные данные'!L301&gt;'минимумы и максимумы'!J$4,100,('исходные данные'!L301-'минимумы и максимумы'!J$2)/('минимумы и максимумы'!J$4-'минимумы и максимумы'!J$2)*100)</f>
        <v>0</v>
      </c>
      <c r="M301" s="1">
        <f>IF('исходные данные'!M301&gt;'минимумы и максимумы'!K$4,100,('исходные данные'!M301-'минимумы и максимумы'!K$2)/('минимумы и максимумы'!K$4-'минимумы и максимумы'!K$2)*100)</f>
        <v>12.76595744680851</v>
      </c>
      <c r="N301" s="1">
        <f>IF('исходные данные'!N301&gt;'минимумы и максимумы'!L$4,100,('исходные данные'!N301-'минимумы и максимумы'!L$2)/('минимумы и максимумы'!L$4-'минимумы и максимумы'!L$2)*100)</f>
        <v>39.996593659444798</v>
      </c>
      <c r="O301" s="1">
        <f>IF('исходные данные'!O301&gt;'минимумы и максимумы'!M$4,100,('исходные данные'!O301-'минимумы и максимумы'!M$2)/('минимумы и максимумы'!M$4-'минимумы и максимумы'!M$2)*100)</f>
        <v>33.333333333333329</v>
      </c>
      <c r="P301" s="1">
        <f>IF('исходные данные'!P301&gt;'минимумы и максимумы'!N$4,100,('исходные данные'!P301-'минимумы и максимумы'!N$2)/('минимумы и максимумы'!N$4-'минимумы и максимумы'!N$2)*100)</f>
        <v>0</v>
      </c>
      <c r="Q301" s="1">
        <f>IF('исходные данные'!Q301&gt;'минимумы и максимумы'!O$4,100,('исходные данные'!Q301-'минимумы и максимумы'!O$2)/('минимумы и максимумы'!O$4-'минимумы и максимумы'!O$2)*100)</f>
        <v>0</v>
      </c>
      <c r="R301" s="1">
        <f>IF('исходные данные'!R301&gt;'минимумы и максимумы'!P$4,100,('исходные данные'!R301-'минимумы и максимумы'!P$2)/('минимумы и максимумы'!P$4-'минимумы и максимумы'!P$2)*100)</f>
        <v>75</v>
      </c>
      <c r="S301" s="1">
        <f>IF('исходные данные'!S301&gt;'минимумы и максимумы'!Q$4,100,('исходные данные'!S301-'минимумы и максимумы'!Q$2)/('минимумы и максимумы'!Q$4-'минимумы и максимумы'!Q$2)*100)</f>
        <v>11.111111111111111</v>
      </c>
      <c r="T301" s="1">
        <f>IF('исходные данные'!T301&gt;'минимумы и максимумы'!R$4,100,('исходные данные'!T301-'минимумы и максимумы'!R$2)/('минимумы и максимумы'!R$4-'минимумы и максимумы'!R$2)*100)</f>
        <v>31.271576524741079</v>
      </c>
      <c r="U301" s="1">
        <f>IF('исходные данные'!U301&gt;'минимумы и максимумы'!S$4,100,('исходные данные'!U301-'минимумы и максимумы'!S$2)/('минимумы и максимумы'!S$4-'минимумы и максимумы'!S$2)*100)</f>
        <v>66.666666666666657</v>
      </c>
    </row>
    <row r="302" spans="1:21" x14ac:dyDescent="0.45">
      <c r="A302" s="4">
        <v>405</v>
      </c>
      <c r="B302" s="4">
        <v>0</v>
      </c>
      <c r="C302" s="4">
        <v>0</v>
      </c>
      <c r="D302" s="1">
        <f>IF('исходные данные'!D302&gt;'минимумы и максимумы'!B$4,100,('исходные данные'!D302-'минимумы и максимумы'!B$2)/('минимумы и максимумы'!B$4-'минимумы и максимумы'!B$2)*100)</f>
        <v>25</v>
      </c>
      <c r="E302" s="1">
        <f>IF('исходные данные'!E302&gt;'минимумы и максимумы'!C$4,100,('исходные данные'!E302-'минимумы и максимумы'!C$2)/('минимумы и максимумы'!C$4-'минимумы и максимумы'!C$2)*100)</f>
        <v>12.5</v>
      </c>
      <c r="F302" s="1">
        <f>IF('исходные данные'!F302&gt;'минимумы и максимумы'!D$4,100,('исходные данные'!F302-'минимумы и максимумы'!D$2)/('минимумы и максимумы'!D$4-'минимумы и максимумы'!D$2)*100)</f>
        <v>0</v>
      </c>
      <c r="G302" s="1">
        <f>IF('исходные данные'!G302&gt;'минимумы и максимумы'!E$4,100,('исходные данные'!G302-'минимумы и максимумы'!E$2)/('минимумы и максимумы'!E$4-'минимумы и максимумы'!E$2)*100)</f>
        <v>10.810810810810811</v>
      </c>
      <c r="H302" s="1">
        <f>IF('исходные данные'!H302&gt;'минимумы и максимумы'!F$4,100,('исходные данные'!H302-'минимумы и максимумы'!F$2)/('минимумы и максимумы'!F$4-'минимумы и максимумы'!F$2)*100)</f>
        <v>7.8947368421052628</v>
      </c>
      <c r="I302" s="1">
        <f>IF('исходные данные'!I302&gt;'минимумы и максимумы'!G$4,100,('исходные данные'!I302-'минимумы и максимумы'!G$2)/('минимумы и максимумы'!G$4-'минимумы и максимумы'!G$2)*100)</f>
        <v>4.8192771084337354</v>
      </c>
      <c r="J302" s="1">
        <f>IF('исходные данные'!J302&gt;'минимумы и максимумы'!H$4,100,('исходные данные'!J302-'минимумы и максимумы'!H$2)/('минимумы и максимумы'!H$4-'минимумы и максимумы'!H$2)*100)</f>
        <v>0</v>
      </c>
      <c r="K302" s="1">
        <f>IF('исходные данные'!K302&gt;'минимумы и максимумы'!I$4,100,('исходные данные'!K302-'минимумы и максимумы'!I$2)/('минимумы и максимумы'!I$4-'минимумы и максимумы'!I$2)*100)</f>
        <v>0</v>
      </c>
      <c r="L302" s="1">
        <f>IF('исходные данные'!L302&gt;'минимумы и максимумы'!J$4,100,('исходные данные'!L302-'минимумы и максимумы'!J$2)/('минимумы и максимумы'!J$4-'минимумы и максимумы'!J$2)*100)</f>
        <v>0</v>
      </c>
      <c r="M302" s="1">
        <f>IF('исходные данные'!M302&gt;'минимумы и максимумы'!K$4,100,('исходные данные'!M302-'минимумы и максимумы'!K$2)/('минимумы и максимумы'!K$4-'минимумы и максимумы'!K$2)*100)</f>
        <v>8.5106382978723403</v>
      </c>
      <c r="N302" s="1">
        <f>IF('исходные данные'!N302&gt;'минимумы и максимумы'!L$4,100,('исходные данные'!N302-'минимумы и максимумы'!L$2)/('минимумы и максимумы'!L$4-'минимумы и максимумы'!L$2)*100)</f>
        <v>38.992684842962014</v>
      </c>
      <c r="O302" s="1">
        <f>IF('исходные данные'!O302&gt;'минимумы и максимумы'!M$4,100,('исходные данные'!O302-'минимумы и максимумы'!M$2)/('минимумы и максимумы'!M$4-'минимумы и максимумы'!M$2)*100)</f>
        <v>0</v>
      </c>
      <c r="P302" s="1">
        <f>IF('исходные данные'!P302&gt;'минимумы и максимумы'!N$4,100,('исходные данные'!P302-'минимумы и максимумы'!N$2)/('минимумы и максимумы'!N$4-'минимумы и максимумы'!N$2)*100)</f>
        <v>0</v>
      </c>
      <c r="Q302" s="1">
        <f>IF('исходные данные'!Q302&gt;'минимумы и максимумы'!O$4,100,('исходные данные'!Q302-'минимумы и максимумы'!O$2)/('минимумы и максимумы'!O$4-'минимумы и максимумы'!O$2)*100)</f>
        <v>0</v>
      </c>
      <c r="R302" s="1">
        <f>IF('исходные данные'!R302&gt;'минимумы и максимумы'!P$4,100,('исходные данные'!R302-'минимумы и максимумы'!P$2)/('минимумы и максимумы'!P$4-'минимумы и максимумы'!P$2)*100)</f>
        <v>0</v>
      </c>
      <c r="S302" s="1">
        <f>IF('исходные данные'!S302&gt;'минимумы и максимумы'!Q$4,100,('исходные данные'!S302-'минимумы и максимумы'!Q$2)/('минимумы и максимумы'!Q$4-'минимумы и максимумы'!Q$2)*100)</f>
        <v>22.222222222222221</v>
      </c>
      <c r="T302" s="1">
        <f>IF('исходные данные'!T302&gt;'минимумы и максимумы'!R$4,100,('исходные данные'!T302-'минимумы и максимумы'!R$2)/('минимумы и максимумы'!R$4-'минимумы и максимумы'!R$2)*100)</f>
        <v>4.6605293440736482</v>
      </c>
      <c r="U302" s="1">
        <f>IF('исходные данные'!U302&gt;'минимумы и максимумы'!S$4,100,('исходные данные'!U302-'минимумы и максимумы'!S$2)/('минимумы и максимумы'!S$4-'минимумы и максимумы'!S$2)*100)</f>
        <v>0</v>
      </c>
    </row>
    <row r="303" spans="1:21" x14ac:dyDescent="0.45">
      <c r="A303" s="4">
        <v>406</v>
      </c>
      <c r="B303" s="4">
        <v>0</v>
      </c>
      <c r="C303" s="4">
        <v>0</v>
      </c>
      <c r="D303" s="1">
        <f>IF('исходные данные'!D303&gt;'минимумы и максимумы'!B$4,100,('исходные данные'!D303-'минимумы и максимумы'!B$2)/('минимумы и максимумы'!B$4-'минимумы и максимумы'!B$2)*100)</f>
        <v>0</v>
      </c>
      <c r="E303" s="1">
        <f>IF('исходные данные'!E303&gt;'минимумы и максимумы'!C$4,100,('исходные данные'!E303-'минимумы и максимумы'!C$2)/('минимумы и максимумы'!C$4-'минимумы и максимумы'!C$2)*100)</f>
        <v>0</v>
      </c>
      <c r="F303" s="1">
        <f>IF('исходные данные'!F303&gt;'минимумы и максимумы'!D$4,100,('исходные данные'!F303-'минимумы и максимумы'!D$2)/('минимумы и максимумы'!D$4-'минимумы и максимумы'!D$2)*100)</f>
        <v>0</v>
      </c>
      <c r="G303" s="1">
        <f>IF('исходные данные'!G303&gt;'минимумы и максимумы'!E$4,100,('исходные данные'!G303-'минимумы и максимумы'!E$2)/('минимумы и максимумы'!E$4-'минимумы и максимумы'!E$2)*100)</f>
        <v>2.7027027027027026</v>
      </c>
      <c r="H303" s="1">
        <f>IF('исходные данные'!H303&gt;'минимумы и максимумы'!F$4,100,('исходные данные'!H303-'минимумы и максимумы'!F$2)/('минимумы и максимумы'!F$4-'минимумы и максимумы'!F$2)*100)</f>
        <v>5.2631578947368416</v>
      </c>
      <c r="I303" s="1">
        <f>IF('исходные данные'!I303&gt;'минимумы и максимумы'!G$4,100,('исходные данные'!I303-'минимумы и максимумы'!G$2)/('минимумы и максимумы'!G$4-'минимумы и максимумы'!G$2)*100)</f>
        <v>6.024096385542169</v>
      </c>
      <c r="J303" s="1">
        <f>IF('исходные данные'!J303&gt;'минимумы и максимумы'!H$4,100,('исходные данные'!J303-'минимумы и максимумы'!H$2)/('минимумы и максимумы'!H$4-'минимумы и максимумы'!H$2)*100)</f>
        <v>0</v>
      </c>
      <c r="K303" s="1">
        <f>IF('исходные данные'!K303&gt;'минимумы и максимумы'!I$4,100,('исходные данные'!K303-'минимумы и максимумы'!I$2)/('минимумы и максимумы'!I$4-'минимумы и максимумы'!I$2)*100)</f>
        <v>21.428571428571427</v>
      </c>
      <c r="L303" s="1">
        <f>IF('исходные данные'!L303&gt;'минимумы и максимумы'!J$4,100,('исходные данные'!L303-'минимумы и максимумы'!J$2)/('минимумы и максимумы'!J$4-'минимумы и максимумы'!J$2)*100)</f>
        <v>0</v>
      </c>
      <c r="M303" s="1">
        <f>IF('исходные данные'!M303&gt;'минимумы и максимумы'!K$4,100,('исходные данные'!M303-'минимумы и максимумы'!K$2)/('минимумы и максимумы'!K$4-'минимумы и максимумы'!K$2)*100)</f>
        <v>10.638297872340425</v>
      </c>
      <c r="N303" s="1">
        <f>IF('исходные данные'!N303&gt;'минимумы и максимумы'!L$4,100,('исходные данные'!N303-'минимумы и максимумы'!L$2)/('минимумы и максимумы'!L$4-'минимумы и максимумы'!L$2)*100)</f>
        <v>18.192881083502982</v>
      </c>
      <c r="O303" s="1">
        <f>IF('исходные данные'!O303&gt;'минимумы и максимумы'!M$4,100,('исходные данные'!O303-'минимумы и максимумы'!M$2)/('минимумы и максимумы'!M$4-'минимумы и максимумы'!M$2)*100)</f>
        <v>0</v>
      </c>
      <c r="P303" s="1">
        <f>IF('исходные данные'!P303&gt;'минимумы и максимумы'!N$4,100,('исходные данные'!P303-'минимумы и максимумы'!N$2)/('минимумы и максимумы'!N$4-'минимумы и максимумы'!N$2)*100)</f>
        <v>0</v>
      </c>
      <c r="Q303" s="1">
        <f>IF('исходные данные'!Q303&gt;'минимумы и максимумы'!O$4,100,('исходные данные'!Q303-'минимумы и максимумы'!O$2)/('минимумы и максимумы'!O$4-'минимумы и максимумы'!O$2)*100)</f>
        <v>0</v>
      </c>
      <c r="R303" s="1">
        <f>IF('исходные данные'!R303&gt;'минимумы и максимумы'!P$4,100,('исходные данные'!R303-'минимумы и максимумы'!P$2)/('минимумы и максимумы'!P$4-'минимумы и максимумы'!P$2)*100)</f>
        <v>25</v>
      </c>
      <c r="S303" s="1">
        <f>IF('исходные данные'!S303&gt;'минимумы и максимумы'!Q$4,100,('исходные данные'!S303-'минимумы и максимумы'!Q$2)/('минимумы и максимумы'!Q$4-'минимумы и максимумы'!Q$2)*100)</f>
        <v>11.111111111111111</v>
      </c>
      <c r="T303" s="1">
        <f>IF('исходные данные'!T303&gt;'минимумы и максимумы'!R$4,100,('исходные данные'!T303-'минимумы и максимумы'!R$2)/('минимумы и максимумы'!R$4-'минимумы и максимумы'!R$2)*100)</f>
        <v>11.219792865362486</v>
      </c>
      <c r="U303" s="1">
        <f>IF('исходные данные'!U303&gt;'минимумы и максимумы'!S$4,100,('исходные данные'!U303-'минимумы и максимумы'!S$2)/('минимумы и максимумы'!S$4-'минимумы и максимумы'!S$2)*100)</f>
        <v>0</v>
      </c>
    </row>
    <row r="304" spans="1:21" x14ac:dyDescent="0.45">
      <c r="A304" s="4">
        <v>407</v>
      </c>
      <c r="B304" s="4">
        <v>0</v>
      </c>
      <c r="C304" s="4">
        <v>1</v>
      </c>
      <c r="D304" s="1">
        <f>IF('исходные данные'!D304&gt;'минимумы и максимумы'!B$4,100,('исходные данные'!D304-'минимумы и максимумы'!B$2)/('минимумы и максимумы'!B$4-'минимумы и максимумы'!B$2)*100)</f>
        <v>12.5</v>
      </c>
      <c r="E304" s="1">
        <f>IF('исходные данные'!E304&gt;'минимумы и максимумы'!C$4,100,('исходные данные'!E304-'минимумы и максимумы'!C$2)/('минимумы и максимумы'!C$4-'минимумы и максимумы'!C$2)*100)</f>
        <v>0</v>
      </c>
      <c r="F304" s="1">
        <f>IF('исходные данные'!F304&gt;'минимумы и максимумы'!D$4,100,('исходные данные'!F304-'минимумы и максимумы'!D$2)/('минимумы и максимумы'!D$4-'минимумы и максимумы'!D$2)*100)</f>
        <v>0</v>
      </c>
      <c r="G304" s="1">
        <f>IF('исходные данные'!G304&gt;'минимумы и максимумы'!E$4,100,('исходные данные'!G304-'минимумы и максимумы'!E$2)/('минимумы и максимумы'!E$4-'минимумы и максимумы'!E$2)*100)</f>
        <v>2.7027027027027026</v>
      </c>
      <c r="H304" s="1">
        <f>IF('исходные данные'!H304&gt;'минимумы и максимумы'!F$4,100,('исходные данные'!H304-'минимумы и максимумы'!F$2)/('минимумы и максимумы'!F$4-'минимумы и максимумы'!F$2)*100)</f>
        <v>5.2631578947368416</v>
      </c>
      <c r="I304" s="1">
        <f>IF('исходные данные'!I304&gt;'минимумы и максимумы'!G$4,100,('исходные данные'!I304-'минимумы и максимумы'!G$2)/('минимумы и максимумы'!G$4-'минимумы и максимумы'!G$2)*100)</f>
        <v>7.2289156626506017</v>
      </c>
      <c r="J304" s="1">
        <f>IF('исходные данные'!J304&gt;'минимумы и максимумы'!H$4,100,('исходные данные'!J304-'минимумы и максимумы'!H$2)/('минимумы и максимумы'!H$4-'минимумы и максимумы'!H$2)*100)</f>
        <v>8.3333333333333321</v>
      </c>
      <c r="K304" s="1">
        <f>IF('исходные данные'!K304&gt;'минимумы и максимумы'!I$4,100,('исходные данные'!K304-'минимумы и максимумы'!I$2)/('минимумы и максимумы'!I$4-'минимумы и максимумы'!I$2)*100)</f>
        <v>21.428571428571427</v>
      </c>
      <c r="L304" s="1">
        <f>IF('исходные данные'!L304&gt;'минимумы и максимумы'!J$4,100,('исходные данные'!L304-'минимумы и максимумы'!J$2)/('минимумы и максимумы'!J$4-'минимумы и максимумы'!J$2)*100)</f>
        <v>0</v>
      </c>
      <c r="M304" s="1">
        <f>IF('исходные данные'!M304&gt;'минимумы и максимумы'!K$4,100,('исходные данные'!M304-'минимумы и максимумы'!K$2)/('минимумы и максимумы'!K$4-'минимумы и максимумы'!K$2)*100)</f>
        <v>19.148936170212767</v>
      </c>
      <c r="N304" s="1">
        <f>IF('исходные данные'!N304&gt;'минимумы и максимумы'!L$4,100,('исходные данные'!N304-'минимумы и максимумы'!L$2)/('минимумы и максимумы'!L$4-'минимумы и максимумы'!L$2)*100)</f>
        <v>18.381879593994469</v>
      </c>
      <c r="O304" s="1">
        <f>IF('исходные данные'!O304&gt;'минимумы и максимумы'!M$4,100,('исходные данные'!O304-'минимумы и максимумы'!M$2)/('минимумы и максимумы'!M$4-'минимумы и максимумы'!M$2)*100)</f>
        <v>0</v>
      </c>
      <c r="P304" s="1">
        <f>IF('исходные данные'!P304&gt;'минимумы и максимумы'!N$4,100,('исходные данные'!P304-'минимумы и максимумы'!N$2)/('минимумы и максимумы'!N$4-'минимумы и максимумы'!N$2)*100)</f>
        <v>0</v>
      </c>
      <c r="Q304" s="1">
        <f>IF('исходные данные'!Q304&gt;'минимумы и максимумы'!O$4,100,('исходные данные'!Q304-'минимумы и максимумы'!O$2)/('минимумы и максимумы'!O$4-'минимумы и максимумы'!O$2)*100)</f>
        <v>0</v>
      </c>
      <c r="R304" s="1">
        <f>IF('исходные данные'!R304&gt;'минимумы и максимумы'!P$4,100,('исходные данные'!R304-'минимумы и максимумы'!P$2)/('минимумы и максимумы'!P$4-'минимумы и максимумы'!P$2)*100)</f>
        <v>25</v>
      </c>
      <c r="S304" s="1">
        <f>IF('исходные данные'!S304&gt;'минимумы и максимумы'!Q$4,100,('исходные данные'!S304-'минимумы и максимумы'!Q$2)/('минимумы и максимумы'!Q$4-'минимумы и максимумы'!Q$2)*100)</f>
        <v>22.222222222222221</v>
      </c>
      <c r="T304" s="1">
        <f>IF('исходные данные'!T304&gt;'минимумы и максимумы'!R$4,100,('исходные данные'!T304-'минимумы и максимумы'!R$2)/('минимумы и максимумы'!R$4-'минимумы и максимумы'!R$2)*100)</f>
        <v>39.585730724971228</v>
      </c>
      <c r="U304" s="1">
        <f>IF('исходные данные'!U304&gt;'минимумы и максимумы'!S$4,100,('исходные данные'!U304-'минимумы и максимумы'!S$2)/('минимумы и максимумы'!S$4-'минимумы и максимумы'!S$2)*100)</f>
        <v>33.333333333333329</v>
      </c>
    </row>
    <row r="305" spans="1:21" x14ac:dyDescent="0.45">
      <c r="A305" s="4">
        <v>408</v>
      </c>
      <c r="B305" s="4">
        <v>0</v>
      </c>
      <c r="C305" s="4">
        <v>1</v>
      </c>
      <c r="D305" s="1">
        <f>IF('исходные данные'!D305&gt;'минимумы и максимумы'!B$4,100,('исходные данные'!D305-'минимумы и максимумы'!B$2)/('минимумы и максимумы'!B$4-'минимумы и максимумы'!B$2)*100)</f>
        <v>12.5</v>
      </c>
      <c r="E305" s="1">
        <f>IF('исходные данные'!E305&gt;'минимумы и максимумы'!C$4,100,('исходные данные'!E305-'минимумы и максимумы'!C$2)/('минимумы и максимумы'!C$4-'минимумы и максимумы'!C$2)*100)</f>
        <v>0</v>
      </c>
      <c r="F305" s="1">
        <f>IF('исходные данные'!F305&gt;'минимумы и максимумы'!D$4,100,('исходные данные'!F305-'минимумы и максимумы'!D$2)/('минимумы и максимумы'!D$4-'минимумы и максимумы'!D$2)*100)</f>
        <v>0</v>
      </c>
      <c r="G305" s="1">
        <f>IF('исходные данные'!G305&gt;'минимумы и максимумы'!E$4,100,('исходные данные'!G305-'минимумы и максимумы'!E$2)/('минимумы и максимумы'!E$4-'минимумы и максимумы'!E$2)*100)</f>
        <v>2.7027027027027026</v>
      </c>
      <c r="H305" s="1">
        <f>IF('исходные данные'!H305&gt;'минимумы и максимумы'!F$4,100,('исходные данные'!H305-'минимумы и максимумы'!F$2)/('минимумы и максимумы'!F$4-'минимумы и максимумы'!F$2)*100)</f>
        <v>5.2631578947368416</v>
      </c>
      <c r="I305" s="1">
        <f>IF('исходные данные'!I305&gt;'минимумы и максимумы'!G$4,100,('исходные данные'!I305-'минимумы и максимумы'!G$2)/('минимумы и максимумы'!G$4-'минимумы и максимумы'!G$2)*100)</f>
        <v>3.6144578313253009</v>
      </c>
      <c r="J305" s="1">
        <f>IF('исходные данные'!J305&gt;'минимумы и максимумы'!H$4,100,('исходные данные'!J305-'минимумы и максимумы'!H$2)/('минимумы и максимумы'!H$4-'минимумы и максимумы'!H$2)*100)</f>
        <v>0</v>
      </c>
      <c r="K305" s="1">
        <f>IF('исходные данные'!K305&gt;'минимумы и максимумы'!I$4,100,('исходные данные'!K305-'минимумы и максимумы'!I$2)/('минимумы и максимумы'!I$4-'минимумы и максимумы'!I$2)*100)</f>
        <v>17.857142857142858</v>
      </c>
      <c r="L305" s="1">
        <f>IF('исходные данные'!L305&gt;'минимумы и максимумы'!J$4,100,('исходные данные'!L305-'минимумы и максимумы'!J$2)/('минимумы и максимумы'!J$4-'минимумы и максимумы'!J$2)*100)</f>
        <v>0</v>
      </c>
      <c r="M305" s="1">
        <f>IF('исходные данные'!M305&gt;'минимумы и максимумы'!K$4,100,('исходные данные'!M305-'минимумы и максимумы'!K$2)/('минимумы и максимумы'!K$4-'минимумы и максимумы'!K$2)*100)</f>
        <v>17.021276595744681</v>
      </c>
      <c r="N305" s="1">
        <f>IF('исходные данные'!N305&gt;'минимумы и максимумы'!L$4,100,('исходные данные'!N305-'минимумы и максимумы'!L$2)/('минимумы и максимумы'!L$4-'минимумы и максимумы'!L$2)*100)</f>
        <v>18.59513831031493</v>
      </c>
      <c r="O305" s="1">
        <f>IF('исходные данные'!O305&gt;'минимумы и максимумы'!M$4,100,('исходные данные'!O305-'минимумы и максимумы'!M$2)/('минимумы и максимумы'!M$4-'минимумы и максимумы'!M$2)*100)</f>
        <v>33.333333333333329</v>
      </c>
      <c r="P305" s="1">
        <f>IF('исходные данные'!P305&gt;'минимумы и максимумы'!N$4,100,('исходные данные'!P305-'минимумы и максимумы'!N$2)/('минимумы и максимумы'!N$4-'минимумы и максимумы'!N$2)*100)</f>
        <v>0</v>
      </c>
      <c r="Q305" s="1">
        <f>IF('исходные данные'!Q305&gt;'минимумы и максимумы'!O$4,100,('исходные данные'!Q305-'минимумы и максимумы'!O$2)/('минимумы и максимумы'!O$4-'минимумы и максимумы'!O$2)*100)</f>
        <v>0</v>
      </c>
      <c r="R305" s="1">
        <f>IF('исходные данные'!R305&gt;'минимумы и максимумы'!P$4,100,('исходные данные'!R305-'минимумы и максимумы'!P$2)/('минимумы и максимумы'!P$4-'минимумы и максимумы'!P$2)*100)</f>
        <v>25</v>
      </c>
      <c r="S305" s="1">
        <f>IF('исходные данные'!S305&gt;'минимумы и максимумы'!Q$4,100,('исходные данные'!S305-'минимумы и максимумы'!Q$2)/('минимумы и максимумы'!Q$4-'минимумы и максимумы'!Q$2)*100)</f>
        <v>11.111111111111111</v>
      </c>
      <c r="T305" s="1">
        <f>IF('исходные данные'!T305&gt;'минимумы и максимумы'!R$4,100,('исходные данные'!T305-'минимумы и максимумы'!R$2)/('минимумы и максимумы'!R$4-'минимумы и максимумы'!R$2)*100)</f>
        <v>19.82163406214039</v>
      </c>
      <c r="U305" s="1">
        <f>IF('исходные данные'!U305&gt;'минимумы и максимумы'!S$4,100,('исходные данные'!U305-'минимумы и максимумы'!S$2)/('минимумы и максимумы'!S$4-'минимумы и максимумы'!S$2)*100)</f>
        <v>0</v>
      </c>
    </row>
    <row r="306" spans="1:21" x14ac:dyDescent="0.45">
      <c r="A306" s="4">
        <v>409</v>
      </c>
      <c r="B306" s="4">
        <v>0</v>
      </c>
      <c r="C306" s="4">
        <v>1</v>
      </c>
      <c r="D306" s="1">
        <f>IF('исходные данные'!D306&gt;'минимумы и максимумы'!B$4,100,('исходные данные'!D306-'минимумы и максимумы'!B$2)/('минимумы и максимумы'!B$4-'минимумы и максимумы'!B$2)*100)</f>
        <v>12.5</v>
      </c>
      <c r="E306" s="1">
        <f>IF('исходные данные'!E306&gt;'минимумы и максимумы'!C$4,100,('исходные данные'!E306-'минимумы и максимумы'!C$2)/('минимумы и максимумы'!C$4-'минимумы и максимумы'!C$2)*100)</f>
        <v>0</v>
      </c>
      <c r="F306" s="1">
        <f>IF('исходные данные'!F306&gt;'минимумы и максимумы'!D$4,100,('исходные данные'!F306-'минимумы и максимумы'!D$2)/('минимумы и максимумы'!D$4-'минимумы и максимумы'!D$2)*100)</f>
        <v>0</v>
      </c>
      <c r="G306" s="1">
        <f>IF('исходные данные'!G306&gt;'минимумы и максимумы'!E$4,100,('исходные данные'!G306-'минимумы и максимумы'!E$2)/('минимумы и максимумы'!E$4-'минимумы и максимумы'!E$2)*100)</f>
        <v>2.7027027027027026</v>
      </c>
      <c r="H306" s="1">
        <f>IF('исходные данные'!H306&gt;'минимумы и максимумы'!F$4,100,('исходные данные'!H306-'минимумы и максимумы'!F$2)/('минимумы и максимумы'!F$4-'минимумы и максимумы'!F$2)*100)</f>
        <v>5.2631578947368416</v>
      </c>
      <c r="I306" s="1">
        <f>IF('исходные данные'!I306&gt;'минимумы и максимумы'!G$4,100,('исходные данные'!I306-'минимумы и максимумы'!G$2)/('минимумы и максимумы'!G$4-'минимумы и максимумы'!G$2)*100)</f>
        <v>6.024096385542169</v>
      </c>
      <c r="J306" s="1">
        <f>IF('исходные данные'!J306&gt;'минимумы и максимумы'!H$4,100,('исходные данные'!J306-'минимумы и максимумы'!H$2)/('минимумы и максимумы'!H$4-'минимумы и максимумы'!H$2)*100)</f>
        <v>0</v>
      </c>
      <c r="K306" s="1">
        <f>IF('исходные данные'!K306&gt;'минимумы и максимумы'!I$4,100,('исходные данные'!K306-'минимумы и максимумы'!I$2)/('минимумы и максимумы'!I$4-'минимумы и максимумы'!I$2)*100)</f>
        <v>21.428571428571427</v>
      </c>
      <c r="L306" s="1">
        <f>IF('исходные данные'!L306&gt;'минимумы и максимумы'!J$4,100,('исходные данные'!L306-'минимумы и максимумы'!J$2)/('минимумы и максимумы'!J$4-'минимумы и максимумы'!J$2)*100)</f>
        <v>0</v>
      </c>
      <c r="M306" s="1">
        <f>IF('исходные данные'!M306&gt;'минимумы и максимумы'!K$4,100,('исходные данные'!M306-'минимумы и максимумы'!K$2)/('минимумы и максимумы'!K$4-'минимумы и максимумы'!K$2)*100)</f>
        <v>17.021276595744681</v>
      </c>
      <c r="N306" s="1">
        <f>IF('исходные данные'!N306&gt;'минимумы и максимумы'!L$4,100,('исходные данные'!N306-'минимумы и максимумы'!L$2)/('минимумы и максимумы'!L$4-'минимумы и максимумы'!L$2)*100)</f>
        <v>18.192881083502982</v>
      </c>
      <c r="O306" s="1">
        <f>IF('исходные данные'!O306&gt;'минимумы и максимумы'!M$4,100,('исходные данные'!O306-'минимумы и максимумы'!M$2)/('минимумы и максимумы'!M$4-'минимумы и максимумы'!M$2)*100)</f>
        <v>66.666666666666657</v>
      </c>
      <c r="P306" s="1">
        <f>IF('исходные данные'!P306&gt;'минимумы и максимумы'!N$4,100,('исходные данные'!P306-'минимумы и максимумы'!N$2)/('минимумы и максимумы'!N$4-'минимумы и максимумы'!N$2)*100)</f>
        <v>0</v>
      </c>
      <c r="Q306" s="1">
        <f>IF('исходные данные'!Q306&gt;'минимумы и максимумы'!O$4,100,('исходные данные'!Q306-'минимумы и максимумы'!O$2)/('минимумы и максимумы'!O$4-'минимумы и максимумы'!O$2)*100)</f>
        <v>100</v>
      </c>
      <c r="R306" s="1">
        <f>IF('исходные данные'!R306&gt;'минимумы и максимумы'!P$4,100,('исходные данные'!R306-'минимумы и максимумы'!P$2)/('минимумы и максимумы'!P$4-'минимумы и максимумы'!P$2)*100)</f>
        <v>25</v>
      </c>
      <c r="S306" s="1">
        <f>IF('исходные данные'!S306&gt;'минимумы и максимумы'!Q$4,100,('исходные данные'!S306-'минимумы и максимумы'!Q$2)/('минимумы и максимумы'!Q$4-'минимумы и максимумы'!Q$2)*100)</f>
        <v>44.444444444444443</v>
      </c>
      <c r="T306" s="1">
        <f>IF('исходные данные'!T306&gt;'минимумы и максимумы'!R$4,100,('исходные данные'!T306-'минимумы и максимумы'!R$2)/('минимумы и максимумы'!R$4-'минимумы и максимумы'!R$2)*100)</f>
        <v>23.331415420023017</v>
      </c>
      <c r="U306" s="1">
        <f>IF('исходные данные'!U306&gt;'минимумы и максимумы'!S$4,100,('исходные данные'!U306-'минимумы и максимумы'!S$2)/('минимумы и максимумы'!S$4-'минимумы и максимумы'!S$2)*100)</f>
        <v>33.333333333333329</v>
      </c>
    </row>
    <row r="307" spans="1:21" x14ac:dyDescent="0.45">
      <c r="A307" s="4">
        <v>410</v>
      </c>
      <c r="B307" s="4">
        <v>0</v>
      </c>
      <c r="C307" s="4">
        <v>0</v>
      </c>
      <c r="D307" s="1">
        <f>IF('исходные данные'!D307&gt;'минимумы и максимумы'!B$4,100,('исходные данные'!D307-'минимумы и максимумы'!B$2)/('минимумы и максимумы'!B$4-'минимумы и максимумы'!B$2)*100)</f>
        <v>0</v>
      </c>
      <c r="E307" s="1">
        <f>IF('исходные данные'!E307&gt;'минимумы и максимумы'!C$4,100,('исходные данные'!E307-'минимумы и максимумы'!C$2)/('минимумы и максимумы'!C$4-'минимумы и максимумы'!C$2)*100)</f>
        <v>0</v>
      </c>
      <c r="F307" s="1">
        <f>IF('исходные данные'!F307&gt;'минимумы и максимумы'!D$4,100,('исходные данные'!F307-'минимумы и максимумы'!D$2)/('минимумы и максимумы'!D$4-'минимумы и максимумы'!D$2)*100)</f>
        <v>0</v>
      </c>
      <c r="G307" s="1">
        <f>IF('исходные данные'!G307&gt;'минимумы и максимумы'!E$4,100,('исходные данные'!G307-'минимумы и максимумы'!E$2)/('минимумы и максимумы'!E$4-'минимумы и максимумы'!E$2)*100)</f>
        <v>0</v>
      </c>
      <c r="H307" s="1">
        <f>IF('исходные данные'!H307&gt;'минимумы и максимумы'!F$4,100,('исходные данные'!H307-'минимумы и максимумы'!F$2)/('минимумы и максимумы'!F$4-'минимумы и максимумы'!F$2)*100)</f>
        <v>0</v>
      </c>
      <c r="I307" s="1">
        <f>IF('исходные данные'!I307&gt;'минимумы и максимумы'!G$4,100,('исходные данные'!I307-'минимумы и максимумы'!G$2)/('минимумы и максимумы'!G$4-'минимумы и максимумы'!G$2)*100)</f>
        <v>7.2289156626506017</v>
      </c>
      <c r="J307" s="1">
        <f>IF('исходные данные'!J307&gt;'минимумы и максимумы'!H$4,100,('исходные данные'!J307-'минимумы и максимумы'!H$2)/('минимумы и максимумы'!H$4-'минимумы и максимумы'!H$2)*100)</f>
        <v>0</v>
      </c>
      <c r="K307" s="1">
        <f>IF('исходные данные'!K307&gt;'минимумы и максимумы'!I$4,100,('исходные данные'!K307-'минимумы и максимумы'!I$2)/('минимумы и максимумы'!I$4-'минимумы и максимумы'!I$2)*100)</f>
        <v>3.5714285714285712</v>
      </c>
      <c r="L307" s="1">
        <f>IF('исходные данные'!L307&gt;'минимумы и максимумы'!J$4,100,('исходные данные'!L307-'минимумы и максимумы'!J$2)/('минимумы и максимумы'!J$4-'минимумы и максимумы'!J$2)*100)</f>
        <v>0</v>
      </c>
      <c r="M307" s="1">
        <f>IF('исходные данные'!M307&gt;'минимумы и максимумы'!K$4,100,('исходные данные'!M307-'минимумы и максимумы'!K$2)/('минимумы и максимумы'!K$4-'минимумы и максимумы'!K$2)*100)</f>
        <v>4.2553191489361701</v>
      </c>
      <c r="N307" s="1">
        <f>IF('исходные данные'!N307&gt;'минимумы и максимумы'!L$4,100,('исходные данные'!N307-'минимумы и максимумы'!L$2)/('минимумы и максимумы'!L$4-'минимумы и максимумы'!L$2)*100)</f>
        <v>18.660970263237743</v>
      </c>
      <c r="O307" s="1">
        <f>IF('исходные данные'!O307&gt;'минимумы и максимумы'!M$4,100,('исходные данные'!O307-'минимумы и максимумы'!M$2)/('минимумы и максимумы'!M$4-'минимумы и максимумы'!M$2)*100)</f>
        <v>0</v>
      </c>
      <c r="P307" s="1">
        <f>IF('исходные данные'!P307&gt;'минимумы и максимумы'!N$4,100,('исходные данные'!P307-'минимумы и максимумы'!N$2)/('минимумы и максимумы'!N$4-'минимумы и максимумы'!N$2)*100)</f>
        <v>0</v>
      </c>
      <c r="Q307" s="1">
        <f>IF('исходные данные'!Q307&gt;'минимумы и максимумы'!O$4,100,('исходные данные'!Q307-'минимумы и максимумы'!O$2)/('минимумы и максимумы'!O$4-'минимумы и максимумы'!O$2)*100)</f>
        <v>100</v>
      </c>
      <c r="R307" s="1">
        <f>IF('исходные данные'!R307&gt;'минимумы и максимумы'!P$4,100,('исходные данные'!R307-'минимумы и максимумы'!P$2)/('минимумы и максимумы'!P$4-'минимумы и максимумы'!P$2)*100)</f>
        <v>25</v>
      </c>
      <c r="S307" s="1">
        <f>IF('исходные данные'!S307&gt;'минимумы и максимумы'!Q$4,100,('исходные данные'!S307-'минимумы и максимумы'!Q$2)/('минимумы и максимумы'!Q$4-'минимумы и максимумы'!Q$2)*100)</f>
        <v>11.111111111111111</v>
      </c>
      <c r="T307" s="1">
        <f>IF('исходные данные'!T307&gt;'минимумы и максимумы'!R$4,100,('исходные данные'!T307-'минимумы и максимумы'!R$2)/('минимумы и максимумы'!R$4-'минимумы и максимумы'!R$2)*100)</f>
        <v>12.485615650172614</v>
      </c>
      <c r="U307" s="1">
        <f>IF('исходные данные'!U307&gt;'минимумы и максимумы'!S$4,100,('исходные данные'!U307-'минимумы и максимумы'!S$2)/('минимумы и максимумы'!S$4-'минимумы и максимумы'!S$2)*100)</f>
        <v>66.666666666666657</v>
      </c>
    </row>
    <row r="308" spans="1:21" x14ac:dyDescent="0.45">
      <c r="A308" s="4">
        <v>411</v>
      </c>
      <c r="B308" s="4">
        <v>0</v>
      </c>
      <c r="C308" s="4">
        <v>0</v>
      </c>
      <c r="D308" s="1">
        <f>IF('исходные данные'!D308&gt;'минимумы и максимумы'!B$4,100,('исходные данные'!D308-'минимумы и максимумы'!B$2)/('минимумы и максимумы'!B$4-'минимумы и максимумы'!B$2)*100)</f>
        <v>0</v>
      </c>
      <c r="E308" s="1">
        <f>IF('исходные данные'!E308&gt;'минимумы и максимумы'!C$4,100,('исходные данные'!E308-'минимумы и максимумы'!C$2)/('минимумы и максимумы'!C$4-'минимумы и максимумы'!C$2)*100)</f>
        <v>0</v>
      </c>
      <c r="F308" s="1">
        <f>IF('исходные данные'!F308&gt;'минимумы и максимумы'!D$4,100,('исходные данные'!F308-'минимумы и максимумы'!D$2)/('минимумы и максимумы'!D$4-'минимумы и максимумы'!D$2)*100)</f>
        <v>0</v>
      </c>
      <c r="G308" s="1">
        <f>IF('исходные данные'!G308&gt;'минимумы и максимумы'!E$4,100,('исходные данные'!G308-'минимумы и максимумы'!E$2)/('минимумы и максимумы'!E$4-'минимумы и максимумы'!E$2)*100)</f>
        <v>0</v>
      </c>
      <c r="H308" s="1">
        <f>IF('исходные данные'!H308&gt;'минимумы и максимумы'!F$4,100,('исходные данные'!H308-'минимумы и максимумы'!F$2)/('минимумы и максимумы'!F$4-'минимумы и максимумы'!F$2)*100)</f>
        <v>0</v>
      </c>
      <c r="I308" s="1">
        <f>IF('исходные данные'!I308&gt;'минимумы и максимумы'!G$4,100,('исходные данные'!I308-'минимумы и максимумы'!G$2)/('минимумы и максимумы'!G$4-'минимумы и максимумы'!G$2)*100)</f>
        <v>7.2289156626506017</v>
      </c>
      <c r="J308" s="1">
        <f>IF('исходные данные'!J308&gt;'минимумы и максимумы'!H$4,100,('исходные данные'!J308-'минимумы и максимумы'!H$2)/('минимумы и максимумы'!H$4-'минимумы и максимумы'!H$2)*100)</f>
        <v>0</v>
      </c>
      <c r="K308" s="1">
        <f>IF('исходные данные'!K308&gt;'минимумы и максимумы'!I$4,100,('исходные данные'!K308-'минимумы и максимумы'!I$2)/('минимумы и максимумы'!I$4-'минимумы и максимумы'!I$2)*100)</f>
        <v>3.5714285714285712</v>
      </c>
      <c r="L308" s="1">
        <f>IF('исходные данные'!L308&gt;'минимумы и максимумы'!J$4,100,('исходные данные'!L308-'минимумы и максимумы'!J$2)/('минимумы и максимумы'!J$4-'минимумы и максимумы'!J$2)*100)</f>
        <v>0</v>
      </c>
      <c r="M308" s="1">
        <f>IF('исходные данные'!M308&gt;'минимумы и максимумы'!K$4,100,('исходные данные'!M308-'минимумы и максимумы'!K$2)/('минимумы и максимумы'!K$4-'минимумы и максимумы'!K$2)*100)</f>
        <v>4.2553191489361701</v>
      </c>
      <c r="N308" s="1">
        <f>IF('исходные данные'!N308&gt;'минимумы и максимумы'!L$4,100,('исходные данные'!N308-'минимумы и максимумы'!L$2)/('минимумы и максимумы'!L$4-'минимумы и максимумы'!L$2)*100)</f>
        <v>18.573434370125426</v>
      </c>
      <c r="O308" s="1">
        <f>IF('исходные данные'!O308&gt;'минимумы и максимумы'!M$4,100,('исходные данные'!O308-'минимумы и максимумы'!M$2)/('минимумы и максимумы'!M$4-'минимумы и максимумы'!M$2)*100)</f>
        <v>33.333333333333329</v>
      </c>
      <c r="P308" s="1">
        <f>IF('исходные данные'!P308&gt;'минимумы и максимумы'!N$4,100,('исходные данные'!P308-'минимумы и максимумы'!N$2)/('минимумы и максимумы'!N$4-'минимумы и максимумы'!N$2)*100)</f>
        <v>0</v>
      </c>
      <c r="Q308" s="1">
        <f>IF('исходные данные'!Q308&gt;'минимумы и максимумы'!O$4,100,('исходные данные'!Q308-'минимумы и максимумы'!O$2)/('минимумы и максимумы'!O$4-'минимумы и максимумы'!O$2)*100)</f>
        <v>100</v>
      </c>
      <c r="R308" s="1">
        <f>IF('исходные данные'!R308&gt;'минимумы и максимумы'!P$4,100,('исходные данные'!R308-'минимумы и максимумы'!P$2)/('минимумы и максимумы'!P$4-'минимумы и максимумы'!P$2)*100)</f>
        <v>25</v>
      </c>
      <c r="S308" s="1">
        <f>IF('исходные данные'!S308&gt;'минимумы и максимумы'!Q$4,100,('исходные данные'!S308-'минимумы и максимумы'!Q$2)/('минимумы и максимумы'!Q$4-'минимумы и максимумы'!Q$2)*100)</f>
        <v>11.111111111111111</v>
      </c>
      <c r="T308" s="1">
        <f>IF('исходные данные'!T308&gt;'минимумы и максимумы'!R$4,100,('исходные данные'!T308-'минимумы и максимумы'!R$2)/('минимумы и максимумы'!R$4-'минимумы и максимумы'!R$2)*100)</f>
        <v>7.7963176064441893</v>
      </c>
      <c r="U308" s="1">
        <f>IF('исходные данные'!U308&gt;'минимумы и максимумы'!S$4,100,('исходные данные'!U308-'минимумы и максимумы'!S$2)/('минимумы и максимумы'!S$4-'минимумы и максимумы'!S$2)*100)</f>
        <v>0</v>
      </c>
    </row>
    <row r="309" spans="1:21" x14ac:dyDescent="0.45">
      <c r="A309" s="4">
        <v>412</v>
      </c>
      <c r="B309" s="4">
        <v>0</v>
      </c>
      <c r="C309" s="4">
        <v>0</v>
      </c>
      <c r="D309" s="1">
        <f>IF('исходные данные'!D309&gt;'минимумы и максимумы'!B$4,100,('исходные данные'!D309-'минимумы и максимумы'!B$2)/('минимумы и максимумы'!B$4-'минимумы и максимумы'!B$2)*100)</f>
        <v>12.5</v>
      </c>
      <c r="E309" s="1">
        <f>IF('исходные данные'!E309&gt;'минимумы и максимумы'!C$4,100,('исходные данные'!E309-'минимумы и максимумы'!C$2)/('минимумы и максимумы'!C$4-'минимумы и максимумы'!C$2)*100)</f>
        <v>0</v>
      </c>
      <c r="F309" s="1">
        <f>IF('исходные данные'!F309&gt;'минимумы и максимумы'!D$4,100,('исходные данные'!F309-'минимумы и максимумы'!D$2)/('минимумы и максимумы'!D$4-'минимумы и максимумы'!D$2)*100)</f>
        <v>0</v>
      </c>
      <c r="G309" s="1">
        <f>IF('исходные данные'!G309&gt;'минимумы и максимумы'!E$4,100,('исходные данные'!G309-'минимумы и максимумы'!E$2)/('минимумы и максимумы'!E$4-'минимумы и максимумы'!E$2)*100)</f>
        <v>2.7027027027027026</v>
      </c>
      <c r="H309" s="1">
        <f>IF('исходные данные'!H309&gt;'минимумы и максимумы'!F$4,100,('исходные данные'!H309-'минимумы и максимумы'!F$2)/('минимумы и максимумы'!F$4-'минимумы и максимумы'!F$2)*100)</f>
        <v>5.2631578947368416</v>
      </c>
      <c r="I309" s="1">
        <f>IF('исходные данные'!I309&gt;'минимумы и максимумы'!G$4,100,('исходные данные'!I309-'минимумы и максимумы'!G$2)/('минимумы и максимумы'!G$4-'минимумы и максимумы'!G$2)*100)</f>
        <v>7.2289156626506017</v>
      </c>
      <c r="J309" s="1">
        <f>IF('исходные данные'!J309&gt;'минимумы и максимумы'!H$4,100,('исходные данные'!J309-'минимумы и максимумы'!H$2)/('минимумы и максимумы'!H$4-'минимумы и максимумы'!H$2)*100)</f>
        <v>8.3333333333333321</v>
      </c>
      <c r="K309" s="1">
        <f>IF('исходные данные'!K309&gt;'минимумы и максимумы'!I$4,100,('исходные данные'!K309-'минимумы и максимумы'!I$2)/('минимумы и максимумы'!I$4-'минимумы и максимумы'!I$2)*100)</f>
        <v>17.857142857142858</v>
      </c>
      <c r="L309" s="1">
        <f>IF('исходные данные'!L309&gt;'минимумы и максимумы'!J$4,100,('исходные данные'!L309-'минимумы и максимумы'!J$2)/('минимумы и максимумы'!J$4-'минимумы и максимумы'!J$2)*100)</f>
        <v>0</v>
      </c>
      <c r="M309" s="1">
        <f>IF('исходные данные'!M309&gt;'минимумы и максимумы'!K$4,100,('исходные данные'!M309-'минимумы и максимумы'!K$2)/('минимумы и максимумы'!K$4-'минимумы и максимумы'!K$2)*100)</f>
        <v>31.914893617021278</v>
      </c>
      <c r="N309" s="1">
        <f>IF('исходные данные'!N309&gt;'минимумы и максимумы'!L$4,100,('исходные данные'!N309-'минимумы и максимумы'!L$2)/('минимумы и максимумы'!L$4-'минимумы и максимумы'!L$2)*100)</f>
        <v>17.429139492202772</v>
      </c>
      <c r="O309" s="1">
        <f>IF('исходные данные'!O309&gt;'минимумы и максимумы'!M$4,100,('исходные данные'!O309-'минимумы и максимумы'!M$2)/('минимумы и максимумы'!M$4-'минимумы и максимумы'!M$2)*100)</f>
        <v>66.666666666666657</v>
      </c>
      <c r="P309" s="1">
        <f>IF('исходные данные'!P309&gt;'минимумы и максимумы'!N$4,100,('исходные данные'!P309-'минимумы и максимумы'!N$2)/('минимумы и максимумы'!N$4-'минимумы и максимумы'!N$2)*100)</f>
        <v>0</v>
      </c>
      <c r="Q309" s="1">
        <f>IF('исходные данные'!Q309&gt;'минимумы и максимумы'!O$4,100,('исходные данные'!Q309-'минимумы и максимумы'!O$2)/('минимумы и максимумы'!O$4-'минимумы и максимумы'!O$2)*100)</f>
        <v>100</v>
      </c>
      <c r="R309" s="1">
        <f>IF('исходные данные'!R309&gt;'минимумы и максимумы'!P$4,100,('исходные данные'!R309-'минимумы и максимумы'!P$2)/('минимумы и максимумы'!P$4-'минимумы и максимумы'!P$2)*100)</f>
        <v>25</v>
      </c>
      <c r="S309" s="1">
        <f>IF('исходные данные'!S309&gt;'минимумы и максимумы'!Q$4,100,('исходные данные'!S309-'минимумы и максимумы'!Q$2)/('минимумы и максимумы'!Q$4-'минимумы и максимумы'!Q$2)*100)</f>
        <v>44.444444444444443</v>
      </c>
      <c r="T309" s="1">
        <f>IF('исходные данные'!T309&gt;'минимумы и максимумы'!R$4,100,('исходные данные'!T309-'минимумы и максимумы'!R$2)/('минимумы и максимумы'!R$4-'минимумы и максимумы'!R$2)*100)</f>
        <v>39.06789413118527</v>
      </c>
      <c r="U309" s="1">
        <f>IF('исходные данные'!U309&gt;'минимумы и максимумы'!S$4,100,('исходные данные'!U309-'минимумы и максимумы'!S$2)/('минимумы и максимумы'!S$4-'минимумы и максимумы'!S$2)*100)</f>
        <v>66.666666666666657</v>
      </c>
    </row>
    <row r="310" spans="1:21" x14ac:dyDescent="0.45">
      <c r="A310" s="4">
        <v>413</v>
      </c>
      <c r="B310" s="4">
        <v>0</v>
      </c>
      <c r="C310" s="4">
        <v>0</v>
      </c>
      <c r="D310" s="1">
        <f>IF('исходные данные'!D310&gt;'минимумы и максимумы'!B$4,100,('исходные данные'!D310-'минимумы и максимумы'!B$2)/('минимумы и максимумы'!B$4-'минимумы и максимумы'!B$2)*100)</f>
        <v>0</v>
      </c>
      <c r="E310" s="1">
        <f>IF('исходные данные'!E310&gt;'минимумы и максимумы'!C$4,100,('исходные данные'!E310-'минимумы и максимумы'!C$2)/('минимумы и максимумы'!C$4-'минимумы и максимумы'!C$2)*100)</f>
        <v>0</v>
      </c>
      <c r="F310" s="1">
        <f>IF('исходные данные'!F310&gt;'минимумы и максимумы'!D$4,100,('исходные данные'!F310-'минимумы и максимумы'!D$2)/('минимумы и максимумы'!D$4-'минимумы и максимумы'!D$2)*100)</f>
        <v>0</v>
      </c>
      <c r="G310" s="1">
        <f>IF('исходные данные'!G310&gt;'минимумы и максимумы'!E$4,100,('исходные данные'!G310-'минимумы и максимумы'!E$2)/('минимумы и максимумы'!E$4-'минимумы и максимумы'!E$2)*100)</f>
        <v>0</v>
      </c>
      <c r="H310" s="1">
        <f>IF('исходные данные'!H310&gt;'минимумы и максимумы'!F$4,100,('исходные данные'!H310-'минимумы и максимумы'!F$2)/('минимумы и максимумы'!F$4-'минимумы и максимумы'!F$2)*100)</f>
        <v>0</v>
      </c>
      <c r="I310" s="1">
        <f>IF('исходные данные'!I310&gt;'минимумы и максимумы'!G$4,100,('исходные данные'!I310-'минимумы и максимумы'!G$2)/('минимумы и максимумы'!G$4-'минимумы и максимумы'!G$2)*100)</f>
        <v>1.2048192771084338</v>
      </c>
      <c r="J310" s="1">
        <f>IF('исходные данные'!J310&gt;'минимумы и максимумы'!H$4,100,('исходные данные'!J310-'минимумы и максимумы'!H$2)/('минимумы и максимумы'!H$4-'минимумы и максимумы'!H$2)*100)</f>
        <v>0</v>
      </c>
      <c r="K310" s="1">
        <f>IF('исходные данные'!K310&gt;'минимумы и максимумы'!I$4,100,('исходные данные'!K310-'минимумы и максимумы'!I$2)/('минимумы и максимумы'!I$4-'минимумы и максимумы'!I$2)*100)</f>
        <v>0</v>
      </c>
      <c r="L310" s="1">
        <f>IF('исходные данные'!L310&gt;'минимумы и максимумы'!J$4,100,('исходные данные'!L310-'минимумы и максимумы'!J$2)/('минимумы и максимумы'!J$4-'минимумы и максимумы'!J$2)*100)</f>
        <v>0</v>
      </c>
      <c r="M310" s="1">
        <f>IF('исходные данные'!M310&gt;'минимумы и максимумы'!K$4,100,('исходные данные'!M310-'минимумы и максимумы'!K$2)/('минимумы и максимумы'!K$4-'минимумы и максимумы'!K$2)*100)</f>
        <v>17.021276595744681</v>
      </c>
      <c r="N310" s="1">
        <f>IF('исходные данные'!N310&gt;'минимумы и максимумы'!L$4,100,('исходные данные'!N310-'минимумы и максимумы'!L$2)/('минимумы и максимумы'!L$4-'минимумы и максимумы'!L$2)*100)</f>
        <v>22.235516112043122</v>
      </c>
      <c r="O310" s="1">
        <f>IF('исходные данные'!O310&gt;'минимумы и максимумы'!M$4,100,('исходные данные'!O310-'минимумы и максимумы'!M$2)/('минимумы и максимумы'!M$4-'минимумы и максимумы'!M$2)*100)</f>
        <v>100</v>
      </c>
      <c r="P310" s="1">
        <f>IF('исходные данные'!P310&gt;'минимумы и максимумы'!N$4,100,('исходные данные'!P310-'минимумы и максимумы'!N$2)/('минимумы и максимумы'!N$4-'минимумы и максимумы'!N$2)*100)</f>
        <v>0</v>
      </c>
      <c r="Q310" s="1">
        <f>IF('исходные данные'!Q310&gt;'минимумы и максимумы'!O$4,100,('исходные данные'!Q310-'минимумы и максимумы'!O$2)/('минимумы и максимумы'!O$4-'минимумы и максимумы'!O$2)*100)</f>
        <v>100</v>
      </c>
      <c r="R310" s="1">
        <f>IF('исходные данные'!R310&gt;'минимумы и максимумы'!P$4,100,('исходные данные'!R310-'минимумы и максимумы'!P$2)/('минимумы и максимумы'!P$4-'минимумы и максимумы'!P$2)*100)</f>
        <v>75</v>
      </c>
      <c r="S310" s="1">
        <f>IF('исходные данные'!S310&gt;'минимумы и максимумы'!Q$4,100,('исходные данные'!S310-'минимумы и максимумы'!Q$2)/('минимумы и максимумы'!Q$4-'минимумы и максимумы'!Q$2)*100)</f>
        <v>33.333333333333329</v>
      </c>
      <c r="T310" s="1">
        <f>IF('исходные данные'!T310&gt;'минимумы и максимумы'!R$4,100,('исходные данные'!T310-'минимумы и максимумы'!R$2)/('минимумы и максимумы'!R$4-'минимумы и максимумы'!R$2)*100)</f>
        <v>96.087456846950516</v>
      </c>
      <c r="U310" s="1">
        <f>IF('исходные данные'!U310&gt;'минимумы и максимумы'!S$4,100,('исходные данные'!U310-'минимумы и максимумы'!S$2)/('минимумы и максимумы'!S$4-'минимумы и максимумы'!S$2)*100)</f>
        <v>33.333333333333329</v>
      </c>
    </row>
    <row r="311" spans="1:21" x14ac:dyDescent="0.45">
      <c r="A311" s="4">
        <v>414</v>
      </c>
      <c r="B311" s="4">
        <v>0</v>
      </c>
      <c r="C311" s="4">
        <v>0</v>
      </c>
      <c r="D311" s="1">
        <f>IF('исходные данные'!D311&gt;'минимумы и максимумы'!B$4,100,('исходные данные'!D311-'минимумы и максимумы'!B$2)/('минимумы и максимумы'!B$4-'минимумы и максимумы'!B$2)*100)</f>
        <v>0</v>
      </c>
      <c r="E311" s="1">
        <f>IF('исходные данные'!E311&gt;'минимумы и максимумы'!C$4,100,('исходные данные'!E311-'минимумы и максимумы'!C$2)/('минимумы и максимумы'!C$4-'минимумы и максимумы'!C$2)*100)</f>
        <v>12.5</v>
      </c>
      <c r="F311" s="1">
        <f>IF('исходные данные'!F311&gt;'минимумы и максимумы'!D$4,100,('исходные данные'!F311-'минимумы и максимумы'!D$2)/('минимумы и максимумы'!D$4-'минимумы и максимумы'!D$2)*100)</f>
        <v>0</v>
      </c>
      <c r="G311" s="1">
        <f>IF('исходные данные'!G311&gt;'минимумы и максимумы'!E$4,100,('исходные данные'!G311-'минимумы и максимумы'!E$2)/('минимумы и максимумы'!E$4-'минимумы и максимумы'!E$2)*100)</f>
        <v>5.4054054054054053</v>
      </c>
      <c r="H311" s="1">
        <f>IF('исходные данные'!H311&gt;'минимумы и максимумы'!F$4,100,('исходные данные'!H311-'минимумы и максимумы'!F$2)/('минимумы и максимумы'!F$4-'минимумы и максимумы'!F$2)*100)</f>
        <v>13.157894736842104</v>
      </c>
      <c r="I311" s="1">
        <f>IF('исходные данные'!I311&gt;'минимумы и максимумы'!G$4,100,('исходные данные'!I311-'минимумы и максимумы'!G$2)/('минимумы и максимумы'!G$4-'минимумы и максимумы'!G$2)*100)</f>
        <v>6.024096385542169</v>
      </c>
      <c r="J311" s="1">
        <f>IF('исходные данные'!J311&gt;'минимумы и максимумы'!H$4,100,('исходные данные'!J311-'минимумы и максимумы'!H$2)/('минимумы и максимумы'!H$4-'минимумы и максимумы'!H$2)*100)</f>
        <v>8.3333333333333321</v>
      </c>
      <c r="K311" s="1">
        <f>IF('исходные данные'!K311&gt;'минимумы и максимумы'!I$4,100,('исходные данные'!K311-'минимумы и максимумы'!I$2)/('минимумы и максимумы'!I$4-'минимумы и максимумы'!I$2)*100)</f>
        <v>17.857142857142858</v>
      </c>
      <c r="L311" s="1">
        <f>IF('исходные данные'!L311&gt;'минимумы и максимумы'!J$4,100,('исходные данные'!L311-'минимумы и максимумы'!J$2)/('минимумы и максимумы'!J$4-'минимумы и максимумы'!J$2)*100)</f>
        <v>0</v>
      </c>
      <c r="M311" s="1">
        <f>IF('исходные данные'!M311&gt;'минимумы и максимумы'!K$4,100,('исходные данные'!M311-'минимумы и максимумы'!K$2)/('минимумы и максимумы'!K$4-'минимумы и максимумы'!K$2)*100)</f>
        <v>19.148936170212767</v>
      </c>
      <c r="N311" s="1">
        <f>IF('исходные данные'!N311&gt;'минимумы и максимумы'!L$4,100,('исходные данные'!N311-'минимумы и максимумы'!L$2)/('минимумы и максимумы'!L$4-'минимумы и максимумы'!L$2)*100)</f>
        <v>23.425800724816096</v>
      </c>
      <c r="O311" s="1">
        <f>IF('исходные данные'!O311&gt;'минимумы и максимумы'!M$4,100,('исходные данные'!O311-'минимумы и максимумы'!M$2)/('минимумы и максимумы'!M$4-'минимумы и максимумы'!M$2)*100)</f>
        <v>0</v>
      </c>
      <c r="P311" s="1">
        <f>IF('исходные данные'!P311&gt;'минимумы и максимумы'!N$4,100,('исходные данные'!P311-'минимумы и максимумы'!N$2)/('минимумы и максимумы'!N$4-'минимумы и максимумы'!N$2)*100)</f>
        <v>0</v>
      </c>
      <c r="Q311" s="1">
        <f>IF('исходные данные'!Q311&gt;'минимумы и максимумы'!O$4,100,('исходные данные'!Q311-'минимумы и максимумы'!O$2)/('минимумы и максимумы'!O$4-'минимумы и максимумы'!O$2)*100)</f>
        <v>100</v>
      </c>
      <c r="R311" s="1">
        <f>IF('исходные данные'!R311&gt;'минимумы и максимумы'!P$4,100,('исходные данные'!R311-'минимумы и максимумы'!P$2)/('минимумы и максимумы'!P$4-'минимумы и максимумы'!P$2)*100)</f>
        <v>75</v>
      </c>
      <c r="S311" s="1">
        <f>IF('исходные данные'!S311&gt;'минимумы и максимумы'!Q$4,100,('исходные данные'!S311-'минимумы и максимумы'!Q$2)/('минимумы и максимумы'!Q$4-'минимумы и максимумы'!Q$2)*100)</f>
        <v>55.555555555555557</v>
      </c>
      <c r="T311" s="1">
        <f>IF('исходные данные'!T311&gt;'минимумы и максимумы'!R$4,100,('исходные данные'!T311-'минимумы и максимумы'!R$2)/('минимумы и максимумы'!R$4-'минимумы и максимумы'!R$2)*100)</f>
        <v>36.133486766398157</v>
      </c>
      <c r="U311" s="1">
        <f>IF('исходные данные'!U311&gt;'минимумы и максимумы'!S$4,100,('исходные данные'!U311-'минимумы и максимумы'!S$2)/('минимумы и максимумы'!S$4-'минимумы и максимумы'!S$2)*100)</f>
        <v>100</v>
      </c>
    </row>
    <row r="312" spans="1:21" x14ac:dyDescent="0.45">
      <c r="A312" s="4">
        <v>415</v>
      </c>
      <c r="B312" s="4">
        <v>0</v>
      </c>
      <c r="C312" s="4">
        <v>1</v>
      </c>
      <c r="D312" s="1">
        <f>IF('исходные данные'!D312&gt;'минимумы и максимумы'!B$4,100,('исходные данные'!D312-'минимумы и максимумы'!B$2)/('минимумы и максимумы'!B$4-'минимумы и максимумы'!B$2)*100)</f>
        <v>0</v>
      </c>
      <c r="E312" s="1">
        <f>IF('исходные данные'!E312&gt;'минимумы и максимумы'!C$4,100,('исходные данные'!E312-'минимумы и максимумы'!C$2)/('минимумы и максимумы'!C$4-'минимумы и максимумы'!C$2)*100)</f>
        <v>12.5</v>
      </c>
      <c r="F312" s="1">
        <f>IF('исходные данные'!F312&gt;'минимумы и максимумы'!D$4,100,('исходные данные'!F312-'минимумы и максимумы'!D$2)/('минимумы и максимумы'!D$4-'минимумы и максимумы'!D$2)*100)</f>
        <v>0</v>
      </c>
      <c r="G312" s="1">
        <f>IF('исходные данные'!G312&gt;'минимумы и максимумы'!E$4,100,('исходные данные'!G312-'минимумы и максимумы'!E$2)/('минимумы и максимумы'!E$4-'минимумы и максимумы'!E$2)*100)</f>
        <v>5.4054054054054053</v>
      </c>
      <c r="H312" s="1">
        <f>IF('исходные данные'!H312&gt;'минимумы и максимумы'!F$4,100,('исходные данные'!H312-'минимумы и максимумы'!F$2)/('минимумы и максимумы'!F$4-'минимумы и максимумы'!F$2)*100)</f>
        <v>10.526315789473683</v>
      </c>
      <c r="I312" s="1">
        <f>IF('исходные данные'!I312&gt;'минимумы и максимумы'!G$4,100,('исходные данные'!I312-'минимумы и максимумы'!G$2)/('минимумы и максимумы'!G$4-'минимумы и максимумы'!G$2)*100)</f>
        <v>6.024096385542169</v>
      </c>
      <c r="J312" s="1">
        <f>IF('исходные данные'!J312&gt;'минимумы и максимумы'!H$4,100,('исходные данные'!J312-'минимумы и максимумы'!H$2)/('минимумы и максимумы'!H$4-'минимумы и максимумы'!H$2)*100)</f>
        <v>4.1666666666666661</v>
      </c>
      <c r="K312" s="1">
        <f>IF('исходные данные'!K312&gt;'минимумы и максимумы'!I$4,100,('исходные данные'!K312-'минимумы и максимумы'!I$2)/('минимумы и максимумы'!I$4-'минимумы и максимумы'!I$2)*100)</f>
        <v>17.857142857142858</v>
      </c>
      <c r="L312" s="1">
        <f>IF('исходные данные'!L312&gt;'минимумы и максимумы'!J$4,100,('исходные данные'!L312-'минимумы и максимумы'!J$2)/('минимумы и максимумы'!J$4-'минимумы и максимумы'!J$2)*100)</f>
        <v>0</v>
      </c>
      <c r="M312" s="1">
        <f>IF('исходные данные'!M312&gt;'минимумы и максимумы'!K$4,100,('исходные данные'!M312-'минимумы и максимумы'!K$2)/('минимумы и максимумы'!K$4-'минимумы и максимумы'!K$2)*100)</f>
        <v>19.148936170212767</v>
      </c>
      <c r="N312" s="1">
        <f>IF('исходные данные'!N312&gt;'минимумы и максимумы'!L$4,100,('исходные данные'!N312-'минимумы и максимумы'!L$2)/('минимумы и максимумы'!L$4-'минимумы и максимумы'!L$2)*100)</f>
        <v>23.618581409007277</v>
      </c>
      <c r="O312" s="1">
        <f>IF('исходные данные'!O312&gt;'минимумы и максимумы'!M$4,100,('исходные данные'!O312-'минимумы и максимумы'!M$2)/('минимумы и максимумы'!M$4-'минимумы и максимумы'!M$2)*100)</f>
        <v>0</v>
      </c>
      <c r="P312" s="1">
        <f>IF('исходные данные'!P312&gt;'минимумы и максимумы'!N$4,100,('исходные данные'!P312-'минимумы и максимумы'!N$2)/('минимумы и максимумы'!N$4-'минимумы и максимумы'!N$2)*100)</f>
        <v>0</v>
      </c>
      <c r="Q312" s="1">
        <f>IF('исходные данные'!Q312&gt;'минимумы и максимумы'!O$4,100,('исходные данные'!Q312-'минимумы и максимумы'!O$2)/('минимумы и максимумы'!O$4-'минимумы и максимумы'!O$2)*100)</f>
        <v>100</v>
      </c>
      <c r="R312" s="1">
        <f>IF('исходные данные'!R312&gt;'минимумы и максимумы'!P$4,100,('исходные данные'!R312-'минимумы и максимумы'!P$2)/('минимумы и максимумы'!P$4-'минимумы и максимумы'!P$2)*100)</f>
        <v>25</v>
      </c>
      <c r="S312" s="1">
        <f>IF('исходные данные'!S312&gt;'минимумы и максимумы'!Q$4,100,('исходные данные'!S312-'минимумы и максимумы'!Q$2)/('минимумы и максимумы'!Q$4-'минимумы и максимумы'!Q$2)*100)</f>
        <v>44.444444444444443</v>
      </c>
      <c r="T312" s="1">
        <f>IF('исходные данные'!T312&gt;'минимумы и максимумы'!R$4,100,('исходные данные'!T312-'минимумы и максимумы'!R$2)/('минимумы и максимумы'!R$4-'минимумы и максимумы'!R$2)*100)</f>
        <v>42.951668584579977</v>
      </c>
      <c r="U312" s="1">
        <f>IF('исходные данные'!U312&gt;'минимумы и максимумы'!S$4,100,('исходные данные'!U312-'минимумы и максимумы'!S$2)/('минимумы и максимумы'!S$4-'минимумы и максимумы'!S$2)*100)</f>
        <v>66.666666666666657</v>
      </c>
    </row>
    <row r="313" spans="1:21" x14ac:dyDescent="0.45">
      <c r="A313" s="4">
        <v>416</v>
      </c>
      <c r="B313" s="4">
        <v>0</v>
      </c>
      <c r="C313" s="4">
        <v>0</v>
      </c>
      <c r="D313" s="1">
        <f>IF('исходные данные'!D313&gt;'минимумы и максимумы'!B$4,100,('исходные данные'!D313-'минимумы и максимумы'!B$2)/('минимумы и максимумы'!B$4-'минимумы и максимумы'!B$2)*100)</f>
        <v>12.5</v>
      </c>
      <c r="E313" s="1">
        <f>IF('исходные данные'!E313&gt;'минимумы и максимумы'!C$4,100,('исходные данные'!E313-'минимумы и максимумы'!C$2)/('минимумы и максимумы'!C$4-'минимумы и максимумы'!C$2)*100)</f>
        <v>18.75</v>
      </c>
      <c r="F313" s="1">
        <f>IF('исходные данные'!F313&gt;'минимумы и максимумы'!D$4,100,('исходные данные'!F313-'минимумы и максимумы'!D$2)/('минимумы и максимумы'!D$4-'минимумы и максимумы'!D$2)*100)</f>
        <v>0</v>
      </c>
      <c r="G313" s="1">
        <f>IF('исходные данные'!G313&gt;'минимумы и максимумы'!E$4,100,('исходные данные'!G313-'минимумы и максимумы'!E$2)/('минимумы и максимумы'!E$4-'минимумы и максимумы'!E$2)*100)</f>
        <v>13.513513513513514</v>
      </c>
      <c r="H313" s="1">
        <f>IF('исходные данные'!H313&gt;'минимумы и максимумы'!F$4,100,('исходные данные'!H313-'минимумы и максимумы'!F$2)/('минимумы и максимумы'!F$4-'минимумы и максимумы'!F$2)*100)</f>
        <v>21.052631578947366</v>
      </c>
      <c r="I313" s="1">
        <f>IF('исходные данные'!I313&gt;'минимумы и максимумы'!G$4,100,('исходные данные'!I313-'минимумы и максимумы'!G$2)/('минимумы и максимумы'!G$4-'минимумы и максимумы'!G$2)*100)</f>
        <v>10.843373493975903</v>
      </c>
      <c r="J313" s="1">
        <f>IF('исходные данные'!J313&gt;'минимумы и максимумы'!H$4,100,('исходные данные'!J313-'минимумы и максимумы'!H$2)/('минимумы и максимумы'!H$4-'минимумы и максимумы'!H$2)*100)</f>
        <v>12.5</v>
      </c>
      <c r="K313" s="1">
        <f>IF('исходные данные'!K313&gt;'минимумы и максимумы'!I$4,100,('исходные данные'!K313-'минимумы и максимумы'!I$2)/('минимумы и максимумы'!I$4-'минимумы и максимумы'!I$2)*100)</f>
        <v>25</v>
      </c>
      <c r="L313" s="1">
        <f>IF('исходные данные'!L313&gt;'минимумы и максимумы'!J$4,100,('исходные данные'!L313-'минимумы и максимумы'!J$2)/('минимумы и максимумы'!J$4-'минимумы и максимумы'!J$2)*100)</f>
        <v>0</v>
      </c>
      <c r="M313" s="1">
        <f>IF('исходные данные'!M313&gt;'минимумы и максимумы'!K$4,100,('исходные данные'!M313-'минимумы и максимумы'!K$2)/('минимумы и максимумы'!K$4-'минимумы и максимумы'!K$2)*100)</f>
        <v>23.404255319148938</v>
      </c>
      <c r="N313" s="1">
        <f>IF('исходные данные'!N313&gt;'минимумы и максимумы'!L$4,100,('исходные данные'!N313-'минимумы и максимумы'!L$2)/('минимумы и максимумы'!L$4-'минимумы и максимумы'!L$2)*100)</f>
        <v>24.291027944511796</v>
      </c>
      <c r="O313" s="1">
        <f>IF('исходные данные'!O313&gt;'минимумы и максимумы'!M$4,100,('исходные данные'!O313-'минимумы и максимумы'!M$2)/('минимумы и максимумы'!M$4-'минимумы и максимумы'!M$2)*100)</f>
        <v>100</v>
      </c>
      <c r="P313" s="1">
        <f>IF('исходные данные'!P313&gt;'минимумы и максимумы'!N$4,100,('исходные данные'!P313-'минимумы и максимумы'!N$2)/('минимумы и максимумы'!N$4-'минимумы и максимумы'!N$2)*100)</f>
        <v>0</v>
      </c>
      <c r="Q313" s="1">
        <f>IF('исходные данные'!Q313&gt;'минимумы и максимумы'!O$4,100,('исходные данные'!Q313-'минимумы и максимумы'!O$2)/('минимумы и максимумы'!O$4-'минимумы и максимумы'!O$2)*100)</f>
        <v>100</v>
      </c>
      <c r="R313" s="1">
        <f>IF('исходные данные'!R313&gt;'минимумы и максимумы'!P$4,100,('исходные данные'!R313-'минимумы и максимумы'!P$2)/('минимумы и максимумы'!P$4-'минимумы и максимумы'!P$2)*100)</f>
        <v>75</v>
      </c>
      <c r="S313" s="1">
        <f>IF('исходные данные'!S313&gt;'минимумы и максимумы'!Q$4,100,('исходные данные'!S313-'минимумы и максимумы'!Q$2)/('минимумы и максимумы'!Q$4-'минимумы и максимумы'!Q$2)*100)</f>
        <v>22.222222222222221</v>
      </c>
      <c r="T313" s="1">
        <f>IF('исходные данные'!T313&gt;'минимумы и максимумы'!R$4,100,('исходные данные'!T313-'минимумы и максимумы'!R$2)/('минимумы и максимумы'!R$4-'минимумы и максимумы'!R$2)*100)</f>
        <v>5.4372842347525898</v>
      </c>
      <c r="U313" s="1">
        <f>IF('исходные данные'!U313&gt;'минимумы и максимумы'!S$4,100,('исходные данные'!U313-'минимумы и максимумы'!S$2)/('минимумы и максимумы'!S$4-'минимумы и максимумы'!S$2)*100)</f>
        <v>0</v>
      </c>
    </row>
    <row r="314" spans="1:21" x14ac:dyDescent="0.45">
      <c r="A314" s="4">
        <v>417</v>
      </c>
      <c r="B314" s="4">
        <v>0</v>
      </c>
      <c r="C314" s="4">
        <v>0</v>
      </c>
      <c r="D314" s="1">
        <f>IF('исходные данные'!D314&gt;'минимумы и максимумы'!B$4,100,('исходные данные'!D314-'минимумы и максимумы'!B$2)/('минимумы и максимумы'!B$4-'минимумы и максимумы'!B$2)*100)</f>
        <v>12.5</v>
      </c>
      <c r="E314" s="1">
        <f>IF('исходные данные'!E314&gt;'минимумы и максимумы'!C$4,100,('исходные данные'!E314-'минимумы и максимумы'!C$2)/('минимумы и максимумы'!C$4-'минимумы и максимумы'!C$2)*100)</f>
        <v>18.75</v>
      </c>
      <c r="F314" s="1">
        <f>IF('исходные данные'!F314&gt;'минимумы и максимумы'!D$4,100,('исходные данные'!F314-'минимумы и максимумы'!D$2)/('минимумы и максимумы'!D$4-'минимумы и максимумы'!D$2)*100)</f>
        <v>0</v>
      </c>
      <c r="G314" s="1">
        <f>IF('исходные данные'!G314&gt;'минимумы и максимумы'!E$4,100,('исходные данные'!G314-'минимумы и максимумы'!E$2)/('минимумы и максимумы'!E$4-'минимумы и максимумы'!E$2)*100)</f>
        <v>13.513513513513514</v>
      </c>
      <c r="H314" s="1">
        <f>IF('исходные данные'!H314&gt;'минимумы и максимумы'!F$4,100,('исходные данные'!H314-'минимумы и максимумы'!F$2)/('минимумы и максимумы'!F$4-'минимумы и максимумы'!F$2)*100)</f>
        <v>21.052631578947366</v>
      </c>
      <c r="I314" s="1">
        <f>IF('исходные данные'!I314&gt;'минимумы и максимумы'!G$4,100,('исходные данные'!I314-'минимумы и максимумы'!G$2)/('минимумы и максимумы'!G$4-'минимумы и максимумы'!G$2)*100)</f>
        <v>10.843373493975903</v>
      </c>
      <c r="J314" s="1">
        <f>IF('исходные данные'!J314&gt;'минимумы и максимумы'!H$4,100,('исходные данные'!J314-'минимумы и максимумы'!H$2)/('минимумы и максимумы'!H$4-'минимумы и максимумы'!H$2)*100)</f>
        <v>12.5</v>
      </c>
      <c r="K314" s="1">
        <f>IF('исходные данные'!K314&gt;'минимумы и максимумы'!I$4,100,('исходные данные'!K314-'минимумы и максимумы'!I$2)/('минимумы и максимумы'!I$4-'минимумы и максимумы'!I$2)*100)</f>
        <v>25</v>
      </c>
      <c r="L314" s="1">
        <f>IF('исходные данные'!L314&gt;'минимумы и максимумы'!J$4,100,('исходные данные'!L314-'минимумы и максимумы'!J$2)/('минимумы и максимумы'!J$4-'минимумы и максимумы'!J$2)*100)</f>
        <v>0</v>
      </c>
      <c r="M314" s="1">
        <f>IF('исходные данные'!M314&gt;'минимумы и максимумы'!K$4,100,('исходные данные'!M314-'минимумы и максимумы'!K$2)/('минимумы и максимумы'!K$4-'минимумы и максимумы'!K$2)*100)</f>
        <v>23.404255319148938</v>
      </c>
      <c r="N314" s="1">
        <f>IF('исходные данные'!N314&gt;'минимумы и максимумы'!L$4,100,('исходные данные'!N314-'минимумы и максимумы'!L$2)/('минимумы и максимумы'!L$4-'минимумы и максимумы'!L$2)*100)</f>
        <v>24.291027944511796</v>
      </c>
      <c r="O314" s="1">
        <f>IF('исходные данные'!O314&gt;'минимумы и максимумы'!M$4,100,('исходные данные'!O314-'минимумы и максимумы'!M$2)/('минимумы и максимумы'!M$4-'минимумы и максимумы'!M$2)*100)</f>
        <v>100</v>
      </c>
      <c r="P314" s="1">
        <f>IF('исходные данные'!P314&gt;'минимумы и максимумы'!N$4,100,('исходные данные'!P314-'минимумы и максимумы'!N$2)/('минимумы и максимумы'!N$4-'минимумы и максимумы'!N$2)*100)</f>
        <v>0</v>
      </c>
      <c r="Q314" s="1">
        <f>IF('исходные данные'!Q314&gt;'минимумы и максимумы'!O$4,100,('исходные данные'!Q314-'минимумы и максимумы'!O$2)/('минимумы и максимумы'!O$4-'минимумы и максимумы'!O$2)*100)</f>
        <v>100</v>
      </c>
      <c r="R314" s="1">
        <f>IF('исходные данные'!R314&gt;'минимумы и максимумы'!P$4,100,('исходные данные'!R314-'минимумы и максимумы'!P$2)/('минимумы и максимумы'!P$4-'минимумы и максимумы'!P$2)*100)</f>
        <v>75</v>
      </c>
      <c r="S314" s="1">
        <f>IF('исходные данные'!S314&gt;'минимумы и максимумы'!Q$4,100,('исходные данные'!S314-'минимумы и максимумы'!Q$2)/('минимумы и максимумы'!Q$4-'минимумы и максимумы'!Q$2)*100)</f>
        <v>33.333333333333329</v>
      </c>
      <c r="T314" s="1">
        <f>IF('исходные данные'!T314&gt;'минимумы и максимумы'!R$4,100,('исходные данные'!T314-'минимумы и максимумы'!R$2)/('минимумы и максимумы'!R$4-'минимумы и максимумы'!R$2)*100)</f>
        <v>6.4729574223245114</v>
      </c>
      <c r="U314" s="1">
        <f>IF('исходные данные'!U314&gt;'минимумы и максимумы'!S$4,100,('исходные данные'!U314-'минимумы и максимумы'!S$2)/('минимумы и максимумы'!S$4-'минимумы и максимумы'!S$2)*100)</f>
        <v>0</v>
      </c>
    </row>
    <row r="315" spans="1:21" x14ac:dyDescent="0.45">
      <c r="A315" s="4">
        <v>418</v>
      </c>
      <c r="B315" s="4">
        <v>0</v>
      </c>
      <c r="C315" s="4">
        <v>0</v>
      </c>
      <c r="D315" s="1">
        <f>IF('исходные данные'!D315&gt;'минимумы и максимумы'!B$4,100,('исходные данные'!D315-'минимумы и максимумы'!B$2)/('минимумы и максимумы'!B$4-'минимумы и максимумы'!B$2)*100)</f>
        <v>0</v>
      </c>
      <c r="E315" s="1">
        <f>IF('исходные данные'!E315&gt;'минимумы и максимумы'!C$4,100,('исходные данные'!E315-'минимумы и максимумы'!C$2)/('минимумы и максимумы'!C$4-'минимумы и максимумы'!C$2)*100)</f>
        <v>0</v>
      </c>
      <c r="F315" s="1">
        <f>IF('исходные данные'!F315&gt;'минимумы и максимумы'!D$4,100,('исходные данные'!F315-'минимумы и максимумы'!D$2)/('минимумы и максимумы'!D$4-'минимумы и максимумы'!D$2)*100)</f>
        <v>0</v>
      </c>
      <c r="G315" s="1">
        <f>IF('исходные данные'!G315&gt;'минимумы и максимумы'!E$4,100,('исходные данные'!G315-'минимумы и максимумы'!E$2)/('минимумы и максимумы'!E$4-'минимумы и максимумы'!E$2)*100)</f>
        <v>5.4054054054054053</v>
      </c>
      <c r="H315" s="1">
        <f>IF('исходные данные'!H315&gt;'минимумы и максимумы'!F$4,100,('исходные данные'!H315-'минимумы и максимумы'!F$2)/('минимумы и максимумы'!F$4-'минимумы и максимумы'!F$2)*100)</f>
        <v>0</v>
      </c>
      <c r="I315" s="1">
        <f>IF('исходные данные'!I315&gt;'минимумы и максимумы'!G$4,100,('исходные данные'!I315-'минимумы и максимумы'!G$2)/('минимумы и максимумы'!G$4-'минимумы и максимумы'!G$2)*100)</f>
        <v>6.024096385542169</v>
      </c>
      <c r="J315" s="1">
        <f>IF('исходные данные'!J315&gt;'минимумы и максимумы'!H$4,100,('исходные данные'!J315-'минимумы и максимумы'!H$2)/('минимумы и максимумы'!H$4-'минимумы и максимумы'!H$2)*100)</f>
        <v>4.1666666666666661</v>
      </c>
      <c r="K315" s="1">
        <f>IF('исходные данные'!K315&gt;'минимумы и максимумы'!I$4,100,('исходные данные'!K315-'минимумы и максимумы'!I$2)/('минимумы и максимумы'!I$4-'минимумы и максимумы'!I$2)*100)</f>
        <v>17.857142857142858</v>
      </c>
      <c r="L315" s="1">
        <f>IF('исходные данные'!L315&gt;'минимумы и максимумы'!J$4,100,('исходные данные'!L315-'минимумы и максимумы'!J$2)/('минимумы и максимумы'!J$4-'минимумы и максимумы'!J$2)*100)</f>
        <v>0</v>
      </c>
      <c r="M315" s="1">
        <f>IF('исходные данные'!M315&gt;'минимумы и максимумы'!K$4,100,('исходные данные'!M315-'минимумы и максимумы'!K$2)/('минимумы и максимумы'!K$4-'минимумы и максимумы'!K$2)*100)</f>
        <v>21.276595744680851</v>
      </c>
      <c r="N315" s="1">
        <f>IF('исходные данные'!N315&gt;'минимумы и максимумы'!L$4,100,('исходные данные'!N315-'минимумы и максимумы'!L$2)/('минимумы и максимумы'!L$4-'минимумы и максимумы'!L$2)*100)</f>
        <v>28.265429429173189</v>
      </c>
      <c r="O315" s="1">
        <f>IF('исходные данные'!O315&gt;'минимумы и максимумы'!M$4,100,('исходные данные'!O315-'минимумы и максимумы'!M$2)/('минимумы и максимумы'!M$4-'минимумы и максимумы'!M$2)*100)</f>
        <v>100</v>
      </c>
      <c r="P315" s="1">
        <f>IF('исходные данные'!P315&gt;'минимумы и максимумы'!N$4,100,('исходные данные'!P315-'минимумы и максимумы'!N$2)/('минимумы и максимумы'!N$4-'минимумы и максимумы'!N$2)*100)</f>
        <v>0</v>
      </c>
      <c r="Q315" s="1">
        <f>IF('исходные данные'!Q315&gt;'минимумы и максимумы'!O$4,100,('исходные данные'!Q315-'минимумы и максимумы'!O$2)/('минимумы и максимумы'!O$4-'минимумы и максимумы'!O$2)*100)</f>
        <v>0</v>
      </c>
      <c r="R315" s="1">
        <f>IF('исходные данные'!R315&gt;'минимумы и максимумы'!P$4,100,('исходные данные'!R315-'минимумы и максимумы'!P$2)/('минимумы и максимумы'!P$4-'минимумы и максимумы'!P$2)*100)</f>
        <v>50</v>
      </c>
      <c r="S315" s="1">
        <f>IF('исходные данные'!S315&gt;'минимумы и максимумы'!Q$4,100,('исходные данные'!S315-'минимумы и максимумы'!Q$2)/('минимумы и максимумы'!Q$4-'минимумы и максимумы'!Q$2)*100)</f>
        <v>11.111111111111111</v>
      </c>
      <c r="T315" s="1">
        <f>IF('исходные данные'!T315&gt;'минимумы и максимумы'!R$4,100,('исходные данные'!T315-'минимумы и максимумы'!R$2)/('минимумы и максимумы'!R$4-'минимумы и максимумы'!R$2)*100)</f>
        <v>1.4959723820483315</v>
      </c>
      <c r="U315" s="1">
        <f>IF('исходные данные'!U315&gt;'минимумы и максимумы'!S$4,100,('исходные данные'!U315-'минимумы и максимумы'!S$2)/('минимумы и максимумы'!S$4-'минимумы и максимумы'!S$2)*100)</f>
        <v>33.333333333333329</v>
      </c>
    </row>
    <row r="316" spans="1:21" x14ac:dyDescent="0.45">
      <c r="A316" s="4">
        <v>421</v>
      </c>
      <c r="B316" s="4">
        <v>0</v>
      </c>
      <c r="C316" s="4">
        <v>0</v>
      </c>
      <c r="D316" s="1">
        <f>IF('исходные данные'!D316&gt;'минимумы и максимумы'!B$4,100,('исходные данные'!D316-'минимумы и максимумы'!B$2)/('минимумы и максимумы'!B$4-'минимумы и максимумы'!B$2)*100)</f>
        <v>0</v>
      </c>
      <c r="E316" s="1">
        <f>IF('исходные данные'!E316&gt;'минимумы и максимумы'!C$4,100,('исходные данные'!E316-'минимумы и максимумы'!C$2)/('минимумы и максимумы'!C$4-'минимумы и максимумы'!C$2)*100)</f>
        <v>0</v>
      </c>
      <c r="F316" s="1">
        <f>IF('исходные данные'!F316&gt;'минимумы и максимумы'!D$4,100,('исходные данные'!F316-'минимумы и максимумы'!D$2)/('минимумы и максимумы'!D$4-'минимумы и максимумы'!D$2)*100)</f>
        <v>0</v>
      </c>
      <c r="G316" s="1">
        <f>IF('исходные данные'!G316&gt;'минимумы и максимумы'!E$4,100,('исходные данные'!G316-'минимумы и максимумы'!E$2)/('минимумы и максимумы'!E$4-'минимумы и максимумы'!E$2)*100)</f>
        <v>0</v>
      </c>
      <c r="H316" s="1">
        <f>IF('исходные данные'!H316&gt;'минимумы и максимумы'!F$4,100,('исходные данные'!H316-'минимумы и максимумы'!F$2)/('минимумы и максимумы'!F$4-'минимумы и максимумы'!F$2)*100)</f>
        <v>0</v>
      </c>
      <c r="I316" s="1">
        <f>IF('исходные данные'!I316&gt;'минимумы и максимумы'!G$4,100,('исходные данные'!I316-'минимумы и максимумы'!G$2)/('минимумы и максимумы'!G$4-'минимумы и максимумы'!G$2)*100)</f>
        <v>2.4096385542168677</v>
      </c>
      <c r="J316" s="1">
        <f>IF('исходные данные'!J316&gt;'минимумы и максимумы'!H$4,100,('исходные данные'!J316-'минимумы и максимумы'!H$2)/('минимумы и максимумы'!H$4-'минимумы и максимумы'!H$2)*100)</f>
        <v>4.1666666666666661</v>
      </c>
      <c r="K316" s="1">
        <f>IF('исходные данные'!K316&gt;'минимумы и максимумы'!I$4,100,('исходные данные'!K316-'минимумы и максимумы'!I$2)/('минимумы и максимумы'!I$4-'минимумы и максимумы'!I$2)*100)</f>
        <v>14.285714285714285</v>
      </c>
      <c r="L316" s="1">
        <f>IF('исходные данные'!L316&gt;'минимумы и максимумы'!J$4,100,('исходные данные'!L316-'минимумы и максимумы'!J$2)/('минимумы и максимумы'!J$4-'минимумы и максимумы'!J$2)*100)</f>
        <v>0</v>
      </c>
      <c r="M316" s="1">
        <f>IF('исходные данные'!M316&gt;'минимумы и максимумы'!K$4,100,('исходные данные'!M316-'минимумы и максимумы'!K$2)/('минимумы и максимумы'!K$4-'минимумы и максимумы'!K$2)*100)</f>
        <v>0</v>
      </c>
      <c r="N316" s="1">
        <f>IF('исходные данные'!N316&gt;'минимумы и максимумы'!L$4,100,('исходные данные'!N316-'минимумы и максимумы'!L$2)/('минимумы и максимумы'!L$4-'минимумы и максимумы'!L$2)*100)</f>
        <v>23.707778038065928</v>
      </c>
      <c r="O316" s="1">
        <f>IF('исходные данные'!O316&gt;'минимумы и максимумы'!M$4,100,('исходные данные'!O316-'минимумы и максимумы'!M$2)/('минимумы и максимумы'!M$4-'минимумы и максимумы'!M$2)*100)</f>
        <v>66.666666666666657</v>
      </c>
      <c r="P316" s="1">
        <f>IF('исходные данные'!P316&gt;'минимумы и максимумы'!N$4,100,('исходные данные'!P316-'минимумы и максимумы'!N$2)/('минимумы и максимумы'!N$4-'минимумы и максимумы'!N$2)*100)</f>
        <v>0</v>
      </c>
      <c r="Q316" s="1">
        <f>IF('исходные данные'!Q316&gt;'минимумы и максимумы'!O$4,100,('исходные данные'!Q316-'минимумы и максимумы'!O$2)/('минимумы и максимумы'!O$4-'минимумы и максимумы'!O$2)*100)</f>
        <v>100</v>
      </c>
      <c r="R316" s="1">
        <f>IF('исходные данные'!R316&gt;'минимумы и максимумы'!P$4,100,('исходные данные'!R316-'минимумы и максимумы'!P$2)/('минимумы и максимумы'!P$4-'минимумы и максимумы'!P$2)*100)</f>
        <v>25</v>
      </c>
      <c r="S316" s="1">
        <f>IF('исходные данные'!S316&gt;'минимумы и максимумы'!Q$4,100,('исходные данные'!S316-'минимумы и максимумы'!Q$2)/('минимумы и максимумы'!Q$4-'минимумы и максимумы'!Q$2)*100)</f>
        <v>22.222222222222221</v>
      </c>
      <c r="T316" s="1">
        <f>IF('исходные данные'!T316&gt;'минимумы и максимумы'!R$4,100,('исходные данные'!T316-'минимумы и максимумы'!R$2)/('минимумы и максимумы'!R$4-'минимумы и максимумы'!R$2)*100)</f>
        <v>1.9275028768699656</v>
      </c>
      <c r="U316" s="1">
        <f>IF('исходные данные'!U316&gt;'минимумы и максимумы'!S$4,100,('исходные данные'!U316-'минимумы и максимумы'!S$2)/('минимумы и максимумы'!S$4-'минимумы и максимумы'!S$2)*100)</f>
        <v>0</v>
      </c>
    </row>
    <row r="317" spans="1:21" x14ac:dyDescent="0.45">
      <c r="A317" s="4">
        <v>422</v>
      </c>
      <c r="B317" s="4">
        <v>0</v>
      </c>
      <c r="C317" s="4">
        <v>0</v>
      </c>
      <c r="D317" s="1">
        <f>IF('исходные данные'!D317&gt;'минимумы и максимумы'!B$4,100,('исходные данные'!D317-'минимумы и максимумы'!B$2)/('минимумы и максимумы'!B$4-'минимумы и максимумы'!B$2)*100)</f>
        <v>0</v>
      </c>
      <c r="E317" s="1">
        <f>IF('исходные данные'!E317&gt;'минимумы и максимумы'!C$4,100,('исходные данные'!E317-'минимумы и максимумы'!C$2)/('минимумы и максимумы'!C$4-'минимумы и максимумы'!C$2)*100)</f>
        <v>18.75</v>
      </c>
      <c r="F317" s="1">
        <f>IF('исходные данные'!F317&gt;'минимумы и максимумы'!D$4,100,('исходные данные'!F317-'минимумы и максимумы'!D$2)/('минимумы и максимумы'!D$4-'минимумы и максимумы'!D$2)*100)</f>
        <v>25</v>
      </c>
      <c r="G317" s="1">
        <f>IF('исходные данные'!G317&gt;'минимумы и максимумы'!E$4,100,('исходные данные'!G317-'минимумы и максимумы'!E$2)/('минимумы и максимумы'!E$4-'минимумы и максимумы'!E$2)*100)</f>
        <v>18.918918918918919</v>
      </c>
      <c r="H317" s="1">
        <f>IF('исходные данные'!H317&gt;'минимумы и максимумы'!F$4,100,('исходные данные'!H317-'минимумы и максимумы'!F$2)/('минимумы и максимумы'!F$4-'минимумы и максимумы'!F$2)*100)</f>
        <v>15.789473684210526</v>
      </c>
      <c r="I317" s="1">
        <f>IF('исходные данные'!I317&gt;'минимумы и максимумы'!G$4,100,('исходные данные'!I317-'минимумы и максимумы'!G$2)/('минимумы и максимумы'!G$4-'минимумы и максимумы'!G$2)*100)</f>
        <v>1.2048192771084338</v>
      </c>
      <c r="J317" s="1">
        <f>IF('исходные данные'!J317&gt;'минимумы и максимумы'!H$4,100,('исходные данные'!J317-'минимумы и максимумы'!H$2)/('минимумы и максимумы'!H$4-'минимумы и максимумы'!H$2)*100)</f>
        <v>0</v>
      </c>
      <c r="K317" s="1">
        <f>IF('исходные данные'!K317&gt;'минимумы и максимумы'!I$4,100,('исходные данные'!K317-'минимумы и максимумы'!I$2)/('минимумы и максимумы'!I$4-'минимумы и максимумы'!I$2)*100)</f>
        <v>7.1428571428571423</v>
      </c>
      <c r="L317" s="1">
        <f>IF('исходные данные'!L317&gt;'минимумы и максимумы'!J$4,100,('исходные данные'!L317-'минимумы и максимумы'!J$2)/('минимумы и максимумы'!J$4-'минимумы и максимумы'!J$2)*100)</f>
        <v>0</v>
      </c>
      <c r="M317" s="1">
        <f>IF('исходные данные'!M317&gt;'минимумы и максимумы'!K$4,100,('исходные данные'!M317-'минимумы и максимумы'!K$2)/('минимумы и максимумы'!K$4-'минимумы и максимумы'!K$2)*100)</f>
        <v>8.5106382978723403</v>
      </c>
      <c r="N317" s="1">
        <f>IF('исходные данные'!N317&gt;'минимумы и максимумы'!L$4,100,('исходные данные'!N317-'минимумы и максимумы'!L$2)/('минимумы и максимумы'!L$4-'минимумы и максимумы'!L$2)*100)</f>
        <v>27.652109547485988</v>
      </c>
      <c r="O317" s="1">
        <f>IF('исходные данные'!O317&gt;'минимумы и максимумы'!M$4,100,('исходные данные'!O317-'минимумы и максимумы'!M$2)/('минимумы и максимумы'!M$4-'минимумы и максимумы'!M$2)*100)</f>
        <v>0</v>
      </c>
      <c r="P317" s="1">
        <f>IF('исходные данные'!P317&gt;'минимумы и максимумы'!N$4,100,('исходные данные'!P317-'минимумы и максимумы'!N$2)/('минимумы и максимумы'!N$4-'минимумы и максимумы'!N$2)*100)</f>
        <v>0</v>
      </c>
      <c r="Q317" s="1">
        <f>IF('исходные данные'!Q317&gt;'минимумы и максимумы'!O$4,100,('исходные данные'!Q317-'минимумы и максимумы'!O$2)/('минимумы и максимумы'!O$4-'минимумы и максимумы'!O$2)*100)</f>
        <v>0</v>
      </c>
      <c r="R317" s="1">
        <f>IF('исходные данные'!R317&gt;'минимумы и максимумы'!P$4,100,('исходные данные'!R317-'минимумы и максимумы'!P$2)/('минимумы и максимумы'!P$4-'минимумы и максимумы'!P$2)*100)</f>
        <v>25</v>
      </c>
      <c r="S317" s="1">
        <f>IF('исходные данные'!S317&gt;'минимумы и максимумы'!Q$4,100,('исходные данные'!S317-'минимумы и максимумы'!Q$2)/('минимумы и максимумы'!Q$4-'минимумы и максимумы'!Q$2)*100)</f>
        <v>11.111111111111111</v>
      </c>
      <c r="T317" s="1">
        <f>IF('исходные данные'!T317&gt;'минимумы и максимумы'!R$4,100,('исходные данные'!T317-'минимумы и максимумы'!R$2)/('минимумы и максимумы'!R$4-'минимумы и максимумы'!R$2)*100)</f>
        <v>21.518987341772153</v>
      </c>
      <c r="U317" s="1">
        <f>IF('исходные данные'!U317&gt;'минимумы и максимумы'!S$4,100,('исходные данные'!U317-'минимумы и максимумы'!S$2)/('минимумы и максимумы'!S$4-'минимумы и максимумы'!S$2)*100)</f>
        <v>0</v>
      </c>
    </row>
    <row r="318" spans="1:21" x14ac:dyDescent="0.45">
      <c r="A318" s="4">
        <v>423</v>
      </c>
      <c r="B318" s="4">
        <v>1</v>
      </c>
      <c r="C318" s="4">
        <v>0</v>
      </c>
      <c r="D318" s="1">
        <f>IF('исходные данные'!D318&gt;'минимумы и максимумы'!B$4,100,('исходные данные'!D318-'минимумы и максимумы'!B$2)/('минимумы и максимумы'!B$4-'минимумы и максимумы'!B$2)*100)</f>
        <v>25</v>
      </c>
      <c r="E318" s="1">
        <f>IF('исходные данные'!E318&gt;'минимумы и максимумы'!C$4,100,('исходные данные'!E318-'минимумы и максимумы'!C$2)/('минимумы и максимумы'!C$4-'минимумы и максимумы'!C$2)*100)</f>
        <v>12.5</v>
      </c>
      <c r="F318" s="1">
        <f>IF('исходные данные'!F318&gt;'минимумы и максимумы'!D$4,100,('исходные данные'!F318-'минимумы и максимумы'!D$2)/('минимумы и максимумы'!D$4-'минимумы и максимумы'!D$2)*100)</f>
        <v>0</v>
      </c>
      <c r="G318" s="1">
        <f>IF('исходные данные'!G318&gt;'минимумы и максимумы'!E$4,100,('исходные данные'!G318-'минимумы и максимумы'!E$2)/('минимумы и максимумы'!E$4-'минимумы и максимумы'!E$2)*100)</f>
        <v>35.135135135135137</v>
      </c>
      <c r="H318" s="1">
        <f>IF('исходные данные'!H318&gt;'минимумы и максимумы'!F$4,100,('исходные данные'!H318-'минимумы и максимумы'!F$2)/('минимумы и максимумы'!F$4-'минимумы и максимумы'!F$2)*100)</f>
        <v>42.105263157894733</v>
      </c>
      <c r="I318" s="1">
        <f>IF('исходные данные'!I318&gt;'минимумы и максимумы'!G$4,100,('исходные данные'!I318-'минимумы и максимумы'!G$2)/('минимумы и максимумы'!G$4-'минимумы и максимумы'!G$2)*100)</f>
        <v>30.120481927710845</v>
      </c>
      <c r="J318" s="1">
        <f>IF('исходные данные'!J318&gt;'минимумы и максимумы'!H$4,100,('исходные данные'!J318-'минимумы и максимумы'!H$2)/('минимумы и максимумы'!H$4-'минимумы и максимумы'!H$2)*100)</f>
        <v>25</v>
      </c>
      <c r="K318" s="1">
        <f>IF('исходные данные'!K318&gt;'минимумы и максимумы'!I$4,100,('исходные данные'!K318-'минимумы и максимумы'!I$2)/('минимумы и максимумы'!I$4-'минимумы и максимумы'!I$2)*100)</f>
        <v>25</v>
      </c>
      <c r="L318" s="1">
        <f>IF('исходные данные'!L318&gt;'минимумы и максимумы'!J$4,100,('исходные данные'!L318-'минимумы и максимумы'!J$2)/('минимумы и максимумы'!J$4-'минимумы и максимумы'!J$2)*100)</f>
        <v>25</v>
      </c>
      <c r="M318" s="1">
        <f>IF('исходные данные'!M318&gt;'минимумы и максимумы'!K$4,100,('исходные данные'!M318-'минимумы и максимумы'!K$2)/('минимумы и максимумы'!K$4-'минимумы и максимумы'!K$2)*100)</f>
        <v>21.276595744680851</v>
      </c>
      <c r="N318" s="1">
        <f>IF('исходные данные'!N318&gt;'минимумы и максимумы'!L$4,100,('исходные данные'!N318-'минимумы и максимумы'!L$2)/('минимумы и максимумы'!L$4-'минимумы и максимумы'!L$2)*100)</f>
        <v>24.667202461479324</v>
      </c>
      <c r="O318" s="1">
        <f>IF('исходные данные'!O318&gt;'минимумы и максимумы'!M$4,100,('исходные данные'!O318-'минимумы и максимумы'!M$2)/('минимумы и максимумы'!M$4-'минимумы и максимумы'!M$2)*100)</f>
        <v>100</v>
      </c>
      <c r="P318" s="1">
        <f>IF('исходные данные'!P318&gt;'минимумы и максимумы'!N$4,100,('исходные данные'!P318-'минимумы и максимумы'!N$2)/('минимумы и максимумы'!N$4-'минимумы и максимумы'!N$2)*100)</f>
        <v>0</v>
      </c>
      <c r="Q318" s="1">
        <f>IF('исходные данные'!Q318&gt;'минимумы и максимумы'!O$4,100,('исходные данные'!Q318-'минимумы и максимумы'!O$2)/('минимумы и максимумы'!O$4-'минимумы и максимумы'!O$2)*100)</f>
        <v>100</v>
      </c>
      <c r="R318" s="1">
        <f>IF('исходные данные'!R318&gt;'минимумы и максимумы'!P$4,100,('исходные данные'!R318-'минимумы и максимумы'!P$2)/('минимумы и максимумы'!P$4-'минимумы и максимумы'!P$2)*100)</f>
        <v>75</v>
      </c>
      <c r="S318" s="1">
        <f>IF('исходные данные'!S318&gt;'минимумы и максимумы'!Q$4,100,('исходные данные'!S318-'минимумы и максимумы'!Q$2)/('минимумы и максимумы'!Q$4-'минимумы и максимумы'!Q$2)*100)</f>
        <v>33.333333333333329</v>
      </c>
      <c r="T318" s="1">
        <f>IF('исходные данные'!T318&gt;'минимумы и максимумы'!R$4,100,('исходные данные'!T318-'минимумы и максимумы'!R$2)/('минимумы и максимумы'!R$4-'минимумы и максимумы'!R$2)*100)</f>
        <v>100</v>
      </c>
      <c r="U318" s="1">
        <f>IF('исходные данные'!U318&gt;'минимумы и максимумы'!S$4,100,('исходные данные'!U318-'минимумы и максимумы'!S$2)/('минимумы и максимумы'!S$4-'минимумы и максимумы'!S$2)*100)</f>
        <v>100</v>
      </c>
    </row>
    <row r="319" spans="1:21" x14ac:dyDescent="0.45">
      <c r="A319" s="4">
        <v>424</v>
      </c>
      <c r="B319" s="4">
        <v>0</v>
      </c>
      <c r="C319" s="4">
        <v>0</v>
      </c>
      <c r="D319" s="1">
        <f>IF('исходные данные'!D319&gt;'минимумы и максимумы'!B$4,100,('исходные данные'!D319-'минимумы и максимумы'!B$2)/('минимумы и максимумы'!B$4-'минимумы и максимумы'!B$2)*100)</f>
        <v>25</v>
      </c>
      <c r="E319" s="1">
        <f>IF('исходные данные'!E319&gt;'минимумы и максимумы'!C$4,100,('исходные данные'!E319-'минимумы и максимумы'!C$2)/('минимумы и максимумы'!C$4-'минимумы и максимумы'!C$2)*100)</f>
        <v>18.75</v>
      </c>
      <c r="F319" s="1">
        <f>IF('исходные данные'!F319&gt;'минимумы и максимумы'!D$4,100,('исходные данные'!F319-'минимумы и максимумы'!D$2)/('минимумы и максимумы'!D$4-'минимумы и максимумы'!D$2)*100)</f>
        <v>0</v>
      </c>
      <c r="G319" s="1">
        <f>IF('исходные данные'!G319&gt;'минимумы и максимумы'!E$4,100,('исходные данные'!G319-'минимумы и максимумы'!E$2)/('минимумы и максимумы'!E$4-'минимумы и максимумы'!E$2)*100)</f>
        <v>18.918918918918919</v>
      </c>
      <c r="H319" s="1">
        <f>IF('исходные данные'!H319&gt;'минимумы и максимумы'!F$4,100,('исходные данные'!H319-'минимумы и максимумы'!F$2)/('минимумы и максимумы'!F$4-'минимумы и максимумы'!F$2)*100)</f>
        <v>36.84210526315789</v>
      </c>
      <c r="I319" s="1">
        <f>IF('исходные данные'!I319&gt;'минимумы и максимумы'!G$4,100,('исходные данные'!I319-'минимумы и максимумы'!G$2)/('минимумы и максимумы'!G$4-'минимумы и максимумы'!G$2)*100)</f>
        <v>21.686746987951807</v>
      </c>
      <c r="J319" s="1">
        <f>IF('исходные данные'!J319&gt;'минимумы и максимумы'!H$4,100,('исходные данные'!J319-'минимумы и максимумы'!H$2)/('минимумы и максимумы'!H$4-'минимумы и максимумы'!H$2)*100)</f>
        <v>20.833333333333336</v>
      </c>
      <c r="K319" s="1">
        <f>IF('исходные данные'!K319&gt;'минимумы и максимумы'!I$4,100,('исходные данные'!K319-'минимумы и максимумы'!I$2)/('минимумы и максимумы'!I$4-'минимумы и максимумы'!I$2)*100)</f>
        <v>25</v>
      </c>
      <c r="L319" s="1">
        <f>IF('исходные данные'!L319&gt;'минимумы и максимумы'!J$4,100,('исходные данные'!L319-'минимумы и максимумы'!J$2)/('минимумы и максимумы'!J$4-'минимумы и максимумы'!J$2)*100)</f>
        <v>25</v>
      </c>
      <c r="M319" s="1">
        <f>IF('исходные данные'!M319&gt;'минимумы и максимумы'!K$4,100,('исходные данные'!M319-'минимумы и максимумы'!K$2)/('минимумы и максимумы'!K$4-'минимумы и максимумы'!K$2)*100)</f>
        <v>27.659574468085108</v>
      </c>
      <c r="N319" s="1">
        <f>IF('исходные данные'!N319&gt;'минимумы и максимумы'!L$4,100,('исходные данные'!N319-'минимумы и максимумы'!L$2)/('минимумы и максимумы'!L$4-'минимумы и максимумы'!L$2)*100)</f>
        <v>24.198405789241104</v>
      </c>
      <c r="O319" s="1">
        <f>IF('исходные данные'!O319&gt;'минимумы и максимумы'!M$4,100,('исходные данные'!O319-'минимумы и максимумы'!M$2)/('минимумы и максимумы'!M$4-'минимумы и максимумы'!M$2)*100)</f>
        <v>100</v>
      </c>
      <c r="P319" s="1">
        <f>IF('исходные данные'!P319&gt;'минимумы и максимумы'!N$4,100,('исходные данные'!P319-'минимумы и максимумы'!N$2)/('минимумы и максимумы'!N$4-'минимумы и максимумы'!N$2)*100)</f>
        <v>0</v>
      </c>
      <c r="Q319" s="1">
        <f>IF('исходные данные'!Q319&gt;'минимумы и максимумы'!O$4,100,('исходные данные'!Q319-'минимумы и максимумы'!O$2)/('минимумы и максимумы'!O$4-'минимумы и максимумы'!O$2)*100)</f>
        <v>100</v>
      </c>
      <c r="R319" s="1">
        <f>IF('исходные данные'!R319&gt;'минимумы и максимумы'!P$4,100,('исходные данные'!R319-'минимумы и максимумы'!P$2)/('минимумы и максимумы'!P$4-'минимумы и максимумы'!P$2)*100)</f>
        <v>100</v>
      </c>
      <c r="S319" s="1">
        <f>IF('исходные данные'!S319&gt;'минимумы и максимумы'!Q$4,100,('исходные данные'!S319-'минимумы и максимумы'!Q$2)/('минимумы и максимумы'!Q$4-'минимумы и максимумы'!Q$2)*100)</f>
        <v>22.222222222222221</v>
      </c>
      <c r="T319" s="1">
        <f>IF('исходные данные'!T319&gt;'минимумы и максимумы'!R$4,100,('исходные данные'!T319-'минимумы и максимумы'!R$2)/('минимумы и максимумы'!R$4-'минимумы и максимумы'!R$2)*100)</f>
        <v>51.121979286536245</v>
      </c>
      <c r="U319" s="1">
        <f>IF('исходные данные'!U319&gt;'минимумы и максимумы'!S$4,100,('исходные данные'!U319-'минимумы и максимумы'!S$2)/('минимумы и максимумы'!S$4-'минимумы и максимумы'!S$2)*100)</f>
        <v>0</v>
      </c>
    </row>
    <row r="320" spans="1:21" x14ac:dyDescent="0.45">
      <c r="A320" s="4">
        <v>425</v>
      </c>
      <c r="B320" s="4">
        <v>0</v>
      </c>
      <c r="C320" s="4">
        <v>0</v>
      </c>
      <c r="D320" s="1">
        <f>IF('исходные данные'!D320&gt;'минимумы и максимумы'!B$4,100,('исходные данные'!D320-'минимумы и максимумы'!B$2)/('минимумы и максимумы'!B$4-'минимумы и максимумы'!B$2)*100)</f>
        <v>25</v>
      </c>
      <c r="E320" s="1">
        <f>IF('исходные данные'!E320&gt;'минимумы и максимумы'!C$4,100,('исходные данные'!E320-'минимумы и максимумы'!C$2)/('минимумы и максимумы'!C$4-'минимумы и максимумы'!C$2)*100)</f>
        <v>18.75</v>
      </c>
      <c r="F320" s="1">
        <f>IF('исходные данные'!F320&gt;'минимумы и максимумы'!D$4,100,('исходные данные'!F320-'минимумы и максимумы'!D$2)/('минимумы и максимумы'!D$4-'минимумы и максимумы'!D$2)*100)</f>
        <v>0</v>
      </c>
      <c r="G320" s="1">
        <f>IF('исходные данные'!G320&gt;'минимумы и максимумы'!E$4,100,('исходные данные'!G320-'минимумы и максимумы'!E$2)/('минимумы и максимумы'!E$4-'минимумы и максимумы'!E$2)*100)</f>
        <v>27.027027027027028</v>
      </c>
      <c r="H320" s="1">
        <f>IF('исходные данные'!H320&gt;'минимумы и максимумы'!F$4,100,('исходные данные'!H320-'минимумы и максимумы'!F$2)/('минимумы и максимумы'!F$4-'минимумы и максимумы'!F$2)*100)</f>
        <v>47.368421052631575</v>
      </c>
      <c r="I320" s="1">
        <f>IF('исходные данные'!I320&gt;'минимумы и максимумы'!G$4,100,('исходные данные'!I320-'минимумы и максимумы'!G$2)/('минимумы и максимумы'!G$4-'минимумы и максимумы'!G$2)*100)</f>
        <v>30.120481927710845</v>
      </c>
      <c r="J320" s="1">
        <f>IF('исходные данные'!J320&gt;'минимумы и максимумы'!H$4,100,('исходные данные'!J320-'минимумы и максимумы'!H$2)/('минимумы и максимумы'!H$4-'минимумы и максимумы'!H$2)*100)</f>
        <v>16.666666666666664</v>
      </c>
      <c r="K320" s="1">
        <f>IF('исходные данные'!K320&gt;'минимумы и максимумы'!I$4,100,('исходные данные'!K320-'минимумы и максимумы'!I$2)/('минимумы и максимумы'!I$4-'минимумы и максимумы'!I$2)*100)</f>
        <v>32.142857142857146</v>
      </c>
      <c r="L320" s="1">
        <f>IF('исходные данные'!L320&gt;'минимумы и максимумы'!J$4,100,('исходные данные'!L320-'минимумы и максимумы'!J$2)/('минимумы и максимумы'!J$4-'минимумы и максимумы'!J$2)*100)</f>
        <v>25</v>
      </c>
      <c r="M320" s="1">
        <f>IF('исходные данные'!M320&gt;'минимумы и максимумы'!K$4,100,('исходные данные'!M320-'минимумы и максимумы'!K$2)/('минимумы и максимумы'!K$4-'минимумы и максимумы'!K$2)*100)</f>
        <v>21.276595744680851</v>
      </c>
      <c r="N320" s="1">
        <f>IF('исходные данные'!N320&gt;'минимумы и максимумы'!L$4,100,('исходные данные'!N320-'минимумы и максимумы'!L$2)/('минимумы и максимумы'!L$4-'минимумы и максимумы'!L$2)*100)</f>
        <v>24.887793464497136</v>
      </c>
      <c r="O320" s="1">
        <f>IF('исходные данные'!O320&gt;'минимумы и максимумы'!M$4,100,('исходные данные'!O320-'минимумы и максимумы'!M$2)/('минимумы и максимумы'!M$4-'минимумы и максимумы'!M$2)*100)</f>
        <v>66.666666666666657</v>
      </c>
      <c r="P320" s="1">
        <f>IF('исходные данные'!P320&gt;'минимумы и максимумы'!N$4,100,('исходные данные'!P320-'минимумы и максимумы'!N$2)/('минимумы и максимумы'!N$4-'минимумы и максимумы'!N$2)*100)</f>
        <v>0</v>
      </c>
      <c r="Q320" s="1">
        <f>IF('исходные данные'!Q320&gt;'минимумы и максимумы'!O$4,100,('исходные данные'!Q320-'минимумы и максимумы'!O$2)/('минимумы и максимумы'!O$4-'минимумы и максимумы'!O$2)*100)</f>
        <v>0</v>
      </c>
      <c r="R320" s="1">
        <f>IF('исходные данные'!R320&gt;'минимумы и максимумы'!P$4,100,('исходные данные'!R320-'минимумы и максимумы'!P$2)/('минимумы и максимумы'!P$4-'минимумы и максимумы'!P$2)*100)</f>
        <v>100</v>
      </c>
      <c r="S320" s="1">
        <f>IF('исходные данные'!S320&gt;'минимумы и максимумы'!Q$4,100,('исходные данные'!S320-'минимумы и максимумы'!Q$2)/('минимумы и максимумы'!Q$4-'минимумы и максимумы'!Q$2)*100)</f>
        <v>11.111111111111111</v>
      </c>
      <c r="T320" s="1">
        <f>IF('исходные данные'!T320&gt;'минимумы и максимумы'!R$4,100,('исходные данные'!T320-'минимумы и максимумы'!R$2)/('минимумы и максимумы'!R$4-'минимумы и максимумы'!R$2)*100)</f>
        <v>1.2658227848101267</v>
      </c>
      <c r="U320" s="1">
        <f>IF('исходные данные'!U320&gt;'минимумы и максимумы'!S$4,100,('исходные данные'!U320-'минимумы и максимумы'!S$2)/('минимумы и максимумы'!S$4-'минимумы и максимумы'!S$2)*100)</f>
        <v>0</v>
      </c>
    </row>
    <row r="321" spans="1:21" x14ac:dyDescent="0.45">
      <c r="A321" s="4">
        <v>426</v>
      </c>
      <c r="B321" s="4">
        <v>0</v>
      </c>
      <c r="C321" s="4">
        <v>0</v>
      </c>
      <c r="D321" s="1">
        <f>IF('исходные данные'!D321&gt;'минимумы и максимумы'!B$4,100,('исходные данные'!D321-'минимумы и максимумы'!B$2)/('минимумы и максимумы'!B$4-'минимумы и максимумы'!B$2)*100)</f>
        <v>37.5</v>
      </c>
      <c r="E321" s="1">
        <f>IF('исходные данные'!E321&gt;'минимумы и максимумы'!C$4,100,('исходные данные'!E321-'минимумы и максимумы'!C$2)/('минимумы и максимумы'!C$4-'минимумы и максимумы'!C$2)*100)</f>
        <v>37.5</v>
      </c>
      <c r="F321" s="1">
        <f>IF('исходные данные'!F321&gt;'минимумы и максимумы'!D$4,100,('исходные данные'!F321-'минимумы и максимумы'!D$2)/('минимумы и максимумы'!D$4-'минимумы и максимумы'!D$2)*100)</f>
        <v>25</v>
      </c>
      <c r="G321" s="1">
        <f>IF('исходные данные'!G321&gt;'минимумы и максимумы'!E$4,100,('исходные данные'!G321-'минимумы и максимумы'!E$2)/('минимумы и максимумы'!E$4-'минимумы и максимумы'!E$2)*100)</f>
        <v>32.432432432432435</v>
      </c>
      <c r="H321" s="1">
        <f>IF('исходные данные'!H321&gt;'минимумы и максимумы'!F$4,100,('исходные данные'!H321-'минимумы и максимумы'!F$2)/('минимумы и максимумы'!F$4-'минимумы и максимумы'!F$2)*100)</f>
        <v>39.473684210526315</v>
      </c>
      <c r="I321" s="1">
        <f>IF('исходные данные'!I321&gt;'минимумы и максимумы'!G$4,100,('исходные данные'!I321-'минимумы и максимумы'!G$2)/('минимумы и максимумы'!G$4-'минимумы и максимумы'!G$2)*100)</f>
        <v>19.277108433734941</v>
      </c>
      <c r="J321" s="1">
        <f>IF('исходные данные'!J321&gt;'минимумы и максимумы'!H$4,100,('исходные данные'!J321-'минимумы и максимумы'!H$2)/('минимумы и максимумы'!H$4-'минимумы и максимумы'!H$2)*100)</f>
        <v>8.3333333333333321</v>
      </c>
      <c r="K321" s="1">
        <f>IF('исходные данные'!K321&gt;'минимумы и максимумы'!I$4,100,('исходные данные'!K321-'минимумы и максимумы'!I$2)/('минимумы и максимумы'!I$4-'минимумы и максимумы'!I$2)*100)</f>
        <v>7.1428571428571423</v>
      </c>
      <c r="L321" s="1">
        <f>IF('исходные данные'!L321&gt;'минимумы и максимумы'!J$4,100,('исходные данные'!L321-'минимумы и максимумы'!J$2)/('минимумы и максимумы'!J$4-'минимумы и максимумы'!J$2)*100)</f>
        <v>25</v>
      </c>
      <c r="M321" s="1">
        <f>IF('исходные данные'!M321&gt;'минимумы и максимумы'!K$4,100,('исходные данные'!M321-'минимумы и максимумы'!K$2)/('минимумы и максимумы'!K$4-'минимумы и максимумы'!K$2)*100)</f>
        <v>12.76595744680851</v>
      </c>
      <c r="N321" s="1">
        <f>IF('исходные данные'!N321&gt;'минимумы и максимумы'!L$4,100,('исходные данные'!N321-'минимумы и максимумы'!L$2)/('минимумы и максимумы'!L$4-'минимумы и максимумы'!L$2)*100)</f>
        <v>26.364896505288467</v>
      </c>
      <c r="O321" s="1">
        <f>IF('исходные данные'!O321&gt;'минимумы и максимумы'!M$4,100,('исходные данные'!O321-'минимумы и максимумы'!M$2)/('минимумы и максимумы'!M$4-'минимумы и максимумы'!M$2)*100)</f>
        <v>66.666666666666657</v>
      </c>
      <c r="P321" s="1">
        <f>IF('исходные данные'!P321&gt;'минимумы и максимумы'!N$4,100,('исходные данные'!P321-'минимумы и максимумы'!N$2)/('минимумы и максимумы'!N$4-'минимумы и максимумы'!N$2)*100)</f>
        <v>0</v>
      </c>
      <c r="Q321" s="1">
        <f>IF('исходные данные'!Q321&gt;'минимумы и максимумы'!O$4,100,('исходные данные'!Q321-'минимумы и максимумы'!O$2)/('минимумы и максимумы'!O$4-'минимумы и максимумы'!O$2)*100)</f>
        <v>0</v>
      </c>
      <c r="R321" s="1">
        <f>IF('исходные данные'!R321&gt;'минимумы и максимумы'!P$4,100,('исходные данные'!R321-'минимумы и максимумы'!P$2)/('минимумы и максимумы'!P$4-'минимумы и максимумы'!P$2)*100)</f>
        <v>75</v>
      </c>
      <c r="S321" s="1">
        <f>IF('исходные данные'!S321&gt;'минимумы и максимумы'!Q$4,100,('исходные данные'!S321-'минимумы и максимумы'!Q$2)/('минимумы и максимумы'!Q$4-'минимумы и максимумы'!Q$2)*100)</f>
        <v>11.111111111111111</v>
      </c>
      <c r="T321" s="1">
        <f>IF('исходные данные'!T321&gt;'минимумы и максимумы'!R$4,100,('исходные данные'!T321-'минимумы и максимумы'!R$2)/('минимумы и максимумы'!R$4-'минимумы и максимумы'!R$2)*100)</f>
        <v>1.5247410817031071</v>
      </c>
      <c r="U321" s="1">
        <f>IF('исходные данные'!U321&gt;'минимумы и максимумы'!S$4,100,('исходные данные'!U321-'минимумы и максимумы'!S$2)/('минимумы и максимумы'!S$4-'минимумы и максимумы'!S$2)*100)</f>
        <v>0</v>
      </c>
    </row>
    <row r="322" spans="1:21" x14ac:dyDescent="0.45">
      <c r="A322" s="4">
        <v>430</v>
      </c>
      <c r="B322" s="4">
        <v>0</v>
      </c>
      <c r="C322" s="4">
        <v>0</v>
      </c>
      <c r="D322" s="1">
        <f>IF('исходные данные'!D322&gt;'минимумы и максимумы'!B$4,100,('исходные данные'!D322-'минимумы и максимумы'!B$2)/('минимумы и максимумы'!B$4-'минимумы и максимумы'!B$2)*100)</f>
        <v>0</v>
      </c>
      <c r="E322" s="1">
        <f>IF('исходные данные'!E322&gt;'минимумы и максимумы'!C$4,100,('исходные данные'!E322-'минимумы и максимумы'!C$2)/('минимумы и максимумы'!C$4-'минимумы и максимумы'!C$2)*100)</f>
        <v>0</v>
      </c>
      <c r="F322" s="1">
        <f>IF('исходные данные'!F322&gt;'минимумы и максимумы'!D$4,100,('исходные данные'!F322-'минимумы и максимумы'!D$2)/('минимумы и максимумы'!D$4-'минимумы и максимумы'!D$2)*100)</f>
        <v>0</v>
      </c>
      <c r="G322" s="1">
        <f>IF('исходные данные'!G322&gt;'минимумы и максимумы'!E$4,100,('исходные данные'!G322-'минимумы и максимумы'!E$2)/('минимумы и максимумы'!E$4-'минимумы и максимумы'!E$2)*100)</f>
        <v>0</v>
      </c>
      <c r="H322" s="1">
        <f>IF('исходные данные'!H322&gt;'минимумы и максимумы'!F$4,100,('исходные данные'!H322-'минимумы и максимумы'!F$2)/('минимумы и максимумы'!F$4-'минимумы и максимумы'!F$2)*100)</f>
        <v>0</v>
      </c>
      <c r="I322" s="1">
        <f>IF('исходные данные'!I322&gt;'минимумы и максимумы'!G$4,100,('исходные данные'!I322-'минимумы и максимумы'!G$2)/('минимумы и максимумы'!G$4-'минимумы и максимумы'!G$2)*100)</f>
        <v>3.6144578313253009</v>
      </c>
      <c r="J322" s="1">
        <f>IF('исходные данные'!J322&gt;'минимумы и максимумы'!H$4,100,('исходные данные'!J322-'минимумы и максимумы'!H$2)/('минимумы и максимумы'!H$4-'минимумы и максимумы'!H$2)*100)</f>
        <v>0</v>
      </c>
      <c r="K322" s="1">
        <f>IF('исходные данные'!K322&gt;'минимумы и максимумы'!I$4,100,('исходные данные'!K322-'минимумы и максимумы'!I$2)/('минимумы и максимумы'!I$4-'минимумы и максимумы'!I$2)*100)</f>
        <v>0</v>
      </c>
      <c r="L322" s="1">
        <f>IF('исходные данные'!L322&gt;'минимумы и максимумы'!J$4,100,('исходные данные'!L322-'минимумы и максимумы'!J$2)/('минимумы и максимумы'!J$4-'минимумы и максимумы'!J$2)*100)</f>
        <v>0</v>
      </c>
      <c r="M322" s="1">
        <f>IF('исходные данные'!M322&gt;'минимумы и максимумы'!K$4,100,('исходные данные'!M322-'минимумы и максимумы'!K$2)/('минимумы и максимумы'!K$4-'минимумы и максимумы'!K$2)*100)</f>
        <v>19.148936170212767</v>
      </c>
      <c r="N322" s="1">
        <f>IF('исходные данные'!N322&gt;'минимумы и максимумы'!L$4,100,('исходные данные'!N322-'минимумы и максимумы'!L$2)/('минимумы и максимумы'!L$4-'минимумы и максимумы'!L$2)*100)</f>
        <v>30.131161522185359</v>
      </c>
      <c r="O322" s="1">
        <f>IF('исходные данные'!O322&gt;'минимумы и максимумы'!M$4,100,('исходные данные'!O322-'минимумы и максимумы'!M$2)/('минимумы и максимумы'!M$4-'минимумы и максимумы'!M$2)*100)</f>
        <v>33.333333333333329</v>
      </c>
      <c r="P322" s="1">
        <f>IF('исходные данные'!P322&gt;'минимумы и максимумы'!N$4,100,('исходные данные'!P322-'минимумы и максимумы'!N$2)/('минимумы и максимумы'!N$4-'минимумы и максимумы'!N$2)*100)</f>
        <v>0</v>
      </c>
      <c r="Q322" s="1">
        <f>IF('исходные данные'!Q322&gt;'минимумы и максимумы'!O$4,100,('исходные данные'!Q322-'минимумы и максимумы'!O$2)/('минимумы и максимумы'!O$4-'минимумы и максимумы'!O$2)*100)</f>
        <v>0</v>
      </c>
      <c r="R322" s="1">
        <f>IF('исходные данные'!R322&gt;'минимумы и максимумы'!P$4,100,('исходные данные'!R322-'минимумы и максимумы'!P$2)/('минимумы и максимумы'!P$4-'минимумы и максимумы'!P$2)*100)</f>
        <v>25</v>
      </c>
      <c r="S322" s="1">
        <f>IF('исходные данные'!S322&gt;'минимумы и максимумы'!Q$4,100,('исходные данные'!S322-'минимумы и максимумы'!Q$2)/('минимумы и максимумы'!Q$4-'минимумы и максимумы'!Q$2)*100)</f>
        <v>22.222222222222221</v>
      </c>
      <c r="T322" s="1">
        <f>IF('исходные данные'!T322&gt;'минимумы и максимумы'!R$4,100,('исходные данные'!T322-'минимумы и максимумы'!R$2)/('минимумы и максимумы'!R$4-'минимумы и максимумы'!R$2)*100)</f>
        <v>27.819332566168008</v>
      </c>
      <c r="U322" s="1">
        <f>IF('исходные данные'!U322&gt;'минимумы и максимумы'!S$4,100,('исходные данные'!U322-'минимумы и максимумы'!S$2)/('минимумы и максимумы'!S$4-'минимумы и максимумы'!S$2)*100)</f>
        <v>0</v>
      </c>
    </row>
    <row r="323" spans="1:21" x14ac:dyDescent="0.45">
      <c r="A323" s="4">
        <v>431</v>
      </c>
      <c r="B323" s="4">
        <v>0</v>
      </c>
      <c r="C323" s="4">
        <v>0</v>
      </c>
      <c r="D323" s="1">
        <f>IF('исходные данные'!D323&gt;'минимумы и максимумы'!B$4,100,('исходные данные'!D323-'минимумы и максимумы'!B$2)/('минимумы и максимумы'!B$4-'минимумы и максимумы'!B$2)*100)</f>
        <v>0</v>
      </c>
      <c r="E323" s="1">
        <f>IF('исходные данные'!E323&gt;'минимумы и максимумы'!C$4,100,('исходные данные'!E323-'минимумы и максимумы'!C$2)/('минимумы и максимумы'!C$4-'минимумы и максимумы'!C$2)*100)</f>
        <v>0</v>
      </c>
      <c r="F323" s="1">
        <f>IF('исходные данные'!F323&gt;'минимумы и максимумы'!D$4,100,('исходные данные'!F323-'минимумы и максимумы'!D$2)/('минимумы и максимумы'!D$4-'минимумы и максимумы'!D$2)*100)</f>
        <v>0</v>
      </c>
      <c r="G323" s="1">
        <f>IF('исходные данные'!G323&gt;'минимумы и максимумы'!E$4,100,('исходные данные'!G323-'минимумы и максимумы'!E$2)/('минимумы и максимумы'!E$4-'минимумы и максимумы'!E$2)*100)</f>
        <v>0</v>
      </c>
      <c r="H323" s="1">
        <f>IF('исходные данные'!H323&gt;'минимумы и максимумы'!F$4,100,('исходные данные'!H323-'минимумы и максимумы'!F$2)/('минимумы и максимумы'!F$4-'минимумы и максимумы'!F$2)*100)</f>
        <v>0</v>
      </c>
      <c r="I323" s="1">
        <f>IF('исходные данные'!I323&gt;'минимумы и максимумы'!G$4,100,('исходные данные'!I323-'минимумы и максимумы'!G$2)/('минимумы и максимумы'!G$4-'минимумы и максимумы'!G$2)*100)</f>
        <v>1.2048192771084338</v>
      </c>
      <c r="J323" s="1">
        <f>IF('исходные данные'!J323&gt;'минимумы и максимумы'!H$4,100,('исходные данные'!J323-'минимумы и максимумы'!H$2)/('минимумы и максимумы'!H$4-'минимумы и максимумы'!H$2)*100)</f>
        <v>4.1666666666666661</v>
      </c>
      <c r="K323" s="1">
        <f>IF('исходные данные'!K323&gt;'минимумы и максимумы'!I$4,100,('исходные данные'!K323-'минимумы и максимумы'!I$2)/('минимумы и максимумы'!I$4-'минимумы и максимумы'!I$2)*100)</f>
        <v>3.5714285714285712</v>
      </c>
      <c r="L323" s="1">
        <f>IF('исходные данные'!L323&gt;'минимумы и максимумы'!J$4,100,('исходные данные'!L323-'минимумы и максимумы'!J$2)/('минимумы и максимумы'!J$4-'минимумы и максимумы'!J$2)*100)</f>
        <v>0</v>
      </c>
      <c r="M323" s="1">
        <f>IF('исходные данные'!M323&gt;'минимумы и максимумы'!K$4,100,('исходные данные'!M323-'минимумы и максимумы'!K$2)/('минимумы и максимумы'!K$4-'минимумы и максимумы'!K$2)*100)</f>
        <v>14.893617021276595</v>
      </c>
      <c r="N323" s="1">
        <f>IF('исходные данные'!N323&gt;'минимумы и максимумы'!L$4,100,('исходные данные'!N323-'минимумы и максимумы'!L$2)/('минимумы и максимумы'!L$4-'минимумы и максимумы'!L$2)*100)</f>
        <v>29.910619684256563</v>
      </c>
      <c r="O323" s="1">
        <f>IF('исходные данные'!O323&gt;'минимумы и максимумы'!M$4,100,('исходные данные'!O323-'минимумы и максимумы'!M$2)/('минимумы и максимумы'!M$4-'минимумы и максимумы'!M$2)*100)</f>
        <v>66.666666666666657</v>
      </c>
      <c r="P323" s="1">
        <f>IF('исходные данные'!P323&gt;'минимумы и максимумы'!N$4,100,('исходные данные'!P323-'минимумы и максимумы'!N$2)/('минимумы и максимумы'!N$4-'минимумы и максимумы'!N$2)*100)</f>
        <v>0</v>
      </c>
      <c r="Q323" s="1">
        <f>IF('исходные данные'!Q323&gt;'минимумы и максимумы'!O$4,100,('исходные данные'!Q323-'минимумы и максимумы'!O$2)/('минимумы и максимумы'!O$4-'минимумы и максимумы'!O$2)*100)</f>
        <v>0</v>
      </c>
      <c r="R323" s="1">
        <f>IF('исходные данные'!R323&gt;'минимумы и максимумы'!P$4,100,('исходные данные'!R323-'минимумы и максимумы'!P$2)/('минимумы и максимумы'!P$4-'минимумы и максимумы'!P$2)*100)</f>
        <v>25</v>
      </c>
      <c r="S323" s="1">
        <f>IF('исходные данные'!S323&gt;'минимумы и максимумы'!Q$4,100,('исходные данные'!S323-'минимумы и максимумы'!Q$2)/('минимумы и максимумы'!Q$4-'минимумы и максимумы'!Q$2)*100)</f>
        <v>11.111111111111111</v>
      </c>
      <c r="T323" s="1">
        <f>IF('исходные данные'!T323&gt;'минимумы и максимумы'!R$4,100,('исходные данные'!T323-'минимумы и максимумы'!R$2)/('минимумы и максимумы'!R$4-'минимумы и максимумы'!R$2)*100)</f>
        <v>5.7825086306098967</v>
      </c>
      <c r="U323" s="1">
        <f>IF('исходные данные'!U323&gt;'минимумы и максимумы'!S$4,100,('исходные данные'!U323-'минимумы и максимумы'!S$2)/('минимумы и максимумы'!S$4-'минимумы и максимумы'!S$2)*100)</f>
        <v>0</v>
      </c>
    </row>
    <row r="324" spans="1:21" x14ac:dyDescent="0.45">
      <c r="A324" s="4">
        <v>432</v>
      </c>
      <c r="B324" s="4">
        <v>0</v>
      </c>
      <c r="C324" s="4">
        <v>0</v>
      </c>
      <c r="D324" s="1">
        <f>IF('исходные данные'!D324&gt;'минимумы и максимумы'!B$4,100,('исходные данные'!D324-'минимумы и максимумы'!B$2)/('минимумы и максимумы'!B$4-'минимумы и максимумы'!B$2)*100)</f>
        <v>0</v>
      </c>
      <c r="E324" s="1">
        <f>IF('исходные данные'!E324&gt;'минимумы и максимумы'!C$4,100,('исходные данные'!E324-'минимумы и максимумы'!C$2)/('минимумы и максимумы'!C$4-'минимумы и максимумы'!C$2)*100)</f>
        <v>0</v>
      </c>
      <c r="F324" s="1">
        <f>IF('исходные данные'!F324&gt;'минимумы и максимумы'!D$4,100,('исходные данные'!F324-'минимумы и максимумы'!D$2)/('минимумы и максимумы'!D$4-'минимумы и максимумы'!D$2)*100)</f>
        <v>0</v>
      </c>
      <c r="G324" s="1">
        <f>IF('исходные данные'!G324&gt;'минимумы и максимумы'!E$4,100,('исходные данные'!G324-'минимумы и максимумы'!E$2)/('минимумы и максимумы'!E$4-'минимумы и максимумы'!E$2)*100)</f>
        <v>0</v>
      </c>
      <c r="H324" s="1">
        <f>IF('исходные данные'!H324&gt;'минимумы и максимумы'!F$4,100,('исходные данные'!H324-'минимумы и максимумы'!F$2)/('минимумы и максимумы'!F$4-'минимумы и максимумы'!F$2)*100)</f>
        <v>2.6315789473684208</v>
      </c>
      <c r="I324" s="1">
        <f>IF('исходные данные'!I324&gt;'минимумы и максимумы'!G$4,100,('исходные данные'!I324-'минимумы и максимумы'!G$2)/('минимумы и максимумы'!G$4-'минимумы и максимумы'!G$2)*100)</f>
        <v>10.843373493975903</v>
      </c>
      <c r="J324" s="1">
        <f>IF('исходные данные'!J324&gt;'минимумы и максимумы'!H$4,100,('исходные данные'!J324-'минимумы и максимумы'!H$2)/('минимумы и максимумы'!H$4-'минимумы и максимумы'!H$2)*100)</f>
        <v>0</v>
      </c>
      <c r="K324" s="1">
        <f>IF('исходные данные'!K324&gt;'минимумы и максимумы'!I$4,100,('исходные данные'!K324-'минимумы и максимумы'!I$2)/('минимумы и максимумы'!I$4-'минимумы и максимумы'!I$2)*100)</f>
        <v>3.5714285714285712</v>
      </c>
      <c r="L324" s="1">
        <f>IF('исходные данные'!L324&gt;'минимумы и максимумы'!J$4,100,('исходные данные'!L324-'минимумы и максимумы'!J$2)/('минимумы и максимумы'!J$4-'минимумы и максимумы'!J$2)*100)</f>
        <v>0</v>
      </c>
      <c r="M324" s="1">
        <f>IF('исходные данные'!M324&gt;'минимумы и максимумы'!K$4,100,('исходные данные'!M324-'минимумы и максимумы'!K$2)/('минимумы и максимумы'!K$4-'минимумы и максимумы'!K$2)*100)</f>
        <v>14.893617021276595</v>
      </c>
      <c r="N324" s="1">
        <f>IF('исходные данные'!N324&gt;'минимумы и максимумы'!L$4,100,('исходные данные'!N324-'минимумы и максимумы'!L$2)/('минимумы и максимумы'!L$4-'минимумы и максимумы'!L$2)*100)</f>
        <v>31.273627947178788</v>
      </c>
      <c r="O324" s="1">
        <f>IF('исходные данные'!O324&gt;'минимумы и максимумы'!M$4,100,('исходные данные'!O324-'минимумы и максимумы'!M$2)/('минимумы и максимумы'!M$4-'минимумы и максимумы'!M$2)*100)</f>
        <v>0</v>
      </c>
      <c r="P324" s="1">
        <f>IF('исходные данные'!P324&gt;'минимумы и максимумы'!N$4,100,('исходные данные'!P324-'минимумы и максимумы'!N$2)/('минимумы и максимумы'!N$4-'минимумы и максимумы'!N$2)*100)</f>
        <v>0</v>
      </c>
      <c r="Q324" s="1">
        <f>IF('исходные данные'!Q324&gt;'минимумы и максимумы'!O$4,100,('исходные данные'!Q324-'минимумы и максимумы'!O$2)/('минимумы и максимумы'!O$4-'минимумы и максимумы'!O$2)*100)</f>
        <v>100</v>
      </c>
      <c r="R324" s="1">
        <f>IF('исходные данные'!R324&gt;'минимумы и максимумы'!P$4,100,('исходные данные'!R324-'минимумы и максимумы'!P$2)/('минимумы и максимумы'!P$4-'минимумы и максимумы'!P$2)*100)</f>
        <v>50</v>
      </c>
      <c r="S324" s="1">
        <f>IF('исходные данные'!S324&gt;'минимумы и максимумы'!Q$4,100,('исходные данные'!S324-'минимумы и максимумы'!Q$2)/('минимумы и максимумы'!Q$4-'минимумы и максимумы'!Q$2)*100)</f>
        <v>22.222222222222221</v>
      </c>
      <c r="T324" s="1">
        <f>IF('исходные данные'!T324&gt;'минимумы и максимумы'!R$4,100,('исходные данные'!T324-'минимумы и максимумы'!R$2)/('минимумы и максимумы'!R$4-'минимумы и максимумы'!R$2)*100)</f>
        <v>27.704257767548906</v>
      </c>
      <c r="U324" s="1">
        <f>IF('исходные данные'!U324&gt;'минимумы и максимумы'!S$4,100,('исходные данные'!U324-'минимумы и максимумы'!S$2)/('минимумы и максимумы'!S$4-'минимумы и максимумы'!S$2)*100)</f>
        <v>0</v>
      </c>
    </row>
    <row r="325" spans="1:21" x14ac:dyDescent="0.45">
      <c r="A325" s="4">
        <v>433</v>
      </c>
      <c r="B325" s="4">
        <v>0</v>
      </c>
      <c r="C325" s="4">
        <v>0</v>
      </c>
      <c r="D325" s="1">
        <f>IF('исходные данные'!D325&gt;'минимумы и максимумы'!B$4,100,('исходные данные'!D325-'минимумы и максимумы'!B$2)/('минимумы и максимумы'!B$4-'минимумы и максимумы'!B$2)*100)</f>
        <v>12.5</v>
      </c>
      <c r="E325" s="1">
        <f>IF('исходные данные'!E325&gt;'минимумы и максимумы'!C$4,100,('исходные данные'!E325-'минимумы и максимумы'!C$2)/('минимумы и максимумы'!C$4-'минимумы и максимумы'!C$2)*100)</f>
        <v>12.5</v>
      </c>
      <c r="F325" s="1">
        <f>IF('исходные данные'!F325&gt;'минимумы и максимумы'!D$4,100,('исходные данные'!F325-'минимумы и максимумы'!D$2)/('минимумы и максимумы'!D$4-'минимумы и максимумы'!D$2)*100)</f>
        <v>25</v>
      </c>
      <c r="G325" s="1">
        <f>IF('исходные данные'!G325&gt;'минимумы и максимумы'!E$4,100,('исходные данные'!G325-'минимумы и максимумы'!E$2)/('минимумы и максимумы'!E$4-'минимумы и максимумы'!E$2)*100)</f>
        <v>18.918918918918919</v>
      </c>
      <c r="H325" s="1">
        <f>IF('исходные данные'!H325&gt;'минимумы и максимумы'!F$4,100,('исходные данные'!H325-'минимумы и максимумы'!F$2)/('минимумы и максимумы'!F$4-'минимумы и максимумы'!F$2)*100)</f>
        <v>39.473684210526315</v>
      </c>
      <c r="I325" s="1">
        <f>IF('исходные данные'!I325&gt;'минимумы и максимумы'!G$4,100,('исходные данные'!I325-'минимумы и максимумы'!G$2)/('минимумы и максимумы'!G$4-'минимумы и максимумы'!G$2)*100)</f>
        <v>25.301204819277107</v>
      </c>
      <c r="J325" s="1">
        <f>IF('исходные данные'!J325&gt;'минимумы и максимумы'!H$4,100,('исходные данные'!J325-'минимумы и максимумы'!H$2)/('минимумы и максимумы'!H$4-'минимумы и максимумы'!H$2)*100)</f>
        <v>4.1666666666666661</v>
      </c>
      <c r="K325" s="1">
        <f>IF('исходные данные'!K325&gt;'минимумы и максимумы'!I$4,100,('исходные данные'!K325-'минимумы и максимумы'!I$2)/('минимумы и максимумы'!I$4-'минимумы и максимумы'!I$2)*100)</f>
        <v>10.714285714285714</v>
      </c>
      <c r="L325" s="1">
        <f>IF('исходные данные'!L325&gt;'минимумы и максимумы'!J$4,100,('исходные данные'!L325-'минимумы и максимумы'!J$2)/('минимумы и максимумы'!J$4-'минимумы и максимумы'!J$2)*100)</f>
        <v>87.5</v>
      </c>
      <c r="M325" s="1">
        <f>IF('исходные данные'!M325&gt;'минимумы и максимумы'!K$4,100,('исходные данные'!M325-'минимумы и максимумы'!K$2)/('минимумы и максимумы'!K$4-'минимумы и максимумы'!K$2)*100)</f>
        <v>25.531914893617021</v>
      </c>
      <c r="N325" s="1">
        <f>IF('исходные данные'!N325&gt;'минимумы и максимумы'!L$4,100,('исходные данные'!N325-'минимумы и максимумы'!L$2)/('минимумы и максимумы'!L$4-'минимумы и максимумы'!L$2)*100)</f>
        <v>32.441437875855513</v>
      </c>
      <c r="O325" s="1">
        <f>IF('исходные данные'!O325&gt;'минимумы и максимумы'!M$4,100,('исходные данные'!O325-'минимумы и максимумы'!M$2)/('минимумы и максимумы'!M$4-'минимумы и максимумы'!M$2)*100)</f>
        <v>66.666666666666657</v>
      </c>
      <c r="P325" s="1">
        <f>IF('исходные данные'!P325&gt;'минимумы и максимумы'!N$4,100,('исходные данные'!P325-'минимумы и максимумы'!N$2)/('минимумы и максимумы'!N$4-'минимумы и максимумы'!N$2)*100)</f>
        <v>0</v>
      </c>
      <c r="Q325" s="1">
        <f>IF('исходные данные'!Q325&gt;'минимумы и максимумы'!O$4,100,('исходные данные'!Q325-'минимумы и максимумы'!O$2)/('минимумы и максимумы'!O$4-'минимумы и максимумы'!O$2)*100)</f>
        <v>0</v>
      </c>
      <c r="R325" s="1">
        <f>IF('исходные данные'!R325&gt;'минимумы и максимумы'!P$4,100,('исходные данные'!R325-'минимумы и максимумы'!P$2)/('минимумы и максимумы'!P$4-'минимумы и максимумы'!P$2)*100)</f>
        <v>75</v>
      </c>
      <c r="S325" s="1">
        <f>IF('исходные данные'!S325&gt;'минимумы и максимумы'!Q$4,100,('исходные данные'!S325-'минимумы и максимумы'!Q$2)/('минимумы и максимумы'!Q$4-'минимумы и максимумы'!Q$2)*100)</f>
        <v>11.111111111111111</v>
      </c>
      <c r="T325" s="1">
        <f>IF('исходные данные'!T325&gt;'минимумы и максимумы'!R$4,100,('исходные данные'!T325-'минимумы и максимумы'!R$2)/('минимумы и максимумы'!R$4-'минимумы и максимумы'!R$2)*100)</f>
        <v>1.8411967779056386</v>
      </c>
      <c r="U325" s="1">
        <f>IF('исходные данные'!U325&gt;'минимумы и максимумы'!S$4,100,('исходные данные'!U325-'минимумы и максимумы'!S$2)/('минимумы и максимумы'!S$4-'минимумы и максимумы'!S$2)*100)</f>
        <v>0</v>
      </c>
    </row>
    <row r="326" spans="1:21" x14ac:dyDescent="0.45">
      <c r="A326" s="4">
        <v>434</v>
      </c>
      <c r="B326" s="4">
        <v>0</v>
      </c>
      <c r="C326" s="4">
        <v>0</v>
      </c>
      <c r="D326" s="1">
        <f>IF('исходные данные'!D326&gt;'минимумы и максимумы'!B$4,100,('исходные данные'!D326-'минимумы и максимумы'!B$2)/('минимумы и максимумы'!B$4-'минимумы и максимумы'!B$2)*100)</f>
        <v>25</v>
      </c>
      <c r="E326" s="1">
        <f>IF('исходные данные'!E326&gt;'минимумы и максимумы'!C$4,100,('исходные данные'!E326-'минимумы и максимумы'!C$2)/('минимумы и максимумы'!C$4-'минимумы и максимумы'!C$2)*100)</f>
        <v>31.25</v>
      </c>
      <c r="F326" s="1">
        <f>IF('исходные данные'!F326&gt;'минимумы и максимумы'!D$4,100,('исходные данные'!F326-'минимумы и максимумы'!D$2)/('минимумы и максимумы'!D$4-'минимумы и максимумы'!D$2)*100)</f>
        <v>25</v>
      </c>
      <c r="G326" s="1">
        <f>IF('исходные данные'!G326&gt;'минимумы и максимумы'!E$4,100,('исходные данные'!G326-'минимумы и максимумы'!E$2)/('минимумы и максимумы'!E$4-'минимумы и максимумы'!E$2)*100)</f>
        <v>10.810810810810811</v>
      </c>
      <c r="H326" s="1">
        <f>IF('исходные данные'!H326&gt;'минимумы и максимумы'!F$4,100,('исходные данные'!H326-'минимумы и максимумы'!F$2)/('минимумы и максимумы'!F$4-'минимумы и максимумы'!F$2)*100)</f>
        <v>18.421052631578945</v>
      </c>
      <c r="I326" s="1">
        <f>IF('исходные данные'!I326&gt;'минимумы и максимумы'!G$4,100,('исходные данные'!I326-'минимумы и максимумы'!G$2)/('минимумы и максимумы'!G$4-'минимумы и максимумы'!G$2)*100)</f>
        <v>8.4337349397590362</v>
      </c>
      <c r="J326" s="1">
        <f>IF('исходные данные'!J326&gt;'минимумы и максимумы'!H$4,100,('исходные данные'!J326-'минимумы и максимумы'!H$2)/('минимумы и максимумы'!H$4-'минимумы и максимумы'!H$2)*100)</f>
        <v>8.3333333333333321</v>
      </c>
      <c r="K326" s="1">
        <f>IF('исходные данные'!K326&gt;'минимумы и максимумы'!I$4,100,('исходные данные'!K326-'минимумы и максимумы'!I$2)/('минимумы и максимумы'!I$4-'минимумы и максимумы'!I$2)*100)</f>
        <v>0</v>
      </c>
      <c r="L326" s="1">
        <f>IF('исходные данные'!L326&gt;'минимумы и максимумы'!J$4,100,('исходные данные'!L326-'минимумы и максимумы'!J$2)/('минимумы и максимумы'!J$4-'минимумы и максимумы'!J$2)*100)</f>
        <v>0</v>
      </c>
      <c r="M326" s="1">
        <f>IF('исходные данные'!M326&gt;'минимумы и максимумы'!K$4,100,('исходные данные'!M326-'минимумы и максимумы'!K$2)/('минимумы и максимумы'!K$4-'минимумы и максимумы'!K$2)*100)</f>
        <v>17.021276595744681</v>
      </c>
      <c r="N326" s="1">
        <f>IF('исходные данные'!N326&gt;'минимумы и максимумы'!L$4,100,('исходные данные'!N326-'минимумы и максимумы'!L$2)/('минимумы и максимумы'!L$4-'минимумы и максимумы'!L$2)*100)</f>
        <v>35.157759774699421</v>
      </c>
      <c r="O326" s="1">
        <f>IF('исходные данные'!O326&gt;'минимумы и максимумы'!M$4,100,('исходные данные'!O326-'минимумы и максимумы'!M$2)/('минимумы и максимумы'!M$4-'минимумы и максимумы'!M$2)*100)</f>
        <v>0</v>
      </c>
      <c r="P326" s="1">
        <f>IF('исходные данные'!P326&gt;'минимумы и максимумы'!N$4,100,('исходные данные'!P326-'минимумы и максимумы'!N$2)/('минимумы и максимумы'!N$4-'минимумы и максимумы'!N$2)*100)</f>
        <v>0</v>
      </c>
      <c r="Q326" s="1">
        <f>IF('исходные данные'!Q326&gt;'минимумы и максимумы'!O$4,100,('исходные данные'!Q326-'минимумы и максимумы'!O$2)/('минимумы и максимумы'!O$4-'минимумы и максимумы'!O$2)*100)</f>
        <v>100</v>
      </c>
      <c r="R326" s="1">
        <f>IF('исходные данные'!R326&gt;'минимумы и максимумы'!P$4,100,('исходные данные'!R326-'минимумы и максимумы'!P$2)/('минимумы и максимумы'!P$4-'минимумы и максимумы'!P$2)*100)</f>
        <v>100</v>
      </c>
      <c r="S326" s="1">
        <f>IF('исходные данные'!S326&gt;'минимумы и максимумы'!Q$4,100,('исходные данные'!S326-'минимумы и максимумы'!Q$2)/('минимумы и максимумы'!Q$4-'минимумы и максимумы'!Q$2)*100)</f>
        <v>33.333333333333329</v>
      </c>
      <c r="T326" s="1">
        <f>IF('исходные данные'!T326&gt;'минимумы и максимумы'!R$4,100,('исходные данные'!T326-'минимумы и максимумы'!R$2)/('минимумы и максимумы'!R$4-'минимумы и максимумы'!R$2)*100)</f>
        <v>22.583429228998849</v>
      </c>
      <c r="U326" s="1">
        <f>IF('исходные данные'!U326&gt;'минимумы и максимумы'!S$4,100,('исходные данные'!U326-'минимумы и максимумы'!S$2)/('минимумы и максимумы'!S$4-'минимумы и максимумы'!S$2)*100)</f>
        <v>0</v>
      </c>
    </row>
    <row r="327" spans="1:21" x14ac:dyDescent="0.45">
      <c r="A327" s="4">
        <v>435</v>
      </c>
      <c r="B327" s="4">
        <v>0</v>
      </c>
      <c r="C327" s="4">
        <v>0</v>
      </c>
      <c r="D327" s="1">
        <f>IF('исходные данные'!D327&gt;'минимумы и максимумы'!B$4,100,('исходные данные'!D327-'минимумы и максимумы'!B$2)/('минимумы и максимумы'!B$4-'минимумы и максимумы'!B$2)*100)</f>
        <v>0</v>
      </c>
      <c r="E327" s="1">
        <f>IF('исходные данные'!E327&gt;'минимумы и максимумы'!C$4,100,('исходные данные'!E327-'минимумы и максимумы'!C$2)/('минимумы и максимумы'!C$4-'минимумы и максимумы'!C$2)*100)</f>
        <v>0</v>
      </c>
      <c r="F327" s="1">
        <f>IF('исходные данные'!F327&gt;'минимумы и максимумы'!D$4,100,('исходные данные'!F327-'минимумы и максимумы'!D$2)/('минимумы и максимумы'!D$4-'минимумы и максимумы'!D$2)*100)</f>
        <v>0</v>
      </c>
      <c r="G327" s="1">
        <f>IF('исходные данные'!G327&gt;'минимумы и максимумы'!E$4,100,('исходные данные'!G327-'минимумы и максимумы'!E$2)/('минимумы и максимумы'!E$4-'минимумы и максимумы'!E$2)*100)</f>
        <v>0</v>
      </c>
      <c r="H327" s="1">
        <f>IF('исходные данные'!H327&gt;'минимумы и максимумы'!F$4,100,('исходные данные'!H327-'минимумы и максимумы'!F$2)/('минимумы и максимумы'!F$4-'минимумы и максимумы'!F$2)*100)</f>
        <v>2.6315789473684208</v>
      </c>
      <c r="I327" s="1">
        <f>IF('исходные данные'!I327&gt;'минимумы и максимумы'!G$4,100,('исходные данные'!I327-'минимумы и максимумы'!G$2)/('минимумы и максимумы'!G$4-'минимумы и максимумы'!G$2)*100)</f>
        <v>8.4337349397590362</v>
      </c>
      <c r="J327" s="1">
        <f>IF('исходные данные'!J327&gt;'минимумы и максимумы'!H$4,100,('исходные данные'!J327-'минимумы и максимумы'!H$2)/('минимумы и максимумы'!H$4-'минимумы и максимумы'!H$2)*100)</f>
        <v>4.1666666666666661</v>
      </c>
      <c r="K327" s="1">
        <f>IF('исходные данные'!K327&gt;'минимумы и максимумы'!I$4,100,('исходные данные'!K327-'минимумы и максимумы'!I$2)/('минимумы и максимумы'!I$4-'минимумы и максимумы'!I$2)*100)</f>
        <v>0</v>
      </c>
      <c r="L327" s="1">
        <f>IF('исходные данные'!L327&gt;'минимумы и максимумы'!J$4,100,('исходные данные'!L327-'минимумы и максимумы'!J$2)/('минимумы и максимумы'!J$4-'минимумы и максимумы'!J$2)*100)</f>
        <v>0</v>
      </c>
      <c r="M327" s="1">
        <f>IF('исходные данные'!M327&gt;'минимумы и максимумы'!K$4,100,('исходные данные'!M327-'минимумы и максимумы'!K$2)/('минимумы и максимумы'!K$4-'минимумы и максимумы'!K$2)*100)</f>
        <v>8.5106382978723403</v>
      </c>
      <c r="N327" s="1">
        <f>IF('исходные данные'!N327&gt;'минимумы и максимумы'!L$4,100,('исходные данные'!N327-'минимумы и максимумы'!L$2)/('минимумы и максимумы'!L$4-'минимумы и максимумы'!L$2)*100)</f>
        <v>33.394167582454877</v>
      </c>
      <c r="O327" s="1">
        <f>IF('исходные данные'!O327&gt;'минимумы и максимумы'!M$4,100,('исходные данные'!O327-'минимумы и максимумы'!M$2)/('минимумы и максимумы'!M$4-'минимумы и максимумы'!M$2)*100)</f>
        <v>0</v>
      </c>
      <c r="P327" s="1">
        <f>IF('исходные данные'!P327&gt;'минимумы и максимумы'!N$4,100,('исходные данные'!P327-'минимумы и максимумы'!N$2)/('минимумы и максимумы'!N$4-'минимумы и максимумы'!N$2)*100)</f>
        <v>0</v>
      </c>
      <c r="Q327" s="1">
        <f>IF('исходные данные'!Q327&gt;'минимумы и максимумы'!O$4,100,('исходные данные'!Q327-'минимумы и максимумы'!O$2)/('минимумы и максимумы'!O$4-'минимумы и максимумы'!O$2)*100)</f>
        <v>100</v>
      </c>
      <c r="R327" s="1">
        <f>IF('исходные данные'!R327&gt;'минимумы и максимумы'!P$4,100,('исходные данные'!R327-'минимумы и максимумы'!P$2)/('минимумы и максимумы'!P$4-'минимумы и максимумы'!P$2)*100)</f>
        <v>25</v>
      </c>
      <c r="S327" s="1">
        <f>IF('исходные данные'!S327&gt;'минимумы и максимумы'!Q$4,100,('исходные данные'!S327-'минимумы и максимумы'!Q$2)/('минимумы и максимумы'!Q$4-'минимумы и максимумы'!Q$2)*100)</f>
        <v>44.444444444444443</v>
      </c>
      <c r="T327" s="1">
        <f>IF('исходные данные'!T327&gt;'минимумы и максимумы'!R$4,100,('исходные данные'!T327-'минимумы и максимумы'!R$2)/('минимумы и максимумы'!R$4-'минимумы и максимумы'!R$2)*100)</f>
        <v>39.441887226697354</v>
      </c>
      <c r="U327" s="1">
        <f>IF('исходные данные'!U327&gt;'минимумы и максимумы'!S$4,100,('исходные данные'!U327-'минимумы и максимумы'!S$2)/('минимумы и максимумы'!S$4-'минимумы и максимумы'!S$2)*100)</f>
        <v>66.666666666666657</v>
      </c>
    </row>
    <row r="328" spans="1:21" x14ac:dyDescent="0.45">
      <c r="A328" s="4">
        <v>436</v>
      </c>
      <c r="B328" s="4">
        <v>0</v>
      </c>
      <c r="C328" s="4">
        <v>0</v>
      </c>
      <c r="D328" s="1">
        <f>IF('исходные данные'!D328&gt;'минимумы и максимумы'!B$4,100,('исходные данные'!D328-'минимумы и максимумы'!B$2)/('минимумы и максимумы'!B$4-'минимумы и максимумы'!B$2)*100)</f>
        <v>37.5</v>
      </c>
      <c r="E328" s="1">
        <f>IF('исходные данные'!E328&gt;'минимумы и максимумы'!C$4,100,('исходные данные'!E328-'минимумы и максимумы'!C$2)/('минимумы и максимумы'!C$4-'минимумы и максимумы'!C$2)*100)</f>
        <v>6.25</v>
      </c>
      <c r="F328" s="1">
        <f>IF('исходные данные'!F328&gt;'минимумы и максимумы'!D$4,100,('исходные данные'!F328-'минимумы и максимумы'!D$2)/('минимумы и максимумы'!D$4-'минимумы и максимумы'!D$2)*100)</f>
        <v>50</v>
      </c>
      <c r="G328" s="1">
        <f>IF('исходные данные'!G328&gt;'минимумы и максимумы'!E$4,100,('исходные данные'!G328-'минимумы и максимумы'!E$2)/('минимумы и максимумы'!E$4-'минимумы и максимумы'!E$2)*100)</f>
        <v>8.1081081081081088</v>
      </c>
      <c r="H328" s="1">
        <f>IF('исходные данные'!H328&gt;'минимумы и максимумы'!F$4,100,('исходные данные'!H328-'минимумы и максимумы'!F$2)/('минимумы и максимумы'!F$4-'минимумы и максимумы'!F$2)*100)</f>
        <v>18.421052631578945</v>
      </c>
      <c r="I328" s="1">
        <f>IF('исходные данные'!I328&gt;'минимумы и максимумы'!G$4,100,('исходные данные'!I328-'минимумы и максимумы'!G$2)/('минимумы и максимумы'!G$4-'минимумы и максимумы'!G$2)*100)</f>
        <v>16.867469879518072</v>
      </c>
      <c r="J328" s="1">
        <f>IF('исходные данные'!J328&gt;'минимумы и максимумы'!H$4,100,('исходные данные'!J328-'минимумы и максимумы'!H$2)/('минимумы и максимумы'!H$4-'минимумы и максимумы'!H$2)*100)</f>
        <v>20.833333333333336</v>
      </c>
      <c r="K328" s="1">
        <f>IF('исходные данные'!K328&gt;'минимумы и максимумы'!I$4,100,('исходные данные'!K328-'минимумы и максимумы'!I$2)/('минимумы и максимумы'!I$4-'минимумы и максимумы'!I$2)*100)</f>
        <v>32.142857142857146</v>
      </c>
      <c r="L328" s="1">
        <f>IF('исходные данные'!L328&gt;'минимумы и максимумы'!J$4,100,('исходные данные'!L328-'минимумы и максимумы'!J$2)/('минимумы и максимумы'!J$4-'минимумы и максимумы'!J$2)*100)</f>
        <v>0</v>
      </c>
      <c r="M328" s="1">
        <f>IF('исходные данные'!M328&gt;'минимумы и максимумы'!K$4,100,('исходные данные'!M328-'минимумы и максимумы'!K$2)/('минимумы и максимумы'!K$4-'минимумы и максимумы'!K$2)*100)</f>
        <v>17.021276595744681</v>
      </c>
      <c r="N328" s="1">
        <f>IF('исходные данные'!N328&gt;'минимумы и максимумы'!L$4,100,('исходные данные'!N328-'минимумы и максимумы'!L$2)/('минимумы и максимумы'!L$4-'минимумы и максимумы'!L$2)*100)</f>
        <v>9.9771628071880905</v>
      </c>
      <c r="O328" s="1">
        <f>IF('исходные данные'!O328&gt;'минимумы и максимумы'!M$4,100,('исходные данные'!O328-'минимумы и максимумы'!M$2)/('минимумы и максимумы'!M$4-'минимумы и максимумы'!M$2)*100)</f>
        <v>0</v>
      </c>
      <c r="P328" s="1">
        <f>IF('исходные данные'!P328&gt;'минимумы и максимумы'!N$4,100,('исходные данные'!P328-'минимумы и максимумы'!N$2)/('минимумы и максимумы'!N$4-'минимумы и максимумы'!N$2)*100)</f>
        <v>0</v>
      </c>
      <c r="Q328" s="1">
        <f>IF('исходные данные'!Q328&gt;'минимумы и максимумы'!O$4,100,('исходные данные'!Q328-'минимумы и максимумы'!O$2)/('минимумы и максимумы'!O$4-'минимумы и максимумы'!O$2)*100)</f>
        <v>100</v>
      </c>
      <c r="R328" s="1">
        <f>IF('исходные данные'!R328&gt;'минимумы и максимумы'!P$4,100,('исходные данные'!R328-'минимумы и максимумы'!P$2)/('минимумы и максимумы'!P$4-'минимумы и максимумы'!P$2)*100)</f>
        <v>75</v>
      </c>
      <c r="S328" s="1">
        <f>IF('исходные данные'!S328&gt;'минимумы и максимумы'!Q$4,100,('исходные данные'!S328-'минимумы и максимумы'!Q$2)/('минимумы и максимумы'!Q$4-'минимумы и максимумы'!Q$2)*100)</f>
        <v>33.333333333333329</v>
      </c>
      <c r="T328" s="1">
        <f>IF('исходные данные'!T328&gt;'минимумы и максимумы'!R$4,100,('исходные данные'!T328-'минимумы и максимумы'!R$2)/('минимумы и максимумы'!R$4-'минимумы и максимумы'!R$2)*100)</f>
        <v>48.158803222094363</v>
      </c>
      <c r="U328" s="1">
        <f>IF('исходные данные'!U328&gt;'минимумы и максимумы'!S$4,100,('исходные данные'!U328-'минимумы и максимумы'!S$2)/('минимумы и максимумы'!S$4-'минимумы и максимумы'!S$2)*100)</f>
        <v>66.666666666666657</v>
      </c>
    </row>
    <row r="329" spans="1:21" x14ac:dyDescent="0.45">
      <c r="A329" s="4">
        <v>437</v>
      </c>
      <c r="B329" s="4">
        <v>1</v>
      </c>
      <c r="C329" s="4">
        <v>0</v>
      </c>
      <c r="D329" s="1">
        <f>IF('исходные данные'!D329&gt;'минимумы и максимумы'!B$4,100,('исходные данные'!D329-'минимумы и максимумы'!B$2)/('минимумы и максимумы'!B$4-'минимумы и максимумы'!B$2)*100)</f>
        <v>25</v>
      </c>
      <c r="E329" s="1">
        <f>IF('исходные данные'!E329&gt;'минимумы и максимумы'!C$4,100,('исходные данные'!E329-'минимумы и максимумы'!C$2)/('минимумы и максимумы'!C$4-'минимумы и максимумы'!C$2)*100)</f>
        <v>6.25</v>
      </c>
      <c r="F329" s="1">
        <f>IF('исходные данные'!F329&gt;'минимумы и максимумы'!D$4,100,('исходные данные'!F329-'минимумы и максимумы'!D$2)/('минимумы и максимумы'!D$4-'минимумы и максимумы'!D$2)*100)</f>
        <v>50</v>
      </c>
      <c r="G329" s="1">
        <f>IF('исходные данные'!G329&gt;'минимумы и максимумы'!E$4,100,('исходные данные'!G329-'минимумы и максимумы'!E$2)/('минимумы и максимумы'!E$4-'минимумы и максимумы'!E$2)*100)</f>
        <v>18.918918918918919</v>
      </c>
      <c r="H329" s="1">
        <f>IF('исходные данные'!H329&gt;'минимумы и максимумы'!F$4,100,('исходные данные'!H329-'минимумы и максимумы'!F$2)/('минимумы и максимумы'!F$4-'минимумы и максимумы'!F$2)*100)</f>
        <v>26.315789473684209</v>
      </c>
      <c r="I329" s="1">
        <f>IF('исходные данные'!I329&gt;'минимумы и максимумы'!G$4,100,('исходные данные'!I329-'минимумы и максимумы'!G$2)/('минимумы и максимумы'!G$4-'минимумы и максимумы'!G$2)*100)</f>
        <v>21.686746987951807</v>
      </c>
      <c r="J329" s="1">
        <f>IF('исходные данные'!J329&gt;'минимумы и максимумы'!H$4,100,('исходные данные'!J329-'минимумы и максимумы'!H$2)/('минимумы и максимумы'!H$4-'минимумы и максимумы'!H$2)*100)</f>
        <v>25</v>
      </c>
      <c r="K329" s="1">
        <f>IF('исходные данные'!K329&gt;'минимумы и максимумы'!I$4,100,('исходные данные'!K329-'минимумы и максимумы'!I$2)/('минимумы и максимумы'!I$4-'минимумы и максимумы'!I$2)*100)</f>
        <v>35.714285714285715</v>
      </c>
      <c r="L329" s="1">
        <f>IF('исходные данные'!L329&gt;'минимумы и максимумы'!J$4,100,('исходные данные'!L329-'минимумы и максимумы'!J$2)/('минимумы и максимумы'!J$4-'минимумы и максимумы'!J$2)*100)</f>
        <v>0</v>
      </c>
      <c r="M329" s="1">
        <f>IF('исходные данные'!M329&gt;'минимумы и максимумы'!K$4,100,('исходные данные'!M329-'минимумы и максимумы'!K$2)/('минимумы и максимумы'!K$4-'минимумы и максимумы'!K$2)*100)</f>
        <v>19.148936170212767</v>
      </c>
      <c r="N329" s="1">
        <f>IF('исходные данные'!N329&gt;'минимумы и максимумы'!L$4,100,('исходные данные'!N329-'минимумы и максимумы'!L$2)/('минимумы и максимумы'!L$4-'минимумы и максимумы'!L$2)*100)</f>
        <v>10.176195450827654</v>
      </c>
      <c r="O329" s="1">
        <f>IF('исходные данные'!O329&gt;'минимумы и максимумы'!M$4,100,('исходные данные'!O329-'минимумы и максимумы'!M$2)/('минимумы и максимумы'!M$4-'минимумы и максимумы'!M$2)*100)</f>
        <v>33.333333333333329</v>
      </c>
      <c r="P329" s="1">
        <f>IF('исходные данные'!P329&gt;'минимумы и максимумы'!N$4,100,('исходные данные'!P329-'минимумы и максимумы'!N$2)/('минимумы и максимумы'!N$4-'минимумы и максимумы'!N$2)*100)</f>
        <v>0</v>
      </c>
      <c r="Q329" s="1">
        <f>IF('исходные данные'!Q329&gt;'минимумы и максимумы'!O$4,100,('исходные данные'!Q329-'минимумы и максимумы'!O$2)/('минимумы и максимумы'!O$4-'минимумы и максимумы'!O$2)*100)</f>
        <v>0</v>
      </c>
      <c r="R329" s="1">
        <f>IF('исходные данные'!R329&gt;'минимумы и максимумы'!P$4,100,('исходные данные'!R329-'минимумы и максимумы'!P$2)/('минимумы и максимумы'!P$4-'минимумы и максимумы'!P$2)*100)</f>
        <v>75</v>
      </c>
      <c r="S329" s="1">
        <f>IF('исходные данные'!S329&gt;'минимумы и максимумы'!Q$4,100,('исходные данные'!S329-'минимумы и максимумы'!Q$2)/('минимумы и максимумы'!Q$4-'минимумы и максимумы'!Q$2)*100)</f>
        <v>11.111111111111111</v>
      </c>
      <c r="T329" s="1">
        <f>IF('исходные данные'!T329&gt;'минимумы и максимумы'!R$4,100,('исходные данные'!T329-'минимумы и максимумы'!R$2)/('минимумы и максимумы'!R$4-'минимумы и максимумы'!R$2)*100)</f>
        <v>15.161104718066742</v>
      </c>
      <c r="U329" s="1">
        <f>IF('исходные данные'!U329&gt;'минимумы и максимумы'!S$4,100,('исходные данные'!U329-'минимумы и максимумы'!S$2)/('минимумы и максимумы'!S$4-'минимумы и максимумы'!S$2)*100)</f>
        <v>0</v>
      </c>
    </row>
    <row r="330" spans="1:21" x14ac:dyDescent="0.45">
      <c r="A330" s="4">
        <v>438</v>
      </c>
      <c r="B330" s="4">
        <v>0</v>
      </c>
      <c r="C330" s="4">
        <v>0</v>
      </c>
      <c r="D330" s="1">
        <f>IF('исходные данные'!D330&gt;'минимумы и максимумы'!B$4,100,('исходные данные'!D330-'минимумы и максимумы'!B$2)/('минимумы и максимумы'!B$4-'минимумы и максимумы'!B$2)*100)</f>
        <v>12.5</v>
      </c>
      <c r="E330" s="1">
        <f>IF('исходные данные'!E330&gt;'минимумы и максимумы'!C$4,100,('исходные данные'!E330-'минимумы и максимумы'!C$2)/('минимумы и максимумы'!C$4-'минимумы и максимумы'!C$2)*100)</f>
        <v>12.5</v>
      </c>
      <c r="F330" s="1">
        <f>IF('исходные данные'!F330&gt;'минимумы и максимумы'!D$4,100,('исходные данные'!F330-'минимумы и максимумы'!D$2)/('минимумы и максимумы'!D$4-'минимумы и максимумы'!D$2)*100)</f>
        <v>50</v>
      </c>
      <c r="G330" s="1">
        <f>IF('исходные данные'!G330&gt;'минимумы и максимумы'!E$4,100,('исходные данные'!G330-'минимумы и максимумы'!E$2)/('минимумы и максимумы'!E$4-'минимумы и максимумы'!E$2)*100)</f>
        <v>40.54054054054054</v>
      </c>
      <c r="H330" s="1">
        <f>IF('исходные данные'!H330&gt;'минимумы и максимумы'!F$4,100,('исходные данные'!H330-'минимумы и максимумы'!F$2)/('минимумы и максимумы'!F$4-'минимумы и максимумы'!F$2)*100)</f>
        <v>44.736842105263158</v>
      </c>
      <c r="I330" s="1">
        <f>IF('исходные данные'!I330&gt;'минимумы и максимумы'!G$4,100,('исходные данные'!I330-'минимумы и максимумы'!G$2)/('минимумы и максимумы'!G$4-'минимумы и максимумы'!G$2)*100)</f>
        <v>59.036144578313255</v>
      </c>
      <c r="J330" s="1">
        <f>IF('исходные данные'!J330&gt;'минимумы и максимумы'!H$4,100,('исходные данные'!J330-'минимумы и максимумы'!H$2)/('минимумы и максимумы'!H$4-'минимумы и максимумы'!H$2)*100)</f>
        <v>45.833333333333329</v>
      </c>
      <c r="K330" s="1">
        <f>IF('исходные данные'!K330&gt;'минимумы и максимумы'!I$4,100,('исходные данные'!K330-'минимумы и максимумы'!I$2)/('минимумы и максимумы'!I$4-'минимумы и максимумы'!I$2)*100)</f>
        <v>50</v>
      </c>
      <c r="L330" s="1">
        <f>IF('исходные данные'!L330&gt;'минимумы и максимумы'!J$4,100,('исходные данные'!L330-'минимумы и максимумы'!J$2)/('минимумы и максимумы'!J$4-'минимумы и максимумы'!J$2)*100)</f>
        <v>62.5</v>
      </c>
      <c r="M330" s="1">
        <f>IF('исходные данные'!M330&gt;'минимумы и максимумы'!K$4,100,('исходные данные'!M330-'минимумы и максимумы'!K$2)/('минимумы и максимумы'!K$4-'минимумы и максимумы'!K$2)*100)</f>
        <v>48.936170212765958</v>
      </c>
      <c r="N330" s="1">
        <f>IF('исходные данные'!N330&gt;'минимумы и максимумы'!L$4,100,('исходные данные'!N330-'минимумы и максимумы'!L$2)/('минимумы и максимумы'!L$4-'минимумы и максимумы'!L$2)*100)</f>
        <v>11.76260052704273</v>
      </c>
      <c r="O330" s="1">
        <f>IF('исходные данные'!O330&gt;'минимумы и максимумы'!M$4,100,('исходные данные'!O330-'минимумы и максимумы'!M$2)/('минимумы и максимумы'!M$4-'минимумы и максимумы'!M$2)*100)</f>
        <v>100</v>
      </c>
      <c r="P330" s="1">
        <f>IF('исходные данные'!P330&gt;'минимумы и максимумы'!N$4,100,('исходные данные'!P330-'минимумы и максимумы'!N$2)/('минимумы и максимумы'!N$4-'минимумы и максимумы'!N$2)*100)</f>
        <v>0</v>
      </c>
      <c r="Q330" s="1">
        <f>IF('исходные данные'!Q330&gt;'минимумы и максимумы'!O$4,100,('исходные данные'!Q330-'минимумы и максимумы'!O$2)/('минимумы и максимумы'!O$4-'минимумы и максимумы'!O$2)*100)</f>
        <v>100</v>
      </c>
      <c r="R330" s="1">
        <f>IF('исходные данные'!R330&gt;'минимумы и максимумы'!P$4,100,('исходные данные'!R330-'минимумы и максимумы'!P$2)/('минимумы и максимумы'!P$4-'минимумы и максимумы'!P$2)*100)</f>
        <v>100</v>
      </c>
      <c r="S330" s="1">
        <f>IF('исходные данные'!S330&gt;'минимумы и максимумы'!Q$4,100,('исходные данные'!S330-'минимумы и максимумы'!Q$2)/('минимумы и максимумы'!Q$4-'минимумы и максимумы'!Q$2)*100)</f>
        <v>33.333333333333329</v>
      </c>
      <c r="T330" s="1">
        <f>IF('исходные данные'!T330&gt;'минимумы и максимумы'!R$4,100,('исходные данные'!T330-'минимумы и максимумы'!R$2)/('минимумы и максимумы'!R$4-'минимумы и максимумы'!R$2)*100)</f>
        <v>4.9769850402761797</v>
      </c>
      <c r="U330" s="1">
        <f>IF('исходные данные'!U330&gt;'минимумы и максимумы'!S$4,100,('исходные данные'!U330-'минимумы и максимумы'!S$2)/('минимумы и максимумы'!S$4-'минимумы и максимумы'!S$2)*100)</f>
        <v>0</v>
      </c>
    </row>
    <row r="331" spans="1:21" x14ac:dyDescent="0.45">
      <c r="A331" s="4">
        <v>439</v>
      </c>
      <c r="B331" s="4">
        <v>0</v>
      </c>
      <c r="C331" s="4">
        <v>0</v>
      </c>
      <c r="D331" s="1">
        <f>IF('исходные данные'!D331&gt;'минимумы и максимумы'!B$4,100,('исходные данные'!D331-'минимумы и максимумы'!B$2)/('минимумы и максимумы'!B$4-'минимумы и максимумы'!B$2)*100)</f>
        <v>12.5</v>
      </c>
      <c r="E331" s="1">
        <f>IF('исходные данные'!E331&gt;'минимумы и максимумы'!C$4,100,('исходные данные'!E331-'минимумы и максимумы'!C$2)/('минимумы и максимумы'!C$4-'минимумы и максимумы'!C$2)*100)</f>
        <v>6.25</v>
      </c>
      <c r="F331" s="1">
        <f>IF('исходные данные'!F331&gt;'минимумы и максимумы'!D$4,100,('исходные данные'!F331-'минимумы и максимумы'!D$2)/('минимумы и максимумы'!D$4-'минимумы и максимумы'!D$2)*100)</f>
        <v>75</v>
      </c>
      <c r="G331" s="1">
        <f>IF('исходные данные'!G331&gt;'минимумы и максимумы'!E$4,100,('исходные данные'!G331-'минимумы и максимумы'!E$2)/('минимумы и максимумы'!E$4-'минимумы и максимумы'!E$2)*100)</f>
        <v>37.837837837837839</v>
      </c>
      <c r="H331" s="1">
        <f>IF('исходные данные'!H331&gt;'минимумы и максимумы'!F$4,100,('исходные данные'!H331-'минимумы и максимумы'!F$2)/('минимумы и максимумы'!F$4-'минимумы и максимумы'!F$2)*100)</f>
        <v>39.473684210526315</v>
      </c>
      <c r="I331" s="1">
        <f>IF('исходные данные'!I331&gt;'минимумы и максимумы'!G$4,100,('исходные данные'!I331-'минимумы и максимумы'!G$2)/('минимумы и максимумы'!G$4-'минимумы и максимумы'!G$2)*100)</f>
        <v>55.421686746987952</v>
      </c>
      <c r="J331" s="1">
        <f>IF('исходные данные'!J331&gt;'минимумы и максимумы'!H$4,100,('исходные данные'!J331-'минимумы и максимумы'!H$2)/('минимумы и максимумы'!H$4-'минимумы и максимумы'!H$2)*100)</f>
        <v>62.5</v>
      </c>
      <c r="K331" s="1">
        <f>IF('исходные данные'!K331&gt;'минимумы и максимумы'!I$4,100,('исходные данные'!K331-'минимумы и максимумы'!I$2)/('минимумы и максимумы'!I$4-'минимумы и максимумы'!I$2)*100)</f>
        <v>57.142857142857139</v>
      </c>
      <c r="L331" s="1">
        <f>IF('исходные данные'!L331&gt;'минимумы и максимумы'!J$4,100,('исходные данные'!L331-'минимумы и максимумы'!J$2)/('минимумы и максимумы'!J$4-'минимумы и максимумы'!J$2)*100)</f>
        <v>62.5</v>
      </c>
      <c r="M331" s="1">
        <f>IF('исходные данные'!M331&gt;'минимумы и максимумы'!K$4,100,('исходные данные'!M331-'минимумы и максимумы'!K$2)/('минимумы и максимумы'!K$4-'минимумы и максимумы'!K$2)*100)</f>
        <v>40.425531914893611</v>
      </c>
      <c r="N331" s="1">
        <f>IF('исходные данные'!N331&gt;'минимумы и максимумы'!L$4,100,('исходные данные'!N331-'минимумы и максимумы'!L$2)/('минимумы и максимумы'!L$4-'минимумы и максимумы'!L$2)*100)</f>
        <v>11.498051988424997</v>
      </c>
      <c r="O331" s="1">
        <f>IF('исходные данные'!O331&gt;'минимумы и максимумы'!M$4,100,('исходные данные'!O331-'минимумы и максимумы'!M$2)/('минимумы и максимумы'!M$4-'минимумы и максимумы'!M$2)*100)</f>
        <v>0</v>
      </c>
      <c r="P331" s="1">
        <f>IF('исходные данные'!P331&gt;'минимумы и максимумы'!N$4,100,('исходные данные'!P331-'минимумы и максимумы'!N$2)/('минимумы и максимумы'!N$4-'минимумы и максимумы'!N$2)*100)</f>
        <v>0</v>
      </c>
      <c r="Q331" s="1">
        <f>IF('исходные данные'!Q331&gt;'минимумы и максимумы'!O$4,100,('исходные данные'!Q331-'минимумы и максимумы'!O$2)/('минимумы и максимумы'!O$4-'минимумы и максимумы'!O$2)*100)</f>
        <v>100</v>
      </c>
      <c r="R331" s="1">
        <f>IF('исходные данные'!R331&gt;'минимумы и максимумы'!P$4,100,('исходные данные'!R331-'минимумы и максимумы'!P$2)/('минимумы и максимумы'!P$4-'минимумы и максимумы'!P$2)*100)</f>
        <v>100</v>
      </c>
      <c r="S331" s="1">
        <f>IF('исходные данные'!S331&gt;'минимумы и максимумы'!Q$4,100,('исходные данные'!S331-'минимумы и максимумы'!Q$2)/('минимумы и максимумы'!Q$4-'минимумы и максимумы'!Q$2)*100)</f>
        <v>55.555555555555557</v>
      </c>
      <c r="T331" s="1">
        <f>IF('исходные данные'!T331&gt;'минимумы и максимумы'!R$4,100,('исходные данные'!T331-'минимумы и максимумы'!R$2)/('минимумы и максимумы'!R$4-'минимумы и максимумы'!R$2)*100)</f>
        <v>49.741081703107021</v>
      </c>
      <c r="U331" s="1">
        <f>IF('исходные данные'!U331&gt;'минимумы и максимумы'!S$4,100,('исходные данные'!U331-'минимумы и максимумы'!S$2)/('минимумы и максимумы'!S$4-'минимумы и максимумы'!S$2)*100)</f>
        <v>66.666666666666657</v>
      </c>
    </row>
    <row r="332" spans="1:21" x14ac:dyDescent="0.45">
      <c r="A332" s="4">
        <v>440</v>
      </c>
      <c r="B332" s="4">
        <v>0</v>
      </c>
      <c r="C332" s="4">
        <v>0</v>
      </c>
      <c r="D332" s="1">
        <f>IF('исходные данные'!D332&gt;'минимумы и максимумы'!B$4,100,('исходные данные'!D332-'минимумы и максимумы'!B$2)/('минимумы и максимумы'!B$4-'минимумы и максимумы'!B$2)*100)</f>
        <v>12.5</v>
      </c>
      <c r="E332" s="1">
        <f>IF('исходные данные'!E332&gt;'минимумы и максимумы'!C$4,100,('исходные данные'!E332-'минимумы и максимумы'!C$2)/('минимумы и максимумы'!C$4-'минимумы и максимумы'!C$2)*100)</f>
        <v>12.5</v>
      </c>
      <c r="F332" s="1">
        <f>IF('исходные данные'!F332&gt;'минимумы и максимумы'!D$4,100,('исходные данные'!F332-'минимумы и максимумы'!D$2)/('минимумы и максимумы'!D$4-'минимумы и максимумы'!D$2)*100)</f>
        <v>75</v>
      </c>
      <c r="G332" s="1">
        <f>IF('исходные данные'!G332&gt;'минимумы и максимумы'!E$4,100,('исходные данные'!G332-'минимумы и максимумы'!E$2)/('минимумы и максимумы'!E$4-'минимумы и максимумы'!E$2)*100)</f>
        <v>40.54054054054054</v>
      </c>
      <c r="H332" s="1">
        <f>IF('исходные данные'!H332&gt;'минимумы и максимумы'!F$4,100,('исходные данные'!H332-'минимумы и максимумы'!F$2)/('минимумы и максимумы'!F$4-'минимумы и максимумы'!F$2)*100)</f>
        <v>34.210526315789473</v>
      </c>
      <c r="I332" s="1">
        <f>IF('исходные данные'!I332&gt;'минимумы и максимумы'!G$4,100,('исходные данные'!I332-'минимумы и максимумы'!G$2)/('минимумы и максимумы'!G$4-'минимумы и максимумы'!G$2)*100)</f>
        <v>53.01204819277109</v>
      </c>
      <c r="J332" s="1">
        <f>IF('исходные данные'!J332&gt;'минимумы и максимумы'!H$4,100,('исходные данные'!J332-'минимумы и максимумы'!H$2)/('минимумы и максимумы'!H$4-'минимумы и максимумы'!H$2)*100)</f>
        <v>58.333333333333336</v>
      </c>
      <c r="K332" s="1">
        <f>IF('исходные данные'!K332&gt;'минимумы и максимумы'!I$4,100,('исходные данные'!K332-'минимумы и максимумы'!I$2)/('минимумы и максимумы'!I$4-'минимумы и максимумы'!I$2)*100)</f>
        <v>57.142857142857139</v>
      </c>
      <c r="L332" s="1">
        <f>IF('исходные данные'!L332&gt;'минимумы и максимумы'!J$4,100,('исходные данные'!L332-'минимумы и максимумы'!J$2)/('минимумы и максимумы'!J$4-'минимумы и максимумы'!J$2)*100)</f>
        <v>62.5</v>
      </c>
      <c r="M332" s="1">
        <f>IF('исходные данные'!M332&gt;'минимумы и максимумы'!K$4,100,('исходные данные'!M332-'минимумы и максимумы'!K$2)/('минимумы и максимумы'!K$4-'минимумы и максимумы'!K$2)*100)</f>
        <v>40.425531914893611</v>
      </c>
      <c r="N332" s="1">
        <f>IF('исходные данные'!N332&gt;'минимумы и максимумы'!L$4,100,('исходные данные'!N332-'минимумы и максимумы'!L$2)/('минимумы и максимумы'!L$4-'минимумы и максимумы'!L$2)*100)</f>
        <v>11.477609723977073</v>
      </c>
      <c r="O332" s="1">
        <f>IF('исходные данные'!O332&gt;'минимумы и максимумы'!M$4,100,('исходные данные'!O332-'минимумы и максимумы'!M$2)/('минимумы и максимумы'!M$4-'минимумы и максимумы'!M$2)*100)</f>
        <v>100</v>
      </c>
      <c r="P332" s="1">
        <f>IF('исходные данные'!P332&gt;'минимумы и максимумы'!N$4,100,('исходные данные'!P332-'минимумы и максимумы'!N$2)/('минимумы и максимумы'!N$4-'минимумы и максимумы'!N$2)*100)</f>
        <v>0</v>
      </c>
      <c r="Q332" s="1">
        <f>IF('исходные данные'!Q332&gt;'минимумы и максимумы'!O$4,100,('исходные данные'!Q332-'минимумы и максимумы'!O$2)/('минимумы и максимумы'!O$4-'минимумы и максимумы'!O$2)*100)</f>
        <v>100</v>
      </c>
      <c r="R332" s="1">
        <f>IF('исходные данные'!R332&gt;'минимумы и максимумы'!P$4,100,('исходные данные'!R332-'минимумы и максимумы'!P$2)/('минимумы и максимумы'!P$4-'минимумы и максимумы'!P$2)*100)</f>
        <v>100</v>
      </c>
      <c r="S332" s="1">
        <f>IF('исходные данные'!S332&gt;'минимумы и максимумы'!Q$4,100,('исходные данные'!S332-'минимумы и максимумы'!Q$2)/('минимумы и максимумы'!Q$4-'минимумы и максимумы'!Q$2)*100)</f>
        <v>55.555555555555557</v>
      </c>
      <c r="T332" s="1">
        <f>IF('исходные данные'!T332&gt;'минимумы и максимумы'!R$4,100,('исходные данные'!T332-'минимумы и максимумы'!R$2)/('минимумы и максимумы'!R$4-'минимумы и максимумы'!R$2)*100)</f>
        <v>20.339470655926352</v>
      </c>
      <c r="U332" s="1">
        <f>IF('исходные данные'!U332&gt;'минимумы и максимумы'!S$4,100,('исходные данные'!U332-'минимумы и максимумы'!S$2)/('минимумы и максимумы'!S$4-'минимумы и максимумы'!S$2)*100)</f>
        <v>33.333333333333329</v>
      </c>
    </row>
    <row r="333" spans="1:21" x14ac:dyDescent="0.45">
      <c r="A333" s="4">
        <v>441</v>
      </c>
      <c r="B333" s="4">
        <v>0</v>
      </c>
      <c r="C333" s="4">
        <v>0</v>
      </c>
      <c r="D333" s="1">
        <f>IF('исходные данные'!D333&gt;'минимумы и максимумы'!B$4,100,('исходные данные'!D333-'минимумы и максимумы'!B$2)/('минимумы и максимумы'!B$4-'минимумы и максимумы'!B$2)*100)</f>
        <v>37.5</v>
      </c>
      <c r="E333" s="1">
        <f>IF('исходные данные'!E333&gt;'минимумы и максимумы'!C$4,100,('исходные данные'!E333-'минимумы и максимумы'!C$2)/('минимумы и максимумы'!C$4-'минимумы и максимумы'!C$2)*100)</f>
        <v>25</v>
      </c>
      <c r="F333" s="1">
        <f>IF('исходные данные'!F333&gt;'минимумы и максимумы'!D$4,100,('исходные данные'!F333-'минимумы и максимумы'!D$2)/('минимумы и максимумы'!D$4-'минимумы и максимумы'!D$2)*100)</f>
        <v>25</v>
      </c>
      <c r="G333" s="1">
        <f>IF('исходные данные'!G333&gt;'минимумы и максимумы'!E$4,100,('исходные данные'!G333-'минимумы и максимумы'!E$2)/('минимумы и максимумы'!E$4-'минимумы и максимумы'!E$2)*100)</f>
        <v>48.648648648648653</v>
      </c>
      <c r="H333" s="1">
        <f>IF('исходные данные'!H333&gt;'минимумы и максимумы'!F$4,100,('исходные данные'!H333-'минимумы и максимумы'!F$2)/('минимумы и максимумы'!F$4-'минимумы и максимумы'!F$2)*100)</f>
        <v>31.578947368421051</v>
      </c>
      <c r="I333" s="1">
        <f>IF('исходные данные'!I333&gt;'минимумы и максимумы'!G$4,100,('исходные данные'!I333-'минимумы и максимумы'!G$2)/('минимумы и максимумы'!G$4-'минимумы и максимумы'!G$2)*100)</f>
        <v>27.710843373493976</v>
      </c>
      <c r="J333" s="1">
        <f>IF('исходные данные'!J333&gt;'минимумы и максимумы'!H$4,100,('исходные данные'!J333-'минимумы и максимумы'!H$2)/('минимумы и максимумы'!H$4-'минимумы и максимумы'!H$2)*100)</f>
        <v>54.166666666666664</v>
      </c>
      <c r="K333" s="1">
        <f>IF('исходные данные'!K333&gt;'минимумы и максимумы'!I$4,100,('исходные данные'!K333-'минимумы и максимумы'!I$2)/('минимумы и максимумы'!I$4-'минимумы и максимумы'!I$2)*100)</f>
        <v>17.857142857142858</v>
      </c>
      <c r="L333" s="1">
        <f>IF('исходные данные'!L333&gt;'минимумы и максимумы'!J$4,100,('исходные данные'!L333-'минимумы и максимумы'!J$2)/('минимумы и максимумы'!J$4-'минимумы и максимумы'!J$2)*100)</f>
        <v>12.5</v>
      </c>
      <c r="M333" s="1">
        <f>IF('исходные данные'!M333&gt;'минимумы и максимумы'!K$4,100,('исходные данные'!M333-'минимумы и максимумы'!K$2)/('минимумы и максимумы'!K$4-'минимумы и максимумы'!K$2)*100)</f>
        <v>51.063829787234042</v>
      </c>
      <c r="N333" s="1">
        <f>IF('исходные данные'!N333&gt;'минимумы и максимумы'!L$4,100,('исходные данные'!N333-'минимумы и максимумы'!L$2)/('минимумы и максимумы'!L$4-'минимумы и максимумы'!L$2)*100)</f>
        <v>12.810093327008337</v>
      </c>
      <c r="O333" s="1">
        <f>IF('исходные данные'!O333&gt;'минимумы и максимумы'!M$4,100,('исходные данные'!O333-'минимумы и максимумы'!M$2)/('минимумы и максимумы'!M$4-'минимумы и максимумы'!M$2)*100)</f>
        <v>0</v>
      </c>
      <c r="P333" s="1">
        <f>IF('исходные данные'!P333&gt;'минимумы и максимумы'!N$4,100,('исходные данные'!P333-'минимумы и максимумы'!N$2)/('минимумы и максимумы'!N$4-'минимумы и максимумы'!N$2)*100)</f>
        <v>0</v>
      </c>
      <c r="Q333" s="1">
        <f>IF('исходные данные'!Q333&gt;'минимумы и максимумы'!O$4,100,('исходные данные'!Q333-'минимумы и максимумы'!O$2)/('минимумы и максимумы'!O$4-'минимумы и максимумы'!O$2)*100)</f>
        <v>0</v>
      </c>
      <c r="R333" s="1">
        <f>IF('исходные данные'!R333&gt;'минимумы и максимумы'!P$4,100,('исходные данные'!R333-'минимумы и максимумы'!P$2)/('минимумы и максимумы'!P$4-'минимумы и максимумы'!P$2)*100)</f>
        <v>100</v>
      </c>
      <c r="S333" s="1">
        <f>IF('исходные данные'!S333&gt;'минимумы и максимумы'!Q$4,100,('исходные данные'!S333-'минимумы и максимумы'!Q$2)/('минимумы и максимумы'!Q$4-'минимумы и максимумы'!Q$2)*100)</f>
        <v>11.111111111111111</v>
      </c>
      <c r="T333" s="1">
        <f>IF('исходные данные'!T333&gt;'минимумы и максимумы'!R$4,100,('исходные данные'!T333-'минимумы и максимумы'!R$2)/('минимумы и максимумы'!R$4-'минимумы и максимумы'!R$2)*100)</f>
        <v>47.986191024165706</v>
      </c>
      <c r="U333" s="1">
        <f>IF('исходные данные'!U333&gt;'минимумы и максимумы'!S$4,100,('исходные данные'!U333-'минимумы и максимумы'!S$2)/('минимумы и максимумы'!S$4-'минимумы и максимумы'!S$2)*100)</f>
        <v>100</v>
      </c>
    </row>
    <row r="334" spans="1:21" x14ac:dyDescent="0.45">
      <c r="A334" s="4">
        <v>442</v>
      </c>
      <c r="B334" s="4">
        <v>0</v>
      </c>
      <c r="C334" s="4">
        <v>0</v>
      </c>
      <c r="D334" s="1">
        <f>IF('исходные данные'!D334&gt;'минимумы и максимумы'!B$4,100,('исходные данные'!D334-'минимумы и максимумы'!B$2)/('минимумы и максимумы'!B$4-'минимумы и максимумы'!B$2)*100)</f>
        <v>37.5</v>
      </c>
      <c r="E334" s="1">
        <f>IF('исходные данные'!E334&gt;'минимумы и максимумы'!C$4,100,('исходные данные'!E334-'минимумы и максимумы'!C$2)/('минимумы и максимумы'!C$4-'минимумы и максимумы'!C$2)*100)</f>
        <v>31.25</v>
      </c>
      <c r="F334" s="1">
        <f>IF('исходные данные'!F334&gt;'минимумы и максимумы'!D$4,100,('исходные данные'!F334-'минимумы и максимумы'!D$2)/('минимумы и максимумы'!D$4-'минимумы и максимумы'!D$2)*100)</f>
        <v>50</v>
      </c>
      <c r="G334" s="1">
        <f>IF('исходные данные'!G334&gt;'минимумы и максимумы'!E$4,100,('исходные данные'!G334-'минимумы и максимумы'!E$2)/('минимумы и максимумы'!E$4-'минимумы и максимумы'!E$2)*100)</f>
        <v>48.648648648648653</v>
      </c>
      <c r="H334" s="1">
        <f>IF('исходные данные'!H334&gt;'минимумы и максимумы'!F$4,100,('исходные данные'!H334-'минимумы и максимумы'!F$2)/('минимумы и максимумы'!F$4-'минимумы и максимумы'!F$2)*100)</f>
        <v>42.105263157894733</v>
      </c>
      <c r="I334" s="1">
        <f>IF('исходные данные'!I334&gt;'минимумы и максимумы'!G$4,100,('исходные данные'!I334-'минимумы и максимумы'!G$2)/('минимумы и максимумы'!G$4-'минимумы и максимумы'!G$2)*100)</f>
        <v>31.325301204819279</v>
      </c>
      <c r="J334" s="1">
        <f>IF('исходные данные'!J334&gt;'минимумы и максимумы'!H$4,100,('исходные данные'!J334-'минимумы и максимумы'!H$2)/('минимумы и максимумы'!H$4-'минимумы и максимумы'!H$2)*100)</f>
        <v>62.5</v>
      </c>
      <c r="K334" s="1">
        <f>IF('исходные данные'!K334&gt;'минимумы и максимумы'!I$4,100,('исходные данные'!K334-'минимумы и максимумы'!I$2)/('минимумы и максимумы'!I$4-'минимумы и максимумы'!I$2)*100)</f>
        <v>17.857142857142858</v>
      </c>
      <c r="L334" s="1">
        <f>IF('исходные данные'!L334&gt;'минимумы и максимумы'!J$4,100,('исходные данные'!L334-'минимумы и максимумы'!J$2)/('минимумы и максимумы'!J$4-'минимумы и максимумы'!J$2)*100)</f>
        <v>12.5</v>
      </c>
      <c r="M334" s="1">
        <f>IF('исходные данные'!M334&gt;'минимумы и максимумы'!K$4,100,('исходные данные'!M334-'минимумы и максимумы'!K$2)/('минимумы и максимумы'!K$4-'минимумы и максимумы'!K$2)*100)</f>
        <v>53.191489361702125</v>
      </c>
      <c r="N334" s="1">
        <f>IF('исходные данные'!N334&gt;'минимумы и максимумы'!L$4,100,('исходные данные'!N334-'минимумы и максимумы'!L$2)/('минимумы и максимумы'!L$4-'минимумы и максимумы'!L$2)*100)</f>
        <v>12.612342325767523</v>
      </c>
      <c r="O334" s="1">
        <f>IF('исходные данные'!O334&gt;'минимумы и максимумы'!M$4,100,('исходные данные'!O334-'минимумы и максимумы'!M$2)/('минимумы и максимумы'!M$4-'минимумы и максимумы'!M$2)*100)</f>
        <v>100</v>
      </c>
      <c r="P334" s="1">
        <f>IF('исходные данные'!P334&gt;'минимумы и максимумы'!N$4,100,('исходные данные'!P334-'минимумы и максимумы'!N$2)/('минимумы и максимумы'!N$4-'минимумы и максимумы'!N$2)*100)</f>
        <v>0</v>
      </c>
      <c r="Q334" s="1">
        <f>IF('исходные данные'!Q334&gt;'минимумы и максимумы'!O$4,100,('исходные данные'!Q334-'минимумы и максимумы'!O$2)/('минимумы и максимумы'!O$4-'минимумы и максимумы'!O$2)*100)</f>
        <v>100</v>
      </c>
      <c r="R334" s="1">
        <f>IF('исходные данные'!R334&gt;'минимумы и максимумы'!P$4,100,('исходные данные'!R334-'минимумы и максимумы'!P$2)/('минимумы и максимумы'!P$4-'минимумы и максимумы'!P$2)*100)</f>
        <v>100</v>
      </c>
      <c r="S334" s="1">
        <f>IF('исходные данные'!S334&gt;'минимумы и максимумы'!Q$4,100,('исходные данные'!S334-'минимумы и максимумы'!Q$2)/('минимумы и максимумы'!Q$4-'минимумы и максимумы'!Q$2)*100)</f>
        <v>33.333333333333329</v>
      </c>
      <c r="T334" s="1">
        <f>IF('исходные данные'!T334&gt;'минимумы и максимумы'!R$4,100,('исходные данные'!T334-'минимумы и максимумы'!R$2)/('минимумы и максимумы'!R$4-'минимумы и максимумы'!R$2)*100)</f>
        <v>6.2140391254315306</v>
      </c>
      <c r="U334" s="1">
        <f>IF('исходные данные'!U334&gt;'минимумы и максимумы'!S$4,100,('исходные данные'!U334-'минимумы и максимумы'!S$2)/('минимумы и максимумы'!S$4-'минимумы и максимумы'!S$2)*100)</f>
        <v>0</v>
      </c>
    </row>
    <row r="335" spans="1:21" x14ac:dyDescent="0.45">
      <c r="A335" s="4">
        <v>443</v>
      </c>
      <c r="B335" s="4">
        <v>0</v>
      </c>
      <c r="C335" s="4">
        <v>0</v>
      </c>
      <c r="D335" s="1">
        <f>IF('исходные данные'!D335&gt;'минимумы и максимумы'!B$4,100,('исходные данные'!D335-'минимумы и максимумы'!B$2)/('минимумы и максимумы'!B$4-'минимумы и максимумы'!B$2)*100)</f>
        <v>37.5</v>
      </c>
      <c r="E335" s="1">
        <f>IF('исходные данные'!E335&gt;'минимумы и максимумы'!C$4,100,('исходные данные'!E335-'минимумы и максимумы'!C$2)/('минимумы и максимумы'!C$4-'минимумы и максимумы'!C$2)*100)</f>
        <v>31.25</v>
      </c>
      <c r="F335" s="1">
        <f>IF('исходные данные'!F335&gt;'минимумы и максимумы'!D$4,100,('исходные данные'!F335-'минимумы и максимумы'!D$2)/('минимумы и максимумы'!D$4-'минимумы и максимумы'!D$2)*100)</f>
        <v>50</v>
      </c>
      <c r="G335" s="1">
        <f>IF('исходные данные'!G335&gt;'минимумы и максимумы'!E$4,100,('исходные данные'!G335-'минимумы и максимумы'!E$2)/('минимумы и максимумы'!E$4-'минимумы и максимумы'!E$2)*100)</f>
        <v>48.648648648648653</v>
      </c>
      <c r="H335" s="1">
        <f>IF('исходные данные'!H335&gt;'минимумы и максимумы'!F$4,100,('исходные данные'!H335-'минимумы и максимумы'!F$2)/('минимумы и максимумы'!F$4-'минимумы и максимумы'!F$2)*100)</f>
        <v>42.105263157894733</v>
      </c>
      <c r="I335" s="1">
        <f>IF('исходные данные'!I335&gt;'минимумы и максимумы'!G$4,100,('исходные данные'!I335-'минимумы и максимумы'!G$2)/('минимумы и максимумы'!G$4-'минимумы и максимумы'!G$2)*100)</f>
        <v>31.325301204819279</v>
      </c>
      <c r="J335" s="1">
        <f>IF('исходные данные'!J335&gt;'минимумы и максимумы'!H$4,100,('исходные данные'!J335-'минимумы и максимумы'!H$2)/('минимумы и максимумы'!H$4-'минимумы и максимумы'!H$2)*100)</f>
        <v>62.5</v>
      </c>
      <c r="K335" s="1">
        <f>IF('исходные данные'!K335&gt;'минимумы и максимумы'!I$4,100,('исходные данные'!K335-'минимумы и максимумы'!I$2)/('минимумы и максимумы'!I$4-'минимумы и максимумы'!I$2)*100)</f>
        <v>17.857142857142858</v>
      </c>
      <c r="L335" s="1">
        <f>IF('исходные данные'!L335&gt;'минимумы и максимумы'!J$4,100,('исходные данные'!L335-'минимумы и максимумы'!J$2)/('минимумы и максимумы'!J$4-'минимумы и максимумы'!J$2)*100)</f>
        <v>12.5</v>
      </c>
      <c r="M335" s="1">
        <f>IF('исходные данные'!M335&gt;'минимумы и максимумы'!K$4,100,('исходные данные'!M335-'минимумы и максимумы'!K$2)/('минимумы и максимумы'!K$4-'минимумы и максимумы'!K$2)*100)</f>
        <v>53.191489361702125</v>
      </c>
      <c r="N335" s="1">
        <f>IF('исходные данные'!N335&gt;'минимумы и максимумы'!L$4,100,('исходные данные'!N335-'минимумы и максимумы'!L$2)/('минимумы и максимумы'!L$4-'минимумы и максимумы'!L$2)*100)</f>
        <v>12.45260096472289</v>
      </c>
      <c r="O335" s="1">
        <f>IF('исходные данные'!O335&gt;'минимумы и максимумы'!M$4,100,('исходные данные'!O335-'минимумы и максимумы'!M$2)/('минимумы и максимумы'!M$4-'минимумы и максимумы'!M$2)*100)</f>
        <v>100</v>
      </c>
      <c r="P335" s="1">
        <f>IF('исходные данные'!P335&gt;'минимумы и максимумы'!N$4,100,('исходные данные'!P335-'минимумы и максимумы'!N$2)/('минимумы и максимумы'!N$4-'минимумы и максимумы'!N$2)*100)</f>
        <v>0</v>
      </c>
      <c r="Q335" s="1">
        <f>IF('исходные данные'!Q335&gt;'минимумы и максимумы'!O$4,100,('исходные данные'!Q335-'минимумы и максимумы'!O$2)/('минимумы и максимумы'!O$4-'минимумы и максимумы'!O$2)*100)</f>
        <v>100</v>
      </c>
      <c r="R335" s="1">
        <f>IF('исходные данные'!R335&gt;'минимумы и максимумы'!P$4,100,('исходные данные'!R335-'минимумы и максимумы'!P$2)/('минимумы и максимумы'!P$4-'минимумы и максимумы'!P$2)*100)</f>
        <v>100</v>
      </c>
      <c r="S335" s="1">
        <f>IF('исходные данные'!S335&gt;'минимумы и максимумы'!Q$4,100,('исходные данные'!S335-'минимумы и максимумы'!Q$2)/('минимумы и максимумы'!Q$4-'минимумы и максимумы'!Q$2)*100)</f>
        <v>22.222222222222221</v>
      </c>
      <c r="T335" s="1">
        <f>IF('исходные данные'!T335&gt;'минимумы и максимумы'!R$4,100,('исходные данные'!T335-'минимумы и максимумы'!R$2)/('минимумы и максимумы'!R$4-'минимумы и максимумы'!R$2)*100)</f>
        <v>12.485615650172614</v>
      </c>
      <c r="U335" s="1">
        <f>IF('исходные данные'!U335&gt;'минимумы и максимумы'!S$4,100,('исходные данные'!U335-'минимумы и максимумы'!S$2)/('минимумы и максимумы'!S$4-'минимумы и максимумы'!S$2)*100)</f>
        <v>66.666666666666657</v>
      </c>
    </row>
    <row r="336" spans="1:21" x14ac:dyDescent="0.45">
      <c r="A336" s="4">
        <v>444</v>
      </c>
      <c r="B336" s="4">
        <v>0</v>
      </c>
      <c r="C336" s="4">
        <v>0</v>
      </c>
      <c r="D336" s="1">
        <f>IF('исходные данные'!D336&gt;'минимумы и максимумы'!B$4,100,('исходные данные'!D336-'минимумы и максимумы'!B$2)/('минимумы и максимумы'!B$4-'минимумы и максимумы'!B$2)*100)</f>
        <v>12.5</v>
      </c>
      <c r="E336" s="1">
        <f>IF('исходные данные'!E336&gt;'минимумы и максимумы'!C$4,100,('исходные данные'!E336-'минимумы и максимумы'!C$2)/('минимумы и максимумы'!C$4-'минимумы и максимумы'!C$2)*100)</f>
        <v>25</v>
      </c>
      <c r="F336" s="1">
        <f>IF('исходные данные'!F336&gt;'минимумы и максимумы'!D$4,100,('исходные данные'!F336-'минимумы и максимумы'!D$2)/('минимумы и максимумы'!D$4-'минимумы и максимумы'!D$2)*100)</f>
        <v>0</v>
      </c>
      <c r="G336" s="1">
        <f>IF('исходные данные'!G336&gt;'минимумы и максимумы'!E$4,100,('исходные данные'!G336-'минимумы и максимумы'!E$2)/('минимумы и максимумы'!E$4-'минимумы и максимумы'!E$2)*100)</f>
        <v>29.72972972972973</v>
      </c>
      <c r="H336" s="1">
        <f>IF('исходные данные'!H336&gt;'минимумы и максимумы'!F$4,100,('исходные данные'!H336-'минимумы и максимумы'!F$2)/('минимумы и максимумы'!F$4-'минимумы и максимумы'!F$2)*100)</f>
        <v>42.105263157894733</v>
      </c>
      <c r="I336" s="1">
        <f>IF('исходные данные'!I336&gt;'минимумы и максимумы'!G$4,100,('исходные данные'!I336-'минимумы и максимумы'!G$2)/('минимумы и максимумы'!G$4-'минимумы и максимумы'!G$2)*100)</f>
        <v>56.626506024096393</v>
      </c>
      <c r="J336" s="1">
        <f>IF('исходные данные'!J336&gt;'минимумы и максимумы'!H$4,100,('исходные данные'!J336-'минимумы и максимумы'!H$2)/('минимумы и максимумы'!H$4-'минимумы и максимумы'!H$2)*100)</f>
        <v>41.666666666666671</v>
      </c>
      <c r="K336" s="1">
        <f>IF('исходные данные'!K336&gt;'минимумы и максимумы'!I$4,100,('исходные данные'!K336-'минимумы и максимумы'!I$2)/('минимумы и максимумы'!I$4-'минимумы и максимумы'!I$2)*100)</f>
        <v>42.857142857142854</v>
      </c>
      <c r="L336" s="1">
        <f>IF('исходные данные'!L336&gt;'минимумы и максимумы'!J$4,100,('исходные данные'!L336-'минимумы и максимумы'!J$2)/('минимумы и максимумы'!J$4-'минимумы и максимумы'!J$2)*100)</f>
        <v>62.5</v>
      </c>
      <c r="M336" s="1">
        <f>IF('исходные данные'!M336&gt;'минимумы и максимумы'!K$4,100,('исходные данные'!M336-'минимумы и максимумы'!K$2)/('минимумы и максимумы'!K$4-'минимумы и максимумы'!K$2)*100)</f>
        <v>59.574468085106382</v>
      </c>
      <c r="N336" s="1">
        <f>IF('исходные данные'!N336&gt;'минимумы и максимумы'!L$4,100,('исходные данные'!N336-'минимумы и максимумы'!L$2)/('минимумы и максимумы'!L$4-'минимумы и максимумы'!L$2)*100)</f>
        <v>11.789388644564342</v>
      </c>
      <c r="O336" s="1">
        <f>IF('исходные данные'!O336&gt;'минимумы и максимумы'!M$4,100,('исходные данные'!O336-'минимумы и максимумы'!M$2)/('минимумы и максимумы'!M$4-'минимумы и максимумы'!M$2)*100)</f>
        <v>0</v>
      </c>
      <c r="P336" s="1">
        <f>IF('исходные данные'!P336&gt;'минимумы и максимумы'!N$4,100,('исходные данные'!P336-'минимумы и максимумы'!N$2)/('минимумы и максимумы'!N$4-'минимумы и максимумы'!N$2)*100)</f>
        <v>0</v>
      </c>
      <c r="Q336" s="1">
        <f>IF('исходные данные'!Q336&gt;'минимумы и максимумы'!O$4,100,('исходные данные'!Q336-'минимумы и максимумы'!O$2)/('минимумы и максимумы'!O$4-'минимумы и максимумы'!O$2)*100)</f>
        <v>100</v>
      </c>
      <c r="R336" s="1">
        <f>IF('исходные данные'!R336&gt;'минимумы и максимумы'!P$4,100,('исходные данные'!R336-'минимумы и максимумы'!P$2)/('минимумы и максимумы'!P$4-'минимумы и максимумы'!P$2)*100)</f>
        <v>100</v>
      </c>
      <c r="S336" s="1">
        <f>IF('исходные данные'!S336&gt;'минимумы и максимумы'!Q$4,100,('исходные данные'!S336-'минимумы и максимумы'!Q$2)/('минимумы и максимумы'!Q$4-'минимумы и максимумы'!Q$2)*100)</f>
        <v>22.222222222222221</v>
      </c>
      <c r="T336" s="1">
        <f>IF('исходные данные'!T336&gt;'минимумы и максимумы'!R$4,100,('исходные данные'!T336-'минимумы и максимумы'!R$2)/('минимумы и максимумы'!R$4-'минимумы и максимумы'!R$2)*100)</f>
        <v>50.287686996547755</v>
      </c>
      <c r="U336" s="1">
        <f>IF('исходные данные'!U336&gt;'минимумы и максимумы'!S$4,100,('исходные данные'!U336-'минимумы и максимумы'!S$2)/('минимумы и максимумы'!S$4-'минимумы и максимумы'!S$2)*100)</f>
        <v>33.333333333333329</v>
      </c>
    </row>
    <row r="337" spans="1:21" x14ac:dyDescent="0.45">
      <c r="A337" s="4">
        <v>445</v>
      </c>
      <c r="B337" s="4">
        <v>0</v>
      </c>
      <c r="C337" s="4">
        <v>0</v>
      </c>
      <c r="D337" s="1">
        <f>IF('исходные данные'!D337&gt;'минимумы и максимумы'!B$4,100,('исходные данные'!D337-'минимумы и максимумы'!B$2)/('минимумы и максимумы'!B$4-'минимумы и максимумы'!B$2)*100)</f>
        <v>12.5</v>
      </c>
      <c r="E337" s="1">
        <f>IF('исходные данные'!E337&gt;'минимумы и максимумы'!C$4,100,('исходные данные'!E337-'минимумы и максимумы'!C$2)/('минимумы и максимумы'!C$4-'минимумы и максимумы'!C$2)*100)</f>
        <v>12.5</v>
      </c>
      <c r="F337" s="1">
        <f>IF('исходные данные'!F337&gt;'минимумы и максимумы'!D$4,100,('исходные данные'!F337-'минимумы и максимумы'!D$2)/('минимумы и максимумы'!D$4-'минимумы и максимумы'!D$2)*100)</f>
        <v>0</v>
      </c>
      <c r="G337" s="1">
        <f>IF('исходные данные'!G337&gt;'минимумы и максимумы'!E$4,100,('исходные данные'!G337-'минимумы и максимумы'!E$2)/('минимумы и максимумы'!E$4-'минимумы и максимумы'!E$2)*100)</f>
        <v>21.621621621621621</v>
      </c>
      <c r="H337" s="1">
        <f>IF('исходные данные'!H337&gt;'минимумы и максимумы'!F$4,100,('исходные данные'!H337-'минимумы и максимумы'!F$2)/('минимумы и максимумы'!F$4-'минимумы и максимумы'!F$2)*100)</f>
        <v>21.052631578947366</v>
      </c>
      <c r="I337" s="1">
        <f>IF('исходные данные'!I337&gt;'минимумы и максимумы'!G$4,100,('исходные данные'!I337-'минимумы и максимумы'!G$2)/('минимумы и максимумы'!G$4-'минимумы и максимумы'!G$2)*100)</f>
        <v>31.325301204819279</v>
      </c>
      <c r="J337" s="1">
        <f>IF('исходные данные'!J337&gt;'минимумы и максимумы'!H$4,100,('исходные данные'!J337-'минимумы и максимумы'!H$2)/('минимумы и максимумы'!H$4-'минимумы и максимумы'!H$2)*100)</f>
        <v>37.5</v>
      </c>
      <c r="K337" s="1">
        <f>IF('исходные данные'!K337&gt;'минимумы и максимумы'!I$4,100,('исходные данные'!K337-'минимумы и максимумы'!I$2)/('минимумы и максимумы'!I$4-'минимумы и максимумы'!I$2)*100)</f>
        <v>25</v>
      </c>
      <c r="L337" s="1">
        <f>IF('исходные данные'!L337&gt;'минимумы и максимумы'!J$4,100,('исходные данные'!L337-'минимумы и максимумы'!J$2)/('минимумы и максимумы'!J$4-'минимумы и максимумы'!J$2)*100)</f>
        <v>37.5</v>
      </c>
      <c r="M337" s="1">
        <f>IF('исходные данные'!M337&gt;'минимумы и максимумы'!K$4,100,('исходные данные'!M337-'минимумы и максимумы'!K$2)/('минимумы и максимумы'!K$4-'минимумы и максимумы'!K$2)*100)</f>
        <v>42.553191489361701</v>
      </c>
      <c r="N337" s="1">
        <f>IF('исходные данные'!N337&gt;'минимумы и максимумы'!L$4,100,('исходные данные'!N337-'минимумы и максимумы'!L$2)/('минимумы и максимумы'!L$4-'минимумы и максимумы'!L$2)*100)</f>
        <v>12.831167720094101</v>
      </c>
      <c r="O337" s="1">
        <f>IF('исходные данные'!O337&gt;'минимумы и максимумы'!M$4,100,('исходные данные'!O337-'минимумы и максимумы'!M$2)/('минимумы и максимумы'!M$4-'минимумы и максимумы'!M$2)*100)</f>
        <v>0</v>
      </c>
      <c r="P337" s="1">
        <f>IF('исходные данные'!P337&gt;'минимумы и максимумы'!N$4,100,('исходные данные'!P337-'минимумы и максимумы'!N$2)/('минимумы и максимумы'!N$4-'минимумы и максимумы'!N$2)*100)</f>
        <v>0</v>
      </c>
      <c r="Q337" s="1">
        <f>IF('исходные данные'!Q337&gt;'минимумы и максимумы'!O$4,100,('исходные данные'!Q337-'минимумы и максимумы'!O$2)/('минимумы и максимумы'!O$4-'минимумы и максимумы'!O$2)*100)</f>
        <v>0</v>
      </c>
      <c r="R337" s="1">
        <f>IF('исходные данные'!R337&gt;'минимумы и максимумы'!P$4,100,('исходные данные'!R337-'минимумы и максимумы'!P$2)/('минимумы и максимумы'!P$4-'минимумы и максимумы'!P$2)*100)</f>
        <v>75</v>
      </c>
      <c r="S337" s="1">
        <f>IF('исходные данные'!S337&gt;'минимумы и максимумы'!Q$4,100,('исходные данные'!S337-'минимумы и максимумы'!Q$2)/('минимумы и максимумы'!Q$4-'минимумы и максимумы'!Q$2)*100)</f>
        <v>11.111111111111111</v>
      </c>
      <c r="T337" s="1">
        <f>IF('исходные данные'!T337&gt;'минимумы и максимумы'!R$4,100,('исходные данные'!T337-'минимумы и максимумы'!R$2)/('минимумы и максимумы'!R$4-'минимумы и максимумы'!R$2)*100)</f>
        <v>1.4096662830840045</v>
      </c>
      <c r="U337" s="1">
        <f>IF('исходные данные'!U337&gt;'минимумы и максимумы'!S$4,100,('исходные данные'!U337-'минимумы и максимумы'!S$2)/('минимумы и максимумы'!S$4-'минимумы и максимумы'!S$2)*100)</f>
        <v>0</v>
      </c>
    </row>
    <row r="338" spans="1:21" x14ac:dyDescent="0.45">
      <c r="A338" s="4">
        <v>446</v>
      </c>
      <c r="B338" s="4">
        <v>0</v>
      </c>
      <c r="C338" s="4">
        <v>0</v>
      </c>
      <c r="D338" s="1">
        <f>IF('исходные данные'!D338&gt;'минимумы и максимумы'!B$4,100,('исходные данные'!D338-'минимумы и максимумы'!B$2)/('минимумы и максимумы'!B$4-'минимумы и максимумы'!B$2)*100)</f>
        <v>0</v>
      </c>
      <c r="E338" s="1">
        <f>IF('исходные данные'!E338&gt;'минимумы и максимумы'!C$4,100,('исходные данные'!E338-'минимумы и максимумы'!C$2)/('минимумы и максимумы'!C$4-'минимумы и максимумы'!C$2)*100)</f>
        <v>6.25</v>
      </c>
      <c r="F338" s="1">
        <f>IF('исходные данные'!F338&gt;'минимумы и максимумы'!D$4,100,('исходные данные'!F338-'минимумы и максимумы'!D$2)/('минимумы и максимумы'!D$4-'минимумы и максимумы'!D$2)*100)</f>
        <v>0</v>
      </c>
      <c r="G338" s="1">
        <f>IF('исходные данные'!G338&gt;'минимумы и максимумы'!E$4,100,('исходные данные'!G338-'минимумы и максимумы'!E$2)/('минимумы и максимумы'!E$4-'минимумы и максимумы'!E$2)*100)</f>
        <v>10.810810810810811</v>
      </c>
      <c r="H338" s="1">
        <f>IF('исходные данные'!H338&gt;'минимумы и максимумы'!F$4,100,('исходные данные'!H338-'минимумы и максимумы'!F$2)/('минимумы и максимумы'!F$4-'минимумы и максимумы'!F$2)*100)</f>
        <v>5.2631578947368416</v>
      </c>
      <c r="I338" s="1">
        <f>IF('исходные данные'!I338&gt;'минимумы и максимумы'!G$4,100,('исходные данные'!I338-'минимумы и максимумы'!G$2)/('минимумы и максимумы'!G$4-'минимумы и максимумы'!G$2)*100)</f>
        <v>3.6144578313253009</v>
      </c>
      <c r="J338" s="1">
        <f>IF('исходные данные'!J338&gt;'минимумы и максимумы'!H$4,100,('исходные данные'!J338-'минимумы и максимумы'!H$2)/('минимумы и максимумы'!H$4-'минимумы и максимумы'!H$2)*100)</f>
        <v>12.5</v>
      </c>
      <c r="K338" s="1">
        <f>IF('исходные данные'!K338&gt;'минимумы и максимумы'!I$4,100,('исходные данные'!K338-'минимумы и максимумы'!I$2)/('минимумы и максимумы'!I$4-'минимумы и максимумы'!I$2)*100)</f>
        <v>3.5714285714285712</v>
      </c>
      <c r="L338" s="1">
        <f>IF('исходные данные'!L338&gt;'минимумы и максимумы'!J$4,100,('исходные данные'!L338-'минимумы и максимумы'!J$2)/('минимумы и максимумы'!J$4-'минимумы и максимумы'!J$2)*100)</f>
        <v>0</v>
      </c>
      <c r="M338" s="1">
        <f>IF('исходные данные'!M338&gt;'минимумы и максимумы'!K$4,100,('исходные данные'!M338-'минимумы и максимумы'!K$2)/('минимумы и максимумы'!K$4-'минимумы и максимумы'!K$2)*100)</f>
        <v>38.297872340425535</v>
      </c>
      <c r="N338" s="1">
        <f>IF('исходные данные'!N338&gt;'минимумы и максимумы'!L$4,100,('исходные данные'!N338-'минимумы и максимумы'!L$2)/('минимумы и максимумы'!L$4-'минимумы и максимумы'!L$2)*100)</f>
        <v>17.229886288611819</v>
      </c>
      <c r="O338" s="1">
        <f>IF('исходные данные'!O338&gt;'минимумы и максимумы'!M$4,100,('исходные данные'!O338-'минимумы и максимумы'!M$2)/('минимумы и максимумы'!M$4-'минимумы и максимумы'!M$2)*100)</f>
        <v>33.333333333333329</v>
      </c>
      <c r="P338" s="1">
        <f>IF('исходные данные'!P338&gt;'минимумы и максимумы'!N$4,100,('исходные данные'!P338-'минимумы и максимумы'!N$2)/('минимумы и максимумы'!N$4-'минимумы и максимумы'!N$2)*100)</f>
        <v>0</v>
      </c>
      <c r="Q338" s="1">
        <f>IF('исходные данные'!Q338&gt;'минимумы и максимумы'!O$4,100,('исходные данные'!Q338-'минимумы и максимумы'!O$2)/('минимумы и максимумы'!O$4-'минимумы и максимумы'!O$2)*100)</f>
        <v>100</v>
      </c>
      <c r="R338" s="1">
        <f>IF('исходные данные'!R338&gt;'минимумы и максимумы'!P$4,100,('исходные данные'!R338-'минимумы и максимумы'!P$2)/('минимумы и максимумы'!P$4-'минимумы и максимумы'!P$2)*100)</f>
        <v>75</v>
      </c>
      <c r="S338" s="1">
        <f>IF('исходные данные'!S338&gt;'минимумы и максимумы'!Q$4,100,('исходные данные'!S338-'минимумы и максимумы'!Q$2)/('минимумы и максимумы'!Q$4-'минимумы и максимумы'!Q$2)*100)</f>
        <v>22.222222222222221</v>
      </c>
      <c r="T338" s="1">
        <f>IF('исходные данные'!T338&gt;'минимумы и максимумы'!R$4,100,('исходные данные'!T338-'минимумы и максимумы'!R$2)/('минимумы и максимумы'!R$4-'минимумы и максимумы'!R$2)*100)</f>
        <v>6.1852704257767552</v>
      </c>
      <c r="U338" s="1">
        <f>IF('исходные данные'!U338&gt;'минимумы и максимумы'!S$4,100,('исходные данные'!U338-'минимумы и максимумы'!S$2)/('минимумы и максимумы'!S$4-'минимумы и максимумы'!S$2)*100)</f>
        <v>0</v>
      </c>
    </row>
    <row r="339" spans="1:21" x14ac:dyDescent="0.45">
      <c r="A339" s="4">
        <v>447</v>
      </c>
      <c r="B339" s="4">
        <v>0</v>
      </c>
      <c r="C339" s="4">
        <v>0</v>
      </c>
      <c r="D339" s="1">
        <f>IF('исходные данные'!D339&gt;'минимумы и максимумы'!B$4,100,('исходные данные'!D339-'минимумы и максимумы'!B$2)/('минимумы и максимумы'!B$4-'минимумы и максимумы'!B$2)*100)</f>
        <v>0</v>
      </c>
      <c r="E339" s="1">
        <f>IF('исходные данные'!E339&gt;'минимумы и максимумы'!C$4,100,('исходные данные'!E339-'минимумы и максимумы'!C$2)/('минимумы и максимумы'!C$4-'минимумы и максимумы'!C$2)*100)</f>
        <v>6.25</v>
      </c>
      <c r="F339" s="1">
        <f>IF('исходные данные'!F339&gt;'минимумы и максимумы'!D$4,100,('исходные данные'!F339-'минимумы и максимумы'!D$2)/('минимумы и максимумы'!D$4-'минимумы и максимумы'!D$2)*100)</f>
        <v>0</v>
      </c>
      <c r="G339" s="1">
        <f>IF('исходные данные'!G339&gt;'минимумы и максимумы'!E$4,100,('исходные данные'!G339-'минимумы и максимумы'!E$2)/('минимумы и максимумы'!E$4-'минимумы и максимумы'!E$2)*100)</f>
        <v>10.810810810810811</v>
      </c>
      <c r="H339" s="1">
        <f>IF('исходные данные'!H339&gt;'минимумы и максимумы'!F$4,100,('исходные данные'!H339-'минимумы и максимумы'!F$2)/('минимумы и максимумы'!F$4-'минимумы и максимумы'!F$2)*100)</f>
        <v>5.2631578947368416</v>
      </c>
      <c r="I339" s="1">
        <f>IF('исходные данные'!I339&gt;'минимумы и максимумы'!G$4,100,('исходные данные'!I339-'минимумы и максимумы'!G$2)/('минимумы и максимумы'!G$4-'минимумы и максимумы'!G$2)*100)</f>
        <v>3.6144578313253009</v>
      </c>
      <c r="J339" s="1">
        <f>IF('исходные данные'!J339&gt;'минимумы и максимумы'!H$4,100,('исходные данные'!J339-'минимумы и максимумы'!H$2)/('минимумы и максимумы'!H$4-'минимумы и максимумы'!H$2)*100)</f>
        <v>12.5</v>
      </c>
      <c r="K339" s="1">
        <f>IF('исходные данные'!K339&gt;'минимумы и максимумы'!I$4,100,('исходные данные'!K339-'минимумы и максимумы'!I$2)/('минимумы и максимумы'!I$4-'минимумы и максимумы'!I$2)*100)</f>
        <v>3.5714285714285712</v>
      </c>
      <c r="L339" s="1">
        <f>IF('исходные данные'!L339&gt;'минимумы и максимумы'!J$4,100,('исходные данные'!L339-'минимумы и максимумы'!J$2)/('минимумы и максимумы'!J$4-'минимумы и максимумы'!J$2)*100)</f>
        <v>0</v>
      </c>
      <c r="M339" s="1">
        <f>IF('исходные данные'!M339&gt;'минимумы и максимумы'!K$4,100,('исходные данные'!M339-'минимумы и максимумы'!K$2)/('минимумы и максимумы'!K$4-'минимумы и максимумы'!K$2)*100)</f>
        <v>27.659574468085108</v>
      </c>
      <c r="N339" s="1">
        <f>IF('исходные данные'!N339&gt;'минимумы и максимумы'!L$4,100,('исходные данные'!N339-'минимумы и максимумы'!L$2)/('минимумы и максимумы'!L$4-'минимумы и максимумы'!L$2)*100)</f>
        <v>17.58777246957407</v>
      </c>
      <c r="O339" s="1">
        <f>IF('исходные данные'!O339&gt;'минимумы и максимумы'!M$4,100,('исходные данные'!O339-'минимумы и максимумы'!M$2)/('минимумы и максимумы'!M$4-'минимумы и максимумы'!M$2)*100)</f>
        <v>66.666666666666657</v>
      </c>
      <c r="P339" s="1">
        <f>IF('исходные данные'!P339&gt;'минимумы и максимумы'!N$4,100,('исходные данные'!P339-'минимумы и максимумы'!N$2)/('минимумы и максимумы'!N$4-'минимумы и максимумы'!N$2)*100)</f>
        <v>0</v>
      </c>
      <c r="Q339" s="1">
        <f>IF('исходные данные'!Q339&gt;'минимумы и максимумы'!O$4,100,('исходные данные'!Q339-'минимумы и максимумы'!O$2)/('минимумы и максимумы'!O$4-'минимумы и максимумы'!O$2)*100)</f>
        <v>100</v>
      </c>
      <c r="R339" s="1">
        <f>IF('исходные данные'!R339&gt;'минимумы и максимумы'!P$4,100,('исходные данные'!R339-'минимумы и максимумы'!P$2)/('минимумы и максимумы'!P$4-'минимумы и максимумы'!P$2)*100)</f>
        <v>75</v>
      </c>
      <c r="S339" s="1">
        <f>IF('исходные данные'!S339&gt;'минимумы и максимумы'!Q$4,100,('исходные данные'!S339-'минимумы и максимумы'!Q$2)/('минимумы и максимумы'!Q$4-'минимумы и максимумы'!Q$2)*100)</f>
        <v>22.222222222222221</v>
      </c>
      <c r="T339" s="1">
        <f>IF('исходные данные'!T339&gt;'минимумы и максимумы'!R$4,100,('исходные данные'!T339-'минимумы и максимумы'!R$2)/('минимумы и максимумы'!R$4-'минимумы и максимумы'!R$2)*100)</f>
        <v>15.304948216340621</v>
      </c>
      <c r="U339" s="1">
        <f>IF('исходные данные'!U339&gt;'минимумы и максимумы'!S$4,100,('исходные данные'!U339-'минимумы и максимумы'!S$2)/('минимумы и максимумы'!S$4-'минимумы и максимумы'!S$2)*100)</f>
        <v>0</v>
      </c>
    </row>
    <row r="340" spans="1:21" x14ac:dyDescent="0.45">
      <c r="A340" s="4">
        <v>449</v>
      </c>
      <c r="B340" s="4">
        <v>1</v>
      </c>
      <c r="C340" s="4">
        <v>0</v>
      </c>
      <c r="D340" s="1">
        <f>IF('исходные данные'!D340&gt;'минимумы и максимумы'!B$4,100,('исходные данные'!D340-'минимумы и максимумы'!B$2)/('минимумы и максимумы'!B$4-'минимумы и максимумы'!B$2)*100)</f>
        <v>0</v>
      </c>
      <c r="E340" s="1">
        <f>IF('исходные данные'!E340&gt;'минимумы и максимумы'!C$4,100,('исходные данные'!E340-'минимумы и максимумы'!C$2)/('минимумы и максимумы'!C$4-'минимумы и максимумы'!C$2)*100)</f>
        <v>6.25</v>
      </c>
      <c r="F340" s="1">
        <f>IF('исходные данные'!F340&gt;'минимумы и максимумы'!D$4,100,('исходные данные'!F340-'минимумы и максимумы'!D$2)/('минимумы и максимумы'!D$4-'минимумы и максимумы'!D$2)*100)</f>
        <v>0</v>
      </c>
      <c r="G340" s="1">
        <f>IF('исходные данные'!G340&gt;'минимумы и максимумы'!E$4,100,('исходные данные'!G340-'минимумы и максимумы'!E$2)/('минимумы и максимумы'!E$4-'минимумы и максимумы'!E$2)*100)</f>
        <v>13.513513513513514</v>
      </c>
      <c r="H340" s="1">
        <f>IF('исходные данные'!H340&gt;'минимумы и максимумы'!F$4,100,('исходные данные'!H340-'минимумы и максимумы'!F$2)/('минимумы и максимумы'!F$4-'минимумы и максимумы'!F$2)*100)</f>
        <v>5.2631578947368416</v>
      </c>
      <c r="I340" s="1">
        <f>IF('исходные данные'!I340&gt;'минимумы и максимумы'!G$4,100,('исходные данные'!I340-'минимумы и максимумы'!G$2)/('минимумы и максимумы'!G$4-'минимумы и максимумы'!G$2)*100)</f>
        <v>2.4096385542168677</v>
      </c>
      <c r="J340" s="1">
        <f>IF('исходные данные'!J340&gt;'минимумы и максимумы'!H$4,100,('исходные данные'!J340-'минимумы и максимумы'!H$2)/('минимумы и максимумы'!H$4-'минимумы и максимумы'!H$2)*100)</f>
        <v>16.666666666666664</v>
      </c>
      <c r="K340" s="1">
        <f>IF('исходные данные'!K340&gt;'минимумы и максимумы'!I$4,100,('исходные данные'!K340-'минимумы и максимумы'!I$2)/('минимумы и максимумы'!I$4-'минимумы и максимумы'!I$2)*100)</f>
        <v>0</v>
      </c>
      <c r="L340" s="1">
        <f>IF('исходные данные'!L340&gt;'минимумы и максимумы'!J$4,100,('исходные данные'!L340-'минимумы и максимумы'!J$2)/('минимумы и максимумы'!J$4-'минимумы и максимумы'!J$2)*100)</f>
        <v>0</v>
      </c>
      <c r="M340" s="1">
        <f>IF('исходные данные'!M340&gt;'минимумы и максимумы'!K$4,100,('исходные данные'!M340-'минимумы и максимумы'!K$2)/('минимумы и максимумы'!K$4-'минимумы и максимумы'!K$2)*100)</f>
        <v>40.425531914893611</v>
      </c>
      <c r="N340" s="1">
        <f>IF('исходные данные'!N340&gt;'минимумы и максимумы'!L$4,100,('исходные данные'!N340-'минимумы и максимумы'!L$2)/('минимумы и максимумы'!L$4-'минимумы и максимумы'!L$2)*100)</f>
        <v>17.476396600701548</v>
      </c>
      <c r="O340" s="1">
        <f>IF('исходные данные'!O340&gt;'минимумы и максимумы'!M$4,100,('исходные данные'!O340-'минимумы и максимумы'!M$2)/('минимумы и максимумы'!M$4-'минимумы и максимумы'!M$2)*100)</f>
        <v>66.666666666666657</v>
      </c>
      <c r="P340" s="1">
        <f>IF('исходные данные'!P340&gt;'минимумы и максимумы'!N$4,100,('исходные данные'!P340-'минимумы и максимумы'!N$2)/('минимумы и максимумы'!N$4-'минимумы и максимумы'!N$2)*100)</f>
        <v>0</v>
      </c>
      <c r="Q340" s="1">
        <f>IF('исходные данные'!Q340&gt;'минимумы и максимумы'!O$4,100,('исходные данные'!Q340-'минимумы и максимумы'!O$2)/('минимумы и максимумы'!O$4-'минимумы и максимумы'!O$2)*100)</f>
        <v>100</v>
      </c>
      <c r="R340" s="1">
        <f>IF('исходные данные'!R340&gt;'минимумы и максимумы'!P$4,100,('исходные данные'!R340-'минимумы и максимумы'!P$2)/('минимумы и максимумы'!P$4-'минимумы и максимумы'!P$2)*100)</f>
        <v>75</v>
      </c>
      <c r="S340" s="1">
        <f>IF('исходные данные'!S340&gt;'минимумы и максимумы'!Q$4,100,('исходные данные'!S340-'минимумы и максимумы'!Q$2)/('минимумы и максимумы'!Q$4-'минимумы и максимумы'!Q$2)*100)</f>
        <v>33.333333333333329</v>
      </c>
      <c r="T340" s="1">
        <f>IF('исходные данные'!T340&gt;'минимумы и максимумы'!R$4,100,('исходные данные'!T340-'минимумы и максимумы'!R$2)/('минимумы и максимумы'!R$4-'минимумы и максимумы'!R$2)*100)</f>
        <v>7.7387802071346377</v>
      </c>
      <c r="U340" s="1">
        <f>IF('исходные данные'!U340&gt;'минимумы и максимумы'!S$4,100,('исходные данные'!U340-'минимумы и максимумы'!S$2)/('минимумы и максимумы'!S$4-'минимумы и максимумы'!S$2)*100)</f>
        <v>0</v>
      </c>
    </row>
    <row r="341" spans="1:21" x14ac:dyDescent="0.45">
      <c r="A341" s="4">
        <v>450</v>
      </c>
      <c r="B341" s="4">
        <v>0</v>
      </c>
      <c r="C341" s="4">
        <v>1</v>
      </c>
      <c r="D341" s="1">
        <f>IF('исходные данные'!D341&gt;'минимумы и максимумы'!B$4,100,('исходные данные'!D341-'минимумы и максимумы'!B$2)/('минимумы и максимумы'!B$4-'минимумы и максимумы'!B$2)*100)</f>
        <v>12.5</v>
      </c>
      <c r="E341" s="1">
        <f>IF('исходные данные'!E341&gt;'минимумы и максимумы'!C$4,100,('исходные данные'!E341-'минимумы и максимумы'!C$2)/('минимумы и максимумы'!C$4-'минимумы и максимумы'!C$2)*100)</f>
        <v>12.5</v>
      </c>
      <c r="F341" s="1">
        <f>IF('исходные данные'!F341&gt;'минимумы и максимумы'!D$4,100,('исходные данные'!F341-'минимумы и максимумы'!D$2)/('минимумы и максимумы'!D$4-'минимумы и максимумы'!D$2)*100)</f>
        <v>0</v>
      </c>
      <c r="G341" s="1">
        <f>IF('исходные данные'!G341&gt;'минимумы и максимумы'!E$4,100,('исходные данные'!G341-'минимумы и максимумы'!E$2)/('минимумы и максимумы'!E$4-'минимумы и максимумы'!E$2)*100)</f>
        <v>13.513513513513514</v>
      </c>
      <c r="H341" s="1">
        <f>IF('исходные данные'!H341&gt;'минимумы и максимумы'!F$4,100,('исходные данные'!H341-'минимумы и максимумы'!F$2)/('минимумы и максимумы'!F$4-'минимумы и максимумы'!F$2)*100)</f>
        <v>21.052631578947366</v>
      </c>
      <c r="I341" s="1">
        <f>IF('исходные данные'!I341&gt;'минимумы и максимумы'!G$4,100,('исходные данные'!I341-'минимумы и максимумы'!G$2)/('минимумы и максимумы'!G$4-'минимумы и максимумы'!G$2)*100)</f>
        <v>8.4337349397590362</v>
      </c>
      <c r="J341" s="1">
        <f>IF('исходные данные'!J341&gt;'минимумы и максимумы'!H$4,100,('исходные данные'!J341-'минимумы и максимумы'!H$2)/('минимумы и максимумы'!H$4-'минимумы и максимумы'!H$2)*100)</f>
        <v>4.1666666666666661</v>
      </c>
      <c r="K341" s="1">
        <f>IF('исходные данные'!K341&gt;'минимумы и максимумы'!I$4,100,('исходные данные'!K341-'минимумы и максимумы'!I$2)/('минимумы и максимумы'!I$4-'минимумы и максимумы'!I$2)*100)</f>
        <v>17.857142857142858</v>
      </c>
      <c r="L341" s="1">
        <f>IF('исходные данные'!L341&gt;'минимумы и максимумы'!J$4,100,('исходные данные'!L341-'минимумы и максимумы'!J$2)/('минимумы и максимумы'!J$4-'минимумы и максимумы'!J$2)*100)</f>
        <v>25</v>
      </c>
      <c r="M341" s="1">
        <f>IF('исходные данные'!M341&gt;'минимумы и максимумы'!K$4,100,('исходные данные'!M341-'минимумы и максимумы'!K$2)/('минимумы и максимумы'!K$4-'минимумы и максимумы'!K$2)*100)</f>
        <v>8.5106382978723403</v>
      </c>
      <c r="N341" s="1">
        <f>IF('исходные данные'!N341&gt;'минимумы и максимумы'!L$4,100,('исходные данные'!N341-'минимумы и максимумы'!L$2)/('минимумы и максимумы'!L$4-'минимумы и максимумы'!L$2)*100)</f>
        <v>27.340708741791186</v>
      </c>
      <c r="O341" s="1">
        <f>IF('исходные данные'!O341&gt;'минимумы и максимумы'!M$4,100,('исходные данные'!O341-'минимумы и максимумы'!M$2)/('минимумы и максимумы'!M$4-'минимумы и максимумы'!M$2)*100)</f>
        <v>33.333333333333329</v>
      </c>
      <c r="P341" s="1">
        <f>IF('исходные данные'!P341&gt;'минимумы и максимумы'!N$4,100,('исходные данные'!P341-'минимумы и максимумы'!N$2)/('минимумы и максимумы'!N$4-'минимумы и максимумы'!N$2)*100)</f>
        <v>0</v>
      </c>
      <c r="Q341" s="1">
        <f>IF('исходные данные'!Q341&gt;'минимумы и максимумы'!O$4,100,('исходные данные'!Q341-'минимумы и максимумы'!O$2)/('минимумы и максимумы'!O$4-'минимумы и максимумы'!O$2)*100)</f>
        <v>100</v>
      </c>
      <c r="R341" s="1">
        <f>IF('исходные данные'!R341&gt;'минимумы и максимумы'!P$4,100,('исходные данные'!R341-'минимумы и максимумы'!P$2)/('минимумы и максимумы'!P$4-'минимумы и максимумы'!P$2)*100)</f>
        <v>25</v>
      </c>
      <c r="S341" s="1">
        <f>IF('исходные данные'!S341&gt;'минимумы и максимумы'!Q$4,100,('исходные данные'!S341-'минимумы и максимумы'!Q$2)/('минимумы и максимумы'!Q$4-'минимумы и максимумы'!Q$2)*100)</f>
        <v>33.333333333333329</v>
      </c>
      <c r="T341" s="1">
        <f>IF('исходные данные'!T341&gt;'минимумы и максимумы'!R$4,100,('исходные данные'!T341-'минимумы и максимумы'!R$2)/('минимумы и максимумы'!R$4-'минимумы и максимумы'!R$2)*100)</f>
        <v>24.453394706559266</v>
      </c>
      <c r="U341" s="1">
        <f>IF('исходные данные'!U341&gt;'минимумы и максимумы'!S$4,100,('исходные данные'!U341-'минимумы и максимумы'!S$2)/('минимумы и максимумы'!S$4-'минимумы и максимумы'!S$2)*100)</f>
        <v>66.666666666666657</v>
      </c>
    </row>
    <row r="342" spans="1:21" x14ac:dyDescent="0.45">
      <c r="A342" s="4">
        <v>451</v>
      </c>
      <c r="B342" s="4">
        <v>0</v>
      </c>
      <c r="C342" s="4">
        <v>1</v>
      </c>
      <c r="D342" s="1">
        <f>IF('исходные данные'!D342&gt;'минимумы и максимумы'!B$4,100,('исходные данные'!D342-'минимумы и максимумы'!B$2)/('минимумы и максимумы'!B$4-'минимумы и максимумы'!B$2)*100)</f>
        <v>0</v>
      </c>
      <c r="E342" s="1">
        <f>IF('исходные данные'!E342&gt;'минимумы и максимумы'!C$4,100,('исходные данные'!E342-'минимумы и максимумы'!C$2)/('минимумы и максимумы'!C$4-'минимумы и максимумы'!C$2)*100)</f>
        <v>12.5</v>
      </c>
      <c r="F342" s="1">
        <f>IF('исходные данные'!F342&gt;'минимумы и максимумы'!D$4,100,('исходные данные'!F342-'минимумы и максимумы'!D$2)/('минимумы и максимумы'!D$4-'минимумы и максимумы'!D$2)*100)</f>
        <v>0</v>
      </c>
      <c r="G342" s="1">
        <f>IF('исходные данные'!G342&gt;'минимумы и максимумы'!E$4,100,('исходные данные'!G342-'минимумы и максимумы'!E$2)/('минимумы и максимумы'!E$4-'минимумы и максимумы'!E$2)*100)</f>
        <v>2.7027027027027026</v>
      </c>
      <c r="H342" s="1">
        <f>IF('исходные данные'!H342&gt;'минимумы и максимумы'!F$4,100,('исходные данные'!H342-'минимумы и максимумы'!F$2)/('минимумы и максимумы'!F$4-'минимумы и максимумы'!F$2)*100)</f>
        <v>5.2631578947368416</v>
      </c>
      <c r="I342" s="1">
        <f>IF('исходные данные'!I342&gt;'минимумы и максимумы'!G$4,100,('исходные данные'!I342-'минимумы и максимумы'!G$2)/('минимумы и максимумы'!G$4-'минимумы и максимумы'!G$2)*100)</f>
        <v>3.6144578313253009</v>
      </c>
      <c r="J342" s="1">
        <f>IF('исходные данные'!J342&gt;'минимумы и максимумы'!H$4,100,('исходные данные'!J342-'минимумы и максимумы'!H$2)/('минимумы и максимумы'!H$4-'минимумы и максимумы'!H$2)*100)</f>
        <v>4.1666666666666661</v>
      </c>
      <c r="K342" s="1">
        <f>IF('исходные данные'!K342&gt;'минимумы и максимумы'!I$4,100,('исходные данные'!K342-'минимумы и максимумы'!I$2)/('минимумы и максимумы'!I$4-'минимумы и максимумы'!I$2)*100)</f>
        <v>14.285714285714285</v>
      </c>
      <c r="L342" s="1">
        <f>IF('исходные данные'!L342&gt;'минимумы и максимумы'!J$4,100,('исходные данные'!L342-'минимумы и максимумы'!J$2)/('минимумы и максимумы'!J$4-'минимумы и максимумы'!J$2)*100)</f>
        <v>0</v>
      </c>
      <c r="M342" s="1">
        <f>IF('исходные данные'!M342&gt;'минимумы и максимумы'!K$4,100,('исходные данные'!M342-'минимумы и максимумы'!K$2)/('минимумы и максимумы'!K$4-'минимумы и максимумы'!K$2)*100)</f>
        <v>2.1276595744680851</v>
      </c>
      <c r="N342" s="1">
        <f>IF('исходные данные'!N342&gt;'минимумы и максимумы'!L$4,100,('исходные данные'!N342-'минимумы и максимумы'!L$2)/('минимумы и максимумы'!L$4-'минимумы и максимумы'!L$2)*100)</f>
        <v>27.576065747304803</v>
      </c>
      <c r="O342" s="1">
        <f>IF('исходные данные'!O342&gt;'минимумы и максимумы'!M$4,100,('исходные данные'!O342-'минимумы и максимумы'!M$2)/('минимумы и максимумы'!M$4-'минимумы и максимумы'!M$2)*100)</f>
        <v>33.333333333333329</v>
      </c>
      <c r="P342" s="1">
        <f>IF('исходные данные'!P342&gt;'минимумы и максимумы'!N$4,100,('исходные данные'!P342-'минимумы и максимумы'!N$2)/('минимумы и максимумы'!N$4-'минимумы и максимумы'!N$2)*100)</f>
        <v>0</v>
      </c>
      <c r="Q342" s="1">
        <f>IF('исходные данные'!Q342&gt;'минимумы и максимумы'!O$4,100,('исходные данные'!Q342-'минимумы и максимумы'!O$2)/('минимумы и максимумы'!O$4-'минимумы и максимумы'!O$2)*100)</f>
        <v>0</v>
      </c>
      <c r="R342" s="1">
        <f>IF('исходные данные'!R342&gt;'минимумы и максимумы'!P$4,100,('исходные данные'!R342-'минимумы и максимумы'!P$2)/('минимумы и максимумы'!P$4-'минимумы и максимумы'!P$2)*100)</f>
        <v>100</v>
      </c>
      <c r="S342" s="1">
        <f>IF('исходные данные'!S342&gt;'минимумы и максимумы'!Q$4,100,('исходные данные'!S342-'минимумы и максимумы'!Q$2)/('минимумы и максимумы'!Q$4-'минимумы и максимумы'!Q$2)*100)</f>
        <v>11.111111111111111</v>
      </c>
      <c r="T342" s="1">
        <f>IF('исходные данные'!T342&gt;'минимумы и максимумы'!R$4,100,('исходные данные'!T342-'минимумы и максимумы'!R$2)/('минимумы и максимумы'!R$4-'минимумы и максимумы'!R$2)*100)</f>
        <v>9.2059838895281931</v>
      </c>
      <c r="U342" s="1">
        <f>IF('исходные данные'!U342&gt;'минимумы и максимумы'!S$4,100,('исходные данные'!U342-'минимумы и максимумы'!S$2)/('минимумы и максимумы'!S$4-'минимумы и максимумы'!S$2)*100)</f>
        <v>0</v>
      </c>
    </row>
    <row r="343" spans="1:21" x14ac:dyDescent="0.45">
      <c r="A343" s="4">
        <v>452</v>
      </c>
      <c r="B343" s="4">
        <v>0</v>
      </c>
      <c r="C343" s="4">
        <v>1</v>
      </c>
      <c r="D343" s="1">
        <f>IF('исходные данные'!D343&gt;'минимумы и максимумы'!B$4,100,('исходные данные'!D343-'минимумы и максимумы'!B$2)/('минимумы и максимумы'!B$4-'минимумы и максимумы'!B$2)*100)</f>
        <v>25</v>
      </c>
      <c r="E343" s="1">
        <f>IF('исходные данные'!E343&gt;'минимумы и максимумы'!C$4,100,('исходные данные'!E343-'минимумы и максимумы'!C$2)/('минимумы и максимумы'!C$4-'минимумы и максимумы'!C$2)*100)</f>
        <v>18.75</v>
      </c>
      <c r="F343" s="1">
        <f>IF('исходные данные'!F343&gt;'минимумы и максимумы'!D$4,100,('исходные данные'!F343-'минимумы и максимумы'!D$2)/('минимумы и максимумы'!D$4-'минимумы и максимумы'!D$2)*100)</f>
        <v>25</v>
      </c>
      <c r="G343" s="1">
        <f>IF('исходные данные'!G343&gt;'минимумы и максимумы'!E$4,100,('исходные данные'!G343-'минимумы и максимумы'!E$2)/('минимумы и максимумы'!E$4-'минимумы и максимумы'!E$2)*100)</f>
        <v>16.216216216216218</v>
      </c>
      <c r="H343" s="1">
        <f>IF('исходные данные'!H343&gt;'минимумы и максимумы'!F$4,100,('исходные данные'!H343-'минимумы и максимумы'!F$2)/('минимумы и максимумы'!F$4-'минимумы и максимумы'!F$2)*100)</f>
        <v>34.210526315789473</v>
      </c>
      <c r="I343" s="1">
        <f>IF('исходные данные'!I343&gt;'минимумы и максимумы'!G$4,100,('исходные данные'!I343-'минимумы и максимумы'!G$2)/('минимумы и максимумы'!G$4-'минимумы и максимумы'!G$2)*100)</f>
        <v>3.6144578313253009</v>
      </c>
      <c r="J343" s="1">
        <f>IF('исходные данные'!J343&gt;'минимумы и максимумы'!H$4,100,('исходные данные'!J343-'минимумы и максимумы'!H$2)/('минимумы и максимумы'!H$4-'минимумы и максимумы'!H$2)*100)</f>
        <v>4.1666666666666661</v>
      </c>
      <c r="K343" s="1">
        <f>IF('исходные данные'!K343&gt;'минимумы и максимумы'!I$4,100,('исходные данные'!K343-'минимумы и максимумы'!I$2)/('минимумы и максимумы'!I$4-'минимумы и максимумы'!I$2)*100)</f>
        <v>3.5714285714285712</v>
      </c>
      <c r="L343" s="1">
        <f>IF('исходные данные'!L343&gt;'минимумы и максимумы'!J$4,100,('исходные данные'!L343-'минимумы и максимумы'!J$2)/('минимумы и максимумы'!J$4-'минимумы и максимумы'!J$2)*100)</f>
        <v>0</v>
      </c>
      <c r="M343" s="1">
        <f>IF('исходные данные'!M343&gt;'минимумы и максимумы'!K$4,100,('исходные данные'!M343-'минимумы и максимумы'!K$2)/('минимумы и максимумы'!K$4-'минимумы и максимумы'!K$2)*100)</f>
        <v>25.531914893617021</v>
      </c>
      <c r="N343" s="1">
        <f>IF('исходные данные'!N343&gt;'минимумы и максимумы'!L$4,100,('исходные данные'!N343-'минимумы и максимумы'!L$2)/('минимумы и максимумы'!L$4-'минимумы и максимумы'!L$2)*100)</f>
        <v>40.369428797149162</v>
      </c>
      <c r="O343" s="1">
        <f>IF('исходные данные'!O343&gt;'минимумы и максимумы'!M$4,100,('исходные данные'!O343-'минимумы и максимумы'!M$2)/('минимумы и максимумы'!M$4-'минимумы и максимумы'!M$2)*100)</f>
        <v>66.666666666666657</v>
      </c>
      <c r="P343" s="1">
        <f>IF('исходные данные'!P343&gt;'минимумы и максимумы'!N$4,100,('исходные данные'!P343-'минимумы и максимумы'!N$2)/('минимумы и максимумы'!N$4-'минимумы и максимумы'!N$2)*100)</f>
        <v>0</v>
      </c>
      <c r="Q343" s="1">
        <f>IF('исходные данные'!Q343&gt;'минимумы и максимумы'!O$4,100,('исходные данные'!Q343-'минимумы и максимумы'!O$2)/('минимумы и максимумы'!O$4-'минимумы и максимумы'!O$2)*100)</f>
        <v>0</v>
      </c>
      <c r="R343" s="1">
        <f>IF('исходные данные'!R343&gt;'минимумы и максимумы'!P$4,100,('исходные данные'!R343-'минимумы и максимумы'!P$2)/('минимумы и максимумы'!P$4-'минимумы и максимумы'!P$2)*100)</f>
        <v>100</v>
      </c>
      <c r="S343" s="1">
        <f>IF('исходные данные'!S343&gt;'минимумы и максимумы'!Q$4,100,('исходные данные'!S343-'минимумы и максимумы'!Q$2)/('минимумы и максимумы'!Q$4-'минимумы и максимумы'!Q$2)*100)</f>
        <v>55.555555555555557</v>
      </c>
      <c r="T343" s="1">
        <f>IF('исходные данные'!T343&gt;'минимумы и максимумы'!R$4,100,('исходные данные'!T343-'минимумы и максимумы'!R$2)/('минимумы и максимумы'!R$4-'минимумы и максимумы'!R$2)*100)</f>
        <v>17.951668584579977</v>
      </c>
      <c r="U343" s="1">
        <f>IF('исходные данные'!U343&gt;'минимумы и максимумы'!S$4,100,('исходные данные'!U343-'минимумы и максимумы'!S$2)/('минимумы и максимумы'!S$4-'минимумы и максимумы'!S$2)*100)</f>
        <v>66.666666666666657</v>
      </c>
    </row>
    <row r="344" spans="1:21" x14ac:dyDescent="0.45">
      <c r="A344" s="4">
        <v>453</v>
      </c>
      <c r="B344" s="4">
        <v>0</v>
      </c>
      <c r="C344" s="4">
        <v>0</v>
      </c>
      <c r="D344" s="1">
        <f>IF('исходные данные'!D344&gt;'минимумы и максимумы'!B$4,100,('исходные данные'!D344-'минимумы и максимумы'!B$2)/('минимумы и максимумы'!B$4-'минимумы и максимумы'!B$2)*100)</f>
        <v>12.5</v>
      </c>
      <c r="E344" s="1">
        <f>IF('исходные данные'!E344&gt;'минимумы и максимумы'!C$4,100,('исходные данные'!E344-'минимумы и максимумы'!C$2)/('минимумы и максимумы'!C$4-'минимумы и максимумы'!C$2)*100)</f>
        <v>18.75</v>
      </c>
      <c r="F344" s="1">
        <f>IF('исходные данные'!F344&gt;'минимумы и максимумы'!D$4,100,('исходные данные'!F344-'минимумы и максимумы'!D$2)/('минимумы и максимумы'!D$4-'минимумы и максимумы'!D$2)*100)</f>
        <v>25</v>
      </c>
      <c r="G344" s="1">
        <f>IF('исходные данные'!G344&gt;'минимумы и максимумы'!E$4,100,('исходные данные'!G344-'минимумы и максимумы'!E$2)/('минимумы и максимумы'!E$4-'минимумы и максимумы'!E$2)*100)</f>
        <v>16.216216216216218</v>
      </c>
      <c r="H344" s="1">
        <f>IF('исходные данные'!H344&gt;'минимумы и максимумы'!F$4,100,('исходные данные'!H344-'минимумы и максимумы'!F$2)/('минимумы и максимумы'!F$4-'минимумы и максимумы'!F$2)*100)</f>
        <v>26.315789473684209</v>
      </c>
      <c r="I344" s="1">
        <f>IF('исходные данные'!I344&gt;'минимумы и максимумы'!G$4,100,('исходные данные'!I344-'минимумы и максимумы'!G$2)/('минимумы и максимумы'!G$4-'минимумы и максимумы'!G$2)*100)</f>
        <v>10.843373493975903</v>
      </c>
      <c r="J344" s="1">
        <f>IF('исходные данные'!J344&gt;'минимумы и максимумы'!H$4,100,('исходные данные'!J344-'минимумы и максимумы'!H$2)/('минимумы и максимумы'!H$4-'минимумы и максимумы'!H$2)*100)</f>
        <v>0</v>
      </c>
      <c r="K344" s="1">
        <f>IF('исходные данные'!K344&gt;'минимумы и максимумы'!I$4,100,('исходные данные'!K344-'минимумы и максимумы'!I$2)/('минимумы и максимумы'!I$4-'минимумы и максимумы'!I$2)*100)</f>
        <v>3.5714285714285712</v>
      </c>
      <c r="L344" s="1">
        <f>IF('исходные данные'!L344&gt;'минимумы и максимумы'!J$4,100,('исходные данные'!L344-'минимумы и максимумы'!J$2)/('минимумы и максимумы'!J$4-'минимумы и максимумы'!J$2)*100)</f>
        <v>12.5</v>
      </c>
      <c r="M344" s="1">
        <f>IF('исходные данные'!M344&gt;'минимумы и максимумы'!K$4,100,('исходные данные'!M344-'минимумы и максимумы'!K$2)/('минимумы и максимумы'!K$4-'минимумы и максимумы'!K$2)*100)</f>
        <v>17.021276595744681</v>
      </c>
      <c r="N344" s="1">
        <f>IF('исходные данные'!N344&gt;'минимумы и максимумы'!L$4,100,('исходные данные'!N344-'минимумы и максимумы'!L$2)/('минимумы и максимумы'!L$4-'минимумы и максимумы'!L$2)*100)</f>
        <v>41.532123359469573</v>
      </c>
      <c r="O344" s="1">
        <f>IF('исходные данные'!O344&gt;'минимумы и максимумы'!M$4,100,('исходные данные'!O344-'минимумы и максимумы'!M$2)/('минимумы и максимумы'!M$4-'минимумы и максимумы'!M$2)*100)</f>
        <v>0</v>
      </c>
      <c r="P344" s="1">
        <f>IF('исходные данные'!P344&gt;'минимумы и максимумы'!N$4,100,('исходные данные'!P344-'минимумы и максимумы'!N$2)/('минимумы и максимумы'!N$4-'минимумы и максимумы'!N$2)*100)</f>
        <v>0</v>
      </c>
      <c r="Q344" s="1">
        <f>IF('исходные данные'!Q344&gt;'минимумы и максимумы'!O$4,100,('исходные данные'!Q344-'минимумы и максимумы'!O$2)/('минимумы и максимумы'!O$4-'минимумы и максимумы'!O$2)*100)</f>
        <v>100</v>
      </c>
      <c r="R344" s="1">
        <f>IF('исходные данные'!R344&gt;'минимумы и максимумы'!P$4,100,('исходные данные'!R344-'минимумы и максимумы'!P$2)/('минимумы и максимумы'!P$4-'минимумы и максимумы'!P$2)*100)</f>
        <v>75</v>
      </c>
      <c r="S344" s="1">
        <f>IF('исходные данные'!S344&gt;'минимумы и максимумы'!Q$4,100,('исходные данные'!S344-'минимумы и максимумы'!Q$2)/('минимумы и максимумы'!Q$4-'минимумы и максимумы'!Q$2)*100)</f>
        <v>11.111111111111111</v>
      </c>
      <c r="T344" s="1">
        <f>IF('исходные данные'!T344&gt;'минимумы и максимумы'!R$4,100,('исходные данные'!T344-'минимумы и максимумы'!R$2)/('минимумы и максимумы'!R$4-'минимумы и максимумы'!R$2)*100)</f>
        <v>28.711162255466053</v>
      </c>
      <c r="U344" s="1">
        <f>IF('исходные данные'!U344&gt;'минимумы и максимумы'!S$4,100,('исходные данные'!U344-'минимумы и максимумы'!S$2)/('минимумы и максимумы'!S$4-'минимумы и максимумы'!S$2)*100)</f>
        <v>33.333333333333329</v>
      </c>
    </row>
    <row r="345" spans="1:21" x14ac:dyDescent="0.45">
      <c r="A345" s="4">
        <v>454</v>
      </c>
      <c r="B345" s="4">
        <v>0</v>
      </c>
      <c r="C345" s="4">
        <v>0</v>
      </c>
      <c r="D345" s="1">
        <f>IF('исходные данные'!D345&gt;'минимумы и максимумы'!B$4,100,('исходные данные'!D345-'минимумы и максимумы'!B$2)/('минимумы и максимумы'!B$4-'минимумы и максимумы'!B$2)*100)</f>
        <v>0</v>
      </c>
      <c r="E345" s="1">
        <f>IF('исходные данные'!E345&gt;'минимумы и максимумы'!C$4,100,('исходные данные'!E345-'минимумы и максимумы'!C$2)/('минимумы и максимумы'!C$4-'минимумы и максимумы'!C$2)*100)</f>
        <v>6.25</v>
      </c>
      <c r="F345" s="1">
        <f>IF('исходные данные'!F345&gt;'минимумы и максимумы'!D$4,100,('исходные данные'!F345-'минимумы и максимумы'!D$2)/('минимумы и максимумы'!D$4-'минимумы и максимумы'!D$2)*100)</f>
        <v>0</v>
      </c>
      <c r="G345" s="1">
        <f>IF('исходные данные'!G345&gt;'минимумы и максимумы'!E$4,100,('исходные данные'!G345-'минимумы и максимумы'!E$2)/('минимумы и максимумы'!E$4-'минимумы и максимумы'!E$2)*100)</f>
        <v>24.324324324324326</v>
      </c>
      <c r="H345" s="1">
        <f>IF('исходные данные'!H345&gt;'минимумы и максимумы'!F$4,100,('исходные данные'!H345-'минимумы и максимумы'!F$2)/('минимумы и максимумы'!F$4-'минимумы и максимумы'!F$2)*100)</f>
        <v>34.210526315789473</v>
      </c>
      <c r="I345" s="1">
        <f>IF('исходные данные'!I345&gt;'минимумы и максимумы'!G$4,100,('исходные данные'!I345-'минимумы и максимумы'!G$2)/('минимумы и максимумы'!G$4-'минимумы и максимумы'!G$2)*100)</f>
        <v>12.048192771084338</v>
      </c>
      <c r="J345" s="1">
        <f>IF('исходные данные'!J345&gt;'минимумы и максимумы'!H$4,100,('исходные данные'!J345-'минимумы и максимумы'!H$2)/('минимумы и максимумы'!H$4-'минимумы и максимумы'!H$2)*100)</f>
        <v>0</v>
      </c>
      <c r="K345" s="1">
        <f>IF('исходные данные'!K345&gt;'минимумы и максимумы'!I$4,100,('исходные данные'!K345-'минимумы и максимумы'!I$2)/('минимумы и максимумы'!I$4-'минимумы и максимумы'!I$2)*100)</f>
        <v>0</v>
      </c>
      <c r="L345" s="1">
        <f>IF('исходные данные'!L345&gt;'минимумы и максимумы'!J$4,100,('исходные данные'!L345-'минимумы и максимумы'!J$2)/('минимумы и максимумы'!J$4-'минимумы и максимумы'!J$2)*100)</f>
        <v>12.5</v>
      </c>
      <c r="M345" s="1">
        <f>IF('исходные данные'!M345&gt;'минимумы и максимумы'!K$4,100,('исходные данные'!M345-'минимумы и максимумы'!K$2)/('минимумы и максимумы'!K$4-'минимумы и максимумы'!K$2)*100)</f>
        <v>25.531914893617021</v>
      </c>
      <c r="N345" s="1">
        <f>IF('исходные данные'!N345&gt;'минимумы и максимумы'!L$4,100,('исходные данные'!N345-'минимумы и максимумы'!L$2)/('минимумы и максимумы'!L$4-'минимумы и максимумы'!L$2)*100)</f>
        <v>41.980321762487918</v>
      </c>
      <c r="O345" s="1">
        <f>IF('исходные данные'!O345&gt;'минимумы и максимумы'!M$4,100,('исходные данные'!O345-'минимумы и максимумы'!M$2)/('минимумы и максимумы'!M$4-'минимумы и максимумы'!M$2)*100)</f>
        <v>0</v>
      </c>
      <c r="P345" s="1">
        <f>IF('исходные данные'!P345&gt;'минимумы и максимумы'!N$4,100,('исходные данные'!P345-'минимумы и максимумы'!N$2)/('минимумы и максимумы'!N$4-'минимумы и максимумы'!N$2)*100)</f>
        <v>0</v>
      </c>
      <c r="Q345" s="1">
        <f>IF('исходные данные'!Q345&gt;'минимумы и максимумы'!O$4,100,('исходные данные'!Q345-'минимумы и максимумы'!O$2)/('минимумы и максимумы'!O$4-'минимумы и максимумы'!O$2)*100)</f>
        <v>100</v>
      </c>
      <c r="R345" s="1">
        <f>IF('исходные данные'!R345&gt;'минимумы и максимумы'!P$4,100,('исходные данные'!R345-'минимумы и максимумы'!P$2)/('минимумы и максимумы'!P$4-'минимумы и максимумы'!P$2)*100)</f>
        <v>75</v>
      </c>
      <c r="S345" s="1">
        <f>IF('исходные данные'!S345&gt;'минимумы и максимумы'!Q$4,100,('исходные данные'!S345-'минимумы и максимумы'!Q$2)/('минимумы и максимумы'!Q$4-'минимумы и максимумы'!Q$2)*100)</f>
        <v>11.111111111111111</v>
      </c>
      <c r="T345" s="1">
        <f>IF('исходные данные'!T345&gt;'минимумы и максимумы'!R$4,100,('исходные данные'!T345-'минимумы и максимумы'!R$2)/('минимумы и максимумы'!R$4-'минимумы и максимумы'!R$2)*100)</f>
        <v>100</v>
      </c>
      <c r="U345" s="1">
        <f>IF('исходные данные'!U345&gt;'минимумы и максимумы'!S$4,100,('исходные данные'!U345-'минимумы и максимумы'!S$2)/('минимумы и максимумы'!S$4-'минимумы и максимумы'!S$2)*100)</f>
        <v>100</v>
      </c>
    </row>
    <row r="346" spans="1:21" x14ac:dyDescent="0.45">
      <c r="A346" s="4">
        <v>455</v>
      </c>
      <c r="B346" s="4">
        <v>0</v>
      </c>
      <c r="C346" s="4">
        <v>0</v>
      </c>
      <c r="D346" s="1">
        <f>IF('исходные данные'!D346&gt;'минимумы и максимумы'!B$4,100,('исходные данные'!D346-'минимумы и максимумы'!B$2)/('минимумы и максимумы'!B$4-'минимумы и максимумы'!B$2)*100)</f>
        <v>25</v>
      </c>
      <c r="E346" s="1">
        <f>IF('исходные данные'!E346&gt;'минимумы и максимумы'!C$4,100,('исходные данные'!E346-'минимумы и максимумы'!C$2)/('минимумы и максимумы'!C$4-'минимумы и максимумы'!C$2)*100)</f>
        <v>18.75</v>
      </c>
      <c r="F346" s="1">
        <f>IF('исходные данные'!F346&gt;'минимумы и максимумы'!D$4,100,('исходные данные'!F346-'минимумы и максимумы'!D$2)/('минимумы и максимумы'!D$4-'минимумы и максимумы'!D$2)*100)</f>
        <v>0</v>
      </c>
      <c r="G346" s="1">
        <f>IF('исходные данные'!G346&gt;'минимумы и максимумы'!E$4,100,('исходные данные'!G346-'минимумы и максимумы'!E$2)/('минимумы и максимумы'!E$4-'минимумы и максимумы'!E$2)*100)</f>
        <v>29.72972972972973</v>
      </c>
      <c r="H346" s="1">
        <f>IF('исходные данные'!H346&gt;'минимумы и максимумы'!F$4,100,('исходные данные'!H346-'минимумы и максимумы'!F$2)/('минимумы и максимумы'!F$4-'минимумы и максимумы'!F$2)*100)</f>
        <v>28.947368421052634</v>
      </c>
      <c r="I346" s="1">
        <f>IF('исходные данные'!I346&gt;'минимумы и максимумы'!G$4,100,('исходные данные'!I346-'минимумы и максимумы'!G$2)/('минимумы и максимумы'!G$4-'минимумы и максимумы'!G$2)*100)</f>
        <v>7.2289156626506017</v>
      </c>
      <c r="J346" s="1">
        <f>IF('исходные данные'!J346&gt;'минимумы и максимумы'!H$4,100,('исходные данные'!J346-'минимумы и максимумы'!H$2)/('минимумы и максимумы'!H$4-'минимумы и максимумы'!H$2)*100)</f>
        <v>4.1666666666666661</v>
      </c>
      <c r="K346" s="1">
        <f>IF('исходные данные'!K346&gt;'минимумы и максимумы'!I$4,100,('исходные данные'!K346-'минимумы и максимумы'!I$2)/('минимумы и максимумы'!I$4-'минимумы и максимумы'!I$2)*100)</f>
        <v>3.5714285714285712</v>
      </c>
      <c r="L346" s="1">
        <f>IF('исходные данные'!L346&gt;'минимумы и максимумы'!J$4,100,('исходные данные'!L346-'минимумы и максимумы'!J$2)/('минимумы и максимумы'!J$4-'минимумы и максимумы'!J$2)*100)</f>
        <v>12.5</v>
      </c>
      <c r="M346" s="1">
        <f>IF('исходные данные'!M346&gt;'минимумы и максимумы'!K$4,100,('исходные данные'!M346-'минимумы и максимумы'!K$2)/('минимумы и максимумы'!K$4-'минимумы и максимумы'!K$2)*100)</f>
        <v>25.531914893617021</v>
      </c>
      <c r="N346" s="1">
        <f>IF('исходные данные'!N346&gt;'минимумы и максимумы'!L$4,100,('исходные данные'!N346-'минимумы и максимумы'!L$2)/('минимумы и максимумы'!L$4-'минимумы и максимумы'!L$2)*100)</f>
        <v>42.131522875769072</v>
      </c>
      <c r="O346" s="1">
        <f>IF('исходные данные'!O346&gt;'минимумы и максимумы'!M$4,100,('исходные данные'!O346-'минимумы и максимумы'!M$2)/('минимумы и максимумы'!M$4-'минимумы и максимумы'!M$2)*100)</f>
        <v>0</v>
      </c>
      <c r="P346" s="1">
        <f>IF('исходные данные'!P346&gt;'минимумы и максимумы'!N$4,100,('исходные данные'!P346-'минимумы и максимумы'!N$2)/('минимумы и максимумы'!N$4-'минимумы и максимумы'!N$2)*100)</f>
        <v>0</v>
      </c>
      <c r="Q346" s="1">
        <f>IF('исходные данные'!Q346&gt;'минимумы и максимумы'!O$4,100,('исходные данные'!Q346-'минимумы и максимумы'!O$2)/('минимумы и максимумы'!O$4-'минимумы и максимумы'!O$2)*100)</f>
        <v>100</v>
      </c>
      <c r="R346" s="1">
        <f>IF('исходные данные'!R346&gt;'минимумы и максимумы'!P$4,100,('исходные данные'!R346-'минимумы и максимумы'!P$2)/('минимумы и максимумы'!P$4-'минимумы и максимумы'!P$2)*100)</f>
        <v>75</v>
      </c>
      <c r="S346" s="1">
        <f>IF('исходные данные'!S346&gt;'минимумы и максимумы'!Q$4,100,('исходные данные'!S346-'минимумы и максимумы'!Q$2)/('минимумы и максимумы'!Q$4-'минимумы и максимумы'!Q$2)*100)</f>
        <v>11.111111111111111</v>
      </c>
      <c r="T346" s="1">
        <f>IF('исходные данные'!T346&gt;'минимумы и максимумы'!R$4,100,('исходные данные'!T346-'минимумы и максимумы'!R$2)/('минимумы и максимумы'!R$4-'минимумы и максимумы'!R$2)*100)</f>
        <v>82.738780207134639</v>
      </c>
      <c r="U346" s="1">
        <f>IF('исходные данные'!U346&gt;'минимумы и максимумы'!S$4,100,('исходные данные'!U346-'минимумы и максимумы'!S$2)/('минимумы и максимумы'!S$4-'минимумы и максимумы'!S$2)*100)</f>
        <v>100</v>
      </c>
    </row>
    <row r="347" spans="1:21" x14ac:dyDescent="0.45">
      <c r="A347" s="4">
        <v>456</v>
      </c>
      <c r="B347" s="4">
        <v>0</v>
      </c>
      <c r="C347" s="4">
        <v>0</v>
      </c>
      <c r="D347" s="1">
        <f>IF('исходные данные'!D347&gt;'минимумы и максимумы'!B$4,100,('исходные данные'!D347-'минимумы и максимумы'!B$2)/('минимумы и максимумы'!B$4-'минимумы и максимумы'!B$2)*100)</f>
        <v>25</v>
      </c>
      <c r="E347" s="1">
        <f>IF('исходные данные'!E347&gt;'минимумы и максимумы'!C$4,100,('исходные данные'!E347-'минимумы и максимумы'!C$2)/('минимумы и максимумы'!C$4-'минимумы и максимумы'!C$2)*100)</f>
        <v>18.75</v>
      </c>
      <c r="F347" s="1">
        <f>IF('исходные данные'!F347&gt;'минимумы и максимумы'!D$4,100,('исходные данные'!F347-'минимумы и максимумы'!D$2)/('минимумы и максимумы'!D$4-'минимумы и максимумы'!D$2)*100)</f>
        <v>0</v>
      </c>
      <c r="G347" s="1">
        <f>IF('исходные данные'!G347&gt;'минимумы и максимумы'!E$4,100,('исходные данные'!G347-'минимумы и максимумы'!E$2)/('минимумы и максимумы'!E$4-'минимумы и максимумы'!E$2)*100)</f>
        <v>29.72972972972973</v>
      </c>
      <c r="H347" s="1">
        <f>IF('исходные данные'!H347&gt;'минимумы и максимумы'!F$4,100,('исходные данные'!H347-'минимумы и максимумы'!F$2)/('минимумы и максимумы'!F$4-'минимумы и максимумы'!F$2)*100)</f>
        <v>28.947368421052634</v>
      </c>
      <c r="I347" s="1">
        <f>IF('исходные данные'!I347&gt;'минимумы и максимумы'!G$4,100,('исходные данные'!I347-'минимумы и максимумы'!G$2)/('минимумы и максимумы'!G$4-'минимумы и максимумы'!G$2)*100)</f>
        <v>7.2289156626506017</v>
      </c>
      <c r="J347" s="1">
        <f>IF('исходные данные'!J347&gt;'минимумы и максимумы'!H$4,100,('исходные данные'!J347-'минимумы и максимумы'!H$2)/('минимумы и максимумы'!H$4-'минимумы и максимумы'!H$2)*100)</f>
        <v>4.1666666666666661</v>
      </c>
      <c r="K347" s="1">
        <f>IF('исходные данные'!K347&gt;'минимумы и максимумы'!I$4,100,('исходные данные'!K347-'минимумы и максимумы'!I$2)/('минимумы и максимумы'!I$4-'минимумы и максимумы'!I$2)*100)</f>
        <v>3.5714285714285712</v>
      </c>
      <c r="L347" s="1">
        <f>IF('исходные данные'!L347&gt;'минимумы и максимумы'!J$4,100,('исходные данные'!L347-'минимумы и максимумы'!J$2)/('минимумы и максимумы'!J$4-'минимумы и максимумы'!J$2)*100)</f>
        <v>12.5</v>
      </c>
      <c r="M347" s="1">
        <f>IF('исходные данные'!M347&gt;'минимумы и максимумы'!K$4,100,('исходные данные'!M347-'минимумы и максимумы'!K$2)/('минимумы и максимумы'!K$4-'минимумы и максимумы'!K$2)*100)</f>
        <v>25.531914893617021</v>
      </c>
      <c r="N347" s="1">
        <f>IF('исходные данные'!N347&gt;'минимумы и максимумы'!L$4,100,('исходные данные'!N347-'минимумы и максимумы'!L$2)/('минимумы и максимумы'!L$4-'минимумы и максимумы'!L$2)*100)</f>
        <v>42.131522875769072</v>
      </c>
      <c r="O347" s="1">
        <f>IF('исходные данные'!O347&gt;'минимумы и максимумы'!M$4,100,('исходные данные'!O347-'минимумы и максимумы'!M$2)/('минимумы и максимумы'!M$4-'минимумы и максимумы'!M$2)*100)</f>
        <v>0</v>
      </c>
      <c r="P347" s="1">
        <f>IF('исходные данные'!P347&gt;'минимумы и максимумы'!N$4,100,('исходные данные'!P347-'минимумы и максимумы'!N$2)/('минимумы и максимумы'!N$4-'минимумы и максимумы'!N$2)*100)</f>
        <v>0</v>
      </c>
      <c r="Q347" s="1">
        <f>IF('исходные данные'!Q347&gt;'минимумы и максимумы'!O$4,100,('исходные данные'!Q347-'минимумы и максимумы'!O$2)/('минимумы и максимумы'!O$4-'минимумы и максимумы'!O$2)*100)</f>
        <v>100</v>
      </c>
      <c r="R347" s="1">
        <f>IF('исходные данные'!R347&gt;'минимумы и максимумы'!P$4,100,('исходные данные'!R347-'минимумы и максимумы'!P$2)/('минимумы и максимумы'!P$4-'минимумы и максимумы'!P$2)*100)</f>
        <v>75</v>
      </c>
      <c r="S347" s="1">
        <f>IF('исходные данные'!S347&gt;'минимумы и максимумы'!Q$4,100,('исходные данные'!S347-'минимумы и максимумы'!Q$2)/('минимумы и максимумы'!Q$4-'минимумы и максимумы'!Q$2)*100)</f>
        <v>11.111111111111111</v>
      </c>
      <c r="T347" s="1">
        <f>IF('исходные данные'!T347&gt;'минимумы и максимумы'!R$4,100,('исходные данные'!T347-'минимумы и максимумы'!R$2)/('минимумы и максимумы'!R$4-'минимумы и максимумы'!R$2)*100)</f>
        <v>84.292289988492513</v>
      </c>
      <c r="U347" s="1">
        <f>IF('исходные данные'!U347&gt;'минимумы и максимумы'!S$4,100,('исходные данные'!U347-'минимумы и максимумы'!S$2)/('минимумы и максимумы'!S$4-'минимумы и максимумы'!S$2)*100)</f>
        <v>33.333333333333329</v>
      </c>
    </row>
    <row r="348" spans="1:21" x14ac:dyDescent="0.45">
      <c r="A348" s="4">
        <v>457</v>
      </c>
      <c r="B348" s="4">
        <v>0</v>
      </c>
      <c r="C348" s="4">
        <v>0</v>
      </c>
      <c r="D348" s="1">
        <f>IF('исходные данные'!D348&gt;'минимумы и максимумы'!B$4,100,('исходные данные'!D348-'минимумы и максимумы'!B$2)/('минимумы и максимумы'!B$4-'минимумы и максимумы'!B$2)*100)</f>
        <v>12.5</v>
      </c>
      <c r="E348" s="1">
        <f>IF('исходные данные'!E348&gt;'минимумы и максимумы'!C$4,100,('исходные данные'!E348-'минимумы и максимумы'!C$2)/('минимумы и максимумы'!C$4-'минимумы и максимумы'!C$2)*100)</f>
        <v>12.5</v>
      </c>
      <c r="F348" s="1">
        <f>IF('исходные данные'!F348&gt;'минимумы и максимумы'!D$4,100,('исходные данные'!F348-'минимумы и максимумы'!D$2)/('минимумы и максимумы'!D$4-'минимумы и максимумы'!D$2)*100)</f>
        <v>0</v>
      </c>
      <c r="G348" s="1">
        <f>IF('исходные данные'!G348&gt;'минимумы и максимумы'!E$4,100,('исходные данные'!G348-'минимумы и максимумы'!E$2)/('минимумы и максимумы'!E$4-'минимумы и максимумы'!E$2)*100)</f>
        <v>16.216216216216218</v>
      </c>
      <c r="H348" s="1">
        <f>IF('исходные данные'!H348&gt;'минимумы и максимумы'!F$4,100,('исходные данные'!H348-'минимумы и максимумы'!F$2)/('минимумы и максимумы'!F$4-'минимумы и максимумы'!F$2)*100)</f>
        <v>13.157894736842104</v>
      </c>
      <c r="I348" s="1">
        <f>IF('исходные данные'!I348&gt;'минимумы и максимумы'!G$4,100,('исходные данные'!I348-'минимумы и максимумы'!G$2)/('минимумы и максимумы'!G$4-'минимумы и максимумы'!G$2)*100)</f>
        <v>1.2048192771084338</v>
      </c>
      <c r="J348" s="1">
        <f>IF('исходные данные'!J348&gt;'минимумы и максимумы'!H$4,100,('исходные данные'!J348-'минимумы и максимумы'!H$2)/('минимумы и максимумы'!H$4-'минимумы и максимумы'!H$2)*100)</f>
        <v>4.1666666666666661</v>
      </c>
      <c r="K348" s="1">
        <f>IF('исходные данные'!K348&gt;'минимумы и максимумы'!I$4,100,('исходные данные'!K348-'минимумы и максимумы'!I$2)/('минимумы и максимумы'!I$4-'минимумы и максимумы'!I$2)*100)</f>
        <v>3.5714285714285712</v>
      </c>
      <c r="L348" s="1">
        <f>IF('исходные данные'!L348&gt;'минимумы и максимумы'!J$4,100,('исходные данные'!L348-'минимумы и максимумы'!J$2)/('минимумы и максимумы'!J$4-'минимумы и максимумы'!J$2)*100)</f>
        <v>0</v>
      </c>
      <c r="M348" s="1">
        <f>IF('исходные данные'!M348&gt;'минимумы и максимумы'!K$4,100,('исходные данные'!M348-'минимумы и максимумы'!K$2)/('минимумы и максимумы'!K$4-'минимумы и максимумы'!K$2)*100)</f>
        <v>19.148936170212767</v>
      </c>
      <c r="N348" s="1">
        <f>IF('исходные данные'!N348&gt;'минимумы и максимумы'!L$4,100,('исходные данные'!N348-'минимумы и максимумы'!L$2)/('минимумы и максимумы'!L$4-'минимумы и максимумы'!L$2)*100)</f>
        <v>42.54119592148777</v>
      </c>
      <c r="O348" s="1">
        <f>IF('исходные данные'!O348&gt;'минимумы и максимумы'!M$4,100,('исходные данные'!O348-'минимумы и максимумы'!M$2)/('минимумы и максимумы'!M$4-'минимумы и максимумы'!M$2)*100)</f>
        <v>0</v>
      </c>
      <c r="P348" s="1">
        <f>IF('исходные данные'!P348&gt;'минимумы и максимумы'!N$4,100,('исходные данные'!P348-'минимумы и максимумы'!N$2)/('минимумы и максимумы'!N$4-'минимумы и максимумы'!N$2)*100)</f>
        <v>0</v>
      </c>
      <c r="Q348" s="1">
        <f>IF('исходные данные'!Q348&gt;'минимумы и максимумы'!O$4,100,('исходные данные'!Q348-'минимумы и максимумы'!O$2)/('минимумы и максимумы'!O$4-'минимумы и максимумы'!O$2)*100)</f>
        <v>100</v>
      </c>
      <c r="R348" s="1">
        <f>IF('исходные данные'!R348&gt;'минимумы и максимумы'!P$4,100,('исходные данные'!R348-'минимумы и максимумы'!P$2)/('минимумы и максимумы'!P$4-'минимумы и максимумы'!P$2)*100)</f>
        <v>75</v>
      </c>
      <c r="S348" s="1">
        <f>IF('исходные данные'!S348&gt;'минимумы и максимумы'!Q$4,100,('исходные данные'!S348-'минимумы и максимумы'!Q$2)/('минимумы и максимумы'!Q$4-'минимумы и максимумы'!Q$2)*100)</f>
        <v>11.111111111111111</v>
      </c>
      <c r="T348" s="1">
        <f>IF('исходные данные'!T348&gt;'минимумы и максимумы'!R$4,100,('исходные данные'!T348-'минимумы и максимумы'!R$2)/('минимумы и максимумы'!R$4-'минимумы и максимумы'!R$2)*100)</f>
        <v>83.975834292289989</v>
      </c>
      <c r="U348" s="1">
        <f>IF('исходные данные'!U348&gt;'минимумы и максимумы'!S$4,100,('исходные данные'!U348-'минимумы и максимумы'!S$2)/('минимумы и максимумы'!S$4-'минимумы и максимумы'!S$2)*100)</f>
        <v>33.333333333333329</v>
      </c>
    </row>
    <row r="349" spans="1:21" x14ac:dyDescent="0.45">
      <c r="A349" s="4">
        <v>458</v>
      </c>
      <c r="B349" s="4">
        <v>0</v>
      </c>
      <c r="C349" s="4">
        <v>0</v>
      </c>
      <c r="D349" s="1">
        <f>IF('исходные данные'!D349&gt;'минимумы и максимумы'!B$4,100,('исходные данные'!D349-'минимумы и максимумы'!B$2)/('минимумы и максимумы'!B$4-'минимумы и максимумы'!B$2)*100)</f>
        <v>12.5</v>
      </c>
      <c r="E349" s="1">
        <f>IF('исходные данные'!E349&gt;'минимумы и максимумы'!C$4,100,('исходные данные'!E349-'минимумы и максимумы'!C$2)/('минимумы и максимумы'!C$4-'минимумы и максимумы'!C$2)*100)</f>
        <v>18.75</v>
      </c>
      <c r="F349" s="1">
        <f>IF('исходные данные'!F349&gt;'минимумы и максимумы'!D$4,100,('исходные данные'!F349-'минимумы и максимумы'!D$2)/('минимумы и максимумы'!D$4-'минимумы и максимумы'!D$2)*100)</f>
        <v>25</v>
      </c>
      <c r="G349" s="1">
        <f>IF('исходные данные'!G349&gt;'минимумы и максимумы'!E$4,100,('исходные данные'!G349-'минимумы и максимумы'!E$2)/('минимумы и максимумы'!E$4-'минимумы и максимумы'!E$2)*100)</f>
        <v>18.918918918918919</v>
      </c>
      <c r="H349" s="1">
        <f>IF('исходные данные'!H349&gt;'минимумы и максимумы'!F$4,100,('исходные данные'!H349-'минимумы и максимумы'!F$2)/('минимумы и максимумы'!F$4-'минимумы и максимумы'!F$2)*100)</f>
        <v>26.315789473684209</v>
      </c>
      <c r="I349" s="1">
        <f>IF('исходные данные'!I349&gt;'минимумы и максимумы'!G$4,100,('исходные данные'!I349-'минимумы и максимумы'!G$2)/('минимумы и максимумы'!G$4-'минимумы и максимумы'!G$2)*100)</f>
        <v>9.6385542168674707</v>
      </c>
      <c r="J349" s="1">
        <f>IF('исходные данные'!J349&gt;'минимумы и максимумы'!H$4,100,('исходные данные'!J349-'минимумы и максимумы'!H$2)/('минимумы и максимумы'!H$4-'минимумы и максимумы'!H$2)*100)</f>
        <v>4.1666666666666661</v>
      </c>
      <c r="K349" s="1">
        <f>IF('исходные данные'!K349&gt;'минимумы и максимумы'!I$4,100,('исходные данные'!K349-'минимумы и максимумы'!I$2)/('минимумы и максимумы'!I$4-'минимумы и максимумы'!I$2)*100)</f>
        <v>7.1428571428571423</v>
      </c>
      <c r="L349" s="1">
        <f>IF('исходные данные'!L349&gt;'минимумы и максимумы'!J$4,100,('исходные данные'!L349-'минимумы и максимумы'!J$2)/('минимумы и максимумы'!J$4-'минимумы и максимумы'!J$2)*100)</f>
        <v>12.5</v>
      </c>
      <c r="M349" s="1">
        <f>IF('исходные данные'!M349&gt;'минимумы и максимумы'!K$4,100,('исходные данные'!M349-'минимумы и максимумы'!K$2)/('минимумы и максимумы'!K$4-'минимумы и максимумы'!K$2)*100)</f>
        <v>17.021276595744681</v>
      </c>
      <c r="N349" s="1">
        <f>IF('исходные данные'!N349&gt;'минимумы и максимумы'!L$4,100,('исходные данные'!N349-'минимумы и максимумы'!L$2)/('минимумы и максимумы'!L$4-'минимумы и максимумы'!L$2)*100)</f>
        <v>41.980321762487918</v>
      </c>
      <c r="O349" s="1">
        <f>IF('исходные данные'!O349&gt;'минимумы и максимумы'!M$4,100,('исходные данные'!O349-'минимумы и максимумы'!M$2)/('минимумы и максимумы'!M$4-'минимумы и максимумы'!M$2)*100)</f>
        <v>0</v>
      </c>
      <c r="P349" s="1">
        <f>IF('исходные данные'!P349&gt;'минимумы и максимумы'!N$4,100,('исходные данные'!P349-'минимумы и максимумы'!N$2)/('минимумы и максимумы'!N$4-'минимумы и максимумы'!N$2)*100)</f>
        <v>0</v>
      </c>
      <c r="Q349" s="1">
        <f>IF('исходные данные'!Q349&gt;'минимумы и максимумы'!O$4,100,('исходные данные'!Q349-'минимумы и максимумы'!O$2)/('минимумы и максимумы'!O$4-'минимумы и максимумы'!O$2)*100)</f>
        <v>100</v>
      </c>
      <c r="R349" s="1">
        <f>IF('исходные данные'!R349&gt;'минимумы и максимумы'!P$4,100,('исходные данные'!R349-'минимумы и максимумы'!P$2)/('минимумы и максимумы'!P$4-'минимумы и максимумы'!P$2)*100)</f>
        <v>75</v>
      </c>
      <c r="S349" s="1">
        <f>IF('исходные данные'!S349&gt;'минимумы и максимумы'!Q$4,100,('исходные данные'!S349-'минимумы и максимумы'!Q$2)/('минимумы и максимумы'!Q$4-'минимумы и максимумы'!Q$2)*100)</f>
        <v>11.111111111111111</v>
      </c>
      <c r="T349" s="1">
        <f>IF('исходные данные'!T349&gt;'минимумы и максимумы'!R$4,100,('исходные данные'!T349-'минимумы и максимумы'!R$2)/('минимумы и максимумы'!R$4-'минимумы и максимумы'!R$2)*100)</f>
        <v>39.06789413118527</v>
      </c>
      <c r="U349" s="1">
        <f>IF('исходные данные'!U349&gt;'минимумы и максимумы'!S$4,100,('исходные данные'!U349-'минимумы и максимумы'!S$2)/('минимумы и максимумы'!S$4-'минимумы и максимумы'!S$2)*100)</f>
        <v>66.666666666666657</v>
      </c>
    </row>
    <row r="350" spans="1:21" x14ac:dyDescent="0.45">
      <c r="A350" s="4">
        <v>459</v>
      </c>
      <c r="B350" s="4">
        <v>0</v>
      </c>
      <c r="C350" s="4">
        <v>0</v>
      </c>
      <c r="D350" s="1">
        <f>IF('исходные данные'!D350&gt;'минимумы и максимумы'!B$4,100,('исходные данные'!D350-'минимумы и максимумы'!B$2)/('минимумы и максимумы'!B$4-'минимумы и максимумы'!B$2)*100)</f>
        <v>12.5</v>
      </c>
      <c r="E350" s="1">
        <f>IF('исходные данные'!E350&gt;'минимумы и максимумы'!C$4,100,('исходные данные'!E350-'минимумы и максимумы'!C$2)/('минимумы и максимумы'!C$4-'минимумы и максимумы'!C$2)*100)</f>
        <v>18.75</v>
      </c>
      <c r="F350" s="1">
        <f>IF('исходные данные'!F350&gt;'минимумы и максимумы'!D$4,100,('исходные данные'!F350-'минимумы и максимумы'!D$2)/('минимумы и максимумы'!D$4-'минимумы и максимумы'!D$2)*100)</f>
        <v>25</v>
      </c>
      <c r="G350" s="1">
        <f>IF('исходные данные'!G350&gt;'минимумы и максимумы'!E$4,100,('исходные данные'!G350-'минимумы и максимумы'!E$2)/('минимумы и максимумы'!E$4-'минимумы и максимумы'!E$2)*100)</f>
        <v>16.216216216216218</v>
      </c>
      <c r="H350" s="1">
        <f>IF('исходные данные'!H350&gt;'минимумы и максимумы'!F$4,100,('исходные данные'!H350-'минимумы и максимумы'!F$2)/('минимумы и максимумы'!F$4-'минимумы и максимумы'!F$2)*100)</f>
        <v>13.157894736842104</v>
      </c>
      <c r="I350" s="1">
        <f>IF('исходные данные'!I350&gt;'минимумы и максимумы'!G$4,100,('исходные данные'!I350-'минимумы и максимумы'!G$2)/('минимумы и максимумы'!G$4-'минимумы и максимумы'!G$2)*100)</f>
        <v>3.6144578313253009</v>
      </c>
      <c r="J350" s="1">
        <f>IF('исходные данные'!J350&gt;'минимумы и максимумы'!H$4,100,('исходные данные'!J350-'минимумы и максимумы'!H$2)/('минимумы и максимумы'!H$4-'минимумы и максимумы'!H$2)*100)</f>
        <v>8.3333333333333321</v>
      </c>
      <c r="K350" s="1">
        <f>IF('исходные данные'!K350&gt;'минимумы и максимумы'!I$4,100,('исходные данные'!K350-'минимумы и максимумы'!I$2)/('минимумы и максимумы'!I$4-'минимумы и максимумы'!I$2)*100)</f>
        <v>7.1428571428571423</v>
      </c>
      <c r="L350" s="1">
        <f>IF('исходные данные'!L350&gt;'минимумы и максимумы'!J$4,100,('исходные данные'!L350-'минимумы и максимумы'!J$2)/('минимумы и максимумы'!J$4-'минимумы и максимумы'!J$2)*100)</f>
        <v>0</v>
      </c>
      <c r="M350" s="1">
        <f>IF('исходные данные'!M350&gt;'минимумы и максимумы'!K$4,100,('исходные данные'!M350-'минимумы и максимумы'!K$2)/('минимумы и максимумы'!K$4-'минимумы и максимумы'!K$2)*100)</f>
        <v>23.404255319148938</v>
      </c>
      <c r="N350" s="1">
        <f>IF('исходные данные'!N350&gt;'минимумы и максимумы'!L$4,100,('исходные данные'!N350-'минимумы и максимумы'!L$2)/('минимумы и максимумы'!L$4-'минимумы и максимумы'!L$2)*100)</f>
        <v>42.134445780920814</v>
      </c>
      <c r="O350" s="1">
        <f>IF('исходные данные'!O350&gt;'минимумы и максимумы'!M$4,100,('исходные данные'!O350-'минимумы и максимумы'!M$2)/('минимумы и максимумы'!M$4-'минимумы и максимумы'!M$2)*100)</f>
        <v>0</v>
      </c>
      <c r="P350" s="1">
        <f>IF('исходные данные'!P350&gt;'минимумы и максимумы'!N$4,100,('исходные данные'!P350-'минимумы и максимумы'!N$2)/('минимумы и максимумы'!N$4-'минимумы и максимумы'!N$2)*100)</f>
        <v>0</v>
      </c>
      <c r="Q350" s="1">
        <f>IF('исходные данные'!Q350&gt;'минимумы и максимумы'!O$4,100,('исходные данные'!Q350-'минимумы и максимумы'!O$2)/('минимумы и максимумы'!O$4-'минимумы и максимумы'!O$2)*100)</f>
        <v>100</v>
      </c>
      <c r="R350" s="1">
        <f>IF('исходные данные'!R350&gt;'минимумы и максимумы'!P$4,100,('исходные данные'!R350-'минимумы и максимумы'!P$2)/('минимумы и максимумы'!P$4-'минимумы и максимумы'!P$2)*100)</f>
        <v>75</v>
      </c>
      <c r="S350" s="1">
        <f>IF('исходные данные'!S350&gt;'минимумы и максимумы'!Q$4,100,('исходные данные'!S350-'минимумы и максимумы'!Q$2)/('минимумы и максимумы'!Q$4-'минимумы и максимумы'!Q$2)*100)</f>
        <v>11.111111111111111</v>
      </c>
      <c r="T350" s="1">
        <f>IF('исходные данные'!T350&gt;'минимумы и максимумы'!R$4,100,('исходные данные'!T350-'минимумы и максимумы'!R$2)/('минимумы и максимумы'!R$4-'минимумы и максимумы'!R$2)*100)</f>
        <v>30.868814729574222</v>
      </c>
      <c r="U350" s="1">
        <f>IF('исходные данные'!U350&gt;'минимумы и максимумы'!S$4,100,('исходные данные'!U350-'минимумы и максимумы'!S$2)/('минимумы и максимумы'!S$4-'минимумы и максимумы'!S$2)*100)</f>
        <v>66.666666666666657</v>
      </c>
    </row>
    <row r="351" spans="1:21" x14ac:dyDescent="0.45">
      <c r="A351" s="4">
        <v>460</v>
      </c>
      <c r="B351" s="4">
        <v>0</v>
      </c>
      <c r="C351" s="4">
        <v>0</v>
      </c>
      <c r="D351" s="1">
        <f>IF('исходные данные'!D351&gt;'минимумы и максимумы'!B$4,100,('исходные данные'!D351-'минимумы и максимумы'!B$2)/('минимумы и максимумы'!B$4-'минимумы и максимумы'!B$2)*100)</f>
        <v>12.5</v>
      </c>
      <c r="E351" s="1">
        <f>IF('исходные данные'!E351&gt;'минимумы и максимумы'!C$4,100,('исходные данные'!E351-'минимумы и максимумы'!C$2)/('минимумы и максимумы'!C$4-'минимумы и максимумы'!C$2)*100)</f>
        <v>18.75</v>
      </c>
      <c r="F351" s="1">
        <f>IF('исходные данные'!F351&gt;'минимумы и максимумы'!D$4,100,('исходные данные'!F351-'минимумы и максимумы'!D$2)/('минимумы и максимумы'!D$4-'минимумы и максимумы'!D$2)*100)</f>
        <v>0</v>
      </c>
      <c r="G351" s="1">
        <f>IF('исходные данные'!G351&gt;'минимумы и максимумы'!E$4,100,('исходные данные'!G351-'минимумы и максимумы'!E$2)/('минимумы и максимумы'!E$4-'минимумы и максимумы'!E$2)*100)</f>
        <v>24.324324324324326</v>
      </c>
      <c r="H351" s="1">
        <f>IF('исходные данные'!H351&gt;'минимумы и максимумы'!F$4,100,('исходные данные'!H351-'минимумы и максимумы'!F$2)/('минимумы и максимумы'!F$4-'минимумы и максимумы'!F$2)*100)</f>
        <v>18.421052631578945</v>
      </c>
      <c r="I351" s="1">
        <f>IF('исходные данные'!I351&gt;'минимумы и максимумы'!G$4,100,('исходные данные'!I351-'минимумы и максимумы'!G$2)/('минимумы и максимумы'!G$4-'минимумы и максимумы'!G$2)*100)</f>
        <v>7.2289156626506017</v>
      </c>
      <c r="J351" s="1">
        <f>IF('исходные данные'!J351&gt;'минимумы и максимумы'!H$4,100,('исходные данные'!J351-'минимумы и максимумы'!H$2)/('минимумы и максимумы'!H$4-'минимумы и максимумы'!H$2)*100)</f>
        <v>4.1666666666666661</v>
      </c>
      <c r="K351" s="1">
        <f>IF('исходные данные'!K351&gt;'минимумы и максимумы'!I$4,100,('исходные данные'!K351-'минимумы и максимумы'!I$2)/('минимумы и максимумы'!I$4-'минимумы и максимумы'!I$2)*100)</f>
        <v>3.5714285714285712</v>
      </c>
      <c r="L351" s="1">
        <f>IF('исходные данные'!L351&gt;'минимумы и максимумы'!J$4,100,('исходные данные'!L351-'минимумы и максимумы'!J$2)/('минимумы и максимумы'!J$4-'минимумы и максимумы'!J$2)*100)</f>
        <v>0</v>
      </c>
      <c r="M351" s="1">
        <f>IF('исходные данные'!M351&gt;'минимумы и максимумы'!K$4,100,('исходные данные'!M351-'минимумы и максимумы'!K$2)/('минимумы и максимумы'!K$4-'минимумы и максимумы'!K$2)*100)</f>
        <v>29.787234042553191</v>
      </c>
      <c r="N351" s="1">
        <f>IF('исходные данные'!N351&gt;'минимумы и максимумы'!L$4,100,('исходные данные'!N351-'минимумы и максимумы'!L$2)/('минимумы и максимумы'!L$4-'минимумы и максимумы'!L$2)*100)</f>
        <v>43.002267540968099</v>
      </c>
      <c r="O351" s="1">
        <f>IF('исходные данные'!O351&gt;'минимумы и максимумы'!M$4,100,('исходные данные'!O351-'минимумы и максимумы'!M$2)/('минимумы и максимумы'!M$4-'минимумы и максимумы'!M$2)*100)</f>
        <v>100</v>
      </c>
      <c r="P351" s="1">
        <f>IF('исходные данные'!P351&gt;'минимумы и максимумы'!N$4,100,('исходные данные'!P351-'минимумы и максимумы'!N$2)/('минимумы и максимумы'!N$4-'минимумы и максимумы'!N$2)*100)</f>
        <v>0</v>
      </c>
      <c r="Q351" s="1">
        <f>IF('исходные данные'!Q351&gt;'минимумы и максимумы'!O$4,100,('исходные данные'!Q351-'минимумы и максимумы'!O$2)/('минимумы и максимумы'!O$4-'минимумы и максимумы'!O$2)*100)</f>
        <v>100</v>
      </c>
      <c r="R351" s="1">
        <f>IF('исходные данные'!R351&gt;'минимумы и максимумы'!P$4,100,('исходные данные'!R351-'минимумы и максимумы'!P$2)/('минимумы и максимумы'!P$4-'минимумы и максимумы'!P$2)*100)</f>
        <v>75</v>
      </c>
      <c r="S351" s="1">
        <f>IF('исходные данные'!S351&gt;'минимумы и максимумы'!Q$4,100,('исходные данные'!S351-'минимумы и максимумы'!Q$2)/('минимумы и максимумы'!Q$4-'минимумы и максимумы'!Q$2)*100)</f>
        <v>22.222222222222221</v>
      </c>
      <c r="T351" s="1">
        <f>IF('исходные данные'!T351&gt;'минимумы и максимумы'!R$4,100,('исходные данные'!T351-'минимумы и максимумы'!R$2)/('минимумы и максимумы'!R$4-'минимумы и максимумы'!R$2)*100)</f>
        <v>38.319907940161102</v>
      </c>
      <c r="U351" s="1">
        <f>IF('исходные данные'!U351&gt;'минимумы и максимумы'!S$4,100,('исходные данные'!U351-'минимумы и максимумы'!S$2)/('минимумы и максимумы'!S$4-'минимумы и максимумы'!S$2)*100)</f>
        <v>33.333333333333329</v>
      </c>
    </row>
    <row r="352" spans="1:21" x14ac:dyDescent="0.45">
      <c r="A352" s="4">
        <v>461</v>
      </c>
      <c r="B352" s="4">
        <v>0</v>
      </c>
      <c r="C352" s="4">
        <v>1</v>
      </c>
      <c r="D352" s="1">
        <f>IF('исходные данные'!D352&gt;'минимумы и максимумы'!B$4,100,('исходные данные'!D352-'минимумы и максимумы'!B$2)/('минимумы и максимумы'!B$4-'минимумы и максимумы'!B$2)*100)</f>
        <v>0</v>
      </c>
      <c r="E352" s="1">
        <f>IF('исходные данные'!E352&gt;'минимумы и максимумы'!C$4,100,('исходные данные'!E352-'минимумы и максимумы'!C$2)/('минимумы и максимумы'!C$4-'минимумы и максимумы'!C$2)*100)</f>
        <v>0</v>
      </c>
      <c r="F352" s="1">
        <f>IF('исходные данные'!F352&gt;'минимумы и максимумы'!D$4,100,('исходные данные'!F352-'минимумы и максимумы'!D$2)/('минимумы и максимумы'!D$4-'минимумы и максимумы'!D$2)*100)</f>
        <v>0</v>
      </c>
      <c r="G352" s="1">
        <f>IF('исходные данные'!G352&gt;'минимумы и максимумы'!E$4,100,('исходные данные'!G352-'минимумы и максимумы'!E$2)/('минимумы и максимумы'!E$4-'минимумы и максимумы'!E$2)*100)</f>
        <v>8.1081081081081088</v>
      </c>
      <c r="H352" s="1">
        <f>IF('исходные данные'!H352&gt;'минимумы и максимумы'!F$4,100,('исходные данные'!H352-'минимумы и максимумы'!F$2)/('минимумы и максимумы'!F$4-'минимумы и максимумы'!F$2)*100)</f>
        <v>5.2631578947368416</v>
      </c>
      <c r="I352" s="1">
        <f>IF('исходные данные'!I352&gt;'минимумы и максимумы'!G$4,100,('исходные данные'!I352-'минимумы и максимумы'!G$2)/('минимумы и максимумы'!G$4-'минимумы и максимумы'!G$2)*100)</f>
        <v>4.8192771084337354</v>
      </c>
      <c r="J352" s="1">
        <f>IF('исходные данные'!J352&gt;'минимумы и максимумы'!H$4,100,('исходные данные'!J352-'минимумы и максимумы'!H$2)/('минимумы и максимумы'!H$4-'минимумы и максимумы'!H$2)*100)</f>
        <v>16.666666666666664</v>
      </c>
      <c r="K352" s="1">
        <f>IF('исходные данные'!K352&gt;'минимумы и максимумы'!I$4,100,('исходные данные'!K352-'минимумы и максимумы'!I$2)/('минимумы и максимумы'!I$4-'минимумы и максимумы'!I$2)*100)</f>
        <v>7.1428571428571423</v>
      </c>
      <c r="L352" s="1">
        <f>IF('исходные данные'!L352&gt;'минимумы и максимумы'!J$4,100,('исходные данные'!L352-'минимумы и максимумы'!J$2)/('минимумы и максимумы'!J$4-'минимумы и максимумы'!J$2)*100)</f>
        <v>0</v>
      </c>
      <c r="M352" s="1">
        <f>IF('исходные данные'!M352&gt;'минимумы и максимумы'!K$4,100,('исходные данные'!M352-'минимумы и максимумы'!K$2)/('минимумы и максимумы'!K$4-'минимумы и максимумы'!K$2)*100)</f>
        <v>2.1276595744680851</v>
      </c>
      <c r="N352" s="1">
        <f>IF('исходные данные'!N352&gt;'минимумы и максимумы'!L$4,100,('исходные данные'!N352-'минимумы и максимумы'!L$2)/('минимумы и максимумы'!L$4-'минимумы и максимумы'!L$2)*100)</f>
        <v>13.657019348607372</v>
      </c>
      <c r="O352" s="1">
        <f>IF('исходные данные'!O352&gt;'минимумы и максимумы'!M$4,100,('исходные данные'!O352-'минимумы и максимумы'!M$2)/('минимумы и максимумы'!M$4-'минимумы и максимумы'!M$2)*100)</f>
        <v>66.666666666666657</v>
      </c>
      <c r="P352" s="1">
        <f>IF('исходные данные'!P352&gt;'минимумы и максимумы'!N$4,100,('исходные данные'!P352-'минимумы и максимумы'!N$2)/('минимумы и максимумы'!N$4-'минимумы и максимумы'!N$2)*100)</f>
        <v>0</v>
      </c>
      <c r="Q352" s="1">
        <f>IF('исходные данные'!Q352&gt;'минимумы и максимумы'!O$4,100,('исходные данные'!Q352-'минимумы и максимумы'!O$2)/('минимумы и максимумы'!O$4-'минимумы и максимумы'!O$2)*100)</f>
        <v>100</v>
      </c>
      <c r="R352" s="1">
        <f>IF('исходные данные'!R352&gt;'минимумы и максимумы'!P$4,100,('исходные данные'!R352-'минимумы и максимумы'!P$2)/('минимумы и максимумы'!P$4-'минимумы и максимумы'!P$2)*100)</f>
        <v>75</v>
      </c>
      <c r="S352" s="1">
        <f>IF('исходные данные'!S352&gt;'минимумы и максимумы'!Q$4,100,('исходные данные'!S352-'минимумы и максимумы'!Q$2)/('минимумы и максимумы'!Q$4-'минимумы и максимумы'!Q$2)*100)</f>
        <v>55.555555555555557</v>
      </c>
      <c r="T352" s="1">
        <f>IF('исходные данные'!T352&gt;'минимумы и максимумы'!R$4,100,('исходные данные'!T352-'минимумы и максимумы'!R$2)/('минимумы и максимумы'!R$4-'минимумы и максимумы'!R$2)*100)</f>
        <v>13.434982738780207</v>
      </c>
      <c r="U352" s="1">
        <f>IF('исходные данные'!U352&gt;'минимумы и максимумы'!S$4,100,('исходные данные'!U352-'минимумы и максимумы'!S$2)/('минимумы и максимумы'!S$4-'минимумы и максимумы'!S$2)*100)</f>
        <v>0</v>
      </c>
    </row>
    <row r="353" spans="1:21" x14ac:dyDescent="0.45">
      <c r="A353" s="4">
        <v>462</v>
      </c>
      <c r="B353" s="4">
        <v>0</v>
      </c>
      <c r="C353" s="4">
        <v>0</v>
      </c>
      <c r="D353" s="1">
        <f>IF('исходные данные'!D353&gt;'минимумы и максимумы'!B$4,100,('исходные данные'!D353-'минимумы и максимумы'!B$2)/('минимумы и максимумы'!B$4-'минимумы и максимумы'!B$2)*100)</f>
        <v>25</v>
      </c>
      <c r="E353" s="1">
        <f>IF('исходные данные'!E353&gt;'минимумы и максимумы'!C$4,100,('исходные данные'!E353-'минимумы и максимумы'!C$2)/('минимумы и максимумы'!C$4-'минимумы и максимумы'!C$2)*100)</f>
        <v>0</v>
      </c>
      <c r="F353" s="1">
        <f>IF('исходные данные'!F353&gt;'минимумы и максимумы'!D$4,100,('исходные данные'!F353-'минимумы и максимумы'!D$2)/('минимумы и максимумы'!D$4-'минимумы и максимумы'!D$2)*100)</f>
        <v>50</v>
      </c>
      <c r="G353" s="1">
        <f>IF('исходные данные'!G353&gt;'минимумы и максимумы'!E$4,100,('исходные данные'!G353-'минимумы и максимумы'!E$2)/('минимумы и максимумы'!E$4-'минимумы и максимумы'!E$2)*100)</f>
        <v>10.810810810810811</v>
      </c>
      <c r="H353" s="1">
        <f>IF('исходные данные'!H353&gt;'минимумы и максимумы'!F$4,100,('исходные данные'!H353-'минимумы и максимумы'!F$2)/('минимумы и максимумы'!F$4-'минимумы и максимумы'!F$2)*100)</f>
        <v>7.8947368421052628</v>
      </c>
      <c r="I353" s="1">
        <f>IF('исходные данные'!I353&gt;'минимумы и максимумы'!G$4,100,('исходные данные'!I353-'минимумы и максимумы'!G$2)/('минимумы и максимумы'!G$4-'минимумы и максимумы'!G$2)*100)</f>
        <v>25.301204819277107</v>
      </c>
      <c r="J353" s="1">
        <f>IF('исходные данные'!J353&gt;'минимумы и максимумы'!H$4,100,('исходные данные'!J353-'минимумы и максимумы'!H$2)/('минимумы и максимумы'!H$4-'минимумы и максимумы'!H$2)*100)</f>
        <v>12.5</v>
      </c>
      <c r="K353" s="1">
        <f>IF('исходные данные'!K353&gt;'минимумы и максимумы'!I$4,100,('исходные данные'!K353-'минимумы и максимумы'!I$2)/('минимумы и максимумы'!I$4-'минимумы и максимумы'!I$2)*100)</f>
        <v>78.571428571428569</v>
      </c>
      <c r="L353" s="1">
        <f>IF('исходные данные'!L353&gt;'минимумы и максимумы'!J$4,100,('исходные данные'!L353-'минимумы и максимумы'!J$2)/('минимумы и максимумы'!J$4-'минимумы и максимумы'!J$2)*100)</f>
        <v>25</v>
      </c>
      <c r="M353" s="1">
        <f>IF('исходные данные'!M353&gt;'минимумы и максимумы'!K$4,100,('исходные данные'!M353-'минимумы и максимумы'!K$2)/('минимумы и максимумы'!K$4-'минимумы и максимумы'!K$2)*100)</f>
        <v>27.659574468085108</v>
      </c>
      <c r="N353" s="1">
        <f>IF('исходные данные'!N353&gt;'минимумы и максимумы'!L$4,100,('исходные данные'!N353-'минимумы и максимумы'!L$2)/('минимумы и максимумы'!L$4-'минимумы и максимумы'!L$2)*100)</f>
        <v>16.291195586502941</v>
      </c>
      <c r="O353" s="1">
        <f>IF('исходные данные'!O353&gt;'минимумы и максимумы'!M$4,100,('исходные данные'!O353-'минимумы и максимумы'!M$2)/('минимумы и максимумы'!M$4-'минимумы и максимумы'!M$2)*100)</f>
        <v>66.666666666666657</v>
      </c>
      <c r="P353" s="1">
        <f>IF('исходные данные'!P353&gt;'минимумы и максимумы'!N$4,100,('исходные данные'!P353-'минимумы и максимумы'!N$2)/('минимумы и максимумы'!N$4-'минимумы и максимумы'!N$2)*100)</f>
        <v>0</v>
      </c>
      <c r="Q353" s="1">
        <f>IF('исходные данные'!Q353&gt;'минимумы и максимумы'!O$4,100,('исходные данные'!Q353-'минимумы и максимумы'!O$2)/('минимумы и максимумы'!O$4-'минимумы и максимумы'!O$2)*100)</f>
        <v>100</v>
      </c>
      <c r="R353" s="1">
        <f>IF('исходные данные'!R353&gt;'минимумы и максимумы'!P$4,100,('исходные данные'!R353-'минимумы и максимумы'!P$2)/('минимумы и максимумы'!P$4-'минимумы и максимумы'!P$2)*100)</f>
        <v>75</v>
      </c>
      <c r="S353" s="1">
        <f>IF('исходные данные'!S353&gt;'минимумы и максимумы'!Q$4,100,('исходные данные'!S353-'минимумы и максимумы'!Q$2)/('минимумы и максимумы'!Q$4-'минимумы и максимумы'!Q$2)*100)</f>
        <v>11.111111111111111</v>
      </c>
      <c r="T353" s="1">
        <f>IF('исходные данные'!T353&gt;'минимумы и максимумы'!R$4,100,('исходные данные'!T353-'минимумы и максимумы'!R$2)/('минимумы и максимумы'!R$4-'минимумы и максимумы'!R$2)*100)</f>
        <v>14.211737629459147</v>
      </c>
      <c r="U353" s="1">
        <f>IF('исходные данные'!U353&gt;'минимумы и максимумы'!S$4,100,('исходные данные'!U353-'минимумы и максимумы'!S$2)/('минимумы и максимумы'!S$4-'минимумы и максимумы'!S$2)*100)</f>
        <v>33.333333333333329</v>
      </c>
    </row>
    <row r="354" spans="1:21" x14ac:dyDescent="0.45">
      <c r="A354" s="4">
        <v>465</v>
      </c>
      <c r="B354" s="4">
        <v>0</v>
      </c>
      <c r="C354" s="4">
        <v>0</v>
      </c>
      <c r="D354" s="1">
        <f>IF('исходные данные'!D354&gt;'минимумы и максимумы'!B$4,100,('исходные данные'!D354-'минимумы и максимумы'!B$2)/('минимумы и максимумы'!B$4-'минимумы и максимумы'!B$2)*100)</f>
        <v>12.5</v>
      </c>
      <c r="E354" s="1">
        <f>IF('исходные данные'!E354&gt;'минимумы и максимумы'!C$4,100,('исходные данные'!E354-'минимумы и максимумы'!C$2)/('минимумы и максимумы'!C$4-'минимумы и максимумы'!C$2)*100)</f>
        <v>0</v>
      </c>
      <c r="F354" s="1">
        <f>IF('исходные данные'!F354&gt;'минимумы и максимумы'!D$4,100,('исходные данные'!F354-'минимумы и максимумы'!D$2)/('минимумы и максимумы'!D$4-'минимумы и максимумы'!D$2)*100)</f>
        <v>50</v>
      </c>
      <c r="G354" s="1">
        <f>IF('исходные данные'!G354&gt;'минимумы и максимумы'!E$4,100,('исходные данные'!G354-'минимумы и максимумы'!E$2)/('минимумы и максимумы'!E$4-'минимумы и максимумы'!E$2)*100)</f>
        <v>8.1081081081081088</v>
      </c>
      <c r="H354" s="1">
        <f>IF('исходные данные'!H354&gt;'минимумы и максимумы'!F$4,100,('исходные данные'!H354-'минимумы и максимумы'!F$2)/('минимумы и максимумы'!F$4-'минимумы и максимумы'!F$2)*100)</f>
        <v>13.157894736842104</v>
      </c>
      <c r="I354" s="1">
        <f>IF('исходные данные'!I354&gt;'минимумы и максимумы'!G$4,100,('исходные данные'!I354-'минимумы и максимумы'!G$2)/('минимумы и максимумы'!G$4-'минимумы и максимумы'!G$2)*100)</f>
        <v>15.66265060240964</v>
      </c>
      <c r="J354" s="1">
        <f>IF('исходные данные'!J354&gt;'минимумы и максимумы'!H$4,100,('исходные данные'!J354-'минимумы и максимумы'!H$2)/('минимумы и максимумы'!H$4-'минимумы и максимумы'!H$2)*100)</f>
        <v>4.1666666666666661</v>
      </c>
      <c r="K354" s="1">
        <f>IF('исходные данные'!K354&gt;'минимумы и максимумы'!I$4,100,('исходные данные'!K354-'минимумы и максимумы'!I$2)/('минимумы и максимумы'!I$4-'минимумы и максимумы'!I$2)*100)</f>
        <v>67.857142857142861</v>
      </c>
      <c r="L354" s="1">
        <f>IF('исходные данные'!L354&gt;'минимумы и максимумы'!J$4,100,('исходные данные'!L354-'минимумы и максимумы'!J$2)/('минимумы и максимумы'!J$4-'минимумы и максимумы'!J$2)*100)</f>
        <v>0</v>
      </c>
      <c r="M354" s="1">
        <f>IF('исходные данные'!M354&gt;'минимумы и максимумы'!K$4,100,('исходные данные'!M354-'минимумы и максимумы'!K$2)/('минимумы и максимумы'!K$4-'минимумы и максимумы'!K$2)*100)</f>
        <v>6.3829787234042552</v>
      </c>
      <c r="N354" s="1">
        <f>IF('исходные данные'!N354&gt;'минимумы и максимумы'!L$4,100,('исходные данные'!N354-'минимумы и максимумы'!L$2)/('минимумы и максимумы'!L$4-'минимумы и максимумы'!L$2)*100)</f>
        <v>17.78251099477454</v>
      </c>
      <c r="O354" s="1">
        <f>IF('исходные данные'!O354&gt;'минимумы и максимумы'!M$4,100,('исходные данные'!O354-'минимумы и максимумы'!M$2)/('минимумы и максимумы'!M$4-'минимумы и максимумы'!M$2)*100)</f>
        <v>66.666666666666657</v>
      </c>
      <c r="P354" s="1">
        <f>IF('исходные данные'!P354&gt;'минимумы и максимумы'!N$4,100,('исходные данные'!P354-'минимумы и максимумы'!N$2)/('минимумы и максимумы'!N$4-'минимумы и максимумы'!N$2)*100)</f>
        <v>0</v>
      </c>
      <c r="Q354" s="1">
        <f>IF('исходные данные'!Q354&gt;'минимумы и максимумы'!O$4,100,('исходные данные'!Q354-'минимумы и максимумы'!O$2)/('минимумы и максимумы'!O$4-'минимумы и максимумы'!O$2)*100)</f>
        <v>0</v>
      </c>
      <c r="R354" s="1">
        <f>IF('исходные данные'!R354&gt;'минимумы и максимумы'!P$4,100,('исходные данные'!R354-'минимумы и максимумы'!P$2)/('минимумы и максимумы'!P$4-'минимумы и максимумы'!P$2)*100)</f>
        <v>25</v>
      </c>
      <c r="S354" s="1">
        <f>IF('исходные данные'!S354&gt;'минимумы и максимумы'!Q$4,100,('исходные данные'!S354-'минимумы и максимумы'!Q$2)/('минимумы и максимумы'!Q$4-'минимумы и максимумы'!Q$2)*100)</f>
        <v>44.444444444444443</v>
      </c>
      <c r="T354" s="1">
        <f>IF('исходные данные'!T354&gt;'минимумы и максимумы'!R$4,100,('исходные данные'!T354-'минимумы и максимумы'!R$2)/('минимумы и максимумы'!R$4-'минимумы и максимумы'!R$2)*100)</f>
        <v>51.985040276179518</v>
      </c>
      <c r="U354" s="1">
        <f>IF('исходные данные'!U354&gt;'минимумы и максимумы'!S$4,100,('исходные данные'!U354-'минимумы и максимумы'!S$2)/('минимумы и максимумы'!S$4-'минимумы и максимумы'!S$2)*100)</f>
        <v>0</v>
      </c>
    </row>
    <row r="355" spans="1:21" x14ac:dyDescent="0.45">
      <c r="A355" s="4">
        <v>467</v>
      </c>
      <c r="B355" s="4">
        <v>0</v>
      </c>
      <c r="C355" s="4">
        <v>0</v>
      </c>
      <c r="D355" s="1">
        <f>IF('исходные данные'!D355&gt;'минимумы и максимумы'!B$4,100,('исходные данные'!D355-'минимумы и максимумы'!B$2)/('минимумы и максимумы'!B$4-'минимумы и максимумы'!B$2)*100)</f>
        <v>25</v>
      </c>
      <c r="E355" s="1">
        <f>IF('исходные данные'!E355&gt;'минимумы и максимумы'!C$4,100,('исходные данные'!E355-'минимумы и максимумы'!C$2)/('минимумы и максимумы'!C$4-'минимумы и максимумы'!C$2)*100)</f>
        <v>12.5</v>
      </c>
      <c r="F355" s="1">
        <f>IF('исходные данные'!F355&gt;'минимумы и максимумы'!D$4,100,('исходные данные'!F355-'минимумы и максимумы'!D$2)/('минимумы и максимумы'!D$4-'минимумы и максимумы'!D$2)*100)</f>
        <v>0</v>
      </c>
      <c r="G355" s="1">
        <f>IF('исходные данные'!G355&gt;'минимумы и максимумы'!E$4,100,('исходные данные'!G355-'минимумы и максимумы'!E$2)/('минимумы и максимумы'!E$4-'минимумы и максимумы'!E$2)*100)</f>
        <v>37.837837837837839</v>
      </c>
      <c r="H355" s="1">
        <f>IF('исходные данные'!H355&gt;'минимумы и максимумы'!F$4,100,('исходные данные'!H355-'минимумы и максимумы'!F$2)/('минимумы и максимумы'!F$4-'минимумы и максимумы'!F$2)*100)</f>
        <v>28.947368421052634</v>
      </c>
      <c r="I355" s="1">
        <f>IF('исходные данные'!I355&gt;'минимумы и максимумы'!G$4,100,('исходные данные'!I355-'минимумы и максимумы'!G$2)/('минимумы и максимумы'!G$4-'минимумы и максимумы'!G$2)*100)</f>
        <v>40.963855421686745</v>
      </c>
      <c r="J355" s="1">
        <f>IF('исходные данные'!J355&gt;'минимумы и максимумы'!H$4,100,('исходные данные'!J355-'минимумы и максимумы'!H$2)/('минимумы и максимумы'!H$4-'минимумы и максимумы'!H$2)*100)</f>
        <v>4.1666666666666661</v>
      </c>
      <c r="K355" s="1">
        <f>IF('исходные данные'!K355&gt;'минимумы и максимумы'!I$4,100,('исходные данные'!K355-'минимумы и максимумы'!I$2)/('минимумы и максимумы'!I$4-'минимумы и максимумы'!I$2)*100)</f>
        <v>96.428571428571431</v>
      </c>
      <c r="L355" s="1">
        <f>IF('исходные данные'!L355&gt;'минимумы и максимумы'!J$4,100,('исходные данные'!L355-'минимумы и максимумы'!J$2)/('минимумы и максимумы'!J$4-'минимумы и максимумы'!J$2)*100)</f>
        <v>37.5</v>
      </c>
      <c r="M355" s="1">
        <f>IF('исходные данные'!M355&gt;'минимумы и максимумы'!K$4,100,('исходные данные'!M355-'минимумы и максимумы'!K$2)/('минимумы и максимумы'!K$4-'минимумы и максимумы'!K$2)*100)</f>
        <v>25.531914893617021</v>
      </c>
      <c r="N355" s="1">
        <f>IF('исходные данные'!N355&gt;'минимумы и максимумы'!L$4,100,('исходные данные'!N355-'минимумы и максимумы'!L$2)/('минимумы и максимумы'!L$4-'минимумы и максимумы'!L$2)*100)</f>
        <v>18.018112793376972</v>
      </c>
      <c r="O355" s="1">
        <f>IF('исходные данные'!O355&gt;'минимумы и максимумы'!M$4,100,('исходные данные'!O355-'минимумы и максимумы'!M$2)/('минимумы и максимумы'!M$4-'минимумы и максимумы'!M$2)*100)</f>
        <v>66.666666666666657</v>
      </c>
      <c r="P355" s="1">
        <f>IF('исходные данные'!P355&gt;'минимумы и максимумы'!N$4,100,('исходные данные'!P355-'минимумы и максимумы'!N$2)/('минимумы и максимумы'!N$4-'минимумы и максимумы'!N$2)*100)</f>
        <v>0</v>
      </c>
      <c r="Q355" s="1">
        <f>IF('исходные данные'!Q355&gt;'минимумы и максимумы'!O$4,100,('исходные данные'!Q355-'минимумы и максимумы'!O$2)/('минимумы и максимумы'!O$4-'минимумы и максимумы'!O$2)*100)</f>
        <v>0</v>
      </c>
      <c r="R355" s="1">
        <f>IF('исходные данные'!R355&gt;'минимумы и максимумы'!P$4,100,('исходные данные'!R355-'минимумы и максимумы'!P$2)/('минимумы и максимумы'!P$4-'минимумы и максимумы'!P$2)*100)</f>
        <v>75</v>
      </c>
      <c r="S355" s="1">
        <f>IF('исходные данные'!S355&gt;'минимумы и максимумы'!Q$4,100,('исходные данные'!S355-'минимумы и максимумы'!Q$2)/('минимумы и максимумы'!Q$4-'минимумы и максимумы'!Q$2)*100)</f>
        <v>22.222222222222221</v>
      </c>
      <c r="T355" s="1">
        <f>IF('исходные данные'!T355&gt;'минимумы и максимумы'!R$4,100,('исходные данные'!T355-'минимумы и максимумы'!R$2)/('минимумы и максимумы'!R$4-'минимумы и максимумы'!R$2)*100)</f>
        <v>5.178365937859609</v>
      </c>
      <c r="U355" s="1">
        <f>IF('исходные данные'!U355&gt;'минимумы и максимумы'!S$4,100,('исходные данные'!U355-'минимумы и максимумы'!S$2)/('минимумы и максимумы'!S$4-'минимумы и максимумы'!S$2)*100)</f>
        <v>0</v>
      </c>
    </row>
    <row r="356" spans="1:21" x14ac:dyDescent="0.45">
      <c r="A356" s="4">
        <v>468</v>
      </c>
      <c r="B356" s="4">
        <v>0</v>
      </c>
      <c r="C356" s="4">
        <v>1</v>
      </c>
      <c r="D356" s="1">
        <f>IF('исходные данные'!D356&gt;'минимумы и максимумы'!B$4,100,('исходные данные'!D356-'минимумы и максимумы'!B$2)/('минимумы и максимумы'!B$4-'минимумы и максимумы'!B$2)*100)</f>
        <v>0</v>
      </c>
      <c r="E356" s="1">
        <f>IF('исходные данные'!E356&gt;'минимумы и максимумы'!C$4,100,('исходные данные'!E356-'минимумы и максимумы'!C$2)/('минимумы и максимумы'!C$4-'минимумы и максимумы'!C$2)*100)</f>
        <v>0</v>
      </c>
      <c r="F356" s="1">
        <f>IF('исходные данные'!F356&gt;'минимумы и максимумы'!D$4,100,('исходные данные'!F356-'минимумы и максимумы'!D$2)/('минимумы и максимумы'!D$4-'минимумы и максимумы'!D$2)*100)</f>
        <v>0</v>
      </c>
      <c r="G356" s="1">
        <f>IF('исходные данные'!G356&gt;'минимумы и максимумы'!E$4,100,('исходные данные'!G356-'минимумы и максимумы'!E$2)/('минимумы и максимумы'!E$4-'минимумы и максимумы'!E$2)*100)</f>
        <v>0</v>
      </c>
      <c r="H356" s="1">
        <f>IF('исходные данные'!H356&gt;'минимумы и максимумы'!F$4,100,('исходные данные'!H356-'минимумы и максимумы'!F$2)/('минимумы и максимумы'!F$4-'минимумы и максимумы'!F$2)*100)</f>
        <v>0</v>
      </c>
      <c r="I356" s="1">
        <f>IF('исходные данные'!I356&gt;'минимумы и максимумы'!G$4,100,('исходные данные'!I356-'минимумы и максимумы'!G$2)/('минимумы и максимумы'!G$4-'минимумы и максимумы'!G$2)*100)</f>
        <v>2.4096385542168677</v>
      </c>
      <c r="J356" s="1">
        <f>IF('исходные данные'!J356&gt;'минимумы и максимумы'!H$4,100,('исходные данные'!J356-'минимумы и максимумы'!H$2)/('минимумы и максимумы'!H$4-'минимумы и максимумы'!H$2)*100)</f>
        <v>0</v>
      </c>
      <c r="K356" s="1">
        <f>IF('исходные данные'!K356&gt;'минимумы и максимумы'!I$4,100,('исходные данные'!K356-'минимумы и максимумы'!I$2)/('минимумы и максимумы'!I$4-'минимумы и максимумы'!I$2)*100)</f>
        <v>0</v>
      </c>
      <c r="L356" s="1">
        <f>IF('исходные данные'!L356&gt;'минимумы и максимумы'!J$4,100,('исходные данные'!L356-'минимумы и максимумы'!J$2)/('минимумы и максимумы'!J$4-'минимумы и максимумы'!J$2)*100)</f>
        <v>0</v>
      </c>
      <c r="M356" s="1">
        <f>IF('исходные данные'!M356&gt;'минимумы и максимумы'!K$4,100,('исходные данные'!M356-'минимумы и максимумы'!K$2)/('минимумы и максимумы'!K$4-'минимумы и максимумы'!K$2)*100)</f>
        <v>2.1276595744680851</v>
      </c>
      <c r="N356" s="1">
        <f>IF('исходные данные'!N356&gt;'минимумы и максимумы'!L$4,100,('исходные данные'!N356-'минимумы и максимумы'!L$2)/('минимумы и максимумы'!L$4-'минимумы и максимумы'!L$2)*100)</f>
        <v>17.465333887201506</v>
      </c>
      <c r="O356" s="1">
        <f>IF('исходные данные'!O356&gt;'минимумы и максимумы'!M$4,100,('исходные данные'!O356-'минимумы и максимумы'!M$2)/('минимумы и максимумы'!M$4-'минимумы и максимумы'!M$2)*100)</f>
        <v>0</v>
      </c>
      <c r="P356" s="1">
        <f>IF('исходные данные'!P356&gt;'минимумы и максимумы'!N$4,100,('исходные данные'!P356-'минимумы и максимумы'!N$2)/('минимумы и максимумы'!N$4-'минимумы и максимумы'!N$2)*100)</f>
        <v>0</v>
      </c>
      <c r="Q356" s="1">
        <f>IF('исходные данные'!Q356&gt;'минимумы и максимумы'!O$4,100,('исходные данные'!Q356-'минимумы и максимумы'!O$2)/('минимумы и максимумы'!O$4-'минимумы и максимумы'!O$2)*100)</f>
        <v>0</v>
      </c>
      <c r="R356" s="1">
        <f>IF('исходные данные'!R356&gt;'минимумы и максимумы'!P$4,100,('исходные данные'!R356-'минимумы и максимумы'!P$2)/('минимумы и максимумы'!P$4-'минимумы и максимумы'!P$2)*100)</f>
        <v>25</v>
      </c>
      <c r="S356" s="1">
        <f>IF('исходные данные'!S356&gt;'минимумы и максимумы'!Q$4,100,('исходные данные'!S356-'минимумы и максимумы'!Q$2)/('минимумы и максимумы'!Q$4-'минимумы и максимумы'!Q$2)*100)</f>
        <v>11.111111111111111</v>
      </c>
      <c r="T356" s="1">
        <f>IF('исходные данные'!T356&gt;'минимумы и максимумы'!R$4,100,('исходные данные'!T356-'минимумы и максимумы'!R$2)/('минимумы и максимумы'!R$4-'минимумы и максимумы'!R$2)*100)</f>
        <v>12.802071346375143</v>
      </c>
      <c r="U356" s="1">
        <f>IF('исходные данные'!U356&gt;'минимумы и максимумы'!S$4,100,('исходные данные'!U356-'минимумы и максимумы'!S$2)/('минимумы и максимумы'!S$4-'минимумы и максимумы'!S$2)*100)</f>
        <v>0</v>
      </c>
    </row>
    <row r="357" spans="1:21" x14ac:dyDescent="0.45">
      <c r="A357" s="4">
        <v>469</v>
      </c>
      <c r="B357" s="4">
        <v>0</v>
      </c>
      <c r="C357" s="4">
        <v>1</v>
      </c>
      <c r="D357" s="1">
        <f>IF('исходные данные'!D357&gt;'минимумы и максимумы'!B$4,100,('исходные данные'!D357-'минимумы и максимумы'!B$2)/('минимумы и максимумы'!B$4-'минимумы и максимумы'!B$2)*100)</f>
        <v>0</v>
      </c>
      <c r="E357" s="1">
        <f>IF('исходные данные'!E357&gt;'минимумы и максимумы'!C$4,100,('исходные данные'!E357-'минимумы и максимумы'!C$2)/('минимумы и максимумы'!C$4-'минимумы и максимумы'!C$2)*100)</f>
        <v>0</v>
      </c>
      <c r="F357" s="1">
        <f>IF('исходные данные'!F357&gt;'минимумы и максимумы'!D$4,100,('исходные данные'!F357-'минимумы и максимумы'!D$2)/('минимумы и максимумы'!D$4-'минимумы и максимумы'!D$2)*100)</f>
        <v>0</v>
      </c>
      <c r="G357" s="1">
        <f>IF('исходные данные'!G357&gt;'минимумы и максимумы'!E$4,100,('исходные данные'!G357-'минимумы и максимумы'!E$2)/('минимумы и максимумы'!E$4-'минимумы и максимумы'!E$2)*100)</f>
        <v>0</v>
      </c>
      <c r="H357" s="1">
        <f>IF('исходные данные'!H357&gt;'минимумы и максимумы'!F$4,100,('исходные данные'!H357-'минимумы и максимумы'!F$2)/('минимумы и максимумы'!F$4-'минимумы и максимумы'!F$2)*100)</f>
        <v>0</v>
      </c>
      <c r="I357" s="1">
        <f>IF('исходные данные'!I357&gt;'минимумы и максимумы'!G$4,100,('исходные данные'!I357-'минимумы и максимумы'!G$2)/('минимумы и максимумы'!G$4-'минимумы и максимумы'!G$2)*100)</f>
        <v>2.4096385542168677</v>
      </c>
      <c r="J357" s="1">
        <f>IF('исходные данные'!J357&gt;'минимумы и максимумы'!H$4,100,('исходные данные'!J357-'минимумы и максимумы'!H$2)/('минимумы и максимумы'!H$4-'минимумы и максимумы'!H$2)*100)</f>
        <v>0</v>
      </c>
      <c r="K357" s="1">
        <f>IF('исходные данные'!K357&gt;'минимумы и максимумы'!I$4,100,('исходные данные'!K357-'минимумы и максимумы'!I$2)/('минимумы и максимумы'!I$4-'минимумы и максимумы'!I$2)*100)</f>
        <v>0</v>
      </c>
      <c r="L357" s="1">
        <f>IF('исходные данные'!L357&gt;'минимумы и максимумы'!J$4,100,('исходные данные'!L357-'минимумы и максимумы'!J$2)/('минимумы и максимумы'!J$4-'минимумы и максимумы'!J$2)*100)</f>
        <v>0</v>
      </c>
      <c r="M357" s="1">
        <f>IF('исходные данные'!M357&gt;'минимумы и максимумы'!K$4,100,('исходные данные'!M357-'минимумы и максимумы'!K$2)/('минимумы и максимумы'!K$4-'минимумы и максимумы'!K$2)*100)</f>
        <v>2.1276595744680851</v>
      </c>
      <c r="N357" s="1">
        <f>IF('исходные данные'!N357&gt;'минимумы и максимумы'!L$4,100,('исходные данные'!N357-'минимумы и максимумы'!L$2)/('минимумы и максимумы'!L$4-'минимумы и максимумы'!L$2)*100)</f>
        <v>17.254031842294324</v>
      </c>
      <c r="O357" s="1">
        <f>IF('исходные данные'!O357&gt;'минимумы и максимумы'!M$4,100,('исходные данные'!O357-'минимумы и максимумы'!M$2)/('минимумы и максимумы'!M$4-'минимумы и максимумы'!M$2)*100)</f>
        <v>0</v>
      </c>
      <c r="P357" s="1">
        <f>IF('исходные данные'!P357&gt;'минимумы и максимумы'!N$4,100,('исходные данные'!P357-'минимумы и максимумы'!N$2)/('минимумы и максимумы'!N$4-'минимумы и максимумы'!N$2)*100)</f>
        <v>0</v>
      </c>
      <c r="Q357" s="1">
        <f>IF('исходные данные'!Q357&gt;'минимумы и максимумы'!O$4,100,('исходные данные'!Q357-'минимумы и максимумы'!O$2)/('минимумы и максимумы'!O$4-'минимумы и максимумы'!O$2)*100)</f>
        <v>0</v>
      </c>
      <c r="R357" s="1">
        <f>IF('исходные данные'!R357&gt;'минимумы и максимумы'!P$4,100,('исходные данные'!R357-'минимумы и максимумы'!P$2)/('минимумы и максимумы'!P$4-'минимумы и максимумы'!P$2)*100)</f>
        <v>25</v>
      </c>
      <c r="S357" s="1">
        <f>IF('исходные данные'!S357&gt;'минимумы и максимумы'!Q$4,100,('исходные данные'!S357-'минимумы и максимумы'!Q$2)/('минимумы и максимумы'!Q$4-'минимумы и максимумы'!Q$2)*100)</f>
        <v>11.111111111111111</v>
      </c>
      <c r="T357" s="1">
        <f>IF('исходные данные'!T357&gt;'минимумы и максимумы'!R$4,100,('исходные данные'!T357-'минимумы и максимумы'!R$2)/('минимумы и максимумы'!R$4-'минимумы и максимумы'!R$2)*100)</f>
        <v>10.989643268124281</v>
      </c>
      <c r="U357" s="1">
        <f>IF('исходные данные'!U357&gt;'минимумы и максимумы'!S$4,100,('исходные данные'!U357-'минимумы и максимумы'!S$2)/('минимумы и максимумы'!S$4-'минимумы и максимумы'!S$2)*100)</f>
        <v>0</v>
      </c>
    </row>
    <row r="358" spans="1:21" x14ac:dyDescent="0.45">
      <c r="A358" s="4">
        <v>470</v>
      </c>
      <c r="B358" s="4">
        <v>0</v>
      </c>
      <c r="C358" s="4">
        <v>1</v>
      </c>
      <c r="D358" s="1">
        <f>IF('исходные данные'!D358&gt;'минимумы и максимумы'!B$4,100,('исходные данные'!D358-'минимумы и максимумы'!B$2)/('минимумы и максимумы'!B$4-'минимумы и максимумы'!B$2)*100)</f>
        <v>0</v>
      </c>
      <c r="E358" s="1">
        <f>IF('исходные данные'!E358&gt;'минимумы и максимумы'!C$4,100,('исходные данные'!E358-'минимумы и максимумы'!C$2)/('минимумы и максимумы'!C$4-'минимумы и максимумы'!C$2)*100)</f>
        <v>0</v>
      </c>
      <c r="F358" s="1">
        <f>IF('исходные данные'!F358&gt;'минимумы и максимумы'!D$4,100,('исходные данные'!F358-'минимумы и максимумы'!D$2)/('минимумы и максимумы'!D$4-'минимумы и максимумы'!D$2)*100)</f>
        <v>0</v>
      </c>
      <c r="G358" s="1">
        <f>IF('исходные данные'!G358&gt;'минимумы и максимумы'!E$4,100,('исходные данные'!G358-'минимумы и максимумы'!E$2)/('минимумы и максимумы'!E$4-'минимумы и максимумы'!E$2)*100)</f>
        <v>0</v>
      </c>
      <c r="H358" s="1">
        <f>IF('исходные данные'!H358&gt;'минимумы и максимумы'!F$4,100,('исходные данные'!H358-'минимумы и максимумы'!F$2)/('минимумы и максимумы'!F$4-'минимумы и максимумы'!F$2)*100)</f>
        <v>0</v>
      </c>
      <c r="I358" s="1">
        <f>IF('исходные данные'!I358&gt;'минимумы и максимумы'!G$4,100,('исходные данные'!I358-'минимумы и максимумы'!G$2)/('минимумы и максимумы'!G$4-'минимумы и максимумы'!G$2)*100)</f>
        <v>1.2048192771084338</v>
      </c>
      <c r="J358" s="1">
        <f>IF('исходные данные'!J358&gt;'минимумы и максимумы'!H$4,100,('исходные данные'!J358-'минимумы и максимумы'!H$2)/('минимумы и максимумы'!H$4-'минимумы и максимумы'!H$2)*100)</f>
        <v>0</v>
      </c>
      <c r="K358" s="1">
        <f>IF('исходные данные'!K358&gt;'минимумы и максимумы'!I$4,100,('исходные данные'!K358-'минимумы и максимумы'!I$2)/('минимумы и максимумы'!I$4-'минимумы и максимумы'!I$2)*100)</f>
        <v>0</v>
      </c>
      <c r="L358" s="1">
        <f>IF('исходные данные'!L358&gt;'минимумы и максимумы'!J$4,100,('исходные данные'!L358-'минимумы и максимумы'!J$2)/('минимумы и максимумы'!J$4-'минимумы и максимумы'!J$2)*100)</f>
        <v>0</v>
      </c>
      <c r="M358" s="1">
        <f>IF('исходные данные'!M358&gt;'минимумы и максимумы'!K$4,100,('исходные данные'!M358-'минимумы и максимумы'!K$2)/('минимумы и максимумы'!K$4-'минимумы и максимумы'!K$2)*100)</f>
        <v>4.2553191489361701</v>
      </c>
      <c r="N358" s="1">
        <f>IF('исходные данные'!N358&gt;'минимумы и максимумы'!L$4,100,('исходные данные'!N358-'минимумы и максимумы'!L$2)/('минимумы и максимумы'!L$4-'минимумы и максимумы'!L$2)*100)</f>
        <v>17.187979426030754</v>
      </c>
      <c r="O358" s="1">
        <f>IF('исходные данные'!O358&gt;'минимумы и максимумы'!M$4,100,('исходные данные'!O358-'минимумы и максимумы'!M$2)/('минимумы и максимумы'!M$4-'минимумы и максимумы'!M$2)*100)</f>
        <v>0</v>
      </c>
      <c r="P358" s="1">
        <f>IF('исходные данные'!P358&gt;'минимумы и максимумы'!N$4,100,('исходные данные'!P358-'минимумы и максимумы'!N$2)/('минимумы и максимумы'!N$4-'минимумы и максимумы'!N$2)*100)</f>
        <v>0</v>
      </c>
      <c r="Q358" s="1">
        <f>IF('исходные данные'!Q358&gt;'минимумы и максимумы'!O$4,100,('исходные данные'!Q358-'минимумы и максимумы'!O$2)/('минимумы и максимумы'!O$4-'минимумы и максимумы'!O$2)*100)</f>
        <v>0</v>
      </c>
      <c r="R358" s="1">
        <f>IF('исходные данные'!R358&gt;'минимумы и максимумы'!P$4,100,('исходные данные'!R358-'минимумы и максимумы'!P$2)/('минимумы и максимумы'!P$4-'минимумы и максимумы'!P$2)*100)</f>
        <v>25</v>
      </c>
      <c r="S358" s="1">
        <f>IF('исходные данные'!S358&gt;'минимумы и максимумы'!Q$4,100,('исходные данные'!S358-'минимумы и максимумы'!Q$2)/('минимумы и максимумы'!Q$4-'минимумы и максимумы'!Q$2)*100)</f>
        <v>11.111111111111111</v>
      </c>
      <c r="T358" s="1">
        <f>IF('исходные данные'!T358&gt;'минимумы и максимумы'!R$4,100,('исходные данные'!T358-'минимумы и максимумы'!R$2)/('минимумы и максимумы'!R$4-'минимумы и максимумы'!R$2)*100)</f>
        <v>3.9413118527042581</v>
      </c>
      <c r="U358" s="1">
        <f>IF('исходные данные'!U358&gt;'минимумы и максимумы'!S$4,100,('исходные данные'!U358-'минимумы и максимумы'!S$2)/('минимумы и максимумы'!S$4-'минимумы и максимумы'!S$2)*100)</f>
        <v>0</v>
      </c>
    </row>
    <row r="359" spans="1:21" x14ac:dyDescent="0.45">
      <c r="A359" s="4">
        <v>471</v>
      </c>
      <c r="B359" s="4">
        <v>0</v>
      </c>
      <c r="C359" s="4">
        <v>1</v>
      </c>
      <c r="D359" s="1">
        <f>IF('исходные данные'!D359&gt;'минимумы и максимумы'!B$4,100,('исходные данные'!D359-'минимумы и максимумы'!B$2)/('минимумы и максимумы'!B$4-'минимумы и максимумы'!B$2)*100)</f>
        <v>0</v>
      </c>
      <c r="E359" s="1">
        <f>IF('исходные данные'!E359&gt;'минимумы и максимумы'!C$4,100,('исходные данные'!E359-'минимумы и максимумы'!C$2)/('минимумы и максимумы'!C$4-'минимумы и максимумы'!C$2)*100)</f>
        <v>0</v>
      </c>
      <c r="F359" s="1">
        <f>IF('исходные данные'!F359&gt;'минимумы и максимумы'!D$4,100,('исходные данные'!F359-'минимумы и максимумы'!D$2)/('минимумы и максимумы'!D$4-'минимумы и максимумы'!D$2)*100)</f>
        <v>0</v>
      </c>
      <c r="G359" s="1">
        <f>IF('исходные данные'!G359&gt;'минимумы и максимумы'!E$4,100,('исходные данные'!G359-'минимумы и максимумы'!E$2)/('минимумы и максимумы'!E$4-'минимумы и максимумы'!E$2)*100)</f>
        <v>0</v>
      </c>
      <c r="H359" s="1">
        <f>IF('исходные данные'!H359&gt;'минимумы и максимумы'!F$4,100,('исходные данные'!H359-'минимумы и максимумы'!F$2)/('минимумы и максимумы'!F$4-'минимумы и максимумы'!F$2)*100)</f>
        <v>0</v>
      </c>
      <c r="I359" s="1">
        <f>IF('исходные данные'!I359&gt;'минимумы и максимумы'!G$4,100,('исходные данные'!I359-'минимумы и максимумы'!G$2)/('минимумы и максимумы'!G$4-'минимумы и максимумы'!G$2)*100)</f>
        <v>3.6144578313253009</v>
      </c>
      <c r="J359" s="1">
        <f>IF('исходные данные'!J359&gt;'минимумы и максимумы'!H$4,100,('исходные данные'!J359-'минимумы и максимумы'!H$2)/('минимумы и максимумы'!H$4-'минимумы и максимумы'!H$2)*100)</f>
        <v>0</v>
      </c>
      <c r="K359" s="1">
        <f>IF('исходные данные'!K359&gt;'минимумы и максимумы'!I$4,100,('исходные данные'!K359-'минимумы и максимумы'!I$2)/('минимумы и максимумы'!I$4-'минимумы и максимумы'!I$2)*100)</f>
        <v>3.5714285714285712</v>
      </c>
      <c r="L359" s="1">
        <f>IF('исходные данные'!L359&gt;'минимумы и максимумы'!J$4,100,('исходные данные'!L359-'минимумы и максимумы'!J$2)/('минимумы и максимумы'!J$4-'минимумы и максимумы'!J$2)*100)</f>
        <v>0</v>
      </c>
      <c r="M359" s="1">
        <f>IF('исходные данные'!M359&gt;'минимумы и максимумы'!K$4,100,('исходные данные'!M359-'минимумы и максимумы'!K$2)/('минимумы и максимумы'!K$4-'минимумы и максимумы'!K$2)*100)</f>
        <v>4.2553191489361701</v>
      </c>
      <c r="N359" s="1">
        <f>IF('исходные данные'!N359&gt;'минимумы и максимумы'!L$4,100,('исходные данные'!N359-'минимумы и максимумы'!L$2)/('минимумы и максимумы'!L$4-'минимумы и максимумы'!L$2)*100)</f>
        <v>17.607551099090497</v>
      </c>
      <c r="O359" s="1">
        <f>IF('исходные данные'!O359&gt;'минимумы и максимумы'!M$4,100,('исходные данные'!O359-'минимумы и максимумы'!M$2)/('минимумы и максимумы'!M$4-'минимумы и максимумы'!M$2)*100)</f>
        <v>0</v>
      </c>
      <c r="P359" s="1">
        <f>IF('исходные данные'!P359&gt;'минимумы и максимумы'!N$4,100,('исходные данные'!P359-'минимумы и максимумы'!N$2)/('минимумы и максимумы'!N$4-'минимумы и максимумы'!N$2)*100)</f>
        <v>0</v>
      </c>
      <c r="Q359" s="1">
        <f>IF('исходные данные'!Q359&gt;'минимумы и максимумы'!O$4,100,('исходные данные'!Q359-'минимумы и максимумы'!O$2)/('минимумы и максимумы'!O$4-'минимумы и максимумы'!O$2)*100)</f>
        <v>0</v>
      </c>
      <c r="R359" s="1">
        <f>IF('исходные данные'!R359&gt;'минимумы и максимумы'!P$4,100,('исходные данные'!R359-'минимумы и максимумы'!P$2)/('минимумы и максимумы'!P$4-'минимумы и максимумы'!P$2)*100)</f>
        <v>25</v>
      </c>
      <c r="S359" s="1">
        <f>IF('исходные данные'!S359&gt;'минимумы и максимумы'!Q$4,100,('исходные данные'!S359-'минимумы и максимумы'!Q$2)/('минимумы и максимумы'!Q$4-'минимумы и максимумы'!Q$2)*100)</f>
        <v>11.111111111111111</v>
      </c>
      <c r="T359" s="1">
        <f>IF('исходные данные'!T359&gt;'минимумы и максимумы'!R$4,100,('исходные данные'!T359-'минимумы и максимумы'!R$2)/('минимумы и максимумы'!R$4-'минимумы и максимумы'!R$2)*100)</f>
        <v>19.907940161104719</v>
      </c>
      <c r="U359" s="1">
        <f>IF('исходные данные'!U359&gt;'минимумы и максимумы'!S$4,100,('исходные данные'!U359-'минимумы и максимумы'!S$2)/('минимумы и максимумы'!S$4-'минимумы и максимумы'!S$2)*100)</f>
        <v>0</v>
      </c>
    </row>
    <row r="360" spans="1:21" x14ac:dyDescent="0.45">
      <c r="A360" s="4">
        <v>472</v>
      </c>
      <c r="B360" s="4">
        <v>0</v>
      </c>
      <c r="C360" s="4">
        <v>1</v>
      </c>
      <c r="D360" s="1">
        <f>IF('исходные данные'!D360&gt;'минимумы и максимумы'!B$4,100,('исходные данные'!D360-'минимумы и максимумы'!B$2)/('минимумы и максимумы'!B$4-'минимумы и максимумы'!B$2)*100)</f>
        <v>0</v>
      </c>
      <c r="E360" s="1">
        <f>IF('исходные данные'!E360&gt;'минимумы и максимумы'!C$4,100,('исходные данные'!E360-'минимумы и максимумы'!C$2)/('минимумы и максимумы'!C$4-'минимумы и максимумы'!C$2)*100)</f>
        <v>0</v>
      </c>
      <c r="F360" s="1">
        <f>IF('исходные данные'!F360&gt;'минимумы и максимумы'!D$4,100,('исходные данные'!F360-'минимумы и максимумы'!D$2)/('минимумы и максимумы'!D$4-'минимумы и максимумы'!D$2)*100)</f>
        <v>0</v>
      </c>
      <c r="G360" s="1">
        <f>IF('исходные данные'!G360&gt;'минимумы и максимумы'!E$4,100,('исходные данные'!G360-'минимумы и максимумы'!E$2)/('минимумы и максимумы'!E$4-'минимумы и максимумы'!E$2)*100)</f>
        <v>0</v>
      </c>
      <c r="H360" s="1">
        <f>IF('исходные данные'!H360&gt;'минимумы и максимумы'!F$4,100,('исходные данные'!H360-'минимумы и максимумы'!F$2)/('минимумы и максимумы'!F$4-'минимумы и максимумы'!F$2)*100)</f>
        <v>0</v>
      </c>
      <c r="I360" s="1">
        <f>IF('исходные данные'!I360&gt;'минимумы и максимумы'!G$4,100,('исходные данные'!I360-'минимумы и максимумы'!G$2)/('минимумы и максимумы'!G$4-'минимумы и максимумы'!G$2)*100)</f>
        <v>2.4096385542168677</v>
      </c>
      <c r="J360" s="1">
        <f>IF('исходные данные'!J360&gt;'минимумы и максимумы'!H$4,100,('исходные данные'!J360-'минимумы и максимумы'!H$2)/('минимумы и максимумы'!H$4-'минимумы и максимумы'!H$2)*100)</f>
        <v>0</v>
      </c>
      <c r="K360" s="1">
        <f>IF('исходные данные'!K360&gt;'минимумы и максимумы'!I$4,100,('исходные данные'!K360-'минимумы и максимумы'!I$2)/('минимумы и максимумы'!I$4-'минимумы и максимумы'!I$2)*100)</f>
        <v>3.5714285714285712</v>
      </c>
      <c r="L360" s="1">
        <f>IF('исходные данные'!L360&gt;'минимумы и максимумы'!J$4,100,('исходные данные'!L360-'минимумы и максимумы'!J$2)/('минимумы и максимумы'!J$4-'минимумы и максимумы'!J$2)*100)</f>
        <v>0</v>
      </c>
      <c r="M360" s="1">
        <f>IF('исходные данные'!M360&gt;'минимумы и максимумы'!K$4,100,('исходные данные'!M360-'минимумы и максимумы'!K$2)/('минимумы и максимумы'!K$4-'минимумы и максимумы'!K$2)*100)</f>
        <v>4.2553191489361701</v>
      </c>
      <c r="N360" s="1">
        <f>IF('исходные данные'!N360&gt;'минимумы и максимумы'!L$4,100,('исходные данные'!N360-'минимумы и максимумы'!L$2)/('минимумы и максимумы'!L$4-'минимумы и максимумы'!L$2)*100)</f>
        <v>17.358336438404674</v>
      </c>
      <c r="O360" s="1">
        <f>IF('исходные данные'!O360&gt;'минимумы и максимумы'!M$4,100,('исходные данные'!O360-'минимумы и максимумы'!M$2)/('минимумы и максимумы'!M$4-'минимумы и максимумы'!M$2)*100)</f>
        <v>0</v>
      </c>
      <c r="P360" s="1">
        <f>IF('исходные данные'!P360&gt;'минимумы и максимумы'!N$4,100,('исходные данные'!P360-'минимумы и максимумы'!N$2)/('минимумы и максимумы'!N$4-'минимумы и максимумы'!N$2)*100)</f>
        <v>0</v>
      </c>
      <c r="Q360" s="1">
        <f>IF('исходные данные'!Q360&gt;'минимумы и максимумы'!O$4,100,('исходные данные'!Q360-'минимумы и максимумы'!O$2)/('минимумы и максимумы'!O$4-'минимумы и максимумы'!O$2)*100)</f>
        <v>0</v>
      </c>
      <c r="R360" s="1">
        <f>IF('исходные данные'!R360&gt;'минимумы и максимумы'!P$4,100,('исходные данные'!R360-'минимумы и максимумы'!P$2)/('минимумы и максимумы'!P$4-'минимумы и максимумы'!P$2)*100)</f>
        <v>25</v>
      </c>
      <c r="S360" s="1">
        <f>IF('исходные данные'!S360&gt;'минимумы и максимумы'!Q$4,100,('исходные данные'!S360-'минимумы и максимумы'!Q$2)/('минимумы и максимумы'!Q$4-'минимумы и максимумы'!Q$2)*100)</f>
        <v>11.111111111111111</v>
      </c>
      <c r="T360" s="1">
        <f>IF('исходные данные'!T360&gt;'минимумы и максимумы'!R$4,100,('исходные данные'!T360-'минимумы и максимумы'!R$2)/('минимумы и максимумы'!R$4-'минимумы и максимумы'!R$2)*100)</f>
        <v>31.271576524741079</v>
      </c>
      <c r="U360" s="1">
        <f>IF('исходные данные'!U360&gt;'минимумы и максимумы'!S$4,100,('исходные данные'!U360-'минимумы и максимумы'!S$2)/('минимумы и максимумы'!S$4-'минимумы и максимумы'!S$2)*100)</f>
        <v>0</v>
      </c>
    </row>
    <row r="361" spans="1:21" x14ac:dyDescent="0.45">
      <c r="A361" s="4">
        <v>473</v>
      </c>
      <c r="B361" s="4">
        <v>0</v>
      </c>
      <c r="C361" s="4">
        <v>1</v>
      </c>
      <c r="D361" s="1">
        <f>IF('исходные данные'!D361&gt;'минимумы и максимумы'!B$4,100,('исходные данные'!D361-'минимумы и максимумы'!B$2)/('минимумы и максимумы'!B$4-'минимумы и максимумы'!B$2)*100)</f>
        <v>0</v>
      </c>
      <c r="E361" s="1">
        <f>IF('исходные данные'!E361&gt;'минимумы и максимумы'!C$4,100,('исходные данные'!E361-'минимумы и максимумы'!C$2)/('минимумы и максимумы'!C$4-'минимумы и максимумы'!C$2)*100)</f>
        <v>0</v>
      </c>
      <c r="F361" s="1">
        <f>IF('исходные данные'!F361&gt;'минимумы и максимумы'!D$4,100,('исходные данные'!F361-'минимумы и максимумы'!D$2)/('минимумы и максимумы'!D$4-'минимумы и максимумы'!D$2)*100)</f>
        <v>0</v>
      </c>
      <c r="G361" s="1">
        <f>IF('исходные данные'!G361&gt;'минимумы и максимумы'!E$4,100,('исходные данные'!G361-'минимумы и максимумы'!E$2)/('минимумы и максимумы'!E$4-'минимумы и максимумы'!E$2)*100)</f>
        <v>0</v>
      </c>
      <c r="H361" s="1">
        <f>IF('исходные данные'!H361&gt;'минимумы и максимумы'!F$4,100,('исходные данные'!H361-'минимумы и максимумы'!F$2)/('минимумы и максимумы'!F$4-'минимумы и максимумы'!F$2)*100)</f>
        <v>0</v>
      </c>
      <c r="I361" s="1">
        <f>IF('исходные данные'!I361&gt;'минимумы и максимумы'!G$4,100,('исходные данные'!I361-'минимумы и максимумы'!G$2)/('минимумы и максимумы'!G$4-'минимумы и максимумы'!G$2)*100)</f>
        <v>2.4096385542168677</v>
      </c>
      <c r="J361" s="1">
        <f>IF('исходные данные'!J361&gt;'минимумы и максимумы'!H$4,100,('исходные данные'!J361-'минимумы и максимумы'!H$2)/('минимумы и максимумы'!H$4-'минимумы и максимумы'!H$2)*100)</f>
        <v>0</v>
      </c>
      <c r="K361" s="1">
        <f>IF('исходные данные'!K361&gt;'минимумы и максимумы'!I$4,100,('исходные данные'!K361-'минимумы и максимумы'!I$2)/('минимумы и максимумы'!I$4-'минимумы и максимумы'!I$2)*100)</f>
        <v>3.5714285714285712</v>
      </c>
      <c r="L361" s="1">
        <f>IF('исходные данные'!L361&gt;'минимумы и максимумы'!J$4,100,('исходные данные'!L361-'минимумы и максимумы'!J$2)/('минимумы и максимумы'!J$4-'минимумы и максимумы'!J$2)*100)</f>
        <v>0</v>
      </c>
      <c r="M361" s="1">
        <f>IF('исходные данные'!M361&gt;'минимумы и максимумы'!K$4,100,('исходные данные'!M361-'минимумы и максимумы'!K$2)/('минимумы и максимумы'!K$4-'минимумы и максимумы'!K$2)*100)</f>
        <v>4.2553191489361701</v>
      </c>
      <c r="N361" s="1">
        <f>IF('исходные данные'!N361&gt;'минимумы и максимумы'!L$4,100,('исходные данные'!N361-'минимумы и максимумы'!L$2)/('минимумы и максимумы'!L$4-'минимумы и максимумы'!L$2)*100)</f>
        <v>17.358336438404674</v>
      </c>
      <c r="O361" s="1">
        <f>IF('исходные данные'!O361&gt;'минимумы и максимумы'!M$4,100,('исходные данные'!O361-'минимумы и максимумы'!M$2)/('минимумы и максимумы'!M$4-'минимумы и максимумы'!M$2)*100)</f>
        <v>0</v>
      </c>
      <c r="P361" s="1">
        <f>IF('исходные данные'!P361&gt;'минимумы и максимумы'!N$4,100,('исходные данные'!P361-'минимумы и максимумы'!N$2)/('минимумы и максимумы'!N$4-'минимумы и максимумы'!N$2)*100)</f>
        <v>0</v>
      </c>
      <c r="Q361" s="1">
        <f>IF('исходные данные'!Q361&gt;'минимумы и максимумы'!O$4,100,('исходные данные'!Q361-'минимумы и максимумы'!O$2)/('минимумы и максимумы'!O$4-'минимумы и максимумы'!O$2)*100)</f>
        <v>0</v>
      </c>
      <c r="R361" s="1">
        <f>IF('исходные данные'!R361&gt;'минимумы и максимумы'!P$4,100,('исходные данные'!R361-'минимумы и максимумы'!P$2)/('минимумы и максимумы'!P$4-'минимумы и максимумы'!P$2)*100)</f>
        <v>25</v>
      </c>
      <c r="S361" s="1">
        <f>IF('исходные данные'!S361&gt;'минимумы и максимумы'!Q$4,100,('исходные данные'!S361-'минимумы и максимумы'!Q$2)/('минимумы и максимумы'!Q$4-'минимумы и максимумы'!Q$2)*100)</f>
        <v>11.111111111111111</v>
      </c>
      <c r="T361" s="1">
        <f>IF('исходные данные'!T361&gt;'минимумы и максимумы'!R$4,100,('исходные данные'!T361-'минимумы и максимумы'!R$2)/('минимумы и максимумы'!R$4-'минимумы и максимумы'!R$2)*100)</f>
        <v>17.635212888377445</v>
      </c>
      <c r="U361" s="1">
        <f>IF('исходные данные'!U361&gt;'минимумы и максимумы'!S$4,100,('исходные данные'!U361-'минимумы и максимумы'!S$2)/('минимумы и максимумы'!S$4-'минимумы и максимумы'!S$2)*100)</f>
        <v>0</v>
      </c>
    </row>
    <row r="362" spans="1:21" x14ac:dyDescent="0.45">
      <c r="A362" s="4">
        <v>474</v>
      </c>
      <c r="B362" s="4">
        <v>0</v>
      </c>
      <c r="C362" s="4">
        <v>0</v>
      </c>
      <c r="D362" s="1">
        <f>IF('исходные данные'!D362&gt;'минимумы и максимумы'!B$4,100,('исходные данные'!D362-'минимумы и максимумы'!B$2)/('минимумы и максимумы'!B$4-'минимумы и максимумы'!B$2)*100)</f>
        <v>37.5</v>
      </c>
      <c r="E362" s="1">
        <f>IF('исходные данные'!E362&gt;'минимумы и максимумы'!C$4,100,('исходные данные'!E362-'минимумы и максимумы'!C$2)/('минимумы и максимумы'!C$4-'минимумы и максимумы'!C$2)*100)</f>
        <v>50</v>
      </c>
      <c r="F362" s="1">
        <f>IF('исходные данные'!F362&gt;'минимумы и максимумы'!D$4,100,('исходные данные'!F362-'минимумы и максимумы'!D$2)/('минимумы и максимумы'!D$4-'минимумы и максимумы'!D$2)*100)</f>
        <v>50</v>
      </c>
      <c r="G362" s="1">
        <f>IF('исходные данные'!G362&gt;'минимумы и максимумы'!E$4,100,('исходные данные'!G362-'минимумы и максимумы'!E$2)/('минимумы и максимумы'!E$4-'минимумы и максимумы'!E$2)*100)</f>
        <v>21.621621621621621</v>
      </c>
      <c r="H362" s="1">
        <f>IF('исходные данные'!H362&gt;'минимумы и максимумы'!F$4,100,('исходные данные'!H362-'минимумы и максимумы'!F$2)/('минимумы и максимумы'!F$4-'минимумы и максимумы'!F$2)*100)</f>
        <v>39.473684210526315</v>
      </c>
      <c r="I362" s="1">
        <f>IF('исходные данные'!I362&gt;'минимумы и максимумы'!G$4,100,('исходные данные'!I362-'минимумы и максимумы'!G$2)/('минимумы и максимумы'!G$4-'минимумы и максимумы'!G$2)*100)</f>
        <v>60.24096385542169</v>
      </c>
      <c r="J362" s="1">
        <f>IF('исходные данные'!J362&gt;'минимумы и максимумы'!H$4,100,('исходные данные'!J362-'минимумы и максимумы'!H$2)/('минимумы и максимумы'!H$4-'минимумы и максимумы'!H$2)*100)</f>
        <v>8.3333333333333321</v>
      </c>
      <c r="K362" s="1">
        <f>IF('исходные данные'!K362&gt;'минимумы и максимумы'!I$4,100,('исходные данные'!K362-'минимумы и максимумы'!I$2)/('минимумы и максимумы'!I$4-'минимумы и максимумы'!I$2)*100)</f>
        <v>21.428571428571427</v>
      </c>
      <c r="L362" s="1">
        <f>IF('исходные данные'!L362&gt;'минимумы и максимумы'!J$4,100,('исходные данные'!L362-'минимумы и максимумы'!J$2)/('минимумы и максимумы'!J$4-'минимумы и максимумы'!J$2)*100)</f>
        <v>100</v>
      </c>
      <c r="M362" s="1">
        <f>IF('исходные данные'!M362&gt;'минимумы и максимумы'!K$4,100,('исходные данные'!M362-'минимумы и максимумы'!K$2)/('минимумы и максимумы'!K$4-'минимумы и максимумы'!K$2)*100)</f>
        <v>53.191489361702125</v>
      </c>
      <c r="N362" s="1">
        <f>IF('исходные данные'!N362&gt;'минимумы и максимумы'!L$4,100,('исходные данные'!N362-'минимумы и максимумы'!L$2)/('минимумы и максимумы'!L$4-'минимумы и максимумы'!L$2)*100)</f>
        <v>21.386548466548273</v>
      </c>
      <c r="O362" s="1">
        <f>IF('исходные данные'!O362&gt;'минимумы и максимумы'!M$4,100,('исходные данные'!O362-'минимумы и максимумы'!M$2)/('минимумы и максимумы'!M$4-'минимумы и максимумы'!M$2)*100)</f>
        <v>66.666666666666657</v>
      </c>
      <c r="P362" s="1">
        <f>IF('исходные данные'!P362&gt;'минимумы и максимумы'!N$4,100,('исходные данные'!P362-'минимумы и максимумы'!N$2)/('минимумы и максимумы'!N$4-'минимумы и максимумы'!N$2)*100)</f>
        <v>0</v>
      </c>
      <c r="Q362" s="1">
        <f>IF('исходные данные'!Q362&gt;'минимумы и максимумы'!O$4,100,('исходные данные'!Q362-'минимумы и максимумы'!O$2)/('минимумы и максимумы'!O$4-'минимумы и максимумы'!O$2)*100)</f>
        <v>100</v>
      </c>
      <c r="R362" s="1">
        <f>IF('исходные данные'!R362&gt;'минимумы и максимумы'!P$4,100,('исходные данные'!R362-'минимумы и максимумы'!P$2)/('минимумы и максимумы'!P$4-'минимумы и максимумы'!P$2)*100)</f>
        <v>100</v>
      </c>
      <c r="S362" s="1">
        <f>IF('исходные данные'!S362&gt;'минимумы и максимумы'!Q$4,100,('исходные данные'!S362-'минимумы и максимумы'!Q$2)/('минимумы и максимумы'!Q$4-'минимумы и максимумы'!Q$2)*100)</f>
        <v>55.555555555555557</v>
      </c>
      <c r="T362" s="1">
        <f>IF('исходные данные'!T362&gt;'минимумы и максимумы'!R$4,100,('исходные данные'!T362-'минимумы и максимумы'!R$2)/('минимумы и максимумы'!R$4-'минимумы и максимумы'!R$2)*100)</f>
        <v>11.104718066743382</v>
      </c>
      <c r="U362" s="1">
        <f>IF('исходные данные'!U362&gt;'минимумы и максимумы'!S$4,100,('исходные данные'!U362-'минимумы и максимумы'!S$2)/('минимумы и максимумы'!S$4-'минимумы и максимумы'!S$2)*100)</f>
        <v>0</v>
      </c>
    </row>
    <row r="363" spans="1:21" x14ac:dyDescent="0.45">
      <c r="A363" s="4">
        <v>475</v>
      </c>
      <c r="B363" s="4">
        <v>0</v>
      </c>
      <c r="C363" s="4">
        <v>0</v>
      </c>
      <c r="D363" s="1">
        <f>IF('исходные данные'!D363&gt;'минимумы и максимумы'!B$4,100,('исходные данные'!D363-'минимумы и максимумы'!B$2)/('минимумы и максимумы'!B$4-'минимумы и максимумы'!B$2)*100)</f>
        <v>25</v>
      </c>
      <c r="E363" s="1">
        <f>IF('исходные данные'!E363&gt;'минимумы и максимумы'!C$4,100,('исходные данные'!E363-'минимумы и максимумы'!C$2)/('минимумы и максимумы'!C$4-'минимумы и максимумы'!C$2)*100)</f>
        <v>75</v>
      </c>
      <c r="F363" s="1">
        <f>IF('исходные данные'!F363&gt;'минимумы и максимумы'!D$4,100,('исходные данные'!F363-'минимумы и максимумы'!D$2)/('минимумы и максимумы'!D$4-'минимумы и максимумы'!D$2)*100)</f>
        <v>0</v>
      </c>
      <c r="G363" s="1">
        <f>IF('исходные данные'!G363&gt;'минимумы и максимумы'!E$4,100,('исходные данные'!G363-'минимумы и максимумы'!E$2)/('минимумы и максимумы'!E$4-'минимумы и максимумы'!E$2)*100)</f>
        <v>67.567567567567565</v>
      </c>
      <c r="H363" s="1">
        <f>IF('исходные данные'!H363&gt;'минимумы и максимумы'!F$4,100,('исходные данные'!H363-'минимумы и максимумы'!F$2)/('минимумы и максимумы'!F$4-'минимумы и максимумы'!F$2)*100)</f>
        <v>65.789473684210535</v>
      </c>
      <c r="I363" s="1">
        <f>IF('исходные данные'!I363&gt;'минимумы и максимумы'!G$4,100,('исходные данные'!I363-'минимумы и максимумы'!G$2)/('минимумы и максимумы'!G$4-'минимумы и максимумы'!G$2)*100)</f>
        <v>33.734939759036145</v>
      </c>
      <c r="J363" s="1">
        <f>IF('исходные данные'!J363&gt;'минимумы и максимумы'!H$4,100,('исходные данные'!J363-'минимумы и максимумы'!H$2)/('минимумы и максимумы'!H$4-'минимумы и максимумы'!H$2)*100)</f>
        <v>12.5</v>
      </c>
      <c r="K363" s="1">
        <f>IF('исходные данные'!K363&gt;'минимумы и максимумы'!I$4,100,('исходные данные'!K363-'минимумы и максимумы'!I$2)/('минимумы и максимумы'!I$4-'минимумы и максимумы'!I$2)*100)</f>
        <v>10.714285714285714</v>
      </c>
      <c r="L363" s="1">
        <f>IF('исходные данные'!L363&gt;'минимумы и максимумы'!J$4,100,('исходные данные'!L363-'минимумы и максимумы'!J$2)/('минимумы и максимумы'!J$4-'минимумы и максимумы'!J$2)*100)</f>
        <v>50</v>
      </c>
      <c r="M363" s="1">
        <f>IF('исходные данные'!M363&gt;'минимумы и максимумы'!K$4,100,('исходные данные'!M363-'минимумы и максимумы'!K$2)/('минимумы и максимумы'!K$4-'минимумы и максимумы'!K$2)*100)</f>
        <v>14.893617021276595</v>
      </c>
      <c r="N363" s="1">
        <f>IF('исходные данные'!N363&gt;'минимумы и максимумы'!L$4,100,('исходные данные'!N363-'минимумы и максимумы'!L$2)/('минимумы и максимумы'!L$4-'минимумы и максимумы'!L$2)*100)</f>
        <v>13.11308300810324</v>
      </c>
      <c r="O363" s="1">
        <f>IF('исходные данные'!O363&gt;'минимумы и максимумы'!M$4,100,('исходные данные'!O363-'минимумы и максимумы'!M$2)/('минимумы и максимумы'!M$4-'минимумы и максимумы'!M$2)*100)</f>
        <v>33.333333333333329</v>
      </c>
      <c r="P363" s="1">
        <f>IF('исходные данные'!P363&gt;'минимумы и максимумы'!N$4,100,('исходные данные'!P363-'минимумы и максимумы'!N$2)/('минимумы и максимумы'!N$4-'минимумы и максимумы'!N$2)*100)</f>
        <v>0</v>
      </c>
      <c r="Q363" s="1">
        <f>IF('исходные данные'!Q363&gt;'минимумы и максимумы'!O$4,100,('исходные данные'!Q363-'минимумы и максимумы'!O$2)/('минимумы и максимумы'!O$4-'минимумы и максимумы'!O$2)*100)</f>
        <v>100</v>
      </c>
      <c r="R363" s="1">
        <f>IF('исходные данные'!R363&gt;'минимумы и максимумы'!P$4,100,('исходные данные'!R363-'минимумы и максимумы'!P$2)/('минимумы и максимумы'!P$4-'минимумы и максимумы'!P$2)*100)</f>
        <v>100</v>
      </c>
      <c r="S363" s="1">
        <f>IF('исходные данные'!S363&gt;'минимумы и максимумы'!Q$4,100,('исходные данные'!S363-'минимумы и максимумы'!Q$2)/('минимумы и максимумы'!Q$4-'минимумы и максимумы'!Q$2)*100)</f>
        <v>11.111111111111111</v>
      </c>
      <c r="T363" s="1">
        <f>IF('исходные данные'!T363&gt;'минимумы и максимумы'!R$4,100,('исходные данные'!T363-'минимумы и максимумы'!R$2)/('минимумы и максимумы'!R$4-'минимумы и максимумы'!R$2)*100)</f>
        <v>15.046029919447641</v>
      </c>
      <c r="U363" s="1">
        <f>IF('исходные данные'!U363&gt;'минимумы и максимумы'!S$4,100,('исходные данные'!U363-'минимумы и максимумы'!S$2)/('минимумы и максимумы'!S$4-'минимумы и максимумы'!S$2)*100)</f>
        <v>0</v>
      </c>
    </row>
    <row r="364" spans="1:21" x14ac:dyDescent="0.45">
      <c r="A364" s="4">
        <v>476</v>
      </c>
      <c r="B364" s="4">
        <v>0</v>
      </c>
      <c r="C364" s="4">
        <v>1</v>
      </c>
      <c r="D364" s="1">
        <f>IF('исходные данные'!D364&gt;'минимумы и максимумы'!B$4,100,('исходные данные'!D364-'минимумы и максимумы'!B$2)/('минимумы и максимумы'!B$4-'минимумы и максимумы'!B$2)*100)</f>
        <v>25</v>
      </c>
      <c r="E364" s="1">
        <f>IF('исходные данные'!E364&gt;'минимумы и максимумы'!C$4,100,('исходные данные'!E364-'минимумы и максимумы'!C$2)/('минимумы и максимумы'!C$4-'минимумы и максимумы'!C$2)*100)</f>
        <v>75</v>
      </c>
      <c r="F364" s="1">
        <f>IF('исходные данные'!F364&gt;'минимумы и максимумы'!D$4,100,('исходные данные'!F364-'минимумы и максимумы'!D$2)/('минимумы и максимумы'!D$4-'минимумы и максимумы'!D$2)*100)</f>
        <v>0</v>
      </c>
      <c r="G364" s="1">
        <f>IF('исходные данные'!G364&gt;'минимумы и максимумы'!E$4,100,('исходные данные'!G364-'минимумы и максимумы'!E$2)/('минимумы и максимумы'!E$4-'минимумы и максимумы'!E$2)*100)</f>
        <v>67.567567567567565</v>
      </c>
      <c r="H364" s="1">
        <f>IF('исходные данные'!H364&gt;'минимумы и максимумы'!F$4,100,('исходные данные'!H364-'минимумы и максимумы'!F$2)/('минимумы и максимумы'!F$4-'минимумы и максимумы'!F$2)*100)</f>
        <v>65.789473684210535</v>
      </c>
      <c r="I364" s="1">
        <f>IF('исходные данные'!I364&gt;'минимумы и максимумы'!G$4,100,('исходные данные'!I364-'минимумы и максимумы'!G$2)/('минимумы и максимумы'!G$4-'минимумы и максимумы'!G$2)*100)</f>
        <v>33.734939759036145</v>
      </c>
      <c r="J364" s="1">
        <f>IF('исходные данные'!J364&gt;'минимумы и максимумы'!H$4,100,('исходные данные'!J364-'минимумы и максимумы'!H$2)/('минимумы и максимумы'!H$4-'минимумы и максимумы'!H$2)*100)</f>
        <v>12.5</v>
      </c>
      <c r="K364" s="1">
        <f>IF('исходные данные'!K364&gt;'минимумы и максимумы'!I$4,100,('исходные данные'!K364-'минимумы и максимумы'!I$2)/('минимумы и максимумы'!I$4-'минимумы и максимумы'!I$2)*100)</f>
        <v>10.714285714285714</v>
      </c>
      <c r="L364" s="1">
        <f>IF('исходные данные'!L364&gt;'минимумы и максимумы'!J$4,100,('исходные данные'!L364-'минимумы и максимумы'!J$2)/('минимумы и максимумы'!J$4-'минимумы и максимумы'!J$2)*100)</f>
        <v>50</v>
      </c>
      <c r="M364" s="1">
        <f>IF('исходные данные'!M364&gt;'минимумы и максимумы'!K$4,100,('исходные данные'!M364-'минимумы и максимумы'!K$2)/('минимумы и максимумы'!K$4-'минимумы и максимумы'!K$2)*100)</f>
        <v>14.893617021276595</v>
      </c>
      <c r="N364" s="1">
        <f>IF('исходные данные'!N364&gt;'минимумы и максимумы'!L$4,100,('исходные данные'!N364-'минимумы и максимумы'!L$2)/('минимумы и максимумы'!L$4-'минимумы и максимумы'!L$2)*100)</f>
        <v>13.244107497514548</v>
      </c>
      <c r="O364" s="1">
        <f>IF('исходные данные'!O364&gt;'минимумы и максимумы'!M$4,100,('исходные данные'!O364-'минимумы и максимумы'!M$2)/('минимумы и максимумы'!M$4-'минимумы и максимумы'!M$2)*100)</f>
        <v>33.333333333333329</v>
      </c>
      <c r="P364" s="1">
        <f>IF('исходные данные'!P364&gt;'минимумы и максимумы'!N$4,100,('исходные данные'!P364-'минимумы и максимумы'!N$2)/('минимумы и максимумы'!N$4-'минимумы и максимумы'!N$2)*100)</f>
        <v>0</v>
      </c>
      <c r="Q364" s="1">
        <f>IF('исходные данные'!Q364&gt;'минимумы и максимумы'!O$4,100,('исходные данные'!Q364-'минимумы и максимумы'!O$2)/('минимумы и максимумы'!O$4-'минимумы и максимумы'!O$2)*100)</f>
        <v>0</v>
      </c>
      <c r="R364" s="1">
        <f>IF('исходные данные'!R364&gt;'минимумы и максимумы'!P$4,100,('исходные данные'!R364-'минимумы и максимумы'!P$2)/('минимумы и максимумы'!P$4-'минимумы и максимумы'!P$2)*100)</f>
        <v>100</v>
      </c>
      <c r="S364" s="1">
        <f>IF('исходные данные'!S364&gt;'минимумы и максимумы'!Q$4,100,('исходные данные'!S364-'минимумы и максимумы'!Q$2)/('минимумы и максимумы'!Q$4-'минимумы и максимумы'!Q$2)*100)</f>
        <v>11.111111111111111</v>
      </c>
      <c r="T364" s="1">
        <f>IF('исходные данные'!T364&gt;'минимумы и максимумы'!R$4,100,('исходные данные'!T364-'минимумы и максимумы'!R$2)/('минимумы и максимумы'!R$4-'минимумы и максимумы'!R$2)*100)</f>
        <v>3.1357882623705411</v>
      </c>
      <c r="U364" s="1">
        <f>IF('исходные данные'!U364&gt;'минимумы и максимумы'!S$4,100,('исходные данные'!U364-'минимумы и максимумы'!S$2)/('минимумы и максимумы'!S$4-'минимумы и максимумы'!S$2)*100)</f>
        <v>33.333333333333329</v>
      </c>
    </row>
    <row r="365" spans="1:21" x14ac:dyDescent="0.45">
      <c r="A365" s="4">
        <v>477</v>
      </c>
      <c r="B365" s="4">
        <v>0</v>
      </c>
      <c r="C365" s="4">
        <v>0</v>
      </c>
      <c r="D365" s="1">
        <f>IF('исходные данные'!D365&gt;'минимумы и максимумы'!B$4,100,('исходные данные'!D365-'минимумы и максимумы'!B$2)/('минимумы и максимумы'!B$4-'минимумы и максимумы'!B$2)*100)</f>
        <v>25</v>
      </c>
      <c r="E365" s="1">
        <f>IF('исходные данные'!E365&gt;'минимумы и максимумы'!C$4,100,('исходные данные'!E365-'минимумы и максимумы'!C$2)/('минимумы и максимумы'!C$4-'минимумы и максимумы'!C$2)*100)</f>
        <v>75</v>
      </c>
      <c r="F365" s="1">
        <f>IF('исходные данные'!F365&gt;'минимумы и максимумы'!D$4,100,('исходные данные'!F365-'минимумы и максимумы'!D$2)/('минимумы и максимумы'!D$4-'минимумы и максимумы'!D$2)*100)</f>
        <v>0</v>
      </c>
      <c r="G365" s="1">
        <f>IF('исходные данные'!G365&gt;'минимумы и максимумы'!E$4,100,('исходные данные'!G365-'минимумы и максимумы'!E$2)/('минимумы и максимумы'!E$4-'минимумы и максимумы'!E$2)*100)</f>
        <v>67.567567567567565</v>
      </c>
      <c r="H365" s="1">
        <f>IF('исходные данные'!H365&gt;'минимумы и максимумы'!F$4,100,('исходные данные'!H365-'минимумы и максимумы'!F$2)/('минимумы и максимумы'!F$4-'минимумы и максимумы'!F$2)*100)</f>
        <v>65.789473684210535</v>
      </c>
      <c r="I365" s="1">
        <f>IF('исходные данные'!I365&gt;'минимумы и максимумы'!G$4,100,('исходные данные'!I365-'минимумы и максимумы'!G$2)/('минимумы и максимумы'!G$4-'минимумы и максимумы'!G$2)*100)</f>
        <v>33.734939759036145</v>
      </c>
      <c r="J365" s="1">
        <f>IF('исходные данные'!J365&gt;'минимумы и максимумы'!H$4,100,('исходные данные'!J365-'минимумы и максимумы'!H$2)/('минимумы и максимумы'!H$4-'минимумы и максимумы'!H$2)*100)</f>
        <v>12.5</v>
      </c>
      <c r="K365" s="1">
        <f>IF('исходные данные'!K365&gt;'минимумы и максимумы'!I$4,100,('исходные данные'!K365-'минимумы и максимумы'!I$2)/('минимумы и максимумы'!I$4-'минимумы и максимумы'!I$2)*100)</f>
        <v>10.714285714285714</v>
      </c>
      <c r="L365" s="1">
        <f>IF('исходные данные'!L365&gt;'минимумы и максимумы'!J$4,100,('исходные данные'!L365-'минимумы и максимумы'!J$2)/('минимумы и максимумы'!J$4-'минимумы и максимумы'!J$2)*100)</f>
        <v>50</v>
      </c>
      <c r="M365" s="1">
        <f>IF('исходные данные'!M365&gt;'минимумы и максимумы'!K$4,100,('исходные данные'!M365-'минимумы и максимумы'!K$2)/('минимумы и максимумы'!K$4-'минимумы и максимумы'!K$2)*100)</f>
        <v>14.893617021276595</v>
      </c>
      <c r="N365" s="1">
        <f>IF('исходные данные'!N365&gt;'минимумы и максимумы'!L$4,100,('исходные данные'!N365-'минимумы и максимумы'!L$2)/('минимумы и максимумы'!L$4-'минимумы и максимумы'!L$2)*100)</f>
        <v>13.244107497514548</v>
      </c>
      <c r="O365" s="1">
        <f>IF('исходные данные'!O365&gt;'минимумы и максимумы'!M$4,100,('исходные данные'!O365-'минимумы и максимумы'!M$2)/('минимумы и максимумы'!M$4-'минимумы и максимумы'!M$2)*100)</f>
        <v>33.333333333333329</v>
      </c>
      <c r="P365" s="1">
        <f>IF('исходные данные'!P365&gt;'минимумы и максимумы'!N$4,100,('исходные данные'!P365-'минимумы и максимумы'!N$2)/('минимумы и максимумы'!N$4-'минимумы и максимумы'!N$2)*100)</f>
        <v>0</v>
      </c>
      <c r="Q365" s="1">
        <f>IF('исходные данные'!Q365&gt;'минимумы и максимумы'!O$4,100,('исходные данные'!Q365-'минимумы и максимумы'!O$2)/('минимумы и максимумы'!O$4-'минимумы и максимумы'!O$2)*100)</f>
        <v>0</v>
      </c>
      <c r="R365" s="1">
        <f>IF('исходные данные'!R365&gt;'минимумы и максимумы'!P$4,100,('исходные данные'!R365-'минимумы и максимумы'!P$2)/('минимумы и максимумы'!P$4-'минимумы и максимумы'!P$2)*100)</f>
        <v>100</v>
      </c>
      <c r="S365" s="1">
        <f>IF('исходные данные'!S365&gt;'минимумы и максимумы'!Q$4,100,('исходные данные'!S365-'минимумы и максимумы'!Q$2)/('минимумы и максимумы'!Q$4-'минимумы и максимумы'!Q$2)*100)</f>
        <v>22.222222222222221</v>
      </c>
      <c r="T365" s="1">
        <f>IF('исходные данные'!T365&gt;'минимумы и максимумы'!R$4,100,('исходные данные'!T365-'минимумы и максимумы'!R$2)/('минимумы и максимумы'!R$4-'минимумы и максимумы'!R$2)*100)</f>
        <v>4.4303797468354427</v>
      </c>
      <c r="U365" s="1">
        <f>IF('исходные данные'!U365&gt;'минимумы и максимумы'!S$4,100,('исходные данные'!U365-'минимумы и максимумы'!S$2)/('минимумы и максимумы'!S$4-'минимумы и максимумы'!S$2)*100)</f>
        <v>0</v>
      </c>
    </row>
    <row r="366" spans="1:21" x14ac:dyDescent="0.45">
      <c r="A366" s="4">
        <v>478</v>
      </c>
      <c r="B366" s="4">
        <v>0</v>
      </c>
      <c r="C366" s="4">
        <v>0</v>
      </c>
      <c r="D366" s="1">
        <f>IF('исходные данные'!D366&gt;'минимумы и максимумы'!B$4,100,('исходные данные'!D366-'минимумы и максимумы'!B$2)/('минимумы и максимумы'!B$4-'минимумы и максимумы'!B$2)*100)</f>
        <v>0</v>
      </c>
      <c r="E366" s="1">
        <f>IF('исходные данные'!E366&gt;'минимумы и максимумы'!C$4,100,('исходные данные'!E366-'минимумы и максимумы'!C$2)/('минимумы и максимумы'!C$4-'минимумы и максимумы'!C$2)*100)</f>
        <v>0</v>
      </c>
      <c r="F366" s="1">
        <f>IF('исходные данные'!F366&gt;'минимумы и максимумы'!D$4,100,('исходные данные'!F366-'минимумы и максимумы'!D$2)/('минимумы и максимумы'!D$4-'минимумы и максимумы'!D$2)*100)</f>
        <v>0</v>
      </c>
      <c r="G366" s="1">
        <f>IF('исходные данные'!G366&gt;'минимумы и максимумы'!E$4,100,('исходные данные'!G366-'минимумы и максимумы'!E$2)/('минимумы и максимумы'!E$4-'минимумы и максимумы'!E$2)*100)</f>
        <v>0</v>
      </c>
      <c r="H366" s="1">
        <f>IF('исходные данные'!H366&gt;'минимумы и максимумы'!F$4,100,('исходные данные'!H366-'минимумы и максимумы'!F$2)/('минимумы и максимумы'!F$4-'минимумы и максимумы'!F$2)*100)</f>
        <v>0</v>
      </c>
      <c r="I366" s="1">
        <f>IF('исходные данные'!I366&gt;'минимумы и максимумы'!G$4,100,('исходные данные'!I366-'минимумы и максимумы'!G$2)/('минимумы и максимумы'!G$4-'минимумы и максимумы'!G$2)*100)</f>
        <v>1.2048192771084338</v>
      </c>
      <c r="J366" s="1">
        <f>IF('исходные данные'!J366&gt;'минимумы и максимумы'!H$4,100,('исходные данные'!J366-'минимумы и максимумы'!H$2)/('минимумы и максимумы'!H$4-'минимумы и максимумы'!H$2)*100)</f>
        <v>0</v>
      </c>
      <c r="K366" s="1">
        <f>IF('исходные данные'!K366&gt;'минимумы и максимумы'!I$4,100,('исходные данные'!K366-'минимумы и максимумы'!I$2)/('минимумы и максимумы'!I$4-'минимумы и максимумы'!I$2)*100)</f>
        <v>0</v>
      </c>
      <c r="L366" s="1">
        <f>IF('исходные данные'!L366&gt;'минимумы и максимумы'!J$4,100,('исходные данные'!L366-'минимумы и максимумы'!J$2)/('минимумы и максимумы'!J$4-'минимумы и максимумы'!J$2)*100)</f>
        <v>0</v>
      </c>
      <c r="M366" s="1">
        <f>IF('исходные данные'!M366&gt;'минимумы и максимумы'!K$4,100,('исходные данные'!M366-'минимумы и максимумы'!K$2)/('минимумы и максимумы'!K$4-'минимумы и максимумы'!K$2)*100)</f>
        <v>4.2553191489361701</v>
      </c>
      <c r="N366" s="1">
        <f>IF('исходные данные'!N366&gt;'минимумы и максимумы'!L$4,100,('исходные данные'!N366-'минимумы и максимумы'!L$2)/('минимумы и максимумы'!L$4-'минимумы и максимумы'!L$2)*100)</f>
        <v>19.663004493366028</v>
      </c>
      <c r="O366" s="1">
        <f>IF('исходные данные'!O366&gt;'минимумы и максимумы'!M$4,100,('исходные данные'!O366-'минимумы и максимумы'!M$2)/('минимумы и максимумы'!M$4-'минимумы и максимумы'!M$2)*100)</f>
        <v>33.333333333333329</v>
      </c>
      <c r="P366" s="1">
        <f>IF('исходные данные'!P366&gt;'минимумы и максимумы'!N$4,100,('исходные данные'!P366-'минимумы и максимумы'!N$2)/('минимумы и максимумы'!N$4-'минимумы и максимумы'!N$2)*100)</f>
        <v>0</v>
      </c>
      <c r="Q366" s="1">
        <f>IF('исходные данные'!Q366&gt;'минимумы и максимумы'!O$4,100,('исходные данные'!Q366-'минимумы и максимумы'!O$2)/('минимумы и максимумы'!O$4-'минимумы и максимумы'!O$2)*100)</f>
        <v>0</v>
      </c>
      <c r="R366" s="1">
        <f>IF('исходные данные'!R366&gt;'минимумы и максимумы'!P$4,100,('исходные данные'!R366-'минимумы и максимумы'!P$2)/('минимумы и максимумы'!P$4-'минимумы и максимумы'!P$2)*100)</f>
        <v>100</v>
      </c>
      <c r="S366" s="1">
        <f>IF('исходные данные'!S366&gt;'минимумы и максимумы'!Q$4,100,('исходные данные'!S366-'минимумы и максимумы'!Q$2)/('минимумы и максимумы'!Q$4-'минимумы и максимумы'!Q$2)*100)</f>
        <v>11.111111111111111</v>
      </c>
      <c r="T366" s="1">
        <f>IF('исходные данные'!T366&gt;'минимумы и максимумы'!R$4,100,('исходные данные'!T366-'минимумы и максимумы'!R$2)/('минимумы и максимумы'!R$4-'минимумы и максимумы'!R$2)*100)</f>
        <v>20.943613348676639</v>
      </c>
      <c r="U366" s="1">
        <f>IF('исходные данные'!U366&gt;'минимумы и максимумы'!S$4,100,('исходные данные'!U366-'минимумы и максимумы'!S$2)/('минимумы и максимумы'!S$4-'минимумы и максимумы'!S$2)*100)</f>
        <v>0</v>
      </c>
    </row>
    <row r="367" spans="1:21" x14ac:dyDescent="0.45">
      <c r="A367" s="4">
        <v>479</v>
      </c>
      <c r="B367" s="4">
        <v>0</v>
      </c>
      <c r="C367" s="4">
        <v>0</v>
      </c>
      <c r="D367" s="1">
        <f>IF('исходные данные'!D367&gt;'минимумы и максимумы'!B$4,100,('исходные данные'!D367-'минимумы и максимумы'!B$2)/('минимумы и максимумы'!B$4-'минимумы и максимумы'!B$2)*100)</f>
        <v>0</v>
      </c>
      <c r="E367" s="1">
        <f>IF('исходные данные'!E367&gt;'минимумы и максимумы'!C$4,100,('исходные данные'!E367-'минимумы и максимумы'!C$2)/('минимумы и максимумы'!C$4-'минимумы и максимумы'!C$2)*100)</f>
        <v>0</v>
      </c>
      <c r="F367" s="1">
        <f>IF('исходные данные'!F367&gt;'минимумы и максимумы'!D$4,100,('исходные данные'!F367-'минимумы и максимумы'!D$2)/('минимумы и максимумы'!D$4-'минимумы и максимумы'!D$2)*100)</f>
        <v>0</v>
      </c>
      <c r="G367" s="1">
        <f>IF('исходные данные'!G367&gt;'минимумы и максимумы'!E$4,100,('исходные данные'!G367-'минимумы и максимумы'!E$2)/('минимумы и максимумы'!E$4-'минимумы и максимумы'!E$2)*100)</f>
        <v>0</v>
      </c>
      <c r="H367" s="1">
        <f>IF('исходные данные'!H367&gt;'минимумы и максимумы'!F$4,100,('исходные данные'!H367-'минимумы и максимумы'!F$2)/('минимумы и максимумы'!F$4-'минимумы и максимумы'!F$2)*100)</f>
        <v>0</v>
      </c>
      <c r="I367" s="1">
        <f>IF('исходные данные'!I367&gt;'минимумы и максимумы'!G$4,100,('исходные данные'!I367-'минимумы и максимумы'!G$2)/('минимумы и максимумы'!G$4-'минимумы и максимумы'!G$2)*100)</f>
        <v>3.6144578313253009</v>
      </c>
      <c r="J367" s="1">
        <f>IF('исходные данные'!J367&gt;'минимумы и максимумы'!H$4,100,('исходные данные'!J367-'минимумы и максимумы'!H$2)/('минимумы и максимумы'!H$4-'минимумы и максимумы'!H$2)*100)</f>
        <v>0</v>
      </c>
      <c r="K367" s="1">
        <f>IF('исходные данные'!K367&gt;'минимумы и максимумы'!I$4,100,('исходные данные'!K367-'минимумы и максимумы'!I$2)/('минимумы и максимумы'!I$4-'минимумы и максимумы'!I$2)*100)</f>
        <v>3.5714285714285712</v>
      </c>
      <c r="L367" s="1">
        <f>IF('исходные данные'!L367&gt;'минимумы и максимумы'!J$4,100,('исходные данные'!L367-'минимумы и максимумы'!J$2)/('минимумы и максимумы'!J$4-'минимумы и максимумы'!J$2)*100)</f>
        <v>0</v>
      </c>
      <c r="M367" s="1">
        <f>IF('исходные данные'!M367&gt;'минимумы и максимумы'!K$4,100,('исходные данные'!M367-'минимумы и максимумы'!K$2)/('минимумы и максимумы'!K$4-'минимумы и максимумы'!K$2)*100)</f>
        <v>4.2553191489361701</v>
      </c>
      <c r="N367" s="1">
        <f>IF('исходные данные'!N367&gt;'минимумы и максимумы'!L$4,100,('исходные данные'!N367-'минимумы и максимумы'!L$2)/('минимумы и максимумы'!L$4-'минимумы и максимумы'!L$2)*100)</f>
        <v>17.982118179085102</v>
      </c>
      <c r="O367" s="1">
        <f>IF('исходные данные'!O367&gt;'минимумы и максимумы'!M$4,100,('исходные данные'!O367-'минимумы и максимумы'!M$2)/('минимумы и максимумы'!M$4-'минимумы и максимумы'!M$2)*100)</f>
        <v>66.666666666666657</v>
      </c>
      <c r="P367" s="1">
        <f>IF('исходные данные'!P367&gt;'минимумы и максимумы'!N$4,100,('исходные данные'!P367-'минимумы и максимумы'!N$2)/('минимумы и максимумы'!N$4-'минимумы и максимумы'!N$2)*100)</f>
        <v>0</v>
      </c>
      <c r="Q367" s="1">
        <f>IF('исходные данные'!Q367&gt;'минимумы и максимумы'!O$4,100,('исходные данные'!Q367-'минимумы и максимумы'!O$2)/('минимумы и максимумы'!O$4-'минимумы и максимумы'!O$2)*100)</f>
        <v>0</v>
      </c>
      <c r="R367" s="1">
        <f>IF('исходные данные'!R367&gt;'минимумы и максимумы'!P$4,100,('исходные данные'!R367-'минимумы и максимумы'!P$2)/('минимумы и максимумы'!P$4-'минимумы и максимумы'!P$2)*100)</f>
        <v>75</v>
      </c>
      <c r="S367" s="1">
        <f>IF('исходные данные'!S367&gt;'минимумы и максимумы'!Q$4,100,('исходные данные'!S367-'минимумы и максимумы'!Q$2)/('минимумы и максимумы'!Q$4-'минимумы и максимумы'!Q$2)*100)</f>
        <v>11.111111111111111</v>
      </c>
      <c r="T367" s="1">
        <f>IF('исходные данные'!T367&gt;'минимумы и максимумы'!R$4,100,('исходные данные'!T367-'минимумы и максимумы'!R$2)/('минимумы и максимумы'!R$4-'минимумы и максимумы'!R$2)*100)</f>
        <v>7.0483314154200229</v>
      </c>
      <c r="U367" s="1">
        <f>IF('исходные данные'!U367&gt;'минимумы и максимумы'!S$4,100,('исходные данные'!U367-'минимумы и максимумы'!S$2)/('минимумы и максимумы'!S$4-'минимумы и максимумы'!S$2)*100)</f>
        <v>0</v>
      </c>
    </row>
    <row r="368" spans="1:21" x14ac:dyDescent="0.45">
      <c r="A368" s="4">
        <v>480</v>
      </c>
      <c r="B368" s="4">
        <v>0</v>
      </c>
      <c r="C368" s="4">
        <v>0</v>
      </c>
      <c r="D368" s="1">
        <f>IF('исходные данные'!D368&gt;'минимумы и максимумы'!B$4,100,('исходные данные'!D368-'минимумы и максимумы'!B$2)/('минимумы и максимумы'!B$4-'минимумы и максимумы'!B$2)*100)</f>
        <v>0</v>
      </c>
      <c r="E368" s="1">
        <f>IF('исходные данные'!E368&gt;'минимумы и максимумы'!C$4,100,('исходные данные'!E368-'минимумы и максимумы'!C$2)/('минимумы и максимумы'!C$4-'минимумы и максимумы'!C$2)*100)</f>
        <v>0</v>
      </c>
      <c r="F368" s="1">
        <f>IF('исходные данные'!F368&gt;'минимумы и максимумы'!D$4,100,('исходные данные'!F368-'минимумы и максимумы'!D$2)/('минимумы и максимумы'!D$4-'минимумы и максимумы'!D$2)*100)</f>
        <v>0</v>
      </c>
      <c r="G368" s="1">
        <f>IF('исходные данные'!G368&gt;'минимумы и максимумы'!E$4,100,('исходные данные'!G368-'минимумы и максимумы'!E$2)/('минимумы и максимумы'!E$4-'минимумы и максимумы'!E$2)*100)</f>
        <v>0</v>
      </c>
      <c r="H368" s="1">
        <f>IF('исходные данные'!H368&gt;'минимумы и максимумы'!F$4,100,('исходные данные'!H368-'минимумы и максимумы'!F$2)/('минимумы и максимумы'!F$4-'минимумы и максимумы'!F$2)*100)</f>
        <v>0</v>
      </c>
      <c r="I368" s="1">
        <f>IF('исходные данные'!I368&gt;'минимумы и максимумы'!G$4,100,('исходные данные'!I368-'минимумы и максимумы'!G$2)/('минимумы и максимумы'!G$4-'минимумы и максимумы'!G$2)*100)</f>
        <v>2.4096385542168677</v>
      </c>
      <c r="J368" s="1">
        <f>IF('исходные данные'!J368&gt;'минимумы и максимумы'!H$4,100,('исходные данные'!J368-'минимумы и максимумы'!H$2)/('минимумы и максимумы'!H$4-'минимумы и максимумы'!H$2)*100)</f>
        <v>0</v>
      </c>
      <c r="K368" s="1">
        <f>IF('исходные данные'!K368&gt;'минимумы и максимумы'!I$4,100,('исходные данные'!K368-'минимумы и максимумы'!I$2)/('минимумы и максимумы'!I$4-'минимумы и максимумы'!I$2)*100)</f>
        <v>3.5714285714285712</v>
      </c>
      <c r="L368" s="1">
        <f>IF('исходные данные'!L368&gt;'минимумы и максимумы'!J$4,100,('исходные данные'!L368-'минимумы и максимумы'!J$2)/('минимумы и максимумы'!J$4-'минимумы и максимумы'!J$2)*100)</f>
        <v>0</v>
      </c>
      <c r="M368" s="1">
        <f>IF('исходные данные'!M368&gt;'минимумы и максимумы'!K$4,100,('исходные данные'!M368-'минимумы и максимумы'!K$2)/('минимумы и максимумы'!K$4-'минимумы и максимумы'!K$2)*100)</f>
        <v>4.2553191489361701</v>
      </c>
      <c r="N368" s="1">
        <f>IF('исходные данные'!N368&gt;'минимумы и максимумы'!L$4,100,('исходные данные'!N368-'минимумы и максимумы'!L$2)/('минимумы и максимумы'!L$4-'минимумы и максимумы'!L$2)*100)</f>
        <v>18.240234703900111</v>
      </c>
      <c r="O368" s="1">
        <f>IF('исходные данные'!O368&gt;'минимумы и максимумы'!M$4,100,('исходные данные'!O368-'минимумы и максимумы'!M$2)/('минимумы и максимумы'!M$4-'минимумы и максимумы'!M$2)*100)</f>
        <v>66.666666666666657</v>
      </c>
      <c r="P368" s="1">
        <f>IF('исходные данные'!P368&gt;'минимумы и максимумы'!N$4,100,('исходные данные'!P368-'минимумы и максимумы'!N$2)/('минимумы и максимумы'!N$4-'минимумы и максимумы'!N$2)*100)</f>
        <v>0</v>
      </c>
      <c r="Q368" s="1">
        <f>IF('исходные данные'!Q368&gt;'минимумы и максимумы'!O$4,100,('исходные данные'!Q368-'минимумы и максимумы'!O$2)/('минимумы и максимумы'!O$4-'минимумы и максимумы'!O$2)*100)</f>
        <v>100</v>
      </c>
      <c r="R368" s="1">
        <f>IF('исходные данные'!R368&gt;'минимумы и максимумы'!P$4,100,('исходные данные'!R368-'минимумы и максимумы'!P$2)/('минимумы и максимумы'!P$4-'минимумы и максимумы'!P$2)*100)</f>
        <v>75</v>
      </c>
      <c r="S368" s="1">
        <f>IF('исходные данные'!S368&gt;'минимумы и максимумы'!Q$4,100,('исходные данные'!S368-'минимумы и максимумы'!Q$2)/('минимумы и максимумы'!Q$4-'минимумы и максимумы'!Q$2)*100)</f>
        <v>22.222222222222221</v>
      </c>
      <c r="T368" s="1">
        <f>IF('исходные данные'!T368&gt;'минимумы и максимумы'!R$4,100,('исходные данные'!T368-'минимумы и максимумы'!R$2)/('минимумы и максимумы'!R$4-'минимумы и максимумы'!R$2)*100)</f>
        <v>2.9344073647871118</v>
      </c>
      <c r="U368" s="1">
        <f>IF('исходные данные'!U368&gt;'минимумы и максимумы'!S$4,100,('исходные данные'!U368-'минимумы и максимумы'!S$2)/('минимумы и максимумы'!S$4-'минимумы и максимумы'!S$2)*100)</f>
        <v>0</v>
      </c>
    </row>
    <row r="369" spans="1:21" x14ac:dyDescent="0.45">
      <c r="A369" s="4">
        <v>481</v>
      </c>
      <c r="B369" s="4">
        <v>0</v>
      </c>
      <c r="C369" s="4">
        <v>0</v>
      </c>
      <c r="D369" s="1">
        <f>IF('исходные данные'!D369&gt;'минимумы и максимумы'!B$4,100,('исходные данные'!D369-'минимумы и максимумы'!B$2)/('минимумы и максимумы'!B$4-'минимумы и максимумы'!B$2)*100)</f>
        <v>0</v>
      </c>
      <c r="E369" s="1">
        <f>IF('исходные данные'!E369&gt;'минимумы и максимумы'!C$4,100,('исходные данные'!E369-'минимумы и максимумы'!C$2)/('минимумы и максимумы'!C$4-'минимумы и максимумы'!C$2)*100)</f>
        <v>0</v>
      </c>
      <c r="F369" s="1">
        <f>IF('исходные данные'!F369&gt;'минимумы и максимумы'!D$4,100,('исходные данные'!F369-'минимумы и максимумы'!D$2)/('минимумы и максимумы'!D$4-'минимумы и максимумы'!D$2)*100)</f>
        <v>0</v>
      </c>
      <c r="G369" s="1">
        <f>IF('исходные данные'!G369&gt;'минимумы и максимумы'!E$4,100,('исходные данные'!G369-'минимумы и максимумы'!E$2)/('минимумы и максимумы'!E$4-'минимумы и максимумы'!E$2)*100)</f>
        <v>0</v>
      </c>
      <c r="H369" s="1">
        <f>IF('исходные данные'!H369&gt;'минимумы и максимумы'!F$4,100,('исходные данные'!H369-'минимумы и максимумы'!F$2)/('минимумы и максимумы'!F$4-'минимумы и максимумы'!F$2)*100)</f>
        <v>0</v>
      </c>
      <c r="I369" s="1">
        <f>IF('исходные данные'!I369&gt;'минимумы и максимумы'!G$4,100,('исходные данные'!I369-'минимумы и максимумы'!G$2)/('минимумы и максимумы'!G$4-'минимумы и максимумы'!G$2)*100)</f>
        <v>0</v>
      </c>
      <c r="J369" s="1">
        <f>IF('исходные данные'!J369&gt;'минимумы и максимумы'!H$4,100,('исходные данные'!J369-'минимумы и максимумы'!H$2)/('минимумы и максимумы'!H$4-'минимумы и максимумы'!H$2)*100)</f>
        <v>0</v>
      </c>
      <c r="K369" s="1">
        <f>IF('исходные данные'!K369&gt;'минимумы и максимумы'!I$4,100,('исходные данные'!K369-'минимумы и максимумы'!I$2)/('минимумы и максимумы'!I$4-'минимумы и максимумы'!I$2)*100)</f>
        <v>0</v>
      </c>
      <c r="L369" s="1">
        <f>IF('исходные данные'!L369&gt;'минимумы и максимумы'!J$4,100,('исходные данные'!L369-'минимумы и максимумы'!J$2)/('минимумы и максимумы'!J$4-'минимумы и максимумы'!J$2)*100)</f>
        <v>0</v>
      </c>
      <c r="M369" s="1">
        <f>IF('исходные данные'!M369&gt;'минимумы и максимумы'!K$4,100,('исходные данные'!M369-'минимумы и максимумы'!K$2)/('минимумы и максимумы'!K$4-'минимумы и максимумы'!K$2)*100)</f>
        <v>0</v>
      </c>
      <c r="N369" s="1">
        <f>IF('исходные данные'!N369&gt;'минимумы и максимумы'!L$4,100,('исходные данные'!N369-'минимумы и максимумы'!L$2)/('минимумы и максимумы'!L$4-'минимумы и максимумы'!L$2)*100)</f>
        <v>19.848975772145668</v>
      </c>
      <c r="O369" s="1">
        <f>IF('исходные данные'!O369&gt;'минимумы и максимумы'!M$4,100,('исходные данные'!O369-'минимумы и максимумы'!M$2)/('минимумы и максимумы'!M$4-'минимумы и максимумы'!M$2)*100)</f>
        <v>0</v>
      </c>
      <c r="P369" s="1">
        <f>IF('исходные данные'!P369&gt;'минимумы и максимумы'!N$4,100,('исходные данные'!P369-'минимумы и максимумы'!N$2)/('минимумы и максимумы'!N$4-'минимумы и максимумы'!N$2)*100)</f>
        <v>0</v>
      </c>
      <c r="Q369" s="1">
        <f>IF('исходные данные'!Q369&gt;'минимумы и максимумы'!O$4,100,('исходные данные'!Q369-'минимумы и максимумы'!O$2)/('минимумы и максимумы'!O$4-'минимумы и максимумы'!O$2)*100)</f>
        <v>100</v>
      </c>
      <c r="R369" s="1">
        <f>IF('исходные данные'!R369&gt;'минимумы и максимумы'!P$4,100,('исходные данные'!R369-'минимумы и максимумы'!P$2)/('минимумы и максимумы'!P$4-'минимумы и максимумы'!P$2)*100)</f>
        <v>100</v>
      </c>
      <c r="S369" s="1">
        <f>IF('исходные данные'!S369&gt;'минимумы и максимумы'!Q$4,100,('исходные данные'!S369-'минимумы и максимумы'!Q$2)/('минимумы и максимумы'!Q$4-'минимумы и максимумы'!Q$2)*100)</f>
        <v>33.333333333333329</v>
      </c>
      <c r="T369" s="1">
        <f>IF('исходные данные'!T369&gt;'минимумы и максимумы'!R$4,100,('исходные данные'!T369-'минимумы и максимумы'!R$2)/('минимумы и максимумы'!R$4-'минимумы и максимумы'!R$2)*100)</f>
        <v>20.655926352128883</v>
      </c>
      <c r="U369" s="1">
        <f>IF('исходные данные'!U369&gt;'минимумы и максимумы'!S$4,100,('исходные данные'!U369-'минимумы и максимумы'!S$2)/('минимумы и максимумы'!S$4-'минимумы и максимумы'!S$2)*100)</f>
        <v>0</v>
      </c>
    </row>
    <row r="370" spans="1:21" x14ac:dyDescent="0.45">
      <c r="A370" s="4">
        <v>482</v>
      </c>
      <c r="B370" s="4">
        <v>0</v>
      </c>
      <c r="C370" s="4">
        <v>0</v>
      </c>
      <c r="D370" s="1">
        <f>IF('исходные данные'!D370&gt;'минимумы и максимумы'!B$4,100,('исходные данные'!D370-'минимумы и максимумы'!B$2)/('минимумы и максимумы'!B$4-'минимумы и максимумы'!B$2)*100)</f>
        <v>0</v>
      </c>
      <c r="E370" s="1">
        <f>IF('исходные данные'!E370&gt;'минимумы и максимумы'!C$4,100,('исходные данные'!E370-'минимумы и максимумы'!C$2)/('минимумы и максимумы'!C$4-'минимумы и максимумы'!C$2)*100)</f>
        <v>0</v>
      </c>
      <c r="F370" s="1">
        <f>IF('исходные данные'!F370&gt;'минимумы и максимумы'!D$4,100,('исходные данные'!F370-'минимумы и максимумы'!D$2)/('минимумы и максимумы'!D$4-'минимумы и максимумы'!D$2)*100)</f>
        <v>0</v>
      </c>
      <c r="G370" s="1">
        <f>IF('исходные данные'!G370&gt;'минимумы и максимумы'!E$4,100,('исходные данные'!G370-'минимумы и максимумы'!E$2)/('минимумы и максимумы'!E$4-'минимумы и максимумы'!E$2)*100)</f>
        <v>0</v>
      </c>
      <c r="H370" s="1">
        <f>IF('исходные данные'!H370&gt;'минимумы и максимумы'!F$4,100,('исходные данные'!H370-'минимумы и максимумы'!F$2)/('минимумы и максимумы'!F$4-'минимумы и максимумы'!F$2)*100)</f>
        <v>0</v>
      </c>
      <c r="I370" s="1">
        <f>IF('исходные данные'!I370&gt;'минимумы и максимумы'!G$4,100,('исходные данные'!I370-'минимумы и максимумы'!G$2)/('минимумы и максимумы'!G$4-'минимумы и максимумы'!G$2)*100)</f>
        <v>0</v>
      </c>
      <c r="J370" s="1">
        <f>IF('исходные данные'!J370&gt;'минимумы и максимумы'!H$4,100,('исходные данные'!J370-'минимумы и максимумы'!H$2)/('минимумы и максимумы'!H$4-'минимумы и максимумы'!H$2)*100)</f>
        <v>0</v>
      </c>
      <c r="K370" s="1">
        <f>IF('исходные данные'!K370&gt;'минимумы и максимумы'!I$4,100,('исходные данные'!K370-'минимумы и максимумы'!I$2)/('минимумы и максимумы'!I$4-'минимумы и максимумы'!I$2)*100)</f>
        <v>0</v>
      </c>
      <c r="L370" s="1">
        <f>IF('исходные данные'!L370&gt;'минимумы и максимумы'!J$4,100,('исходные данные'!L370-'минимумы и максимумы'!J$2)/('минимумы и максимумы'!J$4-'минимумы и максимумы'!J$2)*100)</f>
        <v>0</v>
      </c>
      <c r="M370" s="1">
        <f>IF('исходные данные'!M370&gt;'минимумы и максимумы'!K$4,100,('исходные данные'!M370-'минимумы и максимумы'!K$2)/('минимумы и максимумы'!K$4-'минимумы и максимумы'!K$2)*100)</f>
        <v>4.2553191489361701</v>
      </c>
      <c r="N370" s="1">
        <f>IF('исходные данные'!N370&gt;'минимумы и максимумы'!L$4,100,('исходные данные'!N370-'минимумы и максимумы'!L$2)/('минимумы и максимумы'!L$4-'минимумы и максимумы'!L$2)*100)</f>
        <v>19.676060439239389</v>
      </c>
      <c r="O370" s="1">
        <f>IF('исходные данные'!O370&gt;'минимумы и максимумы'!M$4,100,('исходные данные'!O370-'минимумы и максимумы'!M$2)/('минимумы и максимумы'!M$4-'минимумы и максимумы'!M$2)*100)</f>
        <v>0</v>
      </c>
      <c r="P370" s="1">
        <f>IF('исходные данные'!P370&gt;'минимумы и максимумы'!N$4,100,('исходные данные'!P370-'минимумы и максимумы'!N$2)/('минимумы и максимумы'!N$4-'минимумы и максимумы'!N$2)*100)</f>
        <v>0</v>
      </c>
      <c r="Q370" s="1">
        <f>IF('исходные данные'!Q370&gt;'минимумы и максимумы'!O$4,100,('исходные данные'!Q370-'минимумы и максимумы'!O$2)/('минимумы и максимумы'!O$4-'минимумы и максимумы'!O$2)*100)</f>
        <v>0</v>
      </c>
      <c r="R370" s="1">
        <f>IF('исходные данные'!R370&gt;'минимумы и максимумы'!P$4,100,('исходные данные'!R370-'минимумы и максимумы'!P$2)/('минимумы и максимумы'!P$4-'минимумы и максимумы'!P$2)*100)</f>
        <v>100</v>
      </c>
      <c r="S370" s="1">
        <f>IF('исходные данные'!S370&gt;'минимумы и максимумы'!Q$4,100,('исходные данные'!S370-'минимумы и максимумы'!Q$2)/('минимумы и максимумы'!Q$4-'минимумы и максимумы'!Q$2)*100)</f>
        <v>11.111111111111111</v>
      </c>
      <c r="T370" s="1">
        <f>IF('исходные данные'!T370&gt;'минимумы и максимумы'!R$4,100,('исходные данные'!T370-'минимумы и максимумы'!R$2)/('минимумы и максимумы'!R$4-'минимумы и максимумы'!R$2)*100)</f>
        <v>14.930955120828537</v>
      </c>
      <c r="U370" s="1">
        <f>IF('исходные данные'!U370&gt;'минимумы и максимумы'!S$4,100,('исходные данные'!U370-'минимумы и максимумы'!S$2)/('минимумы и максимумы'!S$4-'минимумы и максимумы'!S$2)*100)</f>
        <v>0</v>
      </c>
    </row>
    <row r="371" spans="1:21" x14ac:dyDescent="0.45">
      <c r="A371" s="4">
        <v>483</v>
      </c>
      <c r="B371" s="4">
        <v>0</v>
      </c>
      <c r="C371" s="4">
        <v>0</v>
      </c>
      <c r="D371" s="1">
        <f>IF('исходные данные'!D371&gt;'минимумы и максимумы'!B$4,100,('исходные данные'!D371-'минимумы и максимумы'!B$2)/('минимумы и максимумы'!B$4-'минимумы и максимумы'!B$2)*100)</f>
        <v>0</v>
      </c>
      <c r="E371" s="1">
        <f>IF('исходные данные'!E371&gt;'минимумы и максимумы'!C$4,100,('исходные данные'!E371-'минимумы и максимумы'!C$2)/('минимумы и максимумы'!C$4-'минимумы и максимумы'!C$2)*100)</f>
        <v>0</v>
      </c>
      <c r="F371" s="1">
        <f>IF('исходные данные'!F371&gt;'минимумы и максимумы'!D$4,100,('исходные данные'!F371-'минимумы и максимумы'!D$2)/('минимумы и максимумы'!D$4-'минимумы и максимумы'!D$2)*100)</f>
        <v>0</v>
      </c>
      <c r="G371" s="1">
        <f>IF('исходные данные'!G371&gt;'минимумы и максимумы'!E$4,100,('исходные данные'!G371-'минимумы и максимумы'!E$2)/('минимумы и максимумы'!E$4-'минимумы и максимумы'!E$2)*100)</f>
        <v>0</v>
      </c>
      <c r="H371" s="1">
        <f>IF('исходные данные'!H371&gt;'минимумы и максимумы'!F$4,100,('исходные данные'!H371-'минимумы и максимумы'!F$2)/('минимумы и максимумы'!F$4-'минимумы и максимумы'!F$2)*100)</f>
        <v>0</v>
      </c>
      <c r="I371" s="1">
        <f>IF('исходные данные'!I371&gt;'минимумы и максимумы'!G$4,100,('исходные данные'!I371-'минимумы и максимумы'!G$2)/('минимумы и максимумы'!G$4-'минимумы и максимумы'!G$2)*100)</f>
        <v>0</v>
      </c>
      <c r="J371" s="1">
        <f>IF('исходные данные'!J371&gt;'минимумы и максимумы'!H$4,100,('исходные данные'!J371-'минимумы и максимумы'!H$2)/('минимумы и максимумы'!H$4-'минимумы и максимумы'!H$2)*100)</f>
        <v>0</v>
      </c>
      <c r="K371" s="1">
        <f>IF('исходные данные'!K371&gt;'минимумы и максимумы'!I$4,100,('исходные данные'!K371-'минимумы и максимумы'!I$2)/('минимумы и максимумы'!I$4-'минимумы и максимумы'!I$2)*100)</f>
        <v>0</v>
      </c>
      <c r="L371" s="1">
        <f>IF('исходные данные'!L371&gt;'минимумы и максимумы'!J$4,100,('исходные данные'!L371-'минимумы и максимумы'!J$2)/('минимумы и максимумы'!J$4-'минимумы и максимумы'!J$2)*100)</f>
        <v>0</v>
      </c>
      <c r="M371" s="1">
        <f>IF('исходные данные'!M371&gt;'минимумы и максимумы'!K$4,100,('исходные данные'!M371-'минимумы и максимумы'!K$2)/('минимумы и максимумы'!K$4-'минимумы и максимумы'!K$2)*100)</f>
        <v>0</v>
      </c>
      <c r="N371" s="1">
        <f>IF('исходные данные'!N371&gt;'минимумы и максимумы'!L$4,100,('исходные данные'!N371-'минимумы и максимумы'!L$2)/('минимумы и максимумы'!L$4-'минимумы и максимумы'!L$2)*100)</f>
        <v>21.332918802506565</v>
      </c>
      <c r="O371" s="1">
        <f>IF('исходные данные'!O371&gt;'минимумы и максимумы'!M$4,100,('исходные данные'!O371-'минимумы и максимумы'!M$2)/('минимумы и максимумы'!M$4-'минимумы и максимумы'!M$2)*100)</f>
        <v>0</v>
      </c>
      <c r="P371" s="1">
        <f>IF('исходные данные'!P371&gt;'минимумы и максимумы'!N$4,100,('исходные данные'!P371-'минимумы и максимумы'!N$2)/('минимумы и максимумы'!N$4-'минимумы и максимумы'!N$2)*100)</f>
        <v>0</v>
      </c>
      <c r="Q371" s="1">
        <f>IF('исходные данные'!Q371&gt;'минимумы и максимумы'!O$4,100,('исходные данные'!Q371-'минимумы и максимумы'!O$2)/('минимумы и максимумы'!O$4-'минимумы и максимумы'!O$2)*100)</f>
        <v>100</v>
      </c>
      <c r="R371" s="1">
        <f>IF('исходные данные'!R371&gt;'минимумы и максимумы'!P$4,100,('исходные данные'!R371-'минимумы и максимумы'!P$2)/('минимумы и максимумы'!P$4-'минимумы и максимумы'!P$2)*100)</f>
        <v>100</v>
      </c>
      <c r="S371" s="1">
        <f>IF('исходные данные'!S371&gt;'минимумы и максимумы'!Q$4,100,('исходные данные'!S371-'минимумы и максимумы'!Q$2)/('минимумы и максимумы'!Q$4-'минимумы и максимумы'!Q$2)*100)</f>
        <v>11.111111111111111</v>
      </c>
      <c r="T371" s="1">
        <f>IF('исходные данные'!T371&gt;'минимумы и максимумы'!R$4,100,('исходные данные'!T371-'минимумы и максимумы'!R$2)/('минимумы и максимумы'!R$4-'минимумы и максимумы'!R$2)*100)</f>
        <v>18.066743383199078</v>
      </c>
      <c r="U371" s="1">
        <f>IF('исходные данные'!U371&gt;'минимумы и максимумы'!S$4,100,('исходные данные'!U371-'минимумы и максимумы'!S$2)/('минимумы и максимумы'!S$4-'минимумы и максимумы'!S$2)*100)</f>
        <v>33.333333333333329</v>
      </c>
    </row>
    <row r="372" spans="1:21" x14ac:dyDescent="0.45">
      <c r="A372" s="4">
        <v>484</v>
      </c>
      <c r="B372" s="4">
        <v>0</v>
      </c>
      <c r="C372" s="4">
        <v>0</v>
      </c>
      <c r="D372" s="1">
        <f>IF('исходные данные'!D372&gt;'минимумы и максимумы'!B$4,100,('исходные данные'!D372-'минимумы и максимумы'!B$2)/('минимумы и максимумы'!B$4-'минимумы и максимумы'!B$2)*100)</f>
        <v>0</v>
      </c>
      <c r="E372" s="1">
        <f>IF('исходные данные'!E372&gt;'минимумы и максимумы'!C$4,100,('исходные данные'!E372-'минимумы и максимумы'!C$2)/('минимумы и максимумы'!C$4-'минимумы и максимумы'!C$2)*100)</f>
        <v>0</v>
      </c>
      <c r="F372" s="1">
        <f>IF('исходные данные'!F372&gt;'минимумы и максимумы'!D$4,100,('исходные данные'!F372-'минимумы и максимумы'!D$2)/('минимумы и максимумы'!D$4-'минимумы и максимумы'!D$2)*100)</f>
        <v>0</v>
      </c>
      <c r="G372" s="1">
        <f>IF('исходные данные'!G372&gt;'минимумы и максимумы'!E$4,100,('исходные данные'!G372-'минимумы и максимумы'!E$2)/('минимумы и максимумы'!E$4-'минимумы и максимумы'!E$2)*100)</f>
        <v>0</v>
      </c>
      <c r="H372" s="1">
        <f>IF('исходные данные'!H372&gt;'минимумы и максимумы'!F$4,100,('исходные данные'!H372-'минимумы и максимумы'!F$2)/('минимумы и максимумы'!F$4-'минимумы и максимумы'!F$2)*100)</f>
        <v>0</v>
      </c>
      <c r="I372" s="1">
        <f>IF('исходные данные'!I372&gt;'минимумы и максимумы'!G$4,100,('исходные данные'!I372-'минимумы и максимумы'!G$2)/('минимумы и максимумы'!G$4-'минимумы и максимумы'!G$2)*100)</f>
        <v>0</v>
      </c>
      <c r="J372" s="1">
        <f>IF('исходные данные'!J372&gt;'минимумы и максимумы'!H$4,100,('исходные данные'!J372-'минимумы и максимумы'!H$2)/('минимумы и максимумы'!H$4-'минимумы и максимумы'!H$2)*100)</f>
        <v>0</v>
      </c>
      <c r="K372" s="1">
        <f>IF('исходные данные'!K372&gt;'минимумы и максимумы'!I$4,100,('исходные данные'!K372-'минимумы и максимумы'!I$2)/('минимумы и максимумы'!I$4-'минимумы и максимумы'!I$2)*100)</f>
        <v>0</v>
      </c>
      <c r="L372" s="1">
        <f>IF('исходные данные'!L372&gt;'минимумы и максимумы'!J$4,100,('исходные данные'!L372-'минимумы и максимумы'!J$2)/('минимумы и максимумы'!J$4-'минимумы и максимумы'!J$2)*100)</f>
        <v>0</v>
      </c>
      <c r="M372" s="1">
        <f>IF('исходные данные'!M372&gt;'минимумы и максимумы'!K$4,100,('исходные данные'!M372-'минимумы и максимумы'!K$2)/('минимумы и максимумы'!K$4-'минимумы и максимумы'!K$2)*100)</f>
        <v>0</v>
      </c>
      <c r="N372" s="1">
        <f>IF('исходные данные'!N372&gt;'минимумы и максимумы'!L$4,100,('исходные данные'!N372-'минимумы и максимумы'!L$2)/('минимумы и максимумы'!L$4-'минимумы и максимумы'!L$2)*100)</f>
        <v>21.567121809584087</v>
      </c>
      <c r="O372" s="1">
        <f>IF('исходные данные'!O372&gt;'минимумы и максимумы'!M$4,100,('исходные данные'!O372-'минимумы и максимумы'!M$2)/('минимумы и максимумы'!M$4-'минимумы и максимумы'!M$2)*100)</f>
        <v>33.333333333333329</v>
      </c>
      <c r="P372" s="1">
        <f>IF('исходные данные'!P372&gt;'минимумы и максимумы'!N$4,100,('исходные данные'!P372-'минимумы и максимумы'!N$2)/('минимумы и максимумы'!N$4-'минимумы и максимумы'!N$2)*100)</f>
        <v>0</v>
      </c>
      <c r="Q372" s="1">
        <f>IF('исходные данные'!Q372&gt;'минимумы и максимумы'!O$4,100,('исходные данные'!Q372-'минимумы и максимумы'!O$2)/('минимумы и максимумы'!O$4-'минимумы и максимумы'!O$2)*100)</f>
        <v>0</v>
      </c>
      <c r="R372" s="1">
        <f>IF('исходные данные'!R372&gt;'минимумы и максимумы'!P$4,100,('исходные данные'!R372-'минимумы и максимумы'!P$2)/('минимумы и максимумы'!P$4-'минимумы и максимумы'!P$2)*100)</f>
        <v>25</v>
      </c>
      <c r="S372" s="1">
        <f>IF('исходные данные'!S372&gt;'минимумы и максимумы'!Q$4,100,('исходные данные'!S372-'минимумы и максимумы'!Q$2)/('минимумы и максимумы'!Q$4-'минимумы и максимумы'!Q$2)*100)</f>
        <v>11.111111111111111</v>
      </c>
      <c r="T372" s="1">
        <f>IF('исходные данные'!T372&gt;'минимумы и максимумы'!R$4,100,('исходные данные'!T372-'минимумы и максимумы'!R$2)/('минимумы и максимумы'!R$4-'минимумы и максимумы'!R$2)*100)</f>
        <v>14.556962025316455</v>
      </c>
      <c r="U372" s="1">
        <f>IF('исходные данные'!U372&gt;'минимумы и максимумы'!S$4,100,('исходные данные'!U372-'минимумы и максимумы'!S$2)/('минимумы и максимумы'!S$4-'минимумы и максимумы'!S$2)*100)</f>
        <v>33.333333333333329</v>
      </c>
    </row>
    <row r="373" spans="1:21" x14ac:dyDescent="0.45">
      <c r="A373" s="4">
        <v>489</v>
      </c>
      <c r="B373" s="4">
        <v>0</v>
      </c>
      <c r="C373" s="4">
        <v>0</v>
      </c>
      <c r="D373" s="1">
        <f>IF('исходные данные'!D373&gt;'минимумы и максимумы'!B$4,100,('исходные данные'!D373-'минимумы и максимумы'!B$2)/('минимумы и максимумы'!B$4-'минимумы и максимумы'!B$2)*100)</f>
        <v>0</v>
      </c>
      <c r="E373" s="1">
        <f>IF('исходные данные'!E373&gt;'минимумы и максимумы'!C$4,100,('исходные данные'!E373-'минимумы и максимумы'!C$2)/('минимумы и максимумы'!C$4-'минимумы и максимумы'!C$2)*100)</f>
        <v>18.75</v>
      </c>
      <c r="F373" s="1">
        <f>IF('исходные данные'!F373&gt;'минимумы и максимумы'!D$4,100,('исходные данные'!F373-'минимумы и максимумы'!D$2)/('минимумы и максимумы'!D$4-'минимумы и максимумы'!D$2)*100)</f>
        <v>0</v>
      </c>
      <c r="G373" s="1">
        <f>IF('исходные данные'!G373&gt;'минимумы и максимумы'!E$4,100,('исходные данные'!G373-'минимумы и максимумы'!E$2)/('минимумы и максимумы'!E$4-'минимумы и максимумы'!E$2)*100)</f>
        <v>16.216216216216218</v>
      </c>
      <c r="H373" s="1">
        <f>IF('исходные данные'!H373&gt;'минимумы и максимумы'!F$4,100,('исходные данные'!H373-'минимумы и максимумы'!F$2)/('минимумы и максимумы'!F$4-'минимумы и максимумы'!F$2)*100)</f>
        <v>15.789473684210526</v>
      </c>
      <c r="I373" s="1">
        <f>IF('исходные данные'!I373&gt;'минимумы и максимумы'!G$4,100,('исходные данные'!I373-'минимумы и максимумы'!G$2)/('минимумы и максимумы'!G$4-'минимумы и максимумы'!G$2)*100)</f>
        <v>3.6144578313253009</v>
      </c>
      <c r="J373" s="1">
        <f>IF('исходные данные'!J373&gt;'минимумы и максимумы'!H$4,100,('исходные данные'!J373-'минимумы и максимумы'!H$2)/('минимумы и максимумы'!H$4-'минимумы и максимумы'!H$2)*100)</f>
        <v>16.666666666666664</v>
      </c>
      <c r="K373" s="1">
        <f>IF('исходные данные'!K373&gt;'минимумы и максимумы'!I$4,100,('исходные данные'!K373-'минимумы и максимумы'!I$2)/('минимумы и максимумы'!I$4-'минимумы и максимумы'!I$2)*100)</f>
        <v>0</v>
      </c>
      <c r="L373" s="1">
        <f>IF('исходные данные'!L373&gt;'минимумы и максимумы'!J$4,100,('исходные данные'!L373-'минимумы и максимумы'!J$2)/('минимумы и максимумы'!J$4-'минимумы и максимумы'!J$2)*100)</f>
        <v>0</v>
      </c>
      <c r="M373" s="1">
        <f>IF('исходные данные'!M373&gt;'минимумы и максимумы'!K$4,100,('исходные данные'!M373-'минимумы и максимумы'!K$2)/('минимумы и максимумы'!K$4-'минимумы и максимумы'!K$2)*100)</f>
        <v>8.5106382978723403</v>
      </c>
      <c r="N373" s="1">
        <f>IF('исходные данные'!N373&gt;'минимумы и максимумы'!L$4,100,('исходные данные'!N373-'минимумы и максимумы'!L$2)/('минимумы и максимумы'!L$4-'минимумы и максимумы'!L$2)*100)</f>
        <v>36.440683118954276</v>
      </c>
      <c r="O373" s="1">
        <f>IF('исходные данные'!O373&gt;'минимумы и максимумы'!M$4,100,('исходные данные'!O373-'минимумы и максимумы'!M$2)/('минимумы и максимумы'!M$4-'минимумы и максимумы'!M$2)*100)</f>
        <v>100</v>
      </c>
      <c r="P373" s="1">
        <f>IF('исходные данные'!P373&gt;'минимумы и максимумы'!N$4,100,('исходные данные'!P373-'минимумы и максимумы'!N$2)/('минимумы и максимумы'!N$4-'минимумы и максимумы'!N$2)*100)</f>
        <v>0</v>
      </c>
      <c r="Q373" s="1">
        <f>IF('исходные данные'!Q373&gt;'минимумы и максимумы'!O$4,100,('исходные данные'!Q373-'минимумы и максимумы'!O$2)/('минимумы и максимумы'!O$4-'минимумы и максимумы'!O$2)*100)</f>
        <v>0</v>
      </c>
      <c r="R373" s="1">
        <f>IF('исходные данные'!R373&gt;'минимумы и максимумы'!P$4,100,('исходные данные'!R373-'минимумы и максимумы'!P$2)/('минимумы и максимумы'!P$4-'минимумы и максимумы'!P$2)*100)</f>
        <v>50</v>
      </c>
      <c r="S373" s="1">
        <f>IF('исходные данные'!S373&gt;'минимумы и максимумы'!Q$4,100,('исходные данные'!S373-'минимумы и максимумы'!Q$2)/('минимумы и максимумы'!Q$4-'минимумы и максимумы'!Q$2)*100)</f>
        <v>11.111111111111111</v>
      </c>
      <c r="T373" s="1">
        <f>IF('исходные данные'!T373&gt;'минимумы и максимумы'!R$4,100,('исходные данные'!T373-'минимумы и максимумы'!R$2)/('минимумы и максимумы'!R$4-'минимумы и максимумы'!R$2)*100)</f>
        <v>2.5604142692750287</v>
      </c>
      <c r="U373" s="1">
        <f>IF('исходные данные'!U373&gt;'минимумы и максимумы'!S$4,100,('исходные данные'!U373-'минимумы и максимумы'!S$2)/('минимумы и максимумы'!S$4-'минимумы и максимумы'!S$2)*100)</f>
        <v>0</v>
      </c>
    </row>
    <row r="374" spans="1:21" x14ac:dyDescent="0.45">
      <c r="A374" s="4">
        <v>490</v>
      </c>
      <c r="B374" s="4">
        <v>0</v>
      </c>
      <c r="C374" s="4">
        <v>0</v>
      </c>
      <c r="D374" s="1">
        <f>IF('исходные данные'!D374&gt;'минимумы и максимумы'!B$4,100,('исходные данные'!D374-'минимумы и максимумы'!B$2)/('минимумы и максимумы'!B$4-'минимумы и максимумы'!B$2)*100)</f>
        <v>0</v>
      </c>
      <c r="E374" s="1">
        <f>IF('исходные данные'!E374&gt;'минимумы и максимумы'!C$4,100,('исходные данные'!E374-'минимумы и максимумы'!C$2)/('минимумы и максимумы'!C$4-'минимумы и максимумы'!C$2)*100)</f>
        <v>0</v>
      </c>
      <c r="F374" s="1">
        <f>IF('исходные данные'!F374&gt;'минимумы и максимумы'!D$4,100,('исходные данные'!F374-'минимумы и максимумы'!D$2)/('минимумы и максимумы'!D$4-'минимумы и максимумы'!D$2)*100)</f>
        <v>0</v>
      </c>
      <c r="G374" s="1">
        <f>IF('исходные данные'!G374&gt;'минимумы и максимумы'!E$4,100,('исходные данные'!G374-'минимумы и максимумы'!E$2)/('минимумы и максимумы'!E$4-'минимумы и максимумы'!E$2)*100)</f>
        <v>0</v>
      </c>
      <c r="H374" s="1">
        <f>IF('исходные данные'!H374&gt;'минимумы и максимумы'!F$4,100,('исходные данные'!H374-'минимумы и максимумы'!F$2)/('минимумы и максимумы'!F$4-'минимумы и максимумы'!F$2)*100)</f>
        <v>0</v>
      </c>
      <c r="I374" s="1">
        <f>IF('исходные данные'!I374&gt;'минимумы и максимумы'!G$4,100,('исходные данные'!I374-'минимумы и максимумы'!G$2)/('минимумы и максимумы'!G$4-'минимумы и максимумы'!G$2)*100)</f>
        <v>0</v>
      </c>
      <c r="J374" s="1">
        <f>IF('исходные данные'!J374&gt;'минимумы и максимумы'!H$4,100,('исходные данные'!J374-'минимумы и максимумы'!H$2)/('минимумы и максимумы'!H$4-'минимумы и максимумы'!H$2)*100)</f>
        <v>0</v>
      </c>
      <c r="K374" s="1">
        <f>IF('исходные данные'!K374&gt;'минимумы и максимумы'!I$4,100,('исходные данные'!K374-'минимумы и максимумы'!I$2)/('минимумы и максимумы'!I$4-'минимумы и максимумы'!I$2)*100)</f>
        <v>3.5714285714285712</v>
      </c>
      <c r="L374" s="1">
        <f>IF('исходные данные'!L374&gt;'минимумы и максимумы'!J$4,100,('исходные данные'!L374-'минимумы и максимумы'!J$2)/('минимумы и максимумы'!J$4-'минимумы и максимумы'!J$2)*100)</f>
        <v>0</v>
      </c>
      <c r="M374" s="1">
        <f>IF('исходные данные'!M374&gt;'минимумы и максимумы'!K$4,100,('исходные данные'!M374-'минимумы и максимумы'!K$2)/('минимумы и максимумы'!K$4-'минимумы и максимумы'!K$2)*100)</f>
        <v>6.3829787234042552</v>
      </c>
      <c r="N374" s="1">
        <f>IF('исходные данные'!N374&gt;'минимумы и максимумы'!L$4,100,('исходные данные'!N374-'минимумы и максимумы'!L$2)/('минимумы и максимумы'!L$4-'минимумы и максимумы'!L$2)*100)</f>
        <v>38.508740592407079</v>
      </c>
      <c r="O374" s="1">
        <f>IF('исходные данные'!O374&gt;'минимумы и максимумы'!M$4,100,('исходные данные'!O374-'минимумы и максимумы'!M$2)/('минимумы и максимумы'!M$4-'минимумы и максимумы'!M$2)*100)</f>
        <v>66.666666666666657</v>
      </c>
      <c r="P374" s="1">
        <f>IF('исходные данные'!P374&gt;'минимумы и максимумы'!N$4,100,('исходные данные'!P374-'минимумы и максимумы'!N$2)/('минимумы и максимумы'!N$4-'минимумы и максимумы'!N$2)*100)</f>
        <v>0</v>
      </c>
      <c r="Q374" s="1">
        <f>IF('исходные данные'!Q374&gt;'минимумы и максимумы'!O$4,100,('исходные данные'!Q374-'минимумы и максимумы'!O$2)/('минимумы и максимумы'!O$4-'минимумы и максимумы'!O$2)*100)</f>
        <v>0</v>
      </c>
      <c r="R374" s="1">
        <f>IF('исходные данные'!R374&gt;'минимумы и максимумы'!P$4,100,('исходные данные'!R374-'минимумы и максимумы'!P$2)/('минимумы и максимумы'!P$4-'минимумы и максимумы'!P$2)*100)</f>
        <v>25</v>
      </c>
      <c r="S374" s="1">
        <f>IF('исходные данные'!S374&gt;'минимумы и максимумы'!Q$4,100,('исходные данные'!S374-'минимумы и максимумы'!Q$2)/('минимумы и максимумы'!Q$4-'минимумы и максимумы'!Q$2)*100)</f>
        <v>55.555555555555557</v>
      </c>
      <c r="T374" s="1">
        <f>IF('исходные данные'!T374&gt;'минимумы и максимумы'!R$4,100,('исходные данные'!T374-'минимумы и максимумы'!R$2)/('минимумы и максимумы'!R$4-'минимумы и максимумы'!R$2)*100)</f>
        <v>40.794016110471809</v>
      </c>
      <c r="U374" s="1">
        <f>IF('исходные данные'!U374&gt;'минимумы и максимумы'!S$4,100,('исходные данные'!U374-'минимумы и максимумы'!S$2)/('минимумы и максимумы'!S$4-'минимумы и максимумы'!S$2)*100)</f>
        <v>100</v>
      </c>
    </row>
    <row r="375" spans="1:21" x14ac:dyDescent="0.45">
      <c r="A375" s="4">
        <v>491</v>
      </c>
      <c r="B375" s="4">
        <v>0</v>
      </c>
      <c r="C375" s="4">
        <v>0</v>
      </c>
      <c r="D375" s="1">
        <f>IF('исходные данные'!D375&gt;'минимумы и максимумы'!B$4,100,('исходные данные'!D375-'минимумы и максимумы'!B$2)/('минимумы и максимумы'!B$4-'минимумы и максимумы'!B$2)*100)</f>
        <v>12.5</v>
      </c>
      <c r="E375" s="1">
        <f>IF('исходные данные'!E375&gt;'минимумы и максимумы'!C$4,100,('исходные данные'!E375-'минимумы и максимумы'!C$2)/('минимумы и максимумы'!C$4-'минимумы и максимумы'!C$2)*100)</f>
        <v>12.5</v>
      </c>
      <c r="F375" s="1">
        <f>IF('исходные данные'!F375&gt;'минимумы и максимумы'!D$4,100,('исходные данные'!F375-'минимумы и максимумы'!D$2)/('минимумы и максимумы'!D$4-'минимумы и максимумы'!D$2)*100)</f>
        <v>0</v>
      </c>
      <c r="G375" s="1">
        <f>IF('исходные данные'!G375&gt;'минимумы и максимумы'!E$4,100,('исходные данные'!G375-'минимумы и максимумы'!E$2)/('минимумы и максимумы'!E$4-'минимумы и максимумы'!E$2)*100)</f>
        <v>27.027027027027028</v>
      </c>
      <c r="H375" s="1">
        <f>IF('исходные данные'!H375&gt;'минимумы и максимумы'!F$4,100,('исходные данные'!H375-'минимумы и максимумы'!F$2)/('минимумы и максимумы'!F$4-'минимумы и максимумы'!F$2)*100)</f>
        <v>47.368421052631575</v>
      </c>
      <c r="I375" s="1">
        <f>IF('исходные данные'!I375&gt;'минимумы и максимумы'!G$4,100,('исходные данные'!I375-'минимумы и максимумы'!G$2)/('минимумы и максимумы'!G$4-'минимумы и максимумы'!G$2)*100)</f>
        <v>15.66265060240964</v>
      </c>
      <c r="J375" s="1">
        <f>IF('исходные данные'!J375&gt;'минимумы и максимумы'!H$4,100,('исходные данные'!J375-'минимумы и максимумы'!H$2)/('минимумы и максимумы'!H$4-'минимумы и максимумы'!H$2)*100)</f>
        <v>12.5</v>
      </c>
      <c r="K375" s="1">
        <f>IF('исходные данные'!K375&gt;'минимумы и максимумы'!I$4,100,('исходные данные'!K375-'минимумы и максимумы'!I$2)/('минимумы и максимумы'!I$4-'минимумы и максимумы'!I$2)*100)</f>
        <v>0</v>
      </c>
      <c r="L375" s="1">
        <f>IF('исходные данные'!L375&gt;'минимумы и максимумы'!J$4,100,('исходные данные'!L375-'минимумы и максимумы'!J$2)/('минимумы и максимумы'!J$4-'минимумы и максимумы'!J$2)*100)</f>
        <v>12.5</v>
      </c>
      <c r="M375" s="1">
        <f>IF('исходные данные'!M375&gt;'минимумы и максимумы'!K$4,100,('исходные данные'!M375-'минимумы и максимумы'!K$2)/('минимумы и максимумы'!K$4-'минимумы и максимумы'!K$2)*100)</f>
        <v>17.021276595744681</v>
      </c>
      <c r="N375" s="1">
        <f>IF('исходные данные'!N375&gt;'минимумы и максимумы'!L$4,100,('исходные данные'!N375-'минимумы и максимумы'!L$2)/('минимумы и максимумы'!L$4-'минимумы и максимумы'!L$2)*100)</f>
        <v>38.746656610879228</v>
      </c>
      <c r="O375" s="1">
        <f>IF('исходные данные'!O375&gt;'минимумы и максимумы'!M$4,100,('исходные данные'!O375-'минимумы и максимумы'!M$2)/('минимумы и максимумы'!M$4-'минимумы и максимумы'!M$2)*100)</f>
        <v>33.333333333333329</v>
      </c>
      <c r="P375" s="1">
        <f>IF('исходные данные'!P375&gt;'минимумы и максимумы'!N$4,100,('исходные данные'!P375-'минимумы и максимумы'!N$2)/('минимумы и максимумы'!N$4-'минимумы и максимумы'!N$2)*100)</f>
        <v>0</v>
      </c>
      <c r="Q375" s="1">
        <f>IF('исходные данные'!Q375&gt;'минимумы и максимумы'!O$4,100,('исходные данные'!Q375-'минимумы и максимумы'!O$2)/('минимумы и максимумы'!O$4-'минимумы и максимумы'!O$2)*100)</f>
        <v>100</v>
      </c>
      <c r="R375" s="1">
        <f>IF('исходные данные'!R375&gt;'минимумы и максимумы'!P$4,100,('исходные данные'!R375-'минимумы и максимумы'!P$2)/('минимумы и максимумы'!P$4-'минимумы и максимумы'!P$2)*100)</f>
        <v>100</v>
      </c>
      <c r="S375" s="1">
        <f>IF('исходные данные'!S375&gt;'минимумы и максимумы'!Q$4,100,('исходные данные'!S375-'минимумы и максимумы'!Q$2)/('минимумы и максимумы'!Q$4-'минимумы и максимумы'!Q$2)*100)</f>
        <v>11.111111111111111</v>
      </c>
      <c r="T375" s="1">
        <f>IF('исходные данные'!T375&gt;'минимумы и максимумы'!R$4,100,('исходные данные'!T375-'минимумы и максимумы'!R$2)/('минимумы и максимумы'!R$4-'минимумы и максимумы'!R$2)*100)</f>
        <v>11.536248561565017</v>
      </c>
      <c r="U375" s="1">
        <f>IF('исходные данные'!U375&gt;'минимумы и максимумы'!S$4,100,('исходные данные'!U375-'минимумы и максимумы'!S$2)/('минимумы и максимумы'!S$4-'минимумы и максимумы'!S$2)*100)</f>
        <v>33.333333333333329</v>
      </c>
    </row>
    <row r="376" spans="1:21" x14ac:dyDescent="0.45">
      <c r="A376" s="4">
        <v>492</v>
      </c>
      <c r="B376" s="4">
        <v>0</v>
      </c>
      <c r="C376" s="4">
        <v>0</v>
      </c>
      <c r="D376" s="1">
        <f>IF('исходные данные'!D376&gt;'минимумы и максимумы'!B$4,100,('исходные данные'!D376-'минимумы и максимумы'!B$2)/('минимумы и максимумы'!B$4-'минимумы и максимумы'!B$2)*100)</f>
        <v>0</v>
      </c>
      <c r="E376" s="1">
        <f>IF('исходные данные'!E376&gt;'минимумы и максимумы'!C$4,100,('исходные данные'!E376-'минимумы и максимумы'!C$2)/('минимумы и максимумы'!C$4-'минимумы и максимумы'!C$2)*100)</f>
        <v>6.25</v>
      </c>
      <c r="F376" s="1">
        <f>IF('исходные данные'!F376&gt;'минимумы и максимумы'!D$4,100,('исходные данные'!F376-'минимумы и максимумы'!D$2)/('минимумы и максимумы'!D$4-'минимумы и максимумы'!D$2)*100)</f>
        <v>0</v>
      </c>
      <c r="G376" s="1">
        <f>IF('исходные данные'!G376&gt;'минимумы и максимумы'!E$4,100,('исходные данные'!G376-'минимумы и максимумы'!E$2)/('минимумы и максимумы'!E$4-'минимумы и максимумы'!E$2)*100)</f>
        <v>13.513513513513514</v>
      </c>
      <c r="H376" s="1">
        <f>IF('исходные данные'!H376&gt;'минимумы и максимумы'!F$4,100,('исходные данные'!H376-'минимумы и максимумы'!F$2)/('минимумы и максимумы'!F$4-'минимумы и максимумы'!F$2)*100)</f>
        <v>10.526315789473683</v>
      </c>
      <c r="I376" s="1">
        <f>IF('исходные данные'!I376&gt;'минимумы и максимумы'!G$4,100,('исходные данные'!I376-'минимумы и максимумы'!G$2)/('минимумы и максимумы'!G$4-'минимумы и максимумы'!G$2)*100)</f>
        <v>3.6144578313253009</v>
      </c>
      <c r="J376" s="1">
        <f>IF('исходные данные'!J376&gt;'минимумы и максимумы'!H$4,100,('исходные данные'!J376-'минимумы и максимумы'!H$2)/('минимумы и максимумы'!H$4-'минимумы и максимумы'!H$2)*100)</f>
        <v>8.3333333333333321</v>
      </c>
      <c r="K376" s="1">
        <f>IF('исходные данные'!K376&gt;'минимумы и максимумы'!I$4,100,('исходные данные'!K376-'минимумы и максимумы'!I$2)/('минимумы и максимумы'!I$4-'минимумы и максимумы'!I$2)*100)</f>
        <v>3.5714285714285712</v>
      </c>
      <c r="L376" s="1">
        <f>IF('исходные данные'!L376&gt;'минимумы и максимумы'!J$4,100,('исходные данные'!L376-'минимумы и максимумы'!J$2)/('минимумы и максимумы'!J$4-'минимумы и максимумы'!J$2)*100)</f>
        <v>0</v>
      </c>
      <c r="M376" s="1">
        <f>IF('исходные данные'!M376&gt;'минимумы и максимумы'!K$4,100,('исходные данные'!M376-'минимумы и максимумы'!K$2)/('минимумы и максимумы'!K$4-'минимумы и максимумы'!K$2)*100)</f>
        <v>6.3829787234042552</v>
      </c>
      <c r="N376" s="1">
        <f>IF('исходные данные'!N376&gt;'минимумы и максимумы'!L$4,100,('исходные данные'!N376-'минимумы и максимумы'!L$2)/('минимумы и максимумы'!L$4-'минимумы и максимумы'!L$2)*100)</f>
        <v>17.382196782130023</v>
      </c>
      <c r="O376" s="1">
        <f>IF('исходные данные'!O376&gt;'минимумы и максимумы'!M$4,100,('исходные данные'!O376-'минимумы и максимумы'!M$2)/('минимумы и максимумы'!M$4-'минимумы и максимумы'!M$2)*100)</f>
        <v>100</v>
      </c>
      <c r="P376" s="1">
        <f>IF('исходные данные'!P376&gt;'минимумы и максимумы'!N$4,100,('исходные данные'!P376-'минимумы и максимумы'!N$2)/('минимумы и максимумы'!N$4-'минимумы и максимумы'!N$2)*100)</f>
        <v>0</v>
      </c>
      <c r="Q376" s="1">
        <f>IF('исходные данные'!Q376&gt;'минимумы и максимумы'!O$4,100,('исходные данные'!Q376-'минимумы и максимумы'!O$2)/('минимумы и максимумы'!O$4-'минимумы и максимумы'!O$2)*100)</f>
        <v>100</v>
      </c>
      <c r="R376" s="1">
        <f>IF('исходные данные'!R376&gt;'минимумы и максимумы'!P$4,100,('исходные данные'!R376-'минимумы и максимумы'!P$2)/('минимумы и максимумы'!P$4-'минимумы и максимумы'!P$2)*100)</f>
        <v>75</v>
      </c>
      <c r="S376" s="1">
        <f>IF('исходные данные'!S376&gt;'минимумы и максимумы'!Q$4,100,('исходные данные'!S376-'минимумы и максимумы'!Q$2)/('минимумы и максимумы'!Q$4-'минимумы и максимумы'!Q$2)*100)</f>
        <v>33.333333333333329</v>
      </c>
      <c r="T376" s="1">
        <f>IF('исходные данные'!T376&gt;'минимумы и максимумы'!R$4,100,('исходные данные'!T376-'минимумы и максимумы'!R$2)/('минимумы и максимумы'!R$4-'минимумы и максимумы'!R$2)*100)</f>
        <v>16.657077100115075</v>
      </c>
      <c r="U376" s="1">
        <f>IF('исходные данные'!U376&gt;'минимумы и максимумы'!S$4,100,('исходные данные'!U376-'минимумы и максимумы'!S$2)/('минимумы и максимумы'!S$4-'минимумы и максимумы'!S$2)*100)</f>
        <v>33.333333333333329</v>
      </c>
    </row>
    <row r="377" spans="1:21" x14ac:dyDescent="0.45">
      <c r="A377" s="4">
        <v>493</v>
      </c>
      <c r="B377" s="4">
        <v>0</v>
      </c>
      <c r="C377" s="4">
        <v>0</v>
      </c>
      <c r="D377" s="1">
        <f>IF('исходные данные'!D377&gt;'минимумы и максимумы'!B$4,100,('исходные данные'!D377-'минимумы и максимумы'!B$2)/('минимумы и максимумы'!B$4-'минимумы и максимумы'!B$2)*100)</f>
        <v>0</v>
      </c>
      <c r="E377" s="1">
        <f>IF('исходные данные'!E377&gt;'минимумы и максимумы'!C$4,100,('исходные данные'!E377-'минимумы и максимумы'!C$2)/('минимумы и максимумы'!C$4-'минимумы и максимумы'!C$2)*100)</f>
        <v>0</v>
      </c>
      <c r="F377" s="1">
        <f>IF('исходные данные'!F377&gt;'минимумы и максимумы'!D$4,100,('исходные данные'!F377-'минимумы и максимумы'!D$2)/('минимумы и максимумы'!D$4-'минимумы и максимумы'!D$2)*100)</f>
        <v>0</v>
      </c>
      <c r="G377" s="1">
        <f>IF('исходные данные'!G377&gt;'минимумы и максимумы'!E$4,100,('исходные данные'!G377-'минимумы и максимумы'!E$2)/('минимумы и максимумы'!E$4-'минимумы и максимумы'!E$2)*100)</f>
        <v>0</v>
      </c>
      <c r="H377" s="1">
        <f>IF('исходные данные'!H377&gt;'минимумы и максимумы'!F$4,100,('исходные данные'!H377-'минимумы и максимумы'!F$2)/('минимумы и максимумы'!F$4-'минимумы и максимумы'!F$2)*100)</f>
        <v>0</v>
      </c>
      <c r="I377" s="1">
        <f>IF('исходные данные'!I377&gt;'минимумы и максимумы'!G$4,100,('исходные данные'!I377-'минимумы и максимумы'!G$2)/('минимумы и максимумы'!G$4-'минимумы и максимумы'!G$2)*100)</f>
        <v>1.2048192771084338</v>
      </c>
      <c r="J377" s="1">
        <f>IF('исходные данные'!J377&gt;'минимумы и максимумы'!H$4,100,('исходные данные'!J377-'минимумы и максимумы'!H$2)/('минимумы и максимумы'!H$4-'минимумы и максимумы'!H$2)*100)</f>
        <v>0</v>
      </c>
      <c r="K377" s="1">
        <f>IF('исходные данные'!K377&gt;'минимумы и максимумы'!I$4,100,('исходные данные'!K377-'минимумы и максимумы'!I$2)/('минимумы и максимумы'!I$4-'минимумы и максимумы'!I$2)*100)</f>
        <v>0</v>
      </c>
      <c r="L377" s="1">
        <f>IF('исходные данные'!L377&gt;'минимумы и максимумы'!J$4,100,('исходные данные'!L377-'минимумы и максимумы'!J$2)/('минимумы и максимумы'!J$4-'минимумы и максимумы'!J$2)*100)</f>
        <v>0</v>
      </c>
      <c r="M377" s="1">
        <f>IF('исходные данные'!M377&gt;'минимумы и максимумы'!K$4,100,('исходные данные'!M377-'минимумы и максимумы'!K$2)/('минимумы и максимумы'!K$4-'минимумы и максимумы'!K$2)*100)</f>
        <v>4.2553191489361701</v>
      </c>
      <c r="N377" s="1">
        <f>IF('исходные данные'!N377&gt;'минимумы и максимумы'!L$4,100,('исходные данные'!N377-'минимумы и максимумы'!L$2)/('минимумы и максимумы'!L$4-'минимумы и максимумы'!L$2)*100)</f>
        <v>18.068319342615773</v>
      </c>
      <c r="O377" s="1">
        <f>IF('исходные данные'!O377&gt;'минимумы и максимумы'!M$4,100,('исходные данные'!O377-'минимумы и максимумы'!M$2)/('минимумы и максимумы'!M$4-'минимумы и максимумы'!M$2)*100)</f>
        <v>66.666666666666657</v>
      </c>
      <c r="P377" s="1">
        <f>IF('исходные данные'!P377&gt;'минимумы и максимумы'!N$4,100,('исходные данные'!P377-'минимумы и максимумы'!N$2)/('минимумы и максимумы'!N$4-'минимумы и максимумы'!N$2)*100)</f>
        <v>0</v>
      </c>
      <c r="Q377" s="1">
        <f>IF('исходные данные'!Q377&gt;'минимумы и максимумы'!O$4,100,('исходные данные'!Q377-'минимумы и максимумы'!O$2)/('минимумы и максимумы'!O$4-'минимумы и максимумы'!O$2)*100)</f>
        <v>0</v>
      </c>
      <c r="R377" s="1">
        <f>IF('исходные данные'!R377&gt;'минимумы и максимумы'!P$4,100,('исходные данные'!R377-'минимумы и максимумы'!P$2)/('минимумы и максимумы'!P$4-'минимумы и максимумы'!P$2)*100)</f>
        <v>75</v>
      </c>
      <c r="S377" s="1">
        <f>IF('исходные данные'!S377&gt;'минимумы и максимумы'!Q$4,100,('исходные данные'!S377-'минимумы и максимумы'!Q$2)/('минимумы и максимумы'!Q$4-'минимумы и максимумы'!Q$2)*100)</f>
        <v>22.222222222222221</v>
      </c>
      <c r="T377" s="1">
        <f>IF('исходные данные'!T377&gt;'минимумы и максимумы'!R$4,100,('исходные данные'!T377-'минимумы и максимумы'!R$2)/('минимумы и максимумы'!R$4-'минимумы и максимумы'!R$2)*100)</f>
        <v>30.264672036823935</v>
      </c>
      <c r="U377" s="1">
        <f>IF('исходные данные'!U377&gt;'минимумы и максимумы'!S$4,100,('исходные данные'!U377-'минимумы и максимумы'!S$2)/('минимумы и максимумы'!S$4-'минимумы и максимумы'!S$2)*100)</f>
        <v>0</v>
      </c>
    </row>
    <row r="378" spans="1:21" x14ac:dyDescent="0.45">
      <c r="A378" s="4">
        <v>494</v>
      </c>
      <c r="B378" s="4">
        <v>0</v>
      </c>
      <c r="C378" s="4">
        <v>0</v>
      </c>
      <c r="D378" s="1">
        <f>IF('исходные данные'!D378&gt;'минимумы и максимумы'!B$4,100,('исходные данные'!D378-'минимумы и максимумы'!B$2)/('минимумы и максимумы'!B$4-'минимумы и максимумы'!B$2)*100)</f>
        <v>0</v>
      </c>
      <c r="E378" s="1">
        <f>IF('исходные данные'!E378&gt;'минимумы и максимумы'!C$4,100,('исходные данные'!E378-'минимумы и максимумы'!C$2)/('минимумы и максимумы'!C$4-'минимумы и максимумы'!C$2)*100)</f>
        <v>0</v>
      </c>
      <c r="F378" s="1">
        <f>IF('исходные данные'!F378&gt;'минимумы и максимумы'!D$4,100,('исходные данные'!F378-'минимумы и максимумы'!D$2)/('минимумы и максимумы'!D$4-'минимумы и максимумы'!D$2)*100)</f>
        <v>0</v>
      </c>
      <c r="G378" s="1">
        <f>IF('исходные данные'!G378&gt;'минимумы и максимумы'!E$4,100,('исходные данные'!G378-'минимумы и максимумы'!E$2)/('минимумы и максимумы'!E$4-'минимумы и максимумы'!E$2)*100)</f>
        <v>0</v>
      </c>
      <c r="H378" s="1">
        <f>IF('исходные данные'!H378&gt;'минимумы и максимумы'!F$4,100,('исходные данные'!H378-'минимумы и максимумы'!F$2)/('минимумы и максимумы'!F$4-'минимумы и максимумы'!F$2)*100)</f>
        <v>0</v>
      </c>
      <c r="I378" s="1">
        <f>IF('исходные данные'!I378&gt;'минимумы и максимумы'!G$4,100,('исходные данные'!I378-'минимумы и максимумы'!G$2)/('минимумы и максимумы'!G$4-'минимумы и максимумы'!G$2)*100)</f>
        <v>1.2048192771084338</v>
      </c>
      <c r="J378" s="1">
        <f>IF('исходные данные'!J378&gt;'минимумы и максимумы'!H$4,100,('исходные данные'!J378-'минимумы и максимумы'!H$2)/('минимумы и максимумы'!H$4-'минимумы и максимумы'!H$2)*100)</f>
        <v>0</v>
      </c>
      <c r="K378" s="1">
        <f>IF('исходные данные'!K378&gt;'минимумы и максимумы'!I$4,100,('исходные данные'!K378-'минимумы и максимумы'!I$2)/('минимумы и максимумы'!I$4-'минимумы и максимумы'!I$2)*100)</f>
        <v>0</v>
      </c>
      <c r="L378" s="1">
        <f>IF('исходные данные'!L378&gt;'минимумы и максимумы'!J$4,100,('исходные данные'!L378-'минимумы и максимумы'!J$2)/('минимумы и максимумы'!J$4-'минимумы и максимумы'!J$2)*100)</f>
        <v>0</v>
      </c>
      <c r="M378" s="1">
        <f>IF('исходные данные'!M378&gt;'минимумы и максимумы'!K$4,100,('исходные данные'!M378-'минимумы и максимумы'!K$2)/('минимумы и максимумы'!K$4-'минимумы и максимумы'!K$2)*100)</f>
        <v>4.2553191489361701</v>
      </c>
      <c r="N378" s="1">
        <f>IF('исходные данные'!N378&gt;'минимумы и максимумы'!L$4,100,('исходные данные'!N378-'минимумы и максимумы'!L$2)/('минимумы и максимумы'!L$4-'минимумы и максимумы'!L$2)*100)</f>
        <v>18.068319342615773</v>
      </c>
      <c r="O378" s="1">
        <f>IF('исходные данные'!O378&gt;'минимумы и максимумы'!M$4,100,('исходные данные'!O378-'минимумы и максимумы'!M$2)/('минимумы и максимумы'!M$4-'минимумы и максимумы'!M$2)*100)</f>
        <v>66.666666666666657</v>
      </c>
      <c r="P378" s="1">
        <f>IF('исходные данные'!P378&gt;'минимумы и максимумы'!N$4,100,('исходные данные'!P378-'минимумы и максимумы'!N$2)/('минимумы и максимумы'!N$4-'минимумы и максимумы'!N$2)*100)</f>
        <v>0</v>
      </c>
      <c r="Q378" s="1">
        <f>IF('исходные данные'!Q378&gt;'минимумы и максимумы'!O$4,100,('исходные данные'!Q378-'минимумы и максимумы'!O$2)/('минимумы и максимумы'!O$4-'минимумы и максимумы'!O$2)*100)</f>
        <v>100</v>
      </c>
      <c r="R378" s="1">
        <f>IF('исходные данные'!R378&gt;'минимумы и максимумы'!P$4,100,('исходные данные'!R378-'минимумы и максимумы'!P$2)/('минимумы и максимумы'!P$4-'минимумы и максимумы'!P$2)*100)</f>
        <v>75</v>
      </c>
      <c r="S378" s="1">
        <f>IF('исходные данные'!S378&gt;'минимумы и максимумы'!Q$4,100,('исходные данные'!S378-'минимумы и максимумы'!Q$2)/('минимумы и максимумы'!Q$4-'минимумы и максимумы'!Q$2)*100)</f>
        <v>22.222222222222221</v>
      </c>
      <c r="T378" s="1">
        <f>IF('исходные данные'!T378&gt;'минимумы и максимумы'!R$4,100,('исходные данные'!T378-'минимумы и максимумы'!R$2)/('минимумы и максимумы'!R$4-'минимумы и максимумы'!R$2)*100)</f>
        <v>51.294591484464902</v>
      </c>
      <c r="U378" s="1">
        <f>IF('исходные данные'!U378&gt;'минимумы и максимумы'!S$4,100,('исходные данные'!U378-'минимумы и максимумы'!S$2)/('минимумы и максимумы'!S$4-'минимумы и максимумы'!S$2)*100)</f>
        <v>0</v>
      </c>
    </row>
    <row r="379" spans="1:21" x14ac:dyDescent="0.45">
      <c r="A379" s="4">
        <v>495</v>
      </c>
      <c r="B379" s="4">
        <v>1</v>
      </c>
      <c r="C379" s="4">
        <v>0</v>
      </c>
      <c r="D379" s="1">
        <f>IF('исходные данные'!D379&gt;'минимумы и максимумы'!B$4,100,('исходные данные'!D379-'минимумы и максимумы'!B$2)/('минимумы и максимумы'!B$4-'минимумы и максимумы'!B$2)*100)</f>
        <v>12.5</v>
      </c>
      <c r="E379" s="1">
        <f>IF('исходные данные'!E379&gt;'минимумы и максимумы'!C$4,100,('исходные данные'!E379-'минимумы и максимумы'!C$2)/('минимумы и максимумы'!C$4-'минимумы и максимумы'!C$2)*100)</f>
        <v>12.5</v>
      </c>
      <c r="F379" s="1">
        <f>IF('исходные данные'!F379&gt;'минимумы и максимумы'!D$4,100,('исходные данные'!F379-'минимумы и максимумы'!D$2)/('минимумы и максимумы'!D$4-'минимумы и максимумы'!D$2)*100)</f>
        <v>25</v>
      </c>
      <c r="G379" s="1">
        <f>IF('исходные данные'!G379&gt;'минимумы и максимумы'!E$4,100,('исходные данные'!G379-'минимумы и максимумы'!E$2)/('минимумы и максимумы'!E$4-'минимумы и максимумы'!E$2)*100)</f>
        <v>2.7027027027027026</v>
      </c>
      <c r="H379" s="1">
        <f>IF('исходные данные'!H379&gt;'минимумы и максимумы'!F$4,100,('исходные данные'!H379-'минимумы и максимумы'!F$2)/('минимумы и максимумы'!F$4-'минимумы и максимумы'!F$2)*100)</f>
        <v>2.6315789473684208</v>
      </c>
      <c r="I379" s="1">
        <f>IF('исходные данные'!I379&gt;'минимумы и максимумы'!G$4,100,('исходные данные'!I379-'минимумы и максимумы'!G$2)/('минимумы и максимумы'!G$4-'минимумы и максимумы'!G$2)*100)</f>
        <v>0</v>
      </c>
      <c r="J379" s="1">
        <f>IF('исходные данные'!J379&gt;'минимумы и максимумы'!H$4,100,('исходные данные'!J379-'минимумы и максимумы'!H$2)/('минимумы и максимумы'!H$4-'минимумы и максимумы'!H$2)*100)</f>
        <v>0</v>
      </c>
      <c r="K379" s="1">
        <f>IF('исходные данные'!K379&gt;'минимумы и максимумы'!I$4,100,('исходные данные'!K379-'минимумы и максимумы'!I$2)/('минимумы и максимумы'!I$4-'минимумы и максимумы'!I$2)*100)</f>
        <v>0</v>
      </c>
      <c r="L379" s="1">
        <f>IF('исходные данные'!L379&gt;'минимумы и максимумы'!J$4,100,('исходные данные'!L379-'минимумы и максимумы'!J$2)/('минимумы и максимумы'!J$4-'минимумы и максимумы'!J$2)*100)</f>
        <v>0</v>
      </c>
      <c r="M379" s="1">
        <f>IF('исходные данные'!M379&gt;'минимумы и максимумы'!K$4,100,('исходные данные'!M379-'минимумы и максимумы'!K$2)/('минимумы и максимумы'!K$4-'минимумы и максимумы'!K$2)*100)</f>
        <v>10.638297872340425</v>
      </c>
      <c r="N379" s="1">
        <f>IF('исходные данные'!N379&gt;'минимумы и максимумы'!L$4,100,('исходные данные'!N379-'минимумы и максимумы'!L$2)/('минимумы и максимумы'!L$4-'минимумы и максимумы'!L$2)*100)</f>
        <v>23.318203300798988</v>
      </c>
      <c r="O379" s="1">
        <f>IF('исходные данные'!O379&gt;'минимумы и максимумы'!M$4,100,('исходные данные'!O379-'минимумы и максимумы'!M$2)/('минимумы и максимумы'!M$4-'минимумы и максимумы'!M$2)*100)</f>
        <v>100</v>
      </c>
      <c r="P379" s="1">
        <f>IF('исходные данные'!P379&gt;'минимумы и максимумы'!N$4,100,('исходные данные'!P379-'минимумы и максимумы'!N$2)/('минимумы и максимумы'!N$4-'минимумы и максимумы'!N$2)*100)</f>
        <v>0</v>
      </c>
      <c r="Q379" s="1">
        <f>IF('исходные данные'!Q379&gt;'минимумы и максимумы'!O$4,100,('исходные данные'!Q379-'минимумы и максимумы'!O$2)/('минимумы и максимумы'!O$4-'минимумы и максимумы'!O$2)*100)</f>
        <v>100</v>
      </c>
      <c r="R379" s="1">
        <f>IF('исходные данные'!R379&gt;'минимумы и максимумы'!P$4,100,('исходные данные'!R379-'минимумы и максимумы'!P$2)/('минимумы и максимумы'!P$4-'минимумы и максимумы'!P$2)*100)</f>
        <v>75</v>
      </c>
      <c r="S379" s="1">
        <f>IF('исходные данные'!S379&gt;'минимумы и максимумы'!Q$4,100,('исходные данные'!S379-'минимумы и максимумы'!Q$2)/('минимумы и максимумы'!Q$4-'минимумы и максимумы'!Q$2)*100)</f>
        <v>33.333333333333329</v>
      </c>
      <c r="T379" s="1">
        <f>IF('исходные данные'!T379&gt;'минимумы и максимумы'!R$4,100,('исходные данные'!T379-'минимумы и максимумы'!R$2)/('минимумы и максимумы'!R$4-'минимумы и максимумы'!R$2)*100)</f>
        <v>16.081703107019564</v>
      </c>
      <c r="U379" s="1">
        <f>IF('исходные данные'!U379&gt;'минимумы и максимумы'!S$4,100,('исходные данные'!U379-'минимумы и максимумы'!S$2)/('минимумы и максимумы'!S$4-'минимумы и максимумы'!S$2)*100)</f>
        <v>66.666666666666657</v>
      </c>
    </row>
    <row r="380" spans="1:21" x14ac:dyDescent="0.45">
      <c r="A380" s="4">
        <v>496</v>
      </c>
      <c r="B380" s="4">
        <v>1</v>
      </c>
      <c r="C380" s="4">
        <v>0</v>
      </c>
      <c r="D380" s="1">
        <f>IF('исходные данные'!D380&gt;'минимумы и максимумы'!B$4,100,('исходные данные'!D380-'минимумы и максимумы'!B$2)/('минимумы и максимумы'!B$4-'минимумы и максимумы'!B$2)*100)</f>
        <v>12.5</v>
      </c>
      <c r="E380" s="1">
        <f>IF('исходные данные'!E380&gt;'минимумы и максимумы'!C$4,100,('исходные данные'!E380-'минимумы и максимумы'!C$2)/('минимумы и максимумы'!C$4-'минимумы и максимумы'!C$2)*100)</f>
        <v>12.5</v>
      </c>
      <c r="F380" s="1">
        <f>IF('исходные данные'!F380&gt;'минимумы и максимумы'!D$4,100,('исходные данные'!F380-'минимумы и максимумы'!D$2)/('минимумы и максимумы'!D$4-'минимумы и максимумы'!D$2)*100)</f>
        <v>25</v>
      </c>
      <c r="G380" s="1">
        <f>IF('исходные данные'!G380&gt;'минимумы и максимумы'!E$4,100,('исходные данные'!G380-'минимумы и максимумы'!E$2)/('минимумы и максимумы'!E$4-'минимумы и максимумы'!E$2)*100)</f>
        <v>5.4054054054054053</v>
      </c>
      <c r="H380" s="1">
        <f>IF('исходные данные'!H380&gt;'минимумы и максимумы'!F$4,100,('исходные данные'!H380-'минимумы и максимумы'!F$2)/('минимумы и максимумы'!F$4-'минимумы и максимумы'!F$2)*100)</f>
        <v>5.2631578947368416</v>
      </c>
      <c r="I380" s="1">
        <f>IF('исходные данные'!I380&gt;'минимумы и максимумы'!G$4,100,('исходные данные'!I380-'минимумы и максимумы'!G$2)/('минимумы и максимумы'!G$4-'минимумы и максимумы'!G$2)*100)</f>
        <v>0</v>
      </c>
      <c r="J380" s="1">
        <f>IF('исходные данные'!J380&gt;'минимумы и максимумы'!H$4,100,('исходные данные'!J380-'минимумы и максимумы'!H$2)/('минимумы и максимумы'!H$4-'минимумы и максимумы'!H$2)*100)</f>
        <v>0</v>
      </c>
      <c r="K380" s="1">
        <f>IF('исходные данные'!K380&gt;'минимумы и максимумы'!I$4,100,('исходные данные'!K380-'минимумы и максимумы'!I$2)/('минимумы и максимумы'!I$4-'минимумы и максимумы'!I$2)*100)</f>
        <v>0</v>
      </c>
      <c r="L380" s="1">
        <f>IF('исходные данные'!L380&gt;'минимумы и максимумы'!J$4,100,('исходные данные'!L380-'минимумы и максимумы'!J$2)/('минимумы и максимумы'!J$4-'минимумы и максимумы'!J$2)*100)</f>
        <v>0</v>
      </c>
      <c r="M380" s="1">
        <f>IF('исходные данные'!M380&gt;'минимумы и максимумы'!K$4,100,('исходные данные'!M380-'минимумы и максимумы'!K$2)/('минимумы и максимумы'!K$4-'минимумы и максимумы'!K$2)*100)</f>
        <v>6.3829787234042552</v>
      </c>
      <c r="N380" s="1">
        <f>IF('исходные данные'!N380&gt;'минимумы и максимумы'!L$4,100,('исходные данные'!N380-'минимумы и максимумы'!L$2)/('минимумы и максимумы'!L$4-'минимумы и максимумы'!L$2)*100)</f>
        <v>23.577404904975712</v>
      </c>
      <c r="O380" s="1">
        <f>IF('исходные данные'!O380&gt;'минимумы и максимумы'!M$4,100,('исходные данные'!O380-'минимумы и максимумы'!M$2)/('минимумы и максимумы'!M$4-'минимумы и максимумы'!M$2)*100)</f>
        <v>100</v>
      </c>
      <c r="P380" s="1">
        <f>IF('исходные данные'!P380&gt;'минимумы и максимумы'!N$4,100,('исходные данные'!P380-'минимумы и максимумы'!N$2)/('минимумы и максимумы'!N$4-'минимумы и максимумы'!N$2)*100)</f>
        <v>0</v>
      </c>
      <c r="Q380" s="1">
        <f>IF('исходные данные'!Q380&gt;'минимумы и максимумы'!O$4,100,('исходные данные'!Q380-'минимумы и максимумы'!O$2)/('минимумы и максимумы'!O$4-'минимумы и максимумы'!O$2)*100)</f>
        <v>100</v>
      </c>
      <c r="R380" s="1">
        <f>IF('исходные данные'!R380&gt;'минимумы и максимумы'!P$4,100,('исходные данные'!R380-'минимумы и максимумы'!P$2)/('минимумы и максимумы'!P$4-'минимумы и максимумы'!P$2)*100)</f>
        <v>25</v>
      </c>
      <c r="S380" s="1">
        <f>IF('исходные данные'!S380&gt;'минимумы и максимумы'!Q$4,100,('исходные данные'!S380-'минимумы и максимумы'!Q$2)/('минимумы и максимумы'!Q$4-'минимумы и максимумы'!Q$2)*100)</f>
        <v>55.555555555555557</v>
      </c>
      <c r="T380" s="1">
        <f>IF('исходные данные'!T380&gt;'минимумы и максимумы'!R$4,100,('исходные данные'!T380-'минимумы и максимумы'!R$2)/('минимумы и максимумы'!R$4-'минимумы и максимумы'!R$2)*100)</f>
        <v>23.130034522439587</v>
      </c>
      <c r="U380" s="1">
        <f>IF('исходные данные'!U380&gt;'минимумы и максимумы'!S$4,100,('исходные данные'!U380-'минимумы и максимумы'!S$2)/('минимумы и максимумы'!S$4-'минимумы и максимумы'!S$2)*100)</f>
        <v>0</v>
      </c>
    </row>
    <row r="381" spans="1:21" x14ac:dyDescent="0.45">
      <c r="A381" s="4">
        <v>497</v>
      </c>
      <c r="B381" s="4">
        <v>0</v>
      </c>
      <c r="C381" s="4">
        <v>0</v>
      </c>
      <c r="D381" s="1">
        <f>IF('исходные данные'!D381&gt;'минимумы и максимумы'!B$4,100,('исходные данные'!D381-'минимумы и максимумы'!B$2)/('минимумы и максимумы'!B$4-'минимумы и максимумы'!B$2)*100)</f>
        <v>0</v>
      </c>
      <c r="E381" s="1">
        <f>IF('исходные данные'!E381&gt;'минимумы и максимумы'!C$4,100,('исходные данные'!E381-'минимумы и максимумы'!C$2)/('минимумы и максимумы'!C$4-'минимумы и максимумы'!C$2)*100)</f>
        <v>0</v>
      </c>
      <c r="F381" s="1">
        <f>IF('исходные данные'!F381&gt;'минимумы и максимумы'!D$4,100,('исходные данные'!F381-'минимумы и максимумы'!D$2)/('минимумы и максимумы'!D$4-'минимумы и максимумы'!D$2)*100)</f>
        <v>0</v>
      </c>
      <c r="G381" s="1">
        <f>IF('исходные данные'!G381&gt;'минимумы и максимумы'!E$4,100,('исходные данные'!G381-'минимумы и максимумы'!E$2)/('минимумы и максимумы'!E$4-'минимумы и максимумы'!E$2)*100)</f>
        <v>8.1081081081081088</v>
      </c>
      <c r="H381" s="1">
        <f>IF('исходные данные'!H381&gt;'минимумы и максимумы'!F$4,100,('исходные данные'!H381-'минимумы и максимумы'!F$2)/('минимумы и максимумы'!F$4-'минимумы и максимумы'!F$2)*100)</f>
        <v>0</v>
      </c>
      <c r="I381" s="1">
        <f>IF('исходные данные'!I381&gt;'минимумы и максимумы'!G$4,100,('исходные данные'!I381-'минимумы и максимумы'!G$2)/('минимумы и максимумы'!G$4-'минимумы и максимумы'!G$2)*100)</f>
        <v>4.8192771084337354</v>
      </c>
      <c r="J381" s="1">
        <f>IF('исходные данные'!J381&gt;'минимумы и максимумы'!H$4,100,('исходные данные'!J381-'минимумы и максимумы'!H$2)/('минимумы и максимумы'!H$4-'минимумы и максимумы'!H$2)*100)</f>
        <v>0</v>
      </c>
      <c r="K381" s="1">
        <f>IF('исходные данные'!K381&gt;'минимумы и максимумы'!I$4,100,('исходные данные'!K381-'минимумы и максимумы'!I$2)/('минимумы и максимумы'!I$4-'минимумы и максимумы'!I$2)*100)</f>
        <v>14.285714285714285</v>
      </c>
      <c r="L381" s="1">
        <f>IF('исходные данные'!L381&gt;'минимумы и максимумы'!J$4,100,('исходные данные'!L381-'минимумы и максимумы'!J$2)/('минимумы и максимумы'!J$4-'минимумы и максимумы'!J$2)*100)</f>
        <v>0</v>
      </c>
      <c r="M381" s="1">
        <f>IF('исходные данные'!M381&gt;'минимумы и максимумы'!K$4,100,('исходные данные'!M381-'минимумы и максимумы'!K$2)/('минимумы и максимумы'!K$4-'минимумы и максимумы'!K$2)*100)</f>
        <v>23.404255319148938</v>
      </c>
      <c r="N381" s="1">
        <f>IF('исходные данные'!N381&gt;'минимумы и максимумы'!L$4,100,('исходные данные'!N381-'минимумы и максимумы'!L$2)/('минимумы и максимумы'!L$4-'минимумы и максимумы'!L$2)*100)</f>
        <v>18.766375067532341</v>
      </c>
      <c r="O381" s="1">
        <f>IF('исходные данные'!O381&gt;'минимумы и максимумы'!M$4,100,('исходные данные'!O381-'минимумы и максимумы'!M$2)/('минимумы и максимумы'!M$4-'минимумы и максимумы'!M$2)*100)</f>
        <v>100</v>
      </c>
      <c r="P381" s="1">
        <f>IF('исходные данные'!P381&gt;'минимумы и максимумы'!N$4,100,('исходные данные'!P381-'минимумы и максимумы'!N$2)/('минимумы и максимумы'!N$4-'минимумы и максимумы'!N$2)*100)</f>
        <v>100</v>
      </c>
      <c r="Q381" s="1">
        <f>IF('исходные данные'!Q381&gt;'минимумы и максимумы'!O$4,100,('исходные данные'!Q381-'минимумы и максимумы'!O$2)/('минимумы и максимумы'!O$4-'минимумы и максимумы'!O$2)*100)</f>
        <v>100</v>
      </c>
      <c r="R381" s="1">
        <f>IF('исходные данные'!R381&gt;'минимумы и максимумы'!P$4,100,('исходные данные'!R381-'минимумы и максимумы'!P$2)/('минимумы и максимумы'!P$4-'минимумы и максимумы'!P$2)*100)</f>
        <v>75</v>
      </c>
      <c r="S381" s="1">
        <f>IF('исходные данные'!S381&gt;'минимумы и максимумы'!Q$4,100,('исходные данные'!S381-'минимумы и максимумы'!Q$2)/('минимумы и максимумы'!Q$4-'минимумы и максимумы'!Q$2)*100)</f>
        <v>22.222222222222221</v>
      </c>
      <c r="T381" s="1">
        <f>IF('исходные данные'!T381&gt;'минимумы и максимумы'!R$4,100,('исходные данные'!T381-'минимумы и максимумы'!R$2)/('минимумы и максимумы'!R$4-'минимумы и максимумы'!R$2)*100)</f>
        <v>13.60759493670886</v>
      </c>
      <c r="U381" s="1">
        <f>IF('исходные данные'!U381&gt;'минимумы и максимумы'!S$4,100,('исходные данные'!U381-'минимумы и максимумы'!S$2)/('минимумы и максимумы'!S$4-'минимумы и максимумы'!S$2)*100)</f>
        <v>33.333333333333329</v>
      </c>
    </row>
    <row r="382" spans="1:21" x14ac:dyDescent="0.45">
      <c r="A382" s="4">
        <v>498</v>
      </c>
      <c r="B382" s="4">
        <v>0</v>
      </c>
      <c r="C382" s="4">
        <v>0</v>
      </c>
      <c r="D382" s="1">
        <f>IF('исходные данные'!D382&gt;'минимумы и максимумы'!B$4,100,('исходные данные'!D382-'минимумы и максимумы'!B$2)/('минимумы и максимумы'!B$4-'минимумы и максимумы'!B$2)*100)</f>
        <v>0</v>
      </c>
      <c r="E382" s="1">
        <f>IF('исходные данные'!E382&gt;'минимумы и максимумы'!C$4,100,('исходные данные'!E382-'минимумы и максимумы'!C$2)/('минимумы и максимумы'!C$4-'минимумы и максимумы'!C$2)*100)</f>
        <v>6.25</v>
      </c>
      <c r="F382" s="1">
        <f>IF('исходные данные'!F382&gt;'минимумы и максимумы'!D$4,100,('исходные данные'!F382-'минимумы и максимумы'!D$2)/('минимумы и максимумы'!D$4-'минимумы и максимумы'!D$2)*100)</f>
        <v>0</v>
      </c>
      <c r="G382" s="1">
        <f>IF('исходные данные'!G382&gt;'минимумы и максимумы'!E$4,100,('исходные данные'!G382-'минимумы и максимумы'!E$2)/('минимумы и максимумы'!E$4-'минимумы и максимумы'!E$2)*100)</f>
        <v>5.4054054054054053</v>
      </c>
      <c r="H382" s="1">
        <f>IF('исходные данные'!H382&gt;'минимумы и максимумы'!F$4,100,('исходные данные'!H382-'минимумы и максимумы'!F$2)/('минимумы и максимумы'!F$4-'минимумы и максимумы'!F$2)*100)</f>
        <v>0</v>
      </c>
      <c r="I382" s="1">
        <f>IF('исходные данные'!I382&gt;'минимумы и максимумы'!G$4,100,('исходные данные'!I382-'минимумы и максимумы'!G$2)/('минимумы и максимумы'!G$4-'минимумы и максимумы'!G$2)*100)</f>
        <v>6.024096385542169</v>
      </c>
      <c r="J382" s="1">
        <f>IF('исходные данные'!J382&gt;'минимумы и максимумы'!H$4,100,('исходные данные'!J382-'минимумы и максимумы'!H$2)/('минимумы и максимумы'!H$4-'минимумы и максимумы'!H$2)*100)</f>
        <v>4.1666666666666661</v>
      </c>
      <c r="K382" s="1">
        <f>IF('исходные данные'!K382&gt;'минимумы и максимумы'!I$4,100,('исходные данные'!K382-'минимумы и максимумы'!I$2)/('минимумы и максимумы'!I$4-'минимумы и максимумы'!I$2)*100)</f>
        <v>14.285714285714285</v>
      </c>
      <c r="L382" s="1">
        <f>IF('исходные данные'!L382&gt;'минимумы и максимумы'!J$4,100,('исходные данные'!L382-'минимумы и максимумы'!J$2)/('минимумы и максимумы'!J$4-'минимумы и максимумы'!J$2)*100)</f>
        <v>0</v>
      </c>
      <c r="M382" s="1">
        <f>IF('исходные данные'!M382&gt;'минимумы и максимумы'!K$4,100,('исходные данные'!M382-'минимумы и максимумы'!K$2)/('минимумы и максимумы'!K$4-'минимумы и максимумы'!K$2)*100)</f>
        <v>21.276595744680851</v>
      </c>
      <c r="N382" s="1">
        <f>IF('исходные данные'!N382&gt;'минимумы и максимумы'!L$4,100,('исходные данные'!N382-'минимумы и максимумы'!L$2)/('минимумы и максимумы'!L$4-'минимумы и максимумы'!L$2)*100)</f>
        <v>18.033268492849597</v>
      </c>
      <c r="O382" s="1">
        <f>IF('исходные данные'!O382&gt;'минимумы и максимумы'!M$4,100,('исходные данные'!O382-'минимумы и максимумы'!M$2)/('минимумы и максимумы'!M$4-'минимумы и максимумы'!M$2)*100)</f>
        <v>100</v>
      </c>
      <c r="P382" s="1">
        <f>IF('исходные данные'!P382&gt;'минимумы и максимумы'!N$4,100,('исходные данные'!P382-'минимумы и максимумы'!N$2)/('минимумы и максимумы'!N$4-'минимумы и максимумы'!N$2)*100)</f>
        <v>100</v>
      </c>
      <c r="Q382" s="1">
        <f>IF('исходные данные'!Q382&gt;'минимумы и максимумы'!O$4,100,('исходные данные'!Q382-'минимумы и максимумы'!O$2)/('минимумы и максимумы'!O$4-'минимумы и максимумы'!O$2)*100)</f>
        <v>100</v>
      </c>
      <c r="R382" s="1">
        <f>IF('исходные данные'!R382&gt;'минимумы и максимумы'!P$4,100,('исходные данные'!R382-'минимумы и максимумы'!P$2)/('минимумы и максимумы'!P$4-'минимумы и максимумы'!P$2)*100)</f>
        <v>75</v>
      </c>
      <c r="S382" s="1">
        <f>IF('исходные данные'!S382&gt;'минимумы и максимумы'!Q$4,100,('исходные данные'!S382-'минимумы и максимумы'!Q$2)/('минимумы и максимумы'!Q$4-'минимумы и максимумы'!Q$2)*100)</f>
        <v>22.222222222222221</v>
      </c>
      <c r="T382" s="1">
        <f>IF('исходные данные'!T382&gt;'минимумы и максимумы'!R$4,100,('исходные данные'!T382-'минимумы и максимумы'!R$2)/('минимумы и максимумы'!R$4-'минимумы и максимумы'!R$2)*100)</f>
        <v>21.777905638665132</v>
      </c>
      <c r="U382" s="1">
        <f>IF('исходные данные'!U382&gt;'минимумы и максимумы'!S$4,100,('исходные данные'!U382-'минимумы и максимумы'!S$2)/('минимумы и максимумы'!S$4-'минимумы и максимумы'!S$2)*100)</f>
        <v>0</v>
      </c>
    </row>
    <row r="383" spans="1:21" x14ac:dyDescent="0.45">
      <c r="A383" s="4">
        <v>499</v>
      </c>
      <c r="B383" s="4">
        <v>0</v>
      </c>
      <c r="C383" s="4">
        <v>0</v>
      </c>
      <c r="D383" s="1">
        <f>IF('исходные данные'!D383&gt;'минимумы и максимумы'!B$4,100,('исходные данные'!D383-'минимумы и максимумы'!B$2)/('минимумы и максимумы'!B$4-'минимумы и максимумы'!B$2)*100)</f>
        <v>0</v>
      </c>
      <c r="E383" s="1">
        <f>IF('исходные данные'!E383&gt;'минимумы и максимумы'!C$4,100,('исходные данные'!E383-'минимумы и максимумы'!C$2)/('минимумы и максимумы'!C$4-'минимумы и максимумы'!C$2)*100)</f>
        <v>12.5</v>
      </c>
      <c r="F383" s="1">
        <f>IF('исходные данные'!F383&gt;'минимумы и максимумы'!D$4,100,('исходные данные'!F383-'минимумы и максимумы'!D$2)/('минимумы и максимумы'!D$4-'минимумы и максимумы'!D$2)*100)</f>
        <v>0</v>
      </c>
      <c r="G383" s="1">
        <f>IF('исходные данные'!G383&gt;'минимумы и максимумы'!E$4,100,('исходные данные'!G383-'минимумы и максимумы'!E$2)/('минимумы и максимумы'!E$4-'минимумы и максимумы'!E$2)*100)</f>
        <v>5.4054054054054053</v>
      </c>
      <c r="H383" s="1">
        <f>IF('исходные данные'!H383&gt;'минимумы и максимумы'!F$4,100,('исходные данные'!H383-'минимумы и максимумы'!F$2)/('минимумы и максимумы'!F$4-'минимумы и максимумы'!F$2)*100)</f>
        <v>0</v>
      </c>
      <c r="I383" s="1">
        <f>IF('исходные данные'!I383&gt;'минимумы и максимумы'!G$4,100,('исходные данные'!I383-'минимумы и максимумы'!G$2)/('минимумы и максимумы'!G$4-'минимумы и максимумы'!G$2)*100)</f>
        <v>6.024096385542169</v>
      </c>
      <c r="J383" s="1">
        <f>IF('исходные данные'!J383&gt;'минимумы и максимумы'!H$4,100,('исходные данные'!J383-'минимумы и максимумы'!H$2)/('минимумы и максимумы'!H$4-'минимумы и максимумы'!H$2)*100)</f>
        <v>4.1666666666666661</v>
      </c>
      <c r="K383" s="1">
        <f>IF('исходные данные'!K383&gt;'минимумы и максимумы'!I$4,100,('исходные данные'!K383-'минимумы и максимумы'!I$2)/('минимумы и максимумы'!I$4-'минимумы и максимумы'!I$2)*100)</f>
        <v>10.714285714285714</v>
      </c>
      <c r="L383" s="1">
        <f>IF('исходные данные'!L383&gt;'минимумы и максимумы'!J$4,100,('исходные данные'!L383-'минимумы и максимумы'!J$2)/('минимумы и максимумы'!J$4-'минимумы и максимумы'!J$2)*100)</f>
        <v>0</v>
      </c>
      <c r="M383" s="1">
        <f>IF('исходные данные'!M383&gt;'минимумы и максимумы'!K$4,100,('исходные данные'!M383-'минимумы и максимумы'!K$2)/('минимумы и максимумы'!K$4-'минимумы и максимумы'!K$2)*100)</f>
        <v>17.021276595744681</v>
      </c>
      <c r="N383" s="1">
        <f>IF('исходные данные'!N383&gt;'минимумы и максимумы'!L$4,100,('исходные данные'!N383-'минимумы и максимумы'!L$2)/('минимумы и максимумы'!L$4-'минимумы и максимумы'!L$2)*100)</f>
        <v>18.357860046085381</v>
      </c>
      <c r="O383" s="1">
        <f>IF('исходные данные'!O383&gt;'минимумы и максимумы'!M$4,100,('исходные данные'!O383-'минимумы и максимумы'!M$2)/('минимумы и максимумы'!M$4-'минимумы и максимумы'!M$2)*100)</f>
        <v>0</v>
      </c>
      <c r="P383" s="1">
        <f>IF('исходные данные'!P383&gt;'минимумы и максимумы'!N$4,100,('исходные данные'!P383-'минимумы и максимумы'!N$2)/('минимумы и максимумы'!N$4-'минимумы и максимумы'!N$2)*100)</f>
        <v>0</v>
      </c>
      <c r="Q383" s="1">
        <f>IF('исходные данные'!Q383&gt;'минимумы и максимумы'!O$4,100,('исходные данные'!Q383-'минимумы и максимумы'!O$2)/('минимумы и максимумы'!O$4-'минимумы и максимумы'!O$2)*100)</f>
        <v>100</v>
      </c>
      <c r="R383" s="1">
        <f>IF('исходные данные'!R383&gt;'минимумы и максимумы'!P$4,100,('исходные данные'!R383-'минимумы и максимумы'!P$2)/('минимумы и максимумы'!P$4-'минимумы и максимумы'!P$2)*100)</f>
        <v>50</v>
      </c>
      <c r="S383" s="1">
        <f>IF('исходные данные'!S383&gt;'минимумы и максимумы'!Q$4,100,('исходные данные'!S383-'минимумы и максимумы'!Q$2)/('минимумы и максимумы'!Q$4-'минимумы и максимумы'!Q$2)*100)</f>
        <v>22.222222222222221</v>
      </c>
      <c r="T383" s="1">
        <f>IF('исходные данные'!T383&gt;'минимумы и максимумы'!R$4,100,('исходные данные'!T383-'минимумы и максимумы'!R$2)/('минимумы и максимумы'!R$4-'минимумы и максимумы'!R$2)*100)</f>
        <v>56.041426927502883</v>
      </c>
      <c r="U383" s="1">
        <f>IF('исходные данные'!U383&gt;'минимумы и максимумы'!S$4,100,('исходные данные'!U383-'минимумы и максимумы'!S$2)/('минимумы и максимумы'!S$4-'минимумы и максимумы'!S$2)*100)</f>
        <v>33.333333333333329</v>
      </c>
    </row>
    <row r="384" spans="1:21" x14ac:dyDescent="0.45">
      <c r="A384" s="4">
        <v>500</v>
      </c>
      <c r="B384" s="4">
        <v>0</v>
      </c>
      <c r="C384" s="4">
        <v>0</v>
      </c>
      <c r="D384" s="1">
        <f>IF('исходные данные'!D384&gt;'минимумы и максимумы'!B$4,100,('исходные данные'!D384-'минимумы и максимумы'!B$2)/('минимумы и максимумы'!B$4-'минимумы и максимумы'!B$2)*100)</f>
        <v>0</v>
      </c>
      <c r="E384" s="1">
        <f>IF('исходные данные'!E384&gt;'минимумы и максимумы'!C$4,100,('исходные данные'!E384-'минимумы и максимумы'!C$2)/('минимумы и максимумы'!C$4-'минимумы и максимумы'!C$2)*100)</f>
        <v>0</v>
      </c>
      <c r="F384" s="1">
        <f>IF('исходные данные'!F384&gt;'минимумы и максимумы'!D$4,100,('исходные данные'!F384-'минимумы и максимумы'!D$2)/('минимумы и максимумы'!D$4-'минимумы и максимумы'!D$2)*100)</f>
        <v>0</v>
      </c>
      <c r="G384" s="1">
        <f>IF('исходные данные'!G384&gt;'минимумы и максимумы'!E$4,100,('исходные данные'!G384-'минимумы и максимумы'!E$2)/('минимумы и максимумы'!E$4-'минимумы и максимумы'!E$2)*100)</f>
        <v>2.7027027027027026</v>
      </c>
      <c r="H384" s="1">
        <f>IF('исходные данные'!H384&gt;'минимумы и максимумы'!F$4,100,('исходные данные'!H384-'минимумы и максимумы'!F$2)/('минимумы и максимумы'!F$4-'минимумы и максимумы'!F$2)*100)</f>
        <v>0</v>
      </c>
      <c r="I384" s="1">
        <f>IF('исходные данные'!I384&gt;'минимумы и максимумы'!G$4,100,('исходные данные'!I384-'минимумы и максимумы'!G$2)/('минимумы и максимумы'!G$4-'минимумы и максимумы'!G$2)*100)</f>
        <v>0</v>
      </c>
      <c r="J384" s="1">
        <f>IF('исходные данные'!J384&gt;'минимумы и максимумы'!H$4,100,('исходные данные'!J384-'минимумы и максимумы'!H$2)/('минимумы и максимумы'!H$4-'минимумы и максимумы'!H$2)*100)</f>
        <v>0</v>
      </c>
      <c r="K384" s="1">
        <f>IF('исходные данные'!K384&gt;'минимумы и максимумы'!I$4,100,('исходные данные'!K384-'минимумы и максимумы'!I$2)/('минимумы и максимумы'!I$4-'минимумы и максимумы'!I$2)*100)</f>
        <v>7.1428571428571423</v>
      </c>
      <c r="L384" s="1">
        <f>IF('исходные данные'!L384&gt;'минимумы и максимумы'!J$4,100,('исходные данные'!L384-'минимумы и максимумы'!J$2)/('минимумы и максимумы'!J$4-'минимумы и максимумы'!J$2)*100)</f>
        <v>0</v>
      </c>
      <c r="M384" s="1">
        <f>IF('исходные данные'!M384&gt;'минимумы и максимумы'!K$4,100,('исходные данные'!M384-'минимумы и максимумы'!K$2)/('минимумы и максимумы'!K$4-'минимумы и максимумы'!K$2)*100)</f>
        <v>29.787234042553191</v>
      </c>
      <c r="N384" s="1">
        <f>IF('исходные данные'!N384&gt;'минимумы и максимумы'!L$4,100,('исходные данные'!N384-'минимумы и максимумы'!L$2)/('минимумы и максимумы'!L$4-'минимумы и максимумы'!L$2)*100)</f>
        <v>20.835924710440658</v>
      </c>
      <c r="O384" s="1">
        <f>IF('исходные данные'!O384&gt;'минимумы и максимумы'!M$4,100,('исходные данные'!O384-'минимумы и максимумы'!M$2)/('минимумы и максимумы'!M$4-'минимумы и максимумы'!M$2)*100)</f>
        <v>66.666666666666657</v>
      </c>
      <c r="P384" s="1">
        <f>IF('исходные данные'!P384&gt;'минимумы и максимумы'!N$4,100,('исходные данные'!P384-'минимумы и максимумы'!N$2)/('минимумы и максимумы'!N$4-'минимумы и максимумы'!N$2)*100)</f>
        <v>0</v>
      </c>
      <c r="Q384" s="1">
        <f>IF('исходные данные'!Q384&gt;'минимумы и максимумы'!O$4,100,('исходные данные'!Q384-'минимумы и максимумы'!O$2)/('минимумы и максимумы'!O$4-'минимумы и максимумы'!O$2)*100)</f>
        <v>0</v>
      </c>
      <c r="R384" s="1">
        <f>IF('исходные данные'!R384&gt;'минимумы и максимумы'!P$4,100,('исходные данные'!R384-'минимумы и максимумы'!P$2)/('минимумы и максимумы'!P$4-'минимумы и максимумы'!P$2)*100)</f>
        <v>75</v>
      </c>
      <c r="S384" s="1">
        <f>IF('исходные данные'!S384&gt;'минимумы и максимумы'!Q$4,100,('исходные данные'!S384-'минимумы и максимумы'!Q$2)/('минимумы и максимумы'!Q$4-'минимумы и максимумы'!Q$2)*100)</f>
        <v>44.444444444444443</v>
      </c>
      <c r="T384" s="1">
        <f>IF('исходные данные'!T384&gt;'минимумы и максимумы'!R$4,100,('исходные данные'!T384-'минимумы и максимумы'!R$2)/('минимумы и максимумы'!R$4-'минимумы и максимумы'!R$2)*100)</f>
        <v>86.248561565017255</v>
      </c>
      <c r="U384" s="1">
        <f>IF('исходные данные'!U384&gt;'минимумы и максимумы'!S$4,100,('исходные данные'!U384-'минимумы и максимумы'!S$2)/('минимумы и максимумы'!S$4-'минимумы и максимумы'!S$2)*100)</f>
        <v>0</v>
      </c>
    </row>
    <row r="385" spans="1:21" x14ac:dyDescent="0.45">
      <c r="A385" s="4">
        <v>501</v>
      </c>
      <c r="B385" s="4">
        <v>0</v>
      </c>
      <c r="C385" s="4">
        <v>0</v>
      </c>
      <c r="D385" s="1">
        <f>IF('исходные данные'!D385&gt;'минимумы и максимумы'!B$4,100,('исходные данные'!D385-'минимумы и максимумы'!B$2)/('минимумы и максимумы'!B$4-'минимумы и максимумы'!B$2)*100)</f>
        <v>0</v>
      </c>
      <c r="E385" s="1">
        <f>IF('исходные данные'!E385&gt;'минимумы и максимумы'!C$4,100,('исходные данные'!E385-'минимумы и максимумы'!C$2)/('минимумы и максимумы'!C$4-'минимумы и максимумы'!C$2)*100)</f>
        <v>6.25</v>
      </c>
      <c r="F385" s="1">
        <f>IF('исходные данные'!F385&gt;'минимумы и максимумы'!D$4,100,('исходные данные'!F385-'минимумы и максимумы'!D$2)/('минимумы и максимумы'!D$4-'минимумы и максимумы'!D$2)*100)</f>
        <v>0</v>
      </c>
      <c r="G385" s="1">
        <f>IF('исходные данные'!G385&gt;'минимумы и максимумы'!E$4,100,('исходные данные'!G385-'минимумы и максимумы'!E$2)/('минимумы и максимумы'!E$4-'минимумы и максимумы'!E$2)*100)</f>
        <v>10.810810810810811</v>
      </c>
      <c r="H385" s="1">
        <f>IF('исходные данные'!H385&gt;'минимумы и максимумы'!F$4,100,('исходные данные'!H385-'минимумы и максимумы'!F$2)/('минимумы и максимумы'!F$4-'минимумы и максимумы'!F$2)*100)</f>
        <v>10.526315789473683</v>
      </c>
      <c r="I385" s="1">
        <f>IF('исходные данные'!I385&gt;'минимумы и максимумы'!G$4,100,('исходные данные'!I385-'минимумы и максимумы'!G$2)/('минимумы и максимумы'!G$4-'минимумы и максимумы'!G$2)*100)</f>
        <v>4.8192771084337354</v>
      </c>
      <c r="J385" s="1">
        <f>IF('исходные данные'!J385&gt;'минимумы и максимумы'!H$4,100,('исходные данные'!J385-'минимумы и максимумы'!H$2)/('минимумы и максимумы'!H$4-'минимумы и максимумы'!H$2)*100)</f>
        <v>0</v>
      </c>
      <c r="K385" s="1">
        <f>IF('исходные данные'!K385&gt;'минимумы и максимумы'!I$4,100,('исходные данные'!K385-'минимумы и максимумы'!I$2)/('минимумы и максимумы'!I$4-'минимумы и максимумы'!I$2)*100)</f>
        <v>21.428571428571427</v>
      </c>
      <c r="L385" s="1">
        <f>IF('исходные данные'!L385&gt;'минимумы и максимумы'!J$4,100,('исходные данные'!L385-'минимумы и максимумы'!J$2)/('минимумы и максимумы'!J$4-'минимумы и максимумы'!J$2)*100)</f>
        <v>0</v>
      </c>
      <c r="M385" s="1">
        <f>IF('исходные данные'!M385&gt;'минимумы и максимумы'!K$4,100,('исходные данные'!M385-'минимумы и максимумы'!K$2)/('минимумы и максимумы'!K$4-'минимумы и максимумы'!K$2)*100)</f>
        <v>42.553191489361701</v>
      </c>
      <c r="N385" s="1">
        <f>IF('исходные данные'!N385&gt;'минимумы и максимумы'!L$4,100,('исходные данные'!N385-'минимумы и максимумы'!L$2)/('минимумы и максимумы'!L$4-'минимумы и максимумы'!L$2)*100)</f>
        <v>20.193636513790889</v>
      </c>
      <c r="O385" s="1">
        <f>IF('исходные данные'!O385&gt;'минимумы и максимумы'!M$4,100,('исходные данные'!O385-'минимумы и максимумы'!M$2)/('минимумы и максимумы'!M$4-'минимумы и максимумы'!M$2)*100)</f>
        <v>66.666666666666657</v>
      </c>
      <c r="P385" s="1">
        <f>IF('исходные данные'!P385&gt;'минимумы и максимумы'!N$4,100,('исходные данные'!P385-'минимумы и максимумы'!N$2)/('минимумы и максимумы'!N$4-'минимумы и максимумы'!N$2)*100)</f>
        <v>0</v>
      </c>
      <c r="Q385" s="1">
        <f>IF('исходные данные'!Q385&gt;'минимумы и максимумы'!O$4,100,('исходные данные'!Q385-'минимумы и максимумы'!O$2)/('минимумы и максимумы'!O$4-'минимумы и максимумы'!O$2)*100)</f>
        <v>0</v>
      </c>
      <c r="R385" s="1">
        <f>IF('исходные данные'!R385&gt;'минимумы и максимумы'!P$4,100,('исходные данные'!R385-'минимумы и максимумы'!P$2)/('минимумы и максимумы'!P$4-'минимумы и максимумы'!P$2)*100)</f>
        <v>75</v>
      </c>
      <c r="S385" s="1">
        <f>IF('исходные данные'!S385&gt;'минимумы и максимумы'!Q$4,100,('исходные данные'!S385-'минимумы и максимумы'!Q$2)/('минимумы и максимумы'!Q$4-'минимумы и максимумы'!Q$2)*100)</f>
        <v>11.111111111111111</v>
      </c>
      <c r="T385" s="1">
        <f>IF('исходные данные'!T385&gt;'минимумы и максимумы'!R$4,100,('исходные данные'!T385-'минимумы и максимумы'!R$2)/('минимумы и максимумы'!R$4-'минимумы и максимумы'!R$2)*100)</f>
        <v>1.2082853855005753</v>
      </c>
      <c r="U385" s="1">
        <f>IF('исходные данные'!U385&gt;'минимумы и максимумы'!S$4,100,('исходные данные'!U385-'минимумы и максимумы'!S$2)/('минимумы и максимумы'!S$4-'минимумы и максимумы'!S$2)*100)</f>
        <v>0</v>
      </c>
    </row>
    <row r="386" spans="1:21" x14ac:dyDescent="0.45">
      <c r="A386" s="4">
        <v>502</v>
      </c>
      <c r="B386" s="4">
        <v>0</v>
      </c>
      <c r="C386" s="4">
        <v>0</v>
      </c>
      <c r="D386" s="1">
        <f>IF('исходные данные'!D386&gt;'минимумы и максимумы'!B$4,100,('исходные данные'!D386-'минимумы и максимумы'!B$2)/('минимумы и максимумы'!B$4-'минимумы и максимумы'!B$2)*100)</f>
        <v>12.5</v>
      </c>
      <c r="E386" s="1">
        <f>IF('исходные данные'!E386&gt;'минимумы и максимумы'!C$4,100,('исходные данные'!E386-'минимумы и максимумы'!C$2)/('минимумы и максимумы'!C$4-'минимумы и максимумы'!C$2)*100)</f>
        <v>25</v>
      </c>
      <c r="F386" s="1">
        <f>IF('исходные данные'!F386&gt;'минимумы и максимумы'!D$4,100,('исходные данные'!F386-'минимумы и максимумы'!D$2)/('минимумы и максимумы'!D$4-'минимумы и максимумы'!D$2)*100)</f>
        <v>0</v>
      </c>
      <c r="G386" s="1">
        <f>IF('исходные данные'!G386&gt;'минимумы и максимумы'!E$4,100,('исходные данные'!G386-'минимумы и максимумы'!E$2)/('минимумы и максимумы'!E$4-'минимумы и максимумы'!E$2)*100)</f>
        <v>24.324324324324326</v>
      </c>
      <c r="H386" s="1">
        <f>IF('исходные данные'!H386&gt;'минимумы и максимумы'!F$4,100,('исходные данные'!H386-'минимумы и максимумы'!F$2)/('минимумы и максимумы'!F$4-'минимумы и максимумы'!F$2)*100)</f>
        <v>36.84210526315789</v>
      </c>
      <c r="I386" s="1">
        <f>IF('исходные данные'!I386&gt;'минимумы и максимумы'!G$4,100,('исходные данные'!I386-'минимумы и максимумы'!G$2)/('минимумы и максимумы'!G$4-'минимумы и максимумы'!G$2)*100)</f>
        <v>9.6385542168674707</v>
      </c>
      <c r="J386" s="1">
        <f>IF('исходные данные'!J386&gt;'минимумы и максимумы'!H$4,100,('исходные данные'!J386-'минимумы и максимумы'!H$2)/('минимумы и максимумы'!H$4-'минимумы и максимумы'!H$2)*100)</f>
        <v>16.666666666666664</v>
      </c>
      <c r="K386" s="1">
        <f>IF('исходные данные'!K386&gt;'минимумы и максимумы'!I$4,100,('исходные данные'!K386-'минимумы и максимумы'!I$2)/('минимумы и максимумы'!I$4-'минимумы и максимумы'!I$2)*100)</f>
        <v>10.714285714285714</v>
      </c>
      <c r="L386" s="1">
        <f>IF('исходные данные'!L386&gt;'минимумы и максимумы'!J$4,100,('исходные данные'!L386-'минимумы и максимумы'!J$2)/('минимумы и максимумы'!J$4-'минимумы и максимумы'!J$2)*100)</f>
        <v>12.5</v>
      </c>
      <c r="M386" s="1">
        <f>IF('исходные данные'!M386&gt;'минимумы и максимумы'!K$4,100,('исходные данные'!M386-'минимумы и максимумы'!K$2)/('минимумы и максимумы'!K$4-'минимумы и максимумы'!K$2)*100)</f>
        <v>27.659574468085108</v>
      </c>
      <c r="N386" s="1">
        <f>IF('исходные данные'!N386&gt;'минимумы и максимумы'!L$4,100,('исходные данные'!N386-'минимумы и максимумы'!L$2)/('минимумы и максимумы'!L$4-'минимумы и максимумы'!L$2)*100)</f>
        <v>19.749103781938267</v>
      </c>
      <c r="O386" s="1">
        <f>IF('исходные данные'!O386&gt;'минимумы и максимумы'!M$4,100,('исходные данные'!O386-'минимумы и максимумы'!M$2)/('минимумы и максимумы'!M$4-'минимумы и максимумы'!M$2)*100)</f>
        <v>66.666666666666657</v>
      </c>
      <c r="P386" s="1">
        <f>IF('исходные данные'!P386&gt;'минимумы и максимумы'!N$4,100,('исходные данные'!P386-'минимумы и максимумы'!N$2)/('минимумы и максимумы'!N$4-'минимумы и максимумы'!N$2)*100)</f>
        <v>0</v>
      </c>
      <c r="Q386" s="1">
        <f>IF('исходные данные'!Q386&gt;'минимумы и максимумы'!O$4,100,('исходные данные'!Q386-'минимумы и максимумы'!O$2)/('минимумы и максимумы'!O$4-'минимумы и максимумы'!O$2)*100)</f>
        <v>100</v>
      </c>
      <c r="R386" s="1">
        <f>IF('исходные данные'!R386&gt;'минимумы и максимумы'!P$4,100,('исходные данные'!R386-'минимумы и максимумы'!P$2)/('минимумы и максимумы'!P$4-'минимумы и максимумы'!P$2)*100)</f>
        <v>100</v>
      </c>
      <c r="S386" s="1">
        <f>IF('исходные данные'!S386&gt;'минимумы и максимумы'!Q$4,100,('исходные данные'!S386-'минимумы и максимумы'!Q$2)/('минимумы и максимумы'!Q$4-'минимумы и максимумы'!Q$2)*100)</f>
        <v>22.222222222222221</v>
      </c>
      <c r="T386" s="1">
        <f>IF('исходные данные'!T386&gt;'минимумы и максимумы'!R$4,100,('исходные данные'!T386-'минимумы и максимумы'!R$2)/('минимумы и максимумы'!R$4-'минимумы и максимумы'!R$2)*100)</f>
        <v>16.714614499424627</v>
      </c>
      <c r="U386" s="1">
        <f>IF('исходные данные'!U386&gt;'минимумы и максимумы'!S$4,100,('исходные данные'!U386-'минимумы и максимумы'!S$2)/('минимумы и максимумы'!S$4-'минимумы и максимумы'!S$2)*100)</f>
        <v>66.666666666666657</v>
      </c>
    </row>
    <row r="387" spans="1:21" x14ac:dyDescent="0.45">
      <c r="A387" s="4">
        <v>503</v>
      </c>
      <c r="B387" s="4">
        <v>0</v>
      </c>
      <c r="C387" s="4">
        <v>0</v>
      </c>
      <c r="D387" s="1">
        <f>IF('исходные данные'!D387&gt;'минимумы и максимумы'!B$4,100,('исходные данные'!D387-'минимумы и максимумы'!B$2)/('минимумы и максимумы'!B$4-'минимумы и максимумы'!B$2)*100)</f>
        <v>12.5</v>
      </c>
      <c r="E387" s="1">
        <f>IF('исходные данные'!E387&gt;'минимумы и максимумы'!C$4,100,('исходные данные'!E387-'минимумы и максимумы'!C$2)/('минимумы и максимумы'!C$4-'минимумы и максимумы'!C$2)*100)</f>
        <v>25</v>
      </c>
      <c r="F387" s="1">
        <f>IF('исходные данные'!F387&gt;'минимумы и максимумы'!D$4,100,('исходные данные'!F387-'минимумы и максимумы'!D$2)/('минимумы и максимумы'!D$4-'минимумы и максимумы'!D$2)*100)</f>
        <v>25</v>
      </c>
      <c r="G387" s="1">
        <f>IF('исходные данные'!G387&gt;'минимумы и максимумы'!E$4,100,('исходные данные'!G387-'минимумы и максимумы'!E$2)/('минимумы и максимумы'!E$4-'минимумы и максимумы'!E$2)*100)</f>
        <v>27.027027027027028</v>
      </c>
      <c r="H387" s="1">
        <f>IF('исходные данные'!H387&gt;'минимумы и максимумы'!F$4,100,('исходные данные'!H387-'минимумы и максимумы'!F$2)/('минимумы и максимумы'!F$4-'минимумы и максимумы'!F$2)*100)</f>
        <v>34.210526315789473</v>
      </c>
      <c r="I387" s="1">
        <f>IF('исходные данные'!I387&gt;'минимумы и максимумы'!G$4,100,('исходные данные'!I387-'минимумы и максимумы'!G$2)/('минимумы и максимумы'!G$4-'минимумы и максимумы'!G$2)*100)</f>
        <v>9.6385542168674707</v>
      </c>
      <c r="J387" s="1">
        <f>IF('исходные данные'!J387&gt;'минимумы и максимумы'!H$4,100,('исходные данные'!J387-'минимумы и максимумы'!H$2)/('минимумы и максимумы'!H$4-'минимумы и максимумы'!H$2)*100)</f>
        <v>16.666666666666664</v>
      </c>
      <c r="K387" s="1">
        <f>IF('исходные данные'!K387&gt;'минимумы и максимумы'!I$4,100,('исходные данные'!K387-'минимумы и максимумы'!I$2)/('минимумы и максимумы'!I$4-'минимумы и максимумы'!I$2)*100)</f>
        <v>3.5714285714285712</v>
      </c>
      <c r="L387" s="1">
        <f>IF('исходные данные'!L387&gt;'минимумы и максимумы'!J$4,100,('исходные данные'!L387-'минимумы и максимумы'!J$2)/('минимумы и максимумы'!J$4-'минимумы и максимумы'!J$2)*100)</f>
        <v>12.5</v>
      </c>
      <c r="M387" s="1">
        <f>IF('исходные данные'!M387&gt;'минимумы и максимумы'!K$4,100,('исходные данные'!M387-'минимумы и максимумы'!K$2)/('минимумы и максимумы'!K$4-'минимумы и максимумы'!K$2)*100)</f>
        <v>29.787234042553191</v>
      </c>
      <c r="N387" s="1">
        <f>IF('исходные данные'!N387&gt;'минимумы и максимумы'!L$4,100,('исходные данные'!N387-'минимумы и максимумы'!L$2)/('минимумы и максимумы'!L$4-'минимумы и максимумы'!L$2)*100)</f>
        <v>18.892502849432091</v>
      </c>
      <c r="O387" s="1">
        <f>IF('исходные данные'!O387&gt;'минимумы и максимумы'!M$4,100,('исходные данные'!O387-'минимумы и максимумы'!M$2)/('минимумы и максимумы'!M$4-'минимумы и максимумы'!M$2)*100)</f>
        <v>100</v>
      </c>
      <c r="P387" s="1">
        <f>IF('исходные данные'!P387&gt;'минимумы и максимумы'!N$4,100,('исходные данные'!P387-'минимумы и максимумы'!N$2)/('минимумы и максимумы'!N$4-'минимумы и максимумы'!N$2)*100)</f>
        <v>0</v>
      </c>
      <c r="Q387" s="1">
        <f>IF('исходные данные'!Q387&gt;'минимумы и максимумы'!O$4,100,('исходные данные'!Q387-'минимумы и максимумы'!O$2)/('минимумы и максимумы'!O$4-'минимумы и максимумы'!O$2)*100)</f>
        <v>100</v>
      </c>
      <c r="R387" s="1">
        <f>IF('исходные данные'!R387&gt;'минимумы и максимумы'!P$4,100,('исходные данные'!R387-'минимумы и максимумы'!P$2)/('минимумы и максимумы'!P$4-'минимумы и максимумы'!P$2)*100)</f>
        <v>100</v>
      </c>
      <c r="S387" s="1">
        <f>IF('исходные данные'!S387&gt;'минимумы и максимумы'!Q$4,100,('исходные данные'!S387-'минимумы и максимумы'!Q$2)/('минимумы и максимумы'!Q$4-'минимумы и максимумы'!Q$2)*100)</f>
        <v>55.555555555555557</v>
      </c>
      <c r="T387" s="1">
        <f>IF('исходные данные'!T387&gt;'минимумы и максимумы'!R$4,100,('исходные данные'!T387-'минимумы и максимумы'!R$2)/('минимумы и максимумы'!R$4-'минимумы и максимумы'!R$2)*100)</f>
        <v>38.808975834292291</v>
      </c>
      <c r="U387" s="1">
        <f>IF('исходные данные'!U387&gt;'минимумы и максимумы'!S$4,100,('исходные данные'!U387-'минимумы и максимумы'!S$2)/('минимумы и максимумы'!S$4-'минимумы и максимумы'!S$2)*100)</f>
        <v>33.333333333333329</v>
      </c>
    </row>
    <row r="388" spans="1:21" x14ac:dyDescent="0.45">
      <c r="A388" s="4">
        <v>504</v>
      </c>
      <c r="B388" s="4">
        <v>0</v>
      </c>
      <c r="C388" s="4">
        <v>0</v>
      </c>
      <c r="D388" s="1">
        <f>IF('исходные данные'!D388&gt;'минимумы и максимумы'!B$4,100,('исходные данные'!D388-'минимумы и максимумы'!B$2)/('минимумы и максимумы'!B$4-'минимумы и максимумы'!B$2)*100)</f>
        <v>25</v>
      </c>
      <c r="E388" s="1">
        <f>IF('исходные данные'!E388&gt;'минимумы и максимумы'!C$4,100,('исходные данные'!E388-'минимумы и максимумы'!C$2)/('минимумы и максимумы'!C$4-'минимумы и максимумы'!C$2)*100)</f>
        <v>25</v>
      </c>
      <c r="F388" s="1">
        <f>IF('исходные данные'!F388&gt;'минимумы и максимумы'!D$4,100,('исходные данные'!F388-'минимумы и максимумы'!D$2)/('минимумы и максимумы'!D$4-'минимумы и максимумы'!D$2)*100)</f>
        <v>50</v>
      </c>
      <c r="G388" s="1">
        <f>IF('исходные данные'!G388&gt;'минимумы и максимумы'!E$4,100,('исходные данные'!G388-'минимумы и максимумы'!E$2)/('минимумы и максимумы'!E$4-'минимумы и максимумы'!E$2)*100)</f>
        <v>24.324324324324326</v>
      </c>
      <c r="H388" s="1">
        <f>IF('исходные данные'!H388&gt;'минимумы и максимумы'!F$4,100,('исходные данные'!H388-'минимумы и максимумы'!F$2)/('минимумы и максимумы'!F$4-'минимумы и максимумы'!F$2)*100)</f>
        <v>31.578947368421051</v>
      </c>
      <c r="I388" s="1">
        <f>IF('исходные данные'!I388&gt;'минимумы и максимумы'!G$4,100,('исходные данные'!I388-'минимумы и максимумы'!G$2)/('минимумы и максимумы'!G$4-'минимумы и максимумы'!G$2)*100)</f>
        <v>6.024096385542169</v>
      </c>
      <c r="J388" s="1">
        <f>IF('исходные данные'!J388&gt;'минимумы и максимумы'!H$4,100,('исходные данные'!J388-'минимумы и максимумы'!H$2)/('минимумы и максимумы'!H$4-'минимумы и максимумы'!H$2)*100)</f>
        <v>12.5</v>
      </c>
      <c r="K388" s="1">
        <f>IF('исходные данные'!K388&gt;'минимумы и максимумы'!I$4,100,('исходные данные'!K388-'минимумы и максимумы'!I$2)/('минимумы и максимумы'!I$4-'минимумы и максимумы'!I$2)*100)</f>
        <v>7.1428571428571423</v>
      </c>
      <c r="L388" s="1">
        <f>IF('исходные данные'!L388&gt;'минимумы и максимумы'!J$4,100,('исходные данные'!L388-'минимумы и максимумы'!J$2)/('минимумы и максимумы'!J$4-'минимумы и максимумы'!J$2)*100)</f>
        <v>0</v>
      </c>
      <c r="M388" s="1">
        <f>IF('исходные данные'!M388&gt;'минимумы и максимумы'!K$4,100,('исходные данные'!M388-'минимумы и максимумы'!K$2)/('минимумы и максимумы'!K$4-'минимумы и максимумы'!K$2)*100)</f>
        <v>17.021276595744681</v>
      </c>
      <c r="N388" s="1">
        <f>IF('исходные данные'!N388&gt;'минимумы и максимумы'!L$4,100,('исходные данные'!N388-'минимумы и максимумы'!L$2)/('минимумы и максимумы'!L$4-'минимумы и максимумы'!L$2)*100)</f>
        <v>19.012059811918505</v>
      </c>
      <c r="O388" s="1">
        <f>IF('исходные данные'!O388&gt;'минимумы и максимумы'!M$4,100,('исходные данные'!O388-'минимумы и максимумы'!M$2)/('минимумы и максимумы'!M$4-'минимумы и максимумы'!M$2)*100)</f>
        <v>33.333333333333329</v>
      </c>
      <c r="P388" s="1">
        <f>IF('исходные данные'!P388&gt;'минимумы и максимумы'!N$4,100,('исходные данные'!P388-'минимумы и максимумы'!N$2)/('минимумы и максимумы'!N$4-'минимумы и максимумы'!N$2)*100)</f>
        <v>100</v>
      </c>
      <c r="Q388" s="1">
        <f>IF('исходные данные'!Q388&gt;'минимумы и максимумы'!O$4,100,('исходные данные'!Q388-'минимумы и максимумы'!O$2)/('минимумы и максимумы'!O$4-'минимумы и максимумы'!O$2)*100)</f>
        <v>100</v>
      </c>
      <c r="R388" s="1">
        <f>IF('исходные данные'!R388&gt;'минимумы и максимумы'!P$4,100,('исходные данные'!R388-'минимумы и максимумы'!P$2)/('минимумы и максимумы'!P$4-'минимумы и максимумы'!P$2)*100)</f>
        <v>100</v>
      </c>
      <c r="S388" s="1">
        <f>IF('исходные данные'!S388&gt;'минимумы и максимумы'!Q$4,100,('исходные данные'!S388-'минимумы и максимумы'!Q$2)/('минимумы и максимумы'!Q$4-'минимумы и максимумы'!Q$2)*100)</f>
        <v>33.333333333333329</v>
      </c>
      <c r="T388" s="1">
        <f>IF('исходные данные'!T388&gt;'минимумы и максимумы'!R$4,100,('исходные данные'!T388-'минимумы и максимумы'!R$2)/('минимумы и максимумы'!R$4-'минимумы и максимумы'!R$2)*100)</f>
        <v>100</v>
      </c>
      <c r="U388" s="1">
        <f>IF('исходные данные'!U388&gt;'минимумы и максимумы'!S$4,100,('исходные данные'!U388-'минимумы и максимумы'!S$2)/('минимумы и максимумы'!S$4-'минимумы и максимумы'!S$2)*100)</f>
        <v>100</v>
      </c>
    </row>
    <row r="389" spans="1:21" x14ac:dyDescent="0.45">
      <c r="A389" s="4">
        <v>505</v>
      </c>
      <c r="B389" s="4">
        <v>0</v>
      </c>
      <c r="C389" s="4">
        <v>0</v>
      </c>
      <c r="D389" s="1">
        <f>IF('исходные данные'!D389&gt;'минимумы и максимумы'!B$4,100,('исходные данные'!D389-'минимумы и максимумы'!B$2)/('минимумы и максимумы'!B$4-'минимумы и максимумы'!B$2)*100)</f>
        <v>25</v>
      </c>
      <c r="E389" s="1">
        <f>IF('исходные данные'!E389&gt;'минимумы и максимумы'!C$4,100,('исходные данные'!E389-'минимумы и максимумы'!C$2)/('минимумы и максимумы'!C$4-'минимумы и максимумы'!C$2)*100)</f>
        <v>25</v>
      </c>
      <c r="F389" s="1">
        <f>IF('исходные данные'!F389&gt;'минимумы и максимумы'!D$4,100,('исходные данные'!F389-'минимумы и максимумы'!D$2)/('минимумы и максимумы'!D$4-'минимумы и максимумы'!D$2)*100)</f>
        <v>50</v>
      </c>
      <c r="G389" s="1">
        <f>IF('исходные данные'!G389&gt;'минимумы и максимумы'!E$4,100,('исходные данные'!G389-'минимумы и максимумы'!E$2)/('минимумы и максимумы'!E$4-'минимумы и максимумы'!E$2)*100)</f>
        <v>16.216216216216218</v>
      </c>
      <c r="H389" s="1">
        <f>IF('исходные данные'!H389&gt;'минимумы и максимумы'!F$4,100,('исходные данные'!H389-'минимумы и максимумы'!F$2)/('минимумы и максимумы'!F$4-'минимумы и максимумы'!F$2)*100)</f>
        <v>13.157894736842104</v>
      </c>
      <c r="I389" s="1">
        <f>IF('исходные данные'!I389&gt;'минимумы и максимумы'!G$4,100,('исходные данные'!I389-'минимумы и максимумы'!G$2)/('минимумы и максимумы'!G$4-'минимумы и максимумы'!G$2)*100)</f>
        <v>4.8192771084337354</v>
      </c>
      <c r="J389" s="1">
        <f>IF('исходные данные'!J389&gt;'минимумы и максимумы'!H$4,100,('исходные данные'!J389-'минимумы и максимумы'!H$2)/('минимумы и максимумы'!H$4-'минимумы и максимумы'!H$2)*100)</f>
        <v>12.5</v>
      </c>
      <c r="K389" s="1">
        <f>IF('исходные данные'!K389&gt;'минимумы и максимумы'!I$4,100,('исходные данные'!K389-'минимумы и максимумы'!I$2)/('минимумы и максимумы'!I$4-'минимумы и максимумы'!I$2)*100)</f>
        <v>7.1428571428571423</v>
      </c>
      <c r="L389" s="1">
        <f>IF('исходные данные'!L389&gt;'минимумы и максимумы'!J$4,100,('исходные данные'!L389-'минимумы и максимумы'!J$2)/('минимумы и максимумы'!J$4-'минимумы и максимумы'!J$2)*100)</f>
        <v>0</v>
      </c>
      <c r="M389" s="1">
        <f>IF('исходные данные'!M389&gt;'минимумы и максимумы'!K$4,100,('исходные данные'!M389-'минимумы и максимумы'!K$2)/('минимумы и максимумы'!K$4-'минимумы и максимумы'!K$2)*100)</f>
        <v>10.638297872340425</v>
      </c>
      <c r="N389" s="1">
        <f>IF('исходные данные'!N389&gt;'минимумы и максимумы'!L$4,100,('исходные данные'!N389-'минимумы и максимумы'!L$2)/('минимумы и максимумы'!L$4-'минимумы и максимумы'!L$2)*100)</f>
        <v>18.581860336430537</v>
      </c>
      <c r="O389" s="1">
        <f>IF('исходные данные'!O389&gt;'минимумы и максимумы'!M$4,100,('исходные данные'!O389-'минимумы и максимумы'!M$2)/('минимумы и максимумы'!M$4-'минимумы и максимумы'!M$2)*100)</f>
        <v>33.333333333333329</v>
      </c>
      <c r="P389" s="1">
        <f>IF('исходные данные'!P389&gt;'минимумы и максимумы'!N$4,100,('исходные данные'!P389-'минимумы и максимумы'!N$2)/('минимумы и максимумы'!N$4-'минимумы и максимумы'!N$2)*100)</f>
        <v>0</v>
      </c>
      <c r="Q389" s="1">
        <f>IF('исходные данные'!Q389&gt;'минимумы и максимумы'!O$4,100,('исходные данные'!Q389-'минимумы и максимумы'!O$2)/('минимумы и максимумы'!O$4-'минимумы и максимумы'!O$2)*100)</f>
        <v>100</v>
      </c>
      <c r="R389" s="1">
        <f>IF('исходные данные'!R389&gt;'минимумы и максимумы'!P$4,100,('исходные данные'!R389-'минимумы и максимумы'!P$2)/('минимумы и максимумы'!P$4-'минимумы и максимумы'!P$2)*100)</f>
        <v>100</v>
      </c>
      <c r="S389" s="1">
        <f>IF('исходные данные'!S389&gt;'минимумы и максимумы'!Q$4,100,('исходные данные'!S389-'минимумы и максимумы'!Q$2)/('минимумы и максимумы'!Q$4-'минимумы и максимумы'!Q$2)*100)</f>
        <v>55.555555555555557</v>
      </c>
      <c r="T389" s="1">
        <f>IF('исходные данные'!T389&gt;'минимумы и максимумы'!R$4,100,('исходные данные'!T389-'минимумы и максимумы'!R$2)/('минимумы и максимумы'!R$4-'минимумы и максимумы'!R$2)*100)</f>
        <v>57.738780207134631</v>
      </c>
      <c r="U389" s="1">
        <f>IF('исходные данные'!U389&gt;'минимумы и максимумы'!S$4,100,('исходные данные'!U389-'минимумы и максимумы'!S$2)/('минимумы и максимумы'!S$4-'минимумы и максимумы'!S$2)*100)</f>
        <v>66.666666666666657</v>
      </c>
    </row>
    <row r="390" spans="1:21" x14ac:dyDescent="0.45">
      <c r="A390" s="4">
        <v>506</v>
      </c>
      <c r="B390" s="4">
        <v>0</v>
      </c>
      <c r="C390" s="4">
        <v>0</v>
      </c>
      <c r="D390" s="1">
        <f>IF('исходные данные'!D390&gt;'минимумы и максимумы'!B$4,100,('исходные данные'!D390-'минимумы и максимумы'!B$2)/('минимумы и максимумы'!B$4-'минимумы и максимумы'!B$2)*100)</f>
        <v>25</v>
      </c>
      <c r="E390" s="1">
        <f>IF('исходные данные'!E390&gt;'минимумы и максимумы'!C$4,100,('исходные данные'!E390-'минимумы и максимумы'!C$2)/('минимумы и максимумы'!C$4-'минимумы и максимумы'!C$2)*100)</f>
        <v>37.5</v>
      </c>
      <c r="F390" s="1">
        <f>IF('исходные данные'!F390&gt;'минимумы и максимумы'!D$4,100,('исходные данные'!F390-'минимумы и максимумы'!D$2)/('минимумы и максимумы'!D$4-'минимумы и максимумы'!D$2)*100)</f>
        <v>25</v>
      </c>
      <c r="G390" s="1">
        <f>IF('исходные данные'!G390&gt;'минимумы и максимумы'!E$4,100,('исходные данные'!G390-'минимумы и максимумы'!E$2)/('минимумы и максимумы'!E$4-'минимумы и максимумы'!E$2)*100)</f>
        <v>24.324324324324326</v>
      </c>
      <c r="H390" s="1">
        <f>IF('исходные данные'!H390&gt;'минимумы и максимумы'!F$4,100,('исходные данные'!H390-'минимумы и максимумы'!F$2)/('минимумы и максимумы'!F$4-'минимумы и максимумы'!F$2)*100)</f>
        <v>15.789473684210526</v>
      </c>
      <c r="I390" s="1">
        <f>IF('исходные данные'!I390&gt;'минимумы и максимумы'!G$4,100,('исходные данные'!I390-'минимумы и максимумы'!G$2)/('минимумы и максимумы'!G$4-'минимумы и максимумы'!G$2)*100)</f>
        <v>6.024096385542169</v>
      </c>
      <c r="J390" s="1">
        <f>IF('исходные данные'!J390&gt;'минимумы и максимумы'!H$4,100,('исходные данные'!J390-'минимумы и максимумы'!H$2)/('минимумы и максимумы'!H$4-'минимумы и максимумы'!H$2)*100)</f>
        <v>12.5</v>
      </c>
      <c r="K390" s="1">
        <f>IF('исходные данные'!K390&gt;'минимумы и максимумы'!I$4,100,('исходные данные'!K390-'минимумы и максимумы'!I$2)/('минимумы и максимумы'!I$4-'минимумы и максимумы'!I$2)*100)</f>
        <v>7.1428571428571423</v>
      </c>
      <c r="L390" s="1">
        <f>IF('исходные данные'!L390&gt;'минимумы и максимумы'!J$4,100,('исходные данные'!L390-'минимумы и максимумы'!J$2)/('минимумы и максимумы'!J$4-'минимумы и максимумы'!J$2)*100)</f>
        <v>0</v>
      </c>
      <c r="M390" s="1">
        <f>IF('исходные данные'!M390&gt;'минимумы и максимумы'!K$4,100,('исходные данные'!M390-'минимумы и максимумы'!K$2)/('минимумы и максимумы'!K$4-'минимумы и максимумы'!K$2)*100)</f>
        <v>14.893617021276595</v>
      </c>
      <c r="N390" s="1">
        <f>IF('исходные данные'!N390&gt;'минимумы и максимумы'!L$4,100,('исходные данные'!N390-'минимумы и максимумы'!L$2)/('минимумы и максимумы'!L$4-'минимумы и максимумы'!L$2)*100)</f>
        <v>18.988811440134345</v>
      </c>
      <c r="O390" s="1">
        <f>IF('исходные данные'!O390&gt;'минимумы и максимумы'!M$4,100,('исходные данные'!O390-'минимумы и максимумы'!M$2)/('минимумы и максимумы'!M$4-'минимумы и максимумы'!M$2)*100)</f>
        <v>33.333333333333329</v>
      </c>
      <c r="P390" s="1">
        <f>IF('исходные данные'!P390&gt;'минимумы и максимумы'!N$4,100,('исходные данные'!P390-'минимумы и максимумы'!N$2)/('минимумы и максимумы'!N$4-'минимумы и максимумы'!N$2)*100)</f>
        <v>0</v>
      </c>
      <c r="Q390" s="1">
        <f>IF('исходные данные'!Q390&gt;'минимумы и максимумы'!O$4,100,('исходные данные'!Q390-'минимумы и максимумы'!O$2)/('минимумы и максимумы'!O$4-'минимумы и максимумы'!O$2)*100)</f>
        <v>100</v>
      </c>
      <c r="R390" s="1">
        <f>IF('исходные данные'!R390&gt;'минимумы и максимумы'!P$4,100,('исходные данные'!R390-'минимумы и максимумы'!P$2)/('минимумы и максимумы'!P$4-'минимумы и максимумы'!P$2)*100)</f>
        <v>100</v>
      </c>
      <c r="S390" s="1">
        <f>IF('исходные данные'!S390&gt;'минимумы и максимумы'!Q$4,100,('исходные данные'!S390-'минимумы и максимумы'!Q$2)/('минимумы и максимумы'!Q$4-'минимумы и максимумы'!Q$2)*100)</f>
        <v>55.555555555555557</v>
      </c>
      <c r="T390" s="1">
        <f>IF('исходные данные'!T390&gt;'минимумы и максимумы'!R$4,100,('исходные данные'!T390-'минимумы и максимумы'!R$2)/('минимумы и максимумы'!R$4-'минимумы и максимумы'!R$2)*100)</f>
        <v>46.720368239355579</v>
      </c>
      <c r="U390" s="1">
        <f>IF('исходные данные'!U390&gt;'минимумы и максимумы'!S$4,100,('исходные данные'!U390-'минимумы и максимумы'!S$2)/('минимумы и максимумы'!S$4-'минимумы и максимумы'!S$2)*100)</f>
        <v>66.666666666666657</v>
      </c>
    </row>
    <row r="391" spans="1:21" x14ac:dyDescent="0.45">
      <c r="A391" s="4">
        <v>507</v>
      </c>
      <c r="B391" s="4">
        <v>0</v>
      </c>
      <c r="C391" s="4">
        <v>0</v>
      </c>
      <c r="D391" s="1">
        <f>IF('исходные данные'!D391&gt;'минимумы и максимумы'!B$4,100,('исходные данные'!D391-'минимумы и максимумы'!B$2)/('минимумы и максимумы'!B$4-'минимумы и максимумы'!B$2)*100)</f>
        <v>37.5</v>
      </c>
      <c r="E391" s="1">
        <f>IF('исходные данные'!E391&gt;'минимумы и максимумы'!C$4,100,('исходные данные'!E391-'минимумы и максимумы'!C$2)/('минимумы и максимумы'!C$4-'минимумы и максимумы'!C$2)*100)</f>
        <v>18.75</v>
      </c>
      <c r="F391" s="1">
        <f>IF('исходные данные'!F391&gt;'минимумы и максимумы'!D$4,100,('исходные данные'!F391-'минимумы и максимумы'!D$2)/('минимумы и максимумы'!D$4-'минимумы и максимумы'!D$2)*100)</f>
        <v>50</v>
      </c>
      <c r="G391" s="1">
        <f>IF('исходные данные'!G391&gt;'минимумы и максимумы'!E$4,100,('исходные данные'!G391-'минимумы и максимумы'!E$2)/('минимумы и максимумы'!E$4-'минимумы и максимумы'!E$2)*100)</f>
        <v>37.837837837837839</v>
      </c>
      <c r="H391" s="1">
        <f>IF('исходные данные'!H391&gt;'минимумы и максимумы'!F$4,100,('исходные данные'!H391-'минимумы и максимумы'!F$2)/('минимумы и максимумы'!F$4-'минимумы и максимумы'!F$2)*100)</f>
        <v>36.84210526315789</v>
      </c>
      <c r="I391" s="1">
        <f>IF('исходные данные'!I391&gt;'минимумы и максимумы'!G$4,100,('исходные данные'!I391-'минимумы и максимумы'!G$2)/('минимумы и максимумы'!G$4-'минимумы и максимумы'!G$2)*100)</f>
        <v>38.554216867469883</v>
      </c>
      <c r="J391" s="1">
        <f>IF('исходные данные'!J391&gt;'минимумы и максимумы'!H$4,100,('исходные данные'!J391-'минимумы и максимумы'!H$2)/('минимумы и максимумы'!H$4-'минимумы и максимумы'!H$2)*100)</f>
        <v>12.5</v>
      </c>
      <c r="K391" s="1">
        <f>IF('исходные данные'!K391&gt;'минимумы и максимумы'!I$4,100,('исходные данные'!K391-'минимумы и максимумы'!I$2)/('минимумы и максимумы'!I$4-'минимумы и максимумы'!I$2)*100)</f>
        <v>7.1428571428571423</v>
      </c>
      <c r="L391" s="1">
        <f>IF('исходные данные'!L391&gt;'минимумы и максимумы'!J$4,100,('исходные данные'!L391-'минимумы и максимумы'!J$2)/('минимумы и максимумы'!J$4-'минимумы и максимумы'!J$2)*100)</f>
        <v>50</v>
      </c>
      <c r="M391" s="1">
        <f>IF('исходные данные'!M391&gt;'минимумы и максимумы'!K$4,100,('исходные данные'!M391-'минимумы и максимумы'!K$2)/('минимумы и максимумы'!K$4-'минимумы и максимумы'!K$2)*100)</f>
        <v>21.276595744680851</v>
      </c>
      <c r="N391" s="1">
        <f>IF('исходные данные'!N391&gt;'минимумы и максимумы'!L$4,100,('исходные данные'!N391-'минимумы и максимумы'!L$2)/('минимумы и максимумы'!L$4-'минимумы и максимумы'!L$2)*100)</f>
        <v>16.982858919698039</v>
      </c>
      <c r="O391" s="1">
        <f>IF('исходные данные'!O391&gt;'минимумы и максимумы'!M$4,100,('исходные данные'!O391-'минимумы и максимумы'!M$2)/('минимумы и максимумы'!M$4-'минимумы и максимумы'!M$2)*100)</f>
        <v>66.666666666666657</v>
      </c>
      <c r="P391" s="1">
        <f>IF('исходные данные'!P391&gt;'минимумы и максимумы'!N$4,100,('исходные данные'!P391-'минимумы и максимумы'!N$2)/('минимумы и максимумы'!N$4-'минимумы и максимумы'!N$2)*100)</f>
        <v>0</v>
      </c>
      <c r="Q391" s="1">
        <f>IF('исходные данные'!Q391&gt;'минимумы и максимумы'!O$4,100,('исходные данные'!Q391-'минимумы и максимумы'!O$2)/('минимумы и максимумы'!O$4-'минимумы и максимумы'!O$2)*100)</f>
        <v>100</v>
      </c>
      <c r="R391" s="1">
        <f>IF('исходные данные'!R391&gt;'минимумы и максимумы'!P$4,100,('исходные данные'!R391-'минимумы и максимумы'!P$2)/('минимумы и максимумы'!P$4-'минимумы и максимумы'!P$2)*100)</f>
        <v>100</v>
      </c>
      <c r="S391" s="1">
        <f>IF('исходные данные'!S391&gt;'минимумы и максимумы'!Q$4,100,('исходные данные'!S391-'минимумы и максимумы'!Q$2)/('минимумы и максимумы'!Q$4-'минимумы и максимумы'!Q$2)*100)</f>
        <v>22.222222222222221</v>
      </c>
      <c r="T391" s="1">
        <f>IF('исходные данные'!T391&gt;'минимумы и максимумы'!R$4,100,('исходные данные'!T391-'минимумы и максимумы'!R$2)/('минимумы и максимумы'!R$4-'минимумы и максимумы'!R$2)*100)</f>
        <v>11.65132336018412</v>
      </c>
      <c r="U391" s="1">
        <f>IF('исходные данные'!U391&gt;'минимумы и максимумы'!S$4,100,('исходные данные'!U391-'минимумы и максимумы'!S$2)/('минимумы и максимумы'!S$4-'минимумы и максимумы'!S$2)*100)</f>
        <v>0</v>
      </c>
    </row>
    <row r="392" spans="1:21" x14ac:dyDescent="0.45">
      <c r="A392" s="4">
        <v>508</v>
      </c>
      <c r="B392" s="4">
        <v>0</v>
      </c>
      <c r="C392" s="4">
        <v>0</v>
      </c>
      <c r="D392" s="1">
        <f>IF('исходные данные'!D392&gt;'минимумы и максимумы'!B$4,100,('исходные данные'!D392-'минимумы и максимумы'!B$2)/('минимумы и максимумы'!B$4-'минимумы и максимумы'!B$2)*100)</f>
        <v>12.5</v>
      </c>
      <c r="E392" s="1">
        <f>IF('исходные данные'!E392&gt;'минимумы и максимумы'!C$4,100,('исходные данные'!E392-'минимумы и максимумы'!C$2)/('минимумы и максимумы'!C$4-'минимумы и максимумы'!C$2)*100)</f>
        <v>12.5</v>
      </c>
      <c r="F392" s="1">
        <f>IF('исходные данные'!F392&gt;'минимумы и максимумы'!D$4,100,('исходные данные'!F392-'минимумы и максимумы'!D$2)/('минимумы и максимумы'!D$4-'минимумы и максимумы'!D$2)*100)</f>
        <v>0</v>
      </c>
      <c r="G392" s="1">
        <f>IF('исходные данные'!G392&gt;'минимумы и максимумы'!E$4,100,('исходные данные'!G392-'минимумы и максимумы'!E$2)/('минимумы и максимумы'!E$4-'минимумы и максимумы'!E$2)*100)</f>
        <v>2.7027027027027026</v>
      </c>
      <c r="H392" s="1">
        <f>IF('исходные данные'!H392&gt;'минимумы и максимумы'!F$4,100,('исходные данные'!H392-'минимумы и максимумы'!F$2)/('минимумы и максимумы'!F$4-'минимумы и максимумы'!F$2)*100)</f>
        <v>0</v>
      </c>
      <c r="I392" s="1">
        <f>IF('исходные данные'!I392&gt;'минимумы и максимумы'!G$4,100,('исходные данные'!I392-'минимумы и максимумы'!G$2)/('минимумы и максимумы'!G$4-'минимумы и максимумы'!G$2)*100)</f>
        <v>7.2289156626506017</v>
      </c>
      <c r="J392" s="1">
        <f>IF('исходные данные'!J392&gt;'минимумы и максимумы'!H$4,100,('исходные данные'!J392-'минимумы и максимумы'!H$2)/('минимумы и максимумы'!H$4-'минимумы и максимумы'!H$2)*100)</f>
        <v>4.1666666666666661</v>
      </c>
      <c r="K392" s="1">
        <f>IF('исходные данные'!K392&gt;'минимумы и максимумы'!I$4,100,('исходные данные'!K392-'минимумы и максимумы'!I$2)/('минимумы и максимумы'!I$4-'минимумы и максимумы'!I$2)*100)</f>
        <v>3.5714285714285712</v>
      </c>
      <c r="L392" s="1">
        <f>IF('исходные данные'!L392&gt;'минимумы и максимумы'!J$4,100,('исходные данные'!L392-'минимумы и максимумы'!J$2)/('минимумы и максимумы'!J$4-'минимумы и максимумы'!J$2)*100)</f>
        <v>0</v>
      </c>
      <c r="M392" s="1">
        <f>IF('исходные данные'!M392&gt;'минимумы и максимумы'!K$4,100,('исходные данные'!M392-'минимумы и максимумы'!K$2)/('минимумы и максимумы'!K$4-'минимумы и максимумы'!K$2)*100)</f>
        <v>2.1276595744680851</v>
      </c>
      <c r="N392" s="1">
        <f>IF('исходные данные'!N392&gt;'минимумы и максимумы'!L$4,100,('исходные данные'!N392-'минимумы и максимумы'!L$2)/('минимумы и максимумы'!L$4-'минимумы и максимумы'!L$2)*100)</f>
        <v>17.538070774774607</v>
      </c>
      <c r="O392" s="1">
        <f>IF('исходные данные'!O392&gt;'минимумы и максимумы'!M$4,100,('исходные данные'!O392-'минимумы и максимумы'!M$2)/('минимумы и максимумы'!M$4-'минимумы и максимумы'!M$2)*100)</f>
        <v>33.333333333333329</v>
      </c>
      <c r="P392" s="1">
        <f>IF('исходные данные'!P392&gt;'минимумы и максимумы'!N$4,100,('исходные данные'!P392-'минимумы и максимумы'!N$2)/('минимумы и максимумы'!N$4-'минимумы и максимумы'!N$2)*100)</f>
        <v>0</v>
      </c>
      <c r="Q392" s="1">
        <f>IF('исходные данные'!Q392&gt;'минимумы и максимумы'!O$4,100,('исходные данные'!Q392-'минимумы и максимумы'!O$2)/('минимумы и максимумы'!O$4-'минимумы и максимумы'!O$2)*100)</f>
        <v>100</v>
      </c>
      <c r="R392" s="1">
        <f>IF('исходные данные'!R392&gt;'минимумы и максимумы'!P$4,100,('исходные данные'!R392-'минимумы и максимумы'!P$2)/('минимумы и максимумы'!P$4-'минимумы и максимумы'!P$2)*100)</f>
        <v>50</v>
      </c>
      <c r="S392" s="1">
        <f>IF('исходные данные'!S392&gt;'минимумы и максимумы'!Q$4,100,('исходные данные'!S392-'минимумы и максимумы'!Q$2)/('минимумы и максимумы'!Q$4-'минимумы и максимумы'!Q$2)*100)</f>
        <v>22.222222222222221</v>
      </c>
      <c r="T392" s="1">
        <f>IF('исходные данные'!T392&gt;'минимумы и максимумы'!R$4,100,('исходные данные'!T392-'минимумы и максимумы'!R$2)/('минимумы и максимумы'!R$4-'минимумы и максимумы'!R$2)*100)</f>
        <v>68.843498273878026</v>
      </c>
      <c r="U392" s="1">
        <f>IF('исходные данные'!U392&gt;'минимумы и максимумы'!S$4,100,('исходные данные'!U392-'минимумы и максимумы'!S$2)/('минимумы и максимумы'!S$4-'минимумы и максимумы'!S$2)*100)</f>
        <v>66.666666666666657</v>
      </c>
    </row>
    <row r="393" spans="1:21" x14ac:dyDescent="0.45">
      <c r="A393" s="4">
        <v>509</v>
      </c>
      <c r="B393" s="4">
        <v>0</v>
      </c>
      <c r="C393" s="4">
        <v>0</v>
      </c>
      <c r="D393" s="1">
        <f>IF('исходные данные'!D393&gt;'минимумы и максимумы'!B$4,100,('исходные данные'!D393-'минимумы и максимумы'!B$2)/('минимумы и максимумы'!B$4-'минимумы и максимумы'!B$2)*100)</f>
        <v>12.5</v>
      </c>
      <c r="E393" s="1">
        <f>IF('исходные данные'!E393&gt;'минимумы и максимумы'!C$4,100,('исходные данные'!E393-'минимумы и максимумы'!C$2)/('минимумы и максимумы'!C$4-'минимумы и максимумы'!C$2)*100)</f>
        <v>12.5</v>
      </c>
      <c r="F393" s="1">
        <f>IF('исходные данные'!F393&gt;'минимумы и максимумы'!D$4,100,('исходные данные'!F393-'минимумы и максимумы'!D$2)/('минимумы и максимумы'!D$4-'минимумы и максимумы'!D$2)*100)</f>
        <v>0</v>
      </c>
      <c r="G393" s="1">
        <f>IF('исходные данные'!G393&gt;'минимумы и максимумы'!E$4,100,('исходные данные'!G393-'минимумы и максимумы'!E$2)/('минимумы и максимумы'!E$4-'минимумы и максимумы'!E$2)*100)</f>
        <v>10.810810810810811</v>
      </c>
      <c r="H393" s="1">
        <f>IF('исходные данные'!H393&gt;'минимумы и максимумы'!F$4,100,('исходные данные'!H393-'минимумы и максимумы'!F$2)/('минимумы и максимумы'!F$4-'минимумы и максимумы'!F$2)*100)</f>
        <v>10.526315789473683</v>
      </c>
      <c r="I393" s="1">
        <f>IF('исходные данные'!I393&gt;'минимумы и максимумы'!G$4,100,('исходные данные'!I393-'минимумы и максимумы'!G$2)/('минимумы и максимумы'!G$4-'минимумы и максимумы'!G$2)*100)</f>
        <v>7.2289156626506017</v>
      </c>
      <c r="J393" s="1">
        <f>IF('исходные данные'!J393&gt;'минимумы и максимумы'!H$4,100,('исходные данные'!J393-'минимумы и максимумы'!H$2)/('минимумы и максимумы'!H$4-'минимумы и максимумы'!H$2)*100)</f>
        <v>0</v>
      </c>
      <c r="K393" s="1">
        <f>IF('исходные данные'!K393&gt;'минимумы и максимумы'!I$4,100,('исходные данные'!K393-'минимумы и максимумы'!I$2)/('минимумы и максимумы'!I$4-'минимумы и максимумы'!I$2)*100)</f>
        <v>3.5714285714285712</v>
      </c>
      <c r="L393" s="1">
        <f>IF('исходные данные'!L393&gt;'минимумы и максимумы'!J$4,100,('исходные данные'!L393-'минимумы и максимумы'!J$2)/('минимумы и максимумы'!J$4-'минимумы и максимумы'!J$2)*100)</f>
        <v>0</v>
      </c>
      <c r="M393" s="1">
        <f>IF('исходные данные'!M393&gt;'минимумы и максимумы'!K$4,100,('исходные данные'!M393-'минимумы и максимумы'!K$2)/('минимумы и максимумы'!K$4-'минимумы и максимумы'!K$2)*100)</f>
        <v>4.2553191489361701</v>
      </c>
      <c r="N393" s="1">
        <f>IF('исходные данные'!N393&gt;'минимумы и максимумы'!L$4,100,('исходные данные'!N393-'минимумы и максимумы'!L$2)/('минимумы и максимумы'!L$4-'минимумы и максимумы'!L$2)*100)</f>
        <v>21.439238987040753</v>
      </c>
      <c r="O393" s="1">
        <f>IF('исходные данные'!O393&gt;'минимумы и максимумы'!M$4,100,('исходные данные'!O393-'минимумы и максимумы'!M$2)/('минимумы и максимумы'!M$4-'минимумы и максимумы'!M$2)*100)</f>
        <v>66.666666666666657</v>
      </c>
      <c r="P393" s="1">
        <f>IF('исходные данные'!P393&gt;'минимумы и максимумы'!N$4,100,('исходные данные'!P393-'минимумы и максимумы'!N$2)/('минимумы и максимумы'!N$4-'минимумы и максимумы'!N$2)*100)</f>
        <v>0</v>
      </c>
      <c r="Q393" s="1">
        <f>IF('исходные данные'!Q393&gt;'минимумы и максимумы'!O$4,100,('исходные данные'!Q393-'минимумы и максимумы'!O$2)/('минимумы и максимумы'!O$4-'минимумы и максимумы'!O$2)*100)</f>
        <v>0</v>
      </c>
      <c r="R393" s="1">
        <f>IF('исходные данные'!R393&gt;'минимумы и максимумы'!P$4,100,('исходные данные'!R393-'минимумы и максимумы'!P$2)/('минимумы и максимумы'!P$4-'минимумы и максимумы'!P$2)*100)</f>
        <v>75</v>
      </c>
      <c r="S393" s="1">
        <f>IF('исходные данные'!S393&gt;'минимумы и максимумы'!Q$4,100,('исходные данные'!S393-'минимумы и максимумы'!Q$2)/('минимумы и максимумы'!Q$4-'минимумы и максимумы'!Q$2)*100)</f>
        <v>77.777777777777786</v>
      </c>
      <c r="T393" s="1">
        <f>IF('исходные данные'!T393&gt;'минимумы и максимумы'!R$4,100,('исходные данные'!T393-'минимумы и максимумы'!R$2)/('минимумы и максимумы'!R$4-'минимумы и максимумы'!R$2)*100)</f>
        <v>100</v>
      </c>
      <c r="U393" s="1">
        <f>IF('исходные данные'!U393&gt;'минимумы и максимумы'!S$4,100,('исходные данные'!U393-'минимумы и максимумы'!S$2)/('минимумы и максимумы'!S$4-'минимумы и максимумы'!S$2)*100)</f>
        <v>33.333333333333329</v>
      </c>
    </row>
    <row r="394" spans="1:21" x14ac:dyDescent="0.45">
      <c r="A394" s="4">
        <v>510</v>
      </c>
      <c r="B394" s="4">
        <v>0</v>
      </c>
      <c r="C394" s="4">
        <v>0</v>
      </c>
      <c r="D394" s="1">
        <f>IF('исходные данные'!D394&gt;'минимумы и максимумы'!B$4,100,('исходные данные'!D394-'минимумы и максимумы'!B$2)/('минимумы и максимумы'!B$4-'минимумы и максимумы'!B$2)*100)</f>
        <v>12.5</v>
      </c>
      <c r="E394" s="1">
        <f>IF('исходные данные'!E394&gt;'минимумы и максимумы'!C$4,100,('исходные данные'!E394-'минимумы и максимумы'!C$2)/('минимумы и максимумы'!C$4-'минимумы и максимумы'!C$2)*100)</f>
        <v>18.75</v>
      </c>
      <c r="F394" s="1">
        <f>IF('исходные данные'!F394&gt;'минимумы и максимумы'!D$4,100,('исходные данные'!F394-'минимумы и максимумы'!D$2)/('минимумы и максимумы'!D$4-'минимумы и максимумы'!D$2)*100)</f>
        <v>0</v>
      </c>
      <c r="G394" s="1">
        <f>IF('исходные данные'!G394&gt;'минимумы и максимумы'!E$4,100,('исходные данные'!G394-'минимумы и максимумы'!E$2)/('минимумы и максимумы'!E$4-'минимумы и максимумы'!E$2)*100)</f>
        <v>16.216216216216218</v>
      </c>
      <c r="H394" s="1">
        <f>IF('исходные данные'!H394&gt;'минимумы и максимумы'!F$4,100,('исходные данные'!H394-'минимумы и максимумы'!F$2)/('минимумы и максимумы'!F$4-'минимумы и максимумы'!F$2)*100)</f>
        <v>18.421052631578945</v>
      </c>
      <c r="I394" s="1">
        <f>IF('исходные данные'!I394&gt;'минимумы и максимумы'!G$4,100,('исходные данные'!I394-'минимумы и максимумы'!G$2)/('минимумы и максимумы'!G$4-'минимумы и максимумы'!G$2)*100)</f>
        <v>9.6385542168674707</v>
      </c>
      <c r="J394" s="1">
        <f>IF('исходные данные'!J394&gt;'минимумы и максимумы'!H$4,100,('исходные данные'!J394-'минимумы и максимумы'!H$2)/('минимумы и максимумы'!H$4-'минимумы и максимумы'!H$2)*100)</f>
        <v>0</v>
      </c>
      <c r="K394" s="1">
        <f>IF('исходные данные'!K394&gt;'минимумы и максимумы'!I$4,100,('исходные данные'!K394-'минимумы и максимумы'!I$2)/('минимумы и максимумы'!I$4-'минимумы и максимумы'!I$2)*100)</f>
        <v>3.5714285714285712</v>
      </c>
      <c r="L394" s="1">
        <f>IF('исходные данные'!L394&gt;'минимумы и максимумы'!J$4,100,('исходные данные'!L394-'минимумы и максимумы'!J$2)/('минимумы и максимумы'!J$4-'минимумы и максимумы'!J$2)*100)</f>
        <v>0</v>
      </c>
      <c r="M394" s="1">
        <f>IF('исходные данные'!M394&gt;'минимумы и максимумы'!K$4,100,('исходные данные'!M394-'минимумы и максимумы'!K$2)/('минимумы и максимумы'!K$4-'минимумы и максимумы'!K$2)*100)</f>
        <v>19.148936170212767</v>
      </c>
      <c r="N394" s="1">
        <f>IF('исходные данные'!N394&gt;'минимумы и максимумы'!L$4,100,('исходные данные'!N394-'минимумы и максимумы'!L$2)/('минимумы и максимумы'!L$4-'минимумы и максимумы'!L$2)*100)</f>
        <v>21.097034178190359</v>
      </c>
      <c r="O394" s="1">
        <f>IF('исходные данные'!O394&gt;'минимумы и максимумы'!M$4,100,('исходные данные'!O394-'минимумы и максимумы'!M$2)/('минимумы и максимумы'!M$4-'минимумы и максимумы'!M$2)*100)</f>
        <v>66.666666666666657</v>
      </c>
      <c r="P394" s="1">
        <f>IF('исходные данные'!P394&gt;'минимумы и максимумы'!N$4,100,('исходные данные'!P394-'минимумы и максимумы'!N$2)/('минимумы и максимумы'!N$4-'минимумы и максимумы'!N$2)*100)</f>
        <v>0</v>
      </c>
      <c r="Q394" s="1">
        <f>IF('исходные данные'!Q394&gt;'минимумы и максимумы'!O$4,100,('исходные данные'!Q394-'минимумы и максимумы'!O$2)/('минимумы и максимумы'!O$4-'минимумы и максимумы'!O$2)*100)</f>
        <v>100</v>
      </c>
      <c r="R394" s="1">
        <f>IF('исходные данные'!R394&gt;'минимумы и максимумы'!P$4,100,('исходные данные'!R394-'минимумы и максимумы'!P$2)/('минимумы и максимумы'!P$4-'минимумы и максимумы'!P$2)*100)</f>
        <v>100</v>
      </c>
      <c r="S394" s="1">
        <f>IF('исходные данные'!S394&gt;'минимумы и максимумы'!Q$4,100,('исходные данные'!S394-'минимумы и максимумы'!Q$2)/('минимумы и максимумы'!Q$4-'минимумы и максимумы'!Q$2)*100)</f>
        <v>33.333333333333329</v>
      </c>
      <c r="T394" s="1">
        <f>IF('исходные данные'!T394&gt;'минимумы и максимумы'!R$4,100,('исходные данные'!T394-'минимумы и максимумы'!R$2)/('минимумы и максимумы'!R$4-'минимумы и максимумы'!R$2)*100)</f>
        <v>6.61680092059839</v>
      </c>
      <c r="U394" s="1">
        <f>IF('исходные данные'!U394&gt;'минимумы и максимумы'!S$4,100,('исходные данные'!U394-'минимумы и максимумы'!S$2)/('минимумы и максимумы'!S$4-'минимумы и максимумы'!S$2)*100)</f>
        <v>0</v>
      </c>
    </row>
    <row r="395" spans="1:21" x14ac:dyDescent="0.45">
      <c r="A395" s="4">
        <v>511</v>
      </c>
      <c r="B395" s="4">
        <v>0</v>
      </c>
      <c r="C395" s="4">
        <v>0</v>
      </c>
      <c r="D395" s="1">
        <f>IF('исходные данные'!D395&gt;'минимумы и максимумы'!B$4,100,('исходные данные'!D395-'минимумы и максимумы'!B$2)/('минимумы и максимумы'!B$4-'минимумы и максимумы'!B$2)*100)</f>
        <v>12.5</v>
      </c>
      <c r="E395" s="1">
        <f>IF('исходные данные'!E395&gt;'минимумы и максимумы'!C$4,100,('исходные данные'!E395-'минимумы и максимумы'!C$2)/('минимумы и максимумы'!C$4-'минимумы и максимумы'!C$2)*100)</f>
        <v>25</v>
      </c>
      <c r="F395" s="1">
        <f>IF('исходные данные'!F395&gt;'минимумы и максимумы'!D$4,100,('исходные данные'!F395-'минимумы и максимумы'!D$2)/('минимумы и максимумы'!D$4-'минимумы и максимумы'!D$2)*100)</f>
        <v>0</v>
      </c>
      <c r="G395" s="1">
        <f>IF('исходные данные'!G395&gt;'минимумы и максимумы'!E$4,100,('исходные данные'!G395-'минимумы и максимумы'!E$2)/('минимумы и максимумы'!E$4-'минимумы и максимумы'!E$2)*100)</f>
        <v>13.513513513513514</v>
      </c>
      <c r="H395" s="1">
        <f>IF('исходные данные'!H395&gt;'минимумы и максимумы'!F$4,100,('исходные данные'!H395-'минимумы и максимумы'!F$2)/('минимумы и максимумы'!F$4-'минимумы и максимумы'!F$2)*100)</f>
        <v>10.526315789473683</v>
      </c>
      <c r="I395" s="1">
        <f>IF('исходные данные'!I395&gt;'минимумы и максимумы'!G$4,100,('исходные данные'!I395-'минимумы и максимумы'!G$2)/('минимумы и максимумы'!G$4-'минимумы и максимумы'!G$2)*100)</f>
        <v>10.843373493975903</v>
      </c>
      <c r="J395" s="1">
        <f>IF('исходные данные'!J395&gt;'минимумы и максимумы'!H$4,100,('исходные данные'!J395-'минимумы и максимумы'!H$2)/('минимумы и максимумы'!H$4-'минимумы и максимумы'!H$2)*100)</f>
        <v>12.5</v>
      </c>
      <c r="K395" s="1">
        <f>IF('исходные данные'!K395&gt;'минимумы и максимумы'!I$4,100,('исходные данные'!K395-'минимумы и максимумы'!I$2)/('минимумы и максимумы'!I$4-'минимумы и максимумы'!I$2)*100)</f>
        <v>28.571428571428569</v>
      </c>
      <c r="L395" s="1">
        <f>IF('исходные данные'!L395&gt;'минимумы и максимумы'!J$4,100,('исходные данные'!L395-'минимумы и максимумы'!J$2)/('минимумы и максимумы'!J$4-'минимумы и максимумы'!J$2)*100)</f>
        <v>0</v>
      </c>
      <c r="M395" s="1">
        <f>IF('исходные данные'!M395&gt;'минимумы и максимумы'!K$4,100,('исходные данные'!M395-'минимумы и максимумы'!K$2)/('минимумы и максимумы'!K$4-'минимумы и максимумы'!K$2)*100)</f>
        <v>6.3829787234042552</v>
      </c>
      <c r="N395" s="1">
        <f>IF('исходные данные'!N395&gt;'минимумы и максимумы'!L$4,100,('исходные данные'!N395-'минимумы и максимумы'!L$2)/('минимумы и максимумы'!L$4-'минимумы и максимумы'!L$2)*100)</f>
        <v>16.159401834191637</v>
      </c>
      <c r="O395" s="1">
        <f>IF('исходные данные'!O395&gt;'минимумы и максимумы'!M$4,100,('исходные данные'!O395-'минимумы и максимумы'!M$2)/('минимумы и максимумы'!M$4-'минимумы и максимумы'!M$2)*100)</f>
        <v>66.666666666666657</v>
      </c>
      <c r="P395" s="1">
        <f>IF('исходные данные'!P395&gt;'минимумы и максимумы'!N$4,100,('исходные данные'!P395-'минимумы и максимумы'!N$2)/('минимумы и максимумы'!N$4-'минимумы и максимумы'!N$2)*100)</f>
        <v>0</v>
      </c>
      <c r="Q395" s="1">
        <f>IF('исходные данные'!Q395&gt;'минимумы и максимумы'!O$4,100,('исходные данные'!Q395-'минимумы и максимумы'!O$2)/('минимумы и максимумы'!O$4-'минимумы и максимумы'!O$2)*100)</f>
        <v>100</v>
      </c>
      <c r="R395" s="1">
        <f>IF('исходные данные'!R395&gt;'минимумы и максимумы'!P$4,100,('исходные данные'!R395-'минимумы и максимумы'!P$2)/('минимумы и максимумы'!P$4-'минимумы и максимумы'!P$2)*100)</f>
        <v>100</v>
      </c>
      <c r="S395" s="1">
        <f>IF('исходные данные'!S395&gt;'минимумы и максимумы'!Q$4,100,('исходные данные'!S395-'минимумы и максимумы'!Q$2)/('минимумы и максимумы'!Q$4-'минимумы и максимумы'!Q$2)*100)</f>
        <v>33.333333333333329</v>
      </c>
      <c r="T395" s="1">
        <f>IF('исходные данные'!T395&gt;'минимумы и максимумы'!R$4,100,('исходные данные'!T395-'минимумы и максимумы'!R$2)/('минимумы и максимумы'!R$4-'минимумы и максимумы'!R$2)*100)</f>
        <v>7.3935558112773307</v>
      </c>
      <c r="U395" s="1">
        <f>IF('исходные данные'!U395&gt;'минимумы и максимумы'!S$4,100,('исходные данные'!U395-'минимумы и максимумы'!S$2)/('минимумы и максимумы'!S$4-'минимумы и максимумы'!S$2)*100)</f>
        <v>0</v>
      </c>
    </row>
    <row r="396" spans="1:21" x14ac:dyDescent="0.45">
      <c r="A396" s="4">
        <v>512</v>
      </c>
      <c r="B396" s="4">
        <v>0</v>
      </c>
      <c r="C396" s="4">
        <v>0</v>
      </c>
      <c r="D396" s="1">
        <f>IF('исходные данные'!D396&gt;'минимумы и максимумы'!B$4,100,('исходные данные'!D396-'минимумы и максимумы'!B$2)/('минимумы и максимумы'!B$4-'минимумы и максимумы'!B$2)*100)</f>
        <v>0</v>
      </c>
      <c r="E396" s="1">
        <f>IF('исходные данные'!E396&gt;'минимумы и максимумы'!C$4,100,('исходные данные'!E396-'минимумы и максимумы'!C$2)/('минимумы и максимумы'!C$4-'минимумы и максимумы'!C$2)*100)</f>
        <v>6.25</v>
      </c>
      <c r="F396" s="1">
        <f>IF('исходные данные'!F396&gt;'минимумы и максимумы'!D$4,100,('исходные данные'!F396-'минимумы и максимумы'!D$2)/('минимумы и максимумы'!D$4-'минимумы и максимумы'!D$2)*100)</f>
        <v>0</v>
      </c>
      <c r="G396" s="1">
        <f>IF('исходные данные'!G396&gt;'минимумы и максимумы'!E$4,100,('исходные данные'!G396-'минимумы и максимумы'!E$2)/('минимумы и максимумы'!E$4-'минимумы и максимумы'!E$2)*100)</f>
        <v>10.810810810810811</v>
      </c>
      <c r="H396" s="1">
        <f>IF('исходные данные'!H396&gt;'минимумы и максимумы'!F$4,100,('исходные данные'!H396-'минимумы и максимумы'!F$2)/('минимумы и максимумы'!F$4-'минимумы и максимумы'!F$2)*100)</f>
        <v>10.526315789473683</v>
      </c>
      <c r="I396" s="1">
        <f>IF('исходные данные'!I396&gt;'минимумы и максимумы'!G$4,100,('исходные данные'!I396-'минимумы и максимумы'!G$2)/('минимумы и максимумы'!G$4-'минимумы и максимумы'!G$2)*100)</f>
        <v>9.6385542168674707</v>
      </c>
      <c r="J396" s="1">
        <f>IF('исходные данные'!J396&gt;'минимумы и максимумы'!H$4,100,('исходные данные'!J396-'минимумы и максимумы'!H$2)/('минимумы и максимумы'!H$4-'минимумы и максимумы'!H$2)*100)</f>
        <v>0</v>
      </c>
      <c r="K396" s="1">
        <f>IF('исходные данные'!K396&gt;'минимумы и максимумы'!I$4,100,('исходные данные'!K396-'минимумы и максимумы'!I$2)/('минимумы и максимумы'!I$4-'минимумы и максимумы'!I$2)*100)</f>
        <v>32.142857142857146</v>
      </c>
      <c r="L396" s="1">
        <f>IF('исходные данные'!L396&gt;'минимумы и максимумы'!J$4,100,('исходные данные'!L396-'минимумы и максимумы'!J$2)/('минимумы и максимумы'!J$4-'минимумы и максимумы'!J$2)*100)</f>
        <v>0</v>
      </c>
      <c r="M396" s="1">
        <f>IF('исходные данные'!M396&gt;'минимумы и максимумы'!K$4,100,('исходные данные'!M396-'минимумы и максимумы'!K$2)/('минимумы и максимумы'!K$4-'минимумы и максимумы'!K$2)*100)</f>
        <v>6.3829787234042552</v>
      </c>
      <c r="N396" s="1">
        <f>IF('исходные данные'!N396&gt;'минимумы и максимумы'!L$4,100,('исходные данные'!N396-'минимумы и максимумы'!L$2)/('минимумы и максимумы'!L$4-'минимумы и максимумы'!L$2)*100)</f>
        <v>15.861122931953656</v>
      </c>
      <c r="O396" s="1">
        <f>IF('исходные данные'!O396&gt;'минимумы и максимумы'!M$4,100,('исходные данные'!O396-'минимумы и максимумы'!M$2)/('минимумы и максимумы'!M$4-'минимумы и максимумы'!M$2)*100)</f>
        <v>66.666666666666657</v>
      </c>
      <c r="P396" s="1">
        <f>IF('исходные данные'!P396&gt;'минимумы и максимумы'!N$4,100,('исходные данные'!P396-'минимумы и максимумы'!N$2)/('минимумы и максимумы'!N$4-'минимумы и максимумы'!N$2)*100)</f>
        <v>0</v>
      </c>
      <c r="Q396" s="1">
        <f>IF('исходные данные'!Q396&gt;'минимумы и максимумы'!O$4,100,('исходные данные'!Q396-'минимумы и максимумы'!O$2)/('минимумы и максимумы'!O$4-'минимумы и максимумы'!O$2)*100)</f>
        <v>100</v>
      </c>
      <c r="R396" s="1">
        <f>IF('исходные данные'!R396&gt;'минимумы и максимумы'!P$4,100,('исходные данные'!R396-'минимумы и максимумы'!P$2)/('минимумы и максимумы'!P$4-'минимумы и максимумы'!P$2)*100)</f>
        <v>75</v>
      </c>
      <c r="S396" s="1">
        <f>IF('исходные данные'!S396&gt;'минимумы и максимумы'!Q$4,100,('исходные данные'!S396-'минимумы и максимумы'!Q$2)/('минимумы и максимумы'!Q$4-'минимумы и максимумы'!Q$2)*100)</f>
        <v>44.444444444444443</v>
      </c>
      <c r="T396" s="1">
        <f>IF('исходные данные'!T396&gt;'минимумы и максимумы'!R$4,100,('исходные данные'!T396-'минимумы и максимумы'!R$2)/('минимумы и максимумы'!R$4-'минимумы и максимумы'!R$2)*100)</f>
        <v>25.086306098964329</v>
      </c>
      <c r="U396" s="1">
        <f>IF('исходные данные'!U396&gt;'минимумы и максимумы'!S$4,100,('исходные данные'!U396-'минимумы и максимумы'!S$2)/('минимумы и максимумы'!S$4-'минимумы и максимумы'!S$2)*100)</f>
        <v>33.333333333333329</v>
      </c>
    </row>
    <row r="397" spans="1:21" x14ac:dyDescent="0.45">
      <c r="A397" s="4">
        <v>513</v>
      </c>
      <c r="B397" s="4">
        <v>0</v>
      </c>
      <c r="C397" s="4">
        <v>0</v>
      </c>
      <c r="D397" s="1">
        <f>IF('исходные данные'!D397&gt;'минимумы и максимумы'!B$4,100,('исходные данные'!D397-'минимумы и максимумы'!B$2)/('минимумы и максимумы'!B$4-'минимумы и максимумы'!B$2)*100)</f>
        <v>12.5</v>
      </c>
      <c r="E397" s="1">
        <f>IF('исходные данные'!E397&gt;'минимумы и максимумы'!C$4,100,('исходные данные'!E397-'минимумы и максимумы'!C$2)/('минимумы и максимумы'!C$4-'минимумы и максимумы'!C$2)*100)</f>
        <v>25</v>
      </c>
      <c r="F397" s="1">
        <f>IF('исходные данные'!F397&gt;'минимумы и максимумы'!D$4,100,('исходные данные'!F397-'минимумы и максимумы'!D$2)/('минимумы и максимумы'!D$4-'минимумы и максимумы'!D$2)*100)</f>
        <v>0</v>
      </c>
      <c r="G397" s="1">
        <f>IF('исходные данные'!G397&gt;'минимумы и максимумы'!E$4,100,('исходные данные'!G397-'минимумы и максимумы'!E$2)/('минимумы и максимумы'!E$4-'минимумы и максимумы'!E$2)*100)</f>
        <v>13.513513513513514</v>
      </c>
      <c r="H397" s="1">
        <f>IF('исходные данные'!H397&gt;'минимумы и максимумы'!F$4,100,('исходные данные'!H397-'минимумы и максимумы'!F$2)/('минимумы и максимумы'!F$4-'минимумы и максимумы'!F$2)*100)</f>
        <v>15.789473684210526</v>
      </c>
      <c r="I397" s="1">
        <f>IF('исходные данные'!I397&gt;'минимумы и максимумы'!G$4,100,('исходные данные'!I397-'минимумы и максимумы'!G$2)/('минимумы и максимумы'!G$4-'минимумы и максимумы'!G$2)*100)</f>
        <v>9.6385542168674707</v>
      </c>
      <c r="J397" s="1">
        <f>IF('исходные данные'!J397&gt;'минимумы и максимумы'!H$4,100,('исходные данные'!J397-'минимумы и максимумы'!H$2)/('минимумы и максимумы'!H$4-'минимумы и максимумы'!H$2)*100)</f>
        <v>12.5</v>
      </c>
      <c r="K397" s="1">
        <f>IF('исходные данные'!K397&gt;'минимумы и максимумы'!I$4,100,('исходные данные'!K397-'минимумы и максимумы'!I$2)/('минимумы и максимумы'!I$4-'минимумы и максимумы'!I$2)*100)</f>
        <v>32.142857142857146</v>
      </c>
      <c r="L397" s="1">
        <f>IF('исходные данные'!L397&gt;'минимумы и максимумы'!J$4,100,('исходные данные'!L397-'минимумы и максимумы'!J$2)/('минимумы и максимумы'!J$4-'минимумы и максимумы'!J$2)*100)</f>
        <v>0</v>
      </c>
      <c r="M397" s="1">
        <f>IF('исходные данные'!M397&gt;'минимумы и максимумы'!K$4,100,('исходные данные'!M397-'минимумы и максимумы'!K$2)/('минимумы и максимумы'!K$4-'минимумы и максимумы'!K$2)*100)</f>
        <v>8.5106382978723403</v>
      </c>
      <c r="N397" s="1">
        <f>IF('исходные данные'!N397&gt;'минимумы и максимумы'!L$4,100,('исходные данные'!N397-'минимумы и максимумы'!L$2)/('минимумы и максимумы'!L$4-'минимумы и максимумы'!L$2)*100)</f>
        <v>15.647295626565597</v>
      </c>
      <c r="O397" s="1">
        <f>IF('исходные данные'!O397&gt;'минимумы и максимумы'!M$4,100,('исходные данные'!O397-'минимумы и максимумы'!M$2)/('минимумы и максимумы'!M$4-'минимумы и максимумы'!M$2)*100)</f>
        <v>100</v>
      </c>
      <c r="P397" s="1">
        <f>IF('исходные данные'!P397&gt;'минимумы и максимумы'!N$4,100,('исходные данные'!P397-'минимумы и максимумы'!N$2)/('минимумы и максимумы'!N$4-'минимумы и максимумы'!N$2)*100)</f>
        <v>0</v>
      </c>
      <c r="Q397" s="1">
        <f>IF('исходные данные'!Q397&gt;'минимумы и максимумы'!O$4,100,('исходные данные'!Q397-'минимумы и максимумы'!O$2)/('минимумы и максимумы'!O$4-'минимумы и максимумы'!O$2)*100)</f>
        <v>100</v>
      </c>
      <c r="R397" s="1">
        <f>IF('исходные данные'!R397&gt;'минимумы и максимумы'!P$4,100,('исходные данные'!R397-'минимумы и максимумы'!P$2)/('минимумы и максимумы'!P$4-'минимумы и максимумы'!P$2)*100)</f>
        <v>100</v>
      </c>
      <c r="S397" s="1">
        <f>IF('исходные данные'!S397&gt;'минимумы и максимумы'!Q$4,100,('исходные данные'!S397-'минимумы и максимумы'!Q$2)/('минимумы и максимумы'!Q$4-'минимумы и максимумы'!Q$2)*100)</f>
        <v>44.444444444444443</v>
      </c>
      <c r="T397" s="1">
        <f>IF('исходные данные'!T397&gt;'минимумы и максимумы'!R$4,100,('исходные данные'!T397-'минимумы и максимумы'!R$2)/('минимумы и максимумы'!R$4-'минимумы и максимумы'!R$2)*100)</f>
        <v>7.9401611047180669</v>
      </c>
      <c r="U397" s="1">
        <f>IF('исходные данные'!U397&gt;'минимумы и максимумы'!S$4,100,('исходные данные'!U397-'минимумы и максимумы'!S$2)/('минимумы и максимумы'!S$4-'минимумы и максимумы'!S$2)*100)</f>
        <v>0</v>
      </c>
    </row>
    <row r="398" spans="1:21" x14ac:dyDescent="0.45">
      <c r="A398" s="4">
        <v>514</v>
      </c>
      <c r="B398" s="4">
        <v>0</v>
      </c>
      <c r="C398" s="4">
        <v>0</v>
      </c>
      <c r="D398" s="1">
        <f>IF('исходные данные'!D398&gt;'минимумы и максимумы'!B$4,100,('исходные данные'!D398-'минимумы и максимумы'!B$2)/('минимумы и максимумы'!B$4-'минимумы и максимумы'!B$2)*100)</f>
        <v>0</v>
      </c>
      <c r="E398" s="1">
        <f>IF('исходные данные'!E398&gt;'минимумы и максимумы'!C$4,100,('исходные данные'!E398-'минимумы и максимумы'!C$2)/('минимумы и максимумы'!C$4-'минимумы и максимумы'!C$2)*100)</f>
        <v>0</v>
      </c>
      <c r="F398" s="1">
        <f>IF('исходные данные'!F398&gt;'минимумы и максимумы'!D$4,100,('исходные данные'!F398-'минимумы и максимумы'!D$2)/('минимумы и максимумы'!D$4-'минимумы и максимумы'!D$2)*100)</f>
        <v>0</v>
      </c>
      <c r="G398" s="1">
        <f>IF('исходные данные'!G398&gt;'минимумы и максимумы'!E$4,100,('исходные данные'!G398-'минимумы и максимумы'!E$2)/('минимумы и максимумы'!E$4-'минимумы и максимумы'!E$2)*100)</f>
        <v>10.810810810810811</v>
      </c>
      <c r="H398" s="1">
        <f>IF('исходные данные'!H398&gt;'минимумы и максимумы'!F$4,100,('исходные данные'!H398-'минимумы и максимумы'!F$2)/('минимумы и максимумы'!F$4-'минимумы и максимумы'!F$2)*100)</f>
        <v>10.526315789473683</v>
      </c>
      <c r="I398" s="1">
        <f>IF('исходные данные'!I398&gt;'минимумы и максимумы'!G$4,100,('исходные данные'!I398-'минимумы и максимумы'!G$2)/('минимумы и максимумы'!G$4-'минимумы и максимумы'!G$2)*100)</f>
        <v>13.253012048192772</v>
      </c>
      <c r="J398" s="1">
        <f>IF('исходные данные'!J398&gt;'минимумы и максимумы'!H$4,100,('исходные данные'!J398-'минимумы и максимумы'!H$2)/('минимумы и максимумы'!H$4-'минимумы и максимумы'!H$2)*100)</f>
        <v>12.5</v>
      </c>
      <c r="K398" s="1">
        <f>IF('исходные данные'!K398&gt;'минимумы и максимумы'!I$4,100,('исходные данные'!K398-'минимумы и максимумы'!I$2)/('минимумы и максимумы'!I$4-'минимумы и максимумы'!I$2)*100)</f>
        <v>32.142857142857146</v>
      </c>
      <c r="L398" s="1">
        <f>IF('исходные данные'!L398&gt;'минимумы и максимумы'!J$4,100,('исходные данные'!L398-'минимумы и максимумы'!J$2)/('минимумы и максимумы'!J$4-'минимумы и максимумы'!J$2)*100)</f>
        <v>0</v>
      </c>
      <c r="M398" s="1">
        <f>IF('исходные данные'!M398&gt;'минимумы и максимумы'!K$4,100,('исходные данные'!M398-'минимумы и максимумы'!K$2)/('минимумы и максимумы'!K$4-'минимумы и максимумы'!K$2)*100)</f>
        <v>6.3829787234042552</v>
      </c>
      <c r="N398" s="1">
        <f>IF('исходные данные'!N398&gt;'минимумы и максимумы'!L$4,100,('исходные данные'!N398-'минимумы и максимумы'!L$2)/('минимумы и максимумы'!L$4-'минимумы и максимумы'!L$2)*100)</f>
        <v>14.366507101326317</v>
      </c>
      <c r="O398" s="1">
        <f>IF('исходные данные'!O398&gt;'минимумы и максимумы'!M$4,100,('исходные данные'!O398-'минимумы и максимумы'!M$2)/('минимумы и максимумы'!M$4-'минимумы и максимумы'!M$2)*100)</f>
        <v>33.333333333333329</v>
      </c>
      <c r="P398" s="1">
        <f>IF('исходные данные'!P398&gt;'минимумы и максимумы'!N$4,100,('исходные данные'!P398-'минимумы и максимумы'!N$2)/('минимумы и максимумы'!N$4-'минимумы и максимумы'!N$2)*100)</f>
        <v>0</v>
      </c>
      <c r="Q398" s="1">
        <f>IF('исходные данные'!Q398&gt;'минимумы и максимумы'!O$4,100,('исходные данные'!Q398-'минимумы и максимумы'!O$2)/('минимумы и максимумы'!O$4-'минимумы и максимумы'!O$2)*100)</f>
        <v>100</v>
      </c>
      <c r="R398" s="1">
        <f>IF('исходные данные'!R398&gt;'минимумы и максимумы'!P$4,100,('исходные данные'!R398-'минимумы и максимумы'!P$2)/('минимумы и максимумы'!P$4-'минимумы и максимумы'!P$2)*100)</f>
        <v>75</v>
      </c>
      <c r="S398" s="1">
        <f>IF('исходные данные'!S398&gt;'минимумы и максимумы'!Q$4,100,('исходные данные'!S398-'минимумы и максимумы'!Q$2)/('минимумы и максимумы'!Q$4-'минимумы и максимумы'!Q$2)*100)</f>
        <v>22.222222222222221</v>
      </c>
      <c r="T398" s="1">
        <f>IF('исходные данные'!T398&gt;'минимумы и максимумы'!R$4,100,('исходные данные'!T398-'минимумы и максимумы'!R$2)/('минимумы и максимумы'!R$4-'минимумы и максимумы'!R$2)*100)</f>
        <v>10.960874568469507</v>
      </c>
      <c r="U398" s="1">
        <f>IF('исходные данные'!U398&gt;'минимумы и максимумы'!S$4,100,('исходные данные'!U398-'минимумы и максимумы'!S$2)/('минимумы и максимумы'!S$4-'минимумы и максимумы'!S$2)*100)</f>
        <v>0</v>
      </c>
    </row>
    <row r="399" spans="1:21" x14ac:dyDescent="0.45">
      <c r="A399" s="4">
        <v>516</v>
      </c>
      <c r="B399" s="4">
        <v>0</v>
      </c>
      <c r="C399" s="4">
        <v>0</v>
      </c>
      <c r="D399" s="1">
        <f>IF('исходные данные'!D399&gt;'минимумы и максимумы'!B$4,100,('исходные данные'!D399-'минимумы и максимумы'!B$2)/('минимумы и максимумы'!B$4-'минимумы и максимумы'!B$2)*100)</f>
        <v>0</v>
      </c>
      <c r="E399" s="1">
        <f>IF('исходные данные'!E399&gt;'минимумы и максимумы'!C$4,100,('исходные данные'!E399-'минимумы и максимумы'!C$2)/('минимумы и максимумы'!C$4-'минимумы и максимумы'!C$2)*100)</f>
        <v>0</v>
      </c>
      <c r="F399" s="1">
        <f>IF('исходные данные'!F399&gt;'минимумы и максимумы'!D$4,100,('исходные данные'!F399-'минимумы и максимумы'!D$2)/('минимумы и максимумы'!D$4-'минимумы и максимумы'!D$2)*100)</f>
        <v>0</v>
      </c>
      <c r="G399" s="1">
        <f>IF('исходные данные'!G399&gt;'минимумы и максимумы'!E$4,100,('исходные данные'!G399-'минимумы и максимумы'!E$2)/('минимумы и максимумы'!E$4-'минимумы и максимумы'!E$2)*100)</f>
        <v>5.4054054054054053</v>
      </c>
      <c r="H399" s="1">
        <f>IF('исходные данные'!H399&gt;'минимумы и максимумы'!F$4,100,('исходные данные'!H399-'минимумы и максимумы'!F$2)/('минимумы и максимумы'!F$4-'минимумы и максимумы'!F$2)*100)</f>
        <v>2.6315789473684208</v>
      </c>
      <c r="I399" s="1">
        <f>IF('исходные данные'!I399&gt;'минимумы и максимумы'!G$4,100,('исходные данные'!I399-'минимумы и максимумы'!G$2)/('минимумы и максимумы'!G$4-'минимумы и максимумы'!G$2)*100)</f>
        <v>9.6385542168674707</v>
      </c>
      <c r="J399" s="1">
        <f>IF('исходные данные'!J399&gt;'минимумы и максимумы'!H$4,100,('исходные данные'!J399-'минимумы и максимумы'!H$2)/('минимумы и максимумы'!H$4-'минимумы и максимумы'!H$2)*100)</f>
        <v>0</v>
      </c>
      <c r="K399" s="1">
        <f>IF('исходные данные'!K399&gt;'минимумы и максимумы'!I$4,100,('исходные данные'!K399-'минимумы и максимумы'!I$2)/('минимумы и максимумы'!I$4-'минимумы и максимумы'!I$2)*100)</f>
        <v>25</v>
      </c>
      <c r="L399" s="1">
        <f>IF('исходные данные'!L399&gt;'минимумы и максимумы'!J$4,100,('исходные данные'!L399-'минимумы и максимумы'!J$2)/('минимумы и максимумы'!J$4-'минимумы и максимумы'!J$2)*100)</f>
        <v>0</v>
      </c>
      <c r="M399" s="1">
        <f>IF('исходные данные'!M399&gt;'минимумы и максимумы'!K$4,100,('исходные данные'!M399-'минимумы и максимумы'!K$2)/('минимумы и максимумы'!K$4-'минимумы и максимумы'!K$2)*100)</f>
        <v>4.2553191489361701</v>
      </c>
      <c r="N399" s="1">
        <f>IF('исходные данные'!N399&gt;'минимумы и максимумы'!L$4,100,('исходные данные'!N399-'минимумы и максимумы'!L$2)/('минимумы и максимумы'!L$4-'минимумы и максимумы'!L$2)*100)</f>
        <v>15.309957680121455</v>
      </c>
      <c r="O399" s="1">
        <f>IF('исходные данные'!O399&gt;'минимумы и максимумы'!M$4,100,('исходные данные'!O399-'минимумы и максимумы'!M$2)/('минимумы и максимумы'!M$4-'минимумы и максимумы'!M$2)*100)</f>
        <v>0</v>
      </c>
      <c r="P399" s="1">
        <f>IF('исходные данные'!P399&gt;'минимумы и максимумы'!N$4,100,('исходные данные'!P399-'минимумы и максимумы'!N$2)/('минимумы и максимумы'!N$4-'минимумы и максимумы'!N$2)*100)</f>
        <v>0</v>
      </c>
      <c r="Q399" s="1">
        <f>IF('исходные данные'!Q399&gt;'минимумы и максимумы'!O$4,100,('исходные данные'!Q399-'минимумы и максимумы'!O$2)/('минимумы и максимумы'!O$4-'минимумы и максимумы'!O$2)*100)</f>
        <v>0</v>
      </c>
      <c r="R399" s="1">
        <f>IF('исходные данные'!R399&gt;'минимумы и максимумы'!P$4,100,('исходные данные'!R399-'минимумы и максимумы'!P$2)/('минимумы и максимумы'!P$4-'минимумы и максимумы'!P$2)*100)</f>
        <v>25</v>
      </c>
      <c r="S399" s="1">
        <f>IF('исходные данные'!S399&gt;'минимумы и максимумы'!Q$4,100,('исходные данные'!S399-'минимумы и максимумы'!Q$2)/('минимумы и максимумы'!Q$4-'минимумы и максимумы'!Q$2)*100)</f>
        <v>44.444444444444443</v>
      </c>
      <c r="T399" s="1">
        <f>IF('исходные данные'!T399&gt;'минимумы и максимумы'!R$4,100,('исходные данные'!T399-'минимумы и максимумы'!R$2)/('минимумы и максимумы'!R$4-'минимумы и максимумы'!R$2)*100)</f>
        <v>15.333716915995396</v>
      </c>
      <c r="U399" s="1">
        <f>IF('исходные данные'!U399&gt;'минимумы и максимумы'!S$4,100,('исходные данные'!U399-'минимумы и максимумы'!S$2)/('минимумы и максимумы'!S$4-'минимумы и максимумы'!S$2)*100)</f>
        <v>0</v>
      </c>
    </row>
    <row r="400" spans="1:21" x14ac:dyDescent="0.45">
      <c r="A400" s="4">
        <v>517</v>
      </c>
      <c r="B400" s="4">
        <v>0</v>
      </c>
      <c r="C400" s="4">
        <v>0</v>
      </c>
      <c r="D400" s="1">
        <f>IF('исходные данные'!D400&gt;'минимумы и максимумы'!B$4,100,('исходные данные'!D400-'минимумы и максимумы'!B$2)/('минимумы и максимумы'!B$4-'минимумы и максимумы'!B$2)*100)</f>
        <v>0</v>
      </c>
      <c r="E400" s="1">
        <f>IF('исходные данные'!E400&gt;'минимумы и максимумы'!C$4,100,('исходные данные'!E400-'минимумы и максимумы'!C$2)/('минимумы и максимумы'!C$4-'минимумы и максимумы'!C$2)*100)</f>
        <v>0</v>
      </c>
      <c r="F400" s="1">
        <f>IF('исходные данные'!F400&gt;'минимумы и максимумы'!D$4,100,('исходные данные'!F400-'минимумы и максимумы'!D$2)/('минимумы и максимумы'!D$4-'минимумы и максимумы'!D$2)*100)</f>
        <v>0</v>
      </c>
      <c r="G400" s="1">
        <f>IF('исходные данные'!G400&gt;'минимумы и максимумы'!E$4,100,('исходные данные'!G400-'минимумы и максимумы'!E$2)/('минимумы и максимумы'!E$4-'минимумы и максимумы'!E$2)*100)</f>
        <v>5.4054054054054053</v>
      </c>
      <c r="H400" s="1">
        <f>IF('исходные данные'!H400&gt;'минимумы и максимумы'!F$4,100,('исходные данные'!H400-'минимумы и максимумы'!F$2)/('минимумы и максимумы'!F$4-'минимумы и максимумы'!F$2)*100)</f>
        <v>5.2631578947368416</v>
      </c>
      <c r="I400" s="1">
        <f>IF('исходные данные'!I400&gt;'минимумы и максимумы'!G$4,100,('исходные данные'!I400-'минимумы и максимумы'!G$2)/('минимумы и максимумы'!G$4-'минимумы и максимумы'!G$2)*100)</f>
        <v>8.4337349397590362</v>
      </c>
      <c r="J400" s="1">
        <f>IF('исходные данные'!J400&gt;'минимумы и максимумы'!H$4,100,('исходные данные'!J400-'минимумы и максимумы'!H$2)/('минимумы и максимумы'!H$4-'минимумы и максимумы'!H$2)*100)</f>
        <v>0</v>
      </c>
      <c r="K400" s="1">
        <f>IF('исходные данные'!K400&gt;'минимумы и максимумы'!I$4,100,('исходные данные'!K400-'минимумы и максимумы'!I$2)/('минимумы и максимумы'!I$4-'минимумы и максимумы'!I$2)*100)</f>
        <v>17.857142857142858</v>
      </c>
      <c r="L400" s="1">
        <f>IF('исходные данные'!L400&gt;'минимумы и максимумы'!J$4,100,('исходные данные'!L400-'минимумы и максимумы'!J$2)/('минимумы и максимумы'!J$4-'минимумы и максимумы'!J$2)*100)</f>
        <v>0</v>
      </c>
      <c r="M400" s="1">
        <f>IF('исходные данные'!M400&gt;'минимумы и максимумы'!K$4,100,('исходные данные'!M400-'минимумы и максимумы'!K$2)/('минимумы и максимумы'!K$4-'минимумы и максимумы'!K$2)*100)</f>
        <v>2.1276595744680851</v>
      </c>
      <c r="N400" s="1">
        <f>IF('исходные данные'!N400&gt;'минимумы и максимумы'!L$4,100,('исходные данные'!N400-'минимумы и максимумы'!L$2)/('минимумы и максимумы'!L$4-'минимумы и максимумы'!L$2)*100)</f>
        <v>16.06295729538278</v>
      </c>
      <c r="O400" s="1">
        <f>IF('исходные данные'!O400&gt;'минимумы и максимумы'!M$4,100,('исходные данные'!O400-'минимумы и максимумы'!M$2)/('минимумы и максимумы'!M$4-'минимумы и максимумы'!M$2)*100)</f>
        <v>66.666666666666657</v>
      </c>
      <c r="P400" s="1">
        <f>IF('исходные данные'!P400&gt;'минимумы и максимумы'!N$4,100,('исходные данные'!P400-'минимумы и максимумы'!N$2)/('минимумы и максимумы'!N$4-'минимумы и максимумы'!N$2)*100)</f>
        <v>0</v>
      </c>
      <c r="Q400" s="1">
        <f>IF('исходные данные'!Q400&gt;'минимумы и максимумы'!O$4,100,('исходные данные'!Q400-'минимумы и максимумы'!O$2)/('минимумы и максимумы'!O$4-'минимумы и максимумы'!O$2)*100)</f>
        <v>100</v>
      </c>
      <c r="R400" s="1">
        <f>IF('исходные данные'!R400&gt;'минимумы и максимумы'!P$4,100,('исходные данные'!R400-'минимумы и максимумы'!P$2)/('минимумы и максимумы'!P$4-'минимумы и максимумы'!P$2)*100)</f>
        <v>25</v>
      </c>
      <c r="S400" s="1">
        <f>IF('исходные данные'!S400&gt;'минимумы и максимумы'!Q$4,100,('исходные данные'!S400-'минимумы и максимумы'!Q$2)/('минимумы и максимумы'!Q$4-'минимумы и максимумы'!Q$2)*100)</f>
        <v>33.333333333333329</v>
      </c>
      <c r="T400" s="1">
        <f>IF('исходные данные'!T400&gt;'минимумы и максимумы'!R$4,100,('исходные данные'!T400-'минимумы и максимумы'!R$2)/('минимумы и максимумы'!R$4-'минимумы и максимумы'!R$2)*100)</f>
        <v>12.37054085155351</v>
      </c>
      <c r="U400" s="1">
        <f>IF('исходные данные'!U400&gt;'минимумы и максимумы'!S$4,100,('исходные данные'!U400-'минимумы и максимумы'!S$2)/('минимумы и максимумы'!S$4-'минимумы и максимумы'!S$2)*100)</f>
        <v>33.333333333333329</v>
      </c>
    </row>
    <row r="401" spans="1:21" x14ac:dyDescent="0.45">
      <c r="A401" s="4">
        <v>518</v>
      </c>
      <c r="B401" s="4">
        <v>0</v>
      </c>
      <c r="C401" s="4">
        <v>0</v>
      </c>
      <c r="D401" s="1">
        <f>IF('исходные данные'!D401&gt;'минимумы и максимумы'!B$4,100,('исходные данные'!D401-'минимумы и максимумы'!B$2)/('минимумы и максимумы'!B$4-'минимумы и максимумы'!B$2)*100)</f>
        <v>12.5</v>
      </c>
      <c r="E401" s="1">
        <f>IF('исходные данные'!E401&gt;'минимумы и максимумы'!C$4,100,('исходные данные'!E401-'минимумы и максимумы'!C$2)/('минимумы и максимумы'!C$4-'минимумы и максимумы'!C$2)*100)</f>
        <v>31.25</v>
      </c>
      <c r="F401" s="1">
        <f>IF('исходные данные'!F401&gt;'минимумы и максимумы'!D$4,100,('исходные данные'!F401-'минимумы и максимумы'!D$2)/('минимумы и максимумы'!D$4-'минимумы и максимумы'!D$2)*100)</f>
        <v>0</v>
      </c>
      <c r="G401" s="1">
        <f>IF('исходные данные'!G401&gt;'минимумы и максимумы'!E$4,100,('исходные данные'!G401-'минимумы и максимумы'!E$2)/('минимумы и максимумы'!E$4-'минимумы и максимумы'!E$2)*100)</f>
        <v>18.918918918918919</v>
      </c>
      <c r="H401" s="1">
        <f>IF('исходные данные'!H401&gt;'минимумы и максимумы'!F$4,100,('исходные данные'!H401-'минимумы и максимумы'!F$2)/('минимумы и максимумы'!F$4-'минимумы и максимумы'!F$2)*100)</f>
        <v>13.157894736842104</v>
      </c>
      <c r="I401" s="1">
        <f>IF('исходные данные'!I401&gt;'минимумы и максимумы'!G$4,100,('исходные данные'!I401-'минимумы и максимумы'!G$2)/('минимумы и максимумы'!G$4-'минимумы и максимумы'!G$2)*100)</f>
        <v>3.6144578313253009</v>
      </c>
      <c r="J401" s="1">
        <f>IF('исходные данные'!J401&gt;'минимумы и максимумы'!H$4,100,('исходные данные'!J401-'минимумы и максимумы'!H$2)/('минимумы и максимумы'!H$4-'минимумы и максимумы'!H$2)*100)</f>
        <v>0</v>
      </c>
      <c r="K401" s="1">
        <f>IF('исходные данные'!K401&gt;'минимумы и максимумы'!I$4,100,('исходные данные'!K401-'минимумы и максимумы'!I$2)/('минимумы и максимумы'!I$4-'минимумы и максимумы'!I$2)*100)</f>
        <v>14.285714285714285</v>
      </c>
      <c r="L401" s="1">
        <f>IF('исходные данные'!L401&gt;'минимумы и максимумы'!J$4,100,('исходные данные'!L401-'минимумы и максимумы'!J$2)/('минимумы и максимумы'!J$4-'минимумы и максимумы'!J$2)*100)</f>
        <v>0</v>
      </c>
      <c r="M401" s="1">
        <f>IF('исходные данные'!M401&gt;'минимумы и максимумы'!K$4,100,('исходные данные'!M401-'минимумы и максимумы'!K$2)/('минимумы и максимумы'!K$4-'минимумы и максимумы'!K$2)*100)</f>
        <v>12.76595744680851</v>
      </c>
      <c r="N401" s="1">
        <f>IF('исходные данные'!N401&gt;'минимумы и максимумы'!L$4,100,('исходные данные'!N401-'минимумы и максимумы'!L$2)/('минимумы и максимумы'!L$4-'минимумы и максимумы'!L$2)*100)</f>
        <v>23.948036050548023</v>
      </c>
      <c r="O401" s="1">
        <f>IF('исходные данные'!O401&gt;'минимумы и максимумы'!M$4,100,('исходные данные'!O401-'минимумы и максимумы'!M$2)/('минимумы и максимумы'!M$4-'минимумы и максимумы'!M$2)*100)</f>
        <v>100</v>
      </c>
      <c r="P401" s="1">
        <f>IF('исходные данные'!P401&gt;'минимумы и максимумы'!N$4,100,('исходные данные'!P401-'минимумы и максимумы'!N$2)/('минимумы и максимумы'!N$4-'минимумы и максимумы'!N$2)*100)</f>
        <v>0</v>
      </c>
      <c r="Q401" s="1">
        <f>IF('исходные данные'!Q401&gt;'минимумы и максимумы'!O$4,100,('исходные данные'!Q401-'минимумы и максимумы'!O$2)/('минимумы и максимумы'!O$4-'минимумы и максимумы'!O$2)*100)</f>
        <v>100</v>
      </c>
      <c r="R401" s="1">
        <f>IF('исходные данные'!R401&gt;'минимумы и максимумы'!P$4,100,('исходные данные'!R401-'минимумы и максимумы'!P$2)/('минимумы и максимумы'!P$4-'минимумы и максимумы'!P$2)*100)</f>
        <v>100</v>
      </c>
      <c r="S401" s="1">
        <f>IF('исходные данные'!S401&gt;'минимумы и максимумы'!Q$4,100,('исходные данные'!S401-'минимумы и максимумы'!Q$2)/('минимумы и максимумы'!Q$4-'минимумы и максимумы'!Q$2)*100)</f>
        <v>22.222222222222221</v>
      </c>
      <c r="T401" s="1">
        <f>IF('исходные данные'!T401&gt;'минимумы и максимумы'!R$4,100,('исходные данные'!T401-'минимумы и максимумы'!R$2)/('минимумы и максимумы'!R$4-'минимумы и максимумы'!R$2)*100)</f>
        <v>11.737629459148447</v>
      </c>
      <c r="U401" s="1">
        <f>IF('исходные данные'!U401&gt;'минимумы и максимумы'!S$4,100,('исходные данные'!U401-'минимумы и максимумы'!S$2)/('минимумы и максимумы'!S$4-'минимумы и максимумы'!S$2)*100)</f>
        <v>0</v>
      </c>
    </row>
    <row r="402" spans="1:21" x14ac:dyDescent="0.45">
      <c r="A402" s="4">
        <v>519</v>
      </c>
      <c r="B402" s="4">
        <v>0</v>
      </c>
      <c r="C402" s="4">
        <v>0</v>
      </c>
      <c r="D402" s="1">
        <f>IF('исходные данные'!D402&gt;'минимумы и максимумы'!B$4,100,('исходные данные'!D402-'минимумы и максимумы'!B$2)/('минимумы и максимумы'!B$4-'минимумы и максимумы'!B$2)*100)</f>
        <v>0</v>
      </c>
      <c r="E402" s="1">
        <f>IF('исходные данные'!E402&gt;'минимумы и максимумы'!C$4,100,('исходные данные'!E402-'минимумы и максимумы'!C$2)/('минимумы и максимумы'!C$4-'минимумы и максимумы'!C$2)*100)</f>
        <v>0</v>
      </c>
      <c r="F402" s="1">
        <f>IF('исходные данные'!F402&gt;'минимумы и максимумы'!D$4,100,('исходные данные'!F402-'минимумы и максимумы'!D$2)/('минимумы и максимумы'!D$4-'минимумы и максимумы'!D$2)*100)</f>
        <v>0</v>
      </c>
      <c r="G402" s="1">
        <f>IF('исходные данные'!G402&gt;'минимумы и максимумы'!E$4,100,('исходные данные'!G402-'минимумы и максимумы'!E$2)/('минимумы и максимумы'!E$4-'минимумы и максимумы'!E$2)*100)</f>
        <v>13.513513513513514</v>
      </c>
      <c r="H402" s="1">
        <f>IF('исходные данные'!H402&gt;'минимумы и максимумы'!F$4,100,('исходные данные'!H402-'минимумы и максимумы'!F$2)/('минимумы и максимумы'!F$4-'минимумы и максимумы'!F$2)*100)</f>
        <v>10.526315789473683</v>
      </c>
      <c r="I402" s="1">
        <f>IF('исходные данные'!I402&gt;'минимумы и максимумы'!G$4,100,('исходные данные'!I402-'минимумы и максимумы'!G$2)/('минимумы и максимумы'!G$4-'минимумы и максимумы'!G$2)*100)</f>
        <v>3.6144578313253009</v>
      </c>
      <c r="J402" s="1">
        <f>IF('исходные данные'!J402&gt;'минимумы и максимумы'!H$4,100,('исходные данные'!J402-'минимумы и максимумы'!H$2)/('минимумы и максимумы'!H$4-'минимумы и максимумы'!H$2)*100)</f>
        <v>0</v>
      </c>
      <c r="K402" s="1">
        <f>IF('исходные данные'!K402&gt;'минимумы и максимумы'!I$4,100,('исходные данные'!K402-'минимумы и максимумы'!I$2)/('минимумы и максимумы'!I$4-'минимумы и максимумы'!I$2)*100)</f>
        <v>0</v>
      </c>
      <c r="L402" s="1">
        <f>IF('исходные данные'!L402&gt;'минимумы и максимумы'!J$4,100,('исходные данные'!L402-'минимумы и максимумы'!J$2)/('минимумы и максимумы'!J$4-'минимумы и максимумы'!J$2)*100)</f>
        <v>0</v>
      </c>
      <c r="M402" s="1">
        <f>IF('исходные данные'!M402&gt;'минимумы и максимумы'!K$4,100,('исходные данные'!M402-'минимумы и максимумы'!K$2)/('минимумы и максимумы'!K$4-'минимумы и максимумы'!K$2)*100)</f>
        <v>10.638297872340425</v>
      </c>
      <c r="N402" s="1">
        <f>IF('исходные данные'!N402&gt;'минимумы и максимумы'!L$4,100,('исходные данные'!N402-'минимумы и максимумы'!L$2)/('минимумы и максимумы'!L$4-'минимумы и максимумы'!L$2)*100)</f>
        <v>38.06963107563999</v>
      </c>
      <c r="O402" s="1">
        <f>IF('исходные данные'!O402&gt;'минимумы и максимумы'!M$4,100,('исходные данные'!O402-'минимумы и максимумы'!M$2)/('минимумы и максимумы'!M$4-'минимумы и максимумы'!M$2)*100)</f>
        <v>66.666666666666657</v>
      </c>
      <c r="P402" s="1">
        <f>IF('исходные данные'!P402&gt;'минимумы и максимумы'!N$4,100,('исходные данные'!P402-'минимумы и максимумы'!N$2)/('минимумы и максимумы'!N$4-'минимумы и максимумы'!N$2)*100)</f>
        <v>0</v>
      </c>
      <c r="Q402" s="1">
        <f>IF('исходные данные'!Q402&gt;'минимумы и максимумы'!O$4,100,('исходные данные'!Q402-'минимумы и максимумы'!O$2)/('минимумы и максимумы'!O$4-'минимумы и максимумы'!O$2)*100)</f>
        <v>0</v>
      </c>
      <c r="R402" s="1">
        <f>IF('исходные данные'!R402&gt;'минимумы и максимумы'!P$4,100,('исходные данные'!R402-'минимумы и максимумы'!P$2)/('минимумы и максимумы'!P$4-'минимумы и максимумы'!P$2)*100)</f>
        <v>25</v>
      </c>
      <c r="S402" s="1">
        <f>IF('исходные данные'!S402&gt;'минимумы и максимумы'!Q$4,100,('исходные данные'!S402-'минимумы и максимумы'!Q$2)/('минимумы и максимумы'!Q$4-'минимумы и максимумы'!Q$2)*100)</f>
        <v>11.111111111111111</v>
      </c>
      <c r="T402" s="1">
        <f>IF('исходные данные'!T402&gt;'минимумы и максимумы'!R$4,100,('исходные данные'!T402-'минимумы и максимумы'!R$2)/('минимумы и максимумы'!R$4-'минимумы и максимумы'!R$2)*100)</f>
        <v>3.5673187571921749</v>
      </c>
      <c r="U402" s="1">
        <f>IF('исходные данные'!U402&gt;'минимумы и максимумы'!S$4,100,('исходные данные'!U402-'минимумы и максимумы'!S$2)/('минимумы и максимумы'!S$4-'минимумы и максимумы'!S$2)*100)</f>
        <v>0</v>
      </c>
    </row>
    <row r="403" spans="1:21" x14ac:dyDescent="0.45">
      <c r="A403" s="4">
        <v>520</v>
      </c>
      <c r="B403" s="4">
        <v>0</v>
      </c>
      <c r="C403" s="4">
        <v>0</v>
      </c>
      <c r="D403" s="1">
        <f>IF('исходные данные'!D403&gt;'минимумы и максимумы'!B$4,100,('исходные данные'!D403-'минимумы и максимумы'!B$2)/('минимумы и максимумы'!B$4-'минимумы и максимумы'!B$2)*100)</f>
        <v>12.5</v>
      </c>
      <c r="E403" s="1">
        <f>IF('исходные данные'!E403&gt;'минимумы и максимумы'!C$4,100,('исходные данные'!E403-'минимумы и максимумы'!C$2)/('минимумы и максимумы'!C$4-'минимумы и максимумы'!C$2)*100)</f>
        <v>25</v>
      </c>
      <c r="F403" s="1">
        <f>IF('исходные данные'!F403&gt;'минимумы и максимумы'!D$4,100,('исходные данные'!F403-'минимумы и максимумы'!D$2)/('минимумы и максимумы'!D$4-'минимумы и максимумы'!D$2)*100)</f>
        <v>25</v>
      </c>
      <c r="G403" s="1">
        <f>IF('исходные данные'!G403&gt;'минимумы и максимумы'!E$4,100,('исходные данные'!G403-'минимумы и максимумы'!E$2)/('минимумы и максимумы'!E$4-'минимумы и максимумы'!E$2)*100)</f>
        <v>32.432432432432435</v>
      </c>
      <c r="H403" s="1">
        <f>IF('исходные данные'!H403&gt;'минимумы и максимумы'!F$4,100,('исходные данные'!H403-'минимумы и максимумы'!F$2)/('минимумы и максимумы'!F$4-'минимумы и максимумы'!F$2)*100)</f>
        <v>47.368421052631575</v>
      </c>
      <c r="I403" s="1">
        <f>IF('исходные данные'!I403&gt;'минимумы и максимумы'!G$4,100,('исходные данные'!I403-'минимумы и максимумы'!G$2)/('минимумы и максимумы'!G$4-'минимумы и максимумы'!G$2)*100)</f>
        <v>6.024096385542169</v>
      </c>
      <c r="J403" s="1">
        <f>IF('исходные данные'!J403&gt;'минимумы и максимумы'!H$4,100,('исходные данные'!J403-'минимумы и максимумы'!H$2)/('минимумы и максимумы'!H$4-'минимумы и максимумы'!H$2)*100)</f>
        <v>0</v>
      </c>
      <c r="K403" s="1">
        <f>IF('исходные данные'!K403&gt;'минимумы и максимумы'!I$4,100,('исходные данные'!K403-'минимумы и максимумы'!I$2)/('минимумы и максимумы'!I$4-'минимумы и максимумы'!I$2)*100)</f>
        <v>0</v>
      </c>
      <c r="L403" s="1">
        <f>IF('исходные данные'!L403&gt;'минимумы и максимумы'!J$4,100,('исходные данные'!L403-'минимумы и максимумы'!J$2)/('минимумы и максимумы'!J$4-'минимумы и максимумы'!J$2)*100)</f>
        <v>0</v>
      </c>
      <c r="M403" s="1">
        <f>IF('исходные данные'!M403&gt;'минимумы и максимумы'!K$4,100,('исходные данные'!M403-'минимумы и максимумы'!K$2)/('минимумы и максимумы'!K$4-'минимумы и максимумы'!K$2)*100)</f>
        <v>19.148936170212767</v>
      </c>
      <c r="N403" s="1">
        <f>IF('исходные данные'!N403&gt;'минимумы и максимумы'!L$4,100,('исходные данные'!N403-'минимумы и максимумы'!L$2)/('минимумы и максимумы'!L$4-'минимумы и максимумы'!L$2)*100)</f>
        <v>33.489356286791974</v>
      </c>
      <c r="O403" s="1">
        <f>IF('исходные данные'!O403&gt;'минимумы и максимумы'!M$4,100,('исходные данные'!O403-'минимумы и максимумы'!M$2)/('минимумы и максимумы'!M$4-'минимумы и максимумы'!M$2)*100)</f>
        <v>100</v>
      </c>
      <c r="P403" s="1">
        <f>IF('исходные данные'!P403&gt;'минимумы и максимумы'!N$4,100,('исходные данные'!P403-'минимумы и максимумы'!N$2)/('минимумы и максимумы'!N$4-'минимумы и максимумы'!N$2)*100)</f>
        <v>100</v>
      </c>
      <c r="Q403" s="1">
        <f>IF('исходные данные'!Q403&gt;'минимумы и максимумы'!O$4,100,('исходные данные'!Q403-'минимумы и максимумы'!O$2)/('минимумы и максимумы'!O$4-'минимумы и максимумы'!O$2)*100)</f>
        <v>100</v>
      </c>
      <c r="R403" s="1">
        <f>IF('исходные данные'!R403&gt;'минимумы и максимумы'!P$4,100,('исходные данные'!R403-'минимумы и максимумы'!P$2)/('минимумы и максимумы'!P$4-'минимумы и максимумы'!P$2)*100)</f>
        <v>100</v>
      </c>
      <c r="S403" s="1">
        <f>IF('исходные данные'!S403&gt;'минимумы и максимумы'!Q$4,100,('исходные данные'!S403-'минимумы и максимумы'!Q$2)/('минимумы и максимумы'!Q$4-'минимумы и максимумы'!Q$2)*100)</f>
        <v>44.444444444444443</v>
      </c>
      <c r="T403" s="1">
        <f>IF('исходные данные'!T403&gt;'минимумы и максимумы'!R$4,100,('исходные данные'!T403-'минимумы и максимумы'!R$2)/('минимумы и максимумы'!R$4-'минимумы и максимумы'!R$2)*100)</f>
        <v>49.913693901035671</v>
      </c>
      <c r="U403" s="1">
        <f>IF('исходные данные'!U403&gt;'минимумы и максимумы'!S$4,100,('исходные данные'!U403-'минимумы и максимумы'!S$2)/('минимумы и максимумы'!S$4-'минимумы и максимумы'!S$2)*100)</f>
        <v>33.333333333333329</v>
      </c>
    </row>
    <row r="404" spans="1:21" x14ac:dyDescent="0.45">
      <c r="A404" s="4">
        <v>521</v>
      </c>
      <c r="B404" s="4">
        <v>0</v>
      </c>
      <c r="C404" s="4">
        <v>0</v>
      </c>
      <c r="D404" s="1">
        <f>IF('исходные данные'!D404&gt;'минимумы и максимумы'!B$4,100,('исходные данные'!D404-'минимумы и максимумы'!B$2)/('минимумы и максимумы'!B$4-'минимумы и максимумы'!B$2)*100)</f>
        <v>62.5</v>
      </c>
      <c r="E404" s="1">
        <f>IF('исходные данные'!E404&gt;'минимумы и максимумы'!C$4,100,('исходные данные'!E404-'минимумы и максимумы'!C$2)/('минимумы и максимумы'!C$4-'минимумы и максимумы'!C$2)*100)</f>
        <v>31.25</v>
      </c>
      <c r="F404" s="1">
        <f>IF('исходные данные'!F404&gt;'минимумы и максимумы'!D$4,100,('исходные данные'!F404-'минимумы и максимумы'!D$2)/('минимумы и максимумы'!D$4-'минимумы и максимумы'!D$2)*100)</f>
        <v>25</v>
      </c>
      <c r="G404" s="1">
        <f>IF('исходные данные'!G404&gt;'минимумы и максимумы'!E$4,100,('исходные данные'!G404-'минимумы и максимумы'!E$2)/('минимумы и максимумы'!E$4-'минимумы и максимумы'!E$2)*100)</f>
        <v>13.513513513513514</v>
      </c>
      <c r="H404" s="1">
        <f>IF('исходные данные'!H404&gt;'минимумы и максимумы'!F$4,100,('исходные данные'!H404-'минимумы и максимумы'!F$2)/('минимумы и максимумы'!F$4-'минимумы и максимумы'!F$2)*100)</f>
        <v>23.684210526315788</v>
      </c>
      <c r="I404" s="1">
        <f>IF('исходные данные'!I404&gt;'минимумы и максимумы'!G$4,100,('исходные данные'!I404-'минимумы и максимумы'!G$2)/('минимумы и максимумы'!G$4-'минимумы и максимумы'!G$2)*100)</f>
        <v>6.024096385542169</v>
      </c>
      <c r="J404" s="1">
        <f>IF('исходные данные'!J404&gt;'минимумы и максимумы'!H$4,100,('исходные данные'!J404-'минимумы и максимумы'!H$2)/('минимумы и максимумы'!H$4-'минимумы и максимумы'!H$2)*100)</f>
        <v>4.1666666666666661</v>
      </c>
      <c r="K404" s="1">
        <f>IF('исходные данные'!K404&gt;'минимумы и максимумы'!I$4,100,('исходные данные'!K404-'минимумы и максимумы'!I$2)/('минимумы и максимумы'!I$4-'минимумы и максимумы'!I$2)*100)</f>
        <v>0</v>
      </c>
      <c r="L404" s="1">
        <f>IF('исходные данные'!L404&gt;'минимумы и максимумы'!J$4,100,('исходные данные'!L404-'минимумы и максимумы'!J$2)/('минимумы и максимумы'!J$4-'минимумы и максимумы'!J$2)*100)</f>
        <v>0</v>
      </c>
      <c r="M404" s="1">
        <f>IF('исходные данные'!M404&gt;'минимумы и максимумы'!K$4,100,('исходные данные'!M404-'минимумы и максимумы'!K$2)/('минимумы и максимумы'!K$4-'минимумы и максимумы'!K$2)*100)</f>
        <v>8.5106382978723403</v>
      </c>
      <c r="N404" s="1">
        <f>IF('исходные данные'!N404&gt;'минимумы и максимумы'!L$4,100,('исходные данные'!N404-'минимумы и максимумы'!L$2)/('минимумы и максимумы'!L$4-'минимумы и максимумы'!L$2)*100)</f>
        <v>37.937184244716747</v>
      </c>
      <c r="O404" s="1">
        <f>IF('исходные данные'!O404&gt;'минимумы и максимумы'!M$4,100,('исходные данные'!O404-'минимумы и максимумы'!M$2)/('минимумы и максимумы'!M$4-'минимумы и максимумы'!M$2)*100)</f>
        <v>100</v>
      </c>
      <c r="P404" s="1">
        <f>IF('исходные данные'!P404&gt;'минимумы и максимумы'!N$4,100,('исходные данные'!P404-'минимумы и максимумы'!N$2)/('минимумы и максимумы'!N$4-'минимумы и максимумы'!N$2)*100)</f>
        <v>0</v>
      </c>
      <c r="Q404" s="1">
        <f>IF('исходные данные'!Q404&gt;'минимумы и максимумы'!O$4,100,('исходные данные'!Q404-'минимумы и максимумы'!O$2)/('минимумы и максимумы'!O$4-'минимумы и максимумы'!O$2)*100)</f>
        <v>100</v>
      </c>
      <c r="R404" s="1">
        <f>IF('исходные данные'!R404&gt;'минимумы и максимумы'!P$4,100,('исходные данные'!R404-'минимумы и максимумы'!P$2)/('минимумы и максимумы'!P$4-'минимумы и максимумы'!P$2)*100)</f>
        <v>100</v>
      </c>
      <c r="S404" s="1">
        <f>IF('исходные данные'!S404&gt;'минимумы и максимумы'!Q$4,100,('исходные данные'!S404-'минимумы и максимумы'!Q$2)/('минимумы и максимумы'!Q$4-'минимумы и максимумы'!Q$2)*100)</f>
        <v>33.333333333333329</v>
      </c>
      <c r="T404" s="1">
        <f>IF('исходные данные'!T404&gt;'минимумы и максимумы'!R$4,100,('исходные данные'!T404-'минимумы и максимумы'!R$2)/('минимумы и максимумы'!R$4-'минимумы и максимумы'!R$2)*100)</f>
        <v>52.186421173762945</v>
      </c>
      <c r="U404" s="1">
        <f>IF('исходные данные'!U404&gt;'минимумы и максимумы'!S$4,100,('исходные данные'!U404-'минимумы и максимумы'!S$2)/('минимумы и максимумы'!S$4-'минимумы и максимумы'!S$2)*100)</f>
        <v>33.333333333333329</v>
      </c>
    </row>
    <row r="405" spans="1:21" x14ac:dyDescent="0.45">
      <c r="A405" s="4">
        <v>523</v>
      </c>
      <c r="B405" s="4">
        <v>0</v>
      </c>
      <c r="C405" s="4">
        <v>0</v>
      </c>
      <c r="D405" s="1">
        <f>IF('исходные данные'!D405&gt;'минимумы и максимумы'!B$4,100,('исходные данные'!D405-'минимумы и максимумы'!B$2)/('минимумы и максимумы'!B$4-'минимумы и максимумы'!B$2)*100)</f>
        <v>37.5</v>
      </c>
      <c r="E405" s="1">
        <f>IF('исходные данные'!E405&gt;'минимумы и максимумы'!C$4,100,('исходные данные'!E405-'минимумы и максимумы'!C$2)/('минимумы и максимумы'!C$4-'минимумы и максимумы'!C$2)*100)</f>
        <v>18.75</v>
      </c>
      <c r="F405" s="1">
        <f>IF('исходные данные'!F405&gt;'минимумы и максимумы'!D$4,100,('исходные данные'!F405-'минимумы и максимумы'!D$2)/('минимумы и максимумы'!D$4-'минимумы и максимумы'!D$2)*100)</f>
        <v>0</v>
      </c>
      <c r="G405" s="1">
        <f>IF('исходные данные'!G405&gt;'минимумы и максимумы'!E$4,100,('исходные данные'!G405-'минимумы и максимумы'!E$2)/('минимумы и максимумы'!E$4-'минимумы и максимумы'!E$2)*100)</f>
        <v>29.72972972972973</v>
      </c>
      <c r="H405" s="1">
        <f>IF('исходные данные'!H405&gt;'минимумы и максимумы'!F$4,100,('исходные данные'!H405-'минимумы и максимумы'!F$2)/('минимумы и максимумы'!F$4-'минимумы и максимумы'!F$2)*100)</f>
        <v>26.315789473684209</v>
      </c>
      <c r="I405" s="1">
        <f>IF('исходные данные'!I405&gt;'минимумы и максимумы'!G$4,100,('исходные данные'!I405-'минимумы и максимумы'!G$2)/('минимумы и максимумы'!G$4-'минимумы и максимумы'!G$2)*100)</f>
        <v>9.6385542168674707</v>
      </c>
      <c r="J405" s="1">
        <f>IF('исходные данные'!J405&gt;'минимумы и максимумы'!H$4,100,('исходные данные'!J405-'минимумы и максимумы'!H$2)/('минимумы и максимумы'!H$4-'минимумы и максимумы'!H$2)*100)</f>
        <v>0</v>
      </c>
      <c r="K405" s="1">
        <f>IF('исходные данные'!K405&gt;'минимумы и максимумы'!I$4,100,('исходные данные'!K405-'минимумы и максимумы'!I$2)/('минимумы и максимумы'!I$4-'минимумы и максимумы'!I$2)*100)</f>
        <v>0</v>
      </c>
      <c r="L405" s="1">
        <f>IF('исходные данные'!L405&gt;'минимумы и максимумы'!J$4,100,('исходные данные'!L405-'минимумы и максимумы'!J$2)/('минимумы и максимумы'!J$4-'минимумы и максимумы'!J$2)*100)</f>
        <v>25</v>
      </c>
      <c r="M405" s="1">
        <f>IF('исходные данные'!M405&gt;'минимумы и максимумы'!K$4,100,('исходные данные'!M405-'минимумы и максимумы'!K$2)/('минимумы и максимумы'!K$4-'минимумы и максимумы'!K$2)*100)</f>
        <v>14.893617021276595</v>
      </c>
      <c r="N405" s="1">
        <f>IF('исходные данные'!N405&gt;'минимумы и максимумы'!L$4,100,('исходные данные'!N405-'минимумы и максимумы'!L$2)/('минимумы и максимумы'!L$4-'минимумы и максимумы'!L$2)*100)</f>
        <v>37.906035598121491</v>
      </c>
      <c r="O405" s="1">
        <f>IF('исходные данные'!O405&gt;'минимумы и максимумы'!M$4,100,('исходные данные'!O405-'минимумы и максимумы'!M$2)/('минимумы и максимумы'!M$4-'минимумы и максимумы'!M$2)*100)</f>
        <v>100</v>
      </c>
      <c r="P405" s="1">
        <f>IF('исходные данные'!P405&gt;'минимумы и максимумы'!N$4,100,('исходные данные'!P405-'минимумы и максимумы'!N$2)/('минимумы и максимумы'!N$4-'минимумы и максимумы'!N$2)*100)</f>
        <v>0</v>
      </c>
      <c r="Q405" s="1">
        <f>IF('исходные данные'!Q405&gt;'минимумы и максимумы'!O$4,100,('исходные данные'!Q405-'минимумы и максимумы'!O$2)/('минимумы и максимумы'!O$4-'минимумы и максимумы'!O$2)*100)</f>
        <v>100</v>
      </c>
      <c r="R405" s="1">
        <f>IF('исходные данные'!R405&gt;'минимумы и максимумы'!P$4,100,('исходные данные'!R405-'минимумы и максимумы'!P$2)/('минимумы и максимумы'!P$4-'минимумы и максимумы'!P$2)*100)</f>
        <v>100</v>
      </c>
      <c r="S405" s="1">
        <f>IF('исходные данные'!S405&gt;'минимумы и максимумы'!Q$4,100,('исходные данные'!S405-'минимумы и максимумы'!Q$2)/('минимумы и максимумы'!Q$4-'минимумы и максимумы'!Q$2)*100)</f>
        <v>22.222222222222221</v>
      </c>
      <c r="T405" s="1">
        <f>IF('исходные данные'!T405&gt;'минимумы и максимумы'!R$4,100,('исходные данные'!T405-'минимумы и максимумы'!R$2)/('минимумы и максимумы'!R$4-'минимумы и максимумы'!R$2)*100)</f>
        <v>16.484464902186421</v>
      </c>
      <c r="U405" s="1">
        <f>IF('исходные данные'!U405&gt;'минимумы и максимумы'!S$4,100,('исходные данные'!U405-'минимумы и максимумы'!S$2)/('минимумы и максимумы'!S$4-'минимумы и максимумы'!S$2)*100)</f>
        <v>0</v>
      </c>
    </row>
    <row r="406" spans="1:21" x14ac:dyDescent="0.45">
      <c r="A406" s="4">
        <v>524</v>
      </c>
      <c r="B406" s="4">
        <v>1</v>
      </c>
      <c r="C406" s="4">
        <v>0</v>
      </c>
      <c r="D406" s="1">
        <f>IF('исходные данные'!D406&gt;'минимумы и максимумы'!B$4,100,('исходные данные'!D406-'минимумы и максимумы'!B$2)/('минимумы и максимумы'!B$4-'минимумы и максимумы'!B$2)*100)</f>
        <v>0</v>
      </c>
      <c r="E406" s="1">
        <f>IF('исходные данные'!E406&gt;'минимумы и максимумы'!C$4,100,('исходные данные'!E406-'минимумы и максимумы'!C$2)/('минимумы и максимумы'!C$4-'минимумы и максимумы'!C$2)*100)</f>
        <v>18.75</v>
      </c>
      <c r="F406" s="1">
        <f>IF('исходные данные'!F406&gt;'минимумы и максимумы'!D$4,100,('исходные данные'!F406-'минимумы и максимумы'!D$2)/('минимумы и максимумы'!D$4-'минимумы и максимумы'!D$2)*100)</f>
        <v>25</v>
      </c>
      <c r="G406" s="1">
        <f>IF('исходные данные'!G406&gt;'минимумы и максимумы'!E$4,100,('исходные данные'!G406-'минимумы и максимумы'!E$2)/('минимумы и максимумы'!E$4-'минимумы и максимумы'!E$2)*100)</f>
        <v>32.432432432432435</v>
      </c>
      <c r="H406" s="1">
        <f>IF('исходные данные'!H406&gt;'минимумы и максимумы'!F$4,100,('исходные данные'!H406-'минимумы и максимумы'!F$2)/('минимумы и максимумы'!F$4-'минимумы и максимумы'!F$2)*100)</f>
        <v>47.368421052631575</v>
      </c>
      <c r="I406" s="1">
        <f>IF('исходные данные'!I406&gt;'минимумы и максимумы'!G$4,100,('исходные данные'!I406-'минимумы и максимумы'!G$2)/('минимумы и максимумы'!G$4-'минимумы и максимумы'!G$2)*100)</f>
        <v>36.144578313253014</v>
      </c>
      <c r="J406" s="1">
        <f>IF('исходные данные'!J406&gt;'минимумы и максимумы'!H$4,100,('исходные данные'!J406-'минимумы и максимумы'!H$2)/('минимумы и максимумы'!H$4-'минимумы и максимумы'!H$2)*100)</f>
        <v>0</v>
      </c>
      <c r="K406" s="1">
        <f>IF('исходные данные'!K406&gt;'минимумы и максимумы'!I$4,100,('исходные данные'!K406-'минимумы и максимумы'!I$2)/('минимумы и максимумы'!I$4-'минимумы и максимумы'!I$2)*100)</f>
        <v>3.5714285714285712</v>
      </c>
      <c r="L406" s="1">
        <f>IF('исходные данные'!L406&gt;'минимумы и максимумы'!J$4,100,('исходные данные'!L406-'минимумы и максимумы'!J$2)/('минимумы и максимумы'!J$4-'минимумы и максимумы'!J$2)*100)</f>
        <v>100</v>
      </c>
      <c r="M406" s="1">
        <f>IF('исходные данные'!M406&gt;'минимумы и максимумы'!K$4,100,('исходные данные'!M406-'минимумы и максимумы'!K$2)/('минимумы и максимумы'!K$4-'минимумы и максимумы'!K$2)*100)</f>
        <v>17.021276595744681</v>
      </c>
      <c r="N406" s="1">
        <f>IF('исходные данные'!N406&gt;'минимумы и максимумы'!L$4,100,('исходные данные'!N406-'минимумы и максимумы'!L$2)/('минимумы и максимумы'!L$4-'минимумы и максимумы'!L$2)*100)</f>
        <v>33.963773691762682</v>
      </c>
      <c r="O406" s="1">
        <f>IF('исходные данные'!O406&gt;'минимумы и максимумы'!M$4,100,('исходные данные'!O406-'минимумы и максимумы'!M$2)/('минимумы и максимумы'!M$4-'минимумы и максимумы'!M$2)*100)</f>
        <v>100</v>
      </c>
      <c r="P406" s="1">
        <f>IF('исходные данные'!P406&gt;'минимумы и максимумы'!N$4,100,('исходные данные'!P406-'минимумы и максимумы'!N$2)/('минимумы и максимумы'!N$4-'минимумы и максимумы'!N$2)*100)</f>
        <v>0</v>
      </c>
      <c r="Q406" s="1">
        <f>IF('исходные данные'!Q406&gt;'минимумы и максимумы'!O$4,100,('исходные данные'!Q406-'минимумы и максимумы'!O$2)/('минимумы и максимумы'!O$4-'минимумы и максимумы'!O$2)*100)</f>
        <v>100</v>
      </c>
      <c r="R406" s="1">
        <f>IF('исходные данные'!R406&gt;'минимумы и максимумы'!P$4,100,('исходные данные'!R406-'минимумы и максимумы'!P$2)/('минимумы и максимумы'!P$4-'минимумы и максимумы'!P$2)*100)</f>
        <v>100</v>
      </c>
      <c r="S406" s="1">
        <f>IF('исходные данные'!S406&gt;'минимумы и максимумы'!Q$4,100,('исходные данные'!S406-'минимумы и максимумы'!Q$2)/('минимумы и максимумы'!Q$4-'минимумы и максимумы'!Q$2)*100)</f>
        <v>22.222222222222221</v>
      </c>
      <c r="T406" s="1">
        <f>IF('исходные данные'!T406&gt;'минимумы и максимумы'!R$4,100,('исходные данные'!T406-'минимумы и максимумы'!R$2)/('минимумы и максимумы'!R$4-'минимумы и максимумы'!R$2)*100)</f>
        <v>33.88952819332566</v>
      </c>
      <c r="U406" s="1">
        <f>IF('исходные данные'!U406&gt;'минимумы и максимумы'!S$4,100,('исходные данные'!U406-'минимумы и максимумы'!S$2)/('минимумы и максимумы'!S$4-'минимумы и максимумы'!S$2)*100)</f>
        <v>66.666666666666657</v>
      </c>
    </row>
    <row r="407" spans="1:21" x14ac:dyDescent="0.45">
      <c r="A407" s="4">
        <v>525</v>
      </c>
      <c r="B407" s="4">
        <v>0</v>
      </c>
      <c r="C407" s="4">
        <v>0</v>
      </c>
      <c r="D407" s="1">
        <f>IF('исходные данные'!D407&gt;'минимумы и максимумы'!B$4,100,('исходные данные'!D407-'минимумы и максимумы'!B$2)/('минимумы и максимумы'!B$4-'минимумы и максимумы'!B$2)*100)</f>
        <v>37.5</v>
      </c>
      <c r="E407" s="1">
        <f>IF('исходные данные'!E407&gt;'минимумы и максимумы'!C$4,100,('исходные данные'!E407-'минимумы и максимумы'!C$2)/('минимумы и максимумы'!C$4-'минимумы и максимумы'!C$2)*100)</f>
        <v>25</v>
      </c>
      <c r="F407" s="1">
        <f>IF('исходные данные'!F407&gt;'минимумы и максимумы'!D$4,100,('исходные данные'!F407-'минимумы и максимумы'!D$2)/('минимумы и максимумы'!D$4-'минимумы и максимумы'!D$2)*100)</f>
        <v>25</v>
      </c>
      <c r="G407" s="1">
        <f>IF('исходные данные'!G407&gt;'минимумы и максимумы'!E$4,100,('исходные данные'!G407-'минимумы и максимумы'!E$2)/('минимумы и максимумы'!E$4-'минимумы и максимумы'!E$2)*100)</f>
        <v>16.216216216216218</v>
      </c>
      <c r="H407" s="1">
        <f>IF('исходные данные'!H407&gt;'минимумы и максимумы'!F$4,100,('исходные данные'!H407-'минимумы и максимумы'!F$2)/('минимумы и максимумы'!F$4-'минимумы и максимумы'!F$2)*100)</f>
        <v>31.578947368421051</v>
      </c>
      <c r="I407" s="1">
        <f>IF('исходные данные'!I407&gt;'минимумы и максимумы'!G$4,100,('исходные данные'!I407-'минимумы и максимумы'!G$2)/('минимумы и максимумы'!G$4-'минимумы и максимумы'!G$2)*100)</f>
        <v>8.4337349397590362</v>
      </c>
      <c r="J407" s="1">
        <f>IF('исходные данные'!J407&gt;'минимумы и максимумы'!H$4,100,('исходные данные'!J407-'минимумы и максимумы'!H$2)/('минимумы и максимумы'!H$4-'минимумы и максимумы'!H$2)*100)</f>
        <v>0</v>
      </c>
      <c r="K407" s="1">
        <f>IF('исходные данные'!K407&gt;'минимумы и максимумы'!I$4,100,('исходные данные'!K407-'минимумы и максимумы'!I$2)/('минимумы и максимумы'!I$4-'минимумы и максимумы'!I$2)*100)</f>
        <v>0</v>
      </c>
      <c r="L407" s="1">
        <f>IF('исходные данные'!L407&gt;'минимумы и максимумы'!J$4,100,('исходные данные'!L407-'минимумы и максимумы'!J$2)/('минимумы и максимумы'!J$4-'минимумы и максимумы'!J$2)*100)</f>
        <v>0</v>
      </c>
      <c r="M407" s="1">
        <f>IF('исходные данные'!M407&gt;'минимумы и максимумы'!K$4,100,('исходные данные'!M407-'минимумы и максимумы'!K$2)/('минимумы и максимумы'!K$4-'минимумы и максимумы'!K$2)*100)</f>
        <v>48.936170212765958</v>
      </c>
      <c r="N407" s="1">
        <f>IF('исходные данные'!N407&gt;'минимумы и максимумы'!L$4,100,('исходные данные'!N407-'минимумы и максимумы'!L$2)/('минимумы и максимумы'!L$4-'минимумы и максимумы'!L$2)*100)</f>
        <v>32.851445140019344</v>
      </c>
      <c r="O407" s="1">
        <f>IF('исходные данные'!O407&gt;'минимумы и максимумы'!M$4,100,('исходные данные'!O407-'минимумы и максимумы'!M$2)/('минимумы и максимумы'!M$4-'минимумы и максимумы'!M$2)*100)</f>
        <v>66.666666666666657</v>
      </c>
      <c r="P407" s="1">
        <f>IF('исходные данные'!P407&gt;'минимумы и максимумы'!N$4,100,('исходные данные'!P407-'минимумы и максимумы'!N$2)/('минимумы и максимумы'!N$4-'минимумы и максимумы'!N$2)*100)</f>
        <v>0</v>
      </c>
      <c r="Q407" s="1">
        <f>IF('исходные данные'!Q407&gt;'минимумы и максимумы'!O$4,100,('исходные данные'!Q407-'минимумы и максимумы'!O$2)/('минимумы и максимумы'!O$4-'минимумы и максимумы'!O$2)*100)</f>
        <v>0</v>
      </c>
      <c r="R407" s="1">
        <f>IF('исходные данные'!R407&gt;'минимумы и максимумы'!P$4,100,('исходные данные'!R407-'минимумы и максимумы'!P$2)/('минимумы и максимумы'!P$4-'минимумы и максимумы'!P$2)*100)</f>
        <v>25</v>
      </c>
      <c r="S407" s="1">
        <f>IF('исходные данные'!S407&gt;'минимумы и максимумы'!Q$4,100,('исходные данные'!S407-'минимумы и максимумы'!Q$2)/('минимумы и максимумы'!Q$4-'минимумы и максимумы'!Q$2)*100)</f>
        <v>33.333333333333329</v>
      </c>
      <c r="T407" s="1">
        <f>IF('исходные данные'!T407&gt;'минимумы и максимумы'!R$4,100,('исходные данные'!T407-'минимумы и максимумы'!R$2)/('минимумы и максимумы'!R$4-'минимумы и максимумы'!R$2)*100)</f>
        <v>23.849252013808975</v>
      </c>
      <c r="U407" s="1">
        <f>IF('исходные данные'!U407&gt;'минимумы и максимумы'!S$4,100,('исходные данные'!U407-'минимумы и максимумы'!S$2)/('минимумы и максимумы'!S$4-'минимумы и максимумы'!S$2)*100)</f>
        <v>33.333333333333329</v>
      </c>
    </row>
    <row r="408" spans="1:21" x14ac:dyDescent="0.45">
      <c r="A408" s="4">
        <v>528</v>
      </c>
      <c r="B408" s="4">
        <v>0</v>
      </c>
      <c r="C408" s="4">
        <v>1</v>
      </c>
      <c r="D408" s="1">
        <f>IF('исходные данные'!D408&gt;'минимумы и максимумы'!B$4,100,('исходные данные'!D408-'минимумы и максимумы'!B$2)/('минимумы и максимумы'!B$4-'минимумы и максимумы'!B$2)*100)</f>
        <v>0</v>
      </c>
      <c r="E408" s="1">
        <f>IF('исходные данные'!E408&gt;'минимумы и максимумы'!C$4,100,('исходные данные'!E408-'минимумы и максимумы'!C$2)/('минимумы и максимумы'!C$4-'минимумы и максимумы'!C$2)*100)</f>
        <v>0</v>
      </c>
      <c r="F408" s="1">
        <f>IF('исходные данные'!F408&gt;'минимумы и максимумы'!D$4,100,('исходные данные'!F408-'минимумы и максимумы'!D$2)/('минимумы и максимумы'!D$4-'минимумы и максимумы'!D$2)*100)</f>
        <v>0</v>
      </c>
      <c r="G408" s="1">
        <f>IF('исходные данные'!G408&gt;'минимумы и максимумы'!E$4,100,('исходные данные'!G408-'минимумы и максимумы'!E$2)/('минимумы и максимумы'!E$4-'минимумы и максимумы'!E$2)*100)</f>
        <v>5.4054054054054053</v>
      </c>
      <c r="H408" s="1">
        <f>IF('исходные данные'!H408&gt;'минимумы и максимумы'!F$4,100,('исходные данные'!H408-'минимумы и максимумы'!F$2)/('минимумы и максимумы'!F$4-'минимумы и максимумы'!F$2)*100)</f>
        <v>7.8947368421052628</v>
      </c>
      <c r="I408" s="1">
        <f>IF('исходные данные'!I408&gt;'минимумы и максимумы'!G$4,100,('исходные данные'!I408-'минимумы и максимумы'!G$2)/('минимумы и максимумы'!G$4-'минимумы и максимумы'!G$2)*100)</f>
        <v>0</v>
      </c>
      <c r="J408" s="1">
        <f>IF('исходные данные'!J408&gt;'минимумы и максимумы'!H$4,100,('исходные данные'!J408-'минимумы и максимумы'!H$2)/('минимумы и максимумы'!H$4-'минимумы и максимумы'!H$2)*100)</f>
        <v>0</v>
      </c>
      <c r="K408" s="1">
        <f>IF('исходные данные'!K408&gt;'минимумы и максимумы'!I$4,100,('исходные данные'!K408-'минимумы и максимумы'!I$2)/('минимумы и максимумы'!I$4-'минимумы и максимумы'!I$2)*100)</f>
        <v>0</v>
      </c>
      <c r="L408" s="1">
        <f>IF('исходные данные'!L408&gt;'минимумы и максимумы'!J$4,100,('исходные данные'!L408-'минимумы и максимумы'!J$2)/('минимумы и максимумы'!J$4-'минимумы и максимумы'!J$2)*100)</f>
        <v>0</v>
      </c>
      <c r="M408" s="1">
        <f>IF('исходные данные'!M408&gt;'минимумы и максимумы'!K$4,100,('исходные данные'!M408-'минимумы и максимумы'!K$2)/('минимумы и максимумы'!K$4-'минимумы и максимумы'!K$2)*100)</f>
        <v>14.893617021276595</v>
      </c>
      <c r="N408" s="1">
        <f>IF('исходные данные'!N408&gt;'минимумы и максимумы'!L$4,100,('исходные данные'!N408-'минимумы и максимумы'!L$2)/('минимумы и максимумы'!L$4-'минимумы и максимумы'!L$2)*100)</f>
        <v>55.90943215117624</v>
      </c>
      <c r="O408" s="1">
        <f>IF('исходные данные'!O408&gt;'минимумы и максимумы'!M$4,100,('исходные данные'!O408-'минимумы и максимумы'!M$2)/('минимумы и максимумы'!M$4-'минимумы и максимумы'!M$2)*100)</f>
        <v>66.666666666666657</v>
      </c>
      <c r="P408" s="1">
        <f>IF('исходные данные'!P408&gt;'минимумы и максимумы'!N$4,100,('исходные данные'!P408-'минимумы и максимумы'!N$2)/('минимумы и максимумы'!N$4-'минимумы и максимумы'!N$2)*100)</f>
        <v>0</v>
      </c>
      <c r="Q408" s="1">
        <f>IF('исходные данные'!Q408&gt;'минимумы и максимумы'!O$4,100,('исходные данные'!Q408-'минимумы и максимумы'!O$2)/('минимумы и максимумы'!O$4-'минимумы и максимумы'!O$2)*100)</f>
        <v>0</v>
      </c>
      <c r="R408" s="1">
        <f>IF('исходные данные'!R408&gt;'минимумы и максимумы'!P$4,100,('исходные данные'!R408-'минимумы и максимумы'!P$2)/('минимумы и максимумы'!P$4-'минимумы и максимумы'!P$2)*100)</f>
        <v>100</v>
      </c>
      <c r="S408" s="1">
        <f>IF('исходные данные'!S408&gt;'минимумы и максимумы'!Q$4,100,('исходные данные'!S408-'минимумы и максимумы'!Q$2)/('минимумы и максимумы'!Q$4-'минимумы и максимумы'!Q$2)*100)</f>
        <v>11.111111111111111</v>
      </c>
      <c r="T408" s="1">
        <f>IF('исходные данные'!T408&gt;'минимумы и максимумы'!R$4,100,('исходные данные'!T408-'минимумы и максимумы'!R$2)/('минимумы и максимумы'!R$4-'минимумы и максимумы'!R$2)*100)</f>
        <v>0.83429228998849247</v>
      </c>
      <c r="U408" s="1">
        <f>IF('исходные данные'!U408&gt;'минимумы и максимумы'!S$4,100,('исходные данные'!U408-'минимумы и максимумы'!S$2)/('минимумы и максимумы'!S$4-'минимумы и максимумы'!S$2)*100)</f>
        <v>0</v>
      </c>
    </row>
    <row r="409" spans="1:21" x14ac:dyDescent="0.45">
      <c r="A409" s="4">
        <v>529</v>
      </c>
      <c r="B409" s="4">
        <v>0</v>
      </c>
      <c r="C409" s="4">
        <v>1</v>
      </c>
      <c r="D409" s="1">
        <f>IF('исходные данные'!D409&gt;'минимумы и максимумы'!B$4,100,('исходные данные'!D409-'минимумы и максимумы'!B$2)/('минимумы и максимумы'!B$4-'минимумы и максимумы'!B$2)*100)</f>
        <v>0</v>
      </c>
      <c r="E409" s="1">
        <f>IF('исходные данные'!E409&gt;'минимумы и максимумы'!C$4,100,('исходные данные'!E409-'минимумы и максимумы'!C$2)/('минимумы и максимумы'!C$4-'минимумы и максимумы'!C$2)*100)</f>
        <v>6.25</v>
      </c>
      <c r="F409" s="1">
        <f>IF('исходные данные'!F409&gt;'минимумы и максимумы'!D$4,100,('исходные данные'!F409-'минимумы и максимумы'!D$2)/('минимумы и максимумы'!D$4-'минимумы и максимумы'!D$2)*100)</f>
        <v>0</v>
      </c>
      <c r="G409" s="1">
        <f>IF('исходные данные'!G409&gt;'минимумы и максимумы'!E$4,100,('исходные данные'!G409-'минимумы и максимумы'!E$2)/('минимумы и максимумы'!E$4-'минимумы и максимумы'!E$2)*100)</f>
        <v>5.4054054054054053</v>
      </c>
      <c r="H409" s="1">
        <f>IF('исходные данные'!H409&gt;'минимумы и максимумы'!F$4,100,('исходные данные'!H409-'минимумы и максимумы'!F$2)/('минимумы и максимумы'!F$4-'минимумы и максимумы'!F$2)*100)</f>
        <v>7.8947368421052628</v>
      </c>
      <c r="I409" s="1">
        <f>IF('исходные данные'!I409&gt;'минимумы и максимумы'!G$4,100,('исходные данные'!I409-'минимумы и максимумы'!G$2)/('минимумы и максимумы'!G$4-'минимумы и максимумы'!G$2)*100)</f>
        <v>0</v>
      </c>
      <c r="J409" s="1">
        <f>IF('исходные данные'!J409&gt;'минимумы и максимумы'!H$4,100,('исходные данные'!J409-'минимумы и максимумы'!H$2)/('минимумы и максимумы'!H$4-'минимумы и максимумы'!H$2)*100)</f>
        <v>0</v>
      </c>
      <c r="K409" s="1">
        <f>IF('исходные данные'!K409&gt;'минимумы и максимумы'!I$4,100,('исходные данные'!K409-'минимумы и максимумы'!I$2)/('минимумы и максимумы'!I$4-'минимумы и максимумы'!I$2)*100)</f>
        <v>0</v>
      </c>
      <c r="L409" s="1">
        <f>IF('исходные данные'!L409&gt;'минимумы и максимумы'!J$4,100,('исходные данные'!L409-'минимумы и максимумы'!J$2)/('минимумы и максимумы'!J$4-'минимумы и максимумы'!J$2)*100)</f>
        <v>0</v>
      </c>
      <c r="M409" s="1">
        <f>IF('исходные данные'!M409&gt;'минимумы и максимумы'!K$4,100,('исходные данные'!M409-'минимумы и максимумы'!K$2)/('минимумы и максимумы'!K$4-'минимумы и максимумы'!K$2)*100)</f>
        <v>6.3829787234042552</v>
      </c>
      <c r="N409" s="1">
        <f>IF('исходные данные'!N409&gt;'минимумы и максимумы'!L$4,100,('исходные данные'!N409-'минимумы и максимумы'!L$2)/('минимумы и максимумы'!L$4-'минимумы и максимумы'!L$2)*100)</f>
        <v>55.745262366252845</v>
      </c>
      <c r="O409" s="1">
        <f>IF('исходные данные'!O409&gt;'минимумы и максимумы'!M$4,100,('исходные данные'!O409-'минимумы и максимумы'!M$2)/('минимумы и максимумы'!M$4-'минимумы и максимумы'!M$2)*100)</f>
        <v>66.666666666666657</v>
      </c>
      <c r="P409" s="1">
        <f>IF('исходные данные'!P409&gt;'минимумы и максимумы'!N$4,100,('исходные данные'!P409-'минимумы и максимумы'!N$2)/('минимумы и максимумы'!N$4-'минимумы и максимумы'!N$2)*100)</f>
        <v>0</v>
      </c>
      <c r="Q409" s="1">
        <f>IF('исходные данные'!Q409&gt;'минимумы и максимумы'!O$4,100,('исходные данные'!Q409-'минимумы и максимумы'!O$2)/('минимумы и максимумы'!O$4-'минимумы и максимумы'!O$2)*100)</f>
        <v>0</v>
      </c>
      <c r="R409" s="1">
        <f>IF('исходные данные'!R409&gt;'минимумы и максимумы'!P$4,100,('исходные данные'!R409-'минимумы и максимумы'!P$2)/('минимумы и максимумы'!P$4-'минимумы и максимумы'!P$2)*100)</f>
        <v>100</v>
      </c>
      <c r="S409" s="1">
        <f>IF('исходные данные'!S409&gt;'минимумы и максимумы'!Q$4,100,('исходные данные'!S409-'минимумы и максимумы'!Q$2)/('минимумы и максимумы'!Q$4-'минимумы и максимумы'!Q$2)*100)</f>
        <v>11.111111111111111</v>
      </c>
      <c r="T409" s="1">
        <f>IF('исходные данные'!T409&gt;'минимумы и максимумы'!R$4,100,('исходные данные'!T409-'минимумы и максимумы'!R$2)/('минимумы и максимумы'!R$4-'минимумы и максимумы'!R$2)*100)</f>
        <v>1.6973532796317605</v>
      </c>
      <c r="U409" s="1">
        <f>IF('исходные данные'!U409&gt;'минимумы и максимумы'!S$4,100,('исходные данные'!U409-'минимумы и максимумы'!S$2)/('минимумы и максимумы'!S$4-'минимумы и максимумы'!S$2)*100)</f>
        <v>0</v>
      </c>
    </row>
    <row r="410" spans="1:21" x14ac:dyDescent="0.45">
      <c r="A410" s="4">
        <v>530</v>
      </c>
      <c r="B410" s="4">
        <v>0</v>
      </c>
      <c r="C410" s="4">
        <v>1</v>
      </c>
      <c r="D410" s="1">
        <f>IF('исходные данные'!D410&gt;'минимумы и максимумы'!B$4,100,('исходные данные'!D410-'минимумы и максимумы'!B$2)/('минимумы и максимумы'!B$4-'минимумы и максимумы'!B$2)*100)</f>
        <v>0</v>
      </c>
      <c r="E410" s="1">
        <f>IF('исходные данные'!E410&gt;'минимумы и максимумы'!C$4,100,('исходные данные'!E410-'минимумы и максимумы'!C$2)/('минимумы и максимумы'!C$4-'минимумы и максимумы'!C$2)*100)</f>
        <v>6.25</v>
      </c>
      <c r="F410" s="1">
        <f>IF('исходные данные'!F410&gt;'минимумы и максимумы'!D$4,100,('исходные данные'!F410-'минимумы и максимумы'!D$2)/('минимумы и максимумы'!D$4-'минимумы и максимумы'!D$2)*100)</f>
        <v>0</v>
      </c>
      <c r="G410" s="1">
        <f>IF('исходные данные'!G410&gt;'минимумы и максимумы'!E$4,100,('исходные данные'!G410-'минимумы и максимумы'!E$2)/('минимумы и максимумы'!E$4-'минимумы и максимумы'!E$2)*100)</f>
        <v>0</v>
      </c>
      <c r="H410" s="1">
        <f>IF('исходные данные'!H410&gt;'минимумы и максимумы'!F$4,100,('исходные данные'!H410-'минимумы и максимумы'!F$2)/('минимумы и максимумы'!F$4-'минимумы и максимумы'!F$2)*100)</f>
        <v>5.2631578947368416</v>
      </c>
      <c r="I410" s="1">
        <f>IF('исходные данные'!I410&gt;'минимумы и максимумы'!G$4,100,('исходные данные'!I410-'минимумы и максимумы'!G$2)/('минимумы и максимумы'!G$4-'минимумы и максимумы'!G$2)*100)</f>
        <v>1.2048192771084338</v>
      </c>
      <c r="J410" s="1">
        <f>IF('исходные данные'!J410&gt;'минимумы и максимумы'!H$4,100,('исходные данные'!J410-'минимумы и максимумы'!H$2)/('минимумы и максимумы'!H$4-'минимумы и максимумы'!H$2)*100)</f>
        <v>0</v>
      </c>
      <c r="K410" s="1">
        <f>IF('исходные данные'!K410&gt;'минимумы и максимумы'!I$4,100,('исходные данные'!K410-'минимумы и максимумы'!I$2)/('минимумы и максимумы'!I$4-'минимумы и максимумы'!I$2)*100)</f>
        <v>0</v>
      </c>
      <c r="L410" s="1">
        <f>IF('исходные данные'!L410&gt;'минимумы и максимумы'!J$4,100,('исходные данные'!L410-'минимумы и максимумы'!J$2)/('минимумы и максимумы'!J$4-'минимумы и максимумы'!J$2)*100)</f>
        <v>0</v>
      </c>
      <c r="M410" s="1">
        <f>IF('исходные данные'!M410&gt;'минимумы и максимумы'!K$4,100,('исходные данные'!M410-'минимумы и максимумы'!K$2)/('минимумы и максимумы'!K$4-'минимумы и максимумы'!K$2)*100)</f>
        <v>10.638297872340425</v>
      </c>
      <c r="N410" s="1">
        <f>IF('исходные данные'!N410&gt;'минимумы и максимумы'!L$4,100,('исходные данные'!N410-'минимумы и максимумы'!L$2)/('минимумы и максимумы'!L$4-'минимумы и максимумы'!L$2)*100)</f>
        <v>52.701523078963362</v>
      </c>
      <c r="O410" s="1">
        <f>IF('исходные данные'!O410&gt;'минимумы и максимумы'!M$4,100,('исходные данные'!O410-'минимумы и максимумы'!M$2)/('минимумы и максимумы'!M$4-'минимумы и максимумы'!M$2)*100)</f>
        <v>66.666666666666657</v>
      </c>
      <c r="P410" s="1">
        <f>IF('исходные данные'!P410&gt;'минимумы и максимумы'!N$4,100,('исходные данные'!P410-'минимумы и максимумы'!N$2)/('минимумы и максимумы'!N$4-'минимумы и максимумы'!N$2)*100)</f>
        <v>0</v>
      </c>
      <c r="Q410" s="1">
        <f>IF('исходные данные'!Q410&gt;'минимумы и максимумы'!O$4,100,('исходные данные'!Q410-'минимумы и максимумы'!O$2)/('минимумы и максимумы'!O$4-'минимумы и максимумы'!O$2)*100)</f>
        <v>0</v>
      </c>
      <c r="R410" s="1">
        <f>IF('исходные данные'!R410&gt;'минимумы и максимумы'!P$4,100,('исходные данные'!R410-'минимумы и максимумы'!P$2)/('минимумы и максимумы'!P$4-'минимумы и максимумы'!P$2)*100)</f>
        <v>50</v>
      </c>
      <c r="S410" s="1">
        <f>IF('исходные данные'!S410&gt;'минимумы и максимумы'!Q$4,100,('исходные данные'!S410-'минимумы и максимумы'!Q$2)/('минимумы и максимумы'!Q$4-'минимумы и максимумы'!Q$2)*100)</f>
        <v>33.333333333333329</v>
      </c>
      <c r="T410" s="1">
        <f>IF('исходные данные'!T410&gt;'минимумы и максимумы'!R$4,100,('исходные данные'!T410-'минимумы и максимумы'!R$2)/('минимумы и максимумы'!R$4-'минимумы и максимумы'!R$2)*100)</f>
        <v>4.3153049482163404</v>
      </c>
      <c r="U410" s="1">
        <f>IF('исходные данные'!U410&gt;'минимумы и максимумы'!S$4,100,('исходные данные'!U410-'минимумы и максимумы'!S$2)/('минимумы и максимумы'!S$4-'минимумы и максимумы'!S$2)*100)</f>
        <v>0</v>
      </c>
    </row>
    <row r="411" spans="1:21" x14ac:dyDescent="0.45">
      <c r="A411" s="4">
        <v>531</v>
      </c>
      <c r="B411" s="4">
        <v>0</v>
      </c>
      <c r="C411" s="4">
        <v>0</v>
      </c>
      <c r="D411" s="1">
        <f>IF('исходные данные'!D411&gt;'минимумы и максимумы'!B$4,100,('исходные данные'!D411-'минимумы и максимумы'!B$2)/('минимумы и максимумы'!B$4-'минимумы и максимумы'!B$2)*100)</f>
        <v>12.5</v>
      </c>
      <c r="E411" s="1">
        <f>IF('исходные данные'!E411&gt;'минимумы и максимумы'!C$4,100,('исходные данные'!E411-'минимумы и максимумы'!C$2)/('минимумы и максимумы'!C$4-'минимумы и максимумы'!C$2)*100)</f>
        <v>6.25</v>
      </c>
      <c r="F411" s="1">
        <f>IF('исходные данные'!F411&gt;'минимумы и максимумы'!D$4,100,('исходные данные'!F411-'минимумы и максимумы'!D$2)/('минимумы и максимумы'!D$4-'минимумы и максимумы'!D$2)*100)</f>
        <v>0</v>
      </c>
      <c r="G411" s="1">
        <f>IF('исходные данные'!G411&gt;'минимумы и максимумы'!E$4,100,('исходные данные'!G411-'минимумы и максимумы'!E$2)/('минимумы и максимумы'!E$4-'минимумы и максимумы'!E$2)*100)</f>
        <v>0</v>
      </c>
      <c r="H411" s="1">
        <f>IF('исходные данные'!H411&gt;'минимумы и максимумы'!F$4,100,('исходные данные'!H411-'минимумы и максимумы'!F$2)/('минимумы и максимумы'!F$4-'минимумы и максимумы'!F$2)*100)</f>
        <v>0</v>
      </c>
      <c r="I411" s="1">
        <f>IF('исходные данные'!I411&gt;'минимумы и максимумы'!G$4,100,('исходные данные'!I411-'минимумы и максимумы'!G$2)/('минимумы и максимумы'!G$4-'минимумы и максимумы'!G$2)*100)</f>
        <v>0</v>
      </c>
      <c r="J411" s="1">
        <f>IF('исходные данные'!J411&gt;'минимумы и максимумы'!H$4,100,('исходные данные'!J411-'минимумы и максимумы'!H$2)/('минимумы и максимумы'!H$4-'минимумы и максимумы'!H$2)*100)</f>
        <v>0</v>
      </c>
      <c r="K411" s="1">
        <f>IF('исходные данные'!K411&gt;'минимумы и максимумы'!I$4,100,('исходные данные'!K411-'минимумы и максимумы'!I$2)/('минимумы и максимумы'!I$4-'минимумы и максимумы'!I$2)*100)</f>
        <v>0</v>
      </c>
      <c r="L411" s="1">
        <f>IF('исходные данные'!L411&gt;'минимумы и максимумы'!J$4,100,('исходные данные'!L411-'минимумы и максимумы'!J$2)/('минимумы и максимумы'!J$4-'минимумы и максимумы'!J$2)*100)</f>
        <v>0</v>
      </c>
      <c r="M411" s="1">
        <f>IF('исходные данные'!M411&gt;'минимумы и максимумы'!K$4,100,('исходные данные'!M411-'минимумы и максимумы'!K$2)/('минимумы и максимумы'!K$4-'минимумы и максимумы'!K$2)*100)</f>
        <v>10.638297872340425</v>
      </c>
      <c r="N411" s="1">
        <f>IF('исходные данные'!N411&gt;'минимумы и максимумы'!L$4,100,('исходные данные'!N411-'минимумы и максимумы'!L$2)/('минимумы и максимумы'!L$4-'минимумы и максимумы'!L$2)*100)</f>
        <v>52.205745249092203</v>
      </c>
      <c r="O411" s="1">
        <f>IF('исходные данные'!O411&gt;'минимумы и максимумы'!M$4,100,('исходные данные'!O411-'минимумы и максимумы'!M$2)/('минимумы и максимумы'!M$4-'минимумы и максимумы'!M$2)*100)</f>
        <v>100</v>
      </c>
      <c r="P411" s="1">
        <f>IF('исходные данные'!P411&gt;'минимумы и максимумы'!N$4,100,('исходные данные'!P411-'минимумы и максимумы'!N$2)/('минимумы и максимумы'!N$4-'минимумы и максимумы'!N$2)*100)</f>
        <v>100</v>
      </c>
      <c r="Q411" s="1">
        <f>IF('исходные данные'!Q411&gt;'минимумы и максимумы'!O$4,100,('исходные данные'!Q411-'минимумы и максимумы'!O$2)/('минимумы и максимумы'!O$4-'минимумы и максимумы'!O$2)*100)</f>
        <v>100</v>
      </c>
      <c r="R411" s="1">
        <f>IF('исходные данные'!R411&gt;'минимумы и максимумы'!P$4,100,('исходные данные'!R411-'минимумы и максимумы'!P$2)/('минимумы и максимумы'!P$4-'минимумы и максимумы'!P$2)*100)</f>
        <v>25</v>
      </c>
      <c r="S411" s="1">
        <f>IF('исходные данные'!S411&gt;'минимумы и максимумы'!Q$4,100,('исходные данные'!S411-'минимумы и максимумы'!Q$2)/('минимумы и максимумы'!Q$4-'минимумы и максимумы'!Q$2)*100)</f>
        <v>22.222222222222221</v>
      </c>
      <c r="T411" s="1">
        <f>IF('исходные данные'!T411&gt;'минимумы и максимумы'!R$4,100,('исходные данные'!T411-'минимумы и максимумы'!R$2)/('минимумы и максимумы'!R$4-'минимумы и максимумы'!R$2)*100)</f>
        <v>14.787111622554661</v>
      </c>
      <c r="U411" s="1">
        <f>IF('исходные данные'!U411&gt;'минимумы и максимумы'!S$4,100,('исходные данные'!U411-'минимумы и максимумы'!S$2)/('минимумы и максимумы'!S$4-'минимумы и максимумы'!S$2)*100)</f>
        <v>33.333333333333329</v>
      </c>
    </row>
    <row r="412" spans="1:21" x14ac:dyDescent="0.45">
      <c r="A412" s="4">
        <v>532</v>
      </c>
      <c r="B412" s="4">
        <v>0</v>
      </c>
      <c r="C412" s="4">
        <v>0</v>
      </c>
      <c r="D412" s="1">
        <f>IF('исходные данные'!D412&gt;'минимумы и максимумы'!B$4,100,('исходные данные'!D412-'минимумы и максимумы'!B$2)/('минимумы и максимумы'!B$4-'минимумы и максимумы'!B$2)*100)</f>
        <v>0</v>
      </c>
      <c r="E412" s="1">
        <f>IF('исходные данные'!E412&gt;'минимумы и максимумы'!C$4,100,('исходные данные'!E412-'минимумы и максимумы'!C$2)/('минимумы и максимумы'!C$4-'минимумы и максимумы'!C$2)*100)</f>
        <v>0</v>
      </c>
      <c r="F412" s="1">
        <f>IF('исходные данные'!F412&gt;'минимумы и максимумы'!D$4,100,('исходные данные'!F412-'минимумы и максимумы'!D$2)/('минимумы и максимумы'!D$4-'минимумы и максимумы'!D$2)*100)</f>
        <v>0</v>
      </c>
      <c r="G412" s="1">
        <f>IF('исходные данные'!G412&gt;'минимумы и максимумы'!E$4,100,('исходные данные'!G412-'минимумы и максимумы'!E$2)/('минимумы и максимумы'!E$4-'минимумы и максимумы'!E$2)*100)</f>
        <v>8.1081081081081088</v>
      </c>
      <c r="H412" s="1">
        <f>IF('исходные данные'!H412&gt;'минимумы и максимумы'!F$4,100,('исходные данные'!H412-'минимумы и максимумы'!F$2)/('минимумы и максимумы'!F$4-'минимумы и максимумы'!F$2)*100)</f>
        <v>7.8947368421052628</v>
      </c>
      <c r="I412" s="1">
        <f>IF('исходные данные'!I412&gt;'минимумы и максимумы'!G$4,100,('исходные данные'!I412-'минимумы и максимумы'!G$2)/('минимумы и максимумы'!G$4-'минимумы и максимумы'!G$2)*100)</f>
        <v>6.024096385542169</v>
      </c>
      <c r="J412" s="1">
        <f>IF('исходные данные'!J412&gt;'минимумы и максимумы'!H$4,100,('исходные данные'!J412-'минимумы и максимумы'!H$2)/('минимумы и максимумы'!H$4-'минимумы и максимумы'!H$2)*100)</f>
        <v>8.3333333333333321</v>
      </c>
      <c r="K412" s="1">
        <f>IF('исходные данные'!K412&gt;'минимумы и максимумы'!I$4,100,('исходные данные'!K412-'минимумы и максимумы'!I$2)/('минимумы и максимумы'!I$4-'минимумы и максимумы'!I$2)*100)</f>
        <v>0</v>
      </c>
      <c r="L412" s="1">
        <f>IF('исходные данные'!L412&gt;'минимумы и максимумы'!J$4,100,('исходные данные'!L412-'минимумы и максимумы'!J$2)/('минимумы и максимумы'!J$4-'минимумы и максимумы'!J$2)*100)</f>
        <v>0</v>
      </c>
      <c r="M412" s="1">
        <f>IF('исходные данные'!M412&gt;'минимумы и максимумы'!K$4,100,('исходные данные'!M412-'минимумы и максимумы'!K$2)/('минимумы и максимумы'!K$4-'минимумы и максимумы'!K$2)*100)</f>
        <v>31.914893617021278</v>
      </c>
      <c r="N412" s="1">
        <f>IF('исходные данные'!N412&gt;'минимумы и максимумы'!L$4,100,('исходные данные'!N412-'минимумы и максимумы'!L$2)/('минимумы и максимумы'!L$4-'минимумы и максимумы'!L$2)*100)</f>
        <v>49.094652742958864</v>
      </c>
      <c r="O412" s="1">
        <f>IF('исходные данные'!O412&gt;'минимумы и максимумы'!M$4,100,('исходные данные'!O412-'минимумы и максимумы'!M$2)/('минимумы и максимумы'!M$4-'минимумы и максимумы'!M$2)*100)</f>
        <v>0</v>
      </c>
      <c r="P412" s="1">
        <f>IF('исходные данные'!P412&gt;'минимумы и максимумы'!N$4,100,('исходные данные'!P412-'минимумы и максимумы'!N$2)/('минимумы и максимумы'!N$4-'минимумы и максимумы'!N$2)*100)</f>
        <v>0</v>
      </c>
      <c r="Q412" s="1">
        <f>IF('исходные данные'!Q412&gt;'минимумы и максимумы'!O$4,100,('исходные данные'!Q412-'минимумы и максимумы'!O$2)/('минимумы и максимумы'!O$4-'минимумы и максимумы'!O$2)*100)</f>
        <v>100</v>
      </c>
      <c r="R412" s="1">
        <f>IF('исходные данные'!R412&gt;'минимумы и максимумы'!P$4,100,('исходные данные'!R412-'минимумы и максимумы'!P$2)/('минимумы и максимумы'!P$4-'минимумы и максимумы'!P$2)*100)</f>
        <v>50</v>
      </c>
      <c r="S412" s="1">
        <f>IF('исходные данные'!S412&gt;'минимумы и максимумы'!Q$4,100,('исходные данные'!S412-'минимумы и максимумы'!Q$2)/('минимумы и максимумы'!Q$4-'минимумы и максимумы'!Q$2)*100)</f>
        <v>22.222222222222221</v>
      </c>
      <c r="T412" s="1">
        <f>IF('исходные данные'!T412&gt;'минимумы и максимумы'!R$4,100,('исходные данные'!T412-'минимумы и максимумы'!R$2)/('минимумы и максимумы'!R$4-'минимумы и максимумы'!R$2)*100)</f>
        <v>5.6674338319907935</v>
      </c>
      <c r="U412" s="1">
        <f>IF('исходные данные'!U412&gt;'минимумы и максимумы'!S$4,100,('исходные данные'!U412-'минимумы и максимумы'!S$2)/('минимумы и максимумы'!S$4-'минимумы и максимумы'!S$2)*100)</f>
        <v>0</v>
      </c>
    </row>
    <row r="413" spans="1:21" x14ac:dyDescent="0.45">
      <c r="A413" s="4">
        <v>533</v>
      </c>
      <c r="B413" s="4">
        <v>0</v>
      </c>
      <c r="C413" s="4">
        <v>0</v>
      </c>
      <c r="D413" s="1">
        <f>IF('исходные данные'!D413&gt;'минимумы и максимумы'!B$4,100,('исходные данные'!D413-'минимумы и максимумы'!B$2)/('минимумы и максимумы'!B$4-'минимумы и максимумы'!B$2)*100)</f>
        <v>0</v>
      </c>
      <c r="E413" s="1">
        <f>IF('исходные данные'!E413&gt;'минимумы и максимумы'!C$4,100,('исходные данные'!E413-'минимумы и максимумы'!C$2)/('минимумы и максимумы'!C$4-'минимумы и максимумы'!C$2)*100)</f>
        <v>0</v>
      </c>
      <c r="F413" s="1">
        <f>IF('исходные данные'!F413&gt;'минимумы и максимумы'!D$4,100,('исходные данные'!F413-'минимумы и максимумы'!D$2)/('минимумы и максимумы'!D$4-'минимумы и максимумы'!D$2)*100)</f>
        <v>0</v>
      </c>
      <c r="G413" s="1">
        <f>IF('исходные данные'!G413&gt;'минимумы и максимумы'!E$4,100,('исходные данные'!G413-'минимумы и максимумы'!E$2)/('минимумы и максимумы'!E$4-'минимумы и максимумы'!E$2)*100)</f>
        <v>8.1081081081081088</v>
      </c>
      <c r="H413" s="1">
        <f>IF('исходные данные'!H413&gt;'минимумы и максимумы'!F$4,100,('исходные данные'!H413-'минимумы и максимумы'!F$2)/('минимумы и максимумы'!F$4-'минимумы и максимумы'!F$2)*100)</f>
        <v>5.2631578947368416</v>
      </c>
      <c r="I413" s="1">
        <f>IF('исходные данные'!I413&gt;'минимумы и максимумы'!G$4,100,('исходные данные'!I413-'минимумы и максимумы'!G$2)/('минимумы и максимумы'!G$4-'минимумы и максимумы'!G$2)*100)</f>
        <v>7.2289156626506017</v>
      </c>
      <c r="J413" s="1">
        <f>IF('исходные данные'!J413&gt;'минимумы и максимумы'!H$4,100,('исходные данные'!J413-'минимумы и максимумы'!H$2)/('минимумы и максимумы'!H$4-'минимумы и максимумы'!H$2)*100)</f>
        <v>8.3333333333333321</v>
      </c>
      <c r="K413" s="1">
        <f>IF('исходные данные'!K413&gt;'минимумы и максимумы'!I$4,100,('исходные данные'!K413-'минимумы и максимумы'!I$2)/('минимумы и максимумы'!I$4-'минимумы и максимумы'!I$2)*100)</f>
        <v>3.5714285714285712</v>
      </c>
      <c r="L413" s="1">
        <f>IF('исходные данные'!L413&gt;'минимумы и максимумы'!J$4,100,('исходные данные'!L413-'минимумы и максимумы'!J$2)/('минимумы и максимумы'!J$4-'минимумы и максимумы'!J$2)*100)</f>
        <v>0</v>
      </c>
      <c r="M413" s="1">
        <f>IF('исходные данные'!M413&gt;'минимумы и максимумы'!K$4,100,('исходные данные'!M413-'минимумы и максимумы'!K$2)/('минимумы и максимумы'!K$4-'минимумы и максимумы'!K$2)*100)</f>
        <v>29.787234042553191</v>
      </c>
      <c r="N413" s="1">
        <f>IF('исходные данные'!N413&gt;'минимумы и максимумы'!L$4,100,('исходные данные'!N413-'минимумы и максимумы'!L$2)/('минимумы и максимумы'!L$4-'минимумы и максимумы'!L$2)*100)</f>
        <v>48.892101193078439</v>
      </c>
      <c r="O413" s="1">
        <f>IF('исходные данные'!O413&gt;'минимумы и максимумы'!M$4,100,('исходные данные'!O413-'минимумы и максимумы'!M$2)/('минимумы и максимумы'!M$4-'минимумы и максимумы'!M$2)*100)</f>
        <v>66.666666666666657</v>
      </c>
      <c r="P413" s="1">
        <f>IF('исходные данные'!P413&gt;'минимумы и максимумы'!N$4,100,('исходные данные'!P413-'минимумы и максимумы'!N$2)/('минимумы и максимумы'!N$4-'минимумы и максимумы'!N$2)*100)</f>
        <v>100</v>
      </c>
      <c r="Q413" s="1">
        <f>IF('исходные данные'!Q413&gt;'минимумы и максимумы'!O$4,100,('исходные данные'!Q413-'минимумы и максимумы'!O$2)/('минимумы и максимумы'!O$4-'минимумы и максимумы'!O$2)*100)</f>
        <v>100</v>
      </c>
      <c r="R413" s="1">
        <f>IF('исходные данные'!R413&gt;'минимумы и максимумы'!P$4,100,('исходные данные'!R413-'минимумы и максимумы'!P$2)/('минимумы и максимумы'!P$4-'минимумы и максимумы'!P$2)*100)</f>
        <v>50</v>
      </c>
      <c r="S413" s="1">
        <f>IF('исходные данные'!S413&gt;'минимумы и максимумы'!Q$4,100,('исходные данные'!S413-'минимумы и максимумы'!Q$2)/('минимумы и максимумы'!Q$4-'минимумы и максимумы'!Q$2)*100)</f>
        <v>33.333333333333329</v>
      </c>
      <c r="T413" s="1">
        <f>IF('исходные данные'!T413&gt;'минимумы и максимумы'!R$4,100,('исходные данные'!T413-'минимумы и максимумы'!R$2)/('минимумы и максимумы'!R$4-'минимумы и максимумы'!R$2)*100)</f>
        <v>15.765247410817032</v>
      </c>
      <c r="U413" s="1">
        <f>IF('исходные данные'!U413&gt;'минимумы и максимумы'!S$4,100,('исходные данные'!U413-'минимумы и максимумы'!S$2)/('минимумы и максимумы'!S$4-'минимумы и максимумы'!S$2)*100)</f>
        <v>0</v>
      </c>
    </row>
    <row r="414" spans="1:21" x14ac:dyDescent="0.45">
      <c r="A414" s="4">
        <v>534</v>
      </c>
      <c r="B414" s="4">
        <v>0</v>
      </c>
      <c r="C414" s="4">
        <v>0</v>
      </c>
      <c r="D414" s="1">
        <f>IF('исходные данные'!D414&gt;'минимумы и максимумы'!B$4,100,('исходные данные'!D414-'минимумы и максимумы'!B$2)/('минимумы и максимумы'!B$4-'минимумы и максимумы'!B$2)*100)</f>
        <v>0</v>
      </c>
      <c r="E414" s="1">
        <f>IF('исходные данные'!E414&gt;'минимумы и максимумы'!C$4,100,('исходные данные'!E414-'минимумы и максимумы'!C$2)/('минимумы и максимумы'!C$4-'минимумы и максимумы'!C$2)*100)</f>
        <v>0</v>
      </c>
      <c r="F414" s="1">
        <f>IF('исходные данные'!F414&gt;'минимумы и максимумы'!D$4,100,('исходные данные'!F414-'минимумы и максимумы'!D$2)/('минимумы и максимумы'!D$4-'минимумы и максимумы'!D$2)*100)</f>
        <v>0</v>
      </c>
      <c r="G414" s="1">
        <f>IF('исходные данные'!G414&gt;'минимумы и максимумы'!E$4,100,('исходные данные'!G414-'минимумы и максимумы'!E$2)/('минимумы и максимумы'!E$4-'минимумы и максимумы'!E$2)*100)</f>
        <v>8.1081081081081088</v>
      </c>
      <c r="H414" s="1">
        <f>IF('исходные данные'!H414&gt;'минимумы и максимумы'!F$4,100,('исходные данные'!H414-'минимумы и максимумы'!F$2)/('минимумы и максимумы'!F$4-'минимумы и максимумы'!F$2)*100)</f>
        <v>5.2631578947368416</v>
      </c>
      <c r="I414" s="1">
        <f>IF('исходные данные'!I414&gt;'минимумы и максимумы'!G$4,100,('исходные данные'!I414-'минимумы и максимумы'!G$2)/('минимумы и максимумы'!G$4-'минимумы и максимумы'!G$2)*100)</f>
        <v>7.2289156626506017</v>
      </c>
      <c r="J414" s="1">
        <f>IF('исходные данные'!J414&gt;'минимумы и максимумы'!H$4,100,('исходные данные'!J414-'минимумы и максимумы'!H$2)/('минимумы и максимумы'!H$4-'минимумы и максимумы'!H$2)*100)</f>
        <v>8.3333333333333321</v>
      </c>
      <c r="K414" s="1">
        <f>IF('исходные данные'!K414&gt;'минимумы и максимумы'!I$4,100,('исходные данные'!K414-'минимумы и максимумы'!I$2)/('минимумы и максимумы'!I$4-'минимумы и максимумы'!I$2)*100)</f>
        <v>3.5714285714285712</v>
      </c>
      <c r="L414" s="1">
        <f>IF('исходные данные'!L414&gt;'минимумы и максимумы'!J$4,100,('исходные данные'!L414-'минимумы и максимумы'!J$2)/('минимумы и максимумы'!J$4-'минимумы и максимумы'!J$2)*100)</f>
        <v>0</v>
      </c>
      <c r="M414" s="1">
        <f>IF('исходные данные'!M414&gt;'минимумы и максимумы'!K$4,100,('исходные данные'!M414-'минимумы и максимумы'!K$2)/('минимумы и максимумы'!K$4-'минимумы и максимумы'!K$2)*100)</f>
        <v>29.787234042553191</v>
      </c>
      <c r="N414" s="1">
        <f>IF('исходные данные'!N414&gt;'минимумы и максимумы'!L$4,100,('исходные данные'!N414-'минимумы и максимумы'!L$2)/('минимумы и максимумы'!L$4-'минимумы и максимумы'!L$2)*100)</f>
        <v>48.914073583419132</v>
      </c>
      <c r="O414" s="1">
        <f>IF('исходные данные'!O414&gt;'минимумы и максимумы'!M$4,100,('исходные данные'!O414-'минимумы и максимумы'!M$2)/('минимумы и максимумы'!M$4-'минимумы и максимумы'!M$2)*100)</f>
        <v>66.666666666666657</v>
      </c>
      <c r="P414" s="1">
        <f>IF('исходные данные'!P414&gt;'минимумы и максимумы'!N$4,100,('исходные данные'!P414-'минимумы и максимумы'!N$2)/('минимумы и максимумы'!N$4-'минимумы и максимумы'!N$2)*100)</f>
        <v>0</v>
      </c>
      <c r="Q414" s="1">
        <f>IF('исходные данные'!Q414&gt;'минимумы и максимумы'!O$4,100,('исходные данные'!Q414-'минимумы и максимумы'!O$2)/('минимумы и максимумы'!O$4-'минимумы и максимумы'!O$2)*100)</f>
        <v>0</v>
      </c>
      <c r="R414" s="1">
        <f>IF('исходные данные'!R414&gt;'минимумы и максимумы'!P$4,100,('исходные данные'!R414-'минимумы и максимумы'!P$2)/('минимумы и максимумы'!P$4-'минимумы и максимумы'!P$2)*100)</f>
        <v>50</v>
      </c>
      <c r="S414" s="1">
        <f>IF('исходные данные'!S414&gt;'минимумы и максимумы'!Q$4,100,('исходные данные'!S414-'минимумы и максимумы'!Q$2)/('минимумы и максимумы'!Q$4-'минимумы и максимумы'!Q$2)*100)</f>
        <v>11.111111111111111</v>
      </c>
      <c r="T414" s="1">
        <f>IF('исходные данные'!T414&gt;'минимумы и максимумы'!R$4,100,('исходные данные'!T414-'минимумы и максимумы'!R$2)/('минимумы и максимумы'!R$4-'минимумы и максимумы'!R$2)*100)</f>
        <v>1.0644418872266974</v>
      </c>
      <c r="U414" s="1">
        <f>IF('исходные данные'!U414&gt;'минимумы и максимумы'!S$4,100,('исходные данные'!U414-'минимумы и максимумы'!S$2)/('минимумы и максимумы'!S$4-'минимумы и максимумы'!S$2)*100)</f>
        <v>0</v>
      </c>
    </row>
    <row r="415" spans="1:21" x14ac:dyDescent="0.45">
      <c r="A415" s="4">
        <v>535</v>
      </c>
      <c r="B415" s="4">
        <v>0</v>
      </c>
      <c r="C415" s="4">
        <v>0</v>
      </c>
      <c r="D415" s="1">
        <f>IF('исходные данные'!D415&gt;'минимумы и максимумы'!B$4,100,('исходные данные'!D415-'минимумы и максимумы'!B$2)/('минимумы и максимумы'!B$4-'минимумы и максимумы'!B$2)*100)</f>
        <v>0</v>
      </c>
      <c r="E415" s="1">
        <f>IF('исходные данные'!E415&gt;'минимумы и максимумы'!C$4,100,('исходные данные'!E415-'минимумы и максимумы'!C$2)/('минимумы и максимумы'!C$4-'минимумы и максимумы'!C$2)*100)</f>
        <v>0</v>
      </c>
      <c r="F415" s="1">
        <f>IF('исходные данные'!F415&gt;'минимумы и максимумы'!D$4,100,('исходные данные'!F415-'минимумы и максимумы'!D$2)/('минимумы и максимумы'!D$4-'минимумы и максимумы'!D$2)*100)</f>
        <v>0</v>
      </c>
      <c r="G415" s="1">
        <f>IF('исходные данные'!G415&gt;'минимумы и максимумы'!E$4,100,('исходные данные'!G415-'минимумы и максимумы'!E$2)/('минимумы и максимумы'!E$4-'минимумы и максимумы'!E$2)*100)</f>
        <v>8.1081081081081088</v>
      </c>
      <c r="H415" s="1">
        <f>IF('исходные данные'!H415&gt;'минимумы и максимумы'!F$4,100,('исходные данные'!H415-'минимумы и максимумы'!F$2)/('минимумы и максимумы'!F$4-'минимумы и максимумы'!F$2)*100)</f>
        <v>5.2631578947368416</v>
      </c>
      <c r="I415" s="1">
        <f>IF('исходные данные'!I415&gt;'минимумы и максимумы'!G$4,100,('исходные данные'!I415-'минимумы и максимумы'!G$2)/('минимумы и максимумы'!G$4-'минимумы и максимумы'!G$2)*100)</f>
        <v>7.2289156626506017</v>
      </c>
      <c r="J415" s="1">
        <f>IF('исходные данные'!J415&gt;'минимумы и максимумы'!H$4,100,('исходные данные'!J415-'минимумы и максимумы'!H$2)/('минимумы и максимумы'!H$4-'минимумы и максимумы'!H$2)*100)</f>
        <v>8.3333333333333321</v>
      </c>
      <c r="K415" s="1">
        <f>IF('исходные данные'!K415&gt;'минимумы и максимумы'!I$4,100,('исходные данные'!K415-'минимумы и максимумы'!I$2)/('минимумы и максимумы'!I$4-'минимумы и максимумы'!I$2)*100)</f>
        <v>3.5714285714285712</v>
      </c>
      <c r="L415" s="1">
        <f>IF('исходные данные'!L415&gt;'минимумы и максимумы'!J$4,100,('исходные данные'!L415-'минимумы и максимумы'!J$2)/('минимумы и максимумы'!J$4-'минимумы и максимумы'!J$2)*100)</f>
        <v>0</v>
      </c>
      <c r="M415" s="1">
        <f>IF('исходные данные'!M415&gt;'минимумы и максимумы'!K$4,100,('исходные данные'!M415-'минимумы и максимумы'!K$2)/('минимумы и максимумы'!K$4-'минимумы и максимумы'!K$2)*100)</f>
        <v>29.787234042553191</v>
      </c>
      <c r="N415" s="1">
        <f>IF('исходные данные'!N415&gt;'минимумы и максимумы'!L$4,100,('исходные данные'!N415-'минимумы и максимумы'!L$2)/('минимумы и максимумы'!L$4-'минимумы и максимумы'!L$2)*100)</f>
        <v>48.716887397425459</v>
      </c>
      <c r="O415" s="1">
        <f>IF('исходные данные'!O415&gt;'минимумы и максимумы'!M$4,100,('исходные данные'!O415-'минимумы и максимумы'!M$2)/('минимумы и максимумы'!M$4-'минимумы и максимумы'!M$2)*100)</f>
        <v>66.666666666666657</v>
      </c>
      <c r="P415" s="1">
        <f>IF('исходные данные'!P415&gt;'минимумы и максимумы'!N$4,100,('исходные данные'!P415-'минимумы и максимумы'!N$2)/('минимумы и максимумы'!N$4-'минимумы и максимумы'!N$2)*100)</f>
        <v>0</v>
      </c>
      <c r="Q415" s="1">
        <f>IF('исходные данные'!Q415&gt;'минимумы и максимумы'!O$4,100,('исходные данные'!Q415-'минимумы и максимумы'!O$2)/('минимумы и максимумы'!O$4-'минимумы и максимумы'!O$2)*100)</f>
        <v>0</v>
      </c>
      <c r="R415" s="1">
        <f>IF('исходные данные'!R415&gt;'минимумы и максимумы'!P$4,100,('исходные данные'!R415-'минимумы и максимумы'!P$2)/('минимумы и максимумы'!P$4-'минимумы и максимумы'!P$2)*100)</f>
        <v>50</v>
      </c>
      <c r="S415" s="1">
        <f>IF('исходные данные'!S415&gt;'минимумы и максимумы'!Q$4,100,('исходные данные'!S415-'минимумы и максимумы'!Q$2)/('минимумы и максимумы'!Q$4-'минимумы и максимумы'!Q$2)*100)</f>
        <v>11.111111111111111</v>
      </c>
      <c r="T415" s="1">
        <f>IF('исходные данные'!T415&gt;'минимумы и максимумы'!R$4,100,('исходные данные'!T415-'минимумы и максимумы'!R$2)/('минимумы и максимумы'!R$4-'минимумы и максимумы'!R$2)*100)</f>
        <v>1.093210586881473</v>
      </c>
      <c r="U415" s="1">
        <f>IF('исходные данные'!U415&gt;'минимумы и максимумы'!S$4,100,('исходные данные'!U415-'минимумы и максимумы'!S$2)/('минимумы и максимумы'!S$4-'минимумы и максимумы'!S$2)*100)</f>
        <v>0</v>
      </c>
    </row>
    <row r="416" spans="1:21" x14ac:dyDescent="0.45">
      <c r="A416" s="4">
        <v>536</v>
      </c>
      <c r="B416" s="4">
        <v>0</v>
      </c>
      <c r="C416" s="4">
        <v>0</v>
      </c>
      <c r="D416" s="1">
        <f>IF('исходные данные'!D416&gt;'минимумы и максимумы'!B$4,100,('исходные данные'!D416-'минимумы и максимумы'!B$2)/('минимумы и максимумы'!B$4-'минимумы и максимумы'!B$2)*100)</f>
        <v>37.5</v>
      </c>
      <c r="E416" s="1">
        <f>IF('исходные данные'!E416&gt;'минимумы и максимумы'!C$4,100,('исходные данные'!E416-'минимумы и максимумы'!C$2)/('минимумы и максимумы'!C$4-'минимумы и максимумы'!C$2)*100)</f>
        <v>25</v>
      </c>
      <c r="F416" s="1">
        <f>IF('исходные данные'!F416&gt;'минимумы и максимумы'!D$4,100,('исходные данные'!F416-'минимумы и максимумы'!D$2)/('минимумы и максимумы'!D$4-'минимумы и максимумы'!D$2)*100)</f>
        <v>50</v>
      </c>
      <c r="G416" s="1">
        <f>IF('исходные данные'!G416&gt;'минимумы и максимумы'!E$4,100,('исходные данные'!G416-'минимумы и максимумы'!E$2)/('минимумы и максимумы'!E$4-'минимумы и максимумы'!E$2)*100)</f>
        <v>37.837837837837839</v>
      </c>
      <c r="H416" s="1">
        <f>IF('исходные данные'!H416&gt;'минимумы и максимумы'!F$4,100,('исходные данные'!H416-'минимумы и максимумы'!F$2)/('минимумы и максимумы'!F$4-'минимумы и максимумы'!F$2)*100)</f>
        <v>42.105263157894733</v>
      </c>
      <c r="I416" s="1">
        <f>IF('исходные данные'!I416&gt;'минимумы и максимумы'!G$4,100,('исходные данные'!I416-'минимумы и максимумы'!G$2)/('минимумы и максимумы'!G$4-'минимумы и максимумы'!G$2)*100)</f>
        <v>8.4337349397590362</v>
      </c>
      <c r="J416" s="1">
        <f>IF('исходные данные'!J416&gt;'минимумы и максимумы'!H$4,100,('исходные данные'!J416-'минимумы и максимумы'!H$2)/('минимумы и максимумы'!H$4-'минимумы и максимумы'!H$2)*100)</f>
        <v>0</v>
      </c>
      <c r="K416" s="1">
        <f>IF('исходные данные'!K416&gt;'минимумы и максимумы'!I$4,100,('исходные данные'!K416-'минимумы и максимумы'!I$2)/('минимумы и максимумы'!I$4-'минимумы и максимумы'!I$2)*100)</f>
        <v>0</v>
      </c>
      <c r="L416" s="1">
        <f>IF('исходные данные'!L416&gt;'минимумы и максимумы'!J$4,100,('исходные данные'!L416-'минимумы и максимумы'!J$2)/('минимумы и максимумы'!J$4-'минимумы и максимумы'!J$2)*100)</f>
        <v>12.5</v>
      </c>
      <c r="M416" s="1">
        <f>IF('исходные данные'!M416&gt;'минимумы и максимумы'!K$4,100,('исходные данные'!M416-'минимумы и максимумы'!K$2)/('минимумы и максимумы'!K$4-'минимумы и максимумы'!K$2)*100)</f>
        <v>36.170212765957451</v>
      </c>
      <c r="N416" s="1">
        <f>IF('исходные данные'!N416&gt;'минимумы и максимумы'!L$4,100,('исходные данные'!N416-'минимумы и максимумы'!L$2)/('минимумы и максимумы'!L$4-'минимумы и максимумы'!L$2)*100)</f>
        <v>50.241951656093995</v>
      </c>
      <c r="O416" s="1">
        <f>IF('исходные данные'!O416&gt;'минимумы и максимумы'!M$4,100,('исходные данные'!O416-'минимумы и максимумы'!M$2)/('минимумы и максимумы'!M$4-'минимумы и максимумы'!M$2)*100)</f>
        <v>0</v>
      </c>
      <c r="P416" s="1">
        <f>IF('исходные данные'!P416&gt;'минимумы и максимумы'!N$4,100,('исходные данные'!P416-'минимумы и максимумы'!N$2)/('минимумы и максимумы'!N$4-'минимумы и максимумы'!N$2)*100)</f>
        <v>0</v>
      </c>
      <c r="Q416" s="1">
        <f>IF('исходные данные'!Q416&gt;'минимумы и максимумы'!O$4,100,('исходные данные'!Q416-'минимумы и максимумы'!O$2)/('минимумы и максимумы'!O$4-'минимумы и максимумы'!O$2)*100)</f>
        <v>100</v>
      </c>
      <c r="R416" s="1">
        <f>IF('исходные данные'!R416&gt;'минимумы и максимумы'!P$4,100,('исходные данные'!R416-'минимумы и максимумы'!P$2)/('минимумы и максимумы'!P$4-'минимумы и максимумы'!P$2)*100)</f>
        <v>100</v>
      </c>
      <c r="S416" s="1">
        <f>IF('исходные данные'!S416&gt;'минимумы и максимумы'!Q$4,100,('исходные данные'!S416-'минимумы и максимумы'!Q$2)/('минимумы и максимумы'!Q$4-'минимумы и максимумы'!Q$2)*100)</f>
        <v>22.222222222222221</v>
      </c>
      <c r="T416" s="1">
        <f>IF('исходные данные'!T416&gt;'минимумы и максимумы'!R$4,100,('исходные данные'!T416-'минимумы и максимумы'!R$2)/('минимумы и максимумы'!R$4-'минимумы и максимумы'!R$2)*100)</f>
        <v>18.58457997698504</v>
      </c>
      <c r="U416" s="1">
        <f>IF('исходные данные'!U416&gt;'минимумы и максимумы'!S$4,100,('исходные данные'!U416-'минимумы и максимумы'!S$2)/('минимумы и максимумы'!S$4-'минимумы и максимумы'!S$2)*100)</f>
        <v>66.666666666666657</v>
      </c>
    </row>
    <row r="417" spans="1:21" x14ac:dyDescent="0.45">
      <c r="A417" s="4">
        <v>537</v>
      </c>
      <c r="B417" s="4">
        <v>0</v>
      </c>
      <c r="C417" s="4">
        <v>0</v>
      </c>
      <c r="D417" s="1">
        <f>IF('исходные данные'!D417&gt;'минимумы и максимумы'!B$4,100,('исходные данные'!D417-'минимумы и максимумы'!B$2)/('минимумы и максимумы'!B$4-'минимумы и максимумы'!B$2)*100)</f>
        <v>12.5</v>
      </c>
      <c r="E417" s="1">
        <f>IF('исходные данные'!E417&gt;'минимумы и максимумы'!C$4,100,('исходные данные'!E417-'минимумы и максимумы'!C$2)/('минимумы и максимумы'!C$4-'минимумы и максимумы'!C$2)*100)</f>
        <v>25</v>
      </c>
      <c r="F417" s="1">
        <f>IF('исходные данные'!F417&gt;'минимумы и максимумы'!D$4,100,('исходные данные'!F417-'минимумы и максимумы'!D$2)/('минимумы и максимумы'!D$4-'минимумы и максимумы'!D$2)*100)</f>
        <v>50</v>
      </c>
      <c r="G417" s="1">
        <f>IF('исходные данные'!G417&gt;'минимумы и максимумы'!E$4,100,('исходные данные'!G417-'минимумы и максимумы'!E$2)/('минимумы и максимумы'!E$4-'минимумы и максимумы'!E$2)*100)</f>
        <v>35.135135135135137</v>
      </c>
      <c r="H417" s="1">
        <f>IF('исходные данные'!H417&gt;'минимумы и максимумы'!F$4,100,('исходные данные'!H417-'минимумы и максимумы'!F$2)/('минимумы и максимумы'!F$4-'минимумы и максимумы'!F$2)*100)</f>
        <v>31.578947368421051</v>
      </c>
      <c r="I417" s="1">
        <f>IF('исходные данные'!I417&gt;'минимумы и максимумы'!G$4,100,('исходные данные'!I417-'минимумы и максимумы'!G$2)/('минимумы и максимумы'!G$4-'минимумы и максимумы'!G$2)*100)</f>
        <v>7.2289156626506017</v>
      </c>
      <c r="J417" s="1">
        <f>IF('исходные данные'!J417&gt;'минимумы и максимумы'!H$4,100,('исходные данные'!J417-'минимумы и максимумы'!H$2)/('минимумы и максимумы'!H$4-'минимумы и максимумы'!H$2)*100)</f>
        <v>4.1666666666666661</v>
      </c>
      <c r="K417" s="1">
        <f>IF('исходные данные'!K417&gt;'минимумы и максимумы'!I$4,100,('исходные данные'!K417-'минимумы и максимумы'!I$2)/('минимумы и максимумы'!I$4-'минимумы и максимумы'!I$2)*100)</f>
        <v>0</v>
      </c>
      <c r="L417" s="1">
        <f>IF('исходные данные'!L417&gt;'минимумы и максимумы'!J$4,100,('исходные данные'!L417-'минимумы и максимумы'!J$2)/('минимумы и максимумы'!J$4-'минимумы и максимумы'!J$2)*100)</f>
        <v>12.5</v>
      </c>
      <c r="M417" s="1">
        <f>IF('исходные данные'!M417&gt;'минимумы и максимумы'!K$4,100,('исходные данные'!M417-'минимумы и максимумы'!K$2)/('минимумы и максимумы'!K$4-'минимумы и максимумы'!K$2)*100)</f>
        <v>29.787234042553191</v>
      </c>
      <c r="N417" s="1">
        <f>IF('исходные данные'!N417&gt;'минимумы и максимумы'!L$4,100,('исходные данные'!N417-'минимумы и максимумы'!L$2)/('минимумы и максимумы'!L$4-'минимумы и максимумы'!L$2)*100)</f>
        <v>51.713719752843687</v>
      </c>
      <c r="O417" s="1">
        <f>IF('исходные данные'!O417&gt;'минимумы и максимумы'!M$4,100,('исходные данные'!O417-'минимумы и максимумы'!M$2)/('минимумы и максимумы'!M$4-'минимумы и максимумы'!M$2)*100)</f>
        <v>100</v>
      </c>
      <c r="P417" s="1">
        <f>IF('исходные данные'!P417&gt;'минимумы и максимумы'!N$4,100,('исходные данные'!P417-'минимумы и максимумы'!N$2)/('минимумы и максимумы'!N$4-'минимумы и максимумы'!N$2)*100)</f>
        <v>0</v>
      </c>
      <c r="Q417" s="1">
        <f>IF('исходные данные'!Q417&gt;'минимумы и максимумы'!O$4,100,('исходные данные'!Q417-'минимумы и максимумы'!O$2)/('минимумы и максимумы'!O$4-'минимумы и максимумы'!O$2)*100)</f>
        <v>100</v>
      </c>
      <c r="R417" s="1">
        <f>IF('исходные данные'!R417&gt;'минимумы и максимумы'!P$4,100,('исходные данные'!R417-'минимумы и максимумы'!P$2)/('минимумы и максимумы'!P$4-'минимумы и максимумы'!P$2)*100)</f>
        <v>100</v>
      </c>
      <c r="S417" s="1">
        <f>IF('исходные данные'!S417&gt;'минимумы и максимумы'!Q$4,100,('исходные данные'!S417-'минимумы и максимумы'!Q$2)/('минимумы и максимумы'!Q$4-'минимумы и максимумы'!Q$2)*100)</f>
        <v>55.555555555555557</v>
      </c>
      <c r="T417" s="1">
        <f>IF('исходные данные'!T417&gt;'минимумы и максимумы'!R$4,100,('исходные данные'!T417-'минимумы и максимумы'!R$2)/('минимумы и максимумы'!R$4-'минимумы и максимумы'!R$2)*100)</f>
        <v>18.58457997698504</v>
      </c>
      <c r="U417" s="1">
        <f>IF('исходные данные'!U417&gt;'минимумы и максимумы'!S$4,100,('исходные данные'!U417-'минимумы и максимумы'!S$2)/('минимумы и максимумы'!S$4-'минимумы и максимумы'!S$2)*100)</f>
        <v>0</v>
      </c>
    </row>
    <row r="418" spans="1:21" x14ac:dyDescent="0.45">
      <c r="A418" s="4">
        <v>539</v>
      </c>
      <c r="B418" s="4">
        <v>0</v>
      </c>
      <c r="C418" s="4">
        <v>0</v>
      </c>
      <c r="D418" s="1">
        <f>IF('исходные данные'!D418&gt;'минимумы и максимумы'!B$4,100,('исходные данные'!D418-'минимумы и максимумы'!B$2)/('минимумы и максимумы'!B$4-'минимумы и максимумы'!B$2)*100)</f>
        <v>37.5</v>
      </c>
      <c r="E418" s="1">
        <f>IF('исходные данные'!E418&gt;'минимумы и максимумы'!C$4,100,('исходные данные'!E418-'минимумы и максимумы'!C$2)/('минимумы и максимумы'!C$4-'минимумы и максимумы'!C$2)*100)</f>
        <v>31.25</v>
      </c>
      <c r="F418" s="1">
        <f>IF('исходные данные'!F418&gt;'минимумы и максимумы'!D$4,100,('исходные данные'!F418-'минимумы и максимумы'!D$2)/('минимумы и максимумы'!D$4-'минимумы и максимумы'!D$2)*100)</f>
        <v>50</v>
      </c>
      <c r="G418" s="1">
        <f>IF('исходные данные'!G418&gt;'минимумы и максимумы'!E$4,100,('исходные данные'!G418-'минимумы и максимумы'!E$2)/('минимумы и максимумы'!E$4-'минимумы и максимумы'!E$2)*100)</f>
        <v>21.621621621621621</v>
      </c>
      <c r="H418" s="1">
        <f>IF('исходные данные'!H418&gt;'минимумы и максимумы'!F$4,100,('исходные данные'!H418-'минимумы и максимумы'!F$2)/('минимумы и максимумы'!F$4-'минимумы и максимумы'!F$2)*100)</f>
        <v>28.947368421052634</v>
      </c>
      <c r="I418" s="1">
        <f>IF('исходные данные'!I418&gt;'минимумы и максимумы'!G$4,100,('исходные данные'!I418-'минимумы и максимумы'!G$2)/('минимумы и максимумы'!G$4-'минимумы и максимумы'!G$2)*100)</f>
        <v>8.4337349397590362</v>
      </c>
      <c r="J418" s="1">
        <f>IF('исходные данные'!J418&gt;'минимумы и максимумы'!H$4,100,('исходные данные'!J418-'минимумы и максимумы'!H$2)/('минимумы и максимумы'!H$4-'минимумы и максимумы'!H$2)*100)</f>
        <v>0</v>
      </c>
      <c r="K418" s="1">
        <f>IF('исходные данные'!K418&gt;'минимумы и максимумы'!I$4,100,('исходные данные'!K418-'минимумы и максимумы'!I$2)/('минимумы и максимумы'!I$4-'минимумы и максимумы'!I$2)*100)</f>
        <v>0</v>
      </c>
      <c r="L418" s="1">
        <f>IF('исходные данные'!L418&gt;'минимумы и максимумы'!J$4,100,('исходные данные'!L418-'минимумы и максимумы'!J$2)/('минимумы и максимумы'!J$4-'минимумы и максимумы'!J$2)*100)</f>
        <v>0</v>
      </c>
      <c r="M418" s="1">
        <f>IF('исходные данные'!M418&gt;'минимумы и максимумы'!K$4,100,('исходные данные'!M418-'минимумы и максимумы'!K$2)/('минимумы и максимумы'!K$4-'минимумы и максимумы'!K$2)*100)</f>
        <v>12.76595744680851</v>
      </c>
      <c r="N418" s="1">
        <f>IF('исходные данные'!N418&gt;'минимумы и максимумы'!L$4,100,('исходные данные'!N418-'минимумы и максимумы'!L$2)/('минимумы и максимумы'!L$4-'минимумы и максимумы'!L$2)*100)</f>
        <v>50.727104512204725</v>
      </c>
      <c r="O418" s="1">
        <f>IF('исходные данные'!O418&gt;'минимумы и максимумы'!M$4,100,('исходные данные'!O418-'минимумы и максимумы'!M$2)/('минимумы и максимумы'!M$4-'минимумы и максимумы'!M$2)*100)</f>
        <v>100</v>
      </c>
      <c r="P418" s="1">
        <f>IF('исходные данные'!P418&gt;'минимумы и максимумы'!N$4,100,('исходные данные'!P418-'минимумы и максимумы'!N$2)/('минимумы и максимумы'!N$4-'минимумы и максимумы'!N$2)*100)</f>
        <v>0</v>
      </c>
      <c r="Q418" s="1">
        <f>IF('исходные данные'!Q418&gt;'минимумы и максимумы'!O$4,100,('исходные данные'!Q418-'минимумы и максимумы'!O$2)/('минимумы и максимумы'!O$4-'минимумы и максимумы'!O$2)*100)</f>
        <v>100</v>
      </c>
      <c r="R418" s="1">
        <f>IF('исходные данные'!R418&gt;'минимумы и максимумы'!P$4,100,('исходные данные'!R418-'минимумы и максимумы'!P$2)/('минимумы и максимумы'!P$4-'минимумы и максимумы'!P$2)*100)</f>
        <v>100</v>
      </c>
      <c r="S418" s="1">
        <f>IF('исходные данные'!S418&gt;'минимумы и максимумы'!Q$4,100,('исходные данные'!S418-'минимумы и максимумы'!Q$2)/('минимумы и максимумы'!Q$4-'минимумы и максимумы'!Q$2)*100)</f>
        <v>22.222222222222221</v>
      </c>
      <c r="T418" s="1">
        <f>IF('исходные данные'!T418&gt;'минимумы и максимумы'!R$4,100,('исходные данные'!T418-'минимумы и максимумы'!R$2)/('минимумы и максимумы'!R$4-'минимумы и максимумы'!R$2)*100)</f>
        <v>7.3360184119677792</v>
      </c>
      <c r="U418" s="1">
        <f>IF('исходные данные'!U418&gt;'минимумы и максимумы'!S$4,100,('исходные данные'!U418-'минимумы и максимумы'!S$2)/('минимумы и максимумы'!S$4-'минимумы и максимумы'!S$2)*100)</f>
        <v>0</v>
      </c>
    </row>
    <row r="419" spans="1:21" x14ac:dyDescent="0.45">
      <c r="A419" s="4">
        <v>540</v>
      </c>
      <c r="B419" s="4">
        <v>0</v>
      </c>
      <c r="C419" s="4">
        <v>0</v>
      </c>
      <c r="D419" s="1">
        <f>IF('исходные данные'!D419&gt;'минимумы и максимумы'!B$4,100,('исходные данные'!D419-'минимумы и максимумы'!B$2)/('минимумы и максимумы'!B$4-'минимумы и максимумы'!B$2)*100)</f>
        <v>37.5</v>
      </c>
      <c r="E419" s="1">
        <f>IF('исходные данные'!E419&gt;'минимумы и максимумы'!C$4,100,('исходные данные'!E419-'минимумы и максимумы'!C$2)/('минимумы и максимумы'!C$4-'минимумы и максимумы'!C$2)*100)</f>
        <v>31.25</v>
      </c>
      <c r="F419" s="1">
        <f>IF('исходные данные'!F419&gt;'минимумы и максимумы'!D$4,100,('исходные данные'!F419-'минимумы и максимумы'!D$2)/('минимумы и максимумы'!D$4-'минимумы и максимумы'!D$2)*100)</f>
        <v>50</v>
      </c>
      <c r="G419" s="1">
        <f>IF('исходные данные'!G419&gt;'минимумы и максимумы'!E$4,100,('исходные данные'!G419-'минимумы и максимумы'!E$2)/('минимумы и максимумы'!E$4-'минимумы и максимумы'!E$2)*100)</f>
        <v>21.621621621621621</v>
      </c>
      <c r="H419" s="1">
        <f>IF('исходные данные'!H419&gt;'минимумы и максимумы'!F$4,100,('исходные данные'!H419-'минимумы и максимумы'!F$2)/('минимумы и максимумы'!F$4-'минимумы и максимумы'!F$2)*100)</f>
        <v>28.947368421052634</v>
      </c>
      <c r="I419" s="1">
        <f>IF('исходные данные'!I419&gt;'минимумы и максимумы'!G$4,100,('исходные данные'!I419-'минимумы и максимумы'!G$2)/('минимумы и максимумы'!G$4-'минимумы и максимумы'!G$2)*100)</f>
        <v>8.4337349397590362</v>
      </c>
      <c r="J419" s="1">
        <f>IF('исходные данные'!J419&gt;'минимумы и максимумы'!H$4,100,('исходные данные'!J419-'минимумы и максимумы'!H$2)/('минимумы и максимумы'!H$4-'минимумы и максимумы'!H$2)*100)</f>
        <v>0</v>
      </c>
      <c r="K419" s="1">
        <f>IF('исходные данные'!K419&gt;'минимумы и максимумы'!I$4,100,('исходные данные'!K419-'минимумы и максимумы'!I$2)/('минимумы и максимумы'!I$4-'минимумы и максимумы'!I$2)*100)</f>
        <v>0</v>
      </c>
      <c r="L419" s="1">
        <f>IF('исходные данные'!L419&gt;'минимумы и максимумы'!J$4,100,('исходные данные'!L419-'минимумы и максимумы'!J$2)/('минимумы и максимумы'!J$4-'минимумы и максимумы'!J$2)*100)</f>
        <v>0</v>
      </c>
      <c r="M419" s="1">
        <f>IF('исходные данные'!M419&gt;'минимумы и максимумы'!K$4,100,('исходные данные'!M419-'минимумы и максимумы'!K$2)/('минимумы и максимумы'!K$4-'минимумы и максимумы'!K$2)*100)</f>
        <v>12.76595744680851</v>
      </c>
      <c r="N419" s="1">
        <f>IF('исходные данные'!N419&gt;'минимумы и максимумы'!L$4,100,('исходные данные'!N419-'минимумы и максимумы'!L$2)/('минимумы и максимумы'!L$4-'минимумы и максимумы'!L$2)*100)</f>
        <v>50.910100652189819</v>
      </c>
      <c r="O419" s="1">
        <f>IF('исходные данные'!O419&gt;'минимумы и максимумы'!M$4,100,('исходные данные'!O419-'минимумы и максимумы'!M$2)/('минимумы и максимумы'!M$4-'минимумы и максимумы'!M$2)*100)</f>
        <v>100</v>
      </c>
      <c r="P419" s="1">
        <f>IF('исходные данные'!P419&gt;'минимумы и максимумы'!N$4,100,('исходные данные'!P419-'минимумы и максимумы'!N$2)/('минимумы и максимумы'!N$4-'минимумы и максимумы'!N$2)*100)</f>
        <v>0</v>
      </c>
      <c r="Q419" s="1">
        <f>IF('исходные данные'!Q419&gt;'минимумы и максимумы'!O$4,100,('исходные данные'!Q419-'минимумы и максимумы'!O$2)/('минимумы и максимумы'!O$4-'минимумы и максимумы'!O$2)*100)</f>
        <v>100</v>
      </c>
      <c r="R419" s="1">
        <f>IF('исходные данные'!R419&gt;'минимумы и максимумы'!P$4,100,('исходные данные'!R419-'минимумы и максимумы'!P$2)/('минимумы и максимумы'!P$4-'минимумы и максимумы'!P$2)*100)</f>
        <v>100</v>
      </c>
      <c r="S419" s="1">
        <f>IF('исходные данные'!S419&gt;'минимумы и максимумы'!Q$4,100,('исходные данные'!S419-'минимумы и максимумы'!Q$2)/('минимумы и максимумы'!Q$4-'минимумы и максимумы'!Q$2)*100)</f>
        <v>22.222222222222221</v>
      </c>
      <c r="T419" s="1">
        <f>IF('исходные данные'!T419&gt;'минимумы и максимумы'!R$4,100,('исходные данные'!T419-'минимумы и максимумы'!R$2)/('минимумы и максимумы'!R$4-'минимумы и максимумы'!R$2)*100)</f>
        <v>13.147295742232451</v>
      </c>
      <c r="U419" s="1">
        <f>IF('исходные данные'!U419&gt;'минимумы и максимумы'!S$4,100,('исходные данные'!U419-'минимумы и максимумы'!S$2)/('минимумы и максимумы'!S$4-'минимумы и максимумы'!S$2)*100)</f>
        <v>0</v>
      </c>
    </row>
    <row r="420" spans="1:21" x14ac:dyDescent="0.45">
      <c r="A420" s="4">
        <v>541</v>
      </c>
      <c r="B420" s="4">
        <v>0</v>
      </c>
      <c r="C420" s="4">
        <v>1</v>
      </c>
      <c r="D420" s="1">
        <f>IF('исходные данные'!D420&gt;'минимумы и максимумы'!B$4,100,('исходные данные'!D420-'минимумы и максимумы'!B$2)/('минимумы и максимумы'!B$4-'минимумы и максимумы'!B$2)*100)</f>
        <v>0</v>
      </c>
      <c r="E420" s="1">
        <f>IF('исходные данные'!E420&gt;'минимумы и максимумы'!C$4,100,('исходные данные'!E420-'минимумы и максимумы'!C$2)/('минимумы и максимумы'!C$4-'минимумы и максимумы'!C$2)*100)</f>
        <v>0</v>
      </c>
      <c r="F420" s="1">
        <f>IF('исходные данные'!F420&gt;'минимумы и максимумы'!D$4,100,('исходные данные'!F420-'минимумы и максимумы'!D$2)/('минимумы и максимумы'!D$4-'минимумы и максимумы'!D$2)*100)</f>
        <v>25</v>
      </c>
      <c r="G420" s="1">
        <f>IF('исходные данные'!G420&gt;'минимумы и максимумы'!E$4,100,('исходные данные'!G420-'минимумы и максимумы'!E$2)/('минимумы и максимумы'!E$4-'минимумы и максимумы'!E$2)*100)</f>
        <v>2.7027027027027026</v>
      </c>
      <c r="H420" s="1">
        <f>IF('исходные данные'!H420&gt;'минимумы и максимумы'!F$4,100,('исходные данные'!H420-'минимумы и максимумы'!F$2)/('минимумы и максимумы'!F$4-'минимумы и максимумы'!F$2)*100)</f>
        <v>5.2631578947368416</v>
      </c>
      <c r="I420" s="1">
        <f>IF('исходные данные'!I420&gt;'минимумы и максимумы'!G$4,100,('исходные данные'!I420-'минимумы и максимумы'!G$2)/('минимумы и максимумы'!G$4-'минимумы и максимумы'!G$2)*100)</f>
        <v>1.2048192771084338</v>
      </c>
      <c r="J420" s="1">
        <f>IF('исходные данные'!J420&gt;'минимумы и максимумы'!H$4,100,('исходные данные'!J420-'минимумы и максимумы'!H$2)/('минимумы и максимумы'!H$4-'минимумы и максимумы'!H$2)*100)</f>
        <v>4.1666666666666661</v>
      </c>
      <c r="K420" s="1">
        <f>IF('исходные данные'!K420&gt;'минимумы и максимумы'!I$4,100,('исходные данные'!K420-'минимумы и максимумы'!I$2)/('минимумы и максимумы'!I$4-'минимумы и максимумы'!I$2)*100)</f>
        <v>0</v>
      </c>
      <c r="L420" s="1">
        <f>IF('исходные данные'!L420&gt;'минимумы и максимумы'!J$4,100,('исходные данные'!L420-'минимумы и максимумы'!J$2)/('минимумы и максимумы'!J$4-'минимумы и максимумы'!J$2)*100)</f>
        <v>0</v>
      </c>
      <c r="M420" s="1">
        <f>IF('исходные данные'!M420&gt;'минимумы и максимумы'!K$4,100,('исходные данные'!M420-'минимумы и максимумы'!K$2)/('минимумы и максимумы'!K$4-'минимумы и максимумы'!K$2)*100)</f>
        <v>4.2553191489361701</v>
      </c>
      <c r="N420" s="1">
        <f>IF('исходные данные'!N420&gt;'минимумы и максимумы'!L$4,100,('исходные данные'!N420-'минимумы и максимумы'!L$2)/('минимумы и максимумы'!L$4-'минимумы и максимумы'!L$2)*100)</f>
        <v>60.437142073750941</v>
      </c>
      <c r="O420" s="1">
        <f>IF('исходные данные'!O420&gt;'минимумы и максимумы'!M$4,100,('исходные данные'!O420-'минимумы и максимумы'!M$2)/('минимумы и максимумы'!M$4-'минимумы и максимумы'!M$2)*100)</f>
        <v>66.666666666666657</v>
      </c>
      <c r="P420" s="1">
        <f>IF('исходные данные'!P420&gt;'минимумы и максимумы'!N$4,100,('исходные данные'!P420-'минимумы и максимумы'!N$2)/('минимумы и максимумы'!N$4-'минимумы и максимумы'!N$2)*100)</f>
        <v>0</v>
      </c>
      <c r="Q420" s="1">
        <f>IF('исходные данные'!Q420&gt;'минимумы и максимумы'!O$4,100,('исходные данные'!Q420-'минимумы и максимумы'!O$2)/('минимумы и максимумы'!O$4-'минимумы и максимумы'!O$2)*100)</f>
        <v>100</v>
      </c>
      <c r="R420" s="1">
        <f>IF('исходные данные'!R420&gt;'минимумы и максимумы'!P$4,100,('исходные данные'!R420-'минимумы и максимумы'!P$2)/('минимумы и максимумы'!P$4-'минимумы и максимумы'!P$2)*100)</f>
        <v>100</v>
      </c>
      <c r="S420" s="1">
        <f>IF('исходные данные'!S420&gt;'минимумы и максимумы'!Q$4,100,('исходные данные'!S420-'минимумы и максимумы'!Q$2)/('минимумы и максимумы'!Q$4-'минимумы и максимумы'!Q$2)*100)</f>
        <v>33.333333333333329</v>
      </c>
      <c r="T420" s="1">
        <f>IF('исходные данные'!T420&gt;'минимумы и максимумы'!R$4,100,('исходные данные'!T420-'минимумы и максимумы'!R$2)/('минимумы и максимумы'!R$4-'минимумы и максимумы'!R$2)*100)</f>
        <v>16.196777905638665</v>
      </c>
      <c r="U420" s="1">
        <f>IF('исходные данные'!U420&gt;'минимумы и максимумы'!S$4,100,('исходные данные'!U420-'минимумы и максимумы'!S$2)/('минимумы и максимумы'!S$4-'минимумы и максимумы'!S$2)*100)</f>
        <v>0</v>
      </c>
    </row>
    <row r="421" spans="1:21" x14ac:dyDescent="0.45">
      <c r="A421" s="4">
        <v>542</v>
      </c>
      <c r="B421" s="4">
        <v>0</v>
      </c>
      <c r="C421" s="4">
        <v>0</v>
      </c>
      <c r="D421" s="1">
        <f>IF('исходные данные'!D421&gt;'минимумы и максимумы'!B$4,100,('исходные данные'!D421-'минимумы и максимумы'!B$2)/('минимумы и максимумы'!B$4-'минимумы и максимумы'!B$2)*100)</f>
        <v>0</v>
      </c>
      <c r="E421" s="1">
        <f>IF('исходные данные'!E421&gt;'минимумы и максимумы'!C$4,100,('исходные данные'!E421-'минимумы и максимумы'!C$2)/('минимумы и максимумы'!C$4-'минимумы и максимумы'!C$2)*100)</f>
        <v>0</v>
      </c>
      <c r="F421" s="1">
        <f>IF('исходные данные'!F421&gt;'минимумы и максимумы'!D$4,100,('исходные данные'!F421-'минимумы и максимумы'!D$2)/('минимумы и максимумы'!D$4-'минимумы и максимумы'!D$2)*100)</f>
        <v>0</v>
      </c>
      <c r="G421" s="1">
        <f>IF('исходные данные'!G421&gt;'минимумы и максимумы'!E$4,100,('исходные данные'!G421-'минимумы и максимумы'!E$2)/('минимумы и максимумы'!E$4-'минимумы и максимумы'!E$2)*100)</f>
        <v>2.7027027027027026</v>
      </c>
      <c r="H421" s="1">
        <f>IF('исходные данные'!H421&gt;'минимумы и максимумы'!F$4,100,('исходные данные'!H421-'минимумы и максимумы'!F$2)/('минимумы и максимумы'!F$4-'минимумы и максимумы'!F$2)*100)</f>
        <v>5.2631578947368416</v>
      </c>
      <c r="I421" s="1">
        <f>IF('исходные данные'!I421&gt;'минимумы и максимумы'!G$4,100,('исходные данные'!I421-'минимумы и максимумы'!G$2)/('минимумы и максимумы'!G$4-'минимумы и максимумы'!G$2)*100)</f>
        <v>0</v>
      </c>
      <c r="J421" s="1">
        <f>IF('исходные данные'!J421&gt;'минимумы и максимумы'!H$4,100,('исходные данные'!J421-'минимумы и максимумы'!H$2)/('минимумы и максимумы'!H$4-'минимумы и максимумы'!H$2)*100)</f>
        <v>0</v>
      </c>
      <c r="K421" s="1">
        <f>IF('исходные данные'!K421&gt;'минимумы и максимумы'!I$4,100,('исходные данные'!K421-'минимумы и максимумы'!I$2)/('минимумы и максимумы'!I$4-'минимумы и максимумы'!I$2)*100)</f>
        <v>0</v>
      </c>
      <c r="L421" s="1">
        <f>IF('исходные данные'!L421&gt;'минимумы и максимумы'!J$4,100,('исходные данные'!L421-'минимумы и максимумы'!J$2)/('минимумы и максимумы'!J$4-'минимумы и максимумы'!J$2)*100)</f>
        <v>0</v>
      </c>
      <c r="M421" s="1">
        <f>IF('исходные данные'!M421&gt;'минимумы и максимумы'!K$4,100,('исходные данные'!M421-'минимумы и максимумы'!K$2)/('минимумы и максимумы'!K$4-'минимумы и максимумы'!K$2)*100)</f>
        <v>6.3829787234042552</v>
      </c>
      <c r="N421" s="1">
        <f>IF('исходные данные'!N421&gt;'минимумы и максимумы'!L$4,100,('исходные данные'!N421-'минимумы и максимумы'!L$2)/('минимумы и максимумы'!L$4-'минимумы и максимумы'!L$2)*100)</f>
        <v>63.078576487091809</v>
      </c>
      <c r="O421" s="1">
        <f>IF('исходные данные'!O421&gt;'минимумы и максимумы'!M$4,100,('исходные данные'!O421-'минимумы и максимумы'!M$2)/('минимумы и максимумы'!M$4-'минимумы и максимумы'!M$2)*100)</f>
        <v>0</v>
      </c>
      <c r="P421" s="1">
        <f>IF('исходные данные'!P421&gt;'минимумы и максимумы'!N$4,100,('исходные данные'!P421-'минимумы и максимумы'!N$2)/('минимумы и максимумы'!N$4-'минимумы и максимумы'!N$2)*100)</f>
        <v>0</v>
      </c>
      <c r="Q421" s="1">
        <f>IF('исходные данные'!Q421&gt;'минимумы и максимумы'!O$4,100,('исходные данные'!Q421-'минимумы и максимумы'!O$2)/('минимумы и максимумы'!O$4-'минимумы и максимумы'!O$2)*100)</f>
        <v>100</v>
      </c>
      <c r="R421" s="1">
        <f>IF('исходные данные'!R421&gt;'минимумы и максимумы'!P$4,100,('исходные данные'!R421-'минимумы и максимумы'!P$2)/('минимумы и максимумы'!P$4-'минимумы и максимумы'!P$2)*100)</f>
        <v>100</v>
      </c>
      <c r="S421" s="1">
        <f>IF('исходные данные'!S421&gt;'минимумы и максимумы'!Q$4,100,('исходные данные'!S421-'минимумы и максимумы'!Q$2)/('минимумы и максимумы'!Q$4-'минимумы и максимумы'!Q$2)*100)</f>
        <v>22.222222222222221</v>
      </c>
      <c r="T421" s="1">
        <f>IF('исходные данные'!T421&gt;'минимумы и максимумы'!R$4,100,('исходные данные'!T421-'минимумы и максимумы'!R$2)/('минимумы и максимумы'!R$4-'минимумы и максимумы'!R$2)*100)</f>
        <v>6.0989643268124283</v>
      </c>
      <c r="U421" s="1">
        <f>IF('исходные данные'!U421&gt;'минимумы и максимумы'!S$4,100,('исходные данные'!U421-'минимумы и максимумы'!S$2)/('минимумы и максимумы'!S$4-'минимумы и максимумы'!S$2)*100)</f>
        <v>0</v>
      </c>
    </row>
    <row r="422" spans="1:21" x14ac:dyDescent="0.45">
      <c r="A422" s="4">
        <v>543</v>
      </c>
      <c r="B422" s="4">
        <v>0</v>
      </c>
      <c r="C422" s="4">
        <v>0</v>
      </c>
      <c r="D422" s="1">
        <f>IF('исходные данные'!D422&gt;'минимумы и максимумы'!B$4,100,('исходные данные'!D422-'минимумы и максимумы'!B$2)/('минимумы и максимумы'!B$4-'минимумы и максимумы'!B$2)*100)</f>
        <v>0</v>
      </c>
      <c r="E422" s="1">
        <f>IF('исходные данные'!E422&gt;'минимумы и максимумы'!C$4,100,('исходные данные'!E422-'минимумы и максимумы'!C$2)/('минимумы и максимумы'!C$4-'минимумы и максимумы'!C$2)*100)</f>
        <v>6.25</v>
      </c>
      <c r="F422" s="1">
        <f>IF('исходные данные'!F422&gt;'минимумы и максимумы'!D$4,100,('исходные данные'!F422-'минимумы и максимумы'!D$2)/('минимумы и максимумы'!D$4-'минимумы и максимумы'!D$2)*100)</f>
        <v>25</v>
      </c>
      <c r="G422" s="1">
        <f>IF('исходные данные'!G422&gt;'минимумы и максимумы'!E$4,100,('исходные данные'!G422-'минимумы и максимумы'!E$2)/('минимумы и максимумы'!E$4-'минимумы и максимумы'!E$2)*100)</f>
        <v>0</v>
      </c>
      <c r="H422" s="1">
        <f>IF('исходные данные'!H422&gt;'минимумы и максимумы'!F$4,100,('исходные данные'!H422-'минимумы и максимумы'!F$2)/('минимумы и максимумы'!F$4-'минимумы и максимумы'!F$2)*100)</f>
        <v>0</v>
      </c>
      <c r="I422" s="1">
        <f>IF('исходные данные'!I422&gt;'минимумы и максимумы'!G$4,100,('исходные данные'!I422-'минимумы и максимумы'!G$2)/('минимумы и максимумы'!G$4-'минимумы и максимумы'!G$2)*100)</f>
        <v>0</v>
      </c>
      <c r="J422" s="1">
        <f>IF('исходные данные'!J422&gt;'минимумы и максимумы'!H$4,100,('исходные данные'!J422-'минимумы и максимумы'!H$2)/('минимумы и максимумы'!H$4-'минимумы и максимумы'!H$2)*100)</f>
        <v>0</v>
      </c>
      <c r="K422" s="1">
        <f>IF('исходные данные'!K422&gt;'минимумы и максимумы'!I$4,100,('исходные данные'!K422-'минимумы и максимумы'!I$2)/('минимумы и максимумы'!I$4-'минимумы и максимумы'!I$2)*100)</f>
        <v>0</v>
      </c>
      <c r="L422" s="1">
        <f>IF('исходные данные'!L422&gt;'минимумы и максимумы'!J$4,100,('исходные данные'!L422-'минимумы и максимумы'!J$2)/('минимумы и максимумы'!J$4-'минимумы и максимумы'!J$2)*100)</f>
        <v>0</v>
      </c>
      <c r="M422" s="1">
        <f>IF('исходные данные'!M422&gt;'минимумы и максимумы'!K$4,100,('исходные данные'!M422-'минимумы и максимумы'!K$2)/('минимумы и максимумы'!K$4-'минимумы и максимумы'!K$2)*100)</f>
        <v>4.2553191489361701</v>
      </c>
      <c r="N422" s="1">
        <f>IF('исходные данные'!N422&gt;'минимумы и максимумы'!L$4,100,('исходные данные'!N422-'минимумы и максимумы'!L$2)/('минимумы и максимумы'!L$4-'минимумы и максимумы'!L$2)*100)</f>
        <v>70.086656121367028</v>
      </c>
      <c r="O422" s="1">
        <f>IF('исходные данные'!O422&gt;'минимумы и максимумы'!M$4,100,('исходные данные'!O422-'минимумы и максимумы'!M$2)/('минимумы и максимумы'!M$4-'минимумы и максимумы'!M$2)*100)</f>
        <v>66.666666666666657</v>
      </c>
      <c r="P422" s="1">
        <f>IF('исходные данные'!P422&gt;'минимумы и максимумы'!N$4,100,('исходные данные'!P422-'минимумы и максимумы'!N$2)/('минимумы и максимумы'!N$4-'минимумы и максимумы'!N$2)*100)</f>
        <v>0</v>
      </c>
      <c r="Q422" s="1">
        <f>IF('исходные данные'!Q422&gt;'минимумы и максимумы'!O$4,100,('исходные данные'!Q422-'минимумы и максимумы'!O$2)/('минимумы и максимумы'!O$4-'минимумы и максимумы'!O$2)*100)</f>
        <v>100</v>
      </c>
      <c r="R422" s="1">
        <f>IF('исходные данные'!R422&gt;'минимумы и максимумы'!P$4,100,('исходные данные'!R422-'минимумы и максимумы'!P$2)/('минимумы и максимумы'!P$4-'минимумы и максимумы'!P$2)*100)</f>
        <v>100</v>
      </c>
      <c r="S422" s="1">
        <f>IF('исходные данные'!S422&gt;'минимумы и максимумы'!Q$4,100,('исходные данные'!S422-'минимумы и максимумы'!Q$2)/('минимумы и максимумы'!Q$4-'минимумы и максимумы'!Q$2)*100)</f>
        <v>22.222222222222221</v>
      </c>
      <c r="T422" s="1">
        <f>IF('исходные данные'!T422&gt;'минимумы и максимумы'!R$4,100,('исходные данные'!T422-'минимумы и максимумы'!R$2)/('минимумы и максимумы'!R$4-'минимумы и максимумы'!R$2)*100)</f>
        <v>27.560414269275029</v>
      </c>
      <c r="U422" s="1">
        <f>IF('исходные данные'!U422&gt;'минимумы и максимумы'!S$4,100,('исходные данные'!U422-'минимумы и максимумы'!S$2)/('минимумы и максимумы'!S$4-'минимумы и максимумы'!S$2)*100)</f>
        <v>33.333333333333329</v>
      </c>
    </row>
    <row r="423" spans="1:21" x14ac:dyDescent="0.45">
      <c r="A423" s="4">
        <v>544</v>
      </c>
      <c r="B423" s="4">
        <v>0</v>
      </c>
      <c r="C423" s="4">
        <v>1</v>
      </c>
      <c r="D423" s="1">
        <f>IF('исходные данные'!D423&gt;'минимумы и максимумы'!B$4,100,('исходные данные'!D423-'минимумы и максимумы'!B$2)/('минимумы и максимумы'!B$4-'минимумы и максимумы'!B$2)*100)</f>
        <v>0</v>
      </c>
      <c r="E423" s="1">
        <f>IF('исходные данные'!E423&gt;'минимумы и максимумы'!C$4,100,('исходные данные'!E423-'минимумы и максимумы'!C$2)/('минимумы и максимумы'!C$4-'минимумы и максимумы'!C$2)*100)</f>
        <v>6.25</v>
      </c>
      <c r="F423" s="1">
        <f>IF('исходные данные'!F423&gt;'минимумы и максимумы'!D$4,100,('исходные данные'!F423-'минимумы и максимумы'!D$2)/('минимумы и максимумы'!D$4-'минимумы и максимумы'!D$2)*100)</f>
        <v>25</v>
      </c>
      <c r="G423" s="1">
        <f>IF('исходные данные'!G423&gt;'минимумы и максимумы'!E$4,100,('исходные данные'!G423-'минимумы и максимумы'!E$2)/('минимумы и максимумы'!E$4-'минимумы и максимумы'!E$2)*100)</f>
        <v>2.7027027027027026</v>
      </c>
      <c r="H423" s="1">
        <f>IF('исходные данные'!H423&gt;'минимумы и максимумы'!F$4,100,('исходные данные'!H423-'минимумы и максимумы'!F$2)/('минимумы и максимумы'!F$4-'минимумы и максимумы'!F$2)*100)</f>
        <v>0</v>
      </c>
      <c r="I423" s="1">
        <f>IF('исходные данные'!I423&gt;'минимумы и максимумы'!G$4,100,('исходные данные'!I423-'минимумы и максимумы'!G$2)/('минимумы и максимумы'!G$4-'минимумы и максимумы'!G$2)*100)</f>
        <v>0</v>
      </c>
      <c r="J423" s="1">
        <f>IF('исходные данные'!J423&gt;'минимумы и максимумы'!H$4,100,('исходные данные'!J423-'минимумы и максимумы'!H$2)/('минимумы и максимумы'!H$4-'минимумы и максимумы'!H$2)*100)</f>
        <v>0</v>
      </c>
      <c r="K423" s="1">
        <f>IF('исходные данные'!K423&gt;'минимумы и максимумы'!I$4,100,('исходные данные'!K423-'минимумы и максимумы'!I$2)/('минимумы и максимумы'!I$4-'минимумы и максимумы'!I$2)*100)</f>
        <v>0</v>
      </c>
      <c r="L423" s="1">
        <f>IF('исходные данные'!L423&gt;'минимумы и максимумы'!J$4,100,('исходные данные'!L423-'минимумы и максимумы'!J$2)/('минимумы и максимумы'!J$4-'минимумы и максимумы'!J$2)*100)</f>
        <v>0</v>
      </c>
      <c r="M423" s="1">
        <f>IF('исходные данные'!M423&gt;'минимумы и максимумы'!K$4,100,('исходные данные'!M423-'минимумы и максимумы'!K$2)/('минимумы и максимумы'!K$4-'минимумы и максимумы'!K$2)*100)</f>
        <v>4.2553191489361701</v>
      </c>
      <c r="N423" s="1">
        <f>IF('исходные данные'!N423&gt;'минимумы и максимумы'!L$4,100,('исходные данные'!N423-'минимумы и максимумы'!L$2)/('минимумы и максимумы'!L$4-'минимумы и максимумы'!L$2)*100)</f>
        <v>69.728132179193963</v>
      </c>
      <c r="O423" s="1">
        <f>IF('исходные данные'!O423&gt;'минимумы и максимумы'!M$4,100,('исходные данные'!O423-'минимумы и максимумы'!M$2)/('минимумы и максимумы'!M$4-'минимумы и максимумы'!M$2)*100)</f>
        <v>0</v>
      </c>
      <c r="P423" s="1">
        <f>IF('исходные данные'!P423&gt;'минимумы и максимумы'!N$4,100,('исходные данные'!P423-'минимумы и максимумы'!N$2)/('минимумы и максимумы'!N$4-'минимумы и максимумы'!N$2)*100)</f>
        <v>0</v>
      </c>
      <c r="Q423" s="1">
        <f>IF('исходные данные'!Q423&gt;'минимумы и максимумы'!O$4,100,('исходные данные'!Q423-'минимумы и максимумы'!O$2)/('минимумы и максимумы'!O$4-'минимумы и максимумы'!O$2)*100)</f>
        <v>100</v>
      </c>
      <c r="R423" s="1">
        <f>IF('исходные данные'!R423&gt;'минимумы и максимумы'!P$4,100,('исходные данные'!R423-'минимумы и максимумы'!P$2)/('минимумы и максимумы'!P$4-'минимумы и максимумы'!P$2)*100)</f>
        <v>100</v>
      </c>
      <c r="S423" s="1">
        <f>IF('исходные данные'!S423&gt;'минимумы и максимумы'!Q$4,100,('исходные данные'!S423-'минимумы и максимумы'!Q$2)/('минимумы и максимумы'!Q$4-'минимумы и максимумы'!Q$2)*100)</f>
        <v>11.111111111111111</v>
      </c>
      <c r="T423" s="1">
        <f>IF('исходные данные'!T423&gt;'минимумы и максимумы'!R$4,100,('исходные данные'!T423-'минимумы и максимумы'!R$2)/('минимумы и максимумы'!R$4-'минимумы и максимумы'!R$2)*100)</f>
        <v>32.681242807825086</v>
      </c>
      <c r="U423" s="1">
        <f>IF('исходные данные'!U423&gt;'минимумы и максимумы'!S$4,100,('исходные данные'!U423-'минимумы и максимумы'!S$2)/('минимумы и максимумы'!S$4-'минимумы и максимумы'!S$2)*100)</f>
        <v>66.666666666666657</v>
      </c>
    </row>
    <row r="424" spans="1:21" x14ac:dyDescent="0.45">
      <c r="A424" s="4">
        <v>545</v>
      </c>
      <c r="B424" s="4">
        <v>0</v>
      </c>
      <c r="C424" s="4">
        <v>0</v>
      </c>
      <c r="D424" s="1">
        <f>IF('исходные данные'!D424&gt;'минимумы и максимумы'!B$4,100,('исходные данные'!D424-'минимумы и максимумы'!B$2)/('минимумы и максимумы'!B$4-'минимумы и максимумы'!B$2)*100)</f>
        <v>0</v>
      </c>
      <c r="E424" s="1">
        <f>IF('исходные данные'!E424&gt;'минимумы и максимумы'!C$4,100,('исходные данные'!E424-'минимумы и максимумы'!C$2)/('минимумы и максимумы'!C$4-'минимумы и максимумы'!C$2)*100)</f>
        <v>0</v>
      </c>
      <c r="F424" s="1">
        <f>IF('исходные данные'!F424&gt;'минимумы и максимумы'!D$4,100,('исходные данные'!F424-'минимумы и максимумы'!D$2)/('минимумы и максимумы'!D$4-'минимумы и максимумы'!D$2)*100)</f>
        <v>0</v>
      </c>
      <c r="G424" s="1">
        <f>IF('исходные данные'!G424&gt;'минимумы и максимумы'!E$4,100,('исходные данные'!G424-'минимумы и максимумы'!E$2)/('минимумы и максимумы'!E$4-'минимумы и максимумы'!E$2)*100)</f>
        <v>0</v>
      </c>
      <c r="H424" s="1">
        <f>IF('исходные данные'!H424&gt;'минимумы и максимумы'!F$4,100,('исходные данные'!H424-'минимумы и максимумы'!F$2)/('минимумы и максимумы'!F$4-'минимумы и максимумы'!F$2)*100)</f>
        <v>0</v>
      </c>
      <c r="I424" s="1">
        <f>IF('исходные данные'!I424&gt;'минимумы и максимумы'!G$4,100,('исходные данные'!I424-'минимумы и максимумы'!G$2)/('минимумы и максимумы'!G$4-'минимумы и максимумы'!G$2)*100)</f>
        <v>0</v>
      </c>
      <c r="J424" s="1">
        <f>IF('исходные данные'!J424&gt;'минимумы и максимумы'!H$4,100,('исходные данные'!J424-'минимумы и максимумы'!H$2)/('минимумы и максимумы'!H$4-'минимумы и максимумы'!H$2)*100)</f>
        <v>0</v>
      </c>
      <c r="K424" s="1">
        <f>IF('исходные данные'!K424&gt;'минимумы и максимумы'!I$4,100,('исходные данные'!K424-'минимумы и максимумы'!I$2)/('минимумы и максимумы'!I$4-'минимумы и максимумы'!I$2)*100)</f>
        <v>0</v>
      </c>
      <c r="L424" s="1">
        <f>IF('исходные данные'!L424&gt;'минимумы и максимумы'!J$4,100,('исходные данные'!L424-'минимумы и максимумы'!J$2)/('минимумы и максимумы'!J$4-'минимумы и максимумы'!J$2)*100)</f>
        <v>0</v>
      </c>
      <c r="M424" s="1">
        <f>IF('исходные данные'!M424&gt;'минимумы и максимумы'!K$4,100,('исходные данные'!M424-'минимумы и максимумы'!K$2)/('минимумы и максимумы'!K$4-'минимумы и максимумы'!K$2)*100)</f>
        <v>4.2553191489361701</v>
      </c>
      <c r="N424" s="1">
        <f>IF('исходные данные'!N424&gt;'минимумы и максимумы'!L$4,100,('исходные данные'!N424-'минимумы и максимумы'!L$2)/('минимумы и максимумы'!L$4-'минимумы и максимумы'!L$2)*100)</f>
        <v>66.060827837267482</v>
      </c>
      <c r="O424" s="1">
        <f>IF('исходные данные'!O424&gt;'минимумы и максимумы'!M$4,100,('исходные данные'!O424-'минимумы и максимумы'!M$2)/('минимумы и максимумы'!M$4-'минимумы и максимумы'!M$2)*100)</f>
        <v>66.666666666666657</v>
      </c>
      <c r="P424" s="1">
        <f>IF('исходные данные'!P424&gt;'минимумы и максимумы'!N$4,100,('исходные данные'!P424-'минимумы и максимумы'!N$2)/('минимумы и максимумы'!N$4-'минимумы и максимумы'!N$2)*100)</f>
        <v>0</v>
      </c>
      <c r="Q424" s="1">
        <f>IF('исходные данные'!Q424&gt;'минимумы и максимумы'!O$4,100,('исходные данные'!Q424-'минимумы и максимумы'!O$2)/('минимумы и максимумы'!O$4-'минимумы и максимумы'!O$2)*100)</f>
        <v>100</v>
      </c>
      <c r="R424" s="1">
        <f>IF('исходные данные'!R424&gt;'минимумы и максимумы'!P$4,100,('исходные данные'!R424-'минимумы и максимумы'!P$2)/('минимумы и максимумы'!P$4-'минимумы и максимумы'!P$2)*100)</f>
        <v>100</v>
      </c>
      <c r="S424" s="1">
        <f>IF('исходные данные'!S424&gt;'минимумы и максимумы'!Q$4,100,('исходные данные'!S424-'минимумы и максимумы'!Q$2)/('минимумы и максимумы'!Q$4-'минимумы и максимумы'!Q$2)*100)</f>
        <v>100</v>
      </c>
      <c r="T424" s="1">
        <f>IF('исходные данные'!T424&gt;'минимумы и максимумы'!R$4,100,('исходные данные'!T424-'минимумы и максимумы'!R$2)/('минимумы и максимумы'!R$4-'минимумы и максимумы'!R$2)*100)</f>
        <v>32.825086306098967</v>
      </c>
      <c r="U424" s="1">
        <f>IF('исходные данные'!U424&gt;'минимумы и максимумы'!S$4,100,('исходные данные'!U424-'минимумы и максимумы'!S$2)/('минимумы и максимумы'!S$4-'минимумы и максимумы'!S$2)*100)</f>
        <v>0</v>
      </c>
    </row>
    <row r="425" spans="1:21" x14ac:dyDescent="0.45">
      <c r="A425" s="4">
        <v>546</v>
      </c>
      <c r="B425" s="4">
        <v>0</v>
      </c>
      <c r="C425" s="4">
        <v>0</v>
      </c>
      <c r="D425" s="1">
        <f>IF('исходные данные'!D425&gt;'минимумы и максимумы'!B$4,100,('исходные данные'!D425-'минимумы и максимумы'!B$2)/('минимумы и максимумы'!B$4-'минимумы и максимумы'!B$2)*100)</f>
        <v>0</v>
      </c>
      <c r="E425" s="1">
        <f>IF('исходные данные'!E425&gt;'минимумы и максимумы'!C$4,100,('исходные данные'!E425-'минимумы и максимумы'!C$2)/('минимумы и максимумы'!C$4-'минимумы и максимумы'!C$2)*100)</f>
        <v>0</v>
      </c>
      <c r="F425" s="1">
        <f>IF('исходные данные'!F425&gt;'минимумы и максимумы'!D$4,100,('исходные данные'!F425-'минимумы и максимумы'!D$2)/('минимумы и максимумы'!D$4-'минимумы и максимумы'!D$2)*100)</f>
        <v>0</v>
      </c>
      <c r="G425" s="1">
        <f>IF('исходные данные'!G425&gt;'минимумы и максимумы'!E$4,100,('исходные данные'!G425-'минимумы и максимумы'!E$2)/('минимумы и максимумы'!E$4-'минимумы и максимумы'!E$2)*100)</f>
        <v>0</v>
      </c>
      <c r="H425" s="1">
        <f>IF('исходные данные'!H425&gt;'минимумы и максимумы'!F$4,100,('исходные данные'!H425-'минимумы и максимумы'!F$2)/('минимумы и максимумы'!F$4-'минимумы и максимумы'!F$2)*100)</f>
        <v>0</v>
      </c>
      <c r="I425" s="1">
        <f>IF('исходные данные'!I425&gt;'минимумы и максимумы'!G$4,100,('исходные данные'!I425-'минимумы и максимумы'!G$2)/('минимумы и максимумы'!G$4-'минимумы и максимумы'!G$2)*100)</f>
        <v>0</v>
      </c>
      <c r="J425" s="1">
        <f>IF('исходные данные'!J425&gt;'минимумы и максимумы'!H$4,100,('исходные данные'!J425-'минимумы и максимумы'!H$2)/('минимумы и максимумы'!H$4-'минимумы и максимумы'!H$2)*100)</f>
        <v>0</v>
      </c>
      <c r="K425" s="1">
        <f>IF('исходные данные'!K425&gt;'минимумы и максимумы'!I$4,100,('исходные данные'!K425-'минимумы и максимумы'!I$2)/('минимумы и максимумы'!I$4-'минимумы и максимумы'!I$2)*100)</f>
        <v>0</v>
      </c>
      <c r="L425" s="1">
        <f>IF('исходные данные'!L425&gt;'минимумы и максимумы'!J$4,100,('исходные данные'!L425-'минимумы и максимумы'!J$2)/('минимумы и максимумы'!J$4-'минимумы и максимумы'!J$2)*100)</f>
        <v>0</v>
      </c>
      <c r="M425" s="1">
        <f>IF('исходные данные'!M425&gt;'минимумы и максимумы'!K$4,100,('исходные данные'!M425-'минимумы и максимумы'!K$2)/('минимумы и максимумы'!K$4-'минимумы и максимумы'!K$2)*100)</f>
        <v>4.2553191489361701</v>
      </c>
      <c r="N425" s="1">
        <f>IF('исходные данные'!N425&gt;'минимумы и максимумы'!L$4,100,('исходные данные'!N425-'минимумы и максимумы'!L$2)/('минимумы и максимумы'!L$4-'минимумы и максимумы'!L$2)*100)</f>
        <v>66.216073551616546</v>
      </c>
      <c r="O425" s="1">
        <f>IF('исходные данные'!O425&gt;'минимумы и максимумы'!M$4,100,('исходные данные'!O425-'минимумы и максимумы'!M$2)/('минимумы и максимумы'!M$4-'минимумы и максимумы'!M$2)*100)</f>
        <v>66.666666666666657</v>
      </c>
      <c r="P425" s="1">
        <f>IF('исходные данные'!P425&gt;'минимумы и максимумы'!N$4,100,('исходные данные'!P425-'минимумы и максимумы'!N$2)/('минимумы и максимумы'!N$4-'минимумы и максимумы'!N$2)*100)</f>
        <v>0</v>
      </c>
      <c r="Q425" s="1">
        <f>IF('исходные данные'!Q425&gt;'минимумы и максимумы'!O$4,100,('исходные данные'!Q425-'минимумы и максимумы'!O$2)/('минимумы и максимумы'!O$4-'минимумы и максимумы'!O$2)*100)</f>
        <v>100</v>
      </c>
      <c r="R425" s="1">
        <f>IF('исходные данные'!R425&gt;'минимумы и максимумы'!P$4,100,('исходные данные'!R425-'минимумы и максимумы'!P$2)/('минимумы и максимумы'!P$4-'минимумы и максимумы'!P$2)*100)</f>
        <v>100</v>
      </c>
      <c r="S425" s="1">
        <f>IF('исходные данные'!S425&gt;'минимумы и максимумы'!Q$4,100,('исходные данные'!S425-'минимумы и максимумы'!Q$2)/('минимумы и максимумы'!Q$4-'минимумы и максимумы'!Q$2)*100)</f>
        <v>100</v>
      </c>
      <c r="T425" s="1">
        <f>IF('исходные данные'!T425&gt;'минимумы и максимумы'!R$4,100,('исходные данные'!T425-'минимумы и максимумы'!R$2)/('минимумы и максимумы'!R$4-'минимумы и максимумы'!R$2)*100)</f>
        <v>33.112773302646723</v>
      </c>
      <c r="U425" s="1">
        <f>IF('исходные данные'!U425&gt;'минимумы и максимумы'!S$4,100,('исходные данные'!U425-'минимумы и максимумы'!S$2)/('минимумы и максимумы'!S$4-'минимумы и максимумы'!S$2)*100)</f>
        <v>0</v>
      </c>
    </row>
    <row r="426" spans="1:21" x14ac:dyDescent="0.45">
      <c r="A426" s="4">
        <v>547</v>
      </c>
      <c r="B426" s="4">
        <v>1</v>
      </c>
      <c r="C426" s="4">
        <v>0</v>
      </c>
      <c r="D426" s="1">
        <f>IF('исходные данные'!D426&gt;'минимумы и максимумы'!B$4,100,('исходные данные'!D426-'минимумы и максимумы'!B$2)/('минимумы и максимумы'!B$4-'минимумы и максимумы'!B$2)*100)</f>
        <v>12.5</v>
      </c>
      <c r="E426" s="1">
        <f>IF('исходные данные'!E426&gt;'минимумы и максимумы'!C$4,100,('исходные данные'!E426-'минимумы и максимумы'!C$2)/('минимумы и максимумы'!C$4-'минимумы и максимумы'!C$2)*100)</f>
        <v>6.25</v>
      </c>
      <c r="F426" s="1">
        <f>IF('исходные данные'!F426&gt;'минимумы и максимумы'!D$4,100,('исходные данные'!F426-'минимумы и максимумы'!D$2)/('минимумы и максимумы'!D$4-'минимумы и максимумы'!D$2)*100)</f>
        <v>25</v>
      </c>
      <c r="G426" s="1">
        <f>IF('исходные данные'!G426&gt;'минимумы и максимумы'!E$4,100,('исходные данные'!G426-'минимумы и максимумы'!E$2)/('минимумы и максимумы'!E$4-'минимумы и максимумы'!E$2)*100)</f>
        <v>5.4054054054054053</v>
      </c>
      <c r="H426" s="1">
        <f>IF('исходные данные'!H426&gt;'минимумы и максимумы'!F$4,100,('исходные данные'!H426-'минимумы и максимумы'!F$2)/('минимумы и максимумы'!F$4-'минимумы и максимумы'!F$2)*100)</f>
        <v>5.2631578947368416</v>
      </c>
      <c r="I426" s="1">
        <f>IF('исходные данные'!I426&gt;'минимумы и максимумы'!G$4,100,('исходные данные'!I426-'минимумы и максимумы'!G$2)/('минимумы и максимумы'!G$4-'минимумы и максимумы'!G$2)*100)</f>
        <v>3.6144578313253009</v>
      </c>
      <c r="J426" s="1">
        <f>IF('исходные данные'!J426&gt;'минимумы и максимумы'!H$4,100,('исходные данные'!J426-'минимумы и максимумы'!H$2)/('минимумы и максимумы'!H$4-'минимумы и максимумы'!H$2)*100)</f>
        <v>0</v>
      </c>
      <c r="K426" s="1">
        <f>IF('исходные данные'!K426&gt;'минимумы и максимумы'!I$4,100,('исходные данные'!K426-'минимумы и максимумы'!I$2)/('минимумы и максимумы'!I$4-'минимумы и максимумы'!I$2)*100)</f>
        <v>0</v>
      </c>
      <c r="L426" s="1">
        <f>IF('исходные данные'!L426&gt;'минимумы и максимумы'!J$4,100,('исходные данные'!L426-'минимумы и максимумы'!J$2)/('минимумы и максимумы'!J$4-'минимумы и максимумы'!J$2)*100)</f>
        <v>0</v>
      </c>
      <c r="M426" s="1">
        <f>IF('исходные данные'!M426&gt;'минимумы и максимумы'!K$4,100,('исходные данные'!M426-'минимумы и максимумы'!K$2)/('минимумы и максимумы'!K$4-'минимумы и максимумы'!K$2)*100)</f>
        <v>12.76595744680851</v>
      </c>
      <c r="N426" s="1">
        <f>IF('исходные данные'!N426&gt;'минимумы и максимумы'!L$4,100,('исходные данные'!N426-'минимумы и максимумы'!L$2)/('минимумы и максимумы'!L$4-'минимумы и максимумы'!L$2)*100)</f>
        <v>69.261754118698676</v>
      </c>
      <c r="O426" s="1">
        <f>IF('исходные данные'!O426&gt;'минимумы и максимумы'!M$4,100,('исходные данные'!O426-'минимумы и максимумы'!M$2)/('минимумы и максимумы'!M$4-'минимумы и максимумы'!M$2)*100)</f>
        <v>100</v>
      </c>
      <c r="P426" s="1">
        <f>IF('исходные данные'!P426&gt;'минимумы и максимумы'!N$4,100,('исходные данные'!P426-'минимумы и максимумы'!N$2)/('минимумы и максимумы'!N$4-'минимумы и максимумы'!N$2)*100)</f>
        <v>0</v>
      </c>
      <c r="Q426" s="1">
        <f>IF('исходные данные'!Q426&gt;'минимумы и максимумы'!O$4,100,('исходные данные'!Q426-'минимумы и максимумы'!O$2)/('минимумы и максимумы'!O$4-'минимумы и максимумы'!O$2)*100)</f>
        <v>100</v>
      </c>
      <c r="R426" s="1">
        <f>IF('исходные данные'!R426&gt;'минимумы и максимумы'!P$4,100,('исходные данные'!R426-'минимумы и максимумы'!P$2)/('минимумы и максимумы'!P$4-'минимумы и максимумы'!P$2)*100)</f>
        <v>100</v>
      </c>
      <c r="S426" s="1">
        <f>IF('исходные данные'!S426&gt;'минимумы и максимумы'!Q$4,100,('исходные данные'!S426-'минимумы и максимумы'!Q$2)/('минимумы и максимумы'!Q$4-'минимумы и максимумы'!Q$2)*100)</f>
        <v>22.222222222222221</v>
      </c>
      <c r="T426" s="1">
        <f>IF('исходные данные'!T426&gt;'минимумы и максимумы'!R$4,100,('исходные данные'!T426-'минимумы и максимумы'!R$2)/('минимумы и максимумы'!R$4-'минимумы и максимумы'!R$2)*100)</f>
        <v>12.456846950517837</v>
      </c>
      <c r="U426" s="1">
        <f>IF('исходные данные'!U426&gt;'минимумы и максимумы'!S$4,100,('исходные данные'!U426-'минимумы и максимумы'!S$2)/('минимумы и максимумы'!S$4-'минимумы и максимумы'!S$2)*100)</f>
        <v>0</v>
      </c>
    </row>
    <row r="427" spans="1:21" x14ac:dyDescent="0.45">
      <c r="A427" s="4">
        <v>548</v>
      </c>
      <c r="B427" s="4">
        <v>1</v>
      </c>
      <c r="C427" s="4">
        <v>0</v>
      </c>
      <c r="D427" s="1">
        <f>IF('исходные данные'!D427&gt;'минимумы и максимумы'!B$4,100,('исходные данные'!D427-'минимумы и максимумы'!B$2)/('минимумы и максимумы'!B$4-'минимумы и максимумы'!B$2)*100)</f>
        <v>0</v>
      </c>
      <c r="E427" s="1">
        <f>IF('исходные данные'!E427&gt;'минимумы и максимумы'!C$4,100,('исходные данные'!E427-'минимумы и максимумы'!C$2)/('минимумы и максимумы'!C$4-'минимумы и максимумы'!C$2)*100)</f>
        <v>0</v>
      </c>
      <c r="F427" s="1">
        <f>IF('исходные данные'!F427&gt;'минимумы и максимумы'!D$4,100,('исходные данные'!F427-'минимумы и максимумы'!D$2)/('минимумы и максимумы'!D$4-'минимумы и максимумы'!D$2)*100)</f>
        <v>0</v>
      </c>
      <c r="G427" s="1">
        <f>IF('исходные данные'!G427&gt;'минимумы и максимумы'!E$4,100,('исходные данные'!G427-'минимумы и максимумы'!E$2)/('минимумы и максимумы'!E$4-'минимумы и максимумы'!E$2)*100)</f>
        <v>0</v>
      </c>
      <c r="H427" s="1">
        <f>IF('исходные данные'!H427&gt;'минимумы и максимумы'!F$4,100,('исходные данные'!H427-'минимумы и максимумы'!F$2)/('минимумы и максимумы'!F$4-'минимумы и максимумы'!F$2)*100)</f>
        <v>0</v>
      </c>
      <c r="I427" s="1">
        <f>IF('исходные данные'!I427&gt;'минимумы и максимумы'!G$4,100,('исходные данные'!I427-'минимумы и максимумы'!G$2)/('минимумы и максимумы'!G$4-'минимумы и максимумы'!G$2)*100)</f>
        <v>0</v>
      </c>
      <c r="J427" s="1">
        <f>IF('исходные данные'!J427&gt;'минимумы и максимумы'!H$4,100,('исходные данные'!J427-'минимумы и максимумы'!H$2)/('минимумы и максимумы'!H$4-'минимумы и максимумы'!H$2)*100)</f>
        <v>0</v>
      </c>
      <c r="K427" s="1">
        <f>IF('исходные данные'!K427&gt;'минимумы и максимумы'!I$4,100,('исходные данные'!K427-'минимумы и максимумы'!I$2)/('минимумы и максимумы'!I$4-'минимумы и максимумы'!I$2)*100)</f>
        <v>0</v>
      </c>
      <c r="L427" s="1">
        <f>IF('исходные данные'!L427&gt;'минимумы и максимумы'!J$4,100,('исходные данные'!L427-'минимумы и максимумы'!J$2)/('минимумы и максимумы'!J$4-'минимумы и максимумы'!J$2)*100)</f>
        <v>0</v>
      </c>
      <c r="M427" s="1">
        <f>IF('исходные данные'!M427&gt;'минимумы и максимумы'!K$4,100,('исходные данные'!M427-'минимумы и максимумы'!K$2)/('минимумы и максимумы'!K$4-'минимумы и максимумы'!K$2)*100)</f>
        <v>0</v>
      </c>
      <c r="N427" s="1">
        <f>IF('исходные данные'!N427&gt;'минимумы и максимумы'!L$4,100,('исходные данные'!N427-'минимумы и максимумы'!L$2)/('минимумы и максимумы'!L$4-'минимумы и максимумы'!L$2)*100)</f>
        <v>49.046129295049049</v>
      </c>
      <c r="O427" s="1">
        <f>IF('исходные данные'!O427&gt;'минимумы и максимумы'!M$4,100,('исходные данные'!O427-'минимумы и максимумы'!M$2)/('минимумы и максимумы'!M$4-'минимумы и максимумы'!M$2)*100)</f>
        <v>66.666666666666657</v>
      </c>
      <c r="P427" s="1">
        <f>IF('исходные данные'!P427&gt;'минимумы и максимумы'!N$4,100,('исходные данные'!P427-'минимумы и максимумы'!N$2)/('минимумы и максимумы'!N$4-'минимумы и максимумы'!N$2)*100)</f>
        <v>0</v>
      </c>
      <c r="Q427" s="1">
        <f>IF('исходные данные'!Q427&gt;'минимумы и максимумы'!O$4,100,('исходные данные'!Q427-'минимумы и максимумы'!O$2)/('минимумы и максимумы'!O$4-'минимумы и максимумы'!O$2)*100)</f>
        <v>100</v>
      </c>
      <c r="R427" s="1">
        <f>IF('исходные данные'!R427&gt;'минимумы и максимумы'!P$4,100,('исходные данные'!R427-'минимумы и максимумы'!P$2)/('минимумы и максимумы'!P$4-'минимумы и максимумы'!P$2)*100)</f>
        <v>75</v>
      </c>
      <c r="S427" s="1">
        <f>IF('исходные данные'!S427&gt;'минимумы и максимумы'!Q$4,100,('исходные данные'!S427-'минимумы и максимумы'!Q$2)/('минимумы и максимумы'!Q$4-'минимумы и максимумы'!Q$2)*100)</f>
        <v>22.222222222222221</v>
      </c>
      <c r="T427" s="1">
        <f>IF('исходные данные'!T427&gt;'минимумы и максимумы'!R$4,100,('исходные данные'!T427-'минимумы и максимумы'!R$2)/('минимумы и максимумы'!R$4-'минимумы и максимумы'!R$2)*100)</f>
        <v>6.61680092059839</v>
      </c>
      <c r="U427" s="1">
        <f>IF('исходные данные'!U427&gt;'минимумы и максимумы'!S$4,100,('исходные данные'!U427-'минимумы и максимумы'!S$2)/('минимумы и максимумы'!S$4-'минимумы и максимумы'!S$2)*100)</f>
        <v>0</v>
      </c>
    </row>
    <row r="428" spans="1:21" x14ac:dyDescent="0.45">
      <c r="A428" s="4">
        <v>549</v>
      </c>
      <c r="B428" s="4">
        <v>0</v>
      </c>
      <c r="C428" s="4">
        <v>0</v>
      </c>
      <c r="D428" s="1">
        <f>IF('исходные данные'!D428&gt;'минимумы и максимумы'!B$4,100,('исходные данные'!D428-'минимумы и максимумы'!B$2)/('минимумы и максимумы'!B$4-'минимумы и максимумы'!B$2)*100)</f>
        <v>0</v>
      </c>
      <c r="E428" s="1">
        <f>IF('исходные данные'!E428&gt;'минимумы и максимумы'!C$4,100,('исходные данные'!E428-'минимумы и максимумы'!C$2)/('минимумы и максимумы'!C$4-'минимумы и максимумы'!C$2)*100)</f>
        <v>0</v>
      </c>
      <c r="F428" s="1">
        <f>IF('исходные данные'!F428&gt;'минимумы и максимумы'!D$4,100,('исходные данные'!F428-'минимумы и максимумы'!D$2)/('минимумы и максимумы'!D$4-'минимумы и максимумы'!D$2)*100)</f>
        <v>0</v>
      </c>
      <c r="G428" s="1">
        <f>IF('исходные данные'!G428&gt;'минимумы и максимумы'!E$4,100,('исходные данные'!G428-'минимумы и максимумы'!E$2)/('минимумы и максимумы'!E$4-'минимумы и максимумы'!E$2)*100)</f>
        <v>0</v>
      </c>
      <c r="H428" s="1">
        <f>IF('исходные данные'!H428&gt;'минимумы и максимумы'!F$4,100,('исходные данные'!H428-'минимумы и максимумы'!F$2)/('минимумы и максимумы'!F$4-'минимумы и максимумы'!F$2)*100)</f>
        <v>0</v>
      </c>
      <c r="I428" s="1">
        <f>IF('исходные данные'!I428&gt;'минимумы и максимумы'!G$4,100,('исходные данные'!I428-'минимумы и максимумы'!G$2)/('минимумы и максимумы'!G$4-'минимумы и максимумы'!G$2)*100)</f>
        <v>0</v>
      </c>
      <c r="J428" s="1">
        <f>IF('исходные данные'!J428&gt;'минимумы и максимумы'!H$4,100,('исходные данные'!J428-'минимумы и максимумы'!H$2)/('минимумы и максимумы'!H$4-'минимумы и максимумы'!H$2)*100)</f>
        <v>0</v>
      </c>
      <c r="K428" s="1">
        <f>IF('исходные данные'!K428&gt;'минимумы и максимумы'!I$4,100,('исходные данные'!K428-'минимумы и максимумы'!I$2)/('минимумы и максимумы'!I$4-'минимумы и максимумы'!I$2)*100)</f>
        <v>0</v>
      </c>
      <c r="L428" s="1">
        <f>IF('исходные данные'!L428&gt;'минимумы и максимумы'!J$4,100,('исходные данные'!L428-'минимумы и максимумы'!J$2)/('минимумы и максимумы'!J$4-'минимумы и максимумы'!J$2)*100)</f>
        <v>0</v>
      </c>
      <c r="M428" s="1">
        <f>IF('исходные данные'!M428&gt;'минимумы и максимумы'!K$4,100,('исходные данные'!M428-'минимумы и максимумы'!K$2)/('минимумы и максимумы'!K$4-'минимумы и максимумы'!K$2)*100)</f>
        <v>0</v>
      </c>
      <c r="N428" s="1">
        <f>IF('исходные данные'!N428&gt;'минимумы и максимумы'!L$4,100,('исходные данные'!N428-'минимумы и максимумы'!L$2)/('минимумы и максимумы'!L$4-'минимумы и максимумы'!L$2)*100)</f>
        <v>48.659142375879739</v>
      </c>
      <c r="O428" s="1">
        <f>IF('исходные данные'!O428&gt;'минимумы и максимумы'!M$4,100,('исходные данные'!O428-'минимумы и максимумы'!M$2)/('минимумы и максимумы'!M$4-'минимумы и максимумы'!M$2)*100)</f>
        <v>0</v>
      </c>
      <c r="P428" s="1">
        <f>IF('исходные данные'!P428&gt;'минимумы и максимумы'!N$4,100,('исходные данные'!P428-'минимумы и максимумы'!N$2)/('минимумы и максимумы'!N$4-'минимумы и максимумы'!N$2)*100)</f>
        <v>0</v>
      </c>
      <c r="Q428" s="1">
        <f>IF('исходные данные'!Q428&gt;'минимумы и максимумы'!O$4,100,('исходные данные'!Q428-'минимумы и максимумы'!O$2)/('минимумы и максимумы'!O$4-'минимумы и максимумы'!O$2)*100)</f>
        <v>100</v>
      </c>
      <c r="R428" s="1">
        <f>IF('исходные данные'!R428&gt;'минимумы и максимумы'!P$4,100,('исходные данные'!R428-'минимумы и максимумы'!P$2)/('минимумы и максимумы'!P$4-'минимумы и максимумы'!P$2)*100)</f>
        <v>75</v>
      </c>
      <c r="S428" s="1">
        <f>IF('исходные данные'!S428&gt;'минимумы и максимумы'!Q$4,100,('исходные данные'!S428-'минимумы и максимумы'!Q$2)/('минимумы и максимумы'!Q$4-'минимумы и максимумы'!Q$2)*100)</f>
        <v>22.222222222222221</v>
      </c>
      <c r="T428" s="1">
        <f>IF('исходные данные'!T428&gt;'минимумы и максимумы'!R$4,100,('исходные данные'!T428-'минимумы и максимумы'!R$2)/('минимумы и максимумы'!R$4-'минимумы и максимумы'!R$2)*100)</f>
        <v>6.5880322209436137</v>
      </c>
      <c r="U428" s="1">
        <f>IF('исходные данные'!U428&gt;'минимумы и максимумы'!S$4,100,('исходные данные'!U428-'минимумы и максимумы'!S$2)/('минимумы и максимумы'!S$4-'минимумы и максимумы'!S$2)*100)</f>
        <v>0</v>
      </c>
    </row>
    <row r="429" spans="1:21" x14ac:dyDescent="0.45">
      <c r="A429" s="4">
        <v>550</v>
      </c>
      <c r="B429" s="4">
        <v>0</v>
      </c>
      <c r="C429" s="4">
        <v>1</v>
      </c>
      <c r="D429" s="1">
        <f>IF('исходные данные'!D429&gt;'минимумы и максимумы'!B$4,100,('исходные данные'!D429-'минимумы и максимумы'!B$2)/('минимумы и максимумы'!B$4-'минимумы и максимумы'!B$2)*100)</f>
        <v>0</v>
      </c>
      <c r="E429" s="1">
        <f>IF('исходные данные'!E429&gt;'минимумы и максимумы'!C$4,100,('исходные данные'!E429-'минимумы и максимумы'!C$2)/('минимумы и максимумы'!C$4-'минимумы и максимумы'!C$2)*100)</f>
        <v>6.25</v>
      </c>
      <c r="F429" s="1">
        <f>IF('исходные данные'!F429&gt;'минимумы и максимумы'!D$4,100,('исходные данные'!F429-'минимумы и максимумы'!D$2)/('минимумы и максимумы'!D$4-'минимумы и максимумы'!D$2)*100)</f>
        <v>0</v>
      </c>
      <c r="G429" s="1">
        <f>IF('исходные данные'!G429&gt;'минимумы и максимумы'!E$4,100,('исходные данные'!G429-'минимумы и максимумы'!E$2)/('минимумы и максимумы'!E$4-'минимумы и максимумы'!E$2)*100)</f>
        <v>2.7027027027027026</v>
      </c>
      <c r="H429" s="1">
        <f>IF('исходные данные'!H429&gt;'минимумы и максимумы'!F$4,100,('исходные данные'!H429-'минимумы и максимумы'!F$2)/('минимумы и максимумы'!F$4-'минимумы и максимумы'!F$2)*100)</f>
        <v>10.526315789473683</v>
      </c>
      <c r="I429" s="1">
        <f>IF('исходные данные'!I429&gt;'минимумы и максимумы'!G$4,100,('исходные данные'!I429-'минимумы и максимумы'!G$2)/('минимумы и максимумы'!G$4-'минимумы и максимумы'!G$2)*100)</f>
        <v>2.4096385542168677</v>
      </c>
      <c r="J429" s="1">
        <f>IF('исходные данные'!J429&gt;'минимумы и максимумы'!H$4,100,('исходные данные'!J429-'минимумы и максимумы'!H$2)/('минимумы и максимумы'!H$4-'минимумы и максимумы'!H$2)*100)</f>
        <v>8.3333333333333321</v>
      </c>
      <c r="K429" s="1">
        <f>IF('исходные данные'!K429&gt;'минимумы и максимумы'!I$4,100,('исходные данные'!K429-'минимумы и максимумы'!I$2)/('минимумы и максимумы'!I$4-'минимумы и максимумы'!I$2)*100)</f>
        <v>0</v>
      </c>
      <c r="L429" s="1">
        <f>IF('исходные данные'!L429&gt;'минимумы и максимумы'!J$4,100,('исходные данные'!L429-'минимумы и максимумы'!J$2)/('минимумы и максимумы'!J$4-'минимумы и максимумы'!J$2)*100)</f>
        <v>0</v>
      </c>
      <c r="M429" s="1">
        <f>IF('исходные данные'!M429&gt;'минимумы и максимумы'!K$4,100,('исходные данные'!M429-'минимумы и максимумы'!K$2)/('минимумы и максимумы'!K$4-'минимумы и максимумы'!K$2)*100)</f>
        <v>12.76595744680851</v>
      </c>
      <c r="N429" s="1">
        <f>IF('исходные данные'!N429&gt;'минимумы и максимумы'!L$4,100,('исходные данные'!N429-'минимумы и максимумы'!L$2)/('минимумы и максимумы'!L$4-'минимумы и максимумы'!L$2)*100)</f>
        <v>47.327231548728534</v>
      </c>
      <c r="O429" s="1">
        <f>IF('исходные данные'!O429&gt;'минимумы и максимумы'!M$4,100,('исходные данные'!O429-'минимумы и максимумы'!M$2)/('минимумы и максимумы'!M$4-'минимумы и максимумы'!M$2)*100)</f>
        <v>66.666666666666657</v>
      </c>
      <c r="P429" s="1">
        <f>IF('исходные данные'!P429&gt;'минимумы и максимумы'!N$4,100,('исходные данные'!P429-'минимумы и максимумы'!N$2)/('минимумы и максимумы'!N$4-'минимумы и максимумы'!N$2)*100)</f>
        <v>0</v>
      </c>
      <c r="Q429" s="1">
        <f>IF('исходные данные'!Q429&gt;'минимумы и максимумы'!O$4,100,('исходные данные'!Q429-'минимумы и максимумы'!O$2)/('минимумы и максимумы'!O$4-'минимумы и максимумы'!O$2)*100)</f>
        <v>100</v>
      </c>
      <c r="R429" s="1">
        <f>IF('исходные данные'!R429&gt;'минимумы и максимумы'!P$4,100,('исходные данные'!R429-'минимумы и максимумы'!P$2)/('минимумы и максимумы'!P$4-'минимумы и максимумы'!P$2)*100)</f>
        <v>100</v>
      </c>
      <c r="S429" s="1">
        <f>IF('исходные данные'!S429&gt;'минимумы и максимумы'!Q$4,100,('исходные данные'!S429-'минимумы и максимумы'!Q$2)/('минимумы и максимумы'!Q$4-'минимумы и максимумы'!Q$2)*100)</f>
        <v>22.222222222222221</v>
      </c>
      <c r="T429" s="1">
        <f>IF('исходные данные'!T429&gt;'минимумы и максимумы'!R$4,100,('исходные данные'!T429-'минимумы и максимумы'!R$2)/('минимумы и максимумы'!R$4-'минимумы и максимумы'!R$2)*100)</f>
        <v>5.5811277330264666</v>
      </c>
      <c r="U429" s="1">
        <f>IF('исходные данные'!U429&gt;'минимумы и максимумы'!S$4,100,('исходные данные'!U429-'минимумы и максимумы'!S$2)/('минимумы и максимумы'!S$4-'минимумы и максимумы'!S$2)*100)</f>
        <v>0</v>
      </c>
    </row>
    <row r="430" spans="1:21" x14ac:dyDescent="0.45">
      <c r="A430" s="4">
        <v>551</v>
      </c>
      <c r="B430" s="4">
        <v>0</v>
      </c>
      <c r="C430" s="4">
        <v>0</v>
      </c>
      <c r="D430" s="1">
        <f>IF('исходные данные'!D430&gt;'минимумы и максимумы'!B$4,100,('исходные данные'!D430-'минимумы и максимумы'!B$2)/('минимумы и максимумы'!B$4-'минимумы и максимумы'!B$2)*100)</f>
        <v>75</v>
      </c>
      <c r="E430" s="1">
        <f>IF('исходные данные'!E430&gt;'минимумы и максимумы'!C$4,100,('исходные данные'!E430-'минимумы и максимумы'!C$2)/('минимумы и максимумы'!C$4-'минимумы и максимумы'!C$2)*100)</f>
        <v>18.75</v>
      </c>
      <c r="F430" s="1">
        <f>IF('исходные данные'!F430&gt;'минимумы и максимумы'!D$4,100,('исходные данные'!F430-'минимумы и максимумы'!D$2)/('минимумы и максимумы'!D$4-'минимумы и максимумы'!D$2)*100)</f>
        <v>25</v>
      </c>
      <c r="G430" s="1">
        <f>IF('исходные данные'!G430&gt;'минимумы и максимумы'!E$4,100,('исходные данные'!G430-'минимумы и максимумы'!E$2)/('минимумы и максимумы'!E$4-'минимумы и максимумы'!E$2)*100)</f>
        <v>54.054054054054056</v>
      </c>
      <c r="H430" s="1">
        <f>IF('исходные данные'!H430&gt;'минимумы и максимумы'!F$4,100,('исходные данные'!H430-'минимумы и максимумы'!F$2)/('минимумы и максимумы'!F$4-'минимумы и максимумы'!F$2)*100)</f>
        <v>34.210526315789473</v>
      </c>
      <c r="I430" s="1">
        <f>IF('исходные данные'!I430&gt;'минимумы и максимумы'!G$4,100,('исходные данные'!I430-'минимумы и максимумы'!G$2)/('минимумы и максимумы'!G$4-'минимумы и максимумы'!G$2)*100)</f>
        <v>100</v>
      </c>
      <c r="J430" s="1">
        <f>IF('исходные данные'!J430&gt;'минимумы и максимумы'!H$4,100,('исходные данные'!J430-'минимумы и максимумы'!H$2)/('минимумы и максимумы'!H$4-'минимумы и максимумы'!H$2)*100)</f>
        <v>100</v>
      </c>
      <c r="K430" s="1">
        <f>IF('исходные данные'!K430&gt;'минимумы и максимумы'!I$4,100,('исходные данные'!K430-'минимумы и максимумы'!I$2)/('минимумы и максимумы'!I$4-'минимумы и максимумы'!I$2)*100)</f>
        <v>78.571428571428569</v>
      </c>
      <c r="L430" s="1">
        <f>IF('исходные данные'!L430&gt;'минимумы и максимумы'!J$4,100,('исходные данные'!L430-'минимумы и максимумы'!J$2)/('минимумы и максимумы'!J$4-'минимумы и максимумы'!J$2)*100)</f>
        <v>50</v>
      </c>
      <c r="M430" s="1">
        <f>IF('исходные данные'!M430&gt;'минимумы и максимумы'!K$4,100,('исходные данные'!M430-'минимумы и максимумы'!K$2)/('минимумы и максимумы'!K$4-'минимумы и максимумы'!K$2)*100)</f>
        <v>27.659574468085108</v>
      </c>
      <c r="N430" s="1">
        <f>IF('исходные данные'!N430&gt;'минимумы и максимумы'!L$4,100,('исходные данные'!N430-'минимумы и максимумы'!L$2)/('минимумы и максимумы'!L$4-'минимумы и максимумы'!L$2)*100)</f>
        <v>3.4424358343069774</v>
      </c>
      <c r="O430" s="1">
        <f>IF('исходные данные'!O430&gt;'минимумы и максимумы'!M$4,100,('исходные данные'!O430-'минимумы и максимумы'!M$2)/('минимумы и максимумы'!M$4-'минимумы и максимумы'!M$2)*100)</f>
        <v>0</v>
      </c>
      <c r="P430" s="1">
        <f>IF('исходные данные'!P430&gt;'минимумы и максимумы'!N$4,100,('исходные данные'!P430-'минимумы и максимумы'!N$2)/('минимумы и максимумы'!N$4-'минимумы и максимумы'!N$2)*100)</f>
        <v>100</v>
      </c>
      <c r="Q430" s="1">
        <f>IF('исходные данные'!Q430&gt;'минимумы и максимумы'!O$4,100,('исходные данные'!Q430-'минимумы и максимумы'!O$2)/('минимумы и максимумы'!O$4-'минимумы и максимумы'!O$2)*100)</f>
        <v>100</v>
      </c>
      <c r="R430" s="1">
        <f>IF('исходные данные'!R430&gt;'минимумы и максимумы'!P$4,100,('исходные данные'!R430-'минимумы и максимумы'!P$2)/('минимумы и максимумы'!P$4-'минимумы и максимумы'!P$2)*100)</f>
        <v>100</v>
      </c>
      <c r="S430" s="1">
        <f>IF('исходные данные'!S430&gt;'минимумы и максимумы'!Q$4,100,('исходные данные'!S430-'минимумы и максимумы'!Q$2)/('минимумы и максимумы'!Q$4-'минимумы и максимумы'!Q$2)*100)</f>
        <v>22.222222222222221</v>
      </c>
      <c r="T430" s="1">
        <f>IF('исходные данные'!T430&gt;'минимумы и максимумы'!R$4,100,('исходные данные'!T430-'минимумы и максимумы'!R$2)/('минимумы и максимумы'!R$4-'минимумы и максимумы'!R$2)*100)</f>
        <v>60.932105868814737</v>
      </c>
      <c r="U430" s="1">
        <f>IF('исходные данные'!U430&gt;'минимумы и максимумы'!S$4,100,('исходные данные'!U430-'минимумы и максимумы'!S$2)/('минимумы и максимумы'!S$4-'минимумы и максимумы'!S$2)*100)</f>
        <v>0</v>
      </c>
    </row>
    <row r="431" spans="1:21" x14ac:dyDescent="0.45">
      <c r="A431" s="4">
        <v>552</v>
      </c>
      <c r="B431" s="4">
        <v>0</v>
      </c>
      <c r="C431" s="4">
        <v>0</v>
      </c>
      <c r="D431" s="1">
        <f>IF('исходные данные'!D431&gt;'минимумы и максимумы'!B$4,100,('исходные данные'!D431-'минимумы и максимумы'!B$2)/('минимумы и максимумы'!B$4-'минимумы и максимумы'!B$2)*100)</f>
        <v>12.5</v>
      </c>
      <c r="E431" s="1">
        <f>IF('исходные данные'!E431&gt;'минимумы и максимумы'!C$4,100,('исходные данные'!E431-'минимумы и максимумы'!C$2)/('минимумы и максимумы'!C$4-'минимумы и максимумы'!C$2)*100)</f>
        <v>43.75</v>
      </c>
      <c r="F431" s="1">
        <f>IF('исходные данные'!F431&gt;'минимумы и максимумы'!D$4,100,('исходные данные'!F431-'минимумы и максимумы'!D$2)/('минимумы и максимумы'!D$4-'минимумы и максимумы'!D$2)*100)</f>
        <v>0</v>
      </c>
      <c r="G431" s="1">
        <f>IF('исходные данные'!G431&gt;'минимумы и максимумы'!E$4,100,('исходные данные'!G431-'минимумы и максимумы'!E$2)/('минимумы и максимумы'!E$4-'минимумы и максимумы'!E$2)*100)</f>
        <v>29.72972972972973</v>
      </c>
      <c r="H431" s="1">
        <f>IF('исходные данные'!H431&gt;'минимумы и максимумы'!F$4,100,('исходные данные'!H431-'минимумы и максимумы'!F$2)/('минимумы и максимумы'!F$4-'минимумы и максимумы'!F$2)*100)</f>
        <v>44.736842105263158</v>
      </c>
      <c r="I431" s="1">
        <f>IF('исходные данные'!I431&gt;'минимумы и максимумы'!G$4,100,('исходные данные'!I431-'минимумы и максимумы'!G$2)/('минимумы и максимумы'!G$4-'минимумы и максимумы'!G$2)*100)</f>
        <v>60.24096385542169</v>
      </c>
      <c r="J431" s="1">
        <f>IF('исходные данные'!J431&gt;'минимумы и максимумы'!H$4,100,('исходные данные'!J431-'минимумы и максимумы'!H$2)/('минимумы и максимумы'!H$4-'минимумы и максимумы'!H$2)*100)</f>
        <v>8.3333333333333321</v>
      </c>
      <c r="K431" s="1">
        <f>IF('исходные данные'!K431&gt;'минимумы и максимумы'!I$4,100,('исходные данные'!K431-'минимумы и максимумы'!I$2)/('минимумы и максимумы'!I$4-'минимумы и максимумы'!I$2)*100)</f>
        <v>10.714285714285714</v>
      </c>
      <c r="L431" s="1">
        <f>IF('исходные данные'!L431&gt;'минимумы и максимумы'!J$4,100,('исходные данные'!L431-'минимумы и максимумы'!J$2)/('минимумы и максимумы'!J$4-'минимумы и максимумы'!J$2)*100)</f>
        <v>0</v>
      </c>
      <c r="M431" s="1">
        <f>IF('исходные данные'!M431&gt;'минимумы и максимумы'!K$4,100,('исходные данные'!M431-'минимумы и максимумы'!K$2)/('минимумы и максимумы'!K$4-'минимумы и максимумы'!K$2)*100)</f>
        <v>14.893617021276595</v>
      </c>
      <c r="N431" s="1">
        <f>IF('исходные данные'!N431&gt;'минимумы и максимумы'!L$4,100,('исходные данные'!N431-'минимумы и максимумы'!L$2)/('минимумы и максимумы'!L$4-'минимумы и максимумы'!L$2)*100)</f>
        <v>11.725379573415015</v>
      </c>
      <c r="O431" s="1">
        <f>IF('исходные данные'!O431&gt;'минимумы и максимумы'!M$4,100,('исходные данные'!O431-'минимумы и максимумы'!M$2)/('минимумы и максимумы'!M$4-'минимумы и максимумы'!M$2)*100)</f>
        <v>66.666666666666657</v>
      </c>
      <c r="P431" s="1">
        <f>IF('исходные данные'!P431&gt;'минимумы и максимумы'!N$4,100,('исходные данные'!P431-'минимумы и максимумы'!N$2)/('минимумы и максимумы'!N$4-'минимумы и максимумы'!N$2)*100)</f>
        <v>100</v>
      </c>
      <c r="Q431" s="1">
        <f>IF('исходные данные'!Q431&gt;'минимумы и максимумы'!O$4,100,('исходные данные'!Q431-'минимумы и максимумы'!O$2)/('минимумы и максимумы'!O$4-'минимумы и максимумы'!O$2)*100)</f>
        <v>100</v>
      </c>
      <c r="R431" s="1">
        <f>IF('исходные данные'!R431&gt;'минимумы и максимумы'!P$4,100,('исходные данные'!R431-'минимумы и максимумы'!P$2)/('минимумы и максимумы'!P$4-'минимумы и максимумы'!P$2)*100)</f>
        <v>75</v>
      </c>
      <c r="S431" s="1">
        <f>IF('исходные данные'!S431&gt;'минимумы и максимумы'!Q$4,100,('исходные данные'!S431-'минимумы и максимумы'!Q$2)/('минимумы и максимумы'!Q$4-'минимумы и максимумы'!Q$2)*100)</f>
        <v>22.222222222222221</v>
      </c>
      <c r="T431" s="1">
        <f>IF('исходные данные'!T431&gt;'минимумы и максимумы'!R$4,100,('исходные данные'!T431-'минимумы и максимумы'!R$2)/('минимумы и максимумы'!R$4-'минимумы и максимумы'!R$2)*100)</f>
        <v>14.039125431530493</v>
      </c>
      <c r="U431" s="1">
        <f>IF('исходные данные'!U431&gt;'минимумы и максимумы'!S$4,100,('исходные данные'!U431-'минимумы и максимумы'!S$2)/('минимумы и максимумы'!S$4-'минимумы и максимумы'!S$2)*100)</f>
        <v>33.333333333333329</v>
      </c>
    </row>
    <row r="432" spans="1:21" x14ac:dyDescent="0.45">
      <c r="A432" s="5">
        <v>553</v>
      </c>
      <c r="B432" s="5">
        <v>0</v>
      </c>
      <c r="C432" s="5">
        <v>0</v>
      </c>
      <c r="D432" s="1">
        <f>IF('исходные данные'!D432&gt;'минимумы и максимумы'!B$4,100,('исходные данные'!D432-'минимумы и максимумы'!B$2)/('минимумы и максимумы'!B$4-'минимумы и максимумы'!B$2)*100)</f>
        <v>0</v>
      </c>
      <c r="E432" s="1">
        <f>IF('исходные данные'!E432&gt;'минимумы и максимумы'!C$4,100,('исходные данные'!E432-'минимумы и максимумы'!C$2)/('минимумы и максимумы'!C$4-'минимумы и максимумы'!C$2)*100)</f>
        <v>0</v>
      </c>
      <c r="F432" s="1">
        <f>IF('исходные данные'!F432&gt;'минимумы и максимумы'!D$4,100,('исходные данные'!F432-'минимумы и максимумы'!D$2)/('минимумы и максимумы'!D$4-'минимумы и максимумы'!D$2)*100)</f>
        <v>0</v>
      </c>
      <c r="G432" s="1">
        <f>IF('исходные данные'!G432&gt;'минимумы и максимумы'!E$4,100,('исходные данные'!G432-'минимумы и максимумы'!E$2)/('минимумы и максимумы'!E$4-'минимумы и максимумы'!E$2)*100)</f>
        <v>0</v>
      </c>
      <c r="H432" s="1">
        <f>IF('исходные данные'!H432&gt;'минимумы и максимумы'!F$4,100,('исходные данные'!H432-'минимумы и максимумы'!F$2)/('минимумы и максимумы'!F$4-'минимумы и максимумы'!F$2)*100)</f>
        <v>0</v>
      </c>
      <c r="I432" s="1">
        <f>IF('исходные данные'!I432&gt;'минимумы и максимумы'!G$4,100,('исходные данные'!I432-'минимумы и максимумы'!G$2)/('минимумы и максимумы'!G$4-'минимумы и максимумы'!G$2)*100)</f>
        <v>2.4096385542168677</v>
      </c>
      <c r="J432" s="1">
        <f>IF('исходные данные'!J432&gt;'минимумы и максимумы'!H$4,100,('исходные данные'!J432-'минимумы и максимумы'!H$2)/('минимумы и максимумы'!H$4-'минимумы и максимумы'!H$2)*100)</f>
        <v>0</v>
      </c>
      <c r="K432" s="1">
        <f>IF('исходные данные'!K432&gt;'минимумы и максимумы'!I$4,100,('исходные данные'!K432-'минимумы и максимумы'!I$2)/('минимумы и максимумы'!I$4-'минимумы и максимумы'!I$2)*100)</f>
        <v>0</v>
      </c>
      <c r="L432" s="1">
        <f>IF('исходные данные'!L432&gt;'минимумы и максимумы'!J$4,100,('исходные данные'!L432-'минимумы и максимумы'!J$2)/('минимумы и максимумы'!J$4-'минимумы и максимумы'!J$2)*100)</f>
        <v>0</v>
      </c>
      <c r="M432" s="1">
        <f>IF('исходные данные'!M432&gt;'минимумы и максимумы'!K$4,100,('исходные данные'!M432-'минимумы и максимумы'!K$2)/('минимумы и максимумы'!K$4-'минимумы и максимумы'!K$2)*100)</f>
        <v>6.3829787234042552</v>
      </c>
      <c r="N432" s="1">
        <f>IF('исходные данные'!N432&gt;'минимумы и максимумы'!L$4,100,('исходные данные'!N432-'минимумы и максимумы'!L$2)/('минимумы и максимумы'!L$4-'минимумы и максимумы'!L$2)*100)</f>
        <v>27.91065260468169</v>
      </c>
      <c r="O432" s="1">
        <f>IF('исходные данные'!O432&gt;'минимумы и максимумы'!M$4,100,('исходные данные'!O432-'минимумы и максимумы'!M$2)/('минимумы и максимумы'!M$4-'минимумы и максимумы'!M$2)*100)</f>
        <v>33.333333333333329</v>
      </c>
      <c r="P432" s="1">
        <f>IF('исходные данные'!P432&gt;'минимумы и максимумы'!N$4,100,('исходные данные'!P432-'минимумы и максимумы'!N$2)/('минимумы и максимумы'!N$4-'минимумы и максимумы'!N$2)*100)</f>
        <v>0</v>
      </c>
      <c r="Q432" s="1">
        <f>IF('исходные данные'!Q432&gt;'минимумы и максимумы'!O$4,100,('исходные данные'!Q432-'минимумы и максимумы'!O$2)/('минимумы и максимумы'!O$4-'минимумы и максимумы'!O$2)*100)</f>
        <v>0</v>
      </c>
      <c r="R432" s="1">
        <f>IF('исходные данные'!R432&gt;'минимумы и максимумы'!P$4,100,('исходные данные'!R432-'минимумы и максимумы'!P$2)/('минимумы и максимумы'!P$4-'минимумы и максимумы'!P$2)*100)</f>
        <v>75</v>
      </c>
      <c r="S432" s="1">
        <f>IF('исходные данные'!S432&gt;'минимумы и максимумы'!Q$4,100,('исходные данные'!S432-'минимумы и максимумы'!Q$2)/('минимумы и максимумы'!Q$4-'минимумы и максимумы'!Q$2)*100)</f>
        <v>11.111111111111111</v>
      </c>
      <c r="T432" s="1">
        <f>IF('исходные данные'!T432&gt;'минимумы и максимумы'!R$4,100,('исходные данные'!T432-'минимумы и максимумы'!R$2)/('минимумы и максимумы'!R$4-'минимумы и максимумы'!R$2)*100)</f>
        <v>33.601841196777904</v>
      </c>
      <c r="U432" s="1">
        <f>IF('исходные данные'!U432&gt;'минимумы и максимумы'!S$4,100,('исходные данные'!U432-'минимумы и максимумы'!S$2)/('минимумы и максимумы'!S$4-'минимумы и максимумы'!S$2)*100)</f>
        <v>66.666666666666657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6CA0-D52C-41B8-87FD-9431659938ED}">
  <dimension ref="B1:R100"/>
  <sheetViews>
    <sheetView topLeftCell="A59" workbookViewId="0">
      <selection activeCell="I76" sqref="I76"/>
    </sheetView>
  </sheetViews>
  <sheetFormatPr defaultRowHeight="14.25" x14ac:dyDescent="0.45"/>
  <cols>
    <col min="3" max="4" width="9.19921875" bestFit="1" customWidth="1"/>
  </cols>
  <sheetData>
    <row r="1" spans="2:18" x14ac:dyDescent="0.45">
      <c r="B1" t="s">
        <v>30</v>
      </c>
      <c r="K1" t="s">
        <v>30</v>
      </c>
    </row>
    <row r="3" spans="2:18" x14ac:dyDescent="0.45">
      <c r="C3" s="9" t="s">
        <v>22</v>
      </c>
      <c r="D3" s="9"/>
      <c r="E3" s="9"/>
      <c r="F3" s="9"/>
      <c r="G3" s="9"/>
      <c r="H3" s="9"/>
      <c r="I3" s="9"/>
      <c r="J3" s="9"/>
      <c r="K3" s="9"/>
      <c r="L3" s="9" t="s">
        <v>23</v>
      </c>
      <c r="M3" s="9"/>
      <c r="N3" s="9"/>
      <c r="O3" s="9"/>
      <c r="P3" s="9"/>
      <c r="Q3" s="9"/>
      <c r="R3" s="9"/>
    </row>
    <row r="4" spans="2:18" x14ac:dyDescent="0.45">
      <c r="C4" s="9" t="s">
        <v>24</v>
      </c>
      <c r="D4" s="9" t="s">
        <v>25</v>
      </c>
      <c r="E4" s="9" t="s">
        <v>26</v>
      </c>
      <c r="F4" s="9" t="s">
        <v>27</v>
      </c>
      <c r="G4" s="9"/>
      <c r="H4" s="9" t="s">
        <v>28</v>
      </c>
      <c r="I4" s="9" t="s">
        <v>29</v>
      </c>
      <c r="J4" s="9"/>
      <c r="K4" s="9"/>
      <c r="L4" s="9" t="s">
        <v>24</v>
      </c>
      <c r="M4" s="9" t="s">
        <v>25</v>
      </c>
      <c r="N4" s="9" t="s">
        <v>26</v>
      </c>
      <c r="O4" s="9" t="s">
        <v>27</v>
      </c>
      <c r="P4" s="9"/>
      <c r="Q4" s="9" t="s">
        <v>28</v>
      </c>
      <c r="R4" s="9" t="s">
        <v>29</v>
      </c>
    </row>
    <row r="5" spans="2:18" x14ac:dyDescent="0.45">
      <c r="B5" s="11" t="s">
        <v>0</v>
      </c>
      <c r="C5">
        <v>1.9609999999999999E-2</v>
      </c>
      <c r="D5">
        <v>2.0500000000000001E-2</v>
      </c>
      <c r="E5">
        <v>1.11889E-2</v>
      </c>
      <c r="K5" s="11" t="s">
        <v>0</v>
      </c>
      <c r="L5">
        <v>3.8502000000000002E-2</v>
      </c>
      <c r="M5">
        <v>4.7000000000000002E-3</v>
      </c>
      <c r="N5">
        <v>-2.0593899999999998E-2</v>
      </c>
    </row>
    <row r="6" spans="2:18" x14ac:dyDescent="0.45">
      <c r="B6" s="3" t="s">
        <v>7</v>
      </c>
      <c r="C6">
        <v>1.5467E-2</v>
      </c>
      <c r="D6">
        <v>3.7999999999999999E-2</v>
      </c>
      <c r="E6">
        <v>1.09163E-2</v>
      </c>
      <c r="K6" s="3" t="s">
        <v>7</v>
      </c>
      <c r="L6">
        <v>2.8899999999999999E-2</v>
      </c>
      <c r="M6">
        <v>1.2699999999999999E-2</v>
      </c>
      <c r="N6">
        <v>-1.95695E-2</v>
      </c>
    </row>
    <row r="7" spans="2:18" x14ac:dyDescent="0.45">
      <c r="B7" s="3" t="s">
        <v>8</v>
      </c>
      <c r="C7">
        <v>1.1042E-2</v>
      </c>
      <c r="D7">
        <v>7.8399999999999997E-2</v>
      </c>
      <c r="E7">
        <v>8.8911100000000007E-3</v>
      </c>
      <c r="J7" s="3"/>
      <c r="K7" s="11" t="s">
        <v>8</v>
      </c>
      <c r="L7">
        <v>3.0130000000000001E-2</v>
      </c>
      <c r="M7">
        <v>1.49E-2</v>
      </c>
      <c r="N7">
        <v>-2.0614500000000001E-2</v>
      </c>
    </row>
    <row r="8" spans="2:18" x14ac:dyDescent="0.45">
      <c r="B8" s="3" t="s">
        <v>1</v>
      </c>
      <c r="C8">
        <v>2.5593999999999999E-2</v>
      </c>
      <c r="D8">
        <v>7.7999999999999996E-3</v>
      </c>
      <c r="E8">
        <v>1.5244499999999999E-2</v>
      </c>
      <c r="K8" s="3" t="s">
        <v>1</v>
      </c>
      <c r="L8">
        <v>5.2648E-2</v>
      </c>
      <c r="M8">
        <v>1.1999999999999999E-3</v>
      </c>
      <c r="N8">
        <v>-3.0629900000000002E-2</v>
      </c>
    </row>
    <row r="9" spans="2:18" x14ac:dyDescent="0.45">
      <c r="B9" s="11" t="s">
        <v>2</v>
      </c>
      <c r="C9">
        <v>2.3238999999999999E-2</v>
      </c>
      <c r="D9">
        <v>1.14E-2</v>
      </c>
      <c r="E9">
        <v>1.5213600000000001E-2</v>
      </c>
      <c r="K9" s="11" t="s">
        <v>2</v>
      </c>
      <c r="L9">
        <v>2.7476E-2</v>
      </c>
      <c r="M9">
        <v>1.24E-2</v>
      </c>
      <c r="N9">
        <v>-2.0609200000000001E-2</v>
      </c>
    </row>
    <row r="10" spans="2:18" x14ac:dyDescent="0.45">
      <c r="B10" s="3" t="s">
        <v>3</v>
      </c>
      <c r="C10">
        <v>3.8240000000000003E-2</v>
      </c>
      <c r="D10">
        <v>1.1999999999999999E-3</v>
      </c>
      <c r="E10">
        <v>1.45767E-2</v>
      </c>
      <c r="J10" s="3"/>
      <c r="K10" s="11" t="s">
        <v>3</v>
      </c>
      <c r="L10">
        <v>5.8042000000000003E-2</v>
      </c>
      <c r="M10">
        <v>1.8E-3</v>
      </c>
      <c r="N10">
        <v>-2.8382999999999999E-2</v>
      </c>
    </row>
    <row r="11" spans="2:18" x14ac:dyDescent="0.45">
      <c r="B11" s="3" t="s">
        <v>4</v>
      </c>
      <c r="C11">
        <v>4.0897000000000003E-2</v>
      </c>
      <c r="D11">
        <v>6.9999999999999999E-4</v>
      </c>
      <c r="E11">
        <v>1.3907600000000001E-2</v>
      </c>
      <c r="J11" s="3"/>
      <c r="K11" s="11" t="s">
        <v>4</v>
      </c>
      <c r="L11">
        <v>5.7218999999999999E-2</v>
      </c>
      <c r="M11">
        <v>3.5000000000000001E-3</v>
      </c>
      <c r="N11">
        <v>-2.8577200000000001E-2</v>
      </c>
    </row>
    <row r="12" spans="2:18" x14ac:dyDescent="0.45">
      <c r="B12" s="3" t="s">
        <v>5</v>
      </c>
      <c r="C12">
        <v>3.2414999999999999E-2</v>
      </c>
      <c r="D12">
        <v>2.3999999999999998E-3</v>
      </c>
      <c r="E12">
        <v>1.5302400000000001E-2</v>
      </c>
      <c r="J12" s="3"/>
      <c r="K12" s="11" t="s">
        <v>5</v>
      </c>
      <c r="L12">
        <v>6.8053000000000002E-2</v>
      </c>
      <c r="M12">
        <v>8.0000000000000004E-4</v>
      </c>
      <c r="N12">
        <v>-3.7990099999999999E-2</v>
      </c>
    </row>
    <row r="13" spans="2:18" x14ac:dyDescent="0.45">
      <c r="B13" s="11" t="s">
        <v>6</v>
      </c>
      <c r="C13">
        <v>3.517E-2</v>
      </c>
      <c r="D13">
        <v>1.6999999999999999E-3</v>
      </c>
      <c r="E13">
        <v>1.28778E-2</v>
      </c>
      <c r="K13" s="11" t="s">
        <v>6</v>
      </c>
      <c r="L13">
        <v>3.9842000000000002E-2</v>
      </c>
      <c r="M13">
        <v>7.1999999999999998E-3</v>
      </c>
      <c r="N13">
        <v>-2.0634E-2</v>
      </c>
    </row>
    <row r="14" spans="2:18" x14ac:dyDescent="0.45">
      <c r="B14" s="11" t="s">
        <v>9</v>
      </c>
      <c r="C14">
        <v>6.2030000000000002E-3</v>
      </c>
      <c r="D14">
        <v>0.19750000000000001</v>
      </c>
      <c r="E14">
        <v>9.5906199999999994E-3</v>
      </c>
      <c r="K14" s="11" t="s">
        <v>9</v>
      </c>
      <c r="L14">
        <v>4.1112999999999997E-2</v>
      </c>
      <c r="M14">
        <v>2.2000000000000001E-3</v>
      </c>
      <c r="N14">
        <v>-2.8869100000000002E-2</v>
      </c>
    </row>
    <row r="15" spans="2:18" x14ac:dyDescent="0.45">
      <c r="B15" s="3" t="s">
        <v>17</v>
      </c>
      <c r="C15">
        <v>1.8103999999999999E-2</v>
      </c>
      <c r="D15">
        <v>4.2799999999999998E-2</v>
      </c>
      <c r="E15">
        <v>-1.8898499999999999E-2</v>
      </c>
      <c r="J15" s="3"/>
      <c r="K15" s="11" t="s">
        <v>17</v>
      </c>
      <c r="L15">
        <v>3.1345999999999999E-2</v>
      </c>
      <c r="M15">
        <v>2.8999999999999998E-3</v>
      </c>
      <c r="N15">
        <v>2.0153000000000001E-2</v>
      </c>
    </row>
    <row r="16" spans="2:18" x14ac:dyDescent="0.45">
      <c r="B16" s="10" t="s">
        <v>10</v>
      </c>
      <c r="C16">
        <v>2.7550999999999999E-2</v>
      </c>
      <c r="D16">
        <v>1.04E-2</v>
      </c>
      <c r="E16">
        <v>1.3122E-2</v>
      </c>
      <c r="K16" s="10" t="s">
        <v>10</v>
      </c>
      <c r="L16">
        <v>5.1845000000000002E-2</v>
      </c>
      <c r="M16">
        <v>2.9999999999999997E-4</v>
      </c>
      <c r="N16">
        <v>-1.7105599999999999E-2</v>
      </c>
    </row>
    <row r="17" spans="2:18" x14ac:dyDescent="0.45">
      <c r="B17" s="12" t="s">
        <v>11</v>
      </c>
      <c r="C17">
        <v>1.1E-5</v>
      </c>
      <c r="D17">
        <v>0.95779999999999998</v>
      </c>
      <c r="E17">
        <v>2.0342E-4</v>
      </c>
      <c r="K17" s="10" t="s">
        <v>11</v>
      </c>
      <c r="L17">
        <v>6.5855999999999998E-2</v>
      </c>
      <c r="M17">
        <v>7.4000000000000003E-3</v>
      </c>
      <c r="N17">
        <v>-2.7290999999999999E-2</v>
      </c>
    </row>
    <row r="18" spans="2:18" x14ac:dyDescent="0.45">
      <c r="B18" s="10" t="s">
        <v>12</v>
      </c>
      <c r="C18">
        <v>1.9057000000000001E-2</v>
      </c>
      <c r="D18">
        <v>4.0899999999999999E-2</v>
      </c>
      <c r="E18">
        <v>9.3404300000000003E-3</v>
      </c>
      <c r="K18" s="10" t="s">
        <v>12</v>
      </c>
      <c r="L18">
        <v>4.0273000000000003E-2</v>
      </c>
      <c r="M18">
        <v>8.9999999999999998E-4</v>
      </c>
      <c r="N18">
        <v>-1.10638E-2</v>
      </c>
    </row>
    <row r="19" spans="2:18" x14ac:dyDescent="0.45">
      <c r="B19" s="10" t="s">
        <v>13</v>
      </c>
      <c r="C19">
        <v>1.8665999999999999E-2</v>
      </c>
      <c r="D19">
        <v>3.9600000000000003E-2</v>
      </c>
      <c r="E19">
        <v>1.529E-2</v>
      </c>
      <c r="K19" s="10" t="s">
        <v>13</v>
      </c>
      <c r="L19">
        <v>4.1664E-2</v>
      </c>
      <c r="M19">
        <v>6.9999999999999999E-4</v>
      </c>
      <c r="N19">
        <v>-1.8824799999999999E-2</v>
      </c>
    </row>
    <row r="20" spans="2:18" x14ac:dyDescent="0.45">
      <c r="B20" s="3" t="s">
        <v>14</v>
      </c>
      <c r="C20">
        <v>1.8669999999999999E-2</v>
      </c>
      <c r="D20">
        <v>2.3800000000000002E-2</v>
      </c>
      <c r="E20">
        <v>1.53689E-2</v>
      </c>
      <c r="J20" s="3"/>
      <c r="K20" s="11" t="s">
        <v>14</v>
      </c>
      <c r="L20">
        <v>2.5451999999999999E-2</v>
      </c>
      <c r="M20">
        <v>1.54E-2</v>
      </c>
      <c r="N20">
        <v>-2.1789599999999999E-2</v>
      </c>
    </row>
    <row r="21" spans="2:18" x14ac:dyDescent="0.45">
      <c r="B21" s="13" t="s">
        <v>15</v>
      </c>
      <c r="C21">
        <v>2.7300000000000002E-4</v>
      </c>
      <c r="D21">
        <v>0.79069999999999996</v>
      </c>
      <c r="E21">
        <v>-1.6004999999999999E-3</v>
      </c>
      <c r="K21" s="11" t="s">
        <v>15</v>
      </c>
      <c r="L21">
        <v>2.5343000000000001E-2</v>
      </c>
      <c r="M21">
        <v>1.8499999999999999E-2</v>
      </c>
      <c r="N21">
        <v>-1.8056200000000001E-2</v>
      </c>
    </row>
    <row r="22" spans="2:18" x14ac:dyDescent="0.45">
      <c r="B22" s="10" t="s">
        <v>16</v>
      </c>
      <c r="C22">
        <v>8.1150000000000007E-3</v>
      </c>
      <c r="D22">
        <v>0.1376</v>
      </c>
      <c r="E22">
        <v>6.8849999999999996E-3</v>
      </c>
      <c r="K22" s="10" t="s">
        <v>16</v>
      </c>
      <c r="L22">
        <v>1.9852000000000002E-2</v>
      </c>
      <c r="M22">
        <v>3.2099999999999997E-2</v>
      </c>
      <c r="N22">
        <v>-1.27514E-2</v>
      </c>
    </row>
    <row r="28" spans="2:18" x14ac:dyDescent="0.45">
      <c r="B28" t="s">
        <v>31</v>
      </c>
      <c r="K28" t="s">
        <v>31</v>
      </c>
    </row>
    <row r="30" spans="2:18" x14ac:dyDescent="0.45">
      <c r="C30" s="9" t="s">
        <v>22</v>
      </c>
      <c r="D30" s="9"/>
      <c r="E30" s="9"/>
      <c r="F30" s="9"/>
      <c r="G30" s="9"/>
      <c r="H30" s="9"/>
      <c r="I30" s="9"/>
      <c r="J30" s="9"/>
      <c r="K30" s="9"/>
      <c r="L30" s="9" t="s">
        <v>23</v>
      </c>
      <c r="M30" s="9"/>
      <c r="N30" s="9"/>
      <c r="O30" s="9"/>
      <c r="P30" s="9"/>
      <c r="Q30" s="9"/>
      <c r="R30" s="9"/>
    </row>
    <row r="31" spans="2:18" x14ac:dyDescent="0.45">
      <c r="C31" s="9" t="s">
        <v>24</v>
      </c>
      <c r="D31" s="9" t="s">
        <v>25</v>
      </c>
      <c r="E31" s="9" t="s">
        <v>26</v>
      </c>
      <c r="F31" s="9" t="s">
        <v>27</v>
      </c>
      <c r="G31" s="9"/>
      <c r="H31" s="9" t="s">
        <v>28</v>
      </c>
      <c r="I31" s="9" t="s">
        <v>29</v>
      </c>
      <c r="J31" s="9"/>
      <c r="K31" s="9"/>
      <c r="L31" s="9" t="s">
        <v>24</v>
      </c>
      <c r="M31" s="9" t="s">
        <v>25</v>
      </c>
      <c r="N31" s="9" t="s">
        <v>26</v>
      </c>
      <c r="O31" s="9" t="s">
        <v>27</v>
      </c>
      <c r="P31" s="9"/>
      <c r="Q31" s="9" t="s">
        <v>28</v>
      </c>
      <c r="R31" s="9" t="s">
        <v>29</v>
      </c>
    </row>
    <row r="32" spans="2:18" x14ac:dyDescent="0.45">
      <c r="B32" s="11" t="s">
        <v>0</v>
      </c>
      <c r="C32">
        <v>2.4649000000000001E-2</v>
      </c>
      <c r="D32">
        <v>8.2000000000000007E-3</v>
      </c>
      <c r="E32">
        <v>1.7482500000000002E-2</v>
      </c>
      <c r="K32" s="11" t="s">
        <v>0</v>
      </c>
      <c r="L32">
        <v>3.9507E-2</v>
      </c>
      <c r="M32">
        <v>5.1000000000000004E-3</v>
      </c>
      <c r="N32">
        <v>-3.2353800000000002E-2</v>
      </c>
    </row>
    <row r="33" spans="2:14" x14ac:dyDescent="0.45">
      <c r="B33" s="11" t="s">
        <v>7</v>
      </c>
      <c r="C33">
        <v>1.5181999999999999E-2</v>
      </c>
      <c r="D33">
        <v>3.8199999999999998E-2</v>
      </c>
      <c r="E33">
        <v>1.5941299999999999E-2</v>
      </c>
      <c r="K33" s="11" t="s">
        <v>7</v>
      </c>
      <c r="L33">
        <v>2.5590999999999999E-2</v>
      </c>
      <c r="M33">
        <v>1.9599999999999999E-2</v>
      </c>
      <c r="N33">
        <v>-2.8100099999999999E-2</v>
      </c>
    </row>
    <row r="34" spans="2:14" x14ac:dyDescent="0.45">
      <c r="B34" s="11" t="s">
        <v>8</v>
      </c>
      <c r="C34">
        <v>1.0236E-2</v>
      </c>
      <c r="D34">
        <v>8.9599999999999999E-2</v>
      </c>
      <c r="E34">
        <v>1.11874E-2</v>
      </c>
      <c r="K34" s="11" t="s">
        <v>8</v>
      </c>
      <c r="L34">
        <v>3.0258E-2</v>
      </c>
      <c r="M34">
        <v>1.5100000000000001E-2</v>
      </c>
      <c r="N34">
        <v>-2.73931E-2</v>
      </c>
    </row>
    <row r="35" spans="2:14" x14ac:dyDescent="0.45">
      <c r="B35" s="11" t="s">
        <v>1</v>
      </c>
      <c r="C35">
        <v>2.4431999999999999E-2</v>
      </c>
      <c r="D35">
        <v>9.1000000000000004E-3</v>
      </c>
      <c r="E35">
        <v>2.2437700000000001E-2</v>
      </c>
      <c r="K35" s="11" t="s">
        <v>1</v>
      </c>
      <c r="L35">
        <v>5.1824000000000002E-2</v>
      </c>
      <c r="M35">
        <v>1.4E-3</v>
      </c>
      <c r="N35">
        <v>-4.65321E-2</v>
      </c>
    </row>
    <row r="36" spans="2:14" x14ac:dyDescent="0.45">
      <c r="B36" s="11" t="s">
        <v>2</v>
      </c>
      <c r="C36">
        <v>2.3883999999999999E-2</v>
      </c>
      <c r="D36">
        <v>1.01E-2</v>
      </c>
      <c r="E36">
        <v>2.29655E-2</v>
      </c>
      <c r="K36" s="11" t="s">
        <v>2</v>
      </c>
      <c r="L36">
        <v>2.7598999999999999E-2</v>
      </c>
      <c r="M36">
        <v>1.2500000000000001E-2</v>
      </c>
      <c r="N36">
        <v>-3.1261499999999998E-2</v>
      </c>
    </row>
    <row r="37" spans="2:14" x14ac:dyDescent="0.45">
      <c r="B37" s="11" t="s">
        <v>3</v>
      </c>
      <c r="C37">
        <v>2.828E-2</v>
      </c>
      <c r="D37">
        <v>4.1999999999999997E-3</v>
      </c>
      <c r="E37">
        <v>1.43292E-2</v>
      </c>
      <c r="K37" s="11" t="s">
        <v>3</v>
      </c>
      <c r="L37">
        <v>5.8255000000000001E-2</v>
      </c>
      <c r="M37">
        <v>3.5999999999999999E-3</v>
      </c>
      <c r="N37">
        <v>-4.0210999999999997E-2</v>
      </c>
    </row>
    <row r="38" spans="2:14" x14ac:dyDescent="0.45">
      <c r="B38" s="11" t="s">
        <v>4</v>
      </c>
      <c r="C38">
        <v>2.2313E-2</v>
      </c>
      <c r="D38">
        <v>1.09E-2</v>
      </c>
      <c r="E38">
        <v>1.1939099999999999E-2</v>
      </c>
      <c r="K38" s="11" t="s">
        <v>4</v>
      </c>
      <c r="L38">
        <v>5.9573000000000001E-2</v>
      </c>
      <c r="M38">
        <v>6.8999999999999999E-3</v>
      </c>
      <c r="N38">
        <v>-4.2085499999999998E-2</v>
      </c>
    </row>
    <row r="39" spans="2:14" x14ac:dyDescent="0.45">
      <c r="B39" s="11" t="s">
        <v>5</v>
      </c>
      <c r="C39">
        <v>2.9432E-2</v>
      </c>
      <c r="D39">
        <v>3.3999999999999998E-3</v>
      </c>
      <c r="E39">
        <v>2.00457E-2</v>
      </c>
      <c r="K39" s="11" t="s">
        <v>5</v>
      </c>
      <c r="L39">
        <v>6.8316000000000002E-2</v>
      </c>
      <c r="M39">
        <v>8.9999999999999998E-4</v>
      </c>
      <c r="N39">
        <v>-5.8561599999999998E-2</v>
      </c>
    </row>
    <row r="40" spans="2:14" x14ac:dyDescent="0.45">
      <c r="B40" s="11" t="s">
        <v>6</v>
      </c>
      <c r="C40">
        <v>3.7999999999999999E-2</v>
      </c>
      <c r="D40">
        <v>8.9999999999999998E-4</v>
      </c>
      <c r="E40">
        <v>1.52817E-2</v>
      </c>
      <c r="K40" s="11" t="s">
        <v>6</v>
      </c>
      <c r="L40">
        <v>4.3698000000000001E-2</v>
      </c>
      <c r="M40">
        <v>9.7999999999999997E-3</v>
      </c>
      <c r="N40">
        <v>-3.02283E-2</v>
      </c>
    </row>
    <row r="41" spans="2:14" x14ac:dyDescent="0.45">
      <c r="B41" s="11" t="s">
        <v>9</v>
      </c>
      <c r="C41">
        <v>6.2030000000000002E-3</v>
      </c>
      <c r="D41">
        <v>0.19750000000000001</v>
      </c>
      <c r="E41">
        <v>1.4540600000000001E-2</v>
      </c>
      <c r="K41" s="11" t="s">
        <v>9</v>
      </c>
      <c r="L41">
        <v>4.1112999999999997E-2</v>
      </c>
      <c r="M41">
        <v>2.2000000000000001E-3</v>
      </c>
      <c r="N41">
        <v>-4.3769299999999997E-2</v>
      </c>
    </row>
    <row r="42" spans="2:14" x14ac:dyDescent="0.45">
      <c r="B42" s="11" t="s">
        <v>17</v>
      </c>
      <c r="C42">
        <v>1.7572999999999998E-2</v>
      </c>
      <c r="D42">
        <v>4.5900000000000003E-2</v>
      </c>
      <c r="E42">
        <v>-2.78493E-2</v>
      </c>
      <c r="K42" s="11" t="s">
        <v>17</v>
      </c>
      <c r="L42">
        <v>3.1469999999999998E-2</v>
      </c>
      <c r="M42">
        <v>2.8E-3</v>
      </c>
      <c r="N42">
        <v>3.0103700000000001E-2</v>
      </c>
    </row>
    <row r="43" spans="2:14" x14ac:dyDescent="0.45">
      <c r="B43" s="10" t="s">
        <v>10</v>
      </c>
      <c r="C43">
        <v>2.7550999999999999E-2</v>
      </c>
      <c r="D43">
        <v>1.04E-2</v>
      </c>
      <c r="E43">
        <v>1.3122E-2</v>
      </c>
      <c r="K43" s="10" t="s">
        <v>10</v>
      </c>
      <c r="L43">
        <v>5.1845000000000002E-2</v>
      </c>
      <c r="M43">
        <v>2.9999999999999997E-4</v>
      </c>
      <c r="N43">
        <v>-1.7105599999999999E-2</v>
      </c>
    </row>
    <row r="44" spans="2:14" x14ac:dyDescent="0.45">
      <c r="B44" s="12" t="s">
        <v>11</v>
      </c>
      <c r="C44">
        <v>1.1E-5</v>
      </c>
      <c r="D44">
        <v>0.95779999999999998</v>
      </c>
      <c r="E44">
        <v>2.0342E-4</v>
      </c>
      <c r="K44" s="10" t="s">
        <v>11</v>
      </c>
      <c r="L44">
        <v>6.5855999999999998E-2</v>
      </c>
      <c r="M44">
        <v>7.4000000000000003E-3</v>
      </c>
      <c r="N44">
        <v>-2.7290999999999999E-2</v>
      </c>
    </row>
    <row r="45" spans="2:14" x14ac:dyDescent="0.45">
      <c r="B45" s="10" t="s">
        <v>12</v>
      </c>
      <c r="C45">
        <v>1.9057000000000001E-2</v>
      </c>
      <c r="D45">
        <v>4.0899999999999999E-2</v>
      </c>
      <c r="E45">
        <v>9.3404300000000003E-3</v>
      </c>
      <c r="K45" s="10" t="s">
        <v>12</v>
      </c>
      <c r="L45">
        <v>4.0273000000000003E-2</v>
      </c>
      <c r="M45">
        <v>8.9999999999999998E-4</v>
      </c>
      <c r="N45">
        <v>-1.10638E-2</v>
      </c>
    </row>
    <row r="46" spans="2:14" x14ac:dyDescent="0.45">
      <c r="B46" s="10" t="s">
        <v>13</v>
      </c>
      <c r="C46">
        <v>1.8665999999999999E-2</v>
      </c>
      <c r="D46">
        <v>3.9600000000000003E-2</v>
      </c>
      <c r="E46">
        <v>1.529E-2</v>
      </c>
      <c r="K46" s="10" t="s">
        <v>13</v>
      </c>
      <c r="L46">
        <v>4.1664E-2</v>
      </c>
      <c r="M46">
        <v>6.9999999999999999E-4</v>
      </c>
      <c r="N46">
        <v>-1.8824799999999999E-2</v>
      </c>
    </row>
    <row r="47" spans="2:14" x14ac:dyDescent="0.45">
      <c r="B47" s="11" t="s">
        <v>14</v>
      </c>
      <c r="C47">
        <v>1.4505000000000001E-2</v>
      </c>
      <c r="D47">
        <v>4.36E-2</v>
      </c>
      <c r="E47">
        <v>1.86961E-2</v>
      </c>
      <c r="J47" s="11"/>
      <c r="K47" s="3" t="s">
        <v>14</v>
      </c>
      <c r="L47">
        <v>2.6009999999999998E-2</v>
      </c>
      <c r="M47">
        <v>1.5599999999999999E-2</v>
      </c>
      <c r="N47">
        <v>-3.2391099999999999E-2</v>
      </c>
    </row>
    <row r="48" spans="2:14" x14ac:dyDescent="0.45">
      <c r="B48" s="13" t="s">
        <v>15</v>
      </c>
      <c r="C48">
        <v>3.1999999999999999E-5</v>
      </c>
      <c r="D48">
        <v>0.92669999999999997</v>
      </c>
      <c r="E48">
        <v>6.51551E-4</v>
      </c>
      <c r="K48" s="3" t="s">
        <v>15</v>
      </c>
      <c r="L48">
        <v>2.8444000000000001E-2</v>
      </c>
      <c r="M48">
        <v>1.89E-2</v>
      </c>
      <c r="N48">
        <v>-2.6296300000000002E-2</v>
      </c>
    </row>
    <row r="49" spans="2:18" x14ac:dyDescent="0.45">
      <c r="B49" s="10" t="s">
        <v>16</v>
      </c>
      <c r="C49">
        <v>8.1150000000000007E-3</v>
      </c>
      <c r="D49">
        <v>0.1376</v>
      </c>
      <c r="E49">
        <v>6.8849999999999996E-3</v>
      </c>
      <c r="K49" s="10" t="s">
        <v>16</v>
      </c>
      <c r="L49">
        <v>1.9852000000000002E-2</v>
      </c>
      <c r="M49">
        <v>3.2099999999999997E-2</v>
      </c>
      <c r="N49">
        <v>-1.27514E-2</v>
      </c>
    </row>
    <row r="52" spans="2:18" x14ac:dyDescent="0.45">
      <c r="I52" s="29"/>
    </row>
    <row r="53" spans="2:18" x14ac:dyDescent="0.45">
      <c r="B53" t="s">
        <v>34</v>
      </c>
    </row>
    <row r="54" spans="2:18" x14ac:dyDescent="0.45">
      <c r="C54" t="s">
        <v>22</v>
      </c>
      <c r="F54" s="9"/>
      <c r="G54" s="9"/>
      <c r="H54" s="9"/>
      <c r="I54" s="9"/>
      <c r="J54" s="9"/>
      <c r="K54" s="9"/>
      <c r="L54" s="9" t="s">
        <v>23</v>
      </c>
      <c r="M54" s="9"/>
      <c r="N54" s="9"/>
      <c r="O54" s="9"/>
      <c r="P54" s="9"/>
      <c r="Q54" s="9"/>
      <c r="R54" s="9"/>
    </row>
    <row r="55" spans="2:18" ht="14.65" thickBot="1" x14ac:dyDescent="0.5">
      <c r="C55" t="s">
        <v>24</v>
      </c>
      <c r="D55" t="s">
        <v>25</v>
      </c>
      <c r="E55" t="s">
        <v>26</v>
      </c>
      <c r="F55" s="9" t="s">
        <v>27</v>
      </c>
      <c r="G55" s="9" t="s">
        <v>35</v>
      </c>
      <c r="H55" s="9" t="s">
        <v>28</v>
      </c>
      <c r="I55" s="9" t="s">
        <v>29</v>
      </c>
      <c r="J55" s="9"/>
      <c r="K55" s="9"/>
      <c r="L55" s="9" t="s">
        <v>24</v>
      </c>
      <c r="M55" s="9" t="s">
        <v>25</v>
      </c>
      <c r="N55" s="9" t="s">
        <v>26</v>
      </c>
      <c r="O55" s="9" t="s">
        <v>27</v>
      </c>
      <c r="P55" s="9" t="s">
        <v>35</v>
      </c>
      <c r="Q55" s="9" t="s">
        <v>28</v>
      </c>
      <c r="R55" s="9" t="s">
        <v>29</v>
      </c>
    </row>
    <row r="56" spans="2:18" x14ac:dyDescent="0.45">
      <c r="B56" s="15" t="s">
        <v>0</v>
      </c>
      <c r="C56" s="16">
        <v>2.5308000000000001E-2</v>
      </c>
      <c r="D56" s="16">
        <v>7.1999999999999998E-3</v>
      </c>
      <c r="E56" s="16">
        <v>1.9550700000000001E-2</v>
      </c>
      <c r="F56" s="16">
        <f>EXP(E56)</f>
        <v>1.0197430665235336</v>
      </c>
      <c r="G56" s="16">
        <f>ABS(F56-1)</f>
        <v>1.9743066523533637E-2</v>
      </c>
      <c r="H56" s="25">
        <f>G56/SUM(G$56:G$65)</f>
        <v>0.13143386008371707</v>
      </c>
      <c r="I56" s="27">
        <v>0.13143386008371707</v>
      </c>
      <c r="J56" s="16"/>
      <c r="K56" s="17" t="s">
        <v>0</v>
      </c>
      <c r="L56" s="16">
        <v>3.9537999999999997E-2</v>
      </c>
      <c r="M56" s="16">
        <v>5.1999999999999998E-3</v>
      </c>
      <c r="N56" s="16">
        <v>-3.6356899999999998E-2</v>
      </c>
      <c r="O56" s="16">
        <f>EXP(N56)</f>
        <v>0.96429607479185819</v>
      </c>
      <c r="P56" s="16">
        <f>ABS(O56-1)</f>
        <v>3.5703925208141807E-2</v>
      </c>
      <c r="Q56" s="25">
        <f>P56/SUM(P$56:P$65)</f>
        <v>0.11952893847151827</v>
      </c>
      <c r="R56" s="27">
        <v>0.11952893847151827</v>
      </c>
    </row>
    <row r="57" spans="2:18" x14ac:dyDescent="0.45">
      <c r="B57" s="18" t="s">
        <v>7</v>
      </c>
      <c r="C57">
        <v>1.5467E-2</v>
      </c>
      <c r="D57">
        <v>3.7999999999999999E-2</v>
      </c>
      <c r="E57">
        <v>1.09163E-2</v>
      </c>
      <c r="F57">
        <f t="shared" ref="F57:F74" si="0">EXP(E57)</f>
        <v>1.0109761002037412</v>
      </c>
      <c r="G57">
        <f t="shared" ref="G57:G74" si="1">ABS(F57-1)</f>
        <v>1.0976100203741179E-2</v>
      </c>
      <c r="H57" s="24">
        <f t="shared" ref="H57:H65" si="2">G57/SUM(G$56:G$65)</f>
        <v>7.307027085806389E-2</v>
      </c>
      <c r="I57" s="8">
        <v>7.307027085806389E-2</v>
      </c>
      <c r="K57" t="s">
        <v>7</v>
      </c>
      <c r="L57">
        <v>2.8899999999999999E-2</v>
      </c>
      <c r="M57">
        <v>1.2699999999999999E-2</v>
      </c>
      <c r="N57">
        <v>-1.95695E-2</v>
      </c>
      <c r="O57">
        <f t="shared" ref="O57:O72" si="3">EXP(N57)</f>
        <v>0.98062073967888197</v>
      </c>
      <c r="P57">
        <f t="shared" ref="P57:P73" si="4">ABS(O57-1)</f>
        <v>1.937926032111803E-2</v>
      </c>
      <c r="Q57" s="24">
        <f t="shared" ref="Q57" si="5">P57/SUM(P$56:P$65)</f>
        <v>6.4877528200127196E-2</v>
      </c>
      <c r="R57" s="8">
        <v>6.4877528200127196E-2</v>
      </c>
    </row>
    <row r="58" spans="2:18" x14ac:dyDescent="0.45">
      <c r="B58" s="18" t="s">
        <v>8</v>
      </c>
      <c r="C58">
        <v>1.1042E-2</v>
      </c>
      <c r="D58">
        <v>7.8399999999999997E-2</v>
      </c>
      <c r="E58">
        <v>8.8911100000000007E-3</v>
      </c>
      <c r="F58">
        <f t="shared" si="0"/>
        <v>1.0089307533224592</v>
      </c>
      <c r="G58">
        <f t="shared" si="1"/>
        <v>8.930753322459184E-3</v>
      </c>
      <c r="H58" s="24">
        <f t="shared" si="2"/>
        <v>5.945395469478483E-2</v>
      </c>
      <c r="I58" s="8">
        <v>5.945395469478483E-2</v>
      </c>
      <c r="K58" t="s">
        <v>8</v>
      </c>
      <c r="L58">
        <v>3.0130000000000001E-2</v>
      </c>
      <c r="M58">
        <v>1.49E-2</v>
      </c>
      <c r="N58">
        <v>-2.0614500000000001E-2</v>
      </c>
      <c r="O58">
        <f t="shared" si="3"/>
        <v>0.97959652625063942</v>
      </c>
      <c r="P58">
        <f t="shared" si="4"/>
        <v>2.0403473749360579E-2</v>
      </c>
      <c r="Q58" s="24">
        <f t="shared" ref="Q58" si="6">P58/SUM(P$56:P$65)</f>
        <v>6.8306370915106593E-2</v>
      </c>
      <c r="R58" s="8">
        <v>6.8306370915106593E-2</v>
      </c>
    </row>
    <row r="59" spans="2:18" x14ac:dyDescent="0.45">
      <c r="B59" s="18" t="s">
        <v>1</v>
      </c>
      <c r="C59">
        <v>2.5593999999999999E-2</v>
      </c>
      <c r="D59">
        <v>7.7999999999999996E-3</v>
      </c>
      <c r="E59">
        <v>1.5244499999999999E-2</v>
      </c>
      <c r="F59">
        <f t="shared" si="0"/>
        <v>1.0153612901043469</v>
      </c>
      <c r="G59">
        <f t="shared" si="1"/>
        <v>1.5361290104346947E-2</v>
      </c>
      <c r="H59" s="24">
        <f t="shared" si="2"/>
        <v>0.10226342761259979</v>
      </c>
      <c r="I59" s="8">
        <v>0.10226342761259979</v>
      </c>
      <c r="K59" t="s">
        <v>1</v>
      </c>
      <c r="L59">
        <v>5.2648E-2</v>
      </c>
      <c r="M59">
        <v>1.1999999999999999E-3</v>
      </c>
      <c r="N59">
        <v>-3.0629900000000002E-2</v>
      </c>
      <c r="O59">
        <f t="shared" si="3"/>
        <v>0.96983444239029171</v>
      </c>
      <c r="P59">
        <f t="shared" si="4"/>
        <v>3.0165557609708293E-2</v>
      </c>
      <c r="Q59" s="24">
        <f t="shared" ref="Q59" si="7">P59/SUM(P$56:P$65)</f>
        <v>0.10098769416724075</v>
      </c>
      <c r="R59" s="8">
        <v>0.10098769416724075</v>
      </c>
    </row>
    <row r="60" spans="2:18" x14ac:dyDescent="0.45">
      <c r="B60" s="19" t="s">
        <v>2</v>
      </c>
      <c r="C60">
        <v>2.3883999999999999E-2</v>
      </c>
      <c r="D60">
        <v>1.01E-2</v>
      </c>
      <c r="E60">
        <v>1.7526300000000002E-2</v>
      </c>
      <c r="F60">
        <f t="shared" si="0"/>
        <v>1.017680786803498</v>
      </c>
      <c r="G60">
        <f t="shared" si="1"/>
        <v>1.768078680349805E-2</v>
      </c>
      <c r="H60" s="24">
        <f t="shared" si="2"/>
        <v>0.11770481835387485</v>
      </c>
      <c r="I60" s="8">
        <v>0.11770481835387485</v>
      </c>
      <c r="K60" s="20" t="s">
        <v>2</v>
      </c>
      <c r="L60">
        <v>2.7598999999999999E-2</v>
      </c>
      <c r="M60">
        <v>1.2500000000000001E-2</v>
      </c>
      <c r="N60">
        <v>-2.38575E-2</v>
      </c>
      <c r="O60">
        <f t="shared" si="3"/>
        <v>0.9764248403843715</v>
      </c>
      <c r="P60">
        <f t="shared" si="4"/>
        <v>2.3575159615628505E-2</v>
      </c>
      <c r="Q60" s="24">
        <f>P60/SUM(P$56:P$65)</f>
        <v>7.8924482020539685E-2</v>
      </c>
      <c r="R60" s="8">
        <v>7.8924482020539685E-2</v>
      </c>
    </row>
    <row r="61" spans="2:18" x14ac:dyDescent="0.45">
      <c r="B61" s="18" t="s">
        <v>3</v>
      </c>
      <c r="C61">
        <v>3.8240000000000003E-2</v>
      </c>
      <c r="D61">
        <v>1.1999999999999999E-3</v>
      </c>
      <c r="E61">
        <v>1.45767E-2</v>
      </c>
      <c r="F61">
        <f t="shared" si="0"/>
        <v>1.0146834581880824</v>
      </c>
      <c r="G61">
        <f t="shared" si="1"/>
        <v>1.4683458188082366E-2</v>
      </c>
      <c r="H61" s="24">
        <f t="shared" si="2"/>
        <v>9.7750954074793395E-2</v>
      </c>
      <c r="I61" s="8">
        <v>9.7750954074793395E-2</v>
      </c>
      <c r="K61" t="s">
        <v>3</v>
      </c>
      <c r="L61">
        <v>5.8042000000000003E-2</v>
      </c>
      <c r="M61">
        <v>1.8E-3</v>
      </c>
      <c r="N61">
        <v>-2.8382999999999999E-2</v>
      </c>
      <c r="O61">
        <f t="shared" si="3"/>
        <v>0.97201601336699639</v>
      </c>
      <c r="P61">
        <f t="shared" si="4"/>
        <v>2.798398663300361E-2</v>
      </c>
      <c r="Q61" s="24">
        <f t="shared" ref="Q61" si="8">P61/SUM(P$56:P$65)</f>
        <v>9.3684271321555393E-2</v>
      </c>
      <c r="R61" s="8">
        <v>9.3684271321555393E-2</v>
      </c>
    </row>
    <row r="62" spans="2:18" x14ac:dyDescent="0.45">
      <c r="B62" s="18" t="s">
        <v>4</v>
      </c>
      <c r="C62">
        <v>4.0897000000000003E-2</v>
      </c>
      <c r="D62">
        <v>6.9999999999999999E-4</v>
      </c>
      <c r="E62">
        <v>1.3907600000000001E-2</v>
      </c>
      <c r="F62">
        <f t="shared" si="0"/>
        <v>1.0140047605698177</v>
      </c>
      <c r="G62">
        <f t="shared" si="1"/>
        <v>1.4004760569817698E-2</v>
      </c>
      <c r="H62" s="24">
        <f t="shared" si="2"/>
        <v>9.3232717371704757E-2</v>
      </c>
      <c r="I62" s="8">
        <v>9.3232717371704757E-2</v>
      </c>
      <c r="K62" t="s">
        <v>4</v>
      </c>
      <c r="L62">
        <v>5.7218999999999999E-2</v>
      </c>
      <c r="M62">
        <v>3.5000000000000001E-3</v>
      </c>
      <c r="N62">
        <v>-2.8577200000000001E-2</v>
      </c>
      <c r="O62">
        <f t="shared" si="3"/>
        <v>0.97182726618514503</v>
      </c>
      <c r="P62">
        <f t="shared" si="4"/>
        <v>2.8172733814854967E-2</v>
      </c>
      <c r="Q62" s="24">
        <f t="shared" ref="Q62" si="9">P62/SUM(P$56:P$65)</f>
        <v>9.4316155635525409E-2</v>
      </c>
      <c r="R62" s="8">
        <v>9.4316155635525409E-2</v>
      </c>
    </row>
    <row r="63" spans="2:18" x14ac:dyDescent="0.45">
      <c r="B63" s="18" t="s">
        <v>5</v>
      </c>
      <c r="C63">
        <v>3.2414999999999999E-2</v>
      </c>
      <c r="D63">
        <v>2.3999999999999998E-3</v>
      </c>
      <c r="E63">
        <v>1.5302400000000001E-2</v>
      </c>
      <c r="F63">
        <f t="shared" si="0"/>
        <v>1.0154200812250305</v>
      </c>
      <c r="G63">
        <f t="shared" si="1"/>
        <v>1.5420081225030469E-2</v>
      </c>
      <c r="H63" s="24">
        <f t="shared" si="2"/>
        <v>0.10265481280703614</v>
      </c>
      <c r="I63" s="8">
        <v>0.10265481280703614</v>
      </c>
      <c r="K63" t="s">
        <v>5</v>
      </c>
      <c r="L63">
        <v>6.8053000000000002E-2</v>
      </c>
      <c r="M63">
        <v>8.0000000000000004E-4</v>
      </c>
      <c r="N63">
        <v>-3.7990099999999999E-2</v>
      </c>
      <c r="O63">
        <f t="shared" si="3"/>
        <v>0.96272247179649229</v>
      </c>
      <c r="P63">
        <f t="shared" si="4"/>
        <v>3.7277528203507715E-2</v>
      </c>
      <c r="Q63" s="24">
        <f>P63/SUM(P$56:P$65)</f>
        <v>0.1247970173876369</v>
      </c>
      <c r="R63" s="8">
        <v>0.1247970173876369</v>
      </c>
    </row>
    <row r="64" spans="2:18" x14ac:dyDescent="0.45">
      <c r="B64" s="19" t="s">
        <v>6</v>
      </c>
      <c r="C64">
        <v>4.5527999999999999E-2</v>
      </c>
      <c r="D64">
        <v>2.0000000000000001E-4</v>
      </c>
      <c r="E64">
        <v>2.4412099999999999E-2</v>
      </c>
      <c r="F64">
        <f t="shared" si="0"/>
        <v>1.0247125149183467</v>
      </c>
      <c r="G64">
        <f t="shared" si="1"/>
        <v>2.4712514918346695E-2</v>
      </c>
      <c r="H64" s="24">
        <f>G64/SUM(G$56:G$65)</f>
        <v>0.16451655188534556</v>
      </c>
      <c r="I64" s="8">
        <v>0.16451655188534556</v>
      </c>
      <c r="K64" s="20" t="s">
        <v>6</v>
      </c>
      <c r="L64">
        <v>4.4228999999999997E-2</v>
      </c>
      <c r="M64">
        <v>1.2E-2</v>
      </c>
      <c r="N64">
        <v>-5.1614800000000002E-2</v>
      </c>
      <c r="O64">
        <f t="shared" si="3"/>
        <v>0.94969461876169448</v>
      </c>
      <c r="P64">
        <f t="shared" si="4"/>
        <v>5.0305381238305524E-2</v>
      </c>
      <c r="Q64" s="24">
        <f t="shared" ref="Q64" si="10">P64/SUM(P$56:P$65)</f>
        <v>0.16841142209900545</v>
      </c>
      <c r="R64" s="8">
        <v>0.16841142209900545</v>
      </c>
    </row>
    <row r="65" spans="2:18" ht="14.65" thickBot="1" x14ac:dyDescent="0.5">
      <c r="B65" s="21" t="s">
        <v>9</v>
      </c>
      <c r="C65" s="22">
        <v>6.2030000000000002E-3</v>
      </c>
      <c r="D65" s="22">
        <v>0.19750000000000001</v>
      </c>
      <c r="E65" s="22">
        <v>8.6625000000000001E-3</v>
      </c>
      <c r="F65" s="22">
        <f t="shared" si="0"/>
        <v>1.0087001280255712</v>
      </c>
      <c r="G65" s="22">
        <f t="shared" si="1"/>
        <v>8.7001280255711855E-3</v>
      </c>
      <c r="H65" s="26">
        <f t="shared" si="2"/>
        <v>5.7918632258079708E-2</v>
      </c>
      <c r="I65" s="28">
        <v>5.7918632258079708E-2</v>
      </c>
      <c r="J65" s="22"/>
      <c r="K65" s="23" t="s">
        <v>9</v>
      </c>
      <c r="L65" s="22">
        <v>4.1112999999999997E-2</v>
      </c>
      <c r="M65" s="22">
        <v>2.2000000000000001E-3</v>
      </c>
      <c r="N65" s="22">
        <v>-2.6075299999999999E-2</v>
      </c>
      <c r="O65" s="22">
        <f t="shared" si="3"/>
        <v>0.97426172493871632</v>
      </c>
      <c r="P65" s="22">
        <f t="shared" si="4"/>
        <v>2.5738275061283677E-2</v>
      </c>
      <c r="Q65" s="26">
        <f t="shared" ref="Q65" si="11">P65/SUM(P$56:P$65)</f>
        <v>8.6166119781744377E-2</v>
      </c>
      <c r="R65" s="28">
        <v>8.6166119781744377E-2</v>
      </c>
    </row>
    <row r="66" spans="2:18" x14ac:dyDescent="0.45">
      <c r="B66" t="s">
        <v>17</v>
      </c>
      <c r="C66">
        <v>1.8103999999999999E-2</v>
      </c>
      <c r="D66">
        <v>4.2799999999999998E-2</v>
      </c>
      <c r="E66">
        <v>-1.8898499999999999E-2</v>
      </c>
      <c r="F66">
        <f t="shared" si="0"/>
        <v>0.98127895700242218</v>
      </c>
      <c r="G66">
        <f t="shared" si="1"/>
        <v>1.8721042997577819E-2</v>
      </c>
      <c r="H66" s="7">
        <f>-G66/SUM(G$66:G$74)</f>
        <v>-0.17648171951283964</v>
      </c>
      <c r="I66" s="8">
        <v>-0.17648171951283964</v>
      </c>
      <c r="K66" t="s">
        <v>17</v>
      </c>
      <c r="L66">
        <v>3.1345999999999999E-2</v>
      </c>
      <c r="M66">
        <v>2.8999999999999998E-3</v>
      </c>
      <c r="N66">
        <v>2.0153000000000001E-2</v>
      </c>
      <c r="O66">
        <f t="shared" si="3"/>
        <v>1.0203574427733355</v>
      </c>
      <c r="P66">
        <f t="shared" si="4"/>
        <v>2.035744277333551E-2</v>
      </c>
      <c r="Q66" s="7">
        <f>P66/SUM(P$66:P$74)</f>
        <v>9.9821351743349135E-2</v>
      </c>
      <c r="R66" s="8">
        <v>9.9821351743349135E-2</v>
      </c>
    </row>
    <row r="67" spans="2:18" x14ac:dyDescent="0.45">
      <c r="B67" t="s">
        <v>10</v>
      </c>
      <c r="C67">
        <v>2.7550999999999999E-2</v>
      </c>
      <c r="D67">
        <v>1.04E-2</v>
      </c>
      <c r="E67">
        <v>1.3122E-2</v>
      </c>
      <c r="F67">
        <f t="shared" si="0"/>
        <v>1.0132084712533111</v>
      </c>
      <c r="G67">
        <f t="shared" si="1"/>
        <v>1.3208471253311149E-2</v>
      </c>
      <c r="H67" s="7">
        <f t="shared" ref="H67:H73" si="12">G67/SUM(G$66:G$74)</f>
        <v>0.12451516292237895</v>
      </c>
      <c r="I67" s="8">
        <v>0.12451516292237895</v>
      </c>
      <c r="K67" t="s">
        <v>10</v>
      </c>
      <c r="L67">
        <v>5.1845000000000002E-2</v>
      </c>
      <c r="M67">
        <v>2.9999999999999997E-4</v>
      </c>
      <c r="N67">
        <v>-1.7105599999999999E-2</v>
      </c>
      <c r="O67">
        <f t="shared" si="3"/>
        <v>0.98303987014331384</v>
      </c>
      <c r="P67">
        <f t="shared" si="4"/>
        <v>1.6960129856686157E-2</v>
      </c>
      <c r="Q67" s="7">
        <f>-P67/SUM(P$66:P$74)</f>
        <v>-8.3162856302101046E-2</v>
      </c>
      <c r="R67" s="8">
        <v>-8.3162856302101046E-2</v>
      </c>
    </row>
    <row r="68" spans="2:18" x14ac:dyDescent="0.45">
      <c r="B68" s="14" t="s">
        <v>11</v>
      </c>
      <c r="C68" s="14">
        <v>1.1E-5</v>
      </c>
      <c r="D68" s="14">
        <v>0.95779999999999998</v>
      </c>
      <c r="E68" s="14">
        <v>2.0342E-4</v>
      </c>
      <c r="H68" s="7"/>
      <c r="I68" s="8"/>
      <c r="K68" t="s">
        <v>11</v>
      </c>
      <c r="L68">
        <v>6.5855999999999998E-2</v>
      </c>
      <c r="M68">
        <v>7.4000000000000003E-3</v>
      </c>
      <c r="N68">
        <v>-2.7290999999999999E-2</v>
      </c>
      <c r="O68">
        <f t="shared" si="3"/>
        <v>0.97307803461165754</v>
      </c>
      <c r="P68">
        <f t="shared" si="4"/>
        <v>2.6921965388342461E-2</v>
      </c>
      <c r="Q68" s="7">
        <f t="shared" ref="Q68:Q73" si="13">-P68/SUM(P$66:P$74)</f>
        <v>-0.1320100469677844</v>
      </c>
      <c r="R68" s="8">
        <v>-0.1320100469677844</v>
      </c>
    </row>
    <row r="69" spans="2:18" x14ac:dyDescent="0.45">
      <c r="B69" t="s">
        <v>12</v>
      </c>
      <c r="C69">
        <v>1.9057000000000001E-2</v>
      </c>
      <c r="D69">
        <v>4.0899999999999999E-2</v>
      </c>
      <c r="E69">
        <v>9.3404300000000003E-3</v>
      </c>
      <c r="F69">
        <f t="shared" si="0"/>
        <v>1.0093841879495369</v>
      </c>
      <c r="G69">
        <f t="shared" si="1"/>
        <v>9.3841879495368818E-3</v>
      </c>
      <c r="H69" s="7">
        <f t="shared" si="12"/>
        <v>8.846396142459656E-2</v>
      </c>
      <c r="I69" s="8">
        <v>8.846396142459656E-2</v>
      </c>
      <c r="K69" t="s">
        <v>12</v>
      </c>
      <c r="L69">
        <v>4.0273000000000003E-2</v>
      </c>
      <c r="M69">
        <v>8.9999999999999998E-4</v>
      </c>
      <c r="N69">
        <v>-1.10638E-2</v>
      </c>
      <c r="O69">
        <f t="shared" si="3"/>
        <v>0.98899717874249526</v>
      </c>
      <c r="P69">
        <f t="shared" si="4"/>
        <v>1.1002821257504736E-2</v>
      </c>
      <c r="Q69" s="7">
        <f t="shared" si="13"/>
        <v>-5.3951594173368915E-2</v>
      </c>
      <c r="R69" s="8">
        <v>-5.3951594173368915E-2</v>
      </c>
    </row>
    <row r="70" spans="2:18" x14ac:dyDescent="0.45">
      <c r="B70" t="s">
        <v>13</v>
      </c>
      <c r="C70">
        <v>1.8665999999999999E-2</v>
      </c>
      <c r="D70">
        <v>3.9600000000000003E-2</v>
      </c>
      <c r="E70">
        <v>1.529E-2</v>
      </c>
      <c r="F70">
        <f t="shared" si="0"/>
        <v>1.0154074900940884</v>
      </c>
      <c r="G70">
        <f t="shared" si="1"/>
        <v>1.5407490094088372E-2</v>
      </c>
      <c r="H70" s="7">
        <f t="shared" si="12"/>
        <v>0.14524513113577964</v>
      </c>
      <c r="I70" s="8">
        <v>0.14524513113577964</v>
      </c>
      <c r="K70" t="s">
        <v>13</v>
      </c>
      <c r="L70">
        <v>4.1664E-2</v>
      </c>
      <c r="M70">
        <v>6.9999999999999999E-4</v>
      </c>
      <c r="N70">
        <v>-1.8824799999999999E-2</v>
      </c>
      <c r="O70">
        <f t="shared" si="3"/>
        <v>0.9813512799266203</v>
      </c>
      <c r="P70">
        <f t="shared" si="4"/>
        <v>1.8648720073379699E-2</v>
      </c>
      <c r="Q70" s="7">
        <f t="shared" si="13"/>
        <v>-9.1442744883771188E-2</v>
      </c>
      <c r="R70" s="8">
        <v>-9.1442744883771188E-2</v>
      </c>
    </row>
    <row r="71" spans="2:18" x14ac:dyDescent="0.45">
      <c r="B71" t="s">
        <v>14</v>
      </c>
      <c r="C71">
        <v>1.8669999999999999E-2</v>
      </c>
      <c r="D71">
        <v>2.3800000000000002E-2</v>
      </c>
      <c r="E71">
        <v>1.53689E-2</v>
      </c>
      <c r="F71">
        <f>EXP(E71)</f>
        <v>1.0154876089057026</v>
      </c>
      <c r="G71">
        <f t="shared" si="1"/>
        <v>1.5487608905702555E-2</v>
      </c>
      <c r="H71" s="7">
        <f t="shared" si="12"/>
        <v>0.14600040452737567</v>
      </c>
      <c r="I71" s="8">
        <v>0.14600040452737567</v>
      </c>
      <c r="K71" t="s">
        <v>14</v>
      </c>
      <c r="L71">
        <v>2.5451999999999999E-2</v>
      </c>
      <c r="M71">
        <v>1.54E-2</v>
      </c>
      <c r="N71">
        <v>-2.1789599999999999E-2</v>
      </c>
      <c r="O71">
        <f t="shared" si="3"/>
        <v>0.97844607845063103</v>
      </c>
      <c r="P71">
        <f t="shared" si="4"/>
        <v>2.1553921549368971E-2</v>
      </c>
      <c r="Q71" s="7">
        <f t="shared" si="13"/>
        <v>-0.10568820496679646</v>
      </c>
      <c r="R71" s="8">
        <v>-0.10568820496679646</v>
      </c>
    </row>
    <row r="72" spans="2:18" x14ac:dyDescent="0.45">
      <c r="B72" s="14" t="s">
        <v>15</v>
      </c>
      <c r="C72" s="14">
        <v>3.1999999999999999E-5</v>
      </c>
      <c r="D72" s="14">
        <v>0.92669999999999997</v>
      </c>
      <c r="E72" s="14">
        <v>6.51551E-4</v>
      </c>
      <c r="H72" s="7"/>
      <c r="I72" s="8"/>
      <c r="K72" t="s">
        <v>15</v>
      </c>
      <c r="L72">
        <v>2.8444000000000001E-2</v>
      </c>
      <c r="M72">
        <v>1.89E-2</v>
      </c>
      <c r="N72">
        <v>-2.6296300000000002E-2</v>
      </c>
      <c r="O72">
        <f t="shared" si="3"/>
        <v>0.97404643688771075</v>
      </c>
      <c r="P72">
        <f t="shared" si="4"/>
        <v>2.5953563112289246E-2</v>
      </c>
      <c r="Q72" s="7">
        <f t="shared" si="13"/>
        <v>-0.12726155152544014</v>
      </c>
      <c r="R72" s="8">
        <v>-0.12726155152544014</v>
      </c>
    </row>
    <row r="73" spans="2:18" x14ac:dyDescent="0.45">
      <c r="B73" t="s">
        <v>16</v>
      </c>
      <c r="C73">
        <v>8.1150000000000007E-3</v>
      </c>
      <c r="D73">
        <v>0.1376</v>
      </c>
      <c r="E73">
        <v>6.8849999999999996E-3</v>
      </c>
      <c r="F73">
        <f t="shared" si="0"/>
        <v>1.0069087561014576</v>
      </c>
      <c r="G73">
        <f t="shared" si="1"/>
        <v>6.9087561014575805E-3</v>
      </c>
      <c r="H73" s="7">
        <f t="shared" si="12"/>
        <v>6.5128270718560324E-2</v>
      </c>
      <c r="I73" s="8">
        <v>6.5128270718560324E-2</v>
      </c>
      <c r="K73" t="s">
        <v>16</v>
      </c>
      <c r="L73">
        <v>1.9852000000000002E-2</v>
      </c>
      <c r="M73">
        <v>3.2099999999999997E-2</v>
      </c>
      <c r="N73">
        <v>-1.27514E-2</v>
      </c>
      <c r="O73">
        <f>EXP(N73)</f>
        <v>0.98732955464064853</v>
      </c>
      <c r="P73">
        <f t="shared" si="4"/>
        <v>1.2670445359351468E-2</v>
      </c>
      <c r="Q73" s="7">
        <f t="shared" si="13"/>
        <v>-6.2128676820712374E-2</v>
      </c>
      <c r="R73" s="8">
        <v>-6.2128676820712374E-2</v>
      </c>
    </row>
    <row r="74" spans="2:18" x14ac:dyDescent="0.45">
      <c r="B74" t="s">
        <v>37</v>
      </c>
      <c r="C74">
        <v>4.6482999999999997E-2</v>
      </c>
      <c r="D74">
        <v>4.0000000000000002E-4</v>
      </c>
      <c r="E74">
        <v>2.6604599999999999E-2</v>
      </c>
      <c r="F74">
        <f t="shared" si="0"/>
        <v>1.0269616618336299</v>
      </c>
      <c r="G74">
        <f t="shared" si="1"/>
        <v>2.6961661833629913E-2</v>
      </c>
      <c r="H74" s="7">
        <f>G74/SUM(G$66:G$74)</f>
        <v>0.25416534975846922</v>
      </c>
      <c r="I74" s="8">
        <v>0.25416534975846922</v>
      </c>
      <c r="K74" t="s">
        <v>38</v>
      </c>
      <c r="L74">
        <v>7.6117000000000004E-2</v>
      </c>
      <c r="M74">
        <v>2.0000000000000001E-4</v>
      </c>
      <c r="N74">
        <v>-5.1156199999999999E-2</v>
      </c>
      <c r="O74">
        <f>EXP(N74)</f>
        <v>0.95013024859614481</v>
      </c>
      <c r="P74">
        <f>ABS(O74-1)</f>
        <v>4.9869751403855189E-2</v>
      </c>
      <c r="Q74" s="7">
        <f>-P74/SUM(P$66:P$74)</f>
        <v>-0.24453297261667634</v>
      </c>
      <c r="R74" s="8">
        <v>-0.24453297261667634</v>
      </c>
    </row>
    <row r="75" spans="2:18" x14ac:dyDescent="0.45">
      <c r="B75" s="3" t="s">
        <v>44</v>
      </c>
      <c r="C75" s="30">
        <v>6.5948000000000007E-2</v>
      </c>
      <c r="D75" s="6">
        <v>8.4800000000000001E-5</v>
      </c>
      <c r="H75" s="7"/>
      <c r="K75" s="3" t="s">
        <v>47</v>
      </c>
      <c r="L75" s="30">
        <v>0.159997</v>
      </c>
      <c r="M75" s="6">
        <v>2.9000000000000002E-8</v>
      </c>
    </row>
    <row r="76" spans="2:18" x14ac:dyDescent="0.45">
      <c r="I76" s="8"/>
      <c r="Q76" s="8"/>
    </row>
    <row r="77" spans="2:18" x14ac:dyDescent="0.45">
      <c r="B77" t="s">
        <v>42</v>
      </c>
    </row>
    <row r="78" spans="2:18" x14ac:dyDescent="0.45">
      <c r="B78" t="s">
        <v>17</v>
      </c>
      <c r="C78">
        <v>1.8103999999999999E-2</v>
      </c>
      <c r="D78">
        <v>4.2799999999999998E-2</v>
      </c>
      <c r="E78">
        <v>-1.8898499999999999E-2</v>
      </c>
      <c r="F78">
        <f t="shared" ref="F78:F86" si="14">EXP(E78)</f>
        <v>0.98127895700242218</v>
      </c>
      <c r="G78">
        <f t="shared" ref="G78:G86" si="15">ABS(F78-1)</f>
        <v>1.8721042997577819E-2</v>
      </c>
      <c r="H78" s="7">
        <f>-G78/SUM(G$78:G$86)</f>
        <v>-0.18877639999712781</v>
      </c>
      <c r="I78" s="8">
        <v>-0.18877639999712781</v>
      </c>
      <c r="K78" t="s">
        <v>17</v>
      </c>
      <c r="L78">
        <v>3.1345999999999999E-2</v>
      </c>
      <c r="M78">
        <v>2.8999999999999998E-3</v>
      </c>
      <c r="N78">
        <v>2.0153000000000001E-2</v>
      </c>
      <c r="O78">
        <f t="shared" ref="O78:O84" si="16">EXP(N78)</f>
        <v>1.0203574427733355</v>
      </c>
      <c r="P78">
        <f t="shared" ref="P78:P84" si="17">ABS(O78-1)</f>
        <v>2.035744277333551E-2</v>
      </c>
      <c r="Q78" s="7">
        <f>P78/SUM(P$78:P$86)</f>
        <v>0.1064339523730878</v>
      </c>
      <c r="R78" s="8">
        <v>0.1064339523730878</v>
      </c>
    </row>
    <row r="79" spans="2:18" x14ac:dyDescent="0.45">
      <c r="B79" t="s">
        <v>10</v>
      </c>
      <c r="C79">
        <v>2.7550999999999999E-2</v>
      </c>
      <c r="D79">
        <v>1.04E-2</v>
      </c>
      <c r="E79">
        <v>1.3122E-2</v>
      </c>
      <c r="F79">
        <f t="shared" si="14"/>
        <v>1.0132084712533111</v>
      </c>
      <c r="G79">
        <f t="shared" si="15"/>
        <v>1.3208471253311149E-2</v>
      </c>
      <c r="H79" s="7">
        <f>G79/SUM(G$78:G$86)</f>
        <v>0.13318956924505962</v>
      </c>
      <c r="I79" s="8">
        <v>0.13318956924505962</v>
      </c>
      <c r="K79" t="s">
        <v>10</v>
      </c>
      <c r="L79">
        <v>5.1845000000000002E-2</v>
      </c>
      <c r="M79">
        <v>2.9999999999999997E-4</v>
      </c>
      <c r="N79">
        <v>-1.7105599999999999E-2</v>
      </c>
      <c r="O79">
        <f t="shared" si="16"/>
        <v>0.98303987014331384</v>
      </c>
      <c r="P79">
        <f t="shared" si="17"/>
        <v>1.6960129856686157E-2</v>
      </c>
      <c r="Q79" s="7">
        <f>-P79/SUM(P$78:P$86)</f>
        <v>-8.8671925718111833E-2</v>
      </c>
      <c r="R79" s="8">
        <v>-8.8671925718111833E-2</v>
      </c>
    </row>
    <row r="80" spans="2:18" x14ac:dyDescent="0.45">
      <c r="B80" s="14" t="s">
        <v>11</v>
      </c>
      <c r="C80" s="14">
        <v>1.1E-5</v>
      </c>
      <c r="D80" s="14">
        <v>0.95779999999999998</v>
      </c>
      <c r="E80" s="14">
        <v>2.0342E-4</v>
      </c>
      <c r="H80" s="7"/>
      <c r="I80" s="8"/>
      <c r="K80" t="s">
        <v>11</v>
      </c>
      <c r="L80">
        <v>6.5855999999999998E-2</v>
      </c>
      <c r="M80">
        <v>7.4000000000000003E-3</v>
      </c>
      <c r="N80">
        <v>-2.7290999999999999E-2</v>
      </c>
      <c r="O80">
        <f t="shared" si="16"/>
        <v>0.97307803461165754</v>
      </c>
      <c r="P80">
        <f t="shared" si="17"/>
        <v>2.6921965388342461E-2</v>
      </c>
      <c r="Q80" s="7">
        <f t="shared" ref="Q80:Q84" si="18">-P80/SUM(P$78:P$86)</f>
        <v>-0.14075496681174116</v>
      </c>
      <c r="R80" s="8">
        <v>-0.14075496681174116</v>
      </c>
    </row>
    <row r="81" spans="2:18" x14ac:dyDescent="0.45">
      <c r="B81" t="s">
        <v>12</v>
      </c>
      <c r="C81">
        <v>1.9057000000000001E-2</v>
      </c>
      <c r="D81">
        <v>4.0899999999999999E-2</v>
      </c>
      <c r="E81">
        <v>9.3404300000000003E-3</v>
      </c>
      <c r="F81">
        <f t="shared" si="14"/>
        <v>1.0093841879495369</v>
      </c>
      <c r="G81">
        <f t="shared" si="15"/>
        <v>9.3841879495368818E-3</v>
      </c>
      <c r="H81" s="7">
        <f>G81/SUM(G$78:G$86)</f>
        <v>9.4626844147476422E-2</v>
      </c>
      <c r="I81" s="8">
        <v>9.4626844147476422E-2</v>
      </c>
      <c r="K81" t="s">
        <v>12</v>
      </c>
      <c r="L81">
        <v>4.0273000000000003E-2</v>
      </c>
      <c r="M81">
        <v>8.9999999999999998E-4</v>
      </c>
      <c r="N81">
        <v>-1.10638E-2</v>
      </c>
      <c r="O81">
        <f t="shared" si="16"/>
        <v>0.98899717874249526</v>
      </c>
      <c r="P81">
        <f t="shared" si="17"/>
        <v>1.1002821257504736E-2</v>
      </c>
      <c r="Q81" s="7">
        <f t="shared" si="18"/>
        <v>-5.75255824972647E-2</v>
      </c>
      <c r="R81" s="8">
        <v>-5.75255824972647E-2</v>
      </c>
    </row>
    <row r="82" spans="2:18" x14ac:dyDescent="0.45">
      <c r="B82" t="s">
        <v>13</v>
      </c>
      <c r="C82">
        <v>1.8665999999999999E-2</v>
      </c>
      <c r="D82">
        <v>3.9600000000000003E-2</v>
      </c>
      <c r="E82">
        <v>1.529E-2</v>
      </c>
      <c r="F82">
        <f t="shared" si="14"/>
        <v>1.0154074900940884</v>
      </c>
      <c r="G82">
        <f t="shared" si="15"/>
        <v>1.5407490094088372E-2</v>
      </c>
      <c r="H82" s="7">
        <f t="shared" ref="H82:H83" si="19">G82/SUM(G$78:G$86)</f>
        <v>0.15536370026657861</v>
      </c>
      <c r="I82" s="8">
        <v>0.15536370026657861</v>
      </c>
      <c r="K82" t="s">
        <v>13</v>
      </c>
      <c r="L82">
        <v>4.1664E-2</v>
      </c>
      <c r="M82">
        <v>6.9999999999999999E-4</v>
      </c>
      <c r="N82">
        <v>-1.8824799999999999E-2</v>
      </c>
      <c r="O82">
        <f t="shared" si="16"/>
        <v>0.9813512799266203</v>
      </c>
      <c r="P82">
        <f t="shared" si="17"/>
        <v>1.8648720073379699E-2</v>
      </c>
      <c r="Q82" s="7">
        <f t="shared" si="18"/>
        <v>-9.7500310142536045E-2</v>
      </c>
      <c r="R82" s="8">
        <v>-9.7500310142536045E-2</v>
      </c>
    </row>
    <row r="83" spans="2:18" x14ac:dyDescent="0.45">
      <c r="B83" t="s">
        <v>14</v>
      </c>
      <c r="C83">
        <v>1.8669999999999999E-2</v>
      </c>
      <c r="D83">
        <v>2.3800000000000002E-2</v>
      </c>
      <c r="E83">
        <v>1.53689E-2</v>
      </c>
      <c r="F83">
        <f>EXP(E83)</f>
        <v>1.0154876089057026</v>
      </c>
      <c r="G83">
        <f t="shared" si="15"/>
        <v>1.5487608905702555E-2</v>
      </c>
      <c r="H83" s="7">
        <f t="shared" si="19"/>
        <v>0.1561715901277648</v>
      </c>
      <c r="I83" s="8">
        <v>0.1561715901277648</v>
      </c>
      <c r="K83" t="s">
        <v>14</v>
      </c>
      <c r="L83">
        <v>2.5451999999999999E-2</v>
      </c>
      <c r="M83">
        <v>1.54E-2</v>
      </c>
      <c r="N83">
        <v>-2.1789599999999999E-2</v>
      </c>
      <c r="O83">
        <f t="shared" si="16"/>
        <v>0.97844607845063103</v>
      </c>
      <c r="P83">
        <f t="shared" si="17"/>
        <v>2.1553921549368971E-2</v>
      </c>
      <c r="Q83" s="7">
        <f t="shared" si="18"/>
        <v>-0.1126894514788279</v>
      </c>
      <c r="R83" s="8">
        <v>-0.1126894514788279</v>
      </c>
    </row>
    <row r="84" spans="2:18" x14ac:dyDescent="0.45">
      <c r="B84" s="14" t="s">
        <v>15</v>
      </c>
      <c r="C84" s="14">
        <v>3.1999999999999999E-5</v>
      </c>
      <c r="D84" s="14">
        <v>0.92669999999999997</v>
      </c>
      <c r="E84" s="14">
        <v>6.51551E-4</v>
      </c>
      <c r="H84" s="7"/>
      <c r="I84" s="8"/>
      <c r="K84" t="s">
        <v>15</v>
      </c>
      <c r="L84">
        <v>2.8444000000000001E-2</v>
      </c>
      <c r="M84">
        <v>1.89E-2</v>
      </c>
      <c r="N84">
        <v>-2.6296300000000002E-2</v>
      </c>
      <c r="O84">
        <f t="shared" si="16"/>
        <v>0.97404643688771075</v>
      </c>
      <c r="P84">
        <f t="shared" si="17"/>
        <v>2.5953563112289246E-2</v>
      </c>
      <c r="Q84" s="7">
        <f t="shared" si="18"/>
        <v>-0.13569191037213563</v>
      </c>
      <c r="R84" s="8">
        <v>-0.13569191037213563</v>
      </c>
    </row>
    <row r="85" spans="2:18" x14ac:dyDescent="0.45">
      <c r="H85" s="7"/>
      <c r="I85" s="8"/>
      <c r="Q85" s="7"/>
      <c r="R85" s="8"/>
    </row>
    <row r="86" spans="2:18" x14ac:dyDescent="0.45">
      <c r="B86" t="s">
        <v>37</v>
      </c>
      <c r="C86">
        <v>4.6482999999999997E-2</v>
      </c>
      <c r="D86">
        <v>4.0000000000000002E-4</v>
      </c>
      <c r="E86">
        <v>2.6604599999999999E-2</v>
      </c>
      <c r="F86">
        <f t="shared" si="14"/>
        <v>1.0269616618336299</v>
      </c>
      <c r="G86">
        <f t="shared" si="15"/>
        <v>2.6961661833629913E-2</v>
      </c>
      <c r="H86" s="7">
        <f>G86/SUM(G$78:G$86)</f>
        <v>0.27187189621599273</v>
      </c>
      <c r="I86" s="8">
        <v>0.27187189621599273</v>
      </c>
      <c r="K86" t="s">
        <v>38</v>
      </c>
      <c r="L86">
        <v>7.6117000000000004E-2</v>
      </c>
      <c r="M86">
        <v>2.0000000000000001E-4</v>
      </c>
      <c r="N86">
        <v>-5.1156199999999999E-2</v>
      </c>
      <c r="O86">
        <f>EXP(N86)</f>
        <v>0.95013024859614481</v>
      </c>
      <c r="P86">
        <f>ABS(O86-1)</f>
        <v>4.9869751403855189E-2</v>
      </c>
      <c r="Q86" s="7">
        <f>-P86/SUM(P$78:P$86)</f>
        <v>-0.26073190060629492</v>
      </c>
      <c r="R86" s="8">
        <v>-0.26073190060629492</v>
      </c>
    </row>
    <row r="87" spans="2:18" x14ac:dyDescent="0.45">
      <c r="B87" t="s">
        <v>45</v>
      </c>
      <c r="C87" s="6">
        <v>6.5489000000000006E-2</v>
      </c>
      <c r="D87" s="6">
        <v>9.6899999999999997E-5</v>
      </c>
      <c r="K87" t="s">
        <v>48</v>
      </c>
      <c r="L87" s="6">
        <v>0.16003600000000001</v>
      </c>
      <c r="M87" s="6">
        <v>3.0099999999999998E-8</v>
      </c>
    </row>
    <row r="88" spans="2:18" x14ac:dyDescent="0.45">
      <c r="H88" s="7"/>
      <c r="Q88" s="7"/>
    </row>
    <row r="89" spans="2:18" x14ac:dyDescent="0.45">
      <c r="B89" t="s">
        <v>43</v>
      </c>
    </row>
    <row r="90" spans="2:18" x14ac:dyDescent="0.45">
      <c r="B90" t="s">
        <v>17</v>
      </c>
      <c r="C90">
        <v>1.8103999999999999E-2</v>
      </c>
      <c r="D90">
        <v>4.2799999999999998E-2</v>
      </c>
      <c r="E90">
        <v>-1.8898499999999999E-2</v>
      </c>
      <c r="F90">
        <f t="shared" ref="F90:F98" si="20">EXP(E90)</f>
        <v>0.98127895700242218</v>
      </c>
      <c r="G90">
        <f t="shared" ref="G90:G98" si="21">ABS(F90-1)</f>
        <v>1.8721042997577819E-2</v>
      </c>
      <c r="H90" s="7">
        <f>-G90/SUM(G$90:G$98)</f>
        <v>-0.19360915207330098</v>
      </c>
      <c r="I90" s="8">
        <v>-0.19360915207330098</v>
      </c>
      <c r="K90" t="s">
        <v>17</v>
      </c>
      <c r="L90">
        <v>3.1345999999999999E-2</v>
      </c>
      <c r="M90">
        <v>2.8999999999999998E-3</v>
      </c>
      <c r="N90">
        <v>2.0153000000000001E-2</v>
      </c>
      <c r="O90">
        <f t="shared" ref="O90:O96" si="22">EXP(N90)</f>
        <v>1.0203574427733355</v>
      </c>
      <c r="P90">
        <f t="shared" ref="P90:P97" si="23">ABS(O90-1)</f>
        <v>2.035744277333551E-2</v>
      </c>
      <c r="Q90" s="7">
        <f>P90/SUM(P$90:P$98)</f>
        <v>0.10551400026526971</v>
      </c>
      <c r="R90" s="8">
        <v>0.10551400026526971</v>
      </c>
    </row>
    <row r="91" spans="2:18" x14ac:dyDescent="0.45">
      <c r="B91" t="s">
        <v>10</v>
      </c>
      <c r="C91">
        <v>2.7550999999999999E-2</v>
      </c>
      <c r="D91">
        <v>1.04E-2</v>
      </c>
      <c r="E91">
        <v>1.3122E-2</v>
      </c>
      <c r="F91">
        <f t="shared" si="20"/>
        <v>1.0132084712533111</v>
      </c>
      <c r="G91">
        <f t="shared" si="21"/>
        <v>1.3208471253311149E-2</v>
      </c>
      <c r="H91" s="7">
        <f>G91/SUM(G$90:G$98)</f>
        <v>0.13659927600556288</v>
      </c>
      <c r="I91" s="8">
        <v>0.13659927600556288</v>
      </c>
      <c r="K91" t="s">
        <v>10</v>
      </c>
      <c r="L91">
        <v>5.1845000000000002E-2</v>
      </c>
      <c r="M91">
        <v>2.9999999999999997E-4</v>
      </c>
      <c r="N91">
        <v>-1.7105599999999999E-2</v>
      </c>
      <c r="O91">
        <f t="shared" si="22"/>
        <v>0.98303987014331384</v>
      </c>
      <c r="P91">
        <f t="shared" si="23"/>
        <v>1.6960129856686157E-2</v>
      </c>
      <c r="Q91" s="7">
        <f>-P91/SUM(P$90:P$98)</f>
        <v>-8.7905498058987397E-2</v>
      </c>
      <c r="R91" s="8">
        <v>-8.7905498058987397E-2</v>
      </c>
    </row>
    <row r="92" spans="2:18" x14ac:dyDescent="0.45">
      <c r="B92" s="14" t="s">
        <v>11</v>
      </c>
      <c r="C92" s="14">
        <v>1.1E-5</v>
      </c>
      <c r="D92" s="14">
        <v>0.95779999999999998</v>
      </c>
      <c r="E92" s="14">
        <v>2.0342E-4</v>
      </c>
      <c r="H92" s="7"/>
      <c r="I92" s="8"/>
      <c r="K92" t="s">
        <v>11</v>
      </c>
      <c r="L92">
        <v>6.5855999999999998E-2</v>
      </c>
      <c r="M92">
        <v>7.4000000000000003E-3</v>
      </c>
      <c r="N92">
        <v>-2.7290999999999999E-2</v>
      </c>
      <c r="O92">
        <f t="shared" si="22"/>
        <v>0.97307803461165754</v>
      </c>
      <c r="P92">
        <f t="shared" si="23"/>
        <v>2.6921965388342461E-2</v>
      </c>
      <c r="Q92" s="7">
        <f t="shared" ref="Q92:Q98" si="24">-P92/SUM(P$90:P$98)</f>
        <v>-0.13953836416270651</v>
      </c>
      <c r="R92" s="8">
        <v>-0.13953836416270651</v>
      </c>
    </row>
    <row r="93" spans="2:18" x14ac:dyDescent="0.45">
      <c r="H93" s="7"/>
      <c r="I93" s="8"/>
      <c r="Q93" s="7"/>
      <c r="R93" s="8"/>
    </row>
    <row r="94" spans="2:18" x14ac:dyDescent="0.45">
      <c r="B94" t="s">
        <v>13</v>
      </c>
      <c r="C94">
        <v>1.8665999999999999E-2</v>
      </c>
      <c r="D94">
        <v>3.9600000000000003E-2</v>
      </c>
      <c r="E94">
        <v>1.529E-2</v>
      </c>
      <c r="F94">
        <f t="shared" si="20"/>
        <v>1.0154074900940884</v>
      </c>
      <c r="G94">
        <f t="shared" si="21"/>
        <v>1.5407490094088372E-2</v>
      </c>
      <c r="H94" s="7">
        <f t="shared" ref="H94:H98" si="25">G94/SUM(G$90:G$98)</f>
        <v>0.15934107373612608</v>
      </c>
      <c r="I94" s="8">
        <v>0.15934107373612608</v>
      </c>
      <c r="K94" t="s">
        <v>13</v>
      </c>
      <c r="L94">
        <v>4.1664E-2</v>
      </c>
      <c r="M94">
        <v>6.9999999999999999E-4</v>
      </c>
      <c r="N94">
        <v>-1.8824799999999999E-2</v>
      </c>
      <c r="O94">
        <f t="shared" si="22"/>
        <v>0.9813512799266203</v>
      </c>
      <c r="P94">
        <f t="shared" si="23"/>
        <v>1.8648720073379699E-2</v>
      </c>
      <c r="Q94" s="7">
        <f t="shared" si="24"/>
        <v>-9.665757515216257E-2</v>
      </c>
      <c r="R94" s="8">
        <v>-9.665757515216257E-2</v>
      </c>
    </row>
    <row r="95" spans="2:18" x14ac:dyDescent="0.45">
      <c r="B95" t="s">
        <v>14</v>
      </c>
      <c r="C95">
        <v>1.8669999999999999E-2</v>
      </c>
      <c r="D95">
        <v>2.3800000000000002E-2</v>
      </c>
      <c r="E95">
        <v>1.53689E-2</v>
      </c>
      <c r="F95">
        <f>EXP(E95)</f>
        <v>1.0154876089057026</v>
      </c>
      <c r="G95">
        <f t="shared" si="21"/>
        <v>1.5487608905702555E-2</v>
      </c>
      <c r="H95" s="7">
        <f t="shared" si="25"/>
        <v>0.16016964590402022</v>
      </c>
      <c r="I95" s="8">
        <v>0.16016964590402022</v>
      </c>
      <c r="K95" t="s">
        <v>14</v>
      </c>
      <c r="L95">
        <v>2.5451999999999999E-2</v>
      </c>
      <c r="M95">
        <v>1.54E-2</v>
      </c>
      <c r="N95">
        <v>-2.1789599999999999E-2</v>
      </c>
      <c r="O95">
        <f t="shared" si="22"/>
        <v>0.97844607845063103</v>
      </c>
      <c r="P95">
        <f t="shared" si="23"/>
        <v>2.1553921549368971E-2</v>
      </c>
      <c r="Q95" s="7">
        <f t="shared" si="24"/>
        <v>-0.11171543053809072</v>
      </c>
      <c r="R95" s="8">
        <v>-0.11171543053809072</v>
      </c>
    </row>
    <row r="96" spans="2:18" x14ac:dyDescent="0.45">
      <c r="B96" s="14" t="s">
        <v>15</v>
      </c>
      <c r="C96" s="14">
        <v>3.1999999999999999E-5</v>
      </c>
      <c r="D96" s="14">
        <v>0.92669999999999997</v>
      </c>
      <c r="E96" s="14">
        <v>6.51551E-4</v>
      </c>
      <c r="H96" s="7"/>
      <c r="I96" s="8"/>
      <c r="K96" t="s">
        <v>15</v>
      </c>
      <c r="L96">
        <v>2.8444000000000001E-2</v>
      </c>
      <c r="M96">
        <v>1.89E-2</v>
      </c>
      <c r="N96">
        <v>-2.6296300000000002E-2</v>
      </c>
      <c r="O96">
        <f t="shared" si="22"/>
        <v>0.97404643688771075</v>
      </c>
      <c r="P96">
        <f t="shared" si="23"/>
        <v>2.5953563112289246E-2</v>
      </c>
      <c r="Q96" s="7">
        <f t="shared" si="24"/>
        <v>-0.13451906978717701</v>
      </c>
      <c r="R96" s="8">
        <v>-0.13451906978717701</v>
      </c>
    </row>
    <row r="97" spans="2:18" x14ac:dyDescent="0.45">
      <c r="B97" t="s">
        <v>16</v>
      </c>
      <c r="C97">
        <v>8.1150000000000007E-3</v>
      </c>
      <c r="D97">
        <v>0.1376</v>
      </c>
      <c r="E97">
        <v>6.8849999999999996E-3</v>
      </c>
      <c r="F97">
        <f t="shared" si="20"/>
        <v>1.0069087561014576</v>
      </c>
      <c r="G97">
        <f t="shared" si="21"/>
        <v>6.9087561014575805E-3</v>
      </c>
      <c r="H97" s="7">
        <f t="shared" si="25"/>
        <v>7.1448925727990095E-2</v>
      </c>
      <c r="I97" s="8">
        <v>7.1448925727990095E-2</v>
      </c>
      <c r="K97" t="s">
        <v>16</v>
      </c>
      <c r="L97">
        <v>1.9852000000000002E-2</v>
      </c>
      <c r="M97">
        <v>3.2099999999999997E-2</v>
      </c>
      <c r="N97">
        <v>-1.27514E-2</v>
      </c>
      <c r="O97">
        <f>EXP(N97)</f>
        <v>0.98732955464064853</v>
      </c>
      <c r="P97">
        <f t="shared" si="23"/>
        <v>1.2670445359351468E-2</v>
      </c>
      <c r="Q97" s="7">
        <f t="shared" si="24"/>
        <v>-6.5671773704249356E-2</v>
      </c>
      <c r="R97" s="8">
        <v>-6.5671773704249356E-2</v>
      </c>
    </row>
    <row r="98" spans="2:18" x14ac:dyDescent="0.45">
      <c r="B98" t="s">
        <v>37</v>
      </c>
      <c r="C98">
        <v>4.6482999999999997E-2</v>
      </c>
      <c r="D98">
        <v>4.0000000000000002E-4</v>
      </c>
      <c r="E98">
        <v>2.6604599999999999E-2</v>
      </c>
      <c r="F98">
        <f t="shared" si="20"/>
        <v>1.0269616618336299</v>
      </c>
      <c r="G98">
        <f t="shared" si="21"/>
        <v>2.6961661833629913E-2</v>
      </c>
      <c r="H98" s="7">
        <f t="shared" si="25"/>
        <v>0.27883192655299976</v>
      </c>
      <c r="I98" s="8">
        <v>0.27883192655299976</v>
      </c>
      <c r="K98" t="s">
        <v>38</v>
      </c>
      <c r="L98">
        <v>7.6117000000000004E-2</v>
      </c>
      <c r="M98">
        <v>2.0000000000000001E-4</v>
      </c>
      <c r="N98">
        <v>-5.1156199999999999E-2</v>
      </c>
      <c r="O98">
        <f>EXP(N98)</f>
        <v>0.95013024859614481</v>
      </c>
      <c r="P98">
        <f>ABS(O98-1)</f>
        <v>4.9869751403855189E-2</v>
      </c>
      <c r="Q98" s="7">
        <f t="shared" si="24"/>
        <v>-0.25847828833135672</v>
      </c>
      <c r="R98" s="8">
        <v>-0.25847828833135672</v>
      </c>
    </row>
    <row r="99" spans="2:18" x14ac:dyDescent="0.45">
      <c r="B99" t="s">
        <v>46</v>
      </c>
      <c r="C99" s="6">
        <v>6.3514000000000001E-2</v>
      </c>
      <c r="D99" s="6">
        <v>9.9300000000000001E-5</v>
      </c>
      <c r="K99" t="s">
        <v>49</v>
      </c>
      <c r="L99" s="6">
        <v>0.15365100000000001</v>
      </c>
      <c r="M99" s="6">
        <v>8.8399999999999997E-8</v>
      </c>
    </row>
    <row r="100" spans="2:18" x14ac:dyDescent="0.45">
      <c r="H100" s="7"/>
      <c r="Q10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E5C1-47EF-4026-A8F8-2CA7C3F199D4}">
  <dimension ref="C4:P22"/>
  <sheetViews>
    <sheetView topLeftCell="A7" workbookViewId="0">
      <selection activeCell="E23" sqref="E23"/>
    </sheetView>
  </sheetViews>
  <sheetFormatPr defaultRowHeight="14.25" x14ac:dyDescent="0.45"/>
  <cols>
    <col min="15" max="15" width="12.19921875" bestFit="1" customWidth="1"/>
  </cols>
  <sheetData>
    <row r="4" spans="3:16" x14ac:dyDescent="0.45">
      <c r="C4" s="41"/>
      <c r="D4" s="41" t="s">
        <v>203</v>
      </c>
      <c r="E4" s="41" t="s">
        <v>204</v>
      </c>
      <c r="F4" s="41" t="s">
        <v>202</v>
      </c>
      <c r="G4" s="41" t="s">
        <v>205</v>
      </c>
    </row>
    <row r="5" spans="3:16" x14ac:dyDescent="0.45">
      <c r="C5" s="41" t="s">
        <v>0</v>
      </c>
      <c r="D5" s="54">
        <v>1.9550700000000001E-2</v>
      </c>
      <c r="E5" s="54">
        <v>1.0197430665235336</v>
      </c>
      <c r="F5" s="54">
        <v>1.9743066523533637E-2</v>
      </c>
      <c r="G5" s="54">
        <v>0.13143386008371707</v>
      </c>
      <c r="H5" s="8"/>
    </row>
    <row r="6" spans="3:16" x14ac:dyDescent="0.45">
      <c r="C6" s="41" t="s">
        <v>7</v>
      </c>
      <c r="D6" s="54">
        <v>1.09163E-2</v>
      </c>
      <c r="E6" s="54">
        <v>1.0109761002037412</v>
      </c>
      <c r="F6" s="54">
        <v>1.0976100203741179E-2</v>
      </c>
      <c r="G6" s="54">
        <v>7.307027085806389E-2</v>
      </c>
      <c r="H6" s="8"/>
      <c r="J6" s="67" t="s">
        <v>209</v>
      </c>
      <c r="K6" s="68"/>
      <c r="L6" s="68"/>
      <c r="M6" s="68"/>
      <c r="N6" s="68"/>
      <c r="O6" s="65"/>
    </row>
    <row r="7" spans="3:16" x14ac:dyDescent="0.45">
      <c r="C7" s="41" t="s">
        <v>8</v>
      </c>
      <c r="D7" s="54">
        <v>8.8911100000000007E-3</v>
      </c>
      <c r="E7" s="54">
        <v>1.0089307533224592</v>
      </c>
      <c r="F7" s="54">
        <v>8.930753322459184E-3</v>
      </c>
      <c r="G7" s="54">
        <v>5.945395469478483E-2</v>
      </c>
      <c r="H7" s="8"/>
      <c r="J7" s="67" t="s">
        <v>210</v>
      </c>
      <c r="K7" s="68"/>
      <c r="L7" s="65"/>
      <c r="M7" s="67" t="s">
        <v>211</v>
      </c>
      <c r="N7" s="68"/>
      <c r="O7" s="65"/>
    </row>
    <row r="8" spans="3:16" x14ac:dyDescent="0.45">
      <c r="C8" s="41" t="s">
        <v>1</v>
      </c>
      <c r="D8" s="54">
        <v>1.5244499999999999E-2</v>
      </c>
      <c r="E8" s="54">
        <v>1.0153612901043469</v>
      </c>
      <c r="F8" s="54">
        <v>1.5361290104346947E-2</v>
      </c>
      <c r="G8" s="54">
        <v>0.10226342761259979</v>
      </c>
      <c r="H8" s="8"/>
      <c r="J8" s="41"/>
      <c r="K8" s="41" t="s">
        <v>208</v>
      </c>
      <c r="L8" s="41" t="s">
        <v>25</v>
      </c>
      <c r="M8" s="41"/>
      <c r="N8" s="41" t="s">
        <v>208</v>
      </c>
      <c r="O8" s="41" t="s">
        <v>25</v>
      </c>
    </row>
    <row r="9" spans="3:16" x14ac:dyDescent="0.45">
      <c r="C9" s="41" t="s">
        <v>2</v>
      </c>
      <c r="D9" s="54">
        <v>1.7526300000000002E-2</v>
      </c>
      <c r="E9" s="54">
        <v>1.017680786803498</v>
      </c>
      <c r="F9" s="54">
        <v>1.768078680349805E-2</v>
      </c>
      <c r="G9" s="54">
        <v>0.11770481835387485</v>
      </c>
      <c r="H9" s="8"/>
      <c r="J9" s="41" t="s">
        <v>44</v>
      </c>
      <c r="K9" s="58">
        <v>6.5948000000000007E-2</v>
      </c>
      <c r="L9" s="56">
        <v>8.4800000000000001E-5</v>
      </c>
      <c r="M9" s="41" t="s">
        <v>47</v>
      </c>
      <c r="N9" s="58">
        <v>0.159997</v>
      </c>
      <c r="O9" s="57">
        <v>2.9000000000000002E-8</v>
      </c>
    </row>
    <row r="10" spans="3:16" x14ac:dyDescent="0.45">
      <c r="C10" s="41" t="s">
        <v>3</v>
      </c>
      <c r="D10" s="54">
        <v>1.45767E-2</v>
      </c>
      <c r="E10" s="54">
        <v>1.0146834581880824</v>
      </c>
      <c r="F10" s="54">
        <v>1.4683458188082366E-2</v>
      </c>
      <c r="G10" s="54">
        <v>9.7750954074793395E-2</v>
      </c>
      <c r="H10" s="8"/>
    </row>
    <row r="11" spans="3:16" x14ac:dyDescent="0.45">
      <c r="C11" s="41" t="s">
        <v>4</v>
      </c>
      <c r="D11" s="54">
        <v>1.3907600000000001E-2</v>
      </c>
      <c r="E11" s="54">
        <v>1.0140047605698177</v>
      </c>
      <c r="F11" s="54">
        <v>1.4004760569817698E-2</v>
      </c>
      <c r="G11" s="54">
        <v>9.3232717371704757E-2</v>
      </c>
      <c r="H11" s="8"/>
    </row>
    <row r="12" spans="3:16" x14ac:dyDescent="0.45">
      <c r="C12" s="41" t="s">
        <v>5</v>
      </c>
      <c r="D12" s="54">
        <v>1.5302400000000001E-2</v>
      </c>
      <c r="E12" s="54">
        <v>1.0154200812250305</v>
      </c>
      <c r="F12" s="54">
        <v>1.5420081225030469E-2</v>
      </c>
      <c r="G12" s="54">
        <v>0.10265481280703614</v>
      </c>
      <c r="H12" s="8"/>
    </row>
    <row r="13" spans="3:16" x14ac:dyDescent="0.45">
      <c r="C13" s="41" t="s">
        <v>6</v>
      </c>
      <c r="D13" s="54">
        <v>2.4412099999999999E-2</v>
      </c>
      <c r="E13" s="54">
        <v>1.0247125149183467</v>
      </c>
      <c r="F13" s="54">
        <v>2.4712514918346695E-2</v>
      </c>
      <c r="G13" s="54">
        <v>0.16451655188534556</v>
      </c>
      <c r="H13" s="8"/>
    </row>
    <row r="14" spans="3:16" x14ac:dyDescent="0.45">
      <c r="C14" s="41" t="s">
        <v>9</v>
      </c>
      <c r="D14" s="54">
        <v>8.6625000000000001E-3</v>
      </c>
      <c r="E14" s="54">
        <v>1.0087001280255712</v>
      </c>
      <c r="F14" s="54">
        <v>8.7001280255711855E-3</v>
      </c>
      <c r="G14" s="54">
        <v>5.7918632258079708E-2</v>
      </c>
      <c r="H14" s="8"/>
      <c r="J14" t="s">
        <v>37</v>
      </c>
      <c r="K14" s="7">
        <v>4.6482999999999997E-2</v>
      </c>
      <c r="L14" s="6">
        <v>4.0000000000000002E-4</v>
      </c>
      <c r="N14" t="s">
        <v>38</v>
      </c>
      <c r="O14" s="7">
        <v>7.6117000000000004E-2</v>
      </c>
      <c r="P14" s="6">
        <v>2.0000000000000001E-4</v>
      </c>
    </row>
    <row r="15" spans="3:16" x14ac:dyDescent="0.45">
      <c r="J15" t="s">
        <v>10</v>
      </c>
      <c r="K15" s="7">
        <v>2.7550999999999999E-2</v>
      </c>
      <c r="L15" s="7">
        <v>1.04E-2</v>
      </c>
      <c r="N15" t="s">
        <v>11</v>
      </c>
      <c r="O15" s="7">
        <v>6.5855999999999998E-2</v>
      </c>
      <c r="P15" s="7">
        <v>7.4000000000000003E-3</v>
      </c>
    </row>
    <row r="16" spans="3:16" x14ac:dyDescent="0.45">
      <c r="J16" t="s">
        <v>12</v>
      </c>
      <c r="K16" s="7">
        <v>1.9057000000000001E-2</v>
      </c>
      <c r="L16" s="7">
        <v>4.0899999999999999E-2</v>
      </c>
      <c r="N16" t="s">
        <v>10</v>
      </c>
      <c r="O16" s="7">
        <v>5.1845000000000002E-2</v>
      </c>
      <c r="P16" s="6">
        <v>2.9999999999999997E-4</v>
      </c>
    </row>
    <row r="17" spans="10:16" x14ac:dyDescent="0.45">
      <c r="J17" t="s">
        <v>14</v>
      </c>
      <c r="K17" s="7">
        <v>1.8669999999999999E-2</v>
      </c>
      <c r="L17" s="7">
        <v>2.3800000000000002E-2</v>
      </c>
      <c r="N17" t="s">
        <v>13</v>
      </c>
      <c r="O17" s="7">
        <v>4.1664E-2</v>
      </c>
      <c r="P17" s="7">
        <v>6.9999999999999999E-4</v>
      </c>
    </row>
    <row r="18" spans="10:16" x14ac:dyDescent="0.45">
      <c r="J18" t="s">
        <v>13</v>
      </c>
      <c r="K18" s="7">
        <v>1.8665999999999999E-2</v>
      </c>
      <c r="L18" s="7">
        <v>3.9600000000000003E-2</v>
      </c>
      <c r="N18" t="s">
        <v>12</v>
      </c>
      <c r="O18" s="7">
        <v>4.0273000000000003E-2</v>
      </c>
      <c r="P18" s="7">
        <v>8.9999999999999998E-4</v>
      </c>
    </row>
    <row r="19" spans="10:16" x14ac:dyDescent="0.45">
      <c r="J19" t="s">
        <v>17</v>
      </c>
      <c r="K19" s="7">
        <v>1.8103999999999999E-2</v>
      </c>
      <c r="L19" s="7">
        <v>4.2799999999999998E-2</v>
      </c>
      <c r="N19" t="s">
        <v>17</v>
      </c>
      <c r="O19" s="7">
        <v>3.1345999999999999E-2</v>
      </c>
      <c r="P19" s="7">
        <v>2.8999999999999998E-3</v>
      </c>
    </row>
    <row r="20" spans="10:16" x14ac:dyDescent="0.45">
      <c r="J20" t="s">
        <v>16</v>
      </c>
      <c r="K20" s="7">
        <v>8.1150000000000007E-3</v>
      </c>
      <c r="L20" s="7">
        <v>0.1376</v>
      </c>
      <c r="N20" t="s">
        <v>15</v>
      </c>
      <c r="O20" s="7">
        <v>2.8444000000000001E-2</v>
      </c>
      <c r="P20" s="7">
        <v>1.89E-2</v>
      </c>
    </row>
    <row r="21" spans="10:16" x14ac:dyDescent="0.45">
      <c r="J21" t="s">
        <v>15</v>
      </c>
      <c r="K21" s="55">
        <v>3.1999999999999999E-5</v>
      </c>
      <c r="L21" s="7">
        <v>0.92669999999999997</v>
      </c>
      <c r="N21" t="s">
        <v>14</v>
      </c>
      <c r="O21" s="7">
        <v>2.5451999999999999E-2</v>
      </c>
      <c r="P21" s="7">
        <v>1.54E-2</v>
      </c>
    </row>
    <row r="22" spans="10:16" x14ac:dyDescent="0.45">
      <c r="J22" t="s">
        <v>11</v>
      </c>
      <c r="K22" s="55">
        <v>1.1E-5</v>
      </c>
      <c r="L22" s="7">
        <v>0.95779999999999998</v>
      </c>
      <c r="N22" t="s">
        <v>16</v>
      </c>
      <c r="O22" s="7">
        <v>1.9852000000000002E-2</v>
      </c>
      <c r="P22" s="7">
        <v>3.2099999999999997E-2</v>
      </c>
    </row>
  </sheetData>
  <sortState xmlns:xlrd2="http://schemas.microsoft.com/office/spreadsheetml/2017/richdata2" ref="N14:P22">
    <sortCondition descending="1" ref="O14:O22"/>
  </sortState>
  <mergeCells count="3">
    <mergeCell ref="J6:O6"/>
    <mergeCell ref="J7:L7"/>
    <mergeCell ref="M7:O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2683-4463-42D0-B301-F5F51C834043}">
  <dimension ref="A1:Q434"/>
  <sheetViews>
    <sheetView workbookViewId="0">
      <selection activeCell="Q12" sqref="Q12"/>
    </sheetView>
  </sheetViews>
  <sheetFormatPr defaultRowHeight="14.25" x14ac:dyDescent="0.45"/>
  <sheetData>
    <row r="1" spans="1:17" x14ac:dyDescent="0.45">
      <c r="A1" t="s">
        <v>36</v>
      </c>
      <c r="D1">
        <v>0.13143386008371707</v>
      </c>
      <c r="E1">
        <v>7.307027085806389E-2</v>
      </c>
      <c r="F1">
        <v>5.945395469478483E-2</v>
      </c>
      <c r="G1">
        <v>0.10226342761259979</v>
      </c>
      <c r="H1">
        <v>0.11770481835387485</v>
      </c>
      <c r="I1">
        <v>9.7750954074793395E-2</v>
      </c>
      <c r="J1">
        <v>9.3232717371704757E-2</v>
      </c>
      <c r="K1">
        <v>0.10265481280703614</v>
      </c>
      <c r="L1">
        <v>0.16451655188534556</v>
      </c>
      <c r="M1">
        <v>5.7918632258079708E-2</v>
      </c>
      <c r="P1" t="s">
        <v>33</v>
      </c>
      <c r="Q1">
        <f>MAX(N4:N434)</f>
        <v>84.148684913524505</v>
      </c>
    </row>
    <row r="2" spans="1:17" x14ac:dyDescent="0.45">
      <c r="P2" t="s">
        <v>18</v>
      </c>
      <c r="Q2">
        <f>MIN(N4:N434)</f>
        <v>0</v>
      </c>
    </row>
    <row r="3" spans="1:17" x14ac:dyDescent="0.45">
      <c r="A3" t="s">
        <v>21</v>
      </c>
      <c r="B3" t="s">
        <v>22</v>
      </c>
      <c r="C3" t="s">
        <v>23</v>
      </c>
      <c r="D3" t="s">
        <v>0</v>
      </c>
      <c r="E3" t="s">
        <v>7</v>
      </c>
      <c r="F3" t="s">
        <v>8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9</v>
      </c>
      <c r="N3" t="s">
        <v>37</v>
      </c>
    </row>
    <row r="4" spans="1:17" x14ac:dyDescent="0.45">
      <c r="A4">
        <v>1</v>
      </c>
      <c r="B4">
        <v>0</v>
      </c>
      <c r="C4">
        <v>0</v>
      </c>
      <c r="D4">
        <v>44.444444444444443</v>
      </c>
      <c r="E4">
        <v>80</v>
      </c>
      <c r="F4">
        <v>33.333333333333329</v>
      </c>
      <c r="G4">
        <v>66.666666666666657</v>
      </c>
      <c r="H4">
        <v>68.965517241379317</v>
      </c>
      <c r="I4">
        <v>100</v>
      </c>
      <c r="J4">
        <v>100</v>
      </c>
      <c r="K4">
        <v>33.333333333333329</v>
      </c>
      <c r="L4">
        <v>78.571428571428569</v>
      </c>
      <c r="M4">
        <v>53.571428571428569</v>
      </c>
      <c r="N4">
        <f>D4*D$1+E4*E$1+F4*F$1+G4*G$1+H4*H$1+I4*I$1+J4*J$1+K4*K$1+L4*L$1+M4*M$1</f>
        <v>67.153339185961869</v>
      </c>
    </row>
    <row r="5" spans="1:17" x14ac:dyDescent="0.4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1.8867924528301887</v>
      </c>
      <c r="J5">
        <v>0</v>
      </c>
      <c r="K5">
        <v>5.5555555555555554</v>
      </c>
      <c r="L5">
        <v>0</v>
      </c>
      <c r="M5">
        <v>3.5714285714285712</v>
      </c>
      <c r="N5">
        <f t="shared" ref="N5:N68" si="0">D5*D$1+E5*E$1+F5*F$1+G5*G$1+H5*H$1+I5*I$1+J5*J$1+K5*K$1+L5*L$1+M5*M$1</f>
        <v>0.96159253606448614</v>
      </c>
    </row>
    <row r="6" spans="1:17" x14ac:dyDescent="0.45">
      <c r="A6">
        <v>3</v>
      </c>
      <c r="B6">
        <v>0</v>
      </c>
      <c r="C6">
        <v>0</v>
      </c>
      <c r="D6">
        <v>44.444444444444443</v>
      </c>
      <c r="E6">
        <v>40</v>
      </c>
      <c r="F6">
        <v>0</v>
      </c>
      <c r="G6">
        <v>37.5</v>
      </c>
      <c r="H6">
        <v>31.03448275862069</v>
      </c>
      <c r="I6">
        <v>100</v>
      </c>
      <c r="J6">
        <v>80</v>
      </c>
      <c r="K6">
        <v>27.777777777777779</v>
      </c>
      <c r="L6">
        <v>14.285714285714285</v>
      </c>
      <c r="M6">
        <v>42.857142857142854</v>
      </c>
      <c r="N6">
        <f t="shared" si="0"/>
        <v>41.169801345683332</v>
      </c>
    </row>
    <row r="7" spans="1:17" x14ac:dyDescent="0.45">
      <c r="A7">
        <v>5</v>
      </c>
      <c r="B7">
        <v>0</v>
      </c>
      <c r="C7">
        <v>0</v>
      </c>
      <c r="D7">
        <v>22.222222222222221</v>
      </c>
      <c r="E7">
        <v>70</v>
      </c>
      <c r="F7">
        <v>0</v>
      </c>
      <c r="G7">
        <v>25</v>
      </c>
      <c r="H7">
        <v>17.241379310344829</v>
      </c>
      <c r="I7">
        <v>100</v>
      </c>
      <c r="J7">
        <v>46.666666666666664</v>
      </c>
      <c r="K7">
        <v>5.5555555555555554</v>
      </c>
      <c r="L7">
        <v>21.428571428571427</v>
      </c>
      <c r="M7">
        <v>32.142857142857146</v>
      </c>
      <c r="N7">
        <f t="shared" si="0"/>
        <v>32.704935589504096</v>
      </c>
    </row>
    <row r="8" spans="1:17" x14ac:dyDescent="0.45">
      <c r="A8">
        <v>6</v>
      </c>
      <c r="B8">
        <v>0</v>
      </c>
      <c r="C8">
        <v>0</v>
      </c>
      <c r="D8">
        <v>44.444444444444443</v>
      </c>
      <c r="E8">
        <v>60</v>
      </c>
      <c r="F8">
        <v>0</v>
      </c>
      <c r="G8">
        <v>20.833333333333336</v>
      </c>
      <c r="H8">
        <v>17.241379310344829</v>
      </c>
      <c r="I8">
        <v>100</v>
      </c>
      <c r="J8">
        <v>60</v>
      </c>
      <c r="K8">
        <v>5.5555555555555554</v>
      </c>
      <c r="L8">
        <v>21.428571428571427</v>
      </c>
      <c r="M8">
        <v>32.142857142857146</v>
      </c>
      <c r="N8">
        <f t="shared" si="0"/>
        <v>35.711990610465179</v>
      </c>
    </row>
    <row r="9" spans="1:17" x14ac:dyDescent="0.45">
      <c r="A9">
        <v>7</v>
      </c>
      <c r="B9">
        <v>0</v>
      </c>
      <c r="C9">
        <v>0</v>
      </c>
      <c r="D9">
        <v>44.444444444444443</v>
      </c>
      <c r="E9">
        <v>60</v>
      </c>
      <c r="F9">
        <v>0</v>
      </c>
      <c r="G9">
        <v>29.166666666666668</v>
      </c>
      <c r="H9">
        <v>31.03448275862069</v>
      </c>
      <c r="I9">
        <v>100</v>
      </c>
      <c r="J9">
        <v>86.666666666666671</v>
      </c>
      <c r="K9">
        <v>22.222222222222221</v>
      </c>
      <c r="L9">
        <v>21.428571428571427</v>
      </c>
      <c r="M9">
        <v>28.571428571428569</v>
      </c>
      <c r="N9">
        <f t="shared" si="0"/>
        <v>42.177967661783846</v>
      </c>
    </row>
    <row r="10" spans="1:17" x14ac:dyDescent="0.45">
      <c r="A10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12.5</v>
      </c>
      <c r="H10">
        <v>6.8965517241379306</v>
      </c>
      <c r="I10">
        <v>67.924528301886795</v>
      </c>
      <c r="J10">
        <v>6.666666666666667</v>
      </c>
      <c r="K10">
        <v>0</v>
      </c>
      <c r="L10">
        <v>0</v>
      </c>
      <c r="M10">
        <v>25</v>
      </c>
      <c r="N10">
        <f t="shared" si="0"/>
        <v>10.799254915301686</v>
      </c>
    </row>
    <row r="11" spans="1:17" x14ac:dyDescent="0.45">
      <c r="A11">
        <v>20</v>
      </c>
      <c r="B11">
        <v>0</v>
      </c>
      <c r="C11">
        <v>0</v>
      </c>
      <c r="D11">
        <v>11.111111111111111</v>
      </c>
      <c r="E11">
        <v>10</v>
      </c>
      <c r="F11">
        <v>33.333333333333329</v>
      </c>
      <c r="G11">
        <v>37.5</v>
      </c>
      <c r="H11">
        <v>27.586206896551722</v>
      </c>
      <c r="I11">
        <v>35.849056603773583</v>
      </c>
      <c r="J11">
        <v>60</v>
      </c>
      <c r="K11">
        <v>72.222222222222214</v>
      </c>
      <c r="L11">
        <v>21.428571428571427</v>
      </c>
      <c r="M11">
        <v>57.142857142857139</v>
      </c>
      <c r="N11">
        <f t="shared" si="0"/>
        <v>34.601977471886073</v>
      </c>
    </row>
    <row r="12" spans="1:17" x14ac:dyDescent="0.45">
      <c r="A12">
        <v>21</v>
      </c>
      <c r="B12">
        <v>0</v>
      </c>
      <c r="C12">
        <v>1</v>
      </c>
      <c r="D12">
        <v>11.111111111111111</v>
      </c>
      <c r="E12">
        <v>30</v>
      </c>
      <c r="F12">
        <v>0</v>
      </c>
      <c r="G12">
        <v>37.5</v>
      </c>
      <c r="H12">
        <v>37.931034482758619</v>
      </c>
      <c r="I12">
        <v>60.377358490566039</v>
      </c>
      <c r="J12">
        <v>46.666666666666664</v>
      </c>
      <c r="K12">
        <v>0</v>
      </c>
      <c r="L12">
        <v>0</v>
      </c>
      <c r="M12">
        <v>35.714285714285715</v>
      </c>
      <c r="N12">
        <f t="shared" si="0"/>
        <v>24.273355529761737</v>
      </c>
    </row>
    <row r="13" spans="1:17" x14ac:dyDescent="0.45">
      <c r="A13">
        <v>22</v>
      </c>
      <c r="B13">
        <v>0</v>
      </c>
      <c r="C13">
        <v>0</v>
      </c>
      <c r="D13">
        <v>44.444444444444443</v>
      </c>
      <c r="E13">
        <v>60</v>
      </c>
      <c r="F13">
        <v>0</v>
      </c>
      <c r="G13">
        <v>20.833333333333336</v>
      </c>
      <c r="H13">
        <v>17.241379310344829</v>
      </c>
      <c r="I13">
        <v>30.188679245283019</v>
      </c>
      <c r="J13">
        <v>20</v>
      </c>
      <c r="K13">
        <v>44.444444444444443</v>
      </c>
      <c r="L13">
        <v>0</v>
      </c>
      <c r="M13">
        <v>60.714285714285708</v>
      </c>
      <c r="N13">
        <f t="shared" si="0"/>
        <v>27.28015369702365</v>
      </c>
    </row>
    <row r="14" spans="1:17" x14ac:dyDescent="0.45">
      <c r="A14">
        <v>27</v>
      </c>
      <c r="B14">
        <v>1</v>
      </c>
      <c r="C14">
        <v>0</v>
      </c>
      <c r="D14">
        <v>44.444444444444443</v>
      </c>
      <c r="E14">
        <v>60</v>
      </c>
      <c r="F14">
        <v>33.333333333333329</v>
      </c>
      <c r="G14">
        <v>83.333333333333343</v>
      </c>
      <c r="H14">
        <v>68.965517241379317</v>
      </c>
      <c r="I14">
        <v>84.905660377358487</v>
      </c>
      <c r="J14">
        <v>86.666666666666671</v>
      </c>
      <c r="K14">
        <v>27.777777777777779</v>
      </c>
      <c r="L14">
        <v>71.428571428571431</v>
      </c>
      <c r="M14">
        <v>60.714285714285708</v>
      </c>
      <c r="N14">
        <f t="shared" si="0"/>
        <v>63.346017004261057</v>
      </c>
    </row>
    <row r="15" spans="1:17" x14ac:dyDescent="0.45">
      <c r="A15">
        <v>29</v>
      </c>
      <c r="B15">
        <v>0</v>
      </c>
      <c r="C15">
        <v>0</v>
      </c>
      <c r="D15">
        <v>77.777777777777786</v>
      </c>
      <c r="E15">
        <v>50</v>
      </c>
      <c r="F15">
        <v>66.666666666666657</v>
      </c>
      <c r="G15">
        <v>58.333333333333336</v>
      </c>
      <c r="H15">
        <v>55.172413793103445</v>
      </c>
      <c r="I15">
        <v>94.339622641509436</v>
      </c>
      <c r="J15">
        <v>100</v>
      </c>
      <c r="K15">
        <v>72.222222222222214</v>
      </c>
      <c r="L15">
        <v>50</v>
      </c>
      <c r="M15">
        <v>71.428571428571431</v>
      </c>
      <c r="N15">
        <f t="shared" si="0"/>
        <v>68.621060954742532</v>
      </c>
    </row>
    <row r="16" spans="1:17" x14ac:dyDescent="0.45">
      <c r="A16">
        <v>30</v>
      </c>
      <c r="B16">
        <v>1</v>
      </c>
      <c r="C16">
        <v>0</v>
      </c>
      <c r="D16">
        <v>77.777777777777786</v>
      </c>
      <c r="E16">
        <v>50</v>
      </c>
      <c r="F16">
        <v>66.666666666666657</v>
      </c>
      <c r="G16">
        <v>58.333333333333336</v>
      </c>
      <c r="H16">
        <v>55.172413793103445</v>
      </c>
      <c r="I16">
        <v>94.339622641509436</v>
      </c>
      <c r="J16">
        <v>100</v>
      </c>
      <c r="K16">
        <v>72.222222222222214</v>
      </c>
      <c r="L16">
        <v>50</v>
      </c>
      <c r="M16">
        <v>71.428571428571431</v>
      </c>
      <c r="N16">
        <f t="shared" si="0"/>
        <v>68.621060954742532</v>
      </c>
    </row>
    <row r="17" spans="1:14" x14ac:dyDescent="0.45">
      <c r="A17">
        <v>31</v>
      </c>
      <c r="B17">
        <v>0</v>
      </c>
      <c r="C17">
        <v>0</v>
      </c>
      <c r="D17">
        <v>77.777777777777786</v>
      </c>
      <c r="E17">
        <v>50</v>
      </c>
      <c r="F17">
        <v>66.666666666666657</v>
      </c>
      <c r="G17">
        <v>91.666666666666657</v>
      </c>
      <c r="H17">
        <v>86.206896551724128</v>
      </c>
      <c r="I17">
        <v>100</v>
      </c>
      <c r="J17">
        <v>100</v>
      </c>
      <c r="K17">
        <v>61.111111111111114</v>
      </c>
      <c r="L17">
        <v>100</v>
      </c>
      <c r="M17">
        <v>85.714285714285708</v>
      </c>
      <c r="N17">
        <f t="shared" si="0"/>
        <v>84.148684913524505</v>
      </c>
    </row>
    <row r="18" spans="1:14" x14ac:dyDescent="0.45">
      <c r="A18">
        <v>32</v>
      </c>
      <c r="B18">
        <v>0</v>
      </c>
      <c r="C18">
        <v>0</v>
      </c>
      <c r="D18">
        <v>77.777777777777786</v>
      </c>
      <c r="E18">
        <v>30</v>
      </c>
      <c r="F18">
        <v>66.666666666666657</v>
      </c>
      <c r="G18">
        <v>75</v>
      </c>
      <c r="H18">
        <v>62.068965517241381</v>
      </c>
      <c r="I18">
        <v>100</v>
      </c>
      <c r="J18">
        <v>100</v>
      </c>
      <c r="K18">
        <v>33.333333333333329</v>
      </c>
      <c r="L18">
        <v>50</v>
      </c>
      <c r="M18">
        <v>67.857142857142861</v>
      </c>
      <c r="N18">
        <f t="shared" si="0"/>
        <v>66.030126785737721</v>
      </c>
    </row>
    <row r="19" spans="1:14" x14ac:dyDescent="0.45">
      <c r="A19">
        <v>33</v>
      </c>
      <c r="B19">
        <v>0</v>
      </c>
      <c r="C19">
        <v>0</v>
      </c>
      <c r="D19">
        <v>55.555555555555557</v>
      </c>
      <c r="E19">
        <v>30</v>
      </c>
      <c r="F19">
        <v>33.333333333333329</v>
      </c>
      <c r="G19">
        <v>50</v>
      </c>
      <c r="H19">
        <v>51.724137931034484</v>
      </c>
      <c r="I19">
        <v>96.226415094339629</v>
      </c>
      <c r="J19">
        <v>100</v>
      </c>
      <c r="K19">
        <v>33.333333333333329</v>
      </c>
      <c r="L19">
        <v>28.571428571428569</v>
      </c>
      <c r="M19">
        <v>60.714285714285708</v>
      </c>
      <c r="N19">
        <f t="shared" si="0"/>
        <v>53.045423383158031</v>
      </c>
    </row>
    <row r="20" spans="1:14" x14ac:dyDescent="0.45">
      <c r="A20">
        <v>34</v>
      </c>
      <c r="B20">
        <v>1</v>
      </c>
      <c r="C20">
        <v>0</v>
      </c>
      <c r="D20">
        <v>0</v>
      </c>
      <c r="E20">
        <v>50</v>
      </c>
      <c r="F20">
        <v>33.333333333333329</v>
      </c>
      <c r="G20">
        <v>41.666666666666671</v>
      </c>
      <c r="H20">
        <v>37.931034482758619</v>
      </c>
      <c r="I20">
        <v>49.056603773584904</v>
      </c>
      <c r="J20">
        <v>26.666666666666668</v>
      </c>
      <c r="K20">
        <v>100</v>
      </c>
      <c r="L20">
        <v>28.571428571428569</v>
      </c>
      <c r="M20">
        <v>25</v>
      </c>
      <c r="N20">
        <f t="shared" si="0"/>
        <v>38.056409324303317</v>
      </c>
    </row>
    <row r="21" spans="1:14" x14ac:dyDescent="0.45">
      <c r="A21">
        <v>35</v>
      </c>
      <c r="B21">
        <v>0</v>
      </c>
      <c r="C21">
        <v>0</v>
      </c>
      <c r="D21">
        <v>0</v>
      </c>
      <c r="E21">
        <v>50</v>
      </c>
      <c r="F21">
        <v>33.333333333333329</v>
      </c>
      <c r="G21">
        <v>41.666666666666671</v>
      </c>
      <c r="H21">
        <v>37.931034482758619</v>
      </c>
      <c r="I21">
        <v>49.056603773584904</v>
      </c>
      <c r="J21">
        <v>26.666666666666668</v>
      </c>
      <c r="K21">
        <v>100</v>
      </c>
      <c r="L21">
        <v>28.571428571428569</v>
      </c>
      <c r="M21">
        <v>25</v>
      </c>
      <c r="N21">
        <f t="shared" si="0"/>
        <v>38.056409324303317</v>
      </c>
    </row>
    <row r="22" spans="1:14" x14ac:dyDescent="0.45">
      <c r="A22">
        <v>36</v>
      </c>
      <c r="B22">
        <v>0</v>
      </c>
      <c r="C22">
        <v>0</v>
      </c>
      <c r="D22">
        <v>0</v>
      </c>
      <c r="E22">
        <v>40</v>
      </c>
      <c r="F22">
        <v>33.333333333333329</v>
      </c>
      <c r="G22">
        <v>58.333333333333336</v>
      </c>
      <c r="H22">
        <v>48.275862068965516</v>
      </c>
      <c r="I22">
        <v>41.509433962264154</v>
      </c>
      <c r="J22">
        <v>13.333333333333334</v>
      </c>
      <c r="K22">
        <v>100</v>
      </c>
      <c r="L22">
        <v>28.571428571428569</v>
      </c>
      <c r="M22">
        <v>21.428571428571427</v>
      </c>
      <c r="N22">
        <f t="shared" si="0"/>
        <v>38.060034921894271</v>
      </c>
    </row>
    <row r="23" spans="1:14" x14ac:dyDescent="0.45">
      <c r="A23">
        <v>42</v>
      </c>
      <c r="B23">
        <v>0</v>
      </c>
      <c r="C23">
        <v>0</v>
      </c>
      <c r="D23">
        <v>22.222222222222221</v>
      </c>
      <c r="E23">
        <v>30</v>
      </c>
      <c r="F23">
        <v>33.333333333333329</v>
      </c>
      <c r="G23">
        <v>58.333333333333336</v>
      </c>
      <c r="H23">
        <v>37.931034482758619</v>
      </c>
      <c r="I23">
        <v>58.490566037735846</v>
      </c>
      <c r="J23">
        <v>66.666666666666657</v>
      </c>
      <c r="K23">
        <v>44.444444444444443</v>
      </c>
      <c r="L23">
        <v>50</v>
      </c>
      <c r="M23">
        <v>32.142857142857146</v>
      </c>
      <c r="N23">
        <f t="shared" si="0"/>
        <v>44.107648363991501</v>
      </c>
    </row>
    <row r="24" spans="1:14" x14ac:dyDescent="0.45">
      <c r="A24">
        <v>43</v>
      </c>
      <c r="B24">
        <v>1</v>
      </c>
      <c r="C24">
        <v>0</v>
      </c>
      <c r="D24">
        <v>0</v>
      </c>
      <c r="E24">
        <v>40</v>
      </c>
      <c r="F24">
        <v>33.333333333333329</v>
      </c>
      <c r="G24">
        <v>50</v>
      </c>
      <c r="H24">
        <v>27.586206896551722</v>
      </c>
      <c r="I24">
        <v>24.528301886792452</v>
      </c>
      <c r="J24">
        <v>20</v>
      </c>
      <c r="K24">
        <v>50</v>
      </c>
      <c r="L24">
        <v>0</v>
      </c>
      <c r="M24">
        <v>10.714285714285714</v>
      </c>
      <c r="N24">
        <f t="shared" si="0"/>
        <v>23.280426849857871</v>
      </c>
    </row>
    <row r="25" spans="1:14" x14ac:dyDescent="0.45">
      <c r="A25">
        <v>44</v>
      </c>
      <c r="B25">
        <v>0</v>
      </c>
      <c r="C25">
        <v>0</v>
      </c>
      <c r="D25">
        <v>22.222222222222221</v>
      </c>
      <c r="E25">
        <v>50</v>
      </c>
      <c r="F25">
        <v>0</v>
      </c>
      <c r="G25">
        <v>33.333333333333329</v>
      </c>
      <c r="H25">
        <v>37.931034482758619</v>
      </c>
      <c r="I25">
        <v>20.754716981132077</v>
      </c>
      <c r="J25">
        <v>6.666666666666667</v>
      </c>
      <c r="K25">
        <v>0</v>
      </c>
      <c r="L25">
        <v>7.1428571428571423</v>
      </c>
      <c r="M25">
        <v>21.428571428571427</v>
      </c>
      <c r="N25">
        <f t="shared" si="0"/>
        <v>19.514289045138241</v>
      </c>
    </row>
    <row r="26" spans="1:14" x14ac:dyDescent="0.45">
      <c r="A26">
        <v>46</v>
      </c>
      <c r="B26">
        <v>0</v>
      </c>
      <c r="C26">
        <v>0</v>
      </c>
      <c r="D26">
        <v>33.333333333333329</v>
      </c>
      <c r="E26">
        <v>70</v>
      </c>
      <c r="F26">
        <v>33.333333333333329</v>
      </c>
      <c r="G26">
        <v>37.5</v>
      </c>
      <c r="H26">
        <v>51.724137931034484</v>
      </c>
      <c r="I26">
        <v>18.867924528301888</v>
      </c>
      <c r="J26">
        <v>6.666666666666667</v>
      </c>
      <c r="K26">
        <v>0</v>
      </c>
      <c r="L26">
        <v>14.285714285714285</v>
      </c>
      <c r="M26">
        <v>35.714285714285715</v>
      </c>
      <c r="N26">
        <f t="shared" si="0"/>
        <v>28.28557302385159</v>
      </c>
    </row>
    <row r="27" spans="1:14" x14ac:dyDescent="0.45">
      <c r="A27">
        <v>48</v>
      </c>
      <c r="B27">
        <v>0</v>
      </c>
      <c r="C27">
        <v>0</v>
      </c>
      <c r="D27">
        <v>0</v>
      </c>
      <c r="E27">
        <v>30</v>
      </c>
      <c r="F27">
        <v>33.333333333333329</v>
      </c>
      <c r="G27">
        <v>20.833333333333336</v>
      </c>
      <c r="H27">
        <v>31.03448275862069</v>
      </c>
      <c r="I27">
        <v>24.528301886792452</v>
      </c>
      <c r="J27">
        <v>6.666666666666667</v>
      </c>
      <c r="K27">
        <v>33.333333333333329</v>
      </c>
      <c r="L27">
        <v>0</v>
      </c>
      <c r="M27">
        <v>25</v>
      </c>
      <c r="N27">
        <f t="shared" si="0"/>
        <v>17.846312107073562</v>
      </c>
    </row>
    <row r="28" spans="1:14" x14ac:dyDescent="0.45">
      <c r="A28">
        <v>49</v>
      </c>
      <c r="B28">
        <v>0</v>
      </c>
      <c r="C28">
        <v>0</v>
      </c>
      <c r="D28">
        <v>0</v>
      </c>
      <c r="E28">
        <v>30</v>
      </c>
      <c r="F28">
        <v>0</v>
      </c>
      <c r="G28">
        <v>33.333333333333329</v>
      </c>
      <c r="H28">
        <v>31.03448275862069</v>
      </c>
      <c r="I28">
        <v>15.09433962264151</v>
      </c>
      <c r="J28">
        <v>6.666666666666667</v>
      </c>
      <c r="K28">
        <v>38.888888888888893</v>
      </c>
      <c r="L28">
        <v>0</v>
      </c>
      <c r="M28">
        <v>28.571428571428569</v>
      </c>
      <c r="N28">
        <f t="shared" si="0"/>
        <v>16.997784424037761</v>
      </c>
    </row>
    <row r="29" spans="1:14" x14ac:dyDescent="0.45">
      <c r="A29">
        <v>50</v>
      </c>
      <c r="B29">
        <v>0</v>
      </c>
      <c r="C29">
        <v>0</v>
      </c>
      <c r="D29">
        <v>0</v>
      </c>
      <c r="E29">
        <v>10</v>
      </c>
      <c r="F29">
        <v>0</v>
      </c>
      <c r="G29">
        <v>4.1666666666666661</v>
      </c>
      <c r="H29">
        <v>6.8965517241379306</v>
      </c>
      <c r="I29">
        <v>5.6603773584905666</v>
      </c>
      <c r="J29">
        <v>0</v>
      </c>
      <c r="K29">
        <v>5.5555555555555554</v>
      </c>
      <c r="L29">
        <v>0</v>
      </c>
      <c r="M29">
        <v>7.1428571428571423</v>
      </c>
      <c r="N29">
        <f t="shared" si="0"/>
        <v>3.5058740105304937</v>
      </c>
    </row>
    <row r="30" spans="1:14" x14ac:dyDescent="0.45">
      <c r="A30">
        <v>53</v>
      </c>
      <c r="B30">
        <v>0</v>
      </c>
      <c r="C30">
        <v>0</v>
      </c>
      <c r="D30">
        <v>22.222222222222221</v>
      </c>
      <c r="E30">
        <v>20</v>
      </c>
      <c r="F30">
        <v>0</v>
      </c>
      <c r="G30">
        <v>12.5</v>
      </c>
      <c r="H30">
        <v>10.344827586206897</v>
      </c>
      <c r="I30">
        <v>15.09433962264151</v>
      </c>
      <c r="J30">
        <v>0</v>
      </c>
      <c r="K30">
        <v>0</v>
      </c>
      <c r="L30">
        <v>0</v>
      </c>
      <c r="M30">
        <v>10.714285714285714</v>
      </c>
      <c r="N30">
        <f t="shared" si="0"/>
        <v>8.9741296339961103</v>
      </c>
    </row>
    <row r="31" spans="1:14" x14ac:dyDescent="0.45">
      <c r="A31">
        <v>54</v>
      </c>
      <c r="B31">
        <v>0</v>
      </c>
      <c r="C31">
        <v>0</v>
      </c>
      <c r="D31">
        <v>22.222222222222221</v>
      </c>
      <c r="E31">
        <v>20</v>
      </c>
      <c r="F31">
        <v>0</v>
      </c>
      <c r="G31">
        <v>8.3333333333333321</v>
      </c>
      <c r="H31">
        <v>10.344827586206897</v>
      </c>
      <c r="I31">
        <v>11.320754716981133</v>
      </c>
      <c r="J31">
        <v>0</v>
      </c>
      <c r="K31">
        <v>0</v>
      </c>
      <c r="L31">
        <v>0</v>
      </c>
      <c r="M31">
        <v>17.857142857142858</v>
      </c>
      <c r="N31">
        <f t="shared" si="0"/>
        <v>8.5928650102622122</v>
      </c>
    </row>
    <row r="32" spans="1:14" x14ac:dyDescent="0.45">
      <c r="A32">
        <v>55</v>
      </c>
      <c r="B32">
        <v>0</v>
      </c>
      <c r="C32">
        <v>1</v>
      </c>
      <c r="D32">
        <v>22.222222222222221</v>
      </c>
      <c r="E32">
        <v>60</v>
      </c>
      <c r="F32">
        <v>0</v>
      </c>
      <c r="G32">
        <v>16.666666666666664</v>
      </c>
      <c r="H32">
        <v>13.793103448275861</v>
      </c>
      <c r="I32">
        <v>7.5471698113207548</v>
      </c>
      <c r="J32">
        <v>0</v>
      </c>
      <c r="K32">
        <v>0</v>
      </c>
      <c r="L32">
        <v>0</v>
      </c>
      <c r="M32">
        <v>25</v>
      </c>
      <c r="N32">
        <f t="shared" si="0"/>
        <v>12.818582749987243</v>
      </c>
    </row>
    <row r="33" spans="1:14" x14ac:dyDescent="0.45">
      <c r="A33">
        <v>56</v>
      </c>
      <c r="B33">
        <v>0</v>
      </c>
      <c r="C33">
        <v>1</v>
      </c>
      <c r="D33">
        <v>11.111111111111111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f t="shared" si="0"/>
        <v>2.1910789317330508</v>
      </c>
    </row>
    <row r="34" spans="1:14" x14ac:dyDescent="0.45">
      <c r="A34">
        <v>57</v>
      </c>
      <c r="B34">
        <v>0</v>
      </c>
      <c r="C34">
        <v>0</v>
      </c>
      <c r="D34">
        <v>22.222222222222221</v>
      </c>
      <c r="E34">
        <v>20</v>
      </c>
      <c r="F34">
        <v>0</v>
      </c>
      <c r="G34">
        <v>25</v>
      </c>
      <c r="H34">
        <v>10.344827586206897</v>
      </c>
      <c r="I34">
        <v>13.20754716981132</v>
      </c>
      <c r="J34">
        <v>0</v>
      </c>
      <c r="K34">
        <v>5.5555555555555554</v>
      </c>
      <c r="L34">
        <v>7.1428571428571423</v>
      </c>
      <c r="M34">
        <v>14.285714285714285</v>
      </c>
      <c r="N34">
        <f t="shared" si="0"/>
        <v>12.020261718160022</v>
      </c>
    </row>
    <row r="35" spans="1:14" x14ac:dyDescent="0.45">
      <c r="A35">
        <v>58</v>
      </c>
      <c r="B35">
        <v>0</v>
      </c>
      <c r="C35">
        <v>0</v>
      </c>
      <c r="D35">
        <v>22.222222222222221</v>
      </c>
      <c r="E35">
        <v>90</v>
      </c>
      <c r="F35">
        <v>33.333333333333329</v>
      </c>
      <c r="G35">
        <v>33.333333333333329</v>
      </c>
      <c r="H35">
        <v>17.241379310344829</v>
      </c>
      <c r="I35">
        <v>28.30188679245283</v>
      </c>
      <c r="J35">
        <v>6.666666666666667</v>
      </c>
      <c r="K35">
        <v>50</v>
      </c>
      <c r="L35">
        <v>7.1428571428571423</v>
      </c>
      <c r="M35">
        <v>32.142857142857146</v>
      </c>
      <c r="N35">
        <f t="shared" si="0"/>
        <v>28.474666729580282</v>
      </c>
    </row>
    <row r="36" spans="1:14" x14ac:dyDescent="0.45">
      <c r="A36">
        <v>59</v>
      </c>
      <c r="B36">
        <v>0</v>
      </c>
      <c r="C36">
        <v>0</v>
      </c>
      <c r="D36">
        <v>11.111111111111111</v>
      </c>
      <c r="E36">
        <v>60</v>
      </c>
      <c r="F36">
        <v>33.333333333333329</v>
      </c>
      <c r="G36">
        <v>25</v>
      </c>
      <c r="H36">
        <v>17.241379310344829</v>
      </c>
      <c r="I36">
        <v>37.735849056603776</v>
      </c>
      <c r="J36">
        <v>13.333333333333334</v>
      </c>
      <c r="K36">
        <v>61.111111111111114</v>
      </c>
      <c r="L36">
        <v>0</v>
      </c>
      <c r="M36">
        <v>32.142857142857146</v>
      </c>
      <c r="N36">
        <f t="shared" si="0"/>
        <v>25.479208215188834</v>
      </c>
    </row>
    <row r="37" spans="1:14" x14ac:dyDescent="0.45">
      <c r="A37">
        <v>61</v>
      </c>
      <c r="B37">
        <v>0</v>
      </c>
      <c r="C37">
        <v>0</v>
      </c>
      <c r="D37">
        <v>11.111111111111111</v>
      </c>
      <c r="E37">
        <v>90</v>
      </c>
      <c r="F37">
        <v>33.333333333333329</v>
      </c>
      <c r="G37">
        <v>16.666666666666664</v>
      </c>
      <c r="H37">
        <v>13.793103448275861</v>
      </c>
      <c r="I37">
        <v>18.867924528301888</v>
      </c>
      <c r="J37">
        <v>6.666666666666667</v>
      </c>
      <c r="K37">
        <v>44.444444444444443</v>
      </c>
      <c r="L37">
        <v>0</v>
      </c>
      <c r="M37">
        <v>39.285714285714285</v>
      </c>
      <c r="N37">
        <f t="shared" si="0"/>
        <v>22.650124322994674</v>
      </c>
    </row>
    <row r="38" spans="1:14" x14ac:dyDescent="0.45">
      <c r="A38">
        <v>65</v>
      </c>
      <c r="B38">
        <v>0</v>
      </c>
      <c r="C38">
        <v>0</v>
      </c>
      <c r="D38">
        <v>11.111111111111111</v>
      </c>
      <c r="E38">
        <v>0</v>
      </c>
      <c r="F38">
        <v>0</v>
      </c>
      <c r="G38">
        <v>12.5</v>
      </c>
      <c r="H38">
        <v>3.4482758620689653</v>
      </c>
      <c r="I38">
        <v>28.30188679245283</v>
      </c>
      <c r="J38">
        <v>13.333333333333334</v>
      </c>
      <c r="K38">
        <v>11.111111111111111</v>
      </c>
      <c r="L38">
        <v>21.428571428571427</v>
      </c>
      <c r="M38">
        <v>32.142857142857146</v>
      </c>
      <c r="N38">
        <f t="shared" si="0"/>
        <v>13.681821123685072</v>
      </c>
    </row>
    <row r="39" spans="1:14" x14ac:dyDescent="0.45">
      <c r="A39">
        <v>69</v>
      </c>
      <c r="B39">
        <v>0</v>
      </c>
      <c r="C39">
        <v>0</v>
      </c>
      <c r="D39">
        <v>0</v>
      </c>
      <c r="E39">
        <v>10</v>
      </c>
      <c r="F39">
        <v>0</v>
      </c>
      <c r="G39">
        <v>0</v>
      </c>
      <c r="H39">
        <v>3.4482758620689653</v>
      </c>
      <c r="I39">
        <v>18.867924528301888</v>
      </c>
      <c r="J39">
        <v>13.333333333333334</v>
      </c>
      <c r="K39">
        <v>0</v>
      </c>
      <c r="L39">
        <v>0</v>
      </c>
      <c r="M39">
        <v>14.285714285714285</v>
      </c>
      <c r="N39">
        <f t="shared" si="0"/>
        <v>5.0514509471599016</v>
      </c>
    </row>
    <row r="40" spans="1:14" x14ac:dyDescent="0.45">
      <c r="A40">
        <v>72</v>
      </c>
      <c r="B40">
        <v>1</v>
      </c>
      <c r="C40">
        <v>0</v>
      </c>
      <c r="D40">
        <v>11.111111111111111</v>
      </c>
      <c r="E40">
        <v>20</v>
      </c>
      <c r="F40">
        <v>100</v>
      </c>
      <c r="G40">
        <v>33.333333333333329</v>
      </c>
      <c r="H40">
        <v>10.344827586206897</v>
      </c>
      <c r="I40">
        <v>35.849056603773583</v>
      </c>
      <c r="J40">
        <v>20</v>
      </c>
      <c r="K40">
        <v>5.5555555555555554</v>
      </c>
      <c r="L40">
        <v>7.1428571428571423</v>
      </c>
      <c r="M40">
        <v>46.428571428571431</v>
      </c>
      <c r="N40">
        <f t="shared" si="0"/>
        <v>23.297030013469566</v>
      </c>
    </row>
    <row r="41" spans="1:14" x14ac:dyDescent="0.45">
      <c r="A41">
        <v>73</v>
      </c>
      <c r="B41">
        <v>1</v>
      </c>
      <c r="C41">
        <v>0</v>
      </c>
      <c r="D41">
        <v>0</v>
      </c>
      <c r="E41">
        <v>0</v>
      </c>
      <c r="F41">
        <v>100</v>
      </c>
      <c r="G41">
        <v>29.166666666666668</v>
      </c>
      <c r="H41">
        <v>17.241379310344829</v>
      </c>
      <c r="I41">
        <v>49.056603773584904</v>
      </c>
      <c r="J41">
        <v>20</v>
      </c>
      <c r="K41">
        <v>44.444444444444443</v>
      </c>
      <c r="L41">
        <v>21.428571428571427</v>
      </c>
      <c r="M41">
        <v>42.857142857142854</v>
      </c>
      <c r="N41">
        <f t="shared" si="0"/>
        <v>28.187474269500914</v>
      </c>
    </row>
    <row r="42" spans="1:14" x14ac:dyDescent="0.45">
      <c r="A42">
        <v>74</v>
      </c>
      <c r="B42">
        <v>1</v>
      </c>
      <c r="C42">
        <v>0</v>
      </c>
      <c r="D42">
        <v>0</v>
      </c>
      <c r="E42">
        <v>0</v>
      </c>
      <c r="F42">
        <v>100</v>
      </c>
      <c r="G42">
        <v>29.166666666666668</v>
      </c>
      <c r="H42">
        <v>17.241379310344829</v>
      </c>
      <c r="I42">
        <v>49.056603773584904</v>
      </c>
      <c r="J42">
        <v>20</v>
      </c>
      <c r="K42">
        <v>44.444444444444443</v>
      </c>
      <c r="L42">
        <v>21.428571428571427</v>
      </c>
      <c r="M42">
        <v>42.857142857142854</v>
      </c>
      <c r="N42">
        <f t="shared" si="0"/>
        <v>28.187474269500914</v>
      </c>
    </row>
    <row r="43" spans="1:14" x14ac:dyDescent="0.45">
      <c r="A43">
        <v>75</v>
      </c>
      <c r="B43">
        <v>0</v>
      </c>
      <c r="C43">
        <v>0</v>
      </c>
      <c r="D43">
        <v>55.555555555555557</v>
      </c>
      <c r="E43">
        <v>90</v>
      </c>
      <c r="F43">
        <v>100</v>
      </c>
      <c r="G43">
        <v>79.166666666666657</v>
      </c>
      <c r="H43">
        <v>48.275862068965516</v>
      </c>
      <c r="I43">
        <v>81.132075471698116</v>
      </c>
      <c r="J43">
        <v>100</v>
      </c>
      <c r="K43">
        <v>38.888888888888893</v>
      </c>
      <c r="L43">
        <v>42.857142857142854</v>
      </c>
      <c r="M43">
        <v>42.857142857142854</v>
      </c>
      <c r="N43">
        <f t="shared" si="0"/>
        <v>64.380834817217362</v>
      </c>
    </row>
    <row r="44" spans="1:14" x14ac:dyDescent="0.45">
      <c r="A44">
        <v>76</v>
      </c>
      <c r="B44">
        <v>1</v>
      </c>
      <c r="C44">
        <v>0</v>
      </c>
      <c r="D44">
        <v>44.444444444444443</v>
      </c>
      <c r="E44">
        <v>100</v>
      </c>
      <c r="F44">
        <v>33.333333333333329</v>
      </c>
      <c r="G44">
        <v>91.666666666666657</v>
      </c>
      <c r="H44">
        <v>62.068965517241381</v>
      </c>
      <c r="I44">
        <v>100</v>
      </c>
      <c r="J44">
        <v>100</v>
      </c>
      <c r="K44">
        <v>27.777777777777779</v>
      </c>
      <c r="L44">
        <v>14.285714285714285</v>
      </c>
      <c r="M44">
        <v>42.857142857142854</v>
      </c>
      <c r="N44">
        <f t="shared" si="0"/>
        <v>58.592647585919821</v>
      </c>
    </row>
    <row r="45" spans="1:14" x14ac:dyDescent="0.45">
      <c r="A45">
        <v>77</v>
      </c>
      <c r="B45">
        <v>1</v>
      </c>
      <c r="C45">
        <v>0</v>
      </c>
      <c r="D45">
        <v>88.888888888888886</v>
      </c>
      <c r="E45">
        <v>100</v>
      </c>
      <c r="F45">
        <v>0</v>
      </c>
      <c r="G45">
        <v>50</v>
      </c>
      <c r="H45">
        <v>55.172413793103445</v>
      </c>
      <c r="I45">
        <v>100</v>
      </c>
      <c r="J45">
        <v>66.666666666666657</v>
      </c>
      <c r="K45">
        <v>100</v>
      </c>
      <c r="L45">
        <v>78.571428571428569</v>
      </c>
      <c r="M45">
        <v>71.428571428571431</v>
      </c>
      <c r="N45">
        <f t="shared" si="0"/>
        <v>73.91670404151624</v>
      </c>
    </row>
    <row r="46" spans="1:14" x14ac:dyDescent="0.45">
      <c r="A46">
        <v>79</v>
      </c>
      <c r="B46">
        <v>0</v>
      </c>
      <c r="C46">
        <v>0</v>
      </c>
      <c r="D46">
        <v>33.333333333333329</v>
      </c>
      <c r="E46">
        <v>90</v>
      </c>
      <c r="F46">
        <v>33.333333333333329</v>
      </c>
      <c r="G46">
        <v>25</v>
      </c>
      <c r="H46">
        <v>31.03448275862069</v>
      </c>
      <c r="I46">
        <v>39.622641509433961</v>
      </c>
      <c r="J46">
        <v>20</v>
      </c>
      <c r="K46">
        <v>50</v>
      </c>
      <c r="L46">
        <v>21.428571428571427</v>
      </c>
      <c r="M46">
        <v>57.142857142857139</v>
      </c>
      <c r="N46">
        <f t="shared" si="0"/>
        <v>36.85428219322116</v>
      </c>
    </row>
    <row r="47" spans="1:14" x14ac:dyDescent="0.45">
      <c r="A47">
        <v>81</v>
      </c>
      <c r="B47">
        <v>1</v>
      </c>
      <c r="C47">
        <v>0</v>
      </c>
      <c r="D47">
        <v>11.111111111111111</v>
      </c>
      <c r="E47">
        <v>20</v>
      </c>
      <c r="F47">
        <v>100</v>
      </c>
      <c r="G47">
        <v>37.5</v>
      </c>
      <c r="H47">
        <v>20.689655172413794</v>
      </c>
      <c r="I47">
        <v>64.15094339622641</v>
      </c>
      <c r="J47">
        <v>33.333333333333329</v>
      </c>
      <c r="K47">
        <v>88.888888888888886</v>
      </c>
      <c r="L47">
        <v>14.285714285714285</v>
      </c>
      <c r="M47">
        <v>60.714285714285708</v>
      </c>
      <c r="N47">
        <f t="shared" si="0"/>
        <v>39.50749800875758</v>
      </c>
    </row>
    <row r="48" spans="1:14" x14ac:dyDescent="0.45">
      <c r="A48">
        <v>85</v>
      </c>
      <c r="B48">
        <v>1</v>
      </c>
      <c r="C48">
        <v>0</v>
      </c>
      <c r="D48">
        <v>55.555555555555557</v>
      </c>
      <c r="E48">
        <v>90</v>
      </c>
      <c r="F48">
        <v>66.666666666666657</v>
      </c>
      <c r="G48">
        <v>41.666666666666671</v>
      </c>
      <c r="H48">
        <v>48.275862068965516</v>
      </c>
      <c r="I48">
        <v>66.037735849056602</v>
      </c>
      <c r="J48">
        <v>40</v>
      </c>
      <c r="K48">
        <v>50</v>
      </c>
      <c r="L48">
        <v>35.714285714285715</v>
      </c>
      <c r="M48">
        <v>89.285714285714292</v>
      </c>
      <c r="N48">
        <f t="shared" si="0"/>
        <v>54.149278808650493</v>
      </c>
    </row>
    <row r="49" spans="1:14" x14ac:dyDescent="0.45">
      <c r="A49">
        <v>87</v>
      </c>
      <c r="B49">
        <v>0</v>
      </c>
      <c r="C49">
        <v>0</v>
      </c>
      <c r="D49">
        <v>55.555555555555557</v>
      </c>
      <c r="E49">
        <v>90</v>
      </c>
      <c r="F49">
        <v>66.666666666666657</v>
      </c>
      <c r="G49">
        <v>33.333333333333329</v>
      </c>
      <c r="H49">
        <v>34.482758620689658</v>
      </c>
      <c r="I49">
        <v>50.943396226415096</v>
      </c>
      <c r="J49">
        <v>26.666666666666668</v>
      </c>
      <c r="K49">
        <v>38.888888888888893</v>
      </c>
      <c r="L49">
        <v>35.714285714285715</v>
      </c>
      <c r="M49">
        <v>67.857142857142861</v>
      </c>
      <c r="N49">
        <f t="shared" si="0"/>
        <v>46.573257265521711</v>
      </c>
    </row>
    <row r="50" spans="1:14" x14ac:dyDescent="0.45">
      <c r="A50">
        <v>90</v>
      </c>
      <c r="B50">
        <v>0</v>
      </c>
      <c r="C50">
        <v>0</v>
      </c>
      <c r="D50">
        <v>0</v>
      </c>
      <c r="E50">
        <v>70</v>
      </c>
      <c r="F50">
        <v>33.333333333333329</v>
      </c>
      <c r="G50">
        <v>29.166666666666668</v>
      </c>
      <c r="H50">
        <v>24.137931034482758</v>
      </c>
      <c r="I50">
        <v>18.867924528301888</v>
      </c>
      <c r="J50">
        <v>13.333333333333334</v>
      </c>
      <c r="K50">
        <v>38.888888888888893</v>
      </c>
      <c r="L50">
        <v>7.1428571428571423</v>
      </c>
      <c r="M50">
        <v>60.714285714285708</v>
      </c>
      <c r="N50">
        <f t="shared" si="0"/>
        <v>24.691750289465059</v>
      </c>
    </row>
    <row r="51" spans="1:14" x14ac:dyDescent="0.45">
      <c r="A51">
        <v>92</v>
      </c>
      <c r="B51">
        <v>0</v>
      </c>
      <c r="C51">
        <v>0</v>
      </c>
      <c r="D51">
        <v>11.111111111111111</v>
      </c>
      <c r="E51">
        <v>40</v>
      </c>
      <c r="F51">
        <v>33.333333333333329</v>
      </c>
      <c r="G51">
        <v>20.833333333333336</v>
      </c>
      <c r="H51">
        <v>24.137931034482758</v>
      </c>
      <c r="I51">
        <v>15.09433962264151</v>
      </c>
      <c r="J51">
        <v>13.333333333333334</v>
      </c>
      <c r="K51">
        <v>38.888888888888893</v>
      </c>
      <c r="L51">
        <v>7.1428571428571423</v>
      </c>
      <c r="M51">
        <v>60.714285714285708</v>
      </c>
      <c r="N51">
        <f t="shared" si="0"/>
        <v>22.738951631960017</v>
      </c>
    </row>
    <row r="52" spans="1:14" x14ac:dyDescent="0.45">
      <c r="A52">
        <v>96</v>
      </c>
      <c r="B52">
        <v>0</v>
      </c>
      <c r="C52">
        <v>0</v>
      </c>
      <c r="D52">
        <v>33.333333333333329</v>
      </c>
      <c r="E52">
        <v>30</v>
      </c>
      <c r="F52">
        <v>66.666666666666657</v>
      </c>
      <c r="G52">
        <v>83.333333333333343</v>
      </c>
      <c r="H52">
        <v>68.965517241379317</v>
      </c>
      <c r="I52">
        <v>100</v>
      </c>
      <c r="J52">
        <v>93.333333333333329</v>
      </c>
      <c r="K52">
        <v>44.444444444444443</v>
      </c>
      <c r="L52">
        <v>57.142857142857139</v>
      </c>
      <c r="M52">
        <v>42.857142857142854</v>
      </c>
      <c r="N52">
        <f t="shared" si="0"/>
        <v>62.098784494535899</v>
      </c>
    </row>
    <row r="53" spans="1:14" x14ac:dyDescent="0.45">
      <c r="A53">
        <v>97</v>
      </c>
      <c r="B53">
        <v>0</v>
      </c>
      <c r="C53">
        <v>0</v>
      </c>
      <c r="D53">
        <v>33.333333333333329</v>
      </c>
      <c r="E53">
        <v>30</v>
      </c>
      <c r="F53">
        <v>33.333333333333329</v>
      </c>
      <c r="G53">
        <v>91.666666666666657</v>
      </c>
      <c r="H53">
        <v>58.620689655172406</v>
      </c>
      <c r="I53">
        <v>100</v>
      </c>
      <c r="J53">
        <v>80</v>
      </c>
      <c r="K53">
        <v>50</v>
      </c>
      <c r="L53">
        <v>50</v>
      </c>
      <c r="M53">
        <v>50</v>
      </c>
      <c r="N53">
        <f t="shared" si="0"/>
        <v>58.317333088560027</v>
      </c>
    </row>
    <row r="54" spans="1:14" x14ac:dyDescent="0.45">
      <c r="A54">
        <v>98</v>
      </c>
      <c r="B54">
        <v>0</v>
      </c>
      <c r="C54">
        <v>0</v>
      </c>
      <c r="D54">
        <v>11.111111111111111</v>
      </c>
      <c r="E54">
        <v>80</v>
      </c>
      <c r="F54">
        <v>0</v>
      </c>
      <c r="G54">
        <v>100</v>
      </c>
      <c r="H54">
        <v>79.310344827586206</v>
      </c>
      <c r="I54">
        <v>100</v>
      </c>
      <c r="J54">
        <v>100</v>
      </c>
      <c r="K54">
        <v>50</v>
      </c>
      <c r="L54">
        <v>42.857142857142854</v>
      </c>
      <c r="M54">
        <v>35.714285714285715</v>
      </c>
      <c r="N54">
        <f t="shared" si="0"/>
        <v>60.217890116733848</v>
      </c>
    </row>
    <row r="55" spans="1:14" x14ac:dyDescent="0.45">
      <c r="A55">
        <v>100</v>
      </c>
      <c r="B55">
        <v>0</v>
      </c>
      <c r="C55">
        <v>0</v>
      </c>
      <c r="D55">
        <v>55.555555555555557</v>
      </c>
      <c r="E55">
        <v>40</v>
      </c>
      <c r="F55">
        <v>33.333333333333329</v>
      </c>
      <c r="G55">
        <v>75</v>
      </c>
      <c r="H55">
        <v>62.068965517241381</v>
      </c>
      <c r="I55">
        <v>100</v>
      </c>
      <c r="J55">
        <v>46.666666666666664</v>
      </c>
      <c r="K55">
        <v>38.888888888888893</v>
      </c>
      <c r="L55">
        <v>50</v>
      </c>
      <c r="M55">
        <v>42.857142857142854</v>
      </c>
      <c r="N55">
        <f t="shared" si="0"/>
        <v>56.008205674172451</v>
      </c>
    </row>
    <row r="56" spans="1:14" x14ac:dyDescent="0.45">
      <c r="A56">
        <v>103</v>
      </c>
      <c r="B56">
        <v>0</v>
      </c>
      <c r="C56">
        <v>0</v>
      </c>
      <c r="D56">
        <v>33.333333333333329</v>
      </c>
      <c r="E56">
        <v>80</v>
      </c>
      <c r="F56">
        <v>33.333333333333329</v>
      </c>
      <c r="G56">
        <v>37.5</v>
      </c>
      <c r="H56">
        <v>24.137931034482758</v>
      </c>
      <c r="I56">
        <v>54.716981132075468</v>
      </c>
      <c r="J56">
        <v>26.666666666666668</v>
      </c>
      <c r="K56">
        <v>72.222222222222214</v>
      </c>
      <c r="L56">
        <v>7.1428571428571423</v>
      </c>
      <c r="M56">
        <v>32.142857142857146</v>
      </c>
      <c r="N56">
        <f t="shared" si="0"/>
        <v>37.170168310648783</v>
      </c>
    </row>
    <row r="57" spans="1:14" x14ac:dyDescent="0.45">
      <c r="A57">
        <v>105</v>
      </c>
      <c r="B57">
        <v>0</v>
      </c>
      <c r="C57">
        <v>0</v>
      </c>
      <c r="D57">
        <v>44.444444444444443</v>
      </c>
      <c r="E57">
        <v>70</v>
      </c>
      <c r="F57">
        <v>0</v>
      </c>
      <c r="G57">
        <v>83.333333333333343</v>
      </c>
      <c r="H57">
        <v>31.03448275862069</v>
      </c>
      <c r="I57">
        <v>81.132075471698116</v>
      </c>
      <c r="J57">
        <v>100</v>
      </c>
      <c r="K57">
        <v>38.888888888888893</v>
      </c>
      <c r="L57">
        <v>21.428571428571427</v>
      </c>
      <c r="M57">
        <v>46.428571428571431</v>
      </c>
      <c r="N57">
        <f t="shared" si="0"/>
        <v>50.591859477390472</v>
      </c>
    </row>
    <row r="58" spans="1:14" x14ac:dyDescent="0.45">
      <c r="A58">
        <v>106</v>
      </c>
      <c r="B58">
        <v>0</v>
      </c>
      <c r="C58">
        <v>0</v>
      </c>
      <c r="D58">
        <v>44.444444444444443</v>
      </c>
      <c r="E58">
        <v>70</v>
      </c>
      <c r="F58">
        <v>0</v>
      </c>
      <c r="G58">
        <v>83.333333333333343</v>
      </c>
      <c r="H58">
        <v>31.03448275862069</v>
      </c>
      <c r="I58">
        <v>81.132075471698116</v>
      </c>
      <c r="J58">
        <v>100</v>
      </c>
      <c r="K58">
        <v>38.888888888888893</v>
      </c>
      <c r="L58">
        <v>21.428571428571427</v>
      </c>
      <c r="M58">
        <v>46.428571428571431</v>
      </c>
      <c r="N58">
        <f t="shared" si="0"/>
        <v>50.591859477390472</v>
      </c>
    </row>
    <row r="59" spans="1:14" x14ac:dyDescent="0.45">
      <c r="A59">
        <v>107</v>
      </c>
      <c r="B59">
        <v>0</v>
      </c>
      <c r="C59">
        <v>0</v>
      </c>
      <c r="D59">
        <v>11.111111111111111</v>
      </c>
      <c r="E59">
        <v>20</v>
      </c>
      <c r="F59">
        <v>0</v>
      </c>
      <c r="G59">
        <v>29.166666666666668</v>
      </c>
      <c r="H59">
        <v>10.344827586206897</v>
      </c>
      <c r="I59">
        <v>18.867924528301888</v>
      </c>
      <c r="J59">
        <v>26.666666666666668</v>
      </c>
      <c r="K59">
        <v>22.222222222222221</v>
      </c>
      <c r="L59">
        <v>7.1428571428571423</v>
      </c>
      <c r="M59">
        <v>14.285714285714285</v>
      </c>
      <c r="N59">
        <f t="shared" si="0"/>
        <v>15.736409740638651</v>
      </c>
    </row>
    <row r="60" spans="1:14" x14ac:dyDescent="0.45">
      <c r="A60">
        <v>108</v>
      </c>
      <c r="B60">
        <v>0</v>
      </c>
      <c r="C60">
        <v>0</v>
      </c>
      <c r="D60">
        <v>55.555555555555557</v>
      </c>
      <c r="E60">
        <v>60</v>
      </c>
      <c r="F60">
        <v>0</v>
      </c>
      <c r="G60">
        <v>58.333333333333336</v>
      </c>
      <c r="H60">
        <v>34.482758620689658</v>
      </c>
      <c r="I60">
        <v>100</v>
      </c>
      <c r="J60">
        <v>100</v>
      </c>
      <c r="K60">
        <v>27.777777777777779</v>
      </c>
      <c r="L60">
        <v>21.428571428571427</v>
      </c>
      <c r="M60">
        <v>50</v>
      </c>
      <c r="N60">
        <f t="shared" si="0"/>
        <v>50.081426836554108</v>
      </c>
    </row>
    <row r="61" spans="1:14" x14ac:dyDescent="0.45">
      <c r="A61">
        <v>109</v>
      </c>
      <c r="B61">
        <v>0</v>
      </c>
      <c r="C61">
        <v>0</v>
      </c>
      <c r="D61">
        <v>55.555555555555557</v>
      </c>
      <c r="E61">
        <v>60</v>
      </c>
      <c r="F61">
        <v>0</v>
      </c>
      <c r="G61">
        <v>58.333333333333336</v>
      </c>
      <c r="H61">
        <v>34.482758620689658</v>
      </c>
      <c r="I61">
        <v>100</v>
      </c>
      <c r="J61">
        <v>100</v>
      </c>
      <c r="K61">
        <v>27.777777777777779</v>
      </c>
      <c r="L61">
        <v>21.428571428571427</v>
      </c>
      <c r="M61">
        <v>50</v>
      </c>
      <c r="N61">
        <f t="shared" si="0"/>
        <v>50.081426836554108</v>
      </c>
    </row>
    <row r="62" spans="1:14" x14ac:dyDescent="0.45">
      <c r="A62">
        <v>110</v>
      </c>
      <c r="B62">
        <v>0</v>
      </c>
      <c r="C62">
        <v>0</v>
      </c>
      <c r="D62">
        <v>55.555555555555557</v>
      </c>
      <c r="E62">
        <v>60</v>
      </c>
      <c r="F62">
        <v>0</v>
      </c>
      <c r="G62">
        <v>58.333333333333336</v>
      </c>
      <c r="H62">
        <v>34.482758620689658</v>
      </c>
      <c r="I62">
        <v>100</v>
      </c>
      <c r="J62">
        <v>100</v>
      </c>
      <c r="K62">
        <v>27.777777777777779</v>
      </c>
      <c r="L62">
        <v>21.428571428571427</v>
      </c>
      <c r="M62">
        <v>50</v>
      </c>
      <c r="N62">
        <f t="shared" si="0"/>
        <v>50.081426836554108</v>
      </c>
    </row>
    <row r="63" spans="1:14" x14ac:dyDescent="0.45">
      <c r="A63">
        <v>111</v>
      </c>
      <c r="B63">
        <v>0</v>
      </c>
      <c r="C63">
        <v>0</v>
      </c>
      <c r="D63">
        <v>55.555555555555557</v>
      </c>
      <c r="E63">
        <v>60</v>
      </c>
      <c r="F63">
        <v>0</v>
      </c>
      <c r="G63">
        <v>58.333333333333336</v>
      </c>
      <c r="H63">
        <v>34.482758620689658</v>
      </c>
      <c r="I63">
        <v>100</v>
      </c>
      <c r="J63">
        <v>100</v>
      </c>
      <c r="K63">
        <v>27.777777777777779</v>
      </c>
      <c r="L63">
        <v>21.428571428571427</v>
      </c>
      <c r="M63">
        <v>50</v>
      </c>
      <c r="N63">
        <f t="shared" si="0"/>
        <v>50.081426836554108</v>
      </c>
    </row>
    <row r="64" spans="1:14" x14ac:dyDescent="0.45">
      <c r="A64">
        <v>112</v>
      </c>
      <c r="B64">
        <v>0</v>
      </c>
      <c r="C64">
        <v>0</v>
      </c>
      <c r="D64">
        <v>44.444444444444443</v>
      </c>
      <c r="E64">
        <v>40</v>
      </c>
      <c r="F64">
        <v>0</v>
      </c>
      <c r="G64">
        <v>66.666666666666657</v>
      </c>
      <c r="H64">
        <v>48.275862068965516</v>
      </c>
      <c r="I64">
        <v>100</v>
      </c>
      <c r="J64">
        <v>100</v>
      </c>
      <c r="K64">
        <v>100</v>
      </c>
      <c r="L64">
        <v>64.285714285714292</v>
      </c>
      <c r="M64">
        <v>50</v>
      </c>
      <c r="N64">
        <f t="shared" si="0"/>
        <v>64.100023231506114</v>
      </c>
    </row>
    <row r="65" spans="1:14" x14ac:dyDescent="0.45">
      <c r="A65">
        <v>113</v>
      </c>
      <c r="B65">
        <v>0</v>
      </c>
      <c r="C65">
        <v>0</v>
      </c>
      <c r="D65">
        <v>33.333333333333329</v>
      </c>
      <c r="E65">
        <v>20</v>
      </c>
      <c r="F65">
        <v>0</v>
      </c>
      <c r="G65">
        <v>58.333333333333336</v>
      </c>
      <c r="H65">
        <v>55.172413793103445</v>
      </c>
      <c r="I65">
        <v>100</v>
      </c>
      <c r="J65">
        <v>100</v>
      </c>
      <c r="K65">
        <v>100</v>
      </c>
      <c r="L65">
        <v>71.428571428571431</v>
      </c>
      <c r="M65">
        <v>67.857142857142861</v>
      </c>
      <c r="N65">
        <f t="shared" si="0"/>
        <v>63.347183247120505</v>
      </c>
    </row>
    <row r="66" spans="1:14" x14ac:dyDescent="0.45">
      <c r="A66">
        <v>116</v>
      </c>
      <c r="B66">
        <v>0</v>
      </c>
      <c r="C66">
        <v>0</v>
      </c>
      <c r="D66">
        <v>22.222222222222221</v>
      </c>
      <c r="E66">
        <v>20</v>
      </c>
      <c r="F66">
        <v>0</v>
      </c>
      <c r="G66">
        <v>66.666666666666657</v>
      </c>
      <c r="H66">
        <v>58.620689655172406</v>
      </c>
      <c r="I66">
        <v>100</v>
      </c>
      <c r="J66">
        <v>100</v>
      </c>
      <c r="K66">
        <v>100</v>
      </c>
      <c r="L66">
        <v>78.571428571428569</v>
      </c>
      <c r="M66">
        <v>71.428571428571431</v>
      </c>
      <c r="N66">
        <f t="shared" si="0"/>
        <v>64.526851423869019</v>
      </c>
    </row>
    <row r="67" spans="1:14" x14ac:dyDescent="0.45">
      <c r="A67">
        <v>117</v>
      </c>
      <c r="B67">
        <v>0</v>
      </c>
      <c r="C67">
        <v>0</v>
      </c>
      <c r="D67">
        <v>22.222222222222221</v>
      </c>
      <c r="E67">
        <v>20</v>
      </c>
      <c r="F67">
        <v>0</v>
      </c>
      <c r="G67">
        <v>54.166666666666664</v>
      </c>
      <c r="H67">
        <v>41.379310344827587</v>
      </c>
      <c r="I67">
        <v>100</v>
      </c>
      <c r="J67">
        <v>100</v>
      </c>
      <c r="K67">
        <v>94.444444444444443</v>
      </c>
      <c r="L67">
        <v>64.285714285714292</v>
      </c>
      <c r="M67">
        <v>75</v>
      </c>
      <c r="N67">
        <f t="shared" si="0"/>
        <v>58.505476445782108</v>
      </c>
    </row>
    <row r="68" spans="1:14" x14ac:dyDescent="0.45">
      <c r="A68">
        <v>118</v>
      </c>
      <c r="B68">
        <v>0</v>
      </c>
      <c r="C68">
        <v>0</v>
      </c>
      <c r="D68">
        <v>22.222222222222221</v>
      </c>
      <c r="E68">
        <v>20</v>
      </c>
      <c r="F68">
        <v>0</v>
      </c>
      <c r="G68">
        <v>54.166666666666664</v>
      </c>
      <c r="H68">
        <v>41.379310344827587</v>
      </c>
      <c r="I68">
        <v>100</v>
      </c>
      <c r="J68">
        <v>100</v>
      </c>
      <c r="K68">
        <v>94.444444444444443</v>
      </c>
      <c r="L68">
        <v>64.285714285714292</v>
      </c>
      <c r="M68">
        <v>75</v>
      </c>
      <c r="N68">
        <f t="shared" si="0"/>
        <v>58.505476445782108</v>
      </c>
    </row>
    <row r="69" spans="1:14" x14ac:dyDescent="0.45">
      <c r="A69">
        <v>119</v>
      </c>
      <c r="B69">
        <v>0</v>
      </c>
      <c r="C69">
        <v>0</v>
      </c>
      <c r="D69">
        <v>22.222222222222221</v>
      </c>
      <c r="E69">
        <v>20</v>
      </c>
      <c r="F69">
        <v>0</v>
      </c>
      <c r="G69">
        <v>54.166666666666664</v>
      </c>
      <c r="H69">
        <v>41.379310344827587</v>
      </c>
      <c r="I69">
        <v>100</v>
      </c>
      <c r="J69">
        <v>100</v>
      </c>
      <c r="K69">
        <v>94.444444444444443</v>
      </c>
      <c r="L69">
        <v>64.285714285714292</v>
      </c>
      <c r="M69">
        <v>75</v>
      </c>
      <c r="N69">
        <f t="shared" ref="N69:N132" si="1">D69*D$1+E69*E$1+F69*F$1+G69*G$1+H69*H$1+I69*I$1+J69*J$1+K69*K$1+L69*L$1+M69*M$1</f>
        <v>58.505476445782108</v>
      </c>
    </row>
    <row r="70" spans="1:14" x14ac:dyDescent="0.45">
      <c r="A70">
        <v>120</v>
      </c>
      <c r="B70">
        <v>0</v>
      </c>
      <c r="C70">
        <v>0</v>
      </c>
      <c r="D70">
        <v>44.444444444444443</v>
      </c>
      <c r="E70">
        <v>20</v>
      </c>
      <c r="F70">
        <v>0</v>
      </c>
      <c r="G70">
        <v>50</v>
      </c>
      <c r="H70">
        <v>20.689655172413794</v>
      </c>
      <c r="I70">
        <v>100</v>
      </c>
      <c r="J70">
        <v>100</v>
      </c>
      <c r="K70">
        <v>38.888888888888893</v>
      </c>
      <c r="L70">
        <v>50</v>
      </c>
      <c r="M70">
        <v>50</v>
      </c>
      <c r="N70">
        <f t="shared" si="1"/>
        <v>49.063611755257789</v>
      </c>
    </row>
    <row r="71" spans="1:14" x14ac:dyDescent="0.45">
      <c r="A71">
        <v>121</v>
      </c>
      <c r="B71">
        <v>0</v>
      </c>
      <c r="C71">
        <v>0</v>
      </c>
      <c r="D71">
        <v>44.444444444444443</v>
      </c>
      <c r="E71">
        <v>20</v>
      </c>
      <c r="F71">
        <v>0</v>
      </c>
      <c r="G71">
        <v>50</v>
      </c>
      <c r="H71">
        <v>20.689655172413794</v>
      </c>
      <c r="I71">
        <v>100</v>
      </c>
      <c r="J71">
        <v>100</v>
      </c>
      <c r="K71">
        <v>38.888888888888893</v>
      </c>
      <c r="L71">
        <v>50</v>
      </c>
      <c r="M71">
        <v>50</v>
      </c>
      <c r="N71">
        <f t="shared" si="1"/>
        <v>49.063611755257789</v>
      </c>
    </row>
    <row r="72" spans="1:14" x14ac:dyDescent="0.45">
      <c r="A72">
        <v>122</v>
      </c>
      <c r="B72">
        <v>0</v>
      </c>
      <c r="C72">
        <v>0</v>
      </c>
      <c r="D72">
        <v>33.333333333333329</v>
      </c>
      <c r="E72">
        <v>10</v>
      </c>
      <c r="F72">
        <v>0</v>
      </c>
      <c r="G72">
        <v>41.666666666666671</v>
      </c>
      <c r="H72">
        <v>24.137931034482758</v>
      </c>
      <c r="I72">
        <v>100</v>
      </c>
      <c r="J72">
        <v>100</v>
      </c>
      <c r="K72">
        <v>27.777777777777779</v>
      </c>
      <c r="L72">
        <v>57.142857142857139</v>
      </c>
      <c r="M72">
        <v>53.571428571428569</v>
      </c>
      <c r="N72">
        <f t="shared" si="1"/>
        <v>46.667577732026359</v>
      </c>
    </row>
    <row r="73" spans="1:14" x14ac:dyDescent="0.45">
      <c r="A73">
        <v>123</v>
      </c>
      <c r="B73">
        <v>0</v>
      </c>
      <c r="C73">
        <v>0</v>
      </c>
      <c r="D73">
        <v>22.222222222222221</v>
      </c>
      <c r="E73">
        <v>100</v>
      </c>
      <c r="F73">
        <v>0</v>
      </c>
      <c r="G73">
        <v>100</v>
      </c>
      <c r="H73">
        <v>89.65517241379311</v>
      </c>
      <c r="I73">
        <v>100</v>
      </c>
      <c r="J73">
        <v>100</v>
      </c>
      <c r="K73">
        <v>100</v>
      </c>
      <c r="L73">
        <v>78.571428571428569</v>
      </c>
      <c r="M73">
        <v>67.857142857142861</v>
      </c>
      <c r="N73">
        <f t="shared" si="1"/>
        <v>77.227309910679466</v>
      </c>
    </row>
    <row r="74" spans="1:14" x14ac:dyDescent="0.45">
      <c r="A74">
        <v>124</v>
      </c>
      <c r="B74">
        <v>0</v>
      </c>
      <c r="C74">
        <v>0</v>
      </c>
      <c r="D74">
        <v>44.444444444444443</v>
      </c>
      <c r="E74">
        <v>90</v>
      </c>
      <c r="F74">
        <v>33.333333333333329</v>
      </c>
      <c r="G74">
        <v>100</v>
      </c>
      <c r="H74">
        <v>82.758620689655174</v>
      </c>
      <c r="I74">
        <v>100</v>
      </c>
      <c r="J74">
        <v>100</v>
      </c>
      <c r="K74">
        <v>100</v>
      </c>
      <c r="L74">
        <v>57.142857142857139</v>
      </c>
      <c r="M74">
        <v>67.857142857142861</v>
      </c>
      <c r="N74">
        <f t="shared" si="1"/>
        <v>77.06204608701465</v>
      </c>
    </row>
    <row r="75" spans="1:14" x14ac:dyDescent="0.45">
      <c r="A75">
        <v>125</v>
      </c>
      <c r="B75">
        <v>1</v>
      </c>
      <c r="C75">
        <v>0</v>
      </c>
      <c r="D75">
        <v>44.444444444444443</v>
      </c>
      <c r="E75">
        <v>60</v>
      </c>
      <c r="F75">
        <v>0</v>
      </c>
      <c r="G75">
        <v>87.5</v>
      </c>
      <c r="H75">
        <v>86.206896551724128</v>
      </c>
      <c r="I75">
        <v>100</v>
      </c>
      <c r="J75">
        <v>100</v>
      </c>
      <c r="K75">
        <v>100</v>
      </c>
      <c r="L75">
        <v>78.571428571428569</v>
      </c>
      <c r="M75">
        <v>46.428571428571431</v>
      </c>
      <c r="N75">
        <f t="shared" si="1"/>
        <v>74.299966445137926</v>
      </c>
    </row>
    <row r="76" spans="1:14" x14ac:dyDescent="0.45">
      <c r="A76">
        <v>126</v>
      </c>
      <c r="B76">
        <v>1</v>
      </c>
      <c r="C76">
        <v>0</v>
      </c>
      <c r="D76">
        <v>55.555555555555557</v>
      </c>
      <c r="E76">
        <v>50</v>
      </c>
      <c r="F76">
        <v>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64.285714285714292</v>
      </c>
      <c r="M76">
        <v>53.571428571428569</v>
      </c>
      <c r="N76">
        <f t="shared" si="1"/>
        <v>75.994915601406916</v>
      </c>
    </row>
    <row r="77" spans="1:14" x14ac:dyDescent="0.45">
      <c r="A77">
        <v>127</v>
      </c>
      <c r="B77">
        <v>0</v>
      </c>
      <c r="C77">
        <v>0</v>
      </c>
      <c r="D77">
        <v>55.555555555555557</v>
      </c>
      <c r="E77">
        <v>50</v>
      </c>
      <c r="F77">
        <v>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64.285714285714292</v>
      </c>
      <c r="M77">
        <v>53.571428571428569</v>
      </c>
      <c r="N77">
        <f t="shared" si="1"/>
        <v>75.994915601406916</v>
      </c>
    </row>
    <row r="78" spans="1:14" x14ac:dyDescent="0.45">
      <c r="A78">
        <v>129</v>
      </c>
      <c r="B78">
        <v>0</v>
      </c>
      <c r="C78">
        <v>0</v>
      </c>
      <c r="D78">
        <v>44.444444444444443</v>
      </c>
      <c r="E78">
        <v>60</v>
      </c>
      <c r="F78">
        <v>0</v>
      </c>
      <c r="G78">
        <v>75</v>
      </c>
      <c r="H78">
        <v>75.862068965517238</v>
      </c>
      <c r="I78">
        <v>96.226415094339629</v>
      </c>
      <c r="J78">
        <v>93.333333333333329</v>
      </c>
      <c r="K78">
        <v>100</v>
      </c>
      <c r="L78">
        <v>50</v>
      </c>
      <c r="M78">
        <v>28.571428571428569</v>
      </c>
      <c r="N78">
        <f t="shared" si="1"/>
        <v>65.078880372755833</v>
      </c>
    </row>
    <row r="79" spans="1:14" x14ac:dyDescent="0.45">
      <c r="A79">
        <v>131</v>
      </c>
      <c r="B79">
        <v>1</v>
      </c>
      <c r="C79">
        <v>0</v>
      </c>
      <c r="D79">
        <v>44.444444444444443</v>
      </c>
      <c r="E79">
        <v>80</v>
      </c>
      <c r="F79">
        <v>0</v>
      </c>
      <c r="G79">
        <v>66.666666666666657</v>
      </c>
      <c r="H79">
        <v>72.41379310344827</v>
      </c>
      <c r="I79">
        <v>100</v>
      </c>
      <c r="J79">
        <v>86.666666666666671</v>
      </c>
      <c r="K79">
        <v>100</v>
      </c>
      <c r="L79">
        <v>57.142857142857139</v>
      </c>
      <c r="M79">
        <v>46.428571428571431</v>
      </c>
      <c r="N79">
        <f t="shared" si="1"/>
        <v>67.238911469574404</v>
      </c>
    </row>
    <row r="80" spans="1:14" x14ac:dyDescent="0.45">
      <c r="A80">
        <v>133</v>
      </c>
      <c r="B80">
        <v>1</v>
      </c>
      <c r="C80">
        <v>0</v>
      </c>
      <c r="D80">
        <v>100</v>
      </c>
      <c r="E80">
        <v>90</v>
      </c>
      <c r="F80">
        <v>66.666666666666657</v>
      </c>
      <c r="G80">
        <v>79.166666666666657</v>
      </c>
      <c r="H80">
        <v>27.586206896551722</v>
      </c>
      <c r="I80">
        <v>100</v>
      </c>
      <c r="J80">
        <v>100</v>
      </c>
      <c r="K80">
        <v>94.444444444444443</v>
      </c>
      <c r="L80">
        <v>92.857142857142861</v>
      </c>
      <c r="M80">
        <v>64.285714285714292</v>
      </c>
      <c r="N80">
        <f t="shared" si="1"/>
        <v>82.819613038781426</v>
      </c>
    </row>
    <row r="81" spans="1:14" x14ac:dyDescent="0.45">
      <c r="A81">
        <v>134</v>
      </c>
      <c r="B81">
        <v>0</v>
      </c>
      <c r="C81">
        <v>0</v>
      </c>
      <c r="D81">
        <v>66.666666666666657</v>
      </c>
      <c r="E81">
        <v>100</v>
      </c>
      <c r="F81">
        <v>33.333333333333329</v>
      </c>
      <c r="G81">
        <v>91.666666666666657</v>
      </c>
      <c r="H81">
        <v>41.379310344827587</v>
      </c>
      <c r="I81">
        <v>100</v>
      </c>
      <c r="J81">
        <v>100</v>
      </c>
      <c r="K81">
        <v>50</v>
      </c>
      <c r="L81">
        <v>35.714285714285715</v>
      </c>
      <c r="M81">
        <v>25</v>
      </c>
      <c r="N81">
        <f t="shared" si="1"/>
        <v>63.850439383664494</v>
      </c>
    </row>
    <row r="82" spans="1:14" x14ac:dyDescent="0.45">
      <c r="A82">
        <v>135</v>
      </c>
      <c r="B82">
        <v>0</v>
      </c>
      <c r="C82">
        <v>0</v>
      </c>
      <c r="D82">
        <v>77.777777777777786</v>
      </c>
      <c r="E82">
        <v>100</v>
      </c>
      <c r="F82">
        <v>0</v>
      </c>
      <c r="G82">
        <v>100</v>
      </c>
      <c r="H82">
        <v>58.620689655172406</v>
      </c>
      <c r="I82">
        <v>100</v>
      </c>
      <c r="J82">
        <v>100</v>
      </c>
      <c r="K82">
        <v>61.111111111111114</v>
      </c>
      <c r="L82">
        <v>35.714285714285715</v>
      </c>
      <c r="M82">
        <v>39.285714285714285</v>
      </c>
      <c r="N82">
        <f t="shared" si="1"/>
        <v>68.178623830437729</v>
      </c>
    </row>
    <row r="83" spans="1:14" x14ac:dyDescent="0.45">
      <c r="A83">
        <v>136</v>
      </c>
      <c r="B83">
        <v>0</v>
      </c>
      <c r="C83">
        <v>0</v>
      </c>
      <c r="D83">
        <v>33.333333333333329</v>
      </c>
      <c r="E83">
        <v>100</v>
      </c>
      <c r="F83">
        <v>0</v>
      </c>
      <c r="G83">
        <v>50</v>
      </c>
      <c r="H83">
        <v>31.03448275862069</v>
      </c>
      <c r="I83">
        <v>69.811320754716974</v>
      </c>
      <c r="J83">
        <v>100</v>
      </c>
      <c r="K83">
        <v>50</v>
      </c>
      <c r="L83">
        <v>28.571428571428569</v>
      </c>
      <c r="M83">
        <v>25</v>
      </c>
      <c r="N83">
        <f t="shared" si="1"/>
        <v>47.882809595682687</v>
      </c>
    </row>
    <row r="84" spans="1:14" x14ac:dyDescent="0.45">
      <c r="A84">
        <v>139</v>
      </c>
      <c r="B84">
        <v>0</v>
      </c>
      <c r="C84">
        <v>0</v>
      </c>
      <c r="D84">
        <v>33.333333333333329</v>
      </c>
      <c r="E84">
        <v>70</v>
      </c>
      <c r="F84">
        <v>66.666666666666657</v>
      </c>
      <c r="G84">
        <v>41.666666666666671</v>
      </c>
      <c r="H84">
        <v>20.689655172413794</v>
      </c>
      <c r="I84">
        <v>43.39622641509434</v>
      </c>
      <c r="J84">
        <v>26.666666666666668</v>
      </c>
      <c r="K84">
        <v>22.222222222222221</v>
      </c>
      <c r="L84">
        <v>28.571428571428569</v>
      </c>
      <c r="M84">
        <v>39.285714285714285</v>
      </c>
      <c r="N84">
        <f t="shared" si="1"/>
        <v>36.141187007571041</v>
      </c>
    </row>
    <row r="85" spans="1:14" x14ac:dyDescent="0.45">
      <c r="A85">
        <v>140</v>
      </c>
      <c r="B85">
        <v>0</v>
      </c>
      <c r="C85">
        <v>0</v>
      </c>
      <c r="D85">
        <v>33.333333333333329</v>
      </c>
      <c r="E85">
        <v>70</v>
      </c>
      <c r="F85">
        <v>66.666666666666657</v>
      </c>
      <c r="G85">
        <v>41.666666666666671</v>
      </c>
      <c r="H85">
        <v>20.689655172413794</v>
      </c>
      <c r="I85">
        <v>43.39622641509434</v>
      </c>
      <c r="J85">
        <v>26.666666666666668</v>
      </c>
      <c r="K85">
        <v>22.222222222222221</v>
      </c>
      <c r="L85">
        <v>28.571428571428569</v>
      </c>
      <c r="M85">
        <v>39.285714285714285</v>
      </c>
      <c r="N85">
        <f t="shared" si="1"/>
        <v>36.141187007571041</v>
      </c>
    </row>
    <row r="86" spans="1:14" x14ac:dyDescent="0.45">
      <c r="A86">
        <v>141</v>
      </c>
      <c r="B86">
        <v>0</v>
      </c>
      <c r="C86">
        <v>0</v>
      </c>
      <c r="D86">
        <v>55.555555555555557</v>
      </c>
      <c r="E86">
        <v>90</v>
      </c>
      <c r="F86">
        <v>0</v>
      </c>
      <c r="G86">
        <v>54.166666666666664</v>
      </c>
      <c r="H86">
        <v>44.827586206896555</v>
      </c>
      <c r="I86">
        <v>50.943396226415096</v>
      </c>
      <c r="J86">
        <v>53.333333333333336</v>
      </c>
      <c r="K86">
        <v>16.666666666666664</v>
      </c>
      <c r="L86">
        <v>21.428571428571427</v>
      </c>
      <c r="M86">
        <v>39.285714285714285</v>
      </c>
      <c r="N86">
        <f t="shared" si="1"/>
        <v>42.15771762724723</v>
      </c>
    </row>
    <row r="87" spans="1:14" x14ac:dyDescent="0.45">
      <c r="A87">
        <v>142</v>
      </c>
      <c r="B87">
        <v>0</v>
      </c>
      <c r="C87">
        <v>0</v>
      </c>
      <c r="D87">
        <v>33.333333333333329</v>
      </c>
      <c r="E87">
        <v>60</v>
      </c>
      <c r="F87">
        <v>33.333333333333329</v>
      </c>
      <c r="G87">
        <v>37.5</v>
      </c>
      <c r="H87">
        <v>37.931034482758619</v>
      </c>
      <c r="I87">
        <v>37.735849056603776</v>
      </c>
      <c r="J87">
        <v>33.333333333333329</v>
      </c>
      <c r="K87">
        <v>44.444444444444443</v>
      </c>
      <c r="L87">
        <v>21.428571428571427</v>
      </c>
      <c r="M87">
        <v>46.428571428571431</v>
      </c>
      <c r="N87">
        <f t="shared" si="1"/>
        <v>36.620030126690274</v>
      </c>
    </row>
    <row r="88" spans="1:14" x14ac:dyDescent="0.45">
      <c r="A88">
        <v>143</v>
      </c>
      <c r="B88">
        <v>0</v>
      </c>
      <c r="C88">
        <v>0</v>
      </c>
      <c r="D88">
        <v>55.555555555555557</v>
      </c>
      <c r="E88">
        <v>100</v>
      </c>
      <c r="F88">
        <v>0</v>
      </c>
      <c r="G88">
        <v>87.5</v>
      </c>
      <c r="H88">
        <v>48.275862068965516</v>
      </c>
      <c r="I88">
        <v>92.452830188679243</v>
      </c>
      <c r="J88">
        <v>100</v>
      </c>
      <c r="K88">
        <v>33.333333333333329</v>
      </c>
      <c r="L88">
        <v>28.571428571428569</v>
      </c>
      <c r="M88">
        <v>42.857142857142854</v>
      </c>
      <c r="N88">
        <f t="shared" si="1"/>
        <v>58.204410889756545</v>
      </c>
    </row>
    <row r="89" spans="1:14" x14ac:dyDescent="0.45">
      <c r="A89">
        <v>144</v>
      </c>
      <c r="B89">
        <v>0</v>
      </c>
      <c r="C89">
        <v>0</v>
      </c>
      <c r="D89">
        <v>44.444444444444443</v>
      </c>
      <c r="E89">
        <v>70</v>
      </c>
      <c r="F89">
        <v>33.333333333333329</v>
      </c>
      <c r="G89">
        <v>29.166666666666668</v>
      </c>
      <c r="H89">
        <v>41.379310344827587</v>
      </c>
      <c r="I89">
        <v>28.30188679245283</v>
      </c>
      <c r="J89">
        <v>20</v>
      </c>
      <c r="K89">
        <v>44.444444444444443</v>
      </c>
      <c r="L89">
        <v>14.285714285714285</v>
      </c>
      <c r="M89">
        <v>42.857142857142854</v>
      </c>
      <c r="N89">
        <f t="shared" si="1"/>
        <v>34.817540316164418</v>
      </c>
    </row>
    <row r="90" spans="1:14" x14ac:dyDescent="0.45">
      <c r="A90">
        <v>145</v>
      </c>
      <c r="B90">
        <v>0</v>
      </c>
      <c r="C90">
        <v>0</v>
      </c>
      <c r="D90">
        <v>44.444444444444443</v>
      </c>
      <c r="E90">
        <v>90</v>
      </c>
      <c r="F90">
        <v>33.333333333333329</v>
      </c>
      <c r="G90">
        <v>41.666666666666671</v>
      </c>
      <c r="H90">
        <v>44.827586206896555</v>
      </c>
      <c r="I90">
        <v>33.962264150943398</v>
      </c>
      <c r="J90">
        <v>26.666666666666668</v>
      </c>
      <c r="K90">
        <v>38.888888888888893</v>
      </c>
      <c r="L90">
        <v>7.1428571428571423</v>
      </c>
      <c r="M90">
        <v>50</v>
      </c>
      <c r="N90">
        <f t="shared" si="1"/>
        <v>37.806257771604614</v>
      </c>
    </row>
    <row r="91" spans="1:14" x14ac:dyDescent="0.45">
      <c r="A91">
        <v>146</v>
      </c>
      <c r="B91">
        <v>0</v>
      </c>
      <c r="C91">
        <v>0</v>
      </c>
      <c r="D91">
        <v>22.222222222222221</v>
      </c>
      <c r="E91">
        <v>70</v>
      </c>
      <c r="F91">
        <v>66.666666666666657</v>
      </c>
      <c r="G91">
        <v>62.5</v>
      </c>
      <c r="H91">
        <v>41.379310344827587</v>
      </c>
      <c r="I91">
        <v>77.358490566037744</v>
      </c>
      <c r="J91">
        <v>100</v>
      </c>
      <c r="K91">
        <v>66.666666666666657</v>
      </c>
      <c r="L91">
        <v>42.857142857142854</v>
      </c>
      <c r="M91">
        <v>92.857142857142861</v>
      </c>
      <c r="N91">
        <f t="shared" si="1"/>
        <v>59.418937078671604</v>
      </c>
    </row>
    <row r="92" spans="1:14" x14ac:dyDescent="0.45">
      <c r="A92">
        <v>147</v>
      </c>
      <c r="B92">
        <v>0</v>
      </c>
      <c r="C92">
        <v>0</v>
      </c>
      <c r="D92">
        <v>44.444444444444443</v>
      </c>
      <c r="E92">
        <v>20</v>
      </c>
      <c r="F92">
        <v>0</v>
      </c>
      <c r="G92">
        <v>20.833333333333336</v>
      </c>
      <c r="H92">
        <v>10.344827586206897</v>
      </c>
      <c r="I92">
        <v>20.754716981132077</v>
      </c>
      <c r="J92">
        <v>26.666666666666668</v>
      </c>
      <c r="K92">
        <v>33.333333333333329</v>
      </c>
      <c r="L92">
        <v>14.285714285714285</v>
      </c>
      <c r="M92">
        <v>46.428571428571431</v>
      </c>
      <c r="N92">
        <f t="shared" si="1"/>
        <v>23.627176523919051</v>
      </c>
    </row>
    <row r="93" spans="1:14" x14ac:dyDescent="0.45">
      <c r="A93">
        <v>148</v>
      </c>
      <c r="B93">
        <v>0</v>
      </c>
      <c r="C93">
        <v>0</v>
      </c>
      <c r="D93">
        <v>11.111111111111111</v>
      </c>
      <c r="E93">
        <v>0</v>
      </c>
      <c r="F93">
        <v>0</v>
      </c>
      <c r="G93">
        <v>25</v>
      </c>
      <c r="H93">
        <v>6.8965517241379306</v>
      </c>
      <c r="I93">
        <v>45.283018867924532</v>
      </c>
      <c r="J93">
        <v>40</v>
      </c>
      <c r="K93">
        <v>38.888888888888893</v>
      </c>
      <c r="L93">
        <v>14.285714285714285</v>
      </c>
      <c r="M93">
        <v>57.142857142857139</v>
      </c>
      <c r="N93">
        <f t="shared" si="1"/>
        <v>22.636490467720428</v>
      </c>
    </row>
    <row r="94" spans="1:14" x14ac:dyDescent="0.45">
      <c r="A94">
        <v>149</v>
      </c>
      <c r="B94">
        <v>0</v>
      </c>
      <c r="C94">
        <v>0</v>
      </c>
      <c r="D94">
        <v>11.111111111111111</v>
      </c>
      <c r="E94">
        <v>0</v>
      </c>
      <c r="F94">
        <v>0</v>
      </c>
      <c r="G94">
        <v>25</v>
      </c>
      <c r="H94">
        <v>6.8965517241379306</v>
      </c>
      <c r="I94">
        <v>45.283018867924532</v>
      </c>
      <c r="J94">
        <v>40</v>
      </c>
      <c r="K94">
        <v>38.888888888888893</v>
      </c>
      <c r="L94">
        <v>14.285714285714285</v>
      </c>
      <c r="M94">
        <v>57.142857142857139</v>
      </c>
      <c r="N94">
        <f t="shared" si="1"/>
        <v>22.636490467720428</v>
      </c>
    </row>
    <row r="95" spans="1:14" x14ac:dyDescent="0.45">
      <c r="A95">
        <v>150</v>
      </c>
      <c r="B95">
        <v>0</v>
      </c>
      <c r="C95">
        <v>0</v>
      </c>
      <c r="D95">
        <v>11.111111111111111</v>
      </c>
      <c r="E95">
        <v>0</v>
      </c>
      <c r="F95">
        <v>0</v>
      </c>
      <c r="G95">
        <v>25</v>
      </c>
      <c r="H95">
        <v>6.8965517241379306</v>
      </c>
      <c r="I95">
        <v>45.283018867924532</v>
      </c>
      <c r="J95">
        <v>40</v>
      </c>
      <c r="K95">
        <v>38.888888888888893</v>
      </c>
      <c r="L95">
        <v>14.285714285714285</v>
      </c>
      <c r="M95">
        <v>57.142857142857139</v>
      </c>
      <c r="N95">
        <f t="shared" si="1"/>
        <v>22.636490467720428</v>
      </c>
    </row>
    <row r="96" spans="1:14" x14ac:dyDescent="0.45">
      <c r="A96">
        <v>151</v>
      </c>
      <c r="B96">
        <v>0</v>
      </c>
      <c r="C96">
        <v>0</v>
      </c>
      <c r="D96">
        <v>11.111111111111111</v>
      </c>
      <c r="E96">
        <v>10</v>
      </c>
      <c r="F96">
        <v>0</v>
      </c>
      <c r="G96">
        <v>33.333333333333329</v>
      </c>
      <c r="H96">
        <v>13.793103448275861</v>
      </c>
      <c r="I96">
        <v>49.056603773584904</v>
      </c>
      <c r="J96">
        <v>53.333333333333336</v>
      </c>
      <c r="K96">
        <v>44.444444444444443</v>
      </c>
      <c r="L96">
        <v>21.428571428571427</v>
      </c>
      <c r="M96">
        <v>60.714285714285708</v>
      </c>
      <c r="N96">
        <f t="shared" si="1"/>
        <v>28.595395198875444</v>
      </c>
    </row>
    <row r="97" spans="1:14" x14ac:dyDescent="0.45">
      <c r="A97">
        <v>152</v>
      </c>
      <c r="B97">
        <v>0</v>
      </c>
      <c r="C97">
        <v>0</v>
      </c>
      <c r="D97">
        <v>11.111111111111111</v>
      </c>
      <c r="E97">
        <v>40</v>
      </c>
      <c r="F97">
        <v>0</v>
      </c>
      <c r="G97">
        <v>41.666666666666671</v>
      </c>
      <c r="H97">
        <v>31.03448275862069</v>
      </c>
      <c r="I97">
        <v>100</v>
      </c>
      <c r="J97">
        <v>100</v>
      </c>
      <c r="K97">
        <v>100</v>
      </c>
      <c r="L97">
        <v>50</v>
      </c>
      <c r="M97">
        <v>17.857142857142858</v>
      </c>
      <c r="N97">
        <f t="shared" si="1"/>
        <v>50.921008673753434</v>
      </c>
    </row>
    <row r="98" spans="1:14" x14ac:dyDescent="0.45">
      <c r="A98">
        <v>153</v>
      </c>
      <c r="B98">
        <v>1</v>
      </c>
      <c r="C98">
        <v>0</v>
      </c>
      <c r="D98">
        <v>11.111111111111111</v>
      </c>
      <c r="E98">
        <v>40</v>
      </c>
      <c r="F98">
        <v>0</v>
      </c>
      <c r="G98">
        <v>50</v>
      </c>
      <c r="H98">
        <v>51.724137931034484</v>
      </c>
      <c r="I98">
        <v>100</v>
      </c>
      <c r="J98">
        <v>100</v>
      </c>
      <c r="K98">
        <v>88.888888888888886</v>
      </c>
      <c r="L98">
        <v>28.571428571428569</v>
      </c>
      <c r="M98">
        <v>25</v>
      </c>
      <c r="N98">
        <f t="shared" si="1"/>
        <v>49.956216809414151</v>
      </c>
    </row>
    <row r="99" spans="1:14" x14ac:dyDescent="0.45">
      <c r="A99">
        <v>154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5.6603773584905666</v>
      </c>
      <c r="J99">
        <v>33.333333333333329</v>
      </c>
      <c r="K99">
        <v>5.5555555555555554</v>
      </c>
      <c r="L99">
        <v>0</v>
      </c>
      <c r="M99">
        <v>10.714285714285714</v>
      </c>
      <c r="N99">
        <f t="shared" si="1"/>
        <v>4.8519258227276598</v>
      </c>
    </row>
    <row r="100" spans="1:14" x14ac:dyDescent="0.45">
      <c r="A100">
        <v>155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7.5471698113207548</v>
      </c>
      <c r="J100">
        <v>46.666666666666664</v>
      </c>
      <c r="K100">
        <v>5.5555555555555554</v>
      </c>
      <c r="L100">
        <v>0</v>
      </c>
      <c r="M100">
        <v>7.1428571428571423</v>
      </c>
      <c r="N100">
        <f t="shared" si="1"/>
        <v>6.0726122253577568</v>
      </c>
    </row>
    <row r="101" spans="1:14" x14ac:dyDescent="0.45">
      <c r="A101">
        <v>156</v>
      </c>
      <c r="B101">
        <v>0</v>
      </c>
      <c r="C101">
        <v>0</v>
      </c>
      <c r="D101">
        <v>0</v>
      </c>
      <c r="E101">
        <v>30</v>
      </c>
      <c r="F101">
        <v>100</v>
      </c>
      <c r="G101">
        <v>20.833333333333336</v>
      </c>
      <c r="H101">
        <v>27.586206896551722</v>
      </c>
      <c r="I101">
        <v>16.981132075471699</v>
      </c>
      <c r="J101">
        <v>13.333333333333334</v>
      </c>
      <c r="K101">
        <v>16.666666666666664</v>
      </c>
      <c r="L101">
        <v>0</v>
      </c>
      <c r="M101">
        <v>17.857142857142858</v>
      </c>
      <c r="N101">
        <f t="shared" si="1"/>
        <v>19.163220739357545</v>
      </c>
    </row>
    <row r="102" spans="1:14" x14ac:dyDescent="0.45">
      <c r="A102">
        <v>157</v>
      </c>
      <c r="B102">
        <v>0</v>
      </c>
      <c r="C102">
        <v>0</v>
      </c>
      <c r="D102">
        <v>11.111111111111111</v>
      </c>
      <c r="E102">
        <v>30</v>
      </c>
      <c r="F102">
        <v>100</v>
      </c>
      <c r="G102">
        <v>41.666666666666671</v>
      </c>
      <c r="H102">
        <v>58.620689655172406</v>
      </c>
      <c r="I102">
        <v>41.509433962264154</v>
      </c>
      <c r="J102">
        <v>60</v>
      </c>
      <c r="K102">
        <v>27.777777777777779</v>
      </c>
      <c r="L102">
        <v>0</v>
      </c>
      <c r="M102">
        <v>7.1428571428571423</v>
      </c>
      <c r="N102">
        <f t="shared" si="1"/>
        <v>33.675570505859348</v>
      </c>
    </row>
    <row r="103" spans="1:14" x14ac:dyDescent="0.45">
      <c r="A103">
        <v>164</v>
      </c>
      <c r="B103">
        <v>0</v>
      </c>
      <c r="C103">
        <v>0</v>
      </c>
      <c r="D103">
        <v>11.111111111111111</v>
      </c>
      <c r="E103">
        <v>30</v>
      </c>
      <c r="F103">
        <v>0</v>
      </c>
      <c r="G103">
        <v>20.833333333333336</v>
      </c>
      <c r="H103">
        <v>17.241379310344829</v>
      </c>
      <c r="I103">
        <v>13.20754716981132</v>
      </c>
      <c r="J103">
        <v>46.666666666666664</v>
      </c>
      <c r="K103">
        <v>16.666666666666664</v>
      </c>
      <c r="L103">
        <v>0</v>
      </c>
      <c r="M103">
        <v>7.1428571428571423</v>
      </c>
      <c r="N103">
        <f t="shared" si="1"/>
        <v>15.578894387814078</v>
      </c>
    </row>
    <row r="104" spans="1:14" x14ac:dyDescent="0.45">
      <c r="A104">
        <v>165</v>
      </c>
      <c r="B104">
        <v>0</v>
      </c>
      <c r="C104">
        <v>0</v>
      </c>
      <c r="D104">
        <v>66.666666666666657</v>
      </c>
      <c r="E104">
        <v>90</v>
      </c>
      <c r="F104">
        <v>100</v>
      </c>
      <c r="G104">
        <v>87.5</v>
      </c>
      <c r="H104">
        <v>55.172413793103445</v>
      </c>
      <c r="I104">
        <v>100</v>
      </c>
      <c r="J104">
        <v>100</v>
      </c>
      <c r="K104">
        <v>16.666666666666664</v>
      </c>
      <c r="L104">
        <v>21.428571428571427</v>
      </c>
      <c r="M104">
        <v>82.142857142857139</v>
      </c>
      <c r="N104">
        <f t="shared" si="1"/>
        <v>65.818323355559528</v>
      </c>
    </row>
    <row r="105" spans="1:14" x14ac:dyDescent="0.45">
      <c r="A105">
        <v>166</v>
      </c>
      <c r="B105">
        <v>0</v>
      </c>
      <c r="C105">
        <v>0</v>
      </c>
      <c r="D105">
        <v>66.666666666666657</v>
      </c>
      <c r="E105">
        <v>100</v>
      </c>
      <c r="F105">
        <v>100</v>
      </c>
      <c r="G105">
        <v>62.5</v>
      </c>
      <c r="H105">
        <v>37.931034482758619</v>
      </c>
      <c r="I105">
        <v>90.566037735849065</v>
      </c>
      <c r="J105">
        <v>100</v>
      </c>
      <c r="K105">
        <v>22.222222222222221</v>
      </c>
      <c r="L105">
        <v>0</v>
      </c>
      <c r="M105">
        <v>71.428571428571431</v>
      </c>
      <c r="N105">
        <f t="shared" si="1"/>
        <v>57.465261200047948</v>
      </c>
    </row>
    <row r="106" spans="1:14" x14ac:dyDescent="0.45">
      <c r="A106">
        <v>167</v>
      </c>
      <c r="B106">
        <v>0</v>
      </c>
      <c r="C106">
        <v>0</v>
      </c>
      <c r="D106">
        <v>66.666666666666657</v>
      </c>
      <c r="E106">
        <v>100</v>
      </c>
      <c r="F106">
        <v>100</v>
      </c>
      <c r="G106">
        <v>62.5</v>
      </c>
      <c r="H106">
        <v>37.931034482758619</v>
      </c>
      <c r="I106">
        <v>90.566037735849065</v>
      </c>
      <c r="J106">
        <v>100</v>
      </c>
      <c r="K106">
        <v>22.222222222222221</v>
      </c>
      <c r="L106">
        <v>0</v>
      </c>
      <c r="M106">
        <v>71.428571428571431</v>
      </c>
      <c r="N106">
        <f t="shared" si="1"/>
        <v>57.465261200047948</v>
      </c>
    </row>
    <row r="107" spans="1:14" x14ac:dyDescent="0.45">
      <c r="A107">
        <v>168</v>
      </c>
      <c r="B107">
        <v>0</v>
      </c>
      <c r="C107">
        <v>0</v>
      </c>
      <c r="D107">
        <v>44.444444444444443</v>
      </c>
      <c r="E107">
        <v>100</v>
      </c>
      <c r="F107">
        <v>66.666666666666657</v>
      </c>
      <c r="G107">
        <v>62.5</v>
      </c>
      <c r="H107">
        <v>37.931034482758619</v>
      </c>
      <c r="I107">
        <v>83.018867924528308</v>
      </c>
      <c r="J107">
        <v>100</v>
      </c>
      <c r="K107">
        <v>27.777777777777779</v>
      </c>
      <c r="L107">
        <v>0</v>
      </c>
      <c r="M107">
        <v>67.857142857142861</v>
      </c>
      <c r="N107">
        <f t="shared" si="1"/>
        <v>52.188419471825952</v>
      </c>
    </row>
    <row r="108" spans="1:14" x14ac:dyDescent="0.45">
      <c r="A108">
        <v>170</v>
      </c>
      <c r="B108">
        <v>1</v>
      </c>
      <c r="C108">
        <v>0</v>
      </c>
      <c r="D108">
        <v>33.333333333333329</v>
      </c>
      <c r="E108">
        <v>60</v>
      </c>
      <c r="F108">
        <v>66.666666666666657</v>
      </c>
      <c r="G108">
        <v>45.833333333333329</v>
      </c>
      <c r="H108">
        <v>34.482758620689658</v>
      </c>
      <c r="I108">
        <v>83.018867924528308</v>
      </c>
      <c r="J108">
        <v>80</v>
      </c>
      <c r="K108">
        <v>11.111111111111111</v>
      </c>
      <c r="L108">
        <v>7.1428571428571423</v>
      </c>
      <c r="M108">
        <v>25</v>
      </c>
      <c r="N108">
        <f t="shared" si="1"/>
        <v>40.812286506921701</v>
      </c>
    </row>
    <row r="109" spans="1:14" x14ac:dyDescent="0.45">
      <c r="A109">
        <v>171</v>
      </c>
      <c r="B109">
        <v>0</v>
      </c>
      <c r="C109">
        <v>0</v>
      </c>
      <c r="D109">
        <v>44.444444444444443</v>
      </c>
      <c r="E109">
        <v>50</v>
      </c>
      <c r="F109">
        <v>0</v>
      </c>
      <c r="G109">
        <v>25</v>
      </c>
      <c r="H109">
        <v>27.586206896551722</v>
      </c>
      <c r="I109">
        <v>22.641509433962266</v>
      </c>
      <c r="J109">
        <v>60</v>
      </c>
      <c r="K109">
        <v>16.666666666666664</v>
      </c>
      <c r="L109">
        <v>0</v>
      </c>
      <c r="M109">
        <v>10.714285714285714</v>
      </c>
      <c r="N109">
        <f t="shared" si="1"/>
        <v>25.437296109802045</v>
      </c>
    </row>
    <row r="110" spans="1:14" x14ac:dyDescent="0.45">
      <c r="A110">
        <v>172</v>
      </c>
      <c r="B110">
        <v>1</v>
      </c>
      <c r="C110">
        <v>0</v>
      </c>
      <c r="D110">
        <v>33.333333333333329</v>
      </c>
      <c r="E110">
        <v>40</v>
      </c>
      <c r="F110">
        <v>0</v>
      </c>
      <c r="G110">
        <v>25</v>
      </c>
      <c r="H110">
        <v>34.482758620689658</v>
      </c>
      <c r="I110">
        <v>33.962264150943398</v>
      </c>
      <c r="J110">
        <v>60</v>
      </c>
      <c r="K110">
        <v>16.666666666666664</v>
      </c>
      <c r="L110">
        <v>0</v>
      </c>
      <c r="M110">
        <v>14.285714285714285</v>
      </c>
      <c r="N110">
        <f t="shared" si="1"/>
        <v>25.371441378522945</v>
      </c>
    </row>
    <row r="111" spans="1:14" x14ac:dyDescent="0.45">
      <c r="A111">
        <v>173</v>
      </c>
      <c r="B111">
        <v>0</v>
      </c>
      <c r="C111">
        <v>0</v>
      </c>
      <c r="D111">
        <v>33.333333333333329</v>
      </c>
      <c r="E111">
        <v>40</v>
      </c>
      <c r="F111">
        <v>0</v>
      </c>
      <c r="G111">
        <v>25</v>
      </c>
      <c r="H111">
        <v>34.482758620689658</v>
      </c>
      <c r="I111">
        <v>33.962264150943398</v>
      </c>
      <c r="J111">
        <v>60</v>
      </c>
      <c r="K111">
        <v>16.666666666666664</v>
      </c>
      <c r="L111">
        <v>0</v>
      </c>
      <c r="M111">
        <v>14.285714285714285</v>
      </c>
      <c r="N111">
        <f t="shared" si="1"/>
        <v>25.371441378522945</v>
      </c>
    </row>
    <row r="112" spans="1:14" x14ac:dyDescent="0.45">
      <c r="A112">
        <v>174</v>
      </c>
      <c r="B112">
        <v>0</v>
      </c>
      <c r="C112">
        <v>1</v>
      </c>
      <c r="D112">
        <v>33.333333333333329</v>
      </c>
      <c r="E112">
        <v>40</v>
      </c>
      <c r="F112">
        <v>0</v>
      </c>
      <c r="G112">
        <v>25</v>
      </c>
      <c r="H112">
        <v>34.482758620689658</v>
      </c>
      <c r="I112">
        <v>33.962264150943398</v>
      </c>
      <c r="J112">
        <v>60</v>
      </c>
      <c r="K112">
        <v>16.666666666666664</v>
      </c>
      <c r="L112">
        <v>0</v>
      </c>
      <c r="M112">
        <v>14.285714285714285</v>
      </c>
      <c r="N112">
        <f t="shared" si="1"/>
        <v>25.371441378522945</v>
      </c>
    </row>
    <row r="113" spans="1:14" x14ac:dyDescent="0.45">
      <c r="A113">
        <v>175</v>
      </c>
      <c r="B113">
        <v>0</v>
      </c>
      <c r="C113">
        <v>0</v>
      </c>
      <c r="D113">
        <v>33.333333333333329</v>
      </c>
      <c r="E113">
        <v>20</v>
      </c>
      <c r="F113">
        <v>0</v>
      </c>
      <c r="G113">
        <v>20.833333333333336</v>
      </c>
      <c r="H113">
        <v>24.137931034482758</v>
      </c>
      <c r="I113">
        <v>16.981132075471699</v>
      </c>
      <c r="J113">
        <v>20</v>
      </c>
      <c r="K113">
        <v>5.5555555555555554</v>
      </c>
      <c r="L113">
        <v>0</v>
      </c>
      <c r="M113">
        <v>14.285714285714285</v>
      </c>
      <c r="N113">
        <f t="shared" si="1"/>
        <v>15.736462706667615</v>
      </c>
    </row>
    <row r="114" spans="1:14" x14ac:dyDescent="0.45">
      <c r="A114">
        <v>176</v>
      </c>
      <c r="B114">
        <v>0</v>
      </c>
      <c r="C114">
        <v>0</v>
      </c>
      <c r="D114">
        <v>33.333333333333329</v>
      </c>
      <c r="E114">
        <v>30</v>
      </c>
      <c r="F114">
        <v>100</v>
      </c>
      <c r="G114">
        <v>20.833333333333336</v>
      </c>
      <c r="H114">
        <v>20.689655172413794</v>
      </c>
      <c r="I114">
        <v>20.754716981132077</v>
      </c>
      <c r="J114">
        <v>60</v>
      </c>
      <c r="K114">
        <v>11.111111111111111</v>
      </c>
      <c r="L114">
        <v>0</v>
      </c>
      <c r="M114">
        <v>53.571428571428569</v>
      </c>
      <c r="N114">
        <f t="shared" si="1"/>
        <v>28.950541774731509</v>
      </c>
    </row>
    <row r="115" spans="1:14" x14ac:dyDescent="0.45">
      <c r="A115">
        <v>177</v>
      </c>
      <c r="B115">
        <v>1</v>
      </c>
      <c r="C115">
        <v>0</v>
      </c>
      <c r="D115">
        <v>44.444444444444443</v>
      </c>
      <c r="E115">
        <v>100</v>
      </c>
      <c r="F115">
        <v>33.333333333333329</v>
      </c>
      <c r="G115">
        <v>95.833333333333343</v>
      </c>
      <c r="H115">
        <v>82.758620689655174</v>
      </c>
      <c r="I115">
        <v>83.018867924528308</v>
      </c>
      <c r="J115">
        <v>93.333333333333329</v>
      </c>
      <c r="K115">
        <v>27.777777777777779</v>
      </c>
      <c r="L115">
        <v>35.714285714285715</v>
      </c>
      <c r="M115">
        <v>100</v>
      </c>
      <c r="N115">
        <f t="shared" si="1"/>
        <v>66.007534806343998</v>
      </c>
    </row>
    <row r="116" spans="1:14" x14ac:dyDescent="0.45">
      <c r="A116">
        <v>178</v>
      </c>
      <c r="B116">
        <v>0</v>
      </c>
      <c r="C116">
        <v>0</v>
      </c>
      <c r="D116">
        <v>55.555555555555557</v>
      </c>
      <c r="E116">
        <v>50</v>
      </c>
      <c r="F116">
        <v>100</v>
      </c>
      <c r="G116">
        <v>58.333333333333336</v>
      </c>
      <c r="H116">
        <v>48.275862068965516</v>
      </c>
      <c r="I116">
        <v>35.849056603773583</v>
      </c>
      <c r="J116">
        <v>53.333333333333336</v>
      </c>
      <c r="K116">
        <v>11.111111111111111</v>
      </c>
      <c r="L116">
        <v>7.1428571428571423</v>
      </c>
      <c r="M116">
        <v>75</v>
      </c>
      <c r="N116">
        <f t="shared" si="1"/>
        <v>43.684774071738495</v>
      </c>
    </row>
    <row r="117" spans="1:14" x14ac:dyDescent="0.45">
      <c r="A117">
        <v>179</v>
      </c>
      <c r="B117">
        <v>0</v>
      </c>
      <c r="C117">
        <v>1</v>
      </c>
      <c r="D117">
        <v>33.333333333333329</v>
      </c>
      <c r="E117">
        <v>100</v>
      </c>
      <c r="F117">
        <v>33.333333333333329</v>
      </c>
      <c r="G117">
        <v>66.666666666666657</v>
      </c>
      <c r="H117">
        <v>51.724137931034484</v>
      </c>
      <c r="I117">
        <v>43.39622641509434</v>
      </c>
      <c r="J117">
        <v>73.333333333333329</v>
      </c>
      <c r="K117">
        <v>22.222222222222221</v>
      </c>
      <c r="L117">
        <v>35.714285714285715</v>
      </c>
      <c r="M117">
        <v>100</v>
      </c>
      <c r="N117">
        <f t="shared" si="1"/>
        <v>51.60345724847474</v>
      </c>
    </row>
    <row r="118" spans="1:14" x14ac:dyDescent="0.45">
      <c r="A118">
        <v>180</v>
      </c>
      <c r="B118">
        <v>0</v>
      </c>
      <c r="C118">
        <v>0</v>
      </c>
      <c r="D118">
        <v>22.222222222222221</v>
      </c>
      <c r="E118">
        <v>80</v>
      </c>
      <c r="F118">
        <v>33.333333333333329</v>
      </c>
      <c r="G118">
        <v>70.833333333333343</v>
      </c>
      <c r="H118">
        <v>62.068965517241381</v>
      </c>
      <c r="I118">
        <v>60.377358490566039</v>
      </c>
      <c r="J118">
        <v>66.666666666666657</v>
      </c>
      <c r="K118">
        <v>16.666666666666664</v>
      </c>
      <c r="L118">
        <v>42.857142857142854</v>
      </c>
      <c r="M118">
        <v>100</v>
      </c>
      <c r="N118">
        <f t="shared" si="1"/>
        <v>51.968593399810757</v>
      </c>
    </row>
    <row r="119" spans="1:14" x14ac:dyDescent="0.45">
      <c r="A119">
        <v>181</v>
      </c>
      <c r="B119">
        <v>0</v>
      </c>
      <c r="C119">
        <v>0</v>
      </c>
      <c r="D119">
        <v>22.222222222222221</v>
      </c>
      <c r="E119">
        <v>100</v>
      </c>
      <c r="F119">
        <v>0</v>
      </c>
      <c r="G119">
        <v>70.833333333333343</v>
      </c>
      <c r="H119">
        <v>44.827586206896555</v>
      </c>
      <c r="I119">
        <v>60.377358490566039</v>
      </c>
      <c r="J119">
        <v>100</v>
      </c>
      <c r="K119">
        <v>33.333333333333329</v>
      </c>
      <c r="L119">
        <v>42.857142857142854</v>
      </c>
      <c r="M119">
        <v>89.285714285714292</v>
      </c>
      <c r="N119">
        <f t="shared" si="1"/>
        <v>53.616920925565196</v>
      </c>
    </row>
    <row r="120" spans="1:14" x14ac:dyDescent="0.45">
      <c r="A120">
        <v>182</v>
      </c>
      <c r="B120">
        <v>0</v>
      </c>
      <c r="C120">
        <v>0</v>
      </c>
      <c r="D120">
        <v>33.333333333333329</v>
      </c>
      <c r="E120">
        <v>100</v>
      </c>
      <c r="F120">
        <v>33.333333333333329</v>
      </c>
      <c r="G120">
        <v>66.666666666666657</v>
      </c>
      <c r="H120">
        <v>37.931034482758619</v>
      </c>
      <c r="I120">
        <v>77.358490566037744</v>
      </c>
      <c r="J120">
        <v>100</v>
      </c>
      <c r="K120">
        <v>33.333333333333329</v>
      </c>
      <c r="L120">
        <v>0</v>
      </c>
      <c r="M120">
        <v>85.714285714285708</v>
      </c>
      <c r="N120">
        <f t="shared" si="1"/>
        <v>50.223600892601574</v>
      </c>
    </row>
    <row r="121" spans="1:14" x14ac:dyDescent="0.45">
      <c r="A121">
        <v>183</v>
      </c>
      <c r="B121">
        <v>0</v>
      </c>
      <c r="C121">
        <v>0</v>
      </c>
      <c r="D121">
        <v>22.222222222222221</v>
      </c>
      <c r="E121">
        <v>100</v>
      </c>
      <c r="F121">
        <v>33.333333333333329</v>
      </c>
      <c r="G121">
        <v>62.5</v>
      </c>
      <c r="H121">
        <v>41.379310344827587</v>
      </c>
      <c r="I121">
        <v>75.471698113207552</v>
      </c>
      <c r="J121">
        <v>100</v>
      </c>
      <c r="K121">
        <v>22.222222222222221</v>
      </c>
      <c r="L121">
        <v>50</v>
      </c>
      <c r="M121">
        <v>89.285714285714292</v>
      </c>
      <c r="N121">
        <f t="shared" si="1"/>
        <v>55.850640797112831</v>
      </c>
    </row>
    <row r="122" spans="1:14" x14ac:dyDescent="0.45">
      <c r="A122">
        <v>184</v>
      </c>
      <c r="B122">
        <v>1</v>
      </c>
      <c r="C122">
        <v>0</v>
      </c>
      <c r="D122">
        <v>22.222222222222221</v>
      </c>
      <c r="E122">
        <v>100</v>
      </c>
      <c r="F122">
        <v>0</v>
      </c>
      <c r="G122">
        <v>75</v>
      </c>
      <c r="H122">
        <v>37.931034482758619</v>
      </c>
      <c r="I122">
        <v>66.037735849056602</v>
      </c>
      <c r="J122">
        <v>93.333333333333329</v>
      </c>
      <c r="K122">
        <v>38.888888888888893</v>
      </c>
      <c r="L122">
        <v>42.857142857142854</v>
      </c>
      <c r="M122">
        <v>92.857142857142861</v>
      </c>
      <c r="N122">
        <f t="shared" si="1"/>
        <v>53.940173784390268</v>
      </c>
    </row>
    <row r="123" spans="1:14" x14ac:dyDescent="0.45">
      <c r="A123">
        <v>185</v>
      </c>
      <c r="B123">
        <v>0</v>
      </c>
      <c r="C123">
        <v>0</v>
      </c>
      <c r="D123">
        <v>22.222222222222221</v>
      </c>
      <c r="E123">
        <v>100</v>
      </c>
      <c r="F123">
        <v>0</v>
      </c>
      <c r="G123">
        <v>75</v>
      </c>
      <c r="H123">
        <v>37.931034482758619</v>
      </c>
      <c r="I123">
        <v>66.037735849056602</v>
      </c>
      <c r="J123">
        <v>93.333333333333329</v>
      </c>
      <c r="K123">
        <v>38.888888888888893</v>
      </c>
      <c r="L123">
        <v>42.857142857142854</v>
      </c>
      <c r="M123">
        <v>92.857142857142861</v>
      </c>
      <c r="N123">
        <f t="shared" si="1"/>
        <v>53.940173784390268</v>
      </c>
    </row>
    <row r="124" spans="1:14" x14ac:dyDescent="0.45">
      <c r="A124">
        <v>186</v>
      </c>
      <c r="B124">
        <v>0</v>
      </c>
      <c r="C124">
        <v>0</v>
      </c>
      <c r="D124">
        <v>22.222222222222221</v>
      </c>
      <c r="E124">
        <v>40</v>
      </c>
      <c r="F124">
        <v>0</v>
      </c>
      <c r="G124">
        <v>91.666666666666657</v>
      </c>
      <c r="H124">
        <v>75.862068965517238</v>
      </c>
      <c r="I124">
        <v>100</v>
      </c>
      <c r="J124">
        <v>100</v>
      </c>
      <c r="K124">
        <v>100</v>
      </c>
      <c r="L124">
        <v>78.571428571428569</v>
      </c>
      <c r="M124">
        <v>60.714285714285708</v>
      </c>
      <c r="N124">
        <f t="shared" si="1"/>
        <v>69.95367917704597</v>
      </c>
    </row>
    <row r="125" spans="1:14" x14ac:dyDescent="0.45">
      <c r="A125">
        <v>187</v>
      </c>
      <c r="B125">
        <v>1</v>
      </c>
      <c r="C125">
        <v>0</v>
      </c>
      <c r="D125">
        <v>44.444444444444443</v>
      </c>
      <c r="E125">
        <v>40</v>
      </c>
      <c r="F125">
        <v>0</v>
      </c>
      <c r="G125">
        <v>20.833333333333336</v>
      </c>
      <c r="H125">
        <v>20.689655172413794</v>
      </c>
      <c r="I125">
        <v>43.39622641509434</v>
      </c>
      <c r="J125">
        <v>53.333333333333336</v>
      </c>
      <c r="K125">
        <v>61.111111111111114</v>
      </c>
      <c r="L125">
        <v>0</v>
      </c>
      <c r="M125">
        <v>57.142857142857139</v>
      </c>
      <c r="N125">
        <f t="shared" si="1"/>
        <v>32.127495835121003</v>
      </c>
    </row>
    <row r="126" spans="1:14" x14ac:dyDescent="0.45">
      <c r="A126">
        <v>188</v>
      </c>
      <c r="B126">
        <v>0</v>
      </c>
      <c r="C126">
        <v>0</v>
      </c>
      <c r="D126">
        <v>44.444444444444443</v>
      </c>
      <c r="E126">
        <v>40</v>
      </c>
      <c r="F126">
        <v>33.333333333333329</v>
      </c>
      <c r="G126">
        <v>25</v>
      </c>
      <c r="H126">
        <v>27.586206896551722</v>
      </c>
      <c r="I126">
        <v>30.188679245283019</v>
      </c>
      <c r="J126">
        <v>53.333333333333336</v>
      </c>
      <c r="K126">
        <v>88.888888888888886</v>
      </c>
      <c r="L126">
        <v>0</v>
      </c>
      <c r="M126">
        <v>75</v>
      </c>
      <c r="N126">
        <f t="shared" si="1"/>
        <v>37.941882839416607</v>
      </c>
    </row>
    <row r="127" spans="1:14" x14ac:dyDescent="0.45">
      <c r="A127">
        <v>189</v>
      </c>
      <c r="B127">
        <v>0</v>
      </c>
      <c r="C127">
        <v>0</v>
      </c>
      <c r="D127">
        <v>44.444444444444443</v>
      </c>
      <c r="E127">
        <v>10</v>
      </c>
      <c r="F127">
        <v>0</v>
      </c>
      <c r="G127">
        <v>37.5</v>
      </c>
      <c r="H127">
        <v>34.482758620689658</v>
      </c>
      <c r="I127">
        <v>43.39622641509434</v>
      </c>
      <c r="J127">
        <v>40</v>
      </c>
      <c r="K127">
        <v>83.333333333333343</v>
      </c>
      <c r="L127">
        <v>7.1428571428571423</v>
      </c>
      <c r="M127">
        <v>17.857142857142858</v>
      </c>
      <c r="N127">
        <f t="shared" si="1"/>
        <v>33.201151458635984</v>
      </c>
    </row>
    <row r="128" spans="1:14" x14ac:dyDescent="0.45">
      <c r="A128">
        <v>190</v>
      </c>
      <c r="B128">
        <v>0</v>
      </c>
      <c r="C128">
        <v>0</v>
      </c>
      <c r="D128">
        <v>44.444444444444443</v>
      </c>
      <c r="E128">
        <v>10</v>
      </c>
      <c r="F128">
        <v>0</v>
      </c>
      <c r="G128">
        <v>37.5</v>
      </c>
      <c r="H128">
        <v>34.482758620689658</v>
      </c>
      <c r="I128">
        <v>43.39622641509434</v>
      </c>
      <c r="J128">
        <v>40</v>
      </c>
      <c r="K128">
        <v>83.333333333333343</v>
      </c>
      <c r="L128">
        <v>7.1428571428571423</v>
      </c>
      <c r="M128">
        <v>17.857142857142858</v>
      </c>
      <c r="N128">
        <f t="shared" si="1"/>
        <v>33.201151458635984</v>
      </c>
    </row>
    <row r="129" spans="1:14" x14ac:dyDescent="0.45">
      <c r="A129">
        <v>191</v>
      </c>
      <c r="B129">
        <v>1</v>
      </c>
      <c r="C129">
        <v>0</v>
      </c>
      <c r="D129">
        <v>44.444444444444443</v>
      </c>
      <c r="E129">
        <v>10</v>
      </c>
      <c r="F129">
        <v>0</v>
      </c>
      <c r="G129">
        <v>41.666666666666671</v>
      </c>
      <c r="H129">
        <v>37.931034482758619</v>
      </c>
      <c r="I129">
        <v>64.15094339622641</v>
      </c>
      <c r="J129">
        <v>60</v>
      </c>
      <c r="K129">
        <v>61.111111111111114</v>
      </c>
      <c r="L129">
        <v>7.1428571428571423</v>
      </c>
      <c r="M129">
        <v>39.285714285714285</v>
      </c>
      <c r="N129">
        <f t="shared" si="1"/>
        <v>36.886470977568273</v>
      </c>
    </row>
    <row r="130" spans="1:14" x14ac:dyDescent="0.45">
      <c r="A130">
        <v>192</v>
      </c>
      <c r="B130">
        <v>0</v>
      </c>
      <c r="C130">
        <v>0</v>
      </c>
      <c r="D130">
        <v>44.444444444444443</v>
      </c>
      <c r="E130">
        <v>0</v>
      </c>
      <c r="F130">
        <v>33.333333333333329</v>
      </c>
      <c r="G130">
        <v>25</v>
      </c>
      <c r="H130">
        <v>31.03448275862069</v>
      </c>
      <c r="I130">
        <v>24.528301886792452</v>
      </c>
      <c r="J130">
        <v>53.333333333333336</v>
      </c>
      <c r="K130">
        <v>66.666666666666657</v>
      </c>
      <c r="L130">
        <v>14.285714285714285</v>
      </c>
      <c r="M130">
        <v>71.428571428571431</v>
      </c>
      <c r="N130">
        <f t="shared" si="1"/>
        <v>34.733809536918905</v>
      </c>
    </row>
    <row r="131" spans="1:14" x14ac:dyDescent="0.45">
      <c r="A131">
        <v>193</v>
      </c>
      <c r="B131">
        <v>0</v>
      </c>
      <c r="C131">
        <v>0</v>
      </c>
      <c r="D131">
        <v>44.444444444444443</v>
      </c>
      <c r="E131">
        <v>0</v>
      </c>
      <c r="F131">
        <v>33.333333333333329</v>
      </c>
      <c r="G131">
        <v>25</v>
      </c>
      <c r="H131">
        <v>31.03448275862069</v>
      </c>
      <c r="I131">
        <v>24.528301886792452</v>
      </c>
      <c r="J131">
        <v>53.333333333333336</v>
      </c>
      <c r="K131">
        <v>66.666666666666657</v>
      </c>
      <c r="L131">
        <v>14.285714285714285</v>
      </c>
      <c r="M131">
        <v>71.428571428571431</v>
      </c>
      <c r="N131">
        <f t="shared" si="1"/>
        <v>34.733809536918905</v>
      </c>
    </row>
    <row r="132" spans="1:14" x14ac:dyDescent="0.45">
      <c r="A132">
        <v>194</v>
      </c>
      <c r="B132">
        <v>0</v>
      </c>
      <c r="C132">
        <v>0</v>
      </c>
      <c r="D132">
        <v>33.333333333333329</v>
      </c>
      <c r="E132">
        <v>0</v>
      </c>
      <c r="F132">
        <v>33.333333333333329</v>
      </c>
      <c r="G132">
        <v>29.166666666666668</v>
      </c>
      <c r="H132">
        <v>31.03448275862069</v>
      </c>
      <c r="I132">
        <v>26.415094339622641</v>
      </c>
      <c r="J132">
        <v>40</v>
      </c>
      <c r="K132">
        <v>61.111111111111114</v>
      </c>
      <c r="L132">
        <v>14.285714285714285</v>
      </c>
      <c r="M132">
        <v>64.285714285714292</v>
      </c>
      <c r="N132">
        <f t="shared" si="1"/>
        <v>31.656854761211079</v>
      </c>
    </row>
    <row r="133" spans="1:14" x14ac:dyDescent="0.45">
      <c r="A133">
        <v>195</v>
      </c>
      <c r="B133">
        <v>0</v>
      </c>
      <c r="C133">
        <v>0</v>
      </c>
      <c r="D133">
        <v>33.333333333333329</v>
      </c>
      <c r="E133">
        <v>10</v>
      </c>
      <c r="F133">
        <v>33.333333333333329</v>
      </c>
      <c r="G133">
        <v>20.833333333333336</v>
      </c>
      <c r="H133">
        <v>13.793103448275861</v>
      </c>
      <c r="I133">
        <v>28.30188679245283</v>
      </c>
      <c r="J133">
        <v>26.666666666666668</v>
      </c>
      <c r="K133">
        <v>100</v>
      </c>
      <c r="L133">
        <v>7.1428571428571423</v>
      </c>
      <c r="M133">
        <v>28.571428571428569</v>
      </c>
      <c r="N133">
        <f t="shared" ref="N133:N196" si="2">D133*D$1+E133*E$1+F133*F$1+G133*G$1+H133*H$1+I133*I$1+J133*J$1+K133*K$1+L133*L$1+M133*M$1</f>
        <v>29.195792484672541</v>
      </c>
    </row>
    <row r="134" spans="1:14" x14ac:dyDescent="0.45">
      <c r="A134">
        <v>196</v>
      </c>
      <c r="B134">
        <v>0</v>
      </c>
      <c r="C134">
        <v>0</v>
      </c>
      <c r="D134">
        <v>11.111111111111111</v>
      </c>
      <c r="E134">
        <v>20</v>
      </c>
      <c r="F134">
        <v>0</v>
      </c>
      <c r="G134">
        <v>41.666666666666671</v>
      </c>
      <c r="H134">
        <v>27.586206896551722</v>
      </c>
      <c r="I134">
        <v>35.849056603773583</v>
      </c>
      <c r="J134">
        <v>40</v>
      </c>
      <c r="K134">
        <v>100</v>
      </c>
      <c r="L134">
        <v>7.1428571428571423</v>
      </c>
      <c r="M134">
        <v>28.571428571428569</v>
      </c>
      <c r="N134">
        <f t="shared" si="2"/>
        <v>30.758793016210685</v>
      </c>
    </row>
    <row r="135" spans="1:14" x14ac:dyDescent="0.45">
      <c r="A135">
        <v>197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16.666666666666664</v>
      </c>
      <c r="H135">
        <v>10.344827586206897</v>
      </c>
      <c r="I135">
        <v>24.528301886792452</v>
      </c>
      <c r="J135">
        <v>20</v>
      </c>
      <c r="K135">
        <v>50</v>
      </c>
      <c r="L135">
        <v>14.285714285714285</v>
      </c>
      <c r="M135">
        <v>10.714285714285714</v>
      </c>
      <c r="N135">
        <f t="shared" si="2"/>
        <v>16.01858234948034</v>
      </c>
    </row>
    <row r="136" spans="1:14" x14ac:dyDescent="0.45">
      <c r="A136">
        <v>198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25</v>
      </c>
      <c r="H136">
        <v>6.8965517241379306</v>
      </c>
      <c r="I136">
        <v>28.30188679245283</v>
      </c>
      <c r="J136">
        <v>20</v>
      </c>
      <c r="K136">
        <v>77.777777777777786</v>
      </c>
      <c r="L136">
        <v>7.1428571428571423</v>
      </c>
      <c r="M136">
        <v>25</v>
      </c>
      <c r="N136">
        <f t="shared" si="2"/>
        <v>19.337583802896038</v>
      </c>
    </row>
    <row r="137" spans="1:14" x14ac:dyDescent="0.45">
      <c r="A137">
        <v>199</v>
      </c>
      <c r="B137">
        <v>0</v>
      </c>
      <c r="C137">
        <v>0</v>
      </c>
      <c r="D137">
        <v>22.222222222222221</v>
      </c>
      <c r="E137">
        <v>10</v>
      </c>
      <c r="F137">
        <v>0</v>
      </c>
      <c r="G137">
        <v>37.5</v>
      </c>
      <c r="H137">
        <v>31.03448275862069</v>
      </c>
      <c r="I137">
        <v>43.39622641509434</v>
      </c>
      <c r="J137">
        <v>33.333333333333329</v>
      </c>
      <c r="K137">
        <v>100</v>
      </c>
      <c r="L137">
        <v>7.1428571428571423</v>
      </c>
      <c r="M137">
        <v>53.571428571428569</v>
      </c>
      <c r="N137">
        <f t="shared" si="2"/>
        <v>33.032405006637212</v>
      </c>
    </row>
    <row r="138" spans="1:14" x14ac:dyDescent="0.45">
      <c r="A138">
        <v>201</v>
      </c>
      <c r="B138">
        <v>0</v>
      </c>
      <c r="C138">
        <v>0</v>
      </c>
      <c r="D138">
        <v>22.222222222222221</v>
      </c>
      <c r="E138">
        <v>10</v>
      </c>
      <c r="F138">
        <v>0</v>
      </c>
      <c r="G138">
        <v>41.666666666666671</v>
      </c>
      <c r="H138">
        <v>31.03448275862069</v>
      </c>
      <c r="I138">
        <v>43.39622641509434</v>
      </c>
      <c r="J138">
        <v>33.333333333333329</v>
      </c>
      <c r="K138">
        <v>50</v>
      </c>
      <c r="L138">
        <v>7.1428571428571423</v>
      </c>
      <c r="M138">
        <v>57.142857142857139</v>
      </c>
      <c r="N138">
        <f t="shared" si="2"/>
        <v>28.532614239402477</v>
      </c>
    </row>
    <row r="139" spans="1:14" x14ac:dyDescent="0.45">
      <c r="A139">
        <v>202</v>
      </c>
      <c r="B139">
        <v>0</v>
      </c>
      <c r="C139">
        <v>0</v>
      </c>
      <c r="D139">
        <v>22.222222222222221</v>
      </c>
      <c r="E139">
        <v>10</v>
      </c>
      <c r="F139">
        <v>0</v>
      </c>
      <c r="G139">
        <v>41.666666666666671</v>
      </c>
      <c r="H139">
        <v>31.03448275862069</v>
      </c>
      <c r="I139">
        <v>43.39622641509434</v>
      </c>
      <c r="J139">
        <v>33.333333333333329</v>
      </c>
      <c r="K139">
        <v>50</v>
      </c>
      <c r="L139">
        <v>7.1428571428571423</v>
      </c>
      <c r="M139">
        <v>57.142857142857139</v>
      </c>
      <c r="N139">
        <f t="shared" si="2"/>
        <v>28.532614239402477</v>
      </c>
    </row>
    <row r="140" spans="1:14" x14ac:dyDescent="0.45">
      <c r="A140">
        <v>204</v>
      </c>
      <c r="B140">
        <v>0</v>
      </c>
      <c r="C140">
        <v>0</v>
      </c>
      <c r="D140">
        <v>11.111111111111111</v>
      </c>
      <c r="E140">
        <v>80</v>
      </c>
      <c r="F140">
        <v>0</v>
      </c>
      <c r="G140">
        <v>37.5</v>
      </c>
      <c r="H140">
        <v>27.586206896551722</v>
      </c>
      <c r="I140">
        <v>58.490566037735846</v>
      </c>
      <c r="J140">
        <v>40</v>
      </c>
      <c r="K140">
        <v>44.444444444444443</v>
      </c>
      <c r="L140">
        <v>14.285714285714285</v>
      </c>
      <c r="M140">
        <v>64.285714285714292</v>
      </c>
      <c r="N140">
        <f t="shared" si="2"/>
        <v>34.470736453956995</v>
      </c>
    </row>
    <row r="141" spans="1:14" x14ac:dyDescent="0.45">
      <c r="A141">
        <v>205</v>
      </c>
      <c r="B141">
        <v>0</v>
      </c>
      <c r="C141">
        <v>0</v>
      </c>
      <c r="D141">
        <v>22.222222222222221</v>
      </c>
      <c r="E141">
        <v>100</v>
      </c>
      <c r="F141">
        <v>0</v>
      </c>
      <c r="G141">
        <v>33.333333333333329</v>
      </c>
      <c r="H141">
        <v>34.482758620689658</v>
      </c>
      <c r="I141">
        <v>62.264150943396224</v>
      </c>
      <c r="J141">
        <v>46.666666666666664</v>
      </c>
      <c r="K141">
        <v>27.777777777777779</v>
      </c>
      <c r="L141">
        <v>14.285714285714285</v>
      </c>
      <c r="M141">
        <v>78.571428571428569</v>
      </c>
      <c r="N141">
        <f t="shared" si="2"/>
        <v>37.885096306605519</v>
      </c>
    </row>
    <row r="142" spans="1:14" x14ac:dyDescent="0.45">
      <c r="A142">
        <v>207</v>
      </c>
      <c r="B142">
        <v>0</v>
      </c>
      <c r="C142">
        <v>1</v>
      </c>
      <c r="D142">
        <v>22.222222222222221</v>
      </c>
      <c r="E142">
        <v>70</v>
      </c>
      <c r="F142">
        <v>33.333333333333329</v>
      </c>
      <c r="G142">
        <v>62.5</v>
      </c>
      <c r="H142">
        <v>68.965517241379317</v>
      </c>
      <c r="I142">
        <v>100</v>
      </c>
      <c r="J142">
        <v>13.333333333333334</v>
      </c>
      <c r="K142">
        <v>5.5555555555555554</v>
      </c>
      <c r="L142">
        <v>7.1428571428571423</v>
      </c>
      <c r="M142">
        <v>35.714285714285715</v>
      </c>
      <c r="N142">
        <f t="shared" si="2"/>
        <v>39.358651431322073</v>
      </c>
    </row>
    <row r="143" spans="1:14" x14ac:dyDescent="0.45">
      <c r="A143">
        <v>208</v>
      </c>
      <c r="B143">
        <v>0</v>
      </c>
      <c r="C143">
        <v>0</v>
      </c>
      <c r="D143">
        <v>0</v>
      </c>
      <c r="E143">
        <v>10</v>
      </c>
      <c r="F143">
        <v>0</v>
      </c>
      <c r="G143">
        <v>8.3333333333333321</v>
      </c>
      <c r="H143">
        <v>3.4482758620689653</v>
      </c>
      <c r="I143">
        <v>16.981132075471699</v>
      </c>
      <c r="J143">
        <v>0</v>
      </c>
      <c r="K143">
        <v>27.777777777777779</v>
      </c>
      <c r="L143">
        <v>0</v>
      </c>
      <c r="M143">
        <v>7.1428571428571423</v>
      </c>
      <c r="N143">
        <f t="shared" si="2"/>
        <v>6.9139255784143181</v>
      </c>
    </row>
    <row r="144" spans="1:14" x14ac:dyDescent="0.45">
      <c r="A144">
        <v>209</v>
      </c>
      <c r="B144">
        <v>0</v>
      </c>
      <c r="C144">
        <v>0</v>
      </c>
      <c r="D144">
        <v>0</v>
      </c>
      <c r="E144">
        <v>80</v>
      </c>
      <c r="F144">
        <v>0</v>
      </c>
      <c r="G144">
        <v>95.833333333333343</v>
      </c>
      <c r="H144">
        <v>68.965517241379317</v>
      </c>
      <c r="I144">
        <v>98.113207547169807</v>
      </c>
      <c r="J144">
        <v>6.666666666666667</v>
      </c>
      <c r="K144">
        <v>22.222222222222221</v>
      </c>
      <c r="L144">
        <v>7.1428571428571423</v>
      </c>
      <c r="M144">
        <v>10.714285714285714</v>
      </c>
      <c r="N144">
        <f t="shared" si="2"/>
        <v>38.052544652973694</v>
      </c>
    </row>
    <row r="145" spans="1:14" x14ac:dyDescent="0.45">
      <c r="A145">
        <v>210</v>
      </c>
      <c r="B145">
        <v>0</v>
      </c>
      <c r="C145">
        <v>0</v>
      </c>
      <c r="D145">
        <v>0</v>
      </c>
      <c r="E145">
        <v>20</v>
      </c>
      <c r="F145">
        <v>66.666666666666657</v>
      </c>
      <c r="G145">
        <v>41.666666666666671</v>
      </c>
      <c r="H145">
        <v>13.793103448275861</v>
      </c>
      <c r="I145">
        <v>100</v>
      </c>
      <c r="J145">
        <v>100</v>
      </c>
      <c r="K145">
        <v>61.111111111111114</v>
      </c>
      <c r="L145">
        <v>28.571428571428569</v>
      </c>
      <c r="M145">
        <v>39.285714285714285</v>
      </c>
      <c r="N145">
        <f t="shared" si="2"/>
        <v>43.657057849165177</v>
      </c>
    </row>
    <row r="146" spans="1:14" x14ac:dyDescent="0.45">
      <c r="A146">
        <v>211</v>
      </c>
      <c r="B146">
        <v>0</v>
      </c>
      <c r="C146">
        <v>0</v>
      </c>
      <c r="D146">
        <v>0</v>
      </c>
      <c r="E146">
        <v>20</v>
      </c>
      <c r="F146">
        <v>66.666666666666657</v>
      </c>
      <c r="G146">
        <v>41.666666666666671</v>
      </c>
      <c r="H146">
        <v>13.793103448275861</v>
      </c>
      <c r="I146">
        <v>100</v>
      </c>
      <c r="J146">
        <v>100</v>
      </c>
      <c r="K146">
        <v>61.111111111111114</v>
      </c>
      <c r="L146">
        <v>28.571428571428569</v>
      </c>
      <c r="M146">
        <v>39.285714285714285</v>
      </c>
      <c r="N146">
        <f t="shared" si="2"/>
        <v>43.657057849165177</v>
      </c>
    </row>
    <row r="147" spans="1:14" x14ac:dyDescent="0.45">
      <c r="A147">
        <v>213</v>
      </c>
      <c r="B147">
        <v>0</v>
      </c>
      <c r="C147">
        <v>0</v>
      </c>
      <c r="D147">
        <v>55.555555555555557</v>
      </c>
      <c r="E147">
        <v>60</v>
      </c>
      <c r="F147">
        <v>66.666666666666657</v>
      </c>
      <c r="G147">
        <v>62.5</v>
      </c>
      <c r="H147">
        <v>41.379310344827587</v>
      </c>
      <c r="I147">
        <v>94.339622641509436</v>
      </c>
      <c r="J147">
        <v>100</v>
      </c>
      <c r="K147">
        <v>16.666666666666664</v>
      </c>
      <c r="L147">
        <v>28.571428571428569</v>
      </c>
      <c r="M147">
        <v>32.142857142857146</v>
      </c>
      <c r="N147">
        <f t="shared" si="2"/>
        <v>53.729819418241192</v>
      </c>
    </row>
    <row r="148" spans="1:14" x14ac:dyDescent="0.45">
      <c r="A148">
        <v>214</v>
      </c>
      <c r="B148">
        <v>0</v>
      </c>
      <c r="C148">
        <v>0</v>
      </c>
      <c r="D148">
        <v>44.444444444444443</v>
      </c>
      <c r="E148">
        <v>50</v>
      </c>
      <c r="F148">
        <v>66.666666666666657</v>
      </c>
      <c r="G148">
        <v>62.5</v>
      </c>
      <c r="H148">
        <v>44.827586206896555</v>
      </c>
      <c r="I148">
        <v>96.226415094339629</v>
      </c>
      <c r="J148">
        <v>100</v>
      </c>
      <c r="K148">
        <v>22.222222222222221</v>
      </c>
      <c r="L148">
        <v>14.285714285714285</v>
      </c>
      <c r="M148">
        <v>35.714285714285715</v>
      </c>
      <c r="N148">
        <f t="shared" si="2"/>
        <v>50.555975251046561</v>
      </c>
    </row>
    <row r="149" spans="1:14" x14ac:dyDescent="0.45">
      <c r="A149">
        <v>215</v>
      </c>
      <c r="B149">
        <v>0</v>
      </c>
      <c r="C149">
        <v>0</v>
      </c>
      <c r="D149">
        <v>44.444444444444443</v>
      </c>
      <c r="E149">
        <v>40</v>
      </c>
      <c r="F149">
        <v>100</v>
      </c>
      <c r="G149">
        <v>50</v>
      </c>
      <c r="H149">
        <v>41.379310344827587</v>
      </c>
      <c r="I149">
        <v>73.584905660377359</v>
      </c>
      <c r="J149">
        <v>100</v>
      </c>
      <c r="K149">
        <v>16.666666666666664</v>
      </c>
      <c r="L149">
        <v>57.142857142857139</v>
      </c>
      <c r="M149">
        <v>71.428571428571431</v>
      </c>
      <c r="N149">
        <f t="shared" si="2"/>
        <v>56.458597785858331</v>
      </c>
    </row>
    <row r="150" spans="1:14" x14ac:dyDescent="0.45">
      <c r="A150">
        <v>216</v>
      </c>
      <c r="B150">
        <v>1</v>
      </c>
      <c r="C150">
        <v>0</v>
      </c>
      <c r="D150">
        <v>33.333333333333329</v>
      </c>
      <c r="E150">
        <v>20</v>
      </c>
      <c r="F150">
        <v>0</v>
      </c>
      <c r="G150">
        <v>41.666666666666671</v>
      </c>
      <c r="H150">
        <v>34.482758620689658</v>
      </c>
      <c r="I150">
        <v>35.849056603773583</v>
      </c>
      <c r="J150">
        <v>46.666666666666664</v>
      </c>
      <c r="K150">
        <v>22.222222222222221</v>
      </c>
      <c r="L150">
        <v>14.285714285714285</v>
      </c>
      <c r="M150">
        <v>14.285714285714285</v>
      </c>
      <c r="N150">
        <f t="shared" si="2"/>
        <v>27.476300256787123</v>
      </c>
    </row>
    <row r="151" spans="1:14" x14ac:dyDescent="0.45">
      <c r="A151">
        <v>217</v>
      </c>
      <c r="B151">
        <v>0</v>
      </c>
      <c r="C151">
        <v>0</v>
      </c>
      <c r="D151">
        <v>100</v>
      </c>
      <c r="E151">
        <v>60</v>
      </c>
      <c r="F151">
        <v>33.333333333333329</v>
      </c>
      <c r="G151">
        <v>66.666666666666657</v>
      </c>
      <c r="H151">
        <v>41.379310344827587</v>
      </c>
      <c r="I151">
        <v>50.943396226415096</v>
      </c>
      <c r="J151">
        <v>40</v>
      </c>
      <c r="K151">
        <v>11.111111111111111</v>
      </c>
      <c r="L151">
        <v>7.1428571428571423</v>
      </c>
      <c r="M151">
        <v>32.142857142857146</v>
      </c>
      <c r="N151">
        <f t="shared" si="2"/>
        <v>44.083978659601627</v>
      </c>
    </row>
    <row r="152" spans="1:14" x14ac:dyDescent="0.45">
      <c r="A152">
        <v>218</v>
      </c>
      <c r="B152">
        <v>0</v>
      </c>
      <c r="C152">
        <v>1</v>
      </c>
      <c r="D152">
        <v>22.222222222222221</v>
      </c>
      <c r="E152">
        <v>20</v>
      </c>
      <c r="F152">
        <v>100</v>
      </c>
      <c r="G152">
        <v>37.5</v>
      </c>
      <c r="H152">
        <v>13.793103448275861</v>
      </c>
      <c r="I152">
        <v>26.415094339622641</v>
      </c>
      <c r="J152">
        <v>13.333333333333334</v>
      </c>
      <c r="K152">
        <v>50</v>
      </c>
      <c r="L152">
        <v>7.1428571428571423</v>
      </c>
      <c r="M152">
        <v>46.428571428571431</v>
      </c>
      <c r="N152">
        <f t="shared" si="2"/>
        <v>28.608088399239467</v>
      </c>
    </row>
    <row r="153" spans="1:14" x14ac:dyDescent="0.45">
      <c r="A153">
        <v>219</v>
      </c>
      <c r="B153">
        <v>0</v>
      </c>
      <c r="C153">
        <v>0</v>
      </c>
      <c r="D153">
        <v>22.222222222222221</v>
      </c>
      <c r="E153">
        <v>0</v>
      </c>
      <c r="F153">
        <v>33.333333333333329</v>
      </c>
      <c r="G153">
        <v>25</v>
      </c>
      <c r="H153">
        <v>6.8965517241379306</v>
      </c>
      <c r="I153">
        <v>11.320754716981133</v>
      </c>
      <c r="J153">
        <v>13.333333333333334</v>
      </c>
      <c r="K153">
        <v>38.888888888888893</v>
      </c>
      <c r="L153">
        <v>0</v>
      </c>
      <c r="M153">
        <v>17.857142857142858</v>
      </c>
      <c r="N153">
        <f t="shared" si="2"/>
        <v>15.647004366610123</v>
      </c>
    </row>
    <row r="154" spans="1:14" x14ac:dyDescent="0.45">
      <c r="A154">
        <v>220</v>
      </c>
      <c r="B154">
        <v>0</v>
      </c>
      <c r="C154">
        <v>0</v>
      </c>
      <c r="D154">
        <v>33.333333333333329</v>
      </c>
      <c r="E154">
        <v>20</v>
      </c>
      <c r="F154">
        <v>33.333333333333329</v>
      </c>
      <c r="G154">
        <v>25</v>
      </c>
      <c r="H154">
        <v>24.137931034482758</v>
      </c>
      <c r="I154">
        <v>24.528301886792452</v>
      </c>
      <c r="J154">
        <v>33.333333333333329</v>
      </c>
      <c r="K154">
        <v>55.555555555555557</v>
      </c>
      <c r="L154">
        <v>7.1428571428571423</v>
      </c>
      <c r="M154">
        <v>60.714285714285708</v>
      </c>
      <c r="N154">
        <f t="shared" si="2"/>
        <v>29.12214298240044</v>
      </c>
    </row>
    <row r="155" spans="1:14" x14ac:dyDescent="0.45">
      <c r="A155">
        <v>221</v>
      </c>
      <c r="B155">
        <v>0</v>
      </c>
      <c r="C155">
        <v>0</v>
      </c>
      <c r="D155">
        <v>22.222222222222221</v>
      </c>
      <c r="E155">
        <v>20</v>
      </c>
      <c r="F155">
        <v>33.333333333333329</v>
      </c>
      <c r="G155">
        <v>45.833333333333329</v>
      </c>
      <c r="H155">
        <v>31.03448275862069</v>
      </c>
      <c r="I155">
        <v>37.735849056603776</v>
      </c>
      <c r="J155">
        <v>33.333333333333329</v>
      </c>
      <c r="K155">
        <v>72.222222222222214</v>
      </c>
      <c r="L155">
        <v>14.285714285714285</v>
      </c>
      <c r="M155">
        <v>53.571428571428569</v>
      </c>
      <c r="N155">
        <f t="shared" si="2"/>
        <v>34.367389797712441</v>
      </c>
    </row>
    <row r="156" spans="1:14" x14ac:dyDescent="0.45">
      <c r="A156">
        <v>222</v>
      </c>
      <c r="B156">
        <v>0</v>
      </c>
      <c r="C156">
        <v>0</v>
      </c>
      <c r="D156">
        <v>33.333333333333329</v>
      </c>
      <c r="E156">
        <v>20</v>
      </c>
      <c r="F156">
        <v>33.333333333333329</v>
      </c>
      <c r="G156">
        <v>25</v>
      </c>
      <c r="H156">
        <v>20.689655172413794</v>
      </c>
      <c r="I156">
        <v>13.20754716981132</v>
      </c>
      <c r="J156">
        <v>26.666666666666668</v>
      </c>
      <c r="K156">
        <v>33.333333333333329</v>
      </c>
      <c r="L156">
        <v>0</v>
      </c>
      <c r="M156">
        <v>10.714285714285714</v>
      </c>
      <c r="N156">
        <f t="shared" si="2"/>
        <v>20.635830371810211</v>
      </c>
    </row>
    <row r="157" spans="1:14" x14ac:dyDescent="0.45">
      <c r="A157">
        <v>223</v>
      </c>
      <c r="B157">
        <v>0</v>
      </c>
      <c r="C157">
        <v>0</v>
      </c>
      <c r="D157">
        <v>0</v>
      </c>
      <c r="E157">
        <v>20</v>
      </c>
      <c r="F157">
        <v>0</v>
      </c>
      <c r="G157">
        <v>37.5</v>
      </c>
      <c r="H157">
        <v>17.241379310344829</v>
      </c>
      <c r="I157">
        <v>26.415094339622641</v>
      </c>
      <c r="J157">
        <v>0</v>
      </c>
      <c r="K157">
        <v>50</v>
      </c>
      <c r="L157">
        <v>0</v>
      </c>
      <c r="M157">
        <v>7.1428571428571423</v>
      </c>
      <c r="N157">
        <f t="shared" si="2"/>
        <v>15.454223202682899</v>
      </c>
    </row>
    <row r="158" spans="1:14" x14ac:dyDescent="0.45">
      <c r="A158">
        <v>224</v>
      </c>
      <c r="B158">
        <v>0</v>
      </c>
      <c r="C158">
        <v>0</v>
      </c>
      <c r="D158">
        <v>11.111111111111111</v>
      </c>
      <c r="E158">
        <v>30</v>
      </c>
      <c r="F158">
        <v>0</v>
      </c>
      <c r="G158">
        <v>29.166666666666668</v>
      </c>
      <c r="H158">
        <v>13.793103448275861</v>
      </c>
      <c r="I158">
        <v>7.5471698113207548</v>
      </c>
      <c r="J158">
        <v>0</v>
      </c>
      <c r="K158">
        <v>0</v>
      </c>
      <c r="L158">
        <v>0</v>
      </c>
      <c r="M158">
        <v>46.428571428571431</v>
      </c>
      <c r="N158">
        <f t="shared" si="2"/>
        <v>11.685504794637836</v>
      </c>
    </row>
    <row r="159" spans="1:14" x14ac:dyDescent="0.45">
      <c r="A159">
        <v>225</v>
      </c>
      <c r="B159">
        <v>0</v>
      </c>
      <c r="C159">
        <v>0</v>
      </c>
      <c r="D159">
        <v>0</v>
      </c>
      <c r="E159">
        <v>10</v>
      </c>
      <c r="F159">
        <v>0</v>
      </c>
      <c r="G159">
        <v>8.3333333333333321</v>
      </c>
      <c r="H159">
        <v>13.793103448275861</v>
      </c>
      <c r="I159">
        <v>20.754716981132077</v>
      </c>
      <c r="J159">
        <v>13.333333333333334</v>
      </c>
      <c r="K159">
        <v>5.5555555555555554</v>
      </c>
      <c r="L159">
        <v>0</v>
      </c>
      <c r="M159">
        <v>50</v>
      </c>
      <c r="N159">
        <f t="shared" si="2"/>
        <v>9.9445450878471569</v>
      </c>
    </row>
    <row r="160" spans="1:14" x14ac:dyDescent="0.45">
      <c r="A160">
        <v>226</v>
      </c>
      <c r="B160">
        <v>0</v>
      </c>
      <c r="C160">
        <v>0</v>
      </c>
      <c r="D160">
        <v>44.444444444444443</v>
      </c>
      <c r="E160">
        <v>20</v>
      </c>
      <c r="F160">
        <v>0</v>
      </c>
      <c r="G160">
        <v>16.666666666666664</v>
      </c>
      <c r="H160">
        <v>20.689655172413794</v>
      </c>
      <c r="I160">
        <v>5.6603773584905666</v>
      </c>
      <c r="J160">
        <v>6.666666666666667</v>
      </c>
      <c r="K160">
        <v>16.666666666666664</v>
      </c>
      <c r="L160">
        <v>0</v>
      </c>
      <c r="M160">
        <v>67.857142857142861</v>
      </c>
      <c r="N160">
        <f t="shared" si="2"/>
        <v>18.258538060225479</v>
      </c>
    </row>
    <row r="161" spans="1:14" x14ac:dyDescent="0.45">
      <c r="A161">
        <v>227</v>
      </c>
      <c r="B161">
        <v>1</v>
      </c>
      <c r="C161">
        <v>0</v>
      </c>
      <c r="D161">
        <v>11.111111111111111</v>
      </c>
      <c r="E161">
        <v>10</v>
      </c>
      <c r="F161">
        <v>33.333333333333329</v>
      </c>
      <c r="G161">
        <v>8.3333333333333321</v>
      </c>
      <c r="H161">
        <v>17.241379310344829</v>
      </c>
      <c r="I161">
        <v>13.20754716981132</v>
      </c>
      <c r="J161">
        <v>20</v>
      </c>
      <c r="K161">
        <v>5.5555555555555554</v>
      </c>
      <c r="L161">
        <v>0</v>
      </c>
      <c r="M161">
        <v>28.571428571428569</v>
      </c>
      <c r="N161">
        <f t="shared" si="2"/>
        <v>12.435293335940802</v>
      </c>
    </row>
    <row r="162" spans="1:14" x14ac:dyDescent="0.45">
      <c r="A162">
        <v>230</v>
      </c>
      <c r="B162">
        <v>0</v>
      </c>
      <c r="C162">
        <v>0</v>
      </c>
      <c r="D162">
        <v>22.222222222222221</v>
      </c>
      <c r="E162">
        <v>30</v>
      </c>
      <c r="F162">
        <v>0</v>
      </c>
      <c r="G162">
        <v>8.3333333333333321</v>
      </c>
      <c r="H162">
        <v>13.793103448275861</v>
      </c>
      <c r="I162">
        <v>5.6603773584905666</v>
      </c>
      <c r="J162">
        <v>0</v>
      </c>
      <c r="K162">
        <v>22.222222222222221</v>
      </c>
      <c r="L162">
        <v>7.1428571428571423</v>
      </c>
      <c r="M162">
        <v>50</v>
      </c>
      <c r="N162">
        <f t="shared" si="2"/>
        <v>14.494145728318102</v>
      </c>
    </row>
    <row r="163" spans="1:14" x14ac:dyDescent="0.45">
      <c r="A163">
        <v>231</v>
      </c>
      <c r="B163">
        <v>1</v>
      </c>
      <c r="C163">
        <v>0</v>
      </c>
      <c r="D163">
        <v>11.111111111111111</v>
      </c>
      <c r="E163">
        <v>20</v>
      </c>
      <c r="F163">
        <v>0</v>
      </c>
      <c r="G163">
        <v>16.666666666666664</v>
      </c>
      <c r="H163">
        <v>20.689655172413794</v>
      </c>
      <c r="I163">
        <v>7.5471698113207548</v>
      </c>
      <c r="J163">
        <v>0</v>
      </c>
      <c r="K163">
        <v>5.5555555555555554</v>
      </c>
      <c r="L163">
        <v>14.285714285714285</v>
      </c>
      <c r="M163">
        <v>14.285714285714285</v>
      </c>
      <c r="N163">
        <f t="shared" si="2"/>
        <v>11.547137257375903</v>
      </c>
    </row>
    <row r="164" spans="1:14" x14ac:dyDescent="0.45">
      <c r="A164">
        <v>234</v>
      </c>
      <c r="B164">
        <v>0</v>
      </c>
      <c r="C164">
        <v>0</v>
      </c>
      <c r="D164">
        <v>0</v>
      </c>
      <c r="E164">
        <v>30</v>
      </c>
      <c r="F164">
        <v>0</v>
      </c>
      <c r="G164">
        <v>41.666666666666671</v>
      </c>
      <c r="H164">
        <v>55.172413793103445</v>
      </c>
      <c r="I164">
        <v>7.5471698113207548</v>
      </c>
      <c r="J164">
        <v>0</v>
      </c>
      <c r="K164">
        <v>5.5555555555555554</v>
      </c>
      <c r="L164">
        <v>7.1428571428571423</v>
      </c>
      <c r="M164">
        <v>25</v>
      </c>
      <c r="N164">
        <f t="shared" si="2"/>
        <v>16.878274819349155</v>
      </c>
    </row>
    <row r="165" spans="1:14" x14ac:dyDescent="0.45">
      <c r="A165">
        <v>237</v>
      </c>
      <c r="B165">
        <v>0</v>
      </c>
      <c r="C165">
        <v>0</v>
      </c>
      <c r="D165">
        <v>11.111111111111111</v>
      </c>
      <c r="E165">
        <v>10</v>
      </c>
      <c r="F165">
        <v>0</v>
      </c>
      <c r="G165">
        <v>4.1666666666666661</v>
      </c>
      <c r="H165">
        <v>3.4482758620689653</v>
      </c>
      <c r="I165">
        <v>3.7735849056603774</v>
      </c>
      <c r="J165">
        <v>6.666666666666667</v>
      </c>
      <c r="K165">
        <v>0</v>
      </c>
      <c r="L165">
        <v>0</v>
      </c>
      <c r="M165">
        <v>7.1428571428571423</v>
      </c>
      <c r="N165">
        <f t="shared" si="2"/>
        <v>4.4271827208488084</v>
      </c>
    </row>
    <row r="166" spans="1:14" x14ac:dyDescent="0.45">
      <c r="A166">
        <v>238</v>
      </c>
      <c r="B166">
        <v>0</v>
      </c>
      <c r="C166">
        <v>0</v>
      </c>
      <c r="D166">
        <v>22.222222222222221</v>
      </c>
      <c r="E166">
        <v>20</v>
      </c>
      <c r="F166">
        <v>0</v>
      </c>
      <c r="G166">
        <v>4.1666666666666661</v>
      </c>
      <c r="H166">
        <v>3.4482758620689653</v>
      </c>
      <c r="I166">
        <v>3.7735849056603774</v>
      </c>
      <c r="J166">
        <v>6.666666666666667</v>
      </c>
      <c r="K166">
        <v>0</v>
      </c>
      <c r="L166">
        <v>0</v>
      </c>
      <c r="M166">
        <v>7.1428571428571423</v>
      </c>
      <c r="N166">
        <f t="shared" si="2"/>
        <v>6.6182616525818592</v>
      </c>
    </row>
    <row r="167" spans="1:14" x14ac:dyDescent="0.45">
      <c r="A167">
        <v>239</v>
      </c>
      <c r="B167">
        <v>1</v>
      </c>
      <c r="C167">
        <v>0</v>
      </c>
      <c r="D167">
        <v>11.111111111111111</v>
      </c>
      <c r="E167">
        <v>20</v>
      </c>
      <c r="F167">
        <v>0</v>
      </c>
      <c r="G167">
        <v>0</v>
      </c>
      <c r="H167">
        <v>6.8965517241379306</v>
      </c>
      <c r="I167">
        <v>9.433962264150944</v>
      </c>
      <c r="J167">
        <v>6.666666666666667</v>
      </c>
      <c r="K167">
        <v>5.5555555555555554</v>
      </c>
      <c r="L167">
        <v>0</v>
      </c>
      <c r="M167">
        <v>17.857142857142858</v>
      </c>
      <c r="N167">
        <f t="shared" si="2"/>
        <v>6.8818350753599953</v>
      </c>
    </row>
    <row r="168" spans="1:14" x14ac:dyDescent="0.45">
      <c r="A168">
        <v>240</v>
      </c>
      <c r="B168">
        <v>1</v>
      </c>
      <c r="C168">
        <v>0</v>
      </c>
      <c r="D168">
        <v>0</v>
      </c>
      <c r="E168">
        <v>20</v>
      </c>
      <c r="F168">
        <v>0</v>
      </c>
      <c r="G168">
        <v>8.3333333333333321</v>
      </c>
      <c r="H168">
        <v>6.8965517241379306</v>
      </c>
      <c r="I168">
        <v>5.6603773584905666</v>
      </c>
      <c r="J168">
        <v>0</v>
      </c>
      <c r="K168">
        <v>0</v>
      </c>
      <c r="L168">
        <v>0</v>
      </c>
      <c r="M168">
        <v>10.714285714285714</v>
      </c>
      <c r="N168">
        <f t="shared" si="2"/>
        <v>4.2992220766335567</v>
      </c>
    </row>
    <row r="169" spans="1:14" x14ac:dyDescent="0.45">
      <c r="A169">
        <v>241</v>
      </c>
      <c r="B169">
        <v>0</v>
      </c>
      <c r="C169">
        <v>0</v>
      </c>
      <c r="D169">
        <v>11.111111111111111</v>
      </c>
      <c r="E169">
        <v>60</v>
      </c>
      <c r="F169">
        <v>33.333333333333329</v>
      </c>
      <c r="G169">
        <v>75</v>
      </c>
      <c r="H169">
        <v>58.620689655172406</v>
      </c>
      <c r="I169">
        <v>13.20754716981132</v>
      </c>
      <c r="J169">
        <v>0</v>
      </c>
      <c r="K169">
        <v>0</v>
      </c>
      <c r="L169">
        <v>0</v>
      </c>
      <c r="M169">
        <v>14.285714285714285</v>
      </c>
      <c r="N169">
        <f t="shared" si="2"/>
        <v>24.514545032143502</v>
      </c>
    </row>
    <row r="170" spans="1:14" x14ac:dyDescent="0.45">
      <c r="A170">
        <v>242</v>
      </c>
      <c r="B170">
        <v>0</v>
      </c>
      <c r="C170">
        <v>0</v>
      </c>
      <c r="D170">
        <v>11.111111111111111</v>
      </c>
      <c r="E170">
        <v>60</v>
      </c>
      <c r="F170">
        <v>33.333333333333329</v>
      </c>
      <c r="G170">
        <v>75</v>
      </c>
      <c r="H170">
        <v>58.620689655172406</v>
      </c>
      <c r="I170">
        <v>13.20754716981132</v>
      </c>
      <c r="J170">
        <v>0</v>
      </c>
      <c r="K170">
        <v>0</v>
      </c>
      <c r="L170">
        <v>0</v>
      </c>
      <c r="M170">
        <v>14.285714285714285</v>
      </c>
      <c r="N170">
        <f t="shared" si="2"/>
        <v>24.514545032143502</v>
      </c>
    </row>
    <row r="171" spans="1:14" x14ac:dyDescent="0.45">
      <c r="A171">
        <v>244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f t="shared" si="2"/>
        <v>0</v>
      </c>
    </row>
    <row r="172" spans="1:14" x14ac:dyDescent="0.45">
      <c r="A172">
        <v>245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17.857142857142858</v>
      </c>
      <c r="N172">
        <f t="shared" si="2"/>
        <v>1.0342612903228519</v>
      </c>
    </row>
    <row r="173" spans="1:14" x14ac:dyDescent="0.45">
      <c r="A173">
        <v>246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6.666666666666667</v>
      </c>
      <c r="K173">
        <v>5.5555555555555554</v>
      </c>
      <c r="L173">
        <v>0</v>
      </c>
      <c r="M173">
        <v>0</v>
      </c>
      <c r="N173">
        <f t="shared" si="2"/>
        <v>1.1918559647393436</v>
      </c>
    </row>
    <row r="174" spans="1:14" x14ac:dyDescent="0.45">
      <c r="A174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7.1428571428571423</v>
      </c>
      <c r="N174">
        <f t="shared" si="2"/>
        <v>0.41370451612914072</v>
      </c>
    </row>
    <row r="175" spans="1:14" x14ac:dyDescent="0.45">
      <c r="A175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f t="shared" si="2"/>
        <v>0</v>
      </c>
    </row>
    <row r="176" spans="1:14" x14ac:dyDescent="0.45">
      <c r="A176">
        <v>250</v>
      </c>
      <c r="B176">
        <v>0</v>
      </c>
      <c r="C176">
        <v>1</v>
      </c>
      <c r="D176">
        <v>0</v>
      </c>
      <c r="E176">
        <v>10</v>
      </c>
      <c r="F176">
        <v>0</v>
      </c>
      <c r="G176">
        <v>0</v>
      </c>
      <c r="H176">
        <v>13.793103448275861</v>
      </c>
      <c r="I176">
        <v>30.188679245283019</v>
      </c>
      <c r="J176">
        <v>0</v>
      </c>
      <c r="K176">
        <v>22.222222222222221</v>
      </c>
      <c r="L176">
        <v>7.1428571428571423</v>
      </c>
      <c r="M176">
        <v>42.857142857142854</v>
      </c>
      <c r="N176">
        <f t="shared" si="2"/>
        <v>11.243753029886378</v>
      </c>
    </row>
    <row r="177" spans="1:14" x14ac:dyDescent="0.45">
      <c r="A177">
        <v>253</v>
      </c>
      <c r="B177">
        <v>0</v>
      </c>
      <c r="C177">
        <v>0</v>
      </c>
      <c r="D177">
        <v>11.111111111111111</v>
      </c>
      <c r="E177">
        <v>0</v>
      </c>
      <c r="F177">
        <v>33.333333333333329</v>
      </c>
      <c r="G177">
        <v>4.1666666666666661</v>
      </c>
      <c r="H177">
        <v>3.4482758620689653</v>
      </c>
      <c r="I177">
        <v>9.433962264150944</v>
      </c>
      <c r="J177">
        <v>13.333333333333334</v>
      </c>
      <c r="K177">
        <v>22.222222222222221</v>
      </c>
      <c r="L177">
        <v>0</v>
      </c>
      <c r="M177">
        <v>28.571428571428569</v>
      </c>
      <c r="N177">
        <f t="shared" si="2"/>
        <v>10.375468849220844</v>
      </c>
    </row>
    <row r="178" spans="1:14" x14ac:dyDescent="0.45">
      <c r="A178">
        <v>255</v>
      </c>
      <c r="B178">
        <v>0</v>
      </c>
      <c r="C178">
        <v>0</v>
      </c>
      <c r="D178">
        <v>22.222222222222221</v>
      </c>
      <c r="E178">
        <v>20</v>
      </c>
      <c r="F178">
        <v>66.666666666666657</v>
      </c>
      <c r="G178">
        <v>41.666666666666671</v>
      </c>
      <c r="H178">
        <v>41.379310344827587</v>
      </c>
      <c r="I178">
        <v>33.962264150943398</v>
      </c>
      <c r="J178">
        <v>20</v>
      </c>
      <c r="K178">
        <v>44.444444444444443</v>
      </c>
      <c r="L178">
        <v>0</v>
      </c>
      <c r="M178">
        <v>50</v>
      </c>
      <c r="N178">
        <f t="shared" si="2"/>
        <v>30.12014100978007</v>
      </c>
    </row>
    <row r="179" spans="1:14" x14ac:dyDescent="0.45">
      <c r="A179">
        <v>256</v>
      </c>
      <c r="B179">
        <v>0</v>
      </c>
      <c r="C179">
        <v>0</v>
      </c>
      <c r="D179">
        <v>22.222222222222221</v>
      </c>
      <c r="E179">
        <v>20</v>
      </c>
      <c r="F179">
        <v>66.666666666666657</v>
      </c>
      <c r="G179">
        <v>41.666666666666671</v>
      </c>
      <c r="H179">
        <v>41.379310344827587</v>
      </c>
      <c r="I179">
        <v>33.962264150943398</v>
      </c>
      <c r="J179">
        <v>20</v>
      </c>
      <c r="K179">
        <v>44.444444444444443</v>
      </c>
      <c r="L179">
        <v>0</v>
      </c>
      <c r="M179">
        <v>50</v>
      </c>
      <c r="N179">
        <f t="shared" si="2"/>
        <v>30.12014100978007</v>
      </c>
    </row>
    <row r="180" spans="1:14" x14ac:dyDescent="0.45">
      <c r="A180">
        <v>260</v>
      </c>
      <c r="B180">
        <v>0</v>
      </c>
      <c r="C180">
        <v>0</v>
      </c>
      <c r="D180">
        <v>0</v>
      </c>
      <c r="E180">
        <v>10</v>
      </c>
      <c r="F180">
        <v>0</v>
      </c>
      <c r="G180">
        <v>8.3333333333333321</v>
      </c>
      <c r="H180">
        <v>3.4482758620689653</v>
      </c>
      <c r="I180">
        <v>1.8867924528301887</v>
      </c>
      <c r="J180">
        <v>0</v>
      </c>
      <c r="K180">
        <v>11.111111111111111</v>
      </c>
      <c r="L180">
        <v>0</v>
      </c>
      <c r="M180">
        <v>25</v>
      </c>
      <c r="N180">
        <f t="shared" si="2"/>
        <v>4.7617872227110691</v>
      </c>
    </row>
    <row r="181" spans="1:14" x14ac:dyDescent="0.45">
      <c r="A181">
        <v>261</v>
      </c>
      <c r="B181">
        <v>0</v>
      </c>
      <c r="C181">
        <v>0</v>
      </c>
      <c r="D181">
        <v>0</v>
      </c>
      <c r="E181">
        <v>10</v>
      </c>
      <c r="F181">
        <v>0</v>
      </c>
      <c r="G181">
        <v>8.3333333333333321</v>
      </c>
      <c r="H181">
        <v>3.4482758620689653</v>
      </c>
      <c r="I181">
        <v>1.8867924528301887</v>
      </c>
      <c r="J181">
        <v>0</v>
      </c>
      <c r="K181">
        <v>11.111111111111111</v>
      </c>
      <c r="L181">
        <v>0</v>
      </c>
      <c r="M181">
        <v>25</v>
      </c>
      <c r="N181">
        <f t="shared" si="2"/>
        <v>4.7617872227110691</v>
      </c>
    </row>
    <row r="182" spans="1:14" x14ac:dyDescent="0.45">
      <c r="A182">
        <v>262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16.666666666666664</v>
      </c>
      <c r="H182">
        <v>27.586206896551722</v>
      </c>
      <c r="I182">
        <v>5.6603773584905666</v>
      </c>
      <c r="J182">
        <v>0</v>
      </c>
      <c r="K182">
        <v>0</v>
      </c>
      <c r="L182">
        <v>0</v>
      </c>
      <c r="M182">
        <v>25</v>
      </c>
      <c r="N182">
        <f t="shared" si="2"/>
        <v>6.9526930257088306</v>
      </c>
    </row>
    <row r="183" spans="1:14" x14ac:dyDescent="0.45">
      <c r="A183">
        <v>263</v>
      </c>
      <c r="B183">
        <v>0</v>
      </c>
      <c r="C183">
        <v>0</v>
      </c>
      <c r="D183">
        <v>0</v>
      </c>
      <c r="E183">
        <v>10</v>
      </c>
      <c r="F183">
        <v>0</v>
      </c>
      <c r="G183">
        <v>25</v>
      </c>
      <c r="H183">
        <v>24.137931034482758</v>
      </c>
      <c r="I183">
        <v>13.20754716981132</v>
      </c>
      <c r="J183">
        <v>13.333333333333334</v>
      </c>
      <c r="K183">
        <v>16.666666666666664</v>
      </c>
      <c r="L183">
        <v>0</v>
      </c>
      <c r="M183">
        <v>25</v>
      </c>
      <c r="N183">
        <f t="shared" si="2"/>
        <v>11.821471775110004</v>
      </c>
    </row>
    <row r="184" spans="1:14" x14ac:dyDescent="0.45">
      <c r="A184">
        <v>264</v>
      </c>
      <c r="B184">
        <v>0</v>
      </c>
      <c r="C184">
        <v>0</v>
      </c>
      <c r="D184">
        <v>11.111111111111111</v>
      </c>
      <c r="E184">
        <v>0</v>
      </c>
      <c r="F184">
        <v>0</v>
      </c>
      <c r="G184">
        <v>4.1666666666666661</v>
      </c>
      <c r="H184">
        <v>6.8965517241379306</v>
      </c>
      <c r="I184">
        <v>1.8867924528301887</v>
      </c>
      <c r="J184">
        <v>0</v>
      </c>
      <c r="K184">
        <v>0</v>
      </c>
      <c r="L184">
        <v>0</v>
      </c>
      <c r="M184">
        <v>21.428571428571427</v>
      </c>
      <c r="N184">
        <f t="shared" si="2"/>
        <v>4.1237805169553612</v>
      </c>
    </row>
    <row r="185" spans="1:14" x14ac:dyDescent="0.45">
      <c r="A185">
        <v>265</v>
      </c>
      <c r="B185">
        <v>0</v>
      </c>
      <c r="C185">
        <v>0</v>
      </c>
      <c r="D185">
        <v>11.111111111111111</v>
      </c>
      <c r="E185">
        <v>0</v>
      </c>
      <c r="F185">
        <v>0</v>
      </c>
      <c r="G185">
        <v>4.1666666666666661</v>
      </c>
      <c r="H185">
        <v>6.8965517241379306</v>
      </c>
      <c r="I185">
        <v>1.8867924528301887</v>
      </c>
      <c r="J185">
        <v>0</v>
      </c>
      <c r="K185">
        <v>0</v>
      </c>
      <c r="L185">
        <v>0</v>
      </c>
      <c r="M185">
        <v>21.428571428571427</v>
      </c>
      <c r="N185">
        <f t="shared" si="2"/>
        <v>4.1237805169553612</v>
      </c>
    </row>
    <row r="186" spans="1:14" x14ac:dyDescent="0.45">
      <c r="A186">
        <v>266</v>
      </c>
      <c r="B186">
        <v>0</v>
      </c>
      <c r="C186">
        <v>0</v>
      </c>
      <c r="D186">
        <v>0</v>
      </c>
      <c r="E186">
        <v>30</v>
      </c>
      <c r="F186">
        <v>33.333333333333329</v>
      </c>
      <c r="G186">
        <v>20.833333333333336</v>
      </c>
      <c r="H186">
        <v>20.689655172413794</v>
      </c>
      <c r="I186">
        <v>7.5471698113207548</v>
      </c>
      <c r="J186">
        <v>13.333333333333334</v>
      </c>
      <c r="K186">
        <v>0</v>
      </c>
      <c r="L186">
        <v>0</v>
      </c>
      <c r="M186">
        <v>7.1428571428571423</v>
      </c>
      <c r="N186">
        <f t="shared" si="2"/>
        <v>11.134217258743467</v>
      </c>
    </row>
    <row r="187" spans="1:14" x14ac:dyDescent="0.45">
      <c r="A187">
        <v>269</v>
      </c>
      <c r="B187">
        <v>0</v>
      </c>
      <c r="C187">
        <v>0</v>
      </c>
      <c r="D187">
        <v>11.111111111111111</v>
      </c>
      <c r="E187">
        <v>10</v>
      </c>
      <c r="F187">
        <v>0</v>
      </c>
      <c r="G187">
        <v>0</v>
      </c>
      <c r="H187">
        <v>0</v>
      </c>
      <c r="I187">
        <v>1.8867924528301887</v>
      </c>
      <c r="J187">
        <v>6.666666666666667</v>
      </c>
      <c r="K187">
        <v>0</v>
      </c>
      <c r="L187">
        <v>0</v>
      </c>
      <c r="M187">
        <v>10.714285714285714</v>
      </c>
      <c r="N187">
        <f t="shared" si="2"/>
        <v>3.6176229174767309</v>
      </c>
    </row>
    <row r="188" spans="1:14" x14ac:dyDescent="0.45">
      <c r="A188">
        <v>271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f t="shared" si="2"/>
        <v>0</v>
      </c>
    </row>
    <row r="189" spans="1:14" x14ac:dyDescent="0.45">
      <c r="A189">
        <v>273</v>
      </c>
      <c r="B189">
        <v>0</v>
      </c>
      <c r="C189">
        <v>1</v>
      </c>
      <c r="D189">
        <v>0</v>
      </c>
      <c r="E189">
        <v>10</v>
      </c>
      <c r="F189">
        <v>33.333333333333329</v>
      </c>
      <c r="G189">
        <v>20.833333333333336</v>
      </c>
      <c r="H189">
        <v>17.241379310344829</v>
      </c>
      <c r="I189">
        <v>11.320754716981133</v>
      </c>
      <c r="J189">
        <v>0</v>
      </c>
      <c r="K189">
        <v>5.5555555555555554</v>
      </c>
      <c r="L189">
        <v>7.1428571428571423</v>
      </c>
      <c r="M189">
        <v>7.1428571428571423</v>
      </c>
      <c r="N189">
        <f t="shared" si="2"/>
        <v>10.138124527471568</v>
      </c>
    </row>
    <row r="190" spans="1:14" x14ac:dyDescent="0.45">
      <c r="A190">
        <v>274</v>
      </c>
      <c r="B190">
        <v>0</v>
      </c>
      <c r="C190">
        <v>0</v>
      </c>
      <c r="D190">
        <v>0</v>
      </c>
      <c r="E190">
        <v>10</v>
      </c>
      <c r="F190">
        <v>33.333333333333329</v>
      </c>
      <c r="G190">
        <v>20.833333333333336</v>
      </c>
      <c r="H190">
        <v>10.344827586206897</v>
      </c>
      <c r="I190">
        <v>3.7735849056603774</v>
      </c>
      <c r="J190">
        <v>0</v>
      </c>
      <c r="K190">
        <v>0</v>
      </c>
      <c r="L190">
        <v>0</v>
      </c>
      <c r="M190">
        <v>3.5714285714285712</v>
      </c>
      <c r="N190">
        <f t="shared" si="2"/>
        <v>6.6363491084810429</v>
      </c>
    </row>
    <row r="191" spans="1:14" x14ac:dyDescent="0.45">
      <c r="A191">
        <v>275</v>
      </c>
      <c r="B191">
        <v>0</v>
      </c>
      <c r="C191">
        <v>0</v>
      </c>
      <c r="D191">
        <v>11.111111111111111</v>
      </c>
      <c r="E191">
        <v>0</v>
      </c>
      <c r="F191">
        <v>0</v>
      </c>
      <c r="G191">
        <v>0</v>
      </c>
      <c r="H191">
        <v>6.8965517241379306</v>
      </c>
      <c r="I191">
        <v>18.867924528301888</v>
      </c>
      <c r="J191">
        <v>6.666666666666667</v>
      </c>
      <c r="K191">
        <v>22.222222222222221</v>
      </c>
      <c r="L191">
        <v>7.1428571428571423</v>
      </c>
      <c r="M191">
        <v>17.857142857142858</v>
      </c>
      <c r="N191">
        <f t="shared" si="2"/>
        <v>9.2286402447614755</v>
      </c>
    </row>
    <row r="192" spans="1:14" x14ac:dyDescent="0.45">
      <c r="A192">
        <v>276</v>
      </c>
      <c r="B192">
        <v>0</v>
      </c>
      <c r="C192">
        <v>0</v>
      </c>
      <c r="D192">
        <v>22.222222222222221</v>
      </c>
      <c r="E192">
        <v>30</v>
      </c>
      <c r="F192">
        <v>100</v>
      </c>
      <c r="G192">
        <v>29.166666666666668</v>
      </c>
      <c r="H192">
        <v>13.793103448275861</v>
      </c>
      <c r="I192">
        <v>11.320754716981133</v>
      </c>
      <c r="J192">
        <v>13.333333333333334</v>
      </c>
      <c r="K192">
        <v>0</v>
      </c>
      <c r="L192">
        <v>0</v>
      </c>
      <c r="M192">
        <v>42.857142857142854</v>
      </c>
      <c r="N192">
        <f t="shared" si="2"/>
        <v>20.496398652304098</v>
      </c>
    </row>
    <row r="193" spans="1:14" x14ac:dyDescent="0.45">
      <c r="A193">
        <v>277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10.344827586206897</v>
      </c>
      <c r="I193">
        <v>16.981132075471699</v>
      </c>
      <c r="J193">
        <v>0</v>
      </c>
      <c r="K193">
        <v>11.111111111111111</v>
      </c>
      <c r="L193">
        <v>0</v>
      </c>
      <c r="M193">
        <v>17.857142857142858</v>
      </c>
      <c r="N193">
        <f t="shared" si="2"/>
        <v>5.0524282350962144</v>
      </c>
    </row>
    <row r="194" spans="1:14" x14ac:dyDescent="0.45">
      <c r="A194">
        <v>278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8.3333333333333321</v>
      </c>
      <c r="H194">
        <v>13.793103448275861</v>
      </c>
      <c r="I194">
        <v>15.09433962264151</v>
      </c>
      <c r="J194">
        <v>0</v>
      </c>
      <c r="K194">
        <v>5.5555555555555554</v>
      </c>
      <c r="L194">
        <v>0</v>
      </c>
      <c r="M194">
        <v>21.428571428571427</v>
      </c>
      <c r="N194">
        <f t="shared" si="2"/>
        <v>5.7626141292447457</v>
      </c>
    </row>
    <row r="195" spans="1:14" x14ac:dyDescent="0.45">
      <c r="A195">
        <v>279</v>
      </c>
      <c r="B195">
        <v>0</v>
      </c>
      <c r="C195">
        <v>0</v>
      </c>
      <c r="D195">
        <v>0</v>
      </c>
      <c r="E195">
        <v>30</v>
      </c>
      <c r="F195">
        <v>66.666666666666657</v>
      </c>
      <c r="G195">
        <v>16.666666666666664</v>
      </c>
      <c r="H195">
        <v>17.241379310344829</v>
      </c>
      <c r="I195">
        <v>35.849056603773583</v>
      </c>
      <c r="J195">
        <v>6.666666666666667</v>
      </c>
      <c r="K195">
        <v>33.333333333333329</v>
      </c>
      <c r="L195">
        <v>14.285714285714285</v>
      </c>
      <c r="M195">
        <v>57.142857142857139</v>
      </c>
      <c r="N195">
        <f t="shared" si="2"/>
        <v>23.097019598449403</v>
      </c>
    </row>
    <row r="196" spans="1:14" x14ac:dyDescent="0.45">
      <c r="A196">
        <v>280</v>
      </c>
      <c r="B196">
        <v>0</v>
      </c>
      <c r="C196">
        <v>0</v>
      </c>
      <c r="D196">
        <v>0</v>
      </c>
      <c r="E196">
        <v>30</v>
      </c>
      <c r="F196">
        <v>66.666666666666657</v>
      </c>
      <c r="G196">
        <v>16.666666666666664</v>
      </c>
      <c r="H196">
        <v>17.241379310344829</v>
      </c>
      <c r="I196">
        <v>35.849056603773583</v>
      </c>
      <c r="J196">
        <v>6.666666666666667</v>
      </c>
      <c r="K196">
        <v>33.333333333333329</v>
      </c>
      <c r="L196">
        <v>14.285714285714285</v>
      </c>
      <c r="M196">
        <v>57.142857142857139</v>
      </c>
      <c r="N196">
        <f t="shared" si="2"/>
        <v>23.097019598449403</v>
      </c>
    </row>
    <row r="197" spans="1:14" x14ac:dyDescent="0.45">
      <c r="A197">
        <v>281</v>
      </c>
      <c r="B197">
        <v>0</v>
      </c>
      <c r="C197">
        <v>0</v>
      </c>
      <c r="D197">
        <v>0</v>
      </c>
      <c r="E197">
        <v>30</v>
      </c>
      <c r="F197">
        <v>66.666666666666657</v>
      </c>
      <c r="G197">
        <v>16.666666666666664</v>
      </c>
      <c r="H197">
        <v>17.241379310344829</v>
      </c>
      <c r="I197">
        <v>35.849056603773583</v>
      </c>
      <c r="J197">
        <v>6.666666666666667</v>
      </c>
      <c r="K197">
        <v>33.333333333333329</v>
      </c>
      <c r="L197">
        <v>14.285714285714285</v>
      </c>
      <c r="M197">
        <v>57.142857142857139</v>
      </c>
      <c r="N197">
        <f t="shared" ref="N197:N260" si="3">D197*D$1+E197*E$1+F197*F$1+G197*G$1+H197*H$1+I197*I$1+J197*J$1+K197*K$1+L197*L$1+M197*M$1</f>
        <v>23.097019598449403</v>
      </c>
    </row>
    <row r="198" spans="1:14" x14ac:dyDescent="0.45">
      <c r="A198">
        <v>282</v>
      </c>
      <c r="B198">
        <v>0</v>
      </c>
      <c r="C198">
        <v>0</v>
      </c>
      <c r="D198">
        <v>0</v>
      </c>
      <c r="E198">
        <v>30</v>
      </c>
      <c r="F198">
        <v>66.666666666666657</v>
      </c>
      <c r="G198">
        <v>12.5</v>
      </c>
      <c r="H198">
        <v>13.793103448275861</v>
      </c>
      <c r="I198">
        <v>28.30188679245283</v>
      </c>
      <c r="J198">
        <v>0</v>
      </c>
      <c r="K198">
        <v>33.333333333333329</v>
      </c>
      <c r="L198">
        <v>14.285714285714285</v>
      </c>
      <c r="M198">
        <v>46.428571428571431</v>
      </c>
      <c r="N198">
        <f t="shared" si="3"/>
        <v>20.285192026458532</v>
      </c>
    </row>
    <row r="199" spans="1:14" x14ac:dyDescent="0.45">
      <c r="A199">
        <v>283</v>
      </c>
      <c r="B199">
        <v>0</v>
      </c>
      <c r="C199">
        <v>0</v>
      </c>
      <c r="D199">
        <v>0</v>
      </c>
      <c r="E199">
        <v>30</v>
      </c>
      <c r="F199">
        <v>66.666666666666657</v>
      </c>
      <c r="G199">
        <v>8.3333333333333321</v>
      </c>
      <c r="H199">
        <v>13.793103448275861</v>
      </c>
      <c r="I199">
        <v>28.30188679245283</v>
      </c>
      <c r="J199">
        <v>0</v>
      </c>
      <c r="K199">
        <v>16.666666666666664</v>
      </c>
      <c r="L199">
        <v>7.1428571428571423</v>
      </c>
      <c r="M199">
        <v>50</v>
      </c>
      <c r="N199">
        <f t="shared" si="3"/>
        <v>17.1799148949342</v>
      </c>
    </row>
    <row r="200" spans="1:14" x14ac:dyDescent="0.45">
      <c r="A200">
        <v>284</v>
      </c>
      <c r="B200">
        <v>0</v>
      </c>
      <c r="C200">
        <v>0</v>
      </c>
      <c r="D200">
        <v>0</v>
      </c>
      <c r="E200">
        <v>30</v>
      </c>
      <c r="F200">
        <v>66.666666666666657</v>
      </c>
      <c r="G200">
        <v>12.5</v>
      </c>
      <c r="H200">
        <v>13.793103448275861</v>
      </c>
      <c r="I200">
        <v>28.30188679245283</v>
      </c>
      <c r="J200">
        <v>0</v>
      </c>
      <c r="K200">
        <v>33.333333333333329</v>
      </c>
      <c r="L200">
        <v>14.285714285714285</v>
      </c>
      <c r="M200">
        <v>46.428571428571431</v>
      </c>
      <c r="N200">
        <f t="shared" si="3"/>
        <v>20.285192026458532</v>
      </c>
    </row>
    <row r="201" spans="1:14" x14ac:dyDescent="0.45">
      <c r="A201">
        <v>285</v>
      </c>
      <c r="B201">
        <v>0</v>
      </c>
      <c r="C201">
        <v>0</v>
      </c>
      <c r="D201">
        <v>0</v>
      </c>
      <c r="E201">
        <v>30</v>
      </c>
      <c r="F201">
        <v>66.666666666666657</v>
      </c>
      <c r="G201">
        <v>12.5</v>
      </c>
      <c r="H201">
        <v>13.793103448275861</v>
      </c>
      <c r="I201">
        <v>28.30188679245283</v>
      </c>
      <c r="J201">
        <v>0</v>
      </c>
      <c r="K201">
        <v>33.333333333333329</v>
      </c>
      <c r="L201">
        <v>14.285714285714285</v>
      </c>
      <c r="M201">
        <v>46.428571428571431</v>
      </c>
      <c r="N201">
        <f t="shared" si="3"/>
        <v>20.285192026458532</v>
      </c>
    </row>
    <row r="202" spans="1:14" x14ac:dyDescent="0.45">
      <c r="A202">
        <v>286</v>
      </c>
      <c r="B202">
        <v>0</v>
      </c>
      <c r="C202">
        <v>0</v>
      </c>
      <c r="D202">
        <v>0</v>
      </c>
      <c r="E202">
        <v>30</v>
      </c>
      <c r="F202">
        <v>66.666666666666657</v>
      </c>
      <c r="G202">
        <v>8.3333333333333321</v>
      </c>
      <c r="H202">
        <v>13.793103448275861</v>
      </c>
      <c r="I202">
        <v>28.30188679245283</v>
      </c>
      <c r="J202">
        <v>0</v>
      </c>
      <c r="K202">
        <v>16.666666666666664</v>
      </c>
      <c r="L202">
        <v>7.1428571428571423</v>
      </c>
      <c r="M202">
        <v>50</v>
      </c>
      <c r="N202">
        <f t="shared" si="3"/>
        <v>17.1799148949342</v>
      </c>
    </row>
    <row r="203" spans="1:14" x14ac:dyDescent="0.45">
      <c r="A203">
        <v>287</v>
      </c>
      <c r="B203">
        <v>0</v>
      </c>
      <c r="C203">
        <v>0</v>
      </c>
      <c r="D203">
        <v>0</v>
      </c>
      <c r="E203">
        <v>30</v>
      </c>
      <c r="F203">
        <v>66.666666666666657</v>
      </c>
      <c r="G203">
        <v>8.3333333333333321</v>
      </c>
      <c r="H203">
        <v>13.793103448275861</v>
      </c>
      <c r="I203">
        <v>28.30188679245283</v>
      </c>
      <c r="J203">
        <v>0</v>
      </c>
      <c r="K203">
        <v>16.666666666666664</v>
      </c>
      <c r="L203">
        <v>7.1428571428571423</v>
      </c>
      <c r="M203">
        <v>50</v>
      </c>
      <c r="N203">
        <f t="shared" si="3"/>
        <v>17.1799148949342</v>
      </c>
    </row>
    <row r="204" spans="1:14" x14ac:dyDescent="0.45">
      <c r="A204">
        <v>288</v>
      </c>
      <c r="B204">
        <v>0</v>
      </c>
      <c r="C204">
        <v>0</v>
      </c>
      <c r="D204">
        <v>0</v>
      </c>
      <c r="E204">
        <v>30</v>
      </c>
      <c r="F204">
        <v>66.666666666666657</v>
      </c>
      <c r="G204">
        <v>8.3333333333333321</v>
      </c>
      <c r="H204">
        <v>13.793103448275861</v>
      </c>
      <c r="I204">
        <v>28.30188679245283</v>
      </c>
      <c r="J204">
        <v>0</v>
      </c>
      <c r="K204">
        <v>16.666666666666664</v>
      </c>
      <c r="L204">
        <v>7.1428571428571423</v>
      </c>
      <c r="M204">
        <v>50</v>
      </c>
      <c r="N204">
        <f t="shared" si="3"/>
        <v>17.1799148949342</v>
      </c>
    </row>
    <row r="205" spans="1:14" x14ac:dyDescent="0.45">
      <c r="A205">
        <v>289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4.1666666666666661</v>
      </c>
      <c r="H205">
        <v>3.4482758620689653</v>
      </c>
      <c r="I205">
        <v>9.433962264150944</v>
      </c>
      <c r="J205">
        <v>0</v>
      </c>
      <c r="K205">
        <v>11.111111111111111</v>
      </c>
      <c r="L205">
        <v>0</v>
      </c>
      <c r="M205">
        <v>25</v>
      </c>
      <c r="N205">
        <f t="shared" si="3"/>
        <v>4.3427299486990147</v>
      </c>
    </row>
    <row r="206" spans="1:14" x14ac:dyDescent="0.45">
      <c r="A206">
        <v>290</v>
      </c>
      <c r="B206">
        <v>0</v>
      </c>
      <c r="C206">
        <v>0</v>
      </c>
      <c r="D206">
        <v>0</v>
      </c>
      <c r="E206">
        <v>30</v>
      </c>
      <c r="F206">
        <v>66.666666666666657</v>
      </c>
      <c r="G206">
        <v>8.3333333333333321</v>
      </c>
      <c r="H206">
        <v>13.793103448275861</v>
      </c>
      <c r="I206">
        <v>28.30188679245283</v>
      </c>
      <c r="J206">
        <v>0</v>
      </c>
      <c r="K206">
        <v>16.666666666666664</v>
      </c>
      <c r="L206">
        <v>7.1428571428571423</v>
      </c>
      <c r="M206">
        <v>50</v>
      </c>
      <c r="N206">
        <f t="shared" si="3"/>
        <v>17.1799148949342</v>
      </c>
    </row>
    <row r="207" spans="1:14" x14ac:dyDescent="0.45">
      <c r="A207">
        <v>291</v>
      </c>
      <c r="B207">
        <v>0</v>
      </c>
      <c r="C207">
        <v>0</v>
      </c>
      <c r="D207">
        <v>0</v>
      </c>
      <c r="E207">
        <v>20</v>
      </c>
      <c r="F207">
        <v>66.666666666666657</v>
      </c>
      <c r="G207">
        <v>4.1666666666666661</v>
      </c>
      <c r="H207">
        <v>3.4482758620689653</v>
      </c>
      <c r="I207">
        <v>11.320754716981133</v>
      </c>
      <c r="J207">
        <v>0</v>
      </c>
      <c r="K207">
        <v>5.5555555555555554</v>
      </c>
      <c r="L207">
        <v>7.1428571428571423</v>
      </c>
      <c r="M207">
        <v>32.142857142857146</v>
      </c>
      <c r="N207">
        <f t="shared" si="3"/>
        <v>10.970686336204848</v>
      </c>
    </row>
    <row r="208" spans="1:14" x14ac:dyDescent="0.45">
      <c r="A208">
        <v>292</v>
      </c>
      <c r="B208">
        <v>0</v>
      </c>
      <c r="C208">
        <v>0</v>
      </c>
      <c r="D208">
        <v>0</v>
      </c>
      <c r="E208">
        <v>20</v>
      </c>
      <c r="F208">
        <v>66.666666666666657</v>
      </c>
      <c r="G208">
        <v>4.1666666666666661</v>
      </c>
      <c r="H208">
        <v>3.4482758620689653</v>
      </c>
      <c r="I208">
        <v>11.320754716981133</v>
      </c>
      <c r="J208">
        <v>0</v>
      </c>
      <c r="K208">
        <v>5.5555555555555554</v>
      </c>
      <c r="L208">
        <v>7.1428571428571423</v>
      </c>
      <c r="M208">
        <v>32.142857142857146</v>
      </c>
      <c r="N208">
        <f t="shared" si="3"/>
        <v>10.970686336204848</v>
      </c>
    </row>
    <row r="209" spans="1:14" x14ac:dyDescent="0.45">
      <c r="A209">
        <v>293</v>
      </c>
      <c r="B209">
        <v>0</v>
      </c>
      <c r="C209">
        <v>0</v>
      </c>
      <c r="D209">
        <v>0</v>
      </c>
      <c r="E209">
        <v>30</v>
      </c>
      <c r="F209">
        <v>66.666666666666657</v>
      </c>
      <c r="G209">
        <v>12.5</v>
      </c>
      <c r="H209">
        <v>3.4482758620689653</v>
      </c>
      <c r="I209">
        <v>15.09433962264151</v>
      </c>
      <c r="J209">
        <v>0</v>
      </c>
      <c r="K209">
        <v>5.5555555555555554</v>
      </c>
      <c r="L209">
        <v>7.1428571428571423</v>
      </c>
      <c r="M209">
        <v>35.714285714285715</v>
      </c>
      <c r="N209">
        <f t="shared" si="3"/>
        <v>13.129308057765595</v>
      </c>
    </row>
    <row r="210" spans="1:14" x14ac:dyDescent="0.45">
      <c r="A210">
        <v>294</v>
      </c>
      <c r="B210">
        <v>0</v>
      </c>
      <c r="C210">
        <v>0</v>
      </c>
      <c r="D210">
        <v>0</v>
      </c>
      <c r="E210">
        <v>30</v>
      </c>
      <c r="F210">
        <v>66.666666666666657</v>
      </c>
      <c r="G210">
        <v>12.5</v>
      </c>
      <c r="H210">
        <v>3.4482758620689653</v>
      </c>
      <c r="I210">
        <v>15.09433962264151</v>
      </c>
      <c r="J210">
        <v>0</v>
      </c>
      <c r="K210">
        <v>5.5555555555555554</v>
      </c>
      <c r="L210">
        <v>7.1428571428571423</v>
      </c>
      <c r="M210">
        <v>35.714285714285715</v>
      </c>
      <c r="N210">
        <f t="shared" si="3"/>
        <v>13.129308057765595</v>
      </c>
    </row>
    <row r="211" spans="1:14" x14ac:dyDescent="0.45">
      <c r="A211">
        <v>295</v>
      </c>
      <c r="B211">
        <v>0</v>
      </c>
      <c r="C211">
        <v>0</v>
      </c>
      <c r="D211">
        <v>0</v>
      </c>
      <c r="E211">
        <v>20</v>
      </c>
      <c r="F211">
        <v>66.666666666666657</v>
      </c>
      <c r="G211">
        <v>4.1666666666666661</v>
      </c>
      <c r="H211">
        <v>3.4482758620689653</v>
      </c>
      <c r="I211">
        <v>11.320754716981133</v>
      </c>
      <c r="J211">
        <v>0</v>
      </c>
      <c r="K211">
        <v>5.5555555555555554</v>
      </c>
      <c r="L211">
        <v>7.1428571428571423</v>
      </c>
      <c r="M211">
        <v>32.142857142857146</v>
      </c>
      <c r="N211">
        <f t="shared" si="3"/>
        <v>10.970686336204848</v>
      </c>
    </row>
    <row r="212" spans="1:14" x14ac:dyDescent="0.45">
      <c r="A212">
        <v>297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1.8867924528301887</v>
      </c>
      <c r="J212">
        <v>0</v>
      </c>
      <c r="K212">
        <v>16.666666666666664</v>
      </c>
      <c r="L212">
        <v>0</v>
      </c>
      <c r="M212">
        <v>7.1428571428571423</v>
      </c>
      <c r="N212">
        <f t="shared" si="3"/>
        <v>2.309053825318347</v>
      </c>
    </row>
    <row r="213" spans="1:14" x14ac:dyDescent="0.45">
      <c r="A213">
        <v>298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1.8867924528301887</v>
      </c>
      <c r="J213">
        <v>0</v>
      </c>
      <c r="K213">
        <v>16.666666666666664</v>
      </c>
      <c r="L213">
        <v>0</v>
      </c>
      <c r="M213">
        <v>7.1428571428571423</v>
      </c>
      <c r="N213">
        <f t="shared" si="3"/>
        <v>2.309053825318347</v>
      </c>
    </row>
    <row r="214" spans="1:14" x14ac:dyDescent="0.45">
      <c r="A214">
        <v>299</v>
      </c>
      <c r="B214">
        <v>0</v>
      </c>
      <c r="C214">
        <v>0</v>
      </c>
      <c r="D214">
        <v>22.222222222222221</v>
      </c>
      <c r="E214">
        <v>20</v>
      </c>
      <c r="F214">
        <v>0</v>
      </c>
      <c r="G214">
        <v>4.1666666666666661</v>
      </c>
      <c r="H214">
        <v>6.8965517241379306</v>
      </c>
      <c r="I214">
        <v>1.8867924528301887</v>
      </c>
      <c r="J214">
        <v>0</v>
      </c>
      <c r="K214">
        <v>5.5555555555555554</v>
      </c>
      <c r="L214">
        <v>0</v>
      </c>
      <c r="M214">
        <v>50</v>
      </c>
      <c r="N214">
        <f t="shared" si="3"/>
        <v>9.2706847373802592</v>
      </c>
    </row>
    <row r="215" spans="1:14" x14ac:dyDescent="0.45">
      <c r="A215">
        <v>300</v>
      </c>
      <c r="B215">
        <v>0</v>
      </c>
      <c r="C215">
        <v>0</v>
      </c>
      <c r="D215">
        <v>22.222222222222221</v>
      </c>
      <c r="E215">
        <v>30</v>
      </c>
      <c r="F215">
        <v>0</v>
      </c>
      <c r="G215">
        <v>4.1666666666666661</v>
      </c>
      <c r="H215">
        <v>10.344827586206897</v>
      </c>
      <c r="I215">
        <v>3.7735849056603774</v>
      </c>
      <c r="J215">
        <v>0</v>
      </c>
      <c r="K215">
        <v>50</v>
      </c>
      <c r="L215">
        <v>0</v>
      </c>
      <c r="M215">
        <v>39.285714285714285</v>
      </c>
      <c r="N215">
        <f t="shared" si="3"/>
        <v>14.533581242908497</v>
      </c>
    </row>
    <row r="216" spans="1:14" x14ac:dyDescent="0.45">
      <c r="A216">
        <v>301</v>
      </c>
      <c r="B216">
        <v>0</v>
      </c>
      <c r="C216">
        <v>0</v>
      </c>
      <c r="D216">
        <v>11.111111111111111</v>
      </c>
      <c r="E216">
        <v>20</v>
      </c>
      <c r="F216">
        <v>33.333333333333329</v>
      </c>
      <c r="G216">
        <v>12.5</v>
      </c>
      <c r="H216">
        <v>3.4482758620689653</v>
      </c>
      <c r="I216">
        <v>20.754716981132077</v>
      </c>
      <c r="J216">
        <v>0</v>
      </c>
      <c r="K216">
        <v>16.666666666666664</v>
      </c>
      <c r="L216">
        <v>0</v>
      </c>
      <c r="M216">
        <v>53.571428571428569</v>
      </c>
      <c r="N216">
        <f t="shared" si="3"/>
        <v>13.430242463486692</v>
      </c>
    </row>
    <row r="217" spans="1:14" x14ac:dyDescent="0.45">
      <c r="A217">
        <v>302</v>
      </c>
      <c r="B217">
        <v>0</v>
      </c>
      <c r="C217">
        <v>0</v>
      </c>
      <c r="D217">
        <v>33.333333333333329</v>
      </c>
      <c r="E217">
        <v>40</v>
      </c>
      <c r="F217">
        <v>0</v>
      </c>
      <c r="G217">
        <v>25</v>
      </c>
      <c r="H217">
        <v>31.03448275862069</v>
      </c>
      <c r="I217">
        <v>13.20754716981132</v>
      </c>
      <c r="J217">
        <v>0</v>
      </c>
      <c r="K217">
        <v>66.666666666666657</v>
      </c>
      <c r="L217">
        <v>0</v>
      </c>
      <c r="M217">
        <v>50</v>
      </c>
      <c r="N217">
        <f t="shared" si="3"/>
        <v>24.544069486781318</v>
      </c>
    </row>
    <row r="218" spans="1:14" x14ac:dyDescent="0.45">
      <c r="A218">
        <v>303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5.6603773584905666</v>
      </c>
      <c r="J218">
        <v>0</v>
      </c>
      <c r="K218">
        <v>27.777777777777779</v>
      </c>
      <c r="L218">
        <v>0</v>
      </c>
      <c r="M218">
        <v>35.714285714285715</v>
      </c>
      <c r="N218">
        <f t="shared" si="3"/>
        <v>5.4733524458347418</v>
      </c>
    </row>
    <row r="219" spans="1:14" x14ac:dyDescent="0.45">
      <c r="A219">
        <v>304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8.3333333333333321</v>
      </c>
      <c r="H219">
        <v>0</v>
      </c>
      <c r="I219">
        <v>11.320754716981133</v>
      </c>
      <c r="J219">
        <v>0</v>
      </c>
      <c r="K219">
        <v>16.666666666666664</v>
      </c>
      <c r="L219">
        <v>0</v>
      </c>
      <c r="M219">
        <v>32.142857142857146</v>
      </c>
      <c r="N219">
        <f t="shared" si="3"/>
        <v>5.5313936739016905</v>
      </c>
    </row>
    <row r="220" spans="1:14" x14ac:dyDescent="0.45">
      <c r="A220">
        <v>305</v>
      </c>
      <c r="B220">
        <v>0</v>
      </c>
      <c r="C220">
        <v>1</v>
      </c>
      <c r="D220">
        <v>0</v>
      </c>
      <c r="E220">
        <v>0</v>
      </c>
      <c r="F220">
        <v>33.333333333333329</v>
      </c>
      <c r="G220">
        <v>4.1666666666666661</v>
      </c>
      <c r="H220">
        <v>6.8965517241379306</v>
      </c>
      <c r="I220">
        <v>9.433962264150944</v>
      </c>
      <c r="J220">
        <v>0</v>
      </c>
      <c r="K220">
        <v>27.777777777777779</v>
      </c>
      <c r="L220">
        <v>14.285714285714285</v>
      </c>
      <c r="M220">
        <v>42.857142857142854</v>
      </c>
      <c r="N220">
        <f t="shared" si="3"/>
        <v>11.825818415115776</v>
      </c>
    </row>
    <row r="221" spans="1:14" x14ac:dyDescent="0.45">
      <c r="A221">
        <v>306</v>
      </c>
      <c r="B221">
        <v>0</v>
      </c>
      <c r="C221">
        <v>0</v>
      </c>
      <c r="D221">
        <v>0</v>
      </c>
      <c r="E221">
        <v>10</v>
      </c>
      <c r="F221">
        <v>0</v>
      </c>
      <c r="G221">
        <v>29.166666666666668</v>
      </c>
      <c r="H221">
        <v>24.137931034482758</v>
      </c>
      <c r="I221">
        <v>32.075471698113205</v>
      </c>
      <c r="J221">
        <v>0</v>
      </c>
      <c r="K221">
        <v>44.444444444444443</v>
      </c>
      <c r="L221">
        <v>0</v>
      </c>
      <c r="M221">
        <v>53.571428571428569</v>
      </c>
      <c r="N221">
        <f t="shared" si="3"/>
        <v>17.355164758415601</v>
      </c>
    </row>
    <row r="222" spans="1:14" x14ac:dyDescent="0.45">
      <c r="A222">
        <v>307</v>
      </c>
      <c r="B222">
        <v>0</v>
      </c>
      <c r="C222">
        <v>0</v>
      </c>
      <c r="D222">
        <v>0</v>
      </c>
      <c r="E222">
        <v>10</v>
      </c>
      <c r="F222">
        <v>0</v>
      </c>
      <c r="G222">
        <v>29.166666666666668</v>
      </c>
      <c r="H222">
        <v>24.137931034482758</v>
      </c>
      <c r="I222">
        <v>32.075471698113205</v>
      </c>
      <c r="J222">
        <v>0</v>
      </c>
      <c r="K222">
        <v>44.444444444444443</v>
      </c>
      <c r="L222">
        <v>0</v>
      </c>
      <c r="M222">
        <v>53.571428571428569</v>
      </c>
      <c r="N222">
        <f t="shared" si="3"/>
        <v>17.355164758415601</v>
      </c>
    </row>
    <row r="223" spans="1:14" x14ac:dyDescent="0.45">
      <c r="A223">
        <v>308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1.8867924528301887</v>
      </c>
      <c r="J223">
        <v>0</v>
      </c>
      <c r="K223">
        <v>11.111111111111111</v>
      </c>
      <c r="L223">
        <v>0</v>
      </c>
      <c r="M223">
        <v>14.285714285714285</v>
      </c>
      <c r="N223">
        <f t="shared" si="3"/>
        <v>2.1524538258528425</v>
      </c>
    </row>
    <row r="224" spans="1:14" x14ac:dyDescent="0.45">
      <c r="A224">
        <v>309</v>
      </c>
      <c r="B224">
        <v>0</v>
      </c>
      <c r="C224">
        <v>1</v>
      </c>
      <c r="D224">
        <v>22.222222222222221</v>
      </c>
      <c r="E224">
        <v>20</v>
      </c>
      <c r="F224">
        <v>0</v>
      </c>
      <c r="G224">
        <v>16.666666666666664</v>
      </c>
      <c r="H224">
        <v>17.241379310344829</v>
      </c>
      <c r="I224">
        <v>11.320754716981133</v>
      </c>
      <c r="J224">
        <v>0</v>
      </c>
      <c r="K224">
        <v>5.5555555555555554</v>
      </c>
      <c r="L224">
        <v>0</v>
      </c>
      <c r="M224">
        <v>71.428571428571431</v>
      </c>
      <c r="N224">
        <f t="shared" si="3"/>
        <v>13.929905994888166</v>
      </c>
    </row>
    <row r="225" spans="1:14" x14ac:dyDescent="0.45">
      <c r="A225">
        <v>311</v>
      </c>
      <c r="B225">
        <v>0</v>
      </c>
      <c r="C225">
        <v>1</v>
      </c>
      <c r="D225">
        <v>11.111111111111111</v>
      </c>
      <c r="E225">
        <v>0</v>
      </c>
      <c r="F225">
        <v>0</v>
      </c>
      <c r="G225">
        <v>16.666666666666664</v>
      </c>
      <c r="H225">
        <v>17.241379310344829</v>
      </c>
      <c r="I225">
        <v>37.735849056603776</v>
      </c>
      <c r="J225">
        <v>0</v>
      </c>
      <c r="K225">
        <v>5.5555555555555554</v>
      </c>
      <c r="L225">
        <v>7.1428571428571423</v>
      </c>
      <c r="M225">
        <v>28.571428571428569</v>
      </c>
      <c r="N225">
        <f t="shared" si="3"/>
        <v>12.283116159225891</v>
      </c>
    </row>
    <row r="226" spans="1:14" x14ac:dyDescent="0.45">
      <c r="A226">
        <v>313</v>
      </c>
      <c r="B226">
        <v>0</v>
      </c>
      <c r="C226">
        <v>0</v>
      </c>
      <c r="D226">
        <v>11.111111111111111</v>
      </c>
      <c r="E226">
        <v>0</v>
      </c>
      <c r="F226">
        <v>100</v>
      </c>
      <c r="G226">
        <v>20.833333333333336</v>
      </c>
      <c r="H226">
        <v>31.03448275862069</v>
      </c>
      <c r="I226">
        <v>7.5471698113207548</v>
      </c>
      <c r="J226">
        <v>6.666666666666667</v>
      </c>
      <c r="K226">
        <v>11.111111111111111</v>
      </c>
      <c r="L226">
        <v>7.1428571428571423</v>
      </c>
      <c r="M226">
        <v>21.428571428571427</v>
      </c>
      <c r="N226">
        <f t="shared" si="3"/>
        <v>18.10530322979826</v>
      </c>
    </row>
    <row r="227" spans="1:14" x14ac:dyDescent="0.45">
      <c r="A227">
        <v>314</v>
      </c>
      <c r="B227">
        <v>0</v>
      </c>
      <c r="C227">
        <v>0</v>
      </c>
      <c r="D227">
        <v>11.111111111111111</v>
      </c>
      <c r="E227">
        <v>0</v>
      </c>
      <c r="F227">
        <v>100</v>
      </c>
      <c r="G227">
        <v>20.833333333333336</v>
      </c>
      <c r="H227">
        <v>31.03448275862069</v>
      </c>
      <c r="I227">
        <v>7.5471698113207548</v>
      </c>
      <c r="J227">
        <v>6.666666666666667</v>
      </c>
      <c r="K227">
        <v>11.111111111111111</v>
      </c>
      <c r="L227">
        <v>7.1428571428571423</v>
      </c>
      <c r="M227">
        <v>21.428571428571427</v>
      </c>
      <c r="N227">
        <f t="shared" si="3"/>
        <v>18.10530322979826</v>
      </c>
    </row>
    <row r="228" spans="1:14" x14ac:dyDescent="0.45">
      <c r="A228">
        <v>315</v>
      </c>
      <c r="B228">
        <v>0</v>
      </c>
      <c r="C228">
        <v>0</v>
      </c>
      <c r="D228">
        <v>11.111111111111111</v>
      </c>
      <c r="E228">
        <v>0</v>
      </c>
      <c r="F228">
        <v>100</v>
      </c>
      <c r="G228">
        <v>20.833333333333336</v>
      </c>
      <c r="H228">
        <v>31.03448275862069</v>
      </c>
      <c r="I228">
        <v>7.5471698113207548</v>
      </c>
      <c r="J228">
        <v>6.666666666666667</v>
      </c>
      <c r="K228">
        <v>11.111111111111111</v>
      </c>
      <c r="L228">
        <v>7.1428571428571423</v>
      </c>
      <c r="M228">
        <v>21.428571428571427</v>
      </c>
      <c r="N228">
        <f t="shared" si="3"/>
        <v>18.10530322979826</v>
      </c>
    </row>
    <row r="229" spans="1:14" x14ac:dyDescent="0.45">
      <c r="A229">
        <v>316</v>
      </c>
      <c r="B229">
        <v>0</v>
      </c>
      <c r="C229">
        <v>0</v>
      </c>
      <c r="D229">
        <v>11.111111111111111</v>
      </c>
      <c r="E229">
        <v>10</v>
      </c>
      <c r="F229">
        <v>100</v>
      </c>
      <c r="G229">
        <v>20.833333333333336</v>
      </c>
      <c r="H229">
        <v>31.03448275862069</v>
      </c>
      <c r="I229">
        <v>5.6603773584905666</v>
      </c>
      <c r="J229">
        <v>0</v>
      </c>
      <c r="K229">
        <v>0</v>
      </c>
      <c r="L229">
        <v>7.1428571428571423</v>
      </c>
      <c r="M229">
        <v>14.285714285714285</v>
      </c>
      <c r="N229">
        <f t="shared" si="3"/>
        <v>16.475705179510502</v>
      </c>
    </row>
    <row r="230" spans="1:14" x14ac:dyDescent="0.45">
      <c r="A230">
        <v>317</v>
      </c>
      <c r="B230">
        <v>0</v>
      </c>
      <c r="C230">
        <v>0</v>
      </c>
      <c r="D230">
        <v>0</v>
      </c>
      <c r="E230">
        <v>10</v>
      </c>
      <c r="F230">
        <v>0</v>
      </c>
      <c r="G230">
        <v>16.666666666666664</v>
      </c>
      <c r="H230">
        <v>20.689655172413794</v>
      </c>
      <c r="I230">
        <v>13.20754716981132</v>
      </c>
      <c r="J230">
        <v>6.666666666666667</v>
      </c>
      <c r="K230">
        <v>0</v>
      </c>
      <c r="L230">
        <v>0</v>
      </c>
      <c r="M230">
        <v>64.285714285714292</v>
      </c>
      <c r="N230">
        <f t="shared" si="3"/>
        <v>10.506307703807769</v>
      </c>
    </row>
    <row r="231" spans="1:14" x14ac:dyDescent="0.45">
      <c r="A231">
        <v>318</v>
      </c>
      <c r="B231">
        <v>0</v>
      </c>
      <c r="C231">
        <v>0</v>
      </c>
      <c r="D231">
        <v>11.111111111111111</v>
      </c>
      <c r="E231">
        <v>20</v>
      </c>
      <c r="F231">
        <v>33.333333333333329</v>
      </c>
      <c r="G231">
        <v>25</v>
      </c>
      <c r="H231">
        <v>17.241379310344829</v>
      </c>
      <c r="I231">
        <v>1.8867924528301887</v>
      </c>
      <c r="J231">
        <v>0</v>
      </c>
      <c r="K231">
        <v>0</v>
      </c>
      <c r="L231">
        <v>0</v>
      </c>
      <c r="M231">
        <v>28.571428571428569</v>
      </c>
      <c r="N231">
        <f t="shared" si="3"/>
        <v>11.328813067271073</v>
      </c>
    </row>
    <row r="232" spans="1:14" x14ac:dyDescent="0.45">
      <c r="A232">
        <v>319</v>
      </c>
      <c r="B232">
        <v>0</v>
      </c>
      <c r="C232">
        <v>0</v>
      </c>
      <c r="D232">
        <v>33.333333333333329</v>
      </c>
      <c r="E232">
        <v>40</v>
      </c>
      <c r="F232">
        <v>100</v>
      </c>
      <c r="G232">
        <v>16.666666666666664</v>
      </c>
      <c r="H232">
        <v>13.793103448275861</v>
      </c>
      <c r="I232">
        <v>3.7735849056603774</v>
      </c>
      <c r="J232">
        <v>0</v>
      </c>
      <c r="K232">
        <v>0</v>
      </c>
      <c r="L232">
        <v>0</v>
      </c>
      <c r="M232">
        <v>25</v>
      </c>
      <c r="N232">
        <f t="shared" si="3"/>
        <v>18.394077500646318</v>
      </c>
    </row>
    <row r="233" spans="1:14" x14ac:dyDescent="0.45">
      <c r="A233">
        <v>320</v>
      </c>
      <c r="B233">
        <v>0</v>
      </c>
      <c r="C233">
        <v>0</v>
      </c>
      <c r="D233">
        <v>22.222222222222221</v>
      </c>
      <c r="E233">
        <v>40</v>
      </c>
      <c r="F233">
        <v>33.333333333333329</v>
      </c>
      <c r="G233">
        <v>50</v>
      </c>
      <c r="H233">
        <v>34.482758620689658</v>
      </c>
      <c r="I233">
        <v>11.320754716981133</v>
      </c>
      <c r="J233">
        <v>6.666666666666667</v>
      </c>
      <c r="K233">
        <v>5.5555555555555554</v>
      </c>
      <c r="L233">
        <v>0</v>
      </c>
      <c r="M233">
        <v>25</v>
      </c>
      <c r="N233">
        <f t="shared" si="3"/>
        <v>20.743756336495277</v>
      </c>
    </row>
    <row r="234" spans="1:14" x14ac:dyDescent="0.45">
      <c r="A234">
        <v>324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3.4482758620689653</v>
      </c>
      <c r="I234">
        <v>0</v>
      </c>
      <c r="J234">
        <v>0</v>
      </c>
      <c r="K234">
        <v>0</v>
      </c>
      <c r="L234">
        <v>0</v>
      </c>
      <c r="M234">
        <v>7.1428571428571423</v>
      </c>
      <c r="N234">
        <f t="shared" si="3"/>
        <v>0.81958320010801944</v>
      </c>
    </row>
    <row r="235" spans="1:14" x14ac:dyDescent="0.45">
      <c r="A235">
        <v>325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8.3333333333333321</v>
      </c>
      <c r="H235">
        <v>6.8965517241379306</v>
      </c>
      <c r="I235">
        <v>5.6603773584905666</v>
      </c>
      <c r="J235">
        <v>0</v>
      </c>
      <c r="K235">
        <v>0</v>
      </c>
      <c r="L235">
        <v>0</v>
      </c>
      <c r="M235">
        <v>14.285714285714285</v>
      </c>
      <c r="N235">
        <f t="shared" si="3"/>
        <v>3.0446689175368489</v>
      </c>
    </row>
    <row r="236" spans="1:14" x14ac:dyDescent="0.45">
      <c r="A236">
        <v>326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5.5555555555555554</v>
      </c>
      <c r="L236">
        <v>0</v>
      </c>
      <c r="M236">
        <v>10.714285714285714</v>
      </c>
      <c r="N236">
        <f t="shared" si="3"/>
        <v>1.1908612897883564</v>
      </c>
    </row>
    <row r="237" spans="1:14" x14ac:dyDescent="0.45">
      <c r="A237">
        <v>327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5.5555555555555554</v>
      </c>
      <c r="L237">
        <v>0</v>
      </c>
      <c r="M237">
        <v>14.285714285714285</v>
      </c>
      <c r="N237">
        <f t="shared" si="3"/>
        <v>1.3977135478529266</v>
      </c>
    </row>
    <row r="238" spans="1:14" x14ac:dyDescent="0.45">
      <c r="A238">
        <v>328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5.5555555555555554</v>
      </c>
      <c r="L238">
        <v>0</v>
      </c>
      <c r="M238">
        <v>14.285714285714285</v>
      </c>
      <c r="N238">
        <f t="shared" si="3"/>
        <v>1.3977135478529266</v>
      </c>
    </row>
    <row r="239" spans="1:14" x14ac:dyDescent="0.45">
      <c r="A239">
        <v>329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5.5555555555555554</v>
      </c>
      <c r="L239">
        <v>0</v>
      </c>
      <c r="M239">
        <v>14.285714285714285</v>
      </c>
      <c r="N239">
        <f t="shared" si="3"/>
        <v>1.3977135478529266</v>
      </c>
    </row>
    <row r="240" spans="1:14" x14ac:dyDescent="0.45">
      <c r="A240">
        <v>330</v>
      </c>
      <c r="B240">
        <v>0</v>
      </c>
      <c r="C240">
        <v>0</v>
      </c>
      <c r="D240">
        <v>0</v>
      </c>
      <c r="E240">
        <v>10</v>
      </c>
      <c r="F240">
        <v>0</v>
      </c>
      <c r="G240">
        <v>0</v>
      </c>
      <c r="H240">
        <v>13.793103448275861</v>
      </c>
      <c r="I240">
        <v>0</v>
      </c>
      <c r="J240">
        <v>6.666666666666667</v>
      </c>
      <c r="K240">
        <v>0</v>
      </c>
      <c r="L240">
        <v>0</v>
      </c>
      <c r="M240">
        <v>7.1428571428571423</v>
      </c>
      <c r="N240">
        <f t="shared" si="3"/>
        <v>3.3894734097699932</v>
      </c>
    </row>
    <row r="241" spans="1:14" x14ac:dyDescent="0.45">
      <c r="A241">
        <v>331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3.5714285714285712</v>
      </c>
      <c r="N241">
        <f t="shared" si="3"/>
        <v>0.20685225806457036</v>
      </c>
    </row>
    <row r="242" spans="1:14" x14ac:dyDescent="0.45">
      <c r="A242">
        <v>332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f t="shared" si="3"/>
        <v>0</v>
      </c>
    </row>
    <row r="243" spans="1:14" x14ac:dyDescent="0.45">
      <c r="A243">
        <v>333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f t="shared" si="3"/>
        <v>0</v>
      </c>
    </row>
    <row r="244" spans="1:14" x14ac:dyDescent="0.45">
      <c r="A244">
        <v>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f t="shared" si="3"/>
        <v>0</v>
      </c>
    </row>
    <row r="245" spans="1:14" x14ac:dyDescent="0.45">
      <c r="A245">
        <v>335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f t="shared" si="3"/>
        <v>0</v>
      </c>
    </row>
    <row r="246" spans="1:14" x14ac:dyDescent="0.45">
      <c r="A246">
        <v>338</v>
      </c>
      <c r="B246">
        <v>0</v>
      </c>
      <c r="C246">
        <v>0</v>
      </c>
      <c r="D246">
        <v>44.444444444444443</v>
      </c>
      <c r="E246">
        <v>50</v>
      </c>
      <c r="F246">
        <v>33.333333333333329</v>
      </c>
      <c r="G246">
        <v>25</v>
      </c>
      <c r="H246">
        <v>93.103448275862064</v>
      </c>
      <c r="I246">
        <v>26.415094339622641</v>
      </c>
      <c r="J246">
        <v>0</v>
      </c>
      <c r="K246">
        <v>0</v>
      </c>
      <c r="L246">
        <v>57.142857142857139</v>
      </c>
      <c r="M246">
        <v>53.571428571428569</v>
      </c>
      <c r="N246">
        <f t="shared" si="3"/>
        <v>40.077957449745817</v>
      </c>
    </row>
    <row r="247" spans="1:14" x14ac:dyDescent="0.45">
      <c r="A247">
        <v>339</v>
      </c>
      <c r="B247">
        <v>0</v>
      </c>
      <c r="C247">
        <v>0</v>
      </c>
      <c r="D247">
        <v>22.222222222222221</v>
      </c>
      <c r="E247">
        <v>40</v>
      </c>
      <c r="F247">
        <v>0</v>
      </c>
      <c r="G247">
        <v>8.3333333333333321</v>
      </c>
      <c r="H247">
        <v>10.344827586206897</v>
      </c>
      <c r="I247">
        <v>3.7735849056603774</v>
      </c>
      <c r="J247">
        <v>0</v>
      </c>
      <c r="K247">
        <v>0</v>
      </c>
      <c r="L247">
        <v>7.1428571428571423</v>
      </c>
      <c r="M247">
        <v>21.428571428571427</v>
      </c>
      <c r="N247">
        <f t="shared" si="3"/>
        <v>10.698497863619446</v>
      </c>
    </row>
    <row r="248" spans="1:14" x14ac:dyDescent="0.45">
      <c r="A248">
        <v>340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f t="shared" si="3"/>
        <v>0</v>
      </c>
    </row>
    <row r="249" spans="1:14" x14ac:dyDescent="0.45">
      <c r="A249">
        <v>341</v>
      </c>
      <c r="B249">
        <v>0</v>
      </c>
      <c r="C249">
        <v>0</v>
      </c>
      <c r="D249">
        <v>0</v>
      </c>
      <c r="E249">
        <v>10</v>
      </c>
      <c r="F249">
        <v>33.333333333333329</v>
      </c>
      <c r="G249">
        <v>8.3333333333333321</v>
      </c>
      <c r="H249">
        <v>6.8965517241379306</v>
      </c>
      <c r="I249">
        <v>1.8867924528301887</v>
      </c>
      <c r="J249">
        <v>0</v>
      </c>
      <c r="K249">
        <v>5.5555555555555554</v>
      </c>
      <c r="L249">
        <v>0</v>
      </c>
      <c r="M249">
        <v>10.714285714285714</v>
      </c>
      <c r="N249">
        <f t="shared" si="3"/>
        <v>5.7517508486631819</v>
      </c>
    </row>
    <row r="250" spans="1:14" x14ac:dyDescent="0.45">
      <c r="A250">
        <v>342</v>
      </c>
      <c r="B250">
        <v>0</v>
      </c>
      <c r="C250">
        <v>0</v>
      </c>
      <c r="D250">
        <v>11.111111111111111</v>
      </c>
      <c r="E250">
        <v>20</v>
      </c>
      <c r="F250">
        <v>0</v>
      </c>
      <c r="G250">
        <v>20.833333333333336</v>
      </c>
      <c r="H250">
        <v>31.03448275862069</v>
      </c>
      <c r="I250">
        <v>11.320754716981133</v>
      </c>
      <c r="J250">
        <v>13.333333333333334</v>
      </c>
      <c r="K250">
        <v>0</v>
      </c>
      <c r="L250">
        <v>7.1428571428571423</v>
      </c>
      <c r="M250">
        <v>35.714285714285715</v>
      </c>
      <c r="N250">
        <f t="shared" si="3"/>
        <v>14.298536152505287</v>
      </c>
    </row>
    <row r="251" spans="1:14" x14ac:dyDescent="0.45">
      <c r="A251">
        <v>343</v>
      </c>
      <c r="B251">
        <v>0</v>
      </c>
      <c r="C251">
        <v>0</v>
      </c>
      <c r="D251">
        <v>11.111111111111111</v>
      </c>
      <c r="E251">
        <v>20</v>
      </c>
      <c r="F251">
        <v>33.333333333333329</v>
      </c>
      <c r="G251">
        <v>20.833333333333336</v>
      </c>
      <c r="H251">
        <v>31.03448275862069</v>
      </c>
      <c r="I251">
        <v>11.320754716981133</v>
      </c>
      <c r="J251">
        <v>13.333333333333334</v>
      </c>
      <c r="K251">
        <v>0</v>
      </c>
      <c r="L251">
        <v>0</v>
      </c>
      <c r="M251">
        <v>35.714285714285715</v>
      </c>
      <c r="N251">
        <f t="shared" si="3"/>
        <v>15.105216414578978</v>
      </c>
    </row>
    <row r="252" spans="1:14" x14ac:dyDescent="0.45">
      <c r="A252">
        <v>344</v>
      </c>
      <c r="B252">
        <v>0</v>
      </c>
      <c r="C252">
        <v>0</v>
      </c>
      <c r="D252">
        <v>33.333333333333329</v>
      </c>
      <c r="E252">
        <v>20</v>
      </c>
      <c r="F252">
        <v>0</v>
      </c>
      <c r="G252">
        <v>33.333333333333329</v>
      </c>
      <c r="H252">
        <v>34.482758620689658</v>
      </c>
      <c r="I252">
        <v>13.20754716981132</v>
      </c>
      <c r="J252">
        <v>13.333333333333334</v>
      </c>
      <c r="K252">
        <v>0</v>
      </c>
      <c r="L252">
        <v>7.1428571428571423</v>
      </c>
      <c r="M252">
        <v>42.857142857142854</v>
      </c>
      <c r="N252">
        <f t="shared" si="3"/>
        <v>19.5016004064809</v>
      </c>
    </row>
    <row r="253" spans="1:14" x14ac:dyDescent="0.45">
      <c r="A253">
        <v>345</v>
      </c>
      <c r="B253">
        <v>0</v>
      </c>
      <c r="C253">
        <v>1</v>
      </c>
      <c r="D253">
        <v>33.333333333333329</v>
      </c>
      <c r="E253">
        <v>20</v>
      </c>
      <c r="F253">
        <v>0</v>
      </c>
      <c r="G253">
        <v>33.333333333333329</v>
      </c>
      <c r="H253">
        <v>34.482758620689658</v>
      </c>
      <c r="I253">
        <v>13.20754716981132</v>
      </c>
      <c r="J253">
        <v>13.333333333333334</v>
      </c>
      <c r="K253">
        <v>0</v>
      </c>
      <c r="L253">
        <v>7.1428571428571423</v>
      </c>
      <c r="M253">
        <v>42.857142857142854</v>
      </c>
      <c r="N253">
        <f t="shared" si="3"/>
        <v>19.5016004064809</v>
      </c>
    </row>
    <row r="254" spans="1:14" x14ac:dyDescent="0.45">
      <c r="A254">
        <v>346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3.7735849056603774</v>
      </c>
      <c r="J254">
        <v>0</v>
      </c>
      <c r="K254">
        <v>0</v>
      </c>
      <c r="L254">
        <v>0</v>
      </c>
      <c r="M254">
        <v>10.714285714285714</v>
      </c>
      <c r="N254">
        <f t="shared" si="3"/>
        <v>0.98942829900425222</v>
      </c>
    </row>
    <row r="255" spans="1:14" x14ac:dyDescent="0.45">
      <c r="A255">
        <v>347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1.8867924528301887</v>
      </c>
      <c r="J255">
        <v>0</v>
      </c>
      <c r="K255">
        <v>0</v>
      </c>
      <c r="L255">
        <v>0</v>
      </c>
      <c r="M255">
        <v>0</v>
      </c>
      <c r="N255">
        <f t="shared" si="3"/>
        <v>0.18443576240527057</v>
      </c>
    </row>
    <row r="256" spans="1:14" x14ac:dyDescent="0.45">
      <c r="A256">
        <v>348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4.1666666666666661</v>
      </c>
      <c r="H256">
        <v>0</v>
      </c>
      <c r="I256">
        <v>1.8867924528301887</v>
      </c>
      <c r="J256">
        <v>0</v>
      </c>
      <c r="K256">
        <v>0</v>
      </c>
      <c r="L256">
        <v>0</v>
      </c>
      <c r="M256">
        <v>0</v>
      </c>
      <c r="N256">
        <f t="shared" si="3"/>
        <v>0.6105333774577697</v>
      </c>
    </row>
    <row r="257" spans="1:14" x14ac:dyDescent="0.45">
      <c r="A257">
        <v>349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4.1666666666666661</v>
      </c>
      <c r="H257">
        <v>0</v>
      </c>
      <c r="I257">
        <v>3.7735849056603774</v>
      </c>
      <c r="J257">
        <v>0</v>
      </c>
      <c r="K257">
        <v>5.5555555555555554</v>
      </c>
      <c r="L257">
        <v>0</v>
      </c>
      <c r="M257">
        <v>0</v>
      </c>
      <c r="N257">
        <f t="shared" si="3"/>
        <v>1.3652736554576856</v>
      </c>
    </row>
    <row r="258" spans="1:14" x14ac:dyDescent="0.45">
      <c r="A258">
        <v>350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4.1666666666666661</v>
      </c>
      <c r="H258">
        <v>0</v>
      </c>
      <c r="I258">
        <v>3.7735849056603774</v>
      </c>
      <c r="J258">
        <v>0</v>
      </c>
      <c r="K258">
        <v>5.5555555555555554</v>
      </c>
      <c r="L258">
        <v>0</v>
      </c>
      <c r="M258">
        <v>0</v>
      </c>
      <c r="N258">
        <f t="shared" si="3"/>
        <v>1.3652736554576856</v>
      </c>
    </row>
    <row r="259" spans="1:14" x14ac:dyDescent="0.45">
      <c r="A259">
        <v>351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4.1666666666666661</v>
      </c>
      <c r="H259">
        <v>0</v>
      </c>
      <c r="I259">
        <v>5.6603773584905666</v>
      </c>
      <c r="J259">
        <v>0</v>
      </c>
      <c r="K259">
        <v>11.111111111111111</v>
      </c>
      <c r="L259">
        <v>0</v>
      </c>
      <c r="M259">
        <v>10.714285714285714</v>
      </c>
      <c r="N259">
        <f t="shared" si="3"/>
        <v>2.7405707076513122</v>
      </c>
    </row>
    <row r="260" spans="1:14" x14ac:dyDescent="0.45">
      <c r="A260">
        <v>352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f t="shared" si="3"/>
        <v>0</v>
      </c>
    </row>
    <row r="261" spans="1:14" x14ac:dyDescent="0.45">
      <c r="A261">
        <v>353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f t="shared" ref="N261:N324" si="4">D261*D$1+E261*E$1+F261*F$1+G261*G$1+H261*H$1+I261*I$1+J261*J$1+K261*K$1+L261*L$1+M261*M$1</f>
        <v>0</v>
      </c>
    </row>
    <row r="262" spans="1:14" x14ac:dyDescent="0.45">
      <c r="A262">
        <v>355</v>
      </c>
      <c r="B262">
        <v>0</v>
      </c>
      <c r="C262">
        <v>0</v>
      </c>
      <c r="D262">
        <v>11.111111111111111</v>
      </c>
      <c r="E262">
        <v>10</v>
      </c>
      <c r="F262">
        <v>0</v>
      </c>
      <c r="G262">
        <v>16.666666666666664</v>
      </c>
      <c r="H262">
        <v>20.689655172413794</v>
      </c>
      <c r="I262">
        <v>24.528301886792452</v>
      </c>
      <c r="J262">
        <v>0</v>
      </c>
      <c r="K262">
        <v>33.333333333333329</v>
      </c>
      <c r="L262">
        <v>0</v>
      </c>
      <c r="M262">
        <v>25</v>
      </c>
      <c r="N262">
        <f t="shared" si="4"/>
        <v>13.5981993071047</v>
      </c>
    </row>
    <row r="263" spans="1:14" x14ac:dyDescent="0.45">
      <c r="A263">
        <v>356</v>
      </c>
      <c r="B263">
        <v>0</v>
      </c>
      <c r="C263">
        <v>0</v>
      </c>
      <c r="D263">
        <v>11.111111111111111</v>
      </c>
      <c r="E263">
        <v>10</v>
      </c>
      <c r="F263">
        <v>0</v>
      </c>
      <c r="G263">
        <v>16.666666666666664</v>
      </c>
      <c r="H263">
        <v>20.689655172413794</v>
      </c>
      <c r="I263">
        <v>24.528301886792452</v>
      </c>
      <c r="J263">
        <v>0</v>
      </c>
      <c r="K263">
        <v>33.333333333333329</v>
      </c>
      <c r="L263">
        <v>0</v>
      </c>
      <c r="M263">
        <v>25</v>
      </c>
      <c r="N263">
        <f t="shared" si="4"/>
        <v>13.5981993071047</v>
      </c>
    </row>
    <row r="264" spans="1:14" x14ac:dyDescent="0.45">
      <c r="A264">
        <v>357</v>
      </c>
      <c r="B264">
        <v>0</v>
      </c>
      <c r="C264">
        <v>0</v>
      </c>
      <c r="D264">
        <v>11.111111111111111</v>
      </c>
      <c r="E264">
        <v>10</v>
      </c>
      <c r="F264">
        <v>0</v>
      </c>
      <c r="G264">
        <v>16.666666666666664</v>
      </c>
      <c r="H264">
        <v>20.689655172413794</v>
      </c>
      <c r="I264">
        <v>24.528301886792452</v>
      </c>
      <c r="J264">
        <v>0</v>
      </c>
      <c r="K264">
        <v>33.333333333333329</v>
      </c>
      <c r="L264">
        <v>0</v>
      </c>
      <c r="M264">
        <v>25</v>
      </c>
      <c r="N264">
        <f t="shared" si="4"/>
        <v>13.5981993071047</v>
      </c>
    </row>
    <row r="265" spans="1:14" x14ac:dyDescent="0.45">
      <c r="A265">
        <v>358</v>
      </c>
      <c r="B265">
        <v>0</v>
      </c>
      <c r="C265">
        <v>0</v>
      </c>
      <c r="D265">
        <v>11.111111111111111</v>
      </c>
      <c r="E265">
        <v>10</v>
      </c>
      <c r="F265">
        <v>0</v>
      </c>
      <c r="G265">
        <v>16.666666666666664</v>
      </c>
      <c r="H265">
        <v>20.689655172413794</v>
      </c>
      <c r="I265">
        <v>24.528301886792452</v>
      </c>
      <c r="J265">
        <v>0</v>
      </c>
      <c r="K265">
        <v>33.333333333333329</v>
      </c>
      <c r="L265">
        <v>0</v>
      </c>
      <c r="M265">
        <v>25</v>
      </c>
      <c r="N265">
        <f t="shared" si="4"/>
        <v>13.5981993071047</v>
      </c>
    </row>
    <row r="266" spans="1:14" x14ac:dyDescent="0.45">
      <c r="A266">
        <v>359</v>
      </c>
      <c r="B266">
        <v>0</v>
      </c>
      <c r="C266">
        <v>0</v>
      </c>
      <c r="D266">
        <v>11.111111111111111</v>
      </c>
      <c r="E266">
        <v>10</v>
      </c>
      <c r="F266">
        <v>0</v>
      </c>
      <c r="G266">
        <v>16.666666666666664</v>
      </c>
      <c r="H266">
        <v>20.689655172413794</v>
      </c>
      <c r="I266">
        <v>24.528301886792452</v>
      </c>
      <c r="J266">
        <v>0</v>
      </c>
      <c r="K266">
        <v>33.333333333333329</v>
      </c>
      <c r="L266">
        <v>0</v>
      </c>
      <c r="M266">
        <v>25</v>
      </c>
      <c r="N266">
        <f t="shared" si="4"/>
        <v>13.5981993071047</v>
      </c>
    </row>
    <row r="267" spans="1:14" x14ac:dyDescent="0.45">
      <c r="A267">
        <v>360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3.7735849056603774</v>
      </c>
      <c r="J267">
        <v>0</v>
      </c>
      <c r="K267">
        <v>0</v>
      </c>
      <c r="L267">
        <v>0</v>
      </c>
      <c r="M267">
        <v>10.714285714285714</v>
      </c>
      <c r="N267">
        <f t="shared" si="4"/>
        <v>0.98942829900425222</v>
      </c>
    </row>
    <row r="268" spans="1:14" x14ac:dyDescent="0.45">
      <c r="A268">
        <v>361</v>
      </c>
      <c r="B268">
        <v>0</v>
      </c>
      <c r="C268">
        <v>0</v>
      </c>
      <c r="D268">
        <v>11.111111111111111</v>
      </c>
      <c r="E268">
        <v>0</v>
      </c>
      <c r="F268">
        <v>0</v>
      </c>
      <c r="G268">
        <v>0</v>
      </c>
      <c r="H268">
        <v>0</v>
      </c>
      <c r="I268">
        <v>5.6603773584905666</v>
      </c>
      <c r="J268">
        <v>0</v>
      </c>
      <c r="K268">
        <v>0</v>
      </c>
      <c r="L268">
        <v>0</v>
      </c>
      <c r="M268">
        <v>0</v>
      </c>
      <c r="N268">
        <f t="shared" si="4"/>
        <v>2.0136835103682236</v>
      </c>
    </row>
    <row r="269" spans="1:14" x14ac:dyDescent="0.45">
      <c r="A269">
        <v>362</v>
      </c>
      <c r="B269">
        <v>0</v>
      </c>
      <c r="C269">
        <v>0</v>
      </c>
      <c r="D269">
        <v>11.111111111111111</v>
      </c>
      <c r="E269">
        <v>50</v>
      </c>
      <c r="F269">
        <v>0</v>
      </c>
      <c r="G269">
        <v>37.5</v>
      </c>
      <c r="H269">
        <v>48.275862068965516</v>
      </c>
      <c r="I269">
        <v>24.528301886792452</v>
      </c>
      <c r="J269">
        <v>13.333333333333334</v>
      </c>
      <c r="K269">
        <v>5.5555555555555554</v>
      </c>
      <c r="L269">
        <v>7.1428571428571423</v>
      </c>
      <c r="M269">
        <v>67.857142857142861</v>
      </c>
      <c r="N269">
        <f t="shared" si="4"/>
        <v>23.947453333364269</v>
      </c>
    </row>
    <row r="270" spans="1:14" x14ac:dyDescent="0.45">
      <c r="A270">
        <v>363</v>
      </c>
      <c r="B270">
        <v>0</v>
      </c>
      <c r="C270">
        <v>0</v>
      </c>
      <c r="D270">
        <v>0</v>
      </c>
      <c r="E270">
        <v>20</v>
      </c>
      <c r="F270">
        <v>0</v>
      </c>
      <c r="G270">
        <v>25</v>
      </c>
      <c r="H270">
        <v>31.03448275862069</v>
      </c>
      <c r="I270">
        <v>49.056603773584904</v>
      </c>
      <c r="J270">
        <v>0</v>
      </c>
      <c r="K270">
        <v>61.111111111111114</v>
      </c>
      <c r="L270">
        <v>0</v>
      </c>
      <c r="M270">
        <v>28.571428571428569</v>
      </c>
      <c r="N270">
        <f t="shared" si="4"/>
        <v>20.394396821880875</v>
      </c>
    </row>
    <row r="271" spans="1:14" x14ac:dyDescent="0.45">
      <c r="A271">
        <v>364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12.5</v>
      </c>
      <c r="H271">
        <v>0</v>
      </c>
      <c r="I271">
        <v>43.39622641509434</v>
      </c>
      <c r="J271">
        <v>0</v>
      </c>
      <c r="K271">
        <v>33.333333333333329</v>
      </c>
      <c r="L271">
        <v>0</v>
      </c>
      <c r="M271">
        <v>28.571428571428569</v>
      </c>
      <c r="N271">
        <f t="shared" si="4"/>
        <v>10.596960538563154</v>
      </c>
    </row>
    <row r="272" spans="1:14" x14ac:dyDescent="0.45">
      <c r="A272">
        <v>365</v>
      </c>
      <c r="B272">
        <v>0</v>
      </c>
      <c r="C272">
        <v>0</v>
      </c>
      <c r="D272">
        <v>11.111111111111111</v>
      </c>
      <c r="E272">
        <v>20</v>
      </c>
      <c r="F272">
        <v>33.333333333333329</v>
      </c>
      <c r="G272">
        <v>16.666666666666664</v>
      </c>
      <c r="H272">
        <v>17.241379310344829</v>
      </c>
      <c r="I272">
        <v>9.433962264150944</v>
      </c>
      <c r="J272">
        <v>0</v>
      </c>
      <c r="K272">
        <v>5.5555555555555554</v>
      </c>
      <c r="L272">
        <v>0</v>
      </c>
      <c r="M272">
        <v>57.142857142857139</v>
      </c>
      <c r="N272">
        <f t="shared" si="4"/>
        <v>13.439483466898363</v>
      </c>
    </row>
    <row r="273" spans="1:14" x14ac:dyDescent="0.45">
      <c r="A273">
        <v>366</v>
      </c>
      <c r="B273">
        <v>0</v>
      </c>
      <c r="C273">
        <v>0</v>
      </c>
      <c r="D273">
        <v>11.111111111111111</v>
      </c>
      <c r="E273">
        <v>20</v>
      </c>
      <c r="F273">
        <v>33.333333333333329</v>
      </c>
      <c r="G273">
        <v>16.666666666666664</v>
      </c>
      <c r="H273">
        <v>17.241379310344829</v>
      </c>
      <c r="I273">
        <v>9.433962264150944</v>
      </c>
      <c r="J273">
        <v>0</v>
      </c>
      <c r="K273">
        <v>5.5555555555555554</v>
      </c>
      <c r="L273">
        <v>0</v>
      </c>
      <c r="M273">
        <v>57.142857142857139</v>
      </c>
      <c r="N273">
        <f t="shared" si="4"/>
        <v>13.439483466898363</v>
      </c>
    </row>
    <row r="274" spans="1:14" x14ac:dyDescent="0.45">
      <c r="A274">
        <v>367</v>
      </c>
      <c r="B274">
        <v>0</v>
      </c>
      <c r="C274">
        <v>0</v>
      </c>
      <c r="D274">
        <v>11.111111111111111</v>
      </c>
      <c r="E274">
        <v>30</v>
      </c>
      <c r="F274">
        <v>33.333333333333329</v>
      </c>
      <c r="G274">
        <v>20.833333333333336</v>
      </c>
      <c r="H274">
        <v>20.689655172413794</v>
      </c>
      <c r="I274">
        <v>9.433962264150944</v>
      </c>
      <c r="J274">
        <v>0</v>
      </c>
      <c r="K274">
        <v>11.111111111111111</v>
      </c>
      <c r="L274">
        <v>0</v>
      </c>
      <c r="M274">
        <v>64.285714285714292</v>
      </c>
      <c r="N274">
        <f t="shared" si="4"/>
        <v>15.98617150623417</v>
      </c>
    </row>
    <row r="275" spans="1:14" x14ac:dyDescent="0.45">
      <c r="A275">
        <v>369</v>
      </c>
      <c r="B275">
        <v>0</v>
      </c>
      <c r="C275">
        <v>0</v>
      </c>
      <c r="D275">
        <v>22.222222222222221</v>
      </c>
      <c r="E275">
        <v>30</v>
      </c>
      <c r="F275">
        <v>33.333333333333329</v>
      </c>
      <c r="G275">
        <v>33.333333333333329</v>
      </c>
      <c r="H275">
        <v>31.03448275862069</v>
      </c>
      <c r="I275">
        <v>15.09433962264151</v>
      </c>
      <c r="J275">
        <v>0</v>
      </c>
      <c r="K275">
        <v>38.888888888888893</v>
      </c>
      <c r="L275">
        <v>50</v>
      </c>
      <c r="M275">
        <v>46.428571428571431</v>
      </c>
      <c r="N275">
        <f t="shared" si="4"/>
        <v>30.538872795614175</v>
      </c>
    </row>
    <row r="276" spans="1:14" x14ac:dyDescent="0.45">
      <c r="A276">
        <v>370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3.7735849056603774</v>
      </c>
      <c r="J276">
        <v>0</v>
      </c>
      <c r="K276">
        <v>11.111111111111111</v>
      </c>
      <c r="L276">
        <v>0</v>
      </c>
      <c r="M276">
        <v>10.714285714285714</v>
      </c>
      <c r="N276">
        <f t="shared" si="4"/>
        <v>2.1300373301935429</v>
      </c>
    </row>
    <row r="277" spans="1:14" x14ac:dyDescent="0.45">
      <c r="A277">
        <v>371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3.7735849056603774</v>
      </c>
      <c r="J277">
        <v>0</v>
      </c>
      <c r="K277">
        <v>11.111111111111111</v>
      </c>
      <c r="L277">
        <v>0</v>
      </c>
      <c r="M277">
        <v>10.714285714285714</v>
      </c>
      <c r="N277">
        <f t="shared" si="4"/>
        <v>2.1300373301935429</v>
      </c>
    </row>
    <row r="278" spans="1:14" x14ac:dyDescent="0.45">
      <c r="A278">
        <v>372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3.7735849056603774</v>
      </c>
      <c r="J278">
        <v>0</v>
      </c>
      <c r="K278">
        <v>11.111111111111111</v>
      </c>
      <c r="L278">
        <v>0</v>
      </c>
      <c r="M278">
        <v>10.714285714285714</v>
      </c>
      <c r="N278">
        <f t="shared" si="4"/>
        <v>2.1300373301935429</v>
      </c>
    </row>
    <row r="279" spans="1:14" x14ac:dyDescent="0.45">
      <c r="A279">
        <v>373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1.8867924528301887</v>
      </c>
      <c r="J279">
        <v>0</v>
      </c>
      <c r="K279">
        <v>11.111111111111111</v>
      </c>
      <c r="L279">
        <v>0</v>
      </c>
      <c r="M279">
        <v>7.1428571428571423</v>
      </c>
      <c r="N279">
        <f t="shared" si="4"/>
        <v>1.7387493097237017</v>
      </c>
    </row>
    <row r="280" spans="1:14" x14ac:dyDescent="0.45">
      <c r="A280">
        <v>374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3.7735849056603774</v>
      </c>
      <c r="J280">
        <v>0</v>
      </c>
      <c r="K280">
        <v>11.111111111111111</v>
      </c>
      <c r="L280">
        <v>0</v>
      </c>
      <c r="M280">
        <v>10.714285714285714</v>
      </c>
      <c r="N280">
        <f t="shared" si="4"/>
        <v>2.1300373301935429</v>
      </c>
    </row>
    <row r="281" spans="1:14" x14ac:dyDescent="0.45">
      <c r="A281">
        <v>375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4.1666666666666661</v>
      </c>
      <c r="H281">
        <v>6.8965517241379306</v>
      </c>
      <c r="I281">
        <v>3.7735849056603774</v>
      </c>
      <c r="J281">
        <v>0</v>
      </c>
      <c r="K281">
        <v>11.111111111111111</v>
      </c>
      <c r="L281">
        <v>0</v>
      </c>
      <c r="M281">
        <v>7.1428571428571423</v>
      </c>
      <c r="N281">
        <f t="shared" si="4"/>
        <v>3.1610400551392295</v>
      </c>
    </row>
    <row r="282" spans="1:14" x14ac:dyDescent="0.45">
      <c r="A282">
        <v>376</v>
      </c>
      <c r="B282">
        <v>0</v>
      </c>
      <c r="C282">
        <v>0</v>
      </c>
      <c r="D282">
        <v>0</v>
      </c>
      <c r="E282">
        <v>10</v>
      </c>
      <c r="F282">
        <v>0</v>
      </c>
      <c r="G282">
        <v>20.833333333333336</v>
      </c>
      <c r="H282">
        <v>20.689655172413794</v>
      </c>
      <c r="I282">
        <v>3.7735849056603774</v>
      </c>
      <c r="J282">
        <v>0</v>
      </c>
      <c r="K282">
        <v>5.5555555555555554</v>
      </c>
      <c r="L282">
        <v>0</v>
      </c>
      <c r="M282">
        <v>10.714285714285714</v>
      </c>
      <c r="N282">
        <f t="shared" si="4"/>
        <v>6.856195702315306</v>
      </c>
    </row>
    <row r="283" spans="1:14" x14ac:dyDescent="0.45">
      <c r="A283">
        <v>377</v>
      </c>
      <c r="B283">
        <v>0</v>
      </c>
      <c r="C283">
        <v>0</v>
      </c>
      <c r="D283">
        <v>11.111111111111111</v>
      </c>
      <c r="E283">
        <v>0</v>
      </c>
      <c r="F283">
        <v>0</v>
      </c>
      <c r="G283">
        <v>12.5</v>
      </c>
      <c r="H283">
        <v>20.689655172413794</v>
      </c>
      <c r="I283">
        <v>9.433962264150944</v>
      </c>
      <c r="J283">
        <v>0</v>
      </c>
      <c r="K283">
        <v>0</v>
      </c>
      <c r="L283">
        <v>0</v>
      </c>
      <c r="M283">
        <v>10.714285714285714</v>
      </c>
      <c r="N283">
        <f t="shared" si="4"/>
        <v>6.7166767584032465</v>
      </c>
    </row>
    <row r="284" spans="1:14" x14ac:dyDescent="0.45">
      <c r="A284">
        <v>378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1.8867924528301887</v>
      </c>
      <c r="J284">
        <v>6.666666666666667</v>
      </c>
      <c r="K284">
        <v>0</v>
      </c>
      <c r="L284">
        <v>0</v>
      </c>
      <c r="M284">
        <v>7.1428571428571423</v>
      </c>
      <c r="N284">
        <f t="shared" si="4"/>
        <v>1.2196917276791097</v>
      </c>
    </row>
    <row r="285" spans="1:14" x14ac:dyDescent="0.45">
      <c r="A285">
        <v>379</v>
      </c>
      <c r="B285">
        <v>0</v>
      </c>
      <c r="C285">
        <v>0</v>
      </c>
      <c r="D285">
        <v>11.111111111111111</v>
      </c>
      <c r="E285">
        <v>10</v>
      </c>
      <c r="F285">
        <v>0</v>
      </c>
      <c r="G285">
        <v>12.5</v>
      </c>
      <c r="H285">
        <v>20.689655172413794</v>
      </c>
      <c r="I285">
        <v>11.320754716981133</v>
      </c>
      <c r="J285">
        <v>0</v>
      </c>
      <c r="K285">
        <v>0</v>
      </c>
      <c r="L285">
        <v>0</v>
      </c>
      <c r="M285">
        <v>10.714285714285714</v>
      </c>
      <c r="N285">
        <f t="shared" si="4"/>
        <v>7.6318152293891561</v>
      </c>
    </row>
    <row r="286" spans="1:14" x14ac:dyDescent="0.45">
      <c r="A286">
        <v>380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1.8867924528301887</v>
      </c>
      <c r="J286">
        <v>0</v>
      </c>
      <c r="K286">
        <v>0</v>
      </c>
      <c r="L286">
        <v>0</v>
      </c>
      <c r="M286">
        <v>3.5714285714285712</v>
      </c>
      <c r="N286">
        <f t="shared" si="4"/>
        <v>0.3912880204698409</v>
      </c>
    </row>
    <row r="287" spans="1:14" x14ac:dyDescent="0.45">
      <c r="A287">
        <v>381</v>
      </c>
      <c r="B287">
        <v>0</v>
      </c>
      <c r="C287">
        <v>1</v>
      </c>
      <c r="D287">
        <v>11.111111111111111</v>
      </c>
      <c r="E287">
        <v>10</v>
      </c>
      <c r="F287">
        <v>0</v>
      </c>
      <c r="G287">
        <v>0</v>
      </c>
      <c r="H287">
        <v>0</v>
      </c>
      <c r="I287">
        <v>1.8867924528301887</v>
      </c>
      <c r="J287">
        <v>0</v>
      </c>
      <c r="K287">
        <v>0</v>
      </c>
      <c r="L287">
        <v>0</v>
      </c>
      <c r="M287">
        <v>7.1428571428571423</v>
      </c>
      <c r="N287">
        <f t="shared" si="4"/>
        <v>2.7892192102674622</v>
      </c>
    </row>
    <row r="288" spans="1:14" x14ac:dyDescent="0.45">
      <c r="A288">
        <v>386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f t="shared" si="4"/>
        <v>0</v>
      </c>
    </row>
    <row r="289" spans="1:14" x14ac:dyDescent="0.45">
      <c r="A289">
        <v>387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f t="shared" si="4"/>
        <v>0</v>
      </c>
    </row>
    <row r="290" spans="1:14" x14ac:dyDescent="0.45">
      <c r="A290">
        <v>389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16.666666666666664</v>
      </c>
      <c r="H290">
        <v>24.137931034482758</v>
      </c>
      <c r="I290">
        <v>9.433962264150944</v>
      </c>
      <c r="J290">
        <v>0</v>
      </c>
      <c r="K290">
        <v>0</v>
      </c>
      <c r="L290">
        <v>0</v>
      </c>
      <c r="M290">
        <v>7.1428571428571423</v>
      </c>
      <c r="N290">
        <f t="shared" si="4"/>
        <v>5.8814245762176407</v>
      </c>
    </row>
    <row r="291" spans="1:14" x14ac:dyDescent="0.45">
      <c r="A291">
        <v>390</v>
      </c>
      <c r="B291">
        <v>0</v>
      </c>
      <c r="C291">
        <v>0</v>
      </c>
      <c r="D291">
        <v>0</v>
      </c>
      <c r="E291">
        <v>10</v>
      </c>
      <c r="F291">
        <v>0</v>
      </c>
      <c r="G291">
        <v>4.1666666666666661</v>
      </c>
      <c r="H291">
        <v>6.8965517241379306</v>
      </c>
      <c r="I291">
        <v>1.8867924528301887</v>
      </c>
      <c r="J291">
        <v>0</v>
      </c>
      <c r="K291">
        <v>0</v>
      </c>
      <c r="L291">
        <v>0</v>
      </c>
      <c r="M291">
        <v>10.714285714285714</v>
      </c>
      <c r="N291">
        <f t="shared" si="4"/>
        <v>2.7735502281898774</v>
      </c>
    </row>
    <row r="292" spans="1:14" x14ac:dyDescent="0.45">
      <c r="A292">
        <v>391</v>
      </c>
      <c r="B292">
        <v>0</v>
      </c>
      <c r="C292">
        <v>0</v>
      </c>
      <c r="D292">
        <v>0</v>
      </c>
      <c r="E292">
        <v>30</v>
      </c>
      <c r="F292">
        <v>0</v>
      </c>
      <c r="G292">
        <v>20.833333333333336</v>
      </c>
      <c r="H292">
        <v>27.586206896551722</v>
      </c>
      <c r="I292">
        <v>11.320754716981133</v>
      </c>
      <c r="J292">
        <v>0</v>
      </c>
      <c r="K292">
        <v>0</v>
      </c>
      <c r="L292">
        <v>0</v>
      </c>
      <c r="M292">
        <v>46.428571428571431</v>
      </c>
      <c r="N292">
        <f t="shared" si="4"/>
        <v>11.365319602106482</v>
      </c>
    </row>
    <row r="293" spans="1:14" x14ac:dyDescent="0.45">
      <c r="A293">
        <v>392</v>
      </c>
      <c r="B293">
        <v>0</v>
      </c>
      <c r="C293">
        <v>0</v>
      </c>
      <c r="D293">
        <v>0</v>
      </c>
      <c r="E293">
        <v>10</v>
      </c>
      <c r="F293">
        <v>0</v>
      </c>
      <c r="G293">
        <v>4.1666666666666661</v>
      </c>
      <c r="H293">
        <v>6.8965517241379306</v>
      </c>
      <c r="I293">
        <v>1.8867924528301887</v>
      </c>
      <c r="J293">
        <v>0</v>
      </c>
      <c r="K293">
        <v>0</v>
      </c>
      <c r="L293">
        <v>0</v>
      </c>
      <c r="M293">
        <v>0</v>
      </c>
      <c r="N293">
        <f t="shared" si="4"/>
        <v>2.1529934539961664</v>
      </c>
    </row>
    <row r="294" spans="1:14" x14ac:dyDescent="0.45">
      <c r="A294">
        <v>393</v>
      </c>
      <c r="B294">
        <v>0</v>
      </c>
      <c r="C294">
        <v>0</v>
      </c>
      <c r="D294">
        <v>0</v>
      </c>
      <c r="E294">
        <v>10</v>
      </c>
      <c r="F294">
        <v>0</v>
      </c>
      <c r="G294">
        <v>0</v>
      </c>
      <c r="H294">
        <v>3.4482758620689653</v>
      </c>
      <c r="I294">
        <v>1.8867924528301887</v>
      </c>
      <c r="J294">
        <v>0</v>
      </c>
      <c r="K294">
        <v>0</v>
      </c>
      <c r="L294">
        <v>0</v>
      </c>
      <c r="M294">
        <v>10.714285714285714</v>
      </c>
      <c r="N294">
        <f t="shared" si="4"/>
        <v>1.9415739291584995</v>
      </c>
    </row>
    <row r="295" spans="1:14" x14ac:dyDescent="0.45">
      <c r="A295">
        <v>394</v>
      </c>
      <c r="B295">
        <v>0</v>
      </c>
      <c r="C295">
        <v>1</v>
      </c>
      <c r="D295">
        <v>0</v>
      </c>
      <c r="E295">
        <v>10</v>
      </c>
      <c r="F295">
        <v>0</v>
      </c>
      <c r="G295">
        <v>12.5</v>
      </c>
      <c r="H295">
        <v>6.8965517241379306</v>
      </c>
      <c r="I295">
        <v>1.8867924528301887</v>
      </c>
      <c r="J295">
        <v>0</v>
      </c>
      <c r="K295">
        <v>0</v>
      </c>
      <c r="L295">
        <v>0</v>
      </c>
      <c r="M295">
        <v>39.285714285714285</v>
      </c>
      <c r="N295">
        <f t="shared" si="4"/>
        <v>5.2805635228114394</v>
      </c>
    </row>
    <row r="296" spans="1:14" x14ac:dyDescent="0.45">
      <c r="A296">
        <v>395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7.1428571428571423</v>
      </c>
      <c r="N296">
        <f t="shared" si="4"/>
        <v>0.41370451612914072</v>
      </c>
    </row>
    <row r="297" spans="1:14" x14ac:dyDescent="0.45">
      <c r="A297">
        <v>397</v>
      </c>
      <c r="B297">
        <v>0</v>
      </c>
      <c r="C297">
        <v>0</v>
      </c>
      <c r="D297">
        <v>11.111111111111111</v>
      </c>
      <c r="E297">
        <v>30</v>
      </c>
      <c r="F297">
        <v>33.333333333333329</v>
      </c>
      <c r="G297">
        <v>16.666666666666664</v>
      </c>
      <c r="H297">
        <v>24.137931034482758</v>
      </c>
      <c r="I297">
        <v>16.981132075471699</v>
      </c>
      <c r="J297">
        <v>13.333333333333334</v>
      </c>
      <c r="K297">
        <v>33.333333333333329</v>
      </c>
      <c r="L297">
        <v>0</v>
      </c>
      <c r="M297">
        <v>82.142857142857139</v>
      </c>
      <c r="N297">
        <f t="shared" si="4"/>
        <v>21.262277875772462</v>
      </c>
    </row>
    <row r="298" spans="1:14" x14ac:dyDescent="0.45">
      <c r="A298">
        <v>398</v>
      </c>
      <c r="B298">
        <v>0</v>
      </c>
      <c r="C298">
        <v>0</v>
      </c>
      <c r="D298">
        <v>11.111111111111111</v>
      </c>
      <c r="E298">
        <v>60</v>
      </c>
      <c r="F298">
        <v>0</v>
      </c>
      <c r="G298">
        <v>62.5</v>
      </c>
      <c r="H298">
        <v>72.41379310344827</v>
      </c>
      <c r="I298">
        <v>28.30188679245283</v>
      </c>
      <c r="J298">
        <v>6.666666666666667</v>
      </c>
      <c r="K298">
        <v>27.777777777777779</v>
      </c>
      <c r="L298">
        <v>7.1428571428571423</v>
      </c>
      <c r="M298">
        <v>60.714285714285708</v>
      </c>
      <c r="N298">
        <f t="shared" si="4"/>
        <v>31.69072614202733</v>
      </c>
    </row>
    <row r="299" spans="1:14" x14ac:dyDescent="0.45">
      <c r="A299">
        <v>399</v>
      </c>
      <c r="B299">
        <v>0</v>
      </c>
      <c r="C299">
        <v>0</v>
      </c>
      <c r="D299">
        <v>11.111111111111111</v>
      </c>
      <c r="E299">
        <v>60</v>
      </c>
      <c r="F299">
        <v>0</v>
      </c>
      <c r="G299">
        <v>62.5</v>
      </c>
      <c r="H299">
        <v>72.41379310344827</v>
      </c>
      <c r="I299">
        <v>28.30188679245283</v>
      </c>
      <c r="J299">
        <v>6.666666666666667</v>
      </c>
      <c r="K299">
        <v>27.777777777777779</v>
      </c>
      <c r="L299">
        <v>7.1428571428571423</v>
      </c>
      <c r="M299">
        <v>60.714285714285708</v>
      </c>
      <c r="N299">
        <f t="shared" si="4"/>
        <v>31.69072614202733</v>
      </c>
    </row>
    <row r="300" spans="1:14" x14ac:dyDescent="0.45">
      <c r="A300">
        <v>400</v>
      </c>
      <c r="B300">
        <v>0</v>
      </c>
      <c r="C300">
        <v>0</v>
      </c>
      <c r="D300">
        <v>11.111111111111111</v>
      </c>
      <c r="E300">
        <v>40</v>
      </c>
      <c r="F300">
        <v>33.333333333333329</v>
      </c>
      <c r="G300">
        <v>29.166666666666668</v>
      </c>
      <c r="H300">
        <v>37.931034482758619</v>
      </c>
      <c r="I300">
        <v>11.320754716981133</v>
      </c>
      <c r="J300">
        <v>13.333333333333334</v>
      </c>
      <c r="K300">
        <v>5.5555555555555554</v>
      </c>
      <c r="L300">
        <v>0</v>
      </c>
      <c r="M300">
        <v>60.714285714285708</v>
      </c>
      <c r="N300">
        <f t="shared" si="4"/>
        <v>20.248844751849649</v>
      </c>
    </row>
    <row r="301" spans="1:14" x14ac:dyDescent="0.45">
      <c r="A301">
        <v>401</v>
      </c>
      <c r="B301">
        <v>0</v>
      </c>
      <c r="C301">
        <v>0</v>
      </c>
      <c r="D301">
        <v>11.111111111111111</v>
      </c>
      <c r="E301">
        <v>30</v>
      </c>
      <c r="F301">
        <v>0</v>
      </c>
      <c r="G301">
        <v>4.1666666666666661</v>
      </c>
      <c r="H301">
        <v>13.793103448275861</v>
      </c>
      <c r="I301">
        <v>0</v>
      </c>
      <c r="J301">
        <v>0</v>
      </c>
      <c r="K301">
        <v>0</v>
      </c>
      <c r="L301">
        <v>0</v>
      </c>
      <c r="M301">
        <v>7.1428571428571423</v>
      </c>
      <c r="N301">
        <f t="shared" si="4"/>
        <v>6.1158012159914836</v>
      </c>
    </row>
    <row r="302" spans="1:14" x14ac:dyDescent="0.45">
      <c r="A302">
        <v>402</v>
      </c>
      <c r="B302">
        <v>0</v>
      </c>
      <c r="C302">
        <v>1</v>
      </c>
      <c r="D302">
        <v>0</v>
      </c>
      <c r="E302">
        <v>20</v>
      </c>
      <c r="F302">
        <v>0</v>
      </c>
      <c r="G302">
        <v>4.1666666666666661</v>
      </c>
      <c r="H302">
        <v>13.793103448275861</v>
      </c>
      <c r="I302">
        <v>1.8867924528301887</v>
      </c>
      <c r="J302">
        <v>0</v>
      </c>
      <c r="K302">
        <v>0</v>
      </c>
      <c r="L302">
        <v>0</v>
      </c>
      <c r="M302">
        <v>10.714285714285714</v>
      </c>
      <c r="N302">
        <f t="shared" si="4"/>
        <v>4.3160103047282741</v>
      </c>
    </row>
    <row r="303" spans="1:14" x14ac:dyDescent="0.45">
      <c r="A303">
        <v>404</v>
      </c>
      <c r="B303">
        <v>0</v>
      </c>
      <c r="C303">
        <v>0</v>
      </c>
      <c r="D303">
        <v>11.111111111111111</v>
      </c>
      <c r="E303">
        <v>10</v>
      </c>
      <c r="F303">
        <v>0</v>
      </c>
      <c r="G303">
        <v>16.666666666666664</v>
      </c>
      <c r="H303">
        <v>27.586206896551722</v>
      </c>
      <c r="I303">
        <v>7.5471698113207548</v>
      </c>
      <c r="J303">
        <v>0</v>
      </c>
      <c r="K303">
        <v>0</v>
      </c>
      <c r="L303">
        <v>0</v>
      </c>
      <c r="M303">
        <v>21.428571428571427</v>
      </c>
      <c r="N303">
        <f t="shared" si="4"/>
        <v>9.1213554617825832</v>
      </c>
    </row>
    <row r="304" spans="1:14" x14ac:dyDescent="0.45">
      <c r="A304">
        <v>405</v>
      </c>
      <c r="B304">
        <v>0</v>
      </c>
      <c r="C304">
        <v>0</v>
      </c>
      <c r="D304">
        <v>22.222222222222221</v>
      </c>
      <c r="E304">
        <v>20</v>
      </c>
      <c r="F304">
        <v>0</v>
      </c>
      <c r="G304">
        <v>16.666666666666664</v>
      </c>
      <c r="H304">
        <v>10.344827586206897</v>
      </c>
      <c r="I304">
        <v>7.5471698113207548</v>
      </c>
      <c r="J304">
        <v>0</v>
      </c>
      <c r="K304">
        <v>0</v>
      </c>
      <c r="L304">
        <v>0</v>
      </c>
      <c r="M304">
        <v>14.285714285714285</v>
      </c>
      <c r="N304">
        <f t="shared" si="4"/>
        <v>8.8693364574920981</v>
      </c>
    </row>
    <row r="305" spans="1:14" x14ac:dyDescent="0.45">
      <c r="A305">
        <v>406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4.1666666666666661</v>
      </c>
      <c r="H305">
        <v>6.8965517241379306</v>
      </c>
      <c r="I305">
        <v>9.433962264150944</v>
      </c>
      <c r="J305">
        <v>0</v>
      </c>
      <c r="K305">
        <v>33.333333333333329</v>
      </c>
      <c r="L305">
        <v>0</v>
      </c>
      <c r="M305">
        <v>17.857142857142858</v>
      </c>
      <c r="N305">
        <f t="shared" si="4"/>
        <v>6.6161221789273332</v>
      </c>
    </row>
    <row r="306" spans="1:14" x14ac:dyDescent="0.45">
      <c r="A306">
        <v>407</v>
      </c>
      <c r="B306">
        <v>0</v>
      </c>
      <c r="C306">
        <v>1</v>
      </c>
      <c r="D306">
        <v>11.111111111111111</v>
      </c>
      <c r="E306">
        <v>0</v>
      </c>
      <c r="F306">
        <v>0</v>
      </c>
      <c r="G306">
        <v>4.1666666666666661</v>
      </c>
      <c r="H306">
        <v>6.8965517241379306</v>
      </c>
      <c r="I306">
        <v>11.320754716981133</v>
      </c>
      <c r="J306">
        <v>13.333333333333334</v>
      </c>
      <c r="K306">
        <v>33.333333333333329</v>
      </c>
      <c r="L306">
        <v>0</v>
      </c>
      <c r="M306">
        <v>32.142857142857146</v>
      </c>
      <c r="N306">
        <f t="shared" si="4"/>
        <v>10.331446095032693</v>
      </c>
    </row>
    <row r="307" spans="1:14" x14ac:dyDescent="0.45">
      <c r="A307">
        <v>408</v>
      </c>
      <c r="B307">
        <v>0</v>
      </c>
      <c r="C307">
        <v>1</v>
      </c>
      <c r="D307">
        <v>11.111111111111111</v>
      </c>
      <c r="E307">
        <v>0</v>
      </c>
      <c r="F307">
        <v>0</v>
      </c>
      <c r="G307">
        <v>4.1666666666666661</v>
      </c>
      <c r="H307">
        <v>6.8965517241379306</v>
      </c>
      <c r="I307">
        <v>5.6603773584905666</v>
      </c>
      <c r="J307">
        <v>0</v>
      </c>
      <c r="K307">
        <v>27.777777777777779</v>
      </c>
      <c r="L307">
        <v>0</v>
      </c>
      <c r="M307">
        <v>28.571428571428569</v>
      </c>
      <c r="N307">
        <f t="shared" si="4"/>
        <v>7.7578791358682704</v>
      </c>
    </row>
    <row r="308" spans="1:14" x14ac:dyDescent="0.45">
      <c r="A308">
        <v>409</v>
      </c>
      <c r="B308">
        <v>0</v>
      </c>
      <c r="C308">
        <v>1</v>
      </c>
      <c r="D308">
        <v>11.111111111111111</v>
      </c>
      <c r="E308">
        <v>0</v>
      </c>
      <c r="F308">
        <v>0</v>
      </c>
      <c r="G308">
        <v>4.1666666666666661</v>
      </c>
      <c r="H308">
        <v>6.8965517241379306</v>
      </c>
      <c r="I308">
        <v>9.433962264150944</v>
      </c>
      <c r="J308">
        <v>0</v>
      </c>
      <c r="K308">
        <v>33.333333333333329</v>
      </c>
      <c r="L308">
        <v>0</v>
      </c>
      <c r="M308">
        <v>28.571428571428569</v>
      </c>
      <c r="N308">
        <f t="shared" si="4"/>
        <v>8.6970551762734551</v>
      </c>
    </row>
    <row r="309" spans="1:14" x14ac:dyDescent="0.45">
      <c r="A309">
        <v>410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11.320754716981133</v>
      </c>
      <c r="J309">
        <v>0</v>
      </c>
      <c r="K309">
        <v>5.5555555555555554</v>
      </c>
      <c r="L309">
        <v>0</v>
      </c>
      <c r="M309">
        <v>7.1428571428571423</v>
      </c>
      <c r="N309">
        <f t="shared" si="4"/>
        <v>2.0906236061554093</v>
      </c>
    </row>
    <row r="310" spans="1:14" x14ac:dyDescent="0.45">
      <c r="A310">
        <v>411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11.320754716981133</v>
      </c>
      <c r="J310">
        <v>0</v>
      </c>
      <c r="K310">
        <v>5.5555555555555554</v>
      </c>
      <c r="L310">
        <v>0</v>
      </c>
      <c r="M310">
        <v>7.1428571428571423</v>
      </c>
      <c r="N310">
        <f t="shared" si="4"/>
        <v>2.0906236061554093</v>
      </c>
    </row>
    <row r="311" spans="1:14" x14ac:dyDescent="0.45">
      <c r="A311">
        <v>412</v>
      </c>
      <c r="B311">
        <v>0</v>
      </c>
      <c r="C311">
        <v>0</v>
      </c>
      <c r="D311">
        <v>11.111111111111111</v>
      </c>
      <c r="E311">
        <v>0</v>
      </c>
      <c r="F311">
        <v>0</v>
      </c>
      <c r="G311">
        <v>4.1666666666666661</v>
      </c>
      <c r="H311">
        <v>6.8965517241379306</v>
      </c>
      <c r="I311">
        <v>11.320754716981133</v>
      </c>
      <c r="J311">
        <v>13.333333333333334</v>
      </c>
      <c r="K311">
        <v>27.777777777777779</v>
      </c>
      <c r="L311">
        <v>0</v>
      </c>
      <c r="M311">
        <v>53.571428571428569</v>
      </c>
      <c r="N311">
        <f t="shared" si="4"/>
        <v>11.002255127825471</v>
      </c>
    </row>
    <row r="312" spans="1:14" x14ac:dyDescent="0.45">
      <c r="A312">
        <v>413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1.8867924528301887</v>
      </c>
      <c r="J312">
        <v>0</v>
      </c>
      <c r="K312">
        <v>0</v>
      </c>
      <c r="L312">
        <v>0</v>
      </c>
      <c r="M312">
        <v>28.571428571428569</v>
      </c>
      <c r="N312">
        <f t="shared" si="4"/>
        <v>1.8392538269218335</v>
      </c>
    </row>
    <row r="313" spans="1:14" x14ac:dyDescent="0.45">
      <c r="A313">
        <v>414</v>
      </c>
      <c r="B313">
        <v>0</v>
      </c>
      <c r="C313">
        <v>0</v>
      </c>
      <c r="D313">
        <v>0</v>
      </c>
      <c r="E313">
        <v>20</v>
      </c>
      <c r="F313">
        <v>0</v>
      </c>
      <c r="G313">
        <v>8.3333333333333321</v>
      </c>
      <c r="H313">
        <v>17.241379310344829</v>
      </c>
      <c r="I313">
        <v>9.433962264150944</v>
      </c>
      <c r="J313">
        <v>13.333333333333334</v>
      </c>
      <c r="K313">
        <v>27.777777777777779</v>
      </c>
      <c r="L313">
        <v>0</v>
      </c>
      <c r="M313">
        <v>32.142857142857146</v>
      </c>
      <c r="N313">
        <f t="shared" si="4"/>
        <v>11.22146867803078</v>
      </c>
    </row>
    <row r="314" spans="1:14" x14ac:dyDescent="0.45">
      <c r="A314">
        <v>415</v>
      </c>
      <c r="B314">
        <v>0</v>
      </c>
      <c r="C314">
        <v>1</v>
      </c>
      <c r="D314">
        <v>0</v>
      </c>
      <c r="E314">
        <v>20</v>
      </c>
      <c r="F314">
        <v>0</v>
      </c>
      <c r="G314">
        <v>8.3333333333333321</v>
      </c>
      <c r="H314">
        <v>13.793103448275861</v>
      </c>
      <c r="I314">
        <v>9.433962264150944</v>
      </c>
      <c r="J314">
        <v>6.666666666666667</v>
      </c>
      <c r="K314">
        <v>27.777777777777779</v>
      </c>
      <c r="L314">
        <v>0</v>
      </c>
      <c r="M314">
        <v>32.142857142857146</v>
      </c>
      <c r="N314">
        <f t="shared" si="4"/>
        <v>10.194038544907203</v>
      </c>
    </row>
    <row r="315" spans="1:14" x14ac:dyDescent="0.45">
      <c r="A315">
        <v>416</v>
      </c>
      <c r="B315">
        <v>0</v>
      </c>
      <c r="C315">
        <v>0</v>
      </c>
      <c r="D315">
        <v>11.111111111111111</v>
      </c>
      <c r="E315">
        <v>30</v>
      </c>
      <c r="F315">
        <v>0</v>
      </c>
      <c r="G315">
        <v>20.833333333333336</v>
      </c>
      <c r="H315">
        <v>27.586206896551722</v>
      </c>
      <c r="I315">
        <v>16.981132075471699</v>
      </c>
      <c r="J315">
        <v>20</v>
      </c>
      <c r="K315">
        <v>38.888888888888893</v>
      </c>
      <c r="L315">
        <v>0</v>
      </c>
      <c r="M315">
        <v>39.285714285714285</v>
      </c>
      <c r="N315">
        <f t="shared" si="4"/>
        <v>18.822084552942176</v>
      </c>
    </row>
    <row r="316" spans="1:14" x14ac:dyDescent="0.45">
      <c r="A316">
        <v>417</v>
      </c>
      <c r="B316">
        <v>0</v>
      </c>
      <c r="C316">
        <v>0</v>
      </c>
      <c r="D316">
        <v>11.111111111111111</v>
      </c>
      <c r="E316">
        <v>30</v>
      </c>
      <c r="F316">
        <v>0</v>
      </c>
      <c r="G316">
        <v>20.833333333333336</v>
      </c>
      <c r="H316">
        <v>27.586206896551722</v>
      </c>
      <c r="I316">
        <v>16.981132075471699</v>
      </c>
      <c r="J316">
        <v>20</v>
      </c>
      <c r="K316">
        <v>38.888888888888893</v>
      </c>
      <c r="L316">
        <v>0</v>
      </c>
      <c r="M316">
        <v>39.285714285714285</v>
      </c>
      <c r="N316">
        <f t="shared" si="4"/>
        <v>18.822084552942176</v>
      </c>
    </row>
    <row r="317" spans="1:14" x14ac:dyDescent="0.45">
      <c r="A317">
        <v>418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8.3333333333333321</v>
      </c>
      <c r="H317">
        <v>0</v>
      </c>
      <c r="I317">
        <v>9.433962264150944</v>
      </c>
      <c r="J317">
        <v>6.666666666666667</v>
      </c>
      <c r="K317">
        <v>27.777777777777779</v>
      </c>
      <c r="L317">
        <v>0</v>
      </c>
      <c r="M317">
        <v>35.714285714285715</v>
      </c>
      <c r="N317">
        <f t="shared" si="4"/>
        <v>7.3159706498949797</v>
      </c>
    </row>
    <row r="318" spans="1:14" x14ac:dyDescent="0.45">
      <c r="A318">
        <v>421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3.7735849056603774</v>
      </c>
      <c r="J318">
        <v>6.666666666666667</v>
      </c>
      <c r="K318">
        <v>22.222222222222221</v>
      </c>
      <c r="L318">
        <v>0</v>
      </c>
      <c r="M318">
        <v>0</v>
      </c>
      <c r="N318">
        <f t="shared" si="4"/>
        <v>3.2716410363338202</v>
      </c>
    </row>
    <row r="319" spans="1:14" x14ac:dyDescent="0.45">
      <c r="A319">
        <v>422</v>
      </c>
      <c r="B319">
        <v>0</v>
      </c>
      <c r="C319">
        <v>0</v>
      </c>
      <c r="D319">
        <v>0</v>
      </c>
      <c r="E319">
        <v>30</v>
      </c>
      <c r="F319">
        <v>33.333333333333329</v>
      </c>
      <c r="G319">
        <v>29.166666666666668</v>
      </c>
      <c r="H319">
        <v>20.689655172413794</v>
      </c>
      <c r="I319">
        <v>1.8867924528301887</v>
      </c>
      <c r="J319">
        <v>0</v>
      </c>
      <c r="K319">
        <v>11.111111111111111</v>
      </c>
      <c r="L319">
        <v>0</v>
      </c>
      <c r="M319">
        <v>14.285714285714285</v>
      </c>
      <c r="N319">
        <f t="shared" si="4"/>
        <v>11.744315850661685</v>
      </c>
    </row>
    <row r="320" spans="1:14" x14ac:dyDescent="0.45">
      <c r="A320">
        <v>423</v>
      </c>
      <c r="B320">
        <v>1</v>
      </c>
      <c r="C320">
        <v>0</v>
      </c>
      <c r="D320">
        <v>22.222222222222221</v>
      </c>
      <c r="E320">
        <v>20</v>
      </c>
      <c r="F320">
        <v>0</v>
      </c>
      <c r="G320">
        <v>54.166666666666664</v>
      </c>
      <c r="H320">
        <v>55.172413793103445</v>
      </c>
      <c r="I320">
        <v>47.169811320754718</v>
      </c>
      <c r="J320">
        <v>40</v>
      </c>
      <c r="K320">
        <v>38.888888888888893</v>
      </c>
      <c r="L320">
        <v>14.285714285714285</v>
      </c>
      <c r="M320">
        <v>35.714285714285715</v>
      </c>
      <c r="N320">
        <f t="shared" si="4"/>
        <v>33.16657920312376</v>
      </c>
    </row>
    <row r="321" spans="1:14" x14ac:dyDescent="0.45">
      <c r="A321">
        <v>424</v>
      </c>
      <c r="B321">
        <v>0</v>
      </c>
      <c r="C321">
        <v>0</v>
      </c>
      <c r="D321">
        <v>22.222222222222221</v>
      </c>
      <c r="E321">
        <v>30</v>
      </c>
      <c r="F321">
        <v>0</v>
      </c>
      <c r="G321">
        <v>29.166666666666668</v>
      </c>
      <c r="H321">
        <v>48.275862068965516</v>
      </c>
      <c r="I321">
        <v>33.962264150943398</v>
      </c>
      <c r="J321">
        <v>33.333333333333329</v>
      </c>
      <c r="K321">
        <v>38.888888888888893</v>
      </c>
      <c r="L321">
        <v>14.285714285714285</v>
      </c>
      <c r="M321">
        <v>46.428571428571431</v>
      </c>
      <c r="N321">
        <f t="shared" si="4"/>
        <v>29.236893841643766</v>
      </c>
    </row>
    <row r="322" spans="1:14" x14ac:dyDescent="0.45">
      <c r="A322">
        <v>425</v>
      </c>
      <c r="B322">
        <v>0</v>
      </c>
      <c r="C322">
        <v>0</v>
      </c>
      <c r="D322">
        <v>22.222222222222221</v>
      </c>
      <c r="E322">
        <v>30</v>
      </c>
      <c r="F322">
        <v>0</v>
      </c>
      <c r="G322">
        <v>41.666666666666671</v>
      </c>
      <c r="H322">
        <v>62.068965517241381</v>
      </c>
      <c r="I322">
        <v>47.169811320754718</v>
      </c>
      <c r="J322">
        <v>26.666666666666668</v>
      </c>
      <c r="K322">
        <v>50</v>
      </c>
      <c r="L322">
        <v>14.285714285714285</v>
      </c>
      <c r="M322">
        <v>35.714285714285715</v>
      </c>
      <c r="N322">
        <f t="shared" si="4"/>
        <v>33.328252567404554</v>
      </c>
    </row>
    <row r="323" spans="1:14" x14ac:dyDescent="0.45">
      <c r="A323">
        <v>426</v>
      </c>
      <c r="B323">
        <v>0</v>
      </c>
      <c r="C323">
        <v>0</v>
      </c>
      <c r="D323">
        <v>33.333333333333329</v>
      </c>
      <c r="E323">
        <v>60</v>
      </c>
      <c r="F323">
        <v>33.333333333333329</v>
      </c>
      <c r="G323">
        <v>50</v>
      </c>
      <c r="H323">
        <v>51.724137931034484</v>
      </c>
      <c r="I323">
        <v>30.188679245283019</v>
      </c>
      <c r="J323">
        <v>13.333333333333334</v>
      </c>
      <c r="K323">
        <v>11.111111111111111</v>
      </c>
      <c r="L323">
        <v>14.285714285714285</v>
      </c>
      <c r="M323">
        <v>21.428571428571427</v>
      </c>
      <c r="N323">
        <f t="shared" si="4"/>
        <v>30.874529182935774</v>
      </c>
    </row>
    <row r="324" spans="1:14" x14ac:dyDescent="0.45">
      <c r="A324">
        <v>430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5.6603773584905666</v>
      </c>
      <c r="J324">
        <v>0</v>
      </c>
      <c r="K324">
        <v>0</v>
      </c>
      <c r="L324">
        <v>0</v>
      </c>
      <c r="M324">
        <v>32.142857142857146</v>
      </c>
      <c r="N324">
        <f t="shared" si="4"/>
        <v>2.4149776097969453</v>
      </c>
    </row>
    <row r="325" spans="1:14" x14ac:dyDescent="0.45">
      <c r="A325">
        <v>431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1.8867924528301887</v>
      </c>
      <c r="J325">
        <v>6.666666666666667</v>
      </c>
      <c r="K325">
        <v>5.5555555555555554</v>
      </c>
      <c r="L325">
        <v>0</v>
      </c>
      <c r="M325">
        <v>25</v>
      </c>
      <c r="N325">
        <f t="shared" ref="N325:N388" si="5">D325*D$1+E325*E$1+F325*F$1+G325*G$1+H325*H$1+I325*I$1+J325*J$1+K325*K$1+L325*L$1+M325*M$1</f>
        <v>2.8242575335966071</v>
      </c>
    </row>
    <row r="326" spans="1:14" x14ac:dyDescent="0.45">
      <c r="A326">
        <v>432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3.4482758620689653</v>
      </c>
      <c r="I326">
        <v>16.981132075471699</v>
      </c>
      <c r="J326">
        <v>0</v>
      </c>
      <c r="K326">
        <v>5.5555555555555554</v>
      </c>
      <c r="L326">
        <v>0</v>
      </c>
      <c r="M326">
        <v>25</v>
      </c>
      <c r="N326">
        <f t="shared" si="5"/>
        <v>4.0840708676729518</v>
      </c>
    </row>
    <row r="327" spans="1:14" x14ac:dyDescent="0.45">
      <c r="A327">
        <v>433</v>
      </c>
      <c r="B327">
        <v>0</v>
      </c>
      <c r="C327">
        <v>0</v>
      </c>
      <c r="D327">
        <v>11.111111111111111</v>
      </c>
      <c r="E327">
        <v>20</v>
      </c>
      <c r="F327">
        <v>33.333333333333329</v>
      </c>
      <c r="G327">
        <v>29.166666666666668</v>
      </c>
      <c r="H327">
        <v>51.724137931034484</v>
      </c>
      <c r="I327">
        <v>39.622641509433961</v>
      </c>
      <c r="J327">
        <v>6.666666666666667</v>
      </c>
      <c r="K327">
        <v>16.666666666666664</v>
      </c>
      <c r="L327">
        <v>50</v>
      </c>
      <c r="M327">
        <v>42.857142857142854</v>
      </c>
      <c r="N327">
        <f t="shared" si="5"/>
        <v>30.888114392671962</v>
      </c>
    </row>
    <row r="328" spans="1:14" x14ac:dyDescent="0.45">
      <c r="A328">
        <v>434</v>
      </c>
      <c r="B328">
        <v>0</v>
      </c>
      <c r="C328">
        <v>0</v>
      </c>
      <c r="D328">
        <v>22.222222222222221</v>
      </c>
      <c r="E328">
        <v>50</v>
      </c>
      <c r="F328">
        <v>33.333333333333329</v>
      </c>
      <c r="G328">
        <v>16.666666666666664</v>
      </c>
      <c r="H328">
        <v>24.137931034482758</v>
      </c>
      <c r="I328">
        <v>13.20754716981132</v>
      </c>
      <c r="J328">
        <v>13.333333333333334</v>
      </c>
      <c r="K328">
        <v>0</v>
      </c>
      <c r="L328">
        <v>0</v>
      </c>
      <c r="M328">
        <v>28.571428571428569</v>
      </c>
      <c r="N328">
        <f t="shared" si="5"/>
        <v>17.290577026739182</v>
      </c>
    </row>
    <row r="329" spans="1:14" x14ac:dyDescent="0.45">
      <c r="A329">
        <v>435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3.4482758620689653</v>
      </c>
      <c r="I329">
        <v>13.20754716981132</v>
      </c>
      <c r="J329">
        <v>6.666666666666667</v>
      </c>
      <c r="K329">
        <v>0</v>
      </c>
      <c r="L329">
        <v>0</v>
      </c>
      <c r="M329">
        <v>14.285714285714285</v>
      </c>
      <c r="N329">
        <f t="shared" si="5"/>
        <v>3.1458895022187523</v>
      </c>
    </row>
    <row r="330" spans="1:14" x14ac:dyDescent="0.45">
      <c r="A330">
        <v>436</v>
      </c>
      <c r="B330">
        <v>0</v>
      </c>
      <c r="C330">
        <v>0</v>
      </c>
      <c r="D330">
        <v>33.333333333333329</v>
      </c>
      <c r="E330">
        <v>10</v>
      </c>
      <c r="F330">
        <v>66.666666666666657</v>
      </c>
      <c r="G330">
        <v>12.5</v>
      </c>
      <c r="H330">
        <v>24.137931034482758</v>
      </c>
      <c r="I330">
        <v>26.415094339622641</v>
      </c>
      <c r="J330">
        <v>33.333333333333329</v>
      </c>
      <c r="K330">
        <v>50</v>
      </c>
      <c r="L330">
        <v>0</v>
      </c>
      <c r="M330">
        <v>28.571428571428569</v>
      </c>
      <c r="N330">
        <f t="shared" si="5"/>
        <v>25.672288614965495</v>
      </c>
    </row>
    <row r="331" spans="1:14" x14ac:dyDescent="0.45">
      <c r="A331">
        <v>437</v>
      </c>
      <c r="B331">
        <v>1</v>
      </c>
      <c r="C331">
        <v>0</v>
      </c>
      <c r="D331">
        <v>22.222222222222221</v>
      </c>
      <c r="E331">
        <v>10</v>
      </c>
      <c r="F331">
        <v>66.666666666666657</v>
      </c>
      <c r="G331">
        <v>29.166666666666668</v>
      </c>
      <c r="H331">
        <v>34.482758620689658</v>
      </c>
      <c r="I331">
        <v>33.962264150943398</v>
      </c>
      <c r="J331">
        <v>40</v>
      </c>
      <c r="K331">
        <v>55.555555555555557</v>
      </c>
      <c r="L331">
        <v>0</v>
      </c>
      <c r="M331">
        <v>32.142857142857146</v>
      </c>
      <c r="N331">
        <f t="shared" si="5"/>
        <v>29.270390176384712</v>
      </c>
    </row>
    <row r="332" spans="1:14" x14ac:dyDescent="0.45">
      <c r="A332">
        <v>438</v>
      </c>
      <c r="B332">
        <v>0</v>
      </c>
      <c r="C332">
        <v>0</v>
      </c>
      <c r="D332">
        <v>11.111111111111111</v>
      </c>
      <c r="E332">
        <v>20</v>
      </c>
      <c r="F332">
        <v>66.666666666666657</v>
      </c>
      <c r="G332">
        <v>62.5</v>
      </c>
      <c r="H332">
        <v>58.620689655172406</v>
      </c>
      <c r="I332">
        <v>92.452830188679243</v>
      </c>
      <c r="J332">
        <v>73.333333333333329</v>
      </c>
      <c r="K332">
        <v>77.777777777777786</v>
      </c>
      <c r="L332">
        <v>35.714285714285715</v>
      </c>
      <c r="M332">
        <v>82.142857142857139</v>
      </c>
      <c r="N332">
        <f t="shared" si="5"/>
        <v>54.668655064416868</v>
      </c>
    </row>
    <row r="333" spans="1:14" x14ac:dyDescent="0.45">
      <c r="A333">
        <v>439</v>
      </c>
      <c r="B333">
        <v>0</v>
      </c>
      <c r="C333">
        <v>0</v>
      </c>
      <c r="D333">
        <v>11.111111111111111</v>
      </c>
      <c r="E333">
        <v>10</v>
      </c>
      <c r="F333">
        <v>100</v>
      </c>
      <c r="G333">
        <v>58.333333333333336</v>
      </c>
      <c r="H333">
        <v>51.724137931034484</v>
      </c>
      <c r="I333">
        <v>86.79245283018868</v>
      </c>
      <c r="J333">
        <v>100</v>
      </c>
      <c r="K333">
        <v>88.888888888888886</v>
      </c>
      <c r="L333">
        <v>35.714285714285715</v>
      </c>
      <c r="M333">
        <v>67.857142857142861</v>
      </c>
      <c r="N333">
        <f t="shared" si="5"/>
        <v>56.927994370946131</v>
      </c>
    </row>
    <row r="334" spans="1:14" x14ac:dyDescent="0.45">
      <c r="A334">
        <v>440</v>
      </c>
      <c r="B334">
        <v>0</v>
      </c>
      <c r="C334">
        <v>0</v>
      </c>
      <c r="D334">
        <v>11.111111111111111</v>
      </c>
      <c r="E334">
        <v>20</v>
      </c>
      <c r="F334">
        <v>100</v>
      </c>
      <c r="G334">
        <v>62.5</v>
      </c>
      <c r="H334">
        <v>44.827586206896555</v>
      </c>
      <c r="I334">
        <v>83.018867924528308</v>
      </c>
      <c r="J334">
        <v>93.333333333333329</v>
      </c>
      <c r="K334">
        <v>88.888888888888886</v>
      </c>
      <c r="L334">
        <v>35.714285714285715</v>
      </c>
      <c r="M334">
        <v>67.857142857142861</v>
      </c>
      <c r="N334">
        <f t="shared" si="5"/>
        <v>56.282614352666272</v>
      </c>
    </row>
    <row r="335" spans="1:14" x14ac:dyDescent="0.45">
      <c r="A335">
        <v>441</v>
      </c>
      <c r="B335">
        <v>0</v>
      </c>
      <c r="C335">
        <v>0</v>
      </c>
      <c r="D335">
        <v>33.333333333333329</v>
      </c>
      <c r="E335">
        <v>40</v>
      </c>
      <c r="F335">
        <v>33.333333333333329</v>
      </c>
      <c r="G335">
        <v>75</v>
      </c>
      <c r="H335">
        <v>41.379310344827587</v>
      </c>
      <c r="I335">
        <v>43.39622641509434</v>
      </c>
      <c r="J335">
        <v>86.666666666666671</v>
      </c>
      <c r="K335">
        <v>27.777777777777779</v>
      </c>
      <c r="L335">
        <v>7.1428571428571423</v>
      </c>
      <c r="M335">
        <v>85.714285714285708</v>
      </c>
      <c r="N335">
        <f t="shared" si="5"/>
        <v>43.139325645775173</v>
      </c>
    </row>
    <row r="336" spans="1:14" x14ac:dyDescent="0.45">
      <c r="A336">
        <v>442</v>
      </c>
      <c r="B336">
        <v>0</v>
      </c>
      <c r="C336">
        <v>0</v>
      </c>
      <c r="D336">
        <v>33.333333333333329</v>
      </c>
      <c r="E336">
        <v>50</v>
      </c>
      <c r="F336">
        <v>66.666666666666657</v>
      </c>
      <c r="G336">
        <v>75</v>
      </c>
      <c r="H336">
        <v>55.172413793103445</v>
      </c>
      <c r="I336">
        <v>49.056603773584904</v>
      </c>
      <c r="J336">
        <v>100</v>
      </c>
      <c r="K336">
        <v>27.777777777777779</v>
      </c>
      <c r="L336">
        <v>7.1428571428571423</v>
      </c>
      <c r="M336">
        <v>89.285714285714292</v>
      </c>
      <c r="N336">
        <f t="shared" si="5"/>
        <v>49.478604023667273</v>
      </c>
    </row>
    <row r="337" spans="1:14" x14ac:dyDescent="0.45">
      <c r="A337">
        <v>443</v>
      </c>
      <c r="B337">
        <v>0</v>
      </c>
      <c r="C337">
        <v>0</v>
      </c>
      <c r="D337">
        <v>33.333333333333329</v>
      </c>
      <c r="E337">
        <v>50</v>
      </c>
      <c r="F337">
        <v>66.666666666666657</v>
      </c>
      <c r="G337">
        <v>75</v>
      </c>
      <c r="H337">
        <v>55.172413793103445</v>
      </c>
      <c r="I337">
        <v>49.056603773584904</v>
      </c>
      <c r="J337">
        <v>100</v>
      </c>
      <c r="K337">
        <v>27.777777777777779</v>
      </c>
      <c r="L337">
        <v>7.1428571428571423</v>
      </c>
      <c r="M337">
        <v>89.285714285714292</v>
      </c>
      <c r="N337">
        <f t="shared" si="5"/>
        <v>49.478604023667273</v>
      </c>
    </row>
    <row r="338" spans="1:14" x14ac:dyDescent="0.45">
      <c r="A338">
        <v>444</v>
      </c>
      <c r="B338">
        <v>0</v>
      </c>
      <c r="C338">
        <v>0</v>
      </c>
      <c r="D338">
        <v>11.111111111111111</v>
      </c>
      <c r="E338">
        <v>40</v>
      </c>
      <c r="F338">
        <v>0</v>
      </c>
      <c r="G338">
        <v>45.833333333333329</v>
      </c>
      <c r="H338">
        <v>55.172413793103445</v>
      </c>
      <c r="I338">
        <v>88.679245283018872</v>
      </c>
      <c r="J338">
        <v>66.666666666666657</v>
      </c>
      <c r="K338">
        <v>66.666666666666657</v>
      </c>
      <c r="L338">
        <v>35.714285714285715</v>
      </c>
      <c r="M338">
        <v>100</v>
      </c>
      <c r="N338">
        <f t="shared" si="5"/>
        <v>48.959423642915269</v>
      </c>
    </row>
    <row r="339" spans="1:14" x14ac:dyDescent="0.45">
      <c r="A339">
        <v>445</v>
      </c>
      <c r="B339">
        <v>0</v>
      </c>
      <c r="C339">
        <v>0</v>
      </c>
      <c r="D339">
        <v>11.111111111111111</v>
      </c>
      <c r="E339">
        <v>20</v>
      </c>
      <c r="F339">
        <v>0</v>
      </c>
      <c r="G339">
        <v>33.333333333333329</v>
      </c>
      <c r="H339">
        <v>27.586206896551722</v>
      </c>
      <c r="I339">
        <v>49.056603773584904</v>
      </c>
      <c r="J339">
        <v>60</v>
      </c>
      <c r="K339">
        <v>38.888888888888893</v>
      </c>
      <c r="L339">
        <v>21.428571428571427</v>
      </c>
      <c r="M339">
        <v>71.428571428571431</v>
      </c>
      <c r="N339">
        <f t="shared" si="5"/>
        <v>31.621416351115361</v>
      </c>
    </row>
    <row r="340" spans="1:14" x14ac:dyDescent="0.45">
      <c r="A340">
        <v>446</v>
      </c>
      <c r="B340">
        <v>0</v>
      </c>
      <c r="C340">
        <v>0</v>
      </c>
      <c r="D340">
        <v>0</v>
      </c>
      <c r="E340">
        <v>10</v>
      </c>
      <c r="F340">
        <v>0</v>
      </c>
      <c r="G340">
        <v>16.666666666666664</v>
      </c>
      <c r="H340">
        <v>6.8965517241379306</v>
      </c>
      <c r="I340">
        <v>5.6603773584905666</v>
      </c>
      <c r="J340">
        <v>20</v>
      </c>
      <c r="K340">
        <v>5.5555555555555554</v>
      </c>
      <c r="L340">
        <v>0</v>
      </c>
      <c r="M340">
        <v>64.285714285714292</v>
      </c>
      <c r="N340">
        <f t="shared" si="5"/>
        <v>9.9584573321552128</v>
      </c>
    </row>
    <row r="341" spans="1:14" x14ac:dyDescent="0.45">
      <c r="A341">
        <v>447</v>
      </c>
      <c r="B341">
        <v>0</v>
      </c>
      <c r="C341">
        <v>0</v>
      </c>
      <c r="D341">
        <v>0</v>
      </c>
      <c r="E341">
        <v>10</v>
      </c>
      <c r="F341">
        <v>0</v>
      </c>
      <c r="G341">
        <v>16.666666666666664</v>
      </c>
      <c r="H341">
        <v>6.8965517241379306</v>
      </c>
      <c r="I341">
        <v>5.6603773584905666</v>
      </c>
      <c r="J341">
        <v>20</v>
      </c>
      <c r="K341">
        <v>5.5555555555555554</v>
      </c>
      <c r="L341">
        <v>0</v>
      </c>
      <c r="M341">
        <v>46.428571428571431</v>
      </c>
      <c r="N341">
        <f t="shared" si="5"/>
        <v>8.92419604183236</v>
      </c>
    </row>
    <row r="342" spans="1:14" x14ac:dyDescent="0.45">
      <c r="A342">
        <v>449</v>
      </c>
      <c r="B342">
        <v>1</v>
      </c>
      <c r="C342">
        <v>0</v>
      </c>
      <c r="D342">
        <v>0</v>
      </c>
      <c r="E342">
        <v>10</v>
      </c>
      <c r="F342">
        <v>0</v>
      </c>
      <c r="G342">
        <v>20.833333333333336</v>
      </c>
      <c r="H342">
        <v>6.8965517241379306</v>
      </c>
      <c r="I342">
        <v>3.7735849056603774</v>
      </c>
      <c r="J342">
        <v>26.666666666666668</v>
      </c>
      <c r="K342">
        <v>0</v>
      </c>
      <c r="L342">
        <v>0</v>
      </c>
      <c r="M342">
        <v>67.857142857142861</v>
      </c>
      <c r="N342">
        <f t="shared" si="5"/>
        <v>10.458218376417065</v>
      </c>
    </row>
    <row r="343" spans="1:14" x14ac:dyDescent="0.45">
      <c r="A343">
        <v>450</v>
      </c>
      <c r="B343">
        <v>0</v>
      </c>
      <c r="C343">
        <v>1</v>
      </c>
      <c r="D343">
        <v>11.111111111111111</v>
      </c>
      <c r="E343">
        <v>20</v>
      </c>
      <c r="F343">
        <v>0</v>
      </c>
      <c r="G343">
        <v>20.833333333333336</v>
      </c>
      <c r="H343">
        <v>27.586206896551722</v>
      </c>
      <c r="I343">
        <v>13.20754716981132</v>
      </c>
      <c r="J343">
        <v>6.666666666666667</v>
      </c>
      <c r="K343">
        <v>27.777777777777779</v>
      </c>
      <c r="L343">
        <v>14.285714285714285</v>
      </c>
      <c r="M343">
        <v>14.285714285714285</v>
      </c>
      <c r="N343">
        <f t="shared" si="5"/>
        <v>16.241069039125254</v>
      </c>
    </row>
    <row r="344" spans="1:14" x14ac:dyDescent="0.45">
      <c r="A344">
        <v>451</v>
      </c>
      <c r="B344">
        <v>0</v>
      </c>
      <c r="C344">
        <v>1</v>
      </c>
      <c r="D344">
        <v>0</v>
      </c>
      <c r="E344">
        <v>20</v>
      </c>
      <c r="F344">
        <v>0</v>
      </c>
      <c r="G344">
        <v>4.1666666666666661</v>
      </c>
      <c r="H344">
        <v>6.8965517241379306</v>
      </c>
      <c r="I344">
        <v>5.6603773584905666</v>
      </c>
      <c r="J344">
        <v>6.666666666666667</v>
      </c>
      <c r="K344">
        <v>22.222222222222221</v>
      </c>
      <c r="L344">
        <v>0</v>
      </c>
      <c r="M344">
        <v>3.5714285714285712</v>
      </c>
      <c r="N344">
        <f t="shared" si="5"/>
        <v>6.3621894569751962</v>
      </c>
    </row>
    <row r="345" spans="1:14" x14ac:dyDescent="0.45">
      <c r="A345">
        <v>452</v>
      </c>
      <c r="B345">
        <v>0</v>
      </c>
      <c r="C345">
        <v>1</v>
      </c>
      <c r="D345">
        <v>22.222222222222221</v>
      </c>
      <c r="E345">
        <v>30</v>
      </c>
      <c r="F345">
        <v>33.333333333333329</v>
      </c>
      <c r="G345">
        <v>25</v>
      </c>
      <c r="H345">
        <v>44.827586206896555</v>
      </c>
      <c r="I345">
        <v>5.6603773584905666</v>
      </c>
      <c r="J345">
        <v>6.666666666666667</v>
      </c>
      <c r="K345">
        <v>5.5555555555555554</v>
      </c>
      <c r="L345">
        <v>0</v>
      </c>
      <c r="M345">
        <v>42.857142857142854</v>
      </c>
      <c r="N345">
        <f t="shared" si="5"/>
        <v>19.155057992643322</v>
      </c>
    </row>
    <row r="346" spans="1:14" x14ac:dyDescent="0.45">
      <c r="A346">
        <v>453</v>
      </c>
      <c r="B346">
        <v>0</v>
      </c>
      <c r="C346">
        <v>0</v>
      </c>
      <c r="D346">
        <v>11.111111111111111</v>
      </c>
      <c r="E346">
        <v>30</v>
      </c>
      <c r="F346">
        <v>33.333333333333329</v>
      </c>
      <c r="G346">
        <v>25</v>
      </c>
      <c r="H346">
        <v>34.482758620689658</v>
      </c>
      <c r="I346">
        <v>16.981132075471699</v>
      </c>
      <c r="J346">
        <v>0</v>
      </c>
      <c r="K346">
        <v>5.5555555555555554</v>
      </c>
      <c r="L346">
        <v>7.1428571428571423</v>
      </c>
      <c r="M346">
        <v>28.571428571428569</v>
      </c>
      <c r="N346">
        <f t="shared" si="5"/>
        <v>17.309818038335383</v>
      </c>
    </row>
    <row r="347" spans="1:14" x14ac:dyDescent="0.45">
      <c r="A347">
        <v>454</v>
      </c>
      <c r="B347">
        <v>0</v>
      </c>
      <c r="C347">
        <v>0</v>
      </c>
      <c r="D347">
        <v>0</v>
      </c>
      <c r="E347">
        <v>10</v>
      </c>
      <c r="F347">
        <v>0</v>
      </c>
      <c r="G347">
        <v>37.5</v>
      </c>
      <c r="H347">
        <v>44.827586206896555</v>
      </c>
      <c r="I347">
        <v>18.867924528301888</v>
      </c>
      <c r="J347">
        <v>0</v>
      </c>
      <c r="K347">
        <v>0</v>
      </c>
      <c r="L347">
        <v>7.1428571428571423</v>
      </c>
      <c r="M347">
        <v>42.857142857142854</v>
      </c>
      <c r="N347">
        <f t="shared" si="5"/>
        <v>15.343707084358574</v>
      </c>
    </row>
    <row r="348" spans="1:14" x14ac:dyDescent="0.45">
      <c r="A348">
        <v>455</v>
      </c>
      <c r="B348">
        <v>0</v>
      </c>
      <c r="C348">
        <v>0</v>
      </c>
      <c r="D348">
        <v>22.222222222222221</v>
      </c>
      <c r="E348">
        <v>30</v>
      </c>
      <c r="F348">
        <v>0</v>
      </c>
      <c r="G348">
        <v>45.833333333333329</v>
      </c>
      <c r="H348">
        <v>37.931034482758619</v>
      </c>
      <c r="I348">
        <v>11.320754716981133</v>
      </c>
      <c r="J348">
        <v>6.666666666666667</v>
      </c>
      <c r="K348">
        <v>5.5555555555555554</v>
      </c>
      <c r="L348">
        <v>7.1428571428571423</v>
      </c>
      <c r="M348">
        <v>42.857142857142854</v>
      </c>
      <c r="N348">
        <f t="shared" si="5"/>
        <v>20.220415725090177</v>
      </c>
    </row>
    <row r="349" spans="1:14" x14ac:dyDescent="0.45">
      <c r="A349">
        <v>456</v>
      </c>
      <c r="B349">
        <v>0</v>
      </c>
      <c r="C349">
        <v>0</v>
      </c>
      <c r="D349">
        <v>22.222222222222221</v>
      </c>
      <c r="E349">
        <v>30</v>
      </c>
      <c r="F349">
        <v>0</v>
      </c>
      <c r="G349">
        <v>45.833333333333329</v>
      </c>
      <c r="H349">
        <v>37.931034482758619</v>
      </c>
      <c r="I349">
        <v>11.320754716981133</v>
      </c>
      <c r="J349">
        <v>6.666666666666667</v>
      </c>
      <c r="K349">
        <v>5.5555555555555554</v>
      </c>
      <c r="L349">
        <v>7.1428571428571423</v>
      </c>
      <c r="M349">
        <v>42.857142857142854</v>
      </c>
      <c r="N349">
        <f t="shared" si="5"/>
        <v>20.220415725090177</v>
      </c>
    </row>
    <row r="350" spans="1:14" x14ac:dyDescent="0.45">
      <c r="A350">
        <v>457</v>
      </c>
      <c r="B350">
        <v>0</v>
      </c>
      <c r="C350">
        <v>0</v>
      </c>
      <c r="D350">
        <v>11.111111111111111</v>
      </c>
      <c r="E350">
        <v>20</v>
      </c>
      <c r="F350">
        <v>0</v>
      </c>
      <c r="G350">
        <v>25</v>
      </c>
      <c r="H350">
        <v>17.241379310344829</v>
      </c>
      <c r="I350">
        <v>1.8867924528301887</v>
      </c>
      <c r="J350">
        <v>6.666666666666667</v>
      </c>
      <c r="K350">
        <v>5.5555555555555554</v>
      </c>
      <c r="L350">
        <v>0</v>
      </c>
      <c r="M350">
        <v>32.142857142857146</v>
      </c>
      <c r="N350">
        <f t="shared" si="5"/>
        <v>10.745722800248824</v>
      </c>
    </row>
    <row r="351" spans="1:14" x14ac:dyDescent="0.45">
      <c r="A351">
        <v>458</v>
      </c>
      <c r="B351">
        <v>0</v>
      </c>
      <c r="C351">
        <v>0</v>
      </c>
      <c r="D351">
        <v>11.111111111111111</v>
      </c>
      <c r="E351">
        <v>30</v>
      </c>
      <c r="F351">
        <v>33.333333333333329</v>
      </c>
      <c r="G351">
        <v>29.166666666666668</v>
      </c>
      <c r="H351">
        <v>34.482758620689658</v>
      </c>
      <c r="I351">
        <v>15.09433962264151</v>
      </c>
      <c r="J351">
        <v>6.666666666666667</v>
      </c>
      <c r="K351">
        <v>11.111111111111111</v>
      </c>
      <c r="L351">
        <v>7.1428571428571423</v>
      </c>
      <c r="M351">
        <v>28.571428571428569</v>
      </c>
      <c r="N351">
        <f t="shared" si="5"/>
        <v>18.743335855721956</v>
      </c>
    </row>
    <row r="352" spans="1:14" x14ac:dyDescent="0.45">
      <c r="A352">
        <v>459</v>
      </c>
      <c r="B352">
        <v>0</v>
      </c>
      <c r="C352">
        <v>0</v>
      </c>
      <c r="D352">
        <v>11.111111111111111</v>
      </c>
      <c r="E352">
        <v>30</v>
      </c>
      <c r="F352">
        <v>33.333333333333329</v>
      </c>
      <c r="G352">
        <v>25</v>
      </c>
      <c r="H352">
        <v>17.241379310344829</v>
      </c>
      <c r="I352">
        <v>5.6603773584905666</v>
      </c>
      <c r="J352">
        <v>13.333333333333334</v>
      </c>
      <c r="K352">
        <v>11.111111111111111</v>
      </c>
      <c r="L352">
        <v>0</v>
      </c>
      <c r="M352">
        <v>39.285714285714285</v>
      </c>
      <c r="N352">
        <f t="shared" si="5"/>
        <v>15.432656004334651</v>
      </c>
    </row>
    <row r="353" spans="1:14" x14ac:dyDescent="0.45">
      <c r="A353">
        <v>460</v>
      </c>
      <c r="B353">
        <v>0</v>
      </c>
      <c r="C353">
        <v>0</v>
      </c>
      <c r="D353">
        <v>11.111111111111111</v>
      </c>
      <c r="E353">
        <v>30</v>
      </c>
      <c r="F353">
        <v>0</v>
      </c>
      <c r="G353">
        <v>37.5</v>
      </c>
      <c r="H353">
        <v>24.137931034482758</v>
      </c>
      <c r="I353">
        <v>11.320754716981133</v>
      </c>
      <c r="J353">
        <v>6.666666666666667</v>
      </c>
      <c r="K353">
        <v>5.5555555555555554</v>
      </c>
      <c r="L353">
        <v>0</v>
      </c>
      <c r="M353">
        <v>50</v>
      </c>
      <c r="N353">
        <f t="shared" si="5"/>
        <v>15.522915824293921</v>
      </c>
    </row>
    <row r="354" spans="1:14" x14ac:dyDescent="0.45">
      <c r="A354">
        <v>461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12.5</v>
      </c>
      <c r="H354">
        <v>6.8965517241379306</v>
      </c>
      <c r="I354">
        <v>7.5471698113207548</v>
      </c>
      <c r="J354">
        <v>26.666666666666668</v>
      </c>
      <c r="K354">
        <v>11.111111111111111</v>
      </c>
      <c r="L354">
        <v>0</v>
      </c>
      <c r="M354">
        <v>3.5714285714285712</v>
      </c>
      <c r="N354">
        <f t="shared" si="5"/>
        <v>6.6614603485689923</v>
      </c>
    </row>
    <row r="355" spans="1:14" x14ac:dyDescent="0.45">
      <c r="A355">
        <v>462</v>
      </c>
      <c r="B355">
        <v>0</v>
      </c>
      <c r="C355">
        <v>0</v>
      </c>
      <c r="D355">
        <v>22.222222222222221</v>
      </c>
      <c r="E355">
        <v>0</v>
      </c>
      <c r="F355">
        <v>66.666666666666657</v>
      </c>
      <c r="G355">
        <v>16.666666666666664</v>
      </c>
      <c r="H355">
        <v>10.344827586206897</v>
      </c>
      <c r="I355">
        <v>39.622641509433961</v>
      </c>
      <c r="J355">
        <v>20</v>
      </c>
      <c r="K355">
        <v>100</v>
      </c>
      <c r="L355">
        <v>14.285714285714285</v>
      </c>
      <c r="M355">
        <v>46.428571428571431</v>
      </c>
      <c r="N355">
        <f t="shared" si="5"/>
        <v>30.848978387096523</v>
      </c>
    </row>
    <row r="356" spans="1:14" x14ac:dyDescent="0.45">
      <c r="A356">
        <v>465</v>
      </c>
      <c r="B356">
        <v>0</v>
      </c>
      <c r="C356">
        <v>0</v>
      </c>
      <c r="D356">
        <v>11.111111111111111</v>
      </c>
      <c r="E356">
        <v>0</v>
      </c>
      <c r="F356">
        <v>66.666666666666657</v>
      </c>
      <c r="G356">
        <v>12.5</v>
      </c>
      <c r="H356">
        <v>17.241379310344829</v>
      </c>
      <c r="I356">
        <v>24.528301886792452</v>
      </c>
      <c r="J356">
        <v>6.666666666666667</v>
      </c>
      <c r="K356">
        <v>100</v>
      </c>
      <c r="L356">
        <v>0</v>
      </c>
      <c r="M356">
        <v>10.714285714285714</v>
      </c>
      <c r="N356">
        <f t="shared" si="5"/>
        <v>22.636913883167168</v>
      </c>
    </row>
    <row r="357" spans="1:14" x14ac:dyDescent="0.45">
      <c r="A357">
        <v>467</v>
      </c>
      <c r="B357">
        <v>0</v>
      </c>
      <c r="C357">
        <v>0</v>
      </c>
      <c r="D357">
        <v>22.222222222222221</v>
      </c>
      <c r="E357">
        <v>20</v>
      </c>
      <c r="F357">
        <v>0</v>
      </c>
      <c r="G357">
        <v>58.333333333333336</v>
      </c>
      <c r="H357">
        <v>37.931034482758619</v>
      </c>
      <c r="I357">
        <v>64.15094339622641</v>
      </c>
      <c r="J357">
        <v>6.666666666666667</v>
      </c>
      <c r="K357">
        <v>100</v>
      </c>
      <c r="L357">
        <v>21.428571428571427</v>
      </c>
      <c r="M357">
        <v>42.857142857142854</v>
      </c>
      <c r="N357">
        <f t="shared" si="5"/>
        <v>37.977620429628516</v>
      </c>
    </row>
    <row r="358" spans="1:14" x14ac:dyDescent="0.45">
      <c r="A358">
        <v>468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3.7735849056603774</v>
      </c>
      <c r="J358">
        <v>0</v>
      </c>
      <c r="K358">
        <v>0</v>
      </c>
      <c r="L358">
        <v>0</v>
      </c>
      <c r="M358">
        <v>3.5714285714285712</v>
      </c>
      <c r="N358">
        <f t="shared" si="5"/>
        <v>0.5757237828751115</v>
      </c>
    </row>
    <row r="359" spans="1:14" x14ac:dyDescent="0.45">
      <c r="A359">
        <v>469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3.7735849056603774</v>
      </c>
      <c r="J359">
        <v>0</v>
      </c>
      <c r="K359">
        <v>0</v>
      </c>
      <c r="L359">
        <v>0</v>
      </c>
      <c r="M359">
        <v>3.5714285714285712</v>
      </c>
      <c r="N359">
        <f t="shared" si="5"/>
        <v>0.5757237828751115</v>
      </c>
    </row>
    <row r="360" spans="1:14" x14ac:dyDescent="0.45">
      <c r="A360">
        <v>470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1.8867924528301887</v>
      </c>
      <c r="J360">
        <v>0</v>
      </c>
      <c r="K360">
        <v>0</v>
      </c>
      <c r="L360">
        <v>0</v>
      </c>
      <c r="M360">
        <v>7.1428571428571423</v>
      </c>
      <c r="N360">
        <f t="shared" si="5"/>
        <v>0.59814027853441132</v>
      </c>
    </row>
    <row r="361" spans="1:14" x14ac:dyDescent="0.45">
      <c r="A361">
        <v>471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5.6603773584905666</v>
      </c>
      <c r="J361">
        <v>0</v>
      </c>
      <c r="K361">
        <v>5.5555555555555554</v>
      </c>
      <c r="L361">
        <v>0</v>
      </c>
      <c r="M361">
        <v>7.1428571428571423</v>
      </c>
      <c r="N361">
        <f t="shared" si="5"/>
        <v>1.5373163189395975</v>
      </c>
    </row>
    <row r="362" spans="1:14" x14ac:dyDescent="0.45">
      <c r="A362">
        <v>472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3.7735849056603774</v>
      </c>
      <c r="J362">
        <v>0</v>
      </c>
      <c r="K362">
        <v>5.5555555555555554</v>
      </c>
      <c r="L362">
        <v>0</v>
      </c>
      <c r="M362">
        <v>7.1428571428571423</v>
      </c>
      <c r="N362">
        <f t="shared" si="5"/>
        <v>1.3528805565343269</v>
      </c>
    </row>
    <row r="363" spans="1:14" x14ac:dyDescent="0.45">
      <c r="A363">
        <v>473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3.7735849056603774</v>
      </c>
      <c r="J363">
        <v>0</v>
      </c>
      <c r="K363">
        <v>5.5555555555555554</v>
      </c>
      <c r="L363">
        <v>0</v>
      </c>
      <c r="M363">
        <v>7.1428571428571423</v>
      </c>
      <c r="N363">
        <f t="shared" si="5"/>
        <v>1.3528805565343269</v>
      </c>
    </row>
    <row r="364" spans="1:14" x14ac:dyDescent="0.45">
      <c r="A364">
        <v>474</v>
      </c>
      <c r="B364">
        <v>0</v>
      </c>
      <c r="C364">
        <v>0</v>
      </c>
      <c r="D364">
        <v>33.333333333333329</v>
      </c>
      <c r="E364">
        <v>80</v>
      </c>
      <c r="F364">
        <v>66.666666666666657</v>
      </c>
      <c r="G364">
        <v>33.333333333333329</v>
      </c>
      <c r="H364">
        <v>51.724137931034484</v>
      </c>
      <c r="I364">
        <v>94.339622641509436</v>
      </c>
      <c r="J364">
        <v>13.333333333333334</v>
      </c>
      <c r="K364">
        <v>33.333333333333329</v>
      </c>
      <c r="L364">
        <v>64.285714285714292</v>
      </c>
      <c r="M364">
        <v>89.285714285714292</v>
      </c>
      <c r="N364">
        <f t="shared" si="5"/>
        <v>53.321397111365101</v>
      </c>
    </row>
    <row r="365" spans="1:14" x14ac:dyDescent="0.45">
      <c r="A365">
        <v>475</v>
      </c>
      <c r="B365">
        <v>0</v>
      </c>
      <c r="C365">
        <v>0</v>
      </c>
      <c r="D365">
        <v>22.222222222222221</v>
      </c>
      <c r="E365">
        <v>100</v>
      </c>
      <c r="F365">
        <v>0</v>
      </c>
      <c r="G365">
        <v>100</v>
      </c>
      <c r="H365">
        <v>86.206896551724128</v>
      </c>
      <c r="I365">
        <v>52.830188679245282</v>
      </c>
      <c r="J365">
        <v>20</v>
      </c>
      <c r="K365">
        <v>16.666666666666664</v>
      </c>
      <c r="L365">
        <v>28.571428571428569</v>
      </c>
      <c r="M365">
        <v>25</v>
      </c>
      <c r="N365">
        <f t="shared" si="5"/>
        <v>45.489297351870633</v>
      </c>
    </row>
    <row r="366" spans="1:14" x14ac:dyDescent="0.45">
      <c r="A366">
        <v>476</v>
      </c>
      <c r="B366">
        <v>0</v>
      </c>
      <c r="C366">
        <v>1</v>
      </c>
      <c r="D366">
        <v>22.222222222222221</v>
      </c>
      <c r="E366">
        <v>100</v>
      </c>
      <c r="F366">
        <v>0</v>
      </c>
      <c r="G366">
        <v>100</v>
      </c>
      <c r="H366">
        <v>86.206896551724128</v>
      </c>
      <c r="I366">
        <v>52.830188679245282</v>
      </c>
      <c r="J366">
        <v>20</v>
      </c>
      <c r="K366">
        <v>16.666666666666664</v>
      </c>
      <c r="L366">
        <v>28.571428571428569</v>
      </c>
      <c r="M366">
        <v>25</v>
      </c>
      <c r="N366">
        <f t="shared" si="5"/>
        <v>45.489297351870633</v>
      </c>
    </row>
    <row r="367" spans="1:14" x14ac:dyDescent="0.45">
      <c r="A367">
        <v>477</v>
      </c>
      <c r="B367">
        <v>0</v>
      </c>
      <c r="C367">
        <v>0</v>
      </c>
      <c r="D367">
        <v>22.222222222222221</v>
      </c>
      <c r="E367">
        <v>100</v>
      </c>
      <c r="F367">
        <v>0</v>
      </c>
      <c r="G367">
        <v>100</v>
      </c>
      <c r="H367">
        <v>86.206896551724128</v>
      </c>
      <c r="I367">
        <v>52.830188679245282</v>
      </c>
      <c r="J367">
        <v>20</v>
      </c>
      <c r="K367">
        <v>16.666666666666664</v>
      </c>
      <c r="L367">
        <v>28.571428571428569</v>
      </c>
      <c r="M367">
        <v>25</v>
      </c>
      <c r="N367">
        <f t="shared" si="5"/>
        <v>45.489297351870633</v>
      </c>
    </row>
    <row r="368" spans="1:14" x14ac:dyDescent="0.45">
      <c r="A368">
        <v>478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1.8867924528301887</v>
      </c>
      <c r="J368">
        <v>0</v>
      </c>
      <c r="K368">
        <v>0</v>
      </c>
      <c r="L368">
        <v>0</v>
      </c>
      <c r="M368">
        <v>7.1428571428571423</v>
      </c>
      <c r="N368">
        <f t="shared" si="5"/>
        <v>0.59814027853441132</v>
      </c>
    </row>
    <row r="369" spans="1:14" x14ac:dyDescent="0.45">
      <c r="A369">
        <v>479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5.6603773584905666</v>
      </c>
      <c r="J369">
        <v>0</v>
      </c>
      <c r="K369">
        <v>5.5555555555555554</v>
      </c>
      <c r="L369">
        <v>0</v>
      </c>
      <c r="M369">
        <v>7.1428571428571423</v>
      </c>
      <c r="N369">
        <f t="shared" si="5"/>
        <v>1.5373163189395975</v>
      </c>
    </row>
    <row r="370" spans="1:14" x14ac:dyDescent="0.45">
      <c r="A370">
        <v>480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3.7735849056603774</v>
      </c>
      <c r="J370">
        <v>0</v>
      </c>
      <c r="K370">
        <v>5.5555555555555554</v>
      </c>
      <c r="L370">
        <v>0</v>
      </c>
      <c r="M370">
        <v>7.1428571428571423</v>
      </c>
      <c r="N370">
        <f t="shared" si="5"/>
        <v>1.3528805565343269</v>
      </c>
    </row>
    <row r="371" spans="1:14" x14ac:dyDescent="0.45">
      <c r="A371">
        <v>481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f t="shared" si="5"/>
        <v>0</v>
      </c>
    </row>
    <row r="372" spans="1:14" x14ac:dyDescent="0.45">
      <c r="A372">
        <v>482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7.1428571428571423</v>
      </c>
      <c r="N372">
        <f t="shared" si="5"/>
        <v>0.41370451612914072</v>
      </c>
    </row>
    <row r="373" spans="1:14" x14ac:dyDescent="0.45">
      <c r="A373">
        <v>483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f t="shared" si="5"/>
        <v>0</v>
      </c>
    </row>
    <row r="374" spans="1:14" x14ac:dyDescent="0.45">
      <c r="A374">
        <v>484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f t="shared" si="5"/>
        <v>0</v>
      </c>
    </row>
    <row r="375" spans="1:14" x14ac:dyDescent="0.45">
      <c r="A375">
        <v>489</v>
      </c>
      <c r="B375">
        <v>0</v>
      </c>
      <c r="C375">
        <v>0</v>
      </c>
      <c r="D375">
        <v>0</v>
      </c>
      <c r="E375">
        <v>30</v>
      </c>
      <c r="F375">
        <v>0</v>
      </c>
      <c r="G375">
        <v>25</v>
      </c>
      <c r="H375">
        <v>20.689655172413794</v>
      </c>
      <c r="I375">
        <v>5.6603773584905666</v>
      </c>
      <c r="J375">
        <v>26.666666666666668</v>
      </c>
      <c r="K375">
        <v>0</v>
      </c>
      <c r="L375">
        <v>0</v>
      </c>
      <c r="M375">
        <v>14.285714285714285</v>
      </c>
      <c r="N375">
        <f t="shared" si="5"/>
        <v>11.050888035983071</v>
      </c>
    </row>
    <row r="376" spans="1:14" x14ac:dyDescent="0.45">
      <c r="A376">
        <v>490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5.5555555555555554</v>
      </c>
      <c r="L376">
        <v>0</v>
      </c>
      <c r="M376">
        <v>10.714285714285714</v>
      </c>
      <c r="N376">
        <f t="shared" si="5"/>
        <v>1.1908612897883564</v>
      </c>
    </row>
    <row r="377" spans="1:14" x14ac:dyDescent="0.45">
      <c r="A377">
        <v>491</v>
      </c>
      <c r="B377">
        <v>0</v>
      </c>
      <c r="C377">
        <v>0</v>
      </c>
      <c r="D377">
        <v>11.111111111111111</v>
      </c>
      <c r="E377">
        <v>20</v>
      </c>
      <c r="F377">
        <v>0</v>
      </c>
      <c r="G377">
        <v>41.666666666666671</v>
      </c>
      <c r="H377">
        <v>62.068965517241381</v>
      </c>
      <c r="I377">
        <v>24.528301886792452</v>
      </c>
      <c r="J377">
        <v>20</v>
      </c>
      <c r="K377">
        <v>0</v>
      </c>
      <c r="L377">
        <v>7.1428571428571423</v>
      </c>
      <c r="M377">
        <v>28.571428571428569</v>
      </c>
      <c r="N377">
        <f t="shared" si="5"/>
        <v>21.58082965343014</v>
      </c>
    </row>
    <row r="378" spans="1:14" x14ac:dyDescent="0.45">
      <c r="A378">
        <v>492</v>
      </c>
      <c r="B378">
        <v>0</v>
      </c>
      <c r="C378">
        <v>0</v>
      </c>
      <c r="D378">
        <v>0</v>
      </c>
      <c r="E378">
        <v>10</v>
      </c>
      <c r="F378">
        <v>0</v>
      </c>
      <c r="G378">
        <v>20.833333333333336</v>
      </c>
      <c r="H378">
        <v>13.793103448275861</v>
      </c>
      <c r="I378">
        <v>5.6603773584905666</v>
      </c>
      <c r="J378">
        <v>13.333333333333334</v>
      </c>
      <c r="K378">
        <v>5.5555555555555554</v>
      </c>
      <c r="L378">
        <v>0</v>
      </c>
      <c r="M378">
        <v>10.714285714285714</v>
      </c>
      <c r="N378">
        <f t="shared" si="5"/>
        <v>7.4719769950522155</v>
      </c>
    </row>
    <row r="379" spans="1:14" x14ac:dyDescent="0.45">
      <c r="A379">
        <v>493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1.8867924528301887</v>
      </c>
      <c r="J379">
        <v>0</v>
      </c>
      <c r="K379">
        <v>0</v>
      </c>
      <c r="L379">
        <v>0</v>
      </c>
      <c r="M379">
        <v>7.1428571428571423</v>
      </c>
      <c r="N379">
        <f t="shared" si="5"/>
        <v>0.59814027853441132</v>
      </c>
    </row>
    <row r="380" spans="1:14" x14ac:dyDescent="0.45">
      <c r="A380">
        <v>494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1.8867924528301887</v>
      </c>
      <c r="J380">
        <v>0</v>
      </c>
      <c r="K380">
        <v>0</v>
      </c>
      <c r="L380">
        <v>0</v>
      </c>
      <c r="M380">
        <v>7.1428571428571423</v>
      </c>
      <c r="N380">
        <f t="shared" si="5"/>
        <v>0.59814027853441132</v>
      </c>
    </row>
    <row r="381" spans="1:14" x14ac:dyDescent="0.45">
      <c r="A381">
        <v>495</v>
      </c>
      <c r="B381">
        <v>1</v>
      </c>
      <c r="C381">
        <v>0</v>
      </c>
      <c r="D381">
        <v>11.111111111111111</v>
      </c>
      <c r="E381">
        <v>20</v>
      </c>
      <c r="F381">
        <v>33.333333333333329</v>
      </c>
      <c r="G381">
        <v>4.1666666666666661</v>
      </c>
      <c r="H381">
        <v>3.4482758620689653</v>
      </c>
      <c r="I381">
        <v>0</v>
      </c>
      <c r="J381">
        <v>0</v>
      </c>
      <c r="K381">
        <v>0</v>
      </c>
      <c r="L381">
        <v>0</v>
      </c>
      <c r="M381">
        <v>17.857142857142858</v>
      </c>
      <c r="N381">
        <f t="shared" si="5"/>
        <v>6.7698177194940792</v>
      </c>
    </row>
    <row r="382" spans="1:14" x14ac:dyDescent="0.45">
      <c r="A382">
        <v>496</v>
      </c>
      <c r="B382">
        <v>1</v>
      </c>
      <c r="C382">
        <v>0</v>
      </c>
      <c r="D382">
        <v>11.111111111111111</v>
      </c>
      <c r="E382">
        <v>20</v>
      </c>
      <c r="F382">
        <v>33.333333333333329</v>
      </c>
      <c r="G382">
        <v>8.3333333333333321</v>
      </c>
      <c r="H382">
        <v>6.8965517241379306</v>
      </c>
      <c r="I382">
        <v>0</v>
      </c>
      <c r="J382">
        <v>0</v>
      </c>
      <c r="K382">
        <v>0</v>
      </c>
      <c r="L382">
        <v>0</v>
      </c>
      <c r="M382">
        <v>10.714285714285714</v>
      </c>
      <c r="N382">
        <f t="shared" si="5"/>
        <v>7.1880895023963172</v>
      </c>
    </row>
    <row r="383" spans="1:14" x14ac:dyDescent="0.45">
      <c r="A383">
        <v>497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12.5</v>
      </c>
      <c r="H383">
        <v>0</v>
      </c>
      <c r="I383">
        <v>7.5471698113207548</v>
      </c>
      <c r="J383">
        <v>0</v>
      </c>
      <c r="K383">
        <v>22.222222222222221</v>
      </c>
      <c r="L383">
        <v>0</v>
      </c>
      <c r="M383">
        <v>39.285714285714285</v>
      </c>
      <c r="N383">
        <f t="shared" si="5"/>
        <v>6.5726287958674341</v>
      </c>
    </row>
    <row r="384" spans="1:14" x14ac:dyDescent="0.45">
      <c r="A384">
        <v>498</v>
      </c>
      <c r="B384">
        <v>0</v>
      </c>
      <c r="C384">
        <v>0</v>
      </c>
      <c r="D384">
        <v>0</v>
      </c>
      <c r="E384">
        <v>10</v>
      </c>
      <c r="F384">
        <v>0</v>
      </c>
      <c r="G384">
        <v>8.3333333333333321</v>
      </c>
      <c r="H384">
        <v>0</v>
      </c>
      <c r="I384">
        <v>9.433962264150944</v>
      </c>
      <c r="J384">
        <v>6.666666666666667</v>
      </c>
      <c r="K384">
        <v>22.222222222222221</v>
      </c>
      <c r="L384">
        <v>0</v>
      </c>
      <c r="M384">
        <v>35.714285714285715</v>
      </c>
      <c r="N384">
        <f t="shared" si="5"/>
        <v>7.4763688428809729</v>
      </c>
    </row>
    <row r="385" spans="1:14" x14ac:dyDescent="0.45">
      <c r="A385">
        <v>499</v>
      </c>
      <c r="B385">
        <v>0</v>
      </c>
      <c r="C385">
        <v>0</v>
      </c>
      <c r="D385">
        <v>0</v>
      </c>
      <c r="E385">
        <v>20</v>
      </c>
      <c r="F385">
        <v>0</v>
      </c>
      <c r="G385">
        <v>8.3333333333333321</v>
      </c>
      <c r="H385">
        <v>0</v>
      </c>
      <c r="I385">
        <v>9.433962264150944</v>
      </c>
      <c r="J385">
        <v>6.666666666666667</v>
      </c>
      <c r="K385">
        <v>16.666666666666664</v>
      </c>
      <c r="L385">
        <v>0</v>
      </c>
      <c r="M385">
        <v>28.571428571428569</v>
      </c>
      <c r="N385">
        <f t="shared" si="5"/>
        <v>7.2230625197378266</v>
      </c>
    </row>
    <row r="386" spans="1:14" x14ac:dyDescent="0.45">
      <c r="A386">
        <v>500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4.1666666666666661</v>
      </c>
      <c r="H386">
        <v>0</v>
      </c>
      <c r="I386">
        <v>0</v>
      </c>
      <c r="J386">
        <v>0</v>
      </c>
      <c r="K386">
        <v>11.111111111111111</v>
      </c>
      <c r="L386">
        <v>0</v>
      </c>
      <c r="M386">
        <v>50</v>
      </c>
      <c r="N386">
        <f t="shared" si="5"/>
        <v>4.4626382591457752</v>
      </c>
    </row>
    <row r="387" spans="1:14" x14ac:dyDescent="0.45">
      <c r="A387">
        <v>501</v>
      </c>
      <c r="B387">
        <v>0</v>
      </c>
      <c r="C387">
        <v>0</v>
      </c>
      <c r="D387">
        <v>0</v>
      </c>
      <c r="E387">
        <v>10</v>
      </c>
      <c r="F387">
        <v>0</v>
      </c>
      <c r="G387">
        <v>16.666666666666664</v>
      </c>
      <c r="H387">
        <v>13.793103448275861</v>
      </c>
      <c r="I387">
        <v>7.5471698113207548</v>
      </c>
      <c r="J387">
        <v>0</v>
      </c>
      <c r="K387">
        <v>33.333333333333329</v>
      </c>
      <c r="L387">
        <v>0</v>
      </c>
      <c r="M387">
        <v>71.428571428571431</v>
      </c>
      <c r="N387">
        <f t="shared" si="5"/>
        <v>12.355223209186512</v>
      </c>
    </row>
    <row r="388" spans="1:14" x14ac:dyDescent="0.45">
      <c r="A388">
        <v>502</v>
      </c>
      <c r="B388">
        <v>0</v>
      </c>
      <c r="C388">
        <v>0</v>
      </c>
      <c r="D388">
        <v>11.111111111111111</v>
      </c>
      <c r="E388">
        <v>40</v>
      </c>
      <c r="F388">
        <v>0</v>
      </c>
      <c r="G388">
        <v>37.5</v>
      </c>
      <c r="H388">
        <v>48.275862068965516</v>
      </c>
      <c r="I388">
        <v>15.09433962264151</v>
      </c>
      <c r="J388">
        <v>26.666666666666668</v>
      </c>
      <c r="K388">
        <v>16.666666666666664</v>
      </c>
      <c r="L388">
        <v>7.1428571428571423</v>
      </c>
      <c r="M388">
        <v>46.428571428571431</v>
      </c>
      <c r="N388">
        <f t="shared" si="5"/>
        <v>23.437170193848537</v>
      </c>
    </row>
    <row r="389" spans="1:14" x14ac:dyDescent="0.45">
      <c r="A389">
        <v>503</v>
      </c>
      <c r="B389">
        <v>0</v>
      </c>
      <c r="C389">
        <v>0</v>
      </c>
      <c r="D389">
        <v>11.111111111111111</v>
      </c>
      <c r="E389">
        <v>40</v>
      </c>
      <c r="F389">
        <v>33.333333333333329</v>
      </c>
      <c r="G389">
        <v>41.666666666666671</v>
      </c>
      <c r="H389">
        <v>44.827586206896555</v>
      </c>
      <c r="I389">
        <v>15.09433962264151</v>
      </c>
      <c r="J389">
        <v>26.666666666666668</v>
      </c>
      <c r="K389">
        <v>5.5555555555555554</v>
      </c>
      <c r="L389">
        <v>7.1428571428571423</v>
      </c>
      <c r="M389">
        <v>50</v>
      </c>
      <c r="N389">
        <f t="shared" ref="N389:N434" si="6">D389*D$1+E389*E$1+F389*F$1+G389*G$1+H389*H$1+I389*I$1+J389*J$1+K389*K$1+L389*L$1+M389*M$1</f>
        <v>24.505430841623603</v>
      </c>
    </row>
    <row r="390" spans="1:14" x14ac:dyDescent="0.45">
      <c r="A390">
        <v>504</v>
      </c>
      <c r="B390">
        <v>0</v>
      </c>
      <c r="C390">
        <v>0</v>
      </c>
      <c r="D390">
        <v>22.222222222222221</v>
      </c>
      <c r="E390">
        <v>40</v>
      </c>
      <c r="F390">
        <v>66.666666666666657</v>
      </c>
      <c r="G390">
        <v>37.5</v>
      </c>
      <c r="H390">
        <v>41.379310344827587</v>
      </c>
      <c r="I390">
        <v>9.433962264150944</v>
      </c>
      <c r="J390">
        <v>20</v>
      </c>
      <c r="K390">
        <v>11.111111111111111</v>
      </c>
      <c r="L390">
        <v>0</v>
      </c>
      <c r="M390">
        <v>28.571428571428569</v>
      </c>
      <c r="N390">
        <f t="shared" si="6"/>
        <v>24.094843258665037</v>
      </c>
    </row>
    <row r="391" spans="1:14" x14ac:dyDescent="0.45">
      <c r="A391">
        <v>505</v>
      </c>
      <c r="B391">
        <v>0</v>
      </c>
      <c r="C391">
        <v>0</v>
      </c>
      <c r="D391">
        <v>22.222222222222221</v>
      </c>
      <c r="E391">
        <v>40</v>
      </c>
      <c r="F391">
        <v>66.666666666666657</v>
      </c>
      <c r="G391">
        <v>25</v>
      </c>
      <c r="H391">
        <v>17.241379310344829</v>
      </c>
      <c r="I391">
        <v>7.5471698113207548</v>
      </c>
      <c r="J391">
        <v>20</v>
      </c>
      <c r="K391">
        <v>11.111111111111111</v>
      </c>
      <c r="L391">
        <v>0</v>
      </c>
      <c r="M391">
        <v>17.857142857142858</v>
      </c>
      <c r="N391">
        <f t="shared" si="6"/>
        <v>19.170407089056408</v>
      </c>
    </row>
    <row r="392" spans="1:14" x14ac:dyDescent="0.45">
      <c r="A392">
        <v>506</v>
      </c>
      <c r="B392">
        <v>0</v>
      </c>
      <c r="C392">
        <v>0</v>
      </c>
      <c r="D392">
        <v>22.222222222222221</v>
      </c>
      <c r="E392">
        <v>60</v>
      </c>
      <c r="F392">
        <v>33.333333333333329</v>
      </c>
      <c r="G392">
        <v>37.5</v>
      </c>
      <c r="H392">
        <v>20.689655172413794</v>
      </c>
      <c r="I392">
        <v>9.433962264150944</v>
      </c>
      <c r="J392">
        <v>20</v>
      </c>
      <c r="K392">
        <v>11.111111111111111</v>
      </c>
      <c r="L392">
        <v>0</v>
      </c>
      <c r="M392">
        <v>25</v>
      </c>
      <c r="N392">
        <f t="shared" si="6"/>
        <v>20.93232582406231</v>
      </c>
    </row>
    <row r="393" spans="1:14" x14ac:dyDescent="0.45">
      <c r="A393">
        <v>507</v>
      </c>
      <c r="B393">
        <v>0</v>
      </c>
      <c r="C393">
        <v>0</v>
      </c>
      <c r="D393">
        <v>33.333333333333329</v>
      </c>
      <c r="E393">
        <v>30</v>
      </c>
      <c r="F393">
        <v>66.666666666666657</v>
      </c>
      <c r="G393">
        <v>58.333333333333336</v>
      </c>
      <c r="H393">
        <v>48.275862068965516</v>
      </c>
      <c r="I393">
        <v>60.377358490566039</v>
      </c>
      <c r="J393">
        <v>20</v>
      </c>
      <c r="K393">
        <v>11.111111111111111</v>
      </c>
      <c r="L393">
        <v>28.571428571428569</v>
      </c>
      <c r="M393">
        <v>35.714285714285715</v>
      </c>
      <c r="N393">
        <f t="shared" si="6"/>
        <v>37.860705228538386</v>
      </c>
    </row>
    <row r="394" spans="1:14" x14ac:dyDescent="0.45">
      <c r="A394">
        <v>508</v>
      </c>
      <c r="B394">
        <v>0</v>
      </c>
      <c r="C394">
        <v>0</v>
      </c>
      <c r="D394">
        <v>11.111111111111111</v>
      </c>
      <c r="E394">
        <v>20</v>
      </c>
      <c r="F394">
        <v>0</v>
      </c>
      <c r="G394">
        <v>4.1666666666666661</v>
      </c>
      <c r="H394">
        <v>0</v>
      </c>
      <c r="I394">
        <v>11.320754716981133</v>
      </c>
      <c r="J394">
        <v>6.666666666666667</v>
      </c>
      <c r="K394">
        <v>5.5555555555555554</v>
      </c>
      <c r="L394">
        <v>0</v>
      </c>
      <c r="M394">
        <v>3.5714285714285712</v>
      </c>
      <c r="N394">
        <f t="shared" si="6"/>
        <v>5.8532020526017261</v>
      </c>
    </row>
    <row r="395" spans="1:14" x14ac:dyDescent="0.45">
      <c r="A395">
        <v>509</v>
      </c>
      <c r="B395">
        <v>0</v>
      </c>
      <c r="C395">
        <v>0</v>
      </c>
      <c r="D395">
        <v>11.111111111111111</v>
      </c>
      <c r="E395">
        <v>20</v>
      </c>
      <c r="F395">
        <v>0</v>
      </c>
      <c r="G395">
        <v>16.666666666666664</v>
      </c>
      <c r="H395">
        <v>13.793103448275861</v>
      </c>
      <c r="I395">
        <v>11.320754716981133</v>
      </c>
      <c r="J395">
        <v>0</v>
      </c>
      <c r="K395">
        <v>5.5555555555555554</v>
      </c>
      <c r="L395">
        <v>0</v>
      </c>
      <c r="M395">
        <v>7.1428571428571423</v>
      </c>
      <c r="N395">
        <f t="shared" si="6"/>
        <v>8.3403104425946104</v>
      </c>
    </row>
    <row r="396" spans="1:14" x14ac:dyDescent="0.45">
      <c r="A396">
        <v>510</v>
      </c>
      <c r="B396">
        <v>0</v>
      </c>
      <c r="C396">
        <v>0</v>
      </c>
      <c r="D396">
        <v>11.111111111111111</v>
      </c>
      <c r="E396">
        <v>30</v>
      </c>
      <c r="F396">
        <v>0</v>
      </c>
      <c r="G396">
        <v>25</v>
      </c>
      <c r="H396">
        <v>24.137931034482758</v>
      </c>
      <c r="I396">
        <v>15.09433962264151</v>
      </c>
      <c r="J396">
        <v>0</v>
      </c>
      <c r="K396">
        <v>5.5555555555555554</v>
      </c>
      <c r="L396">
        <v>0</v>
      </c>
      <c r="M396">
        <v>32.142857142857146</v>
      </c>
      <c r="N396">
        <f t="shared" si="6"/>
        <v>12.957681764479418</v>
      </c>
    </row>
    <row r="397" spans="1:14" x14ac:dyDescent="0.45">
      <c r="A397">
        <v>511</v>
      </c>
      <c r="B397">
        <v>0</v>
      </c>
      <c r="C397">
        <v>0</v>
      </c>
      <c r="D397">
        <v>11.111111111111111</v>
      </c>
      <c r="E397">
        <v>40</v>
      </c>
      <c r="F397">
        <v>0</v>
      </c>
      <c r="G397">
        <v>20.833333333333336</v>
      </c>
      <c r="H397">
        <v>13.793103448275861</v>
      </c>
      <c r="I397">
        <v>16.981132075471699</v>
      </c>
      <c r="J397">
        <v>20</v>
      </c>
      <c r="K397">
        <v>44.444444444444443</v>
      </c>
      <c r="L397">
        <v>0</v>
      </c>
      <c r="M397">
        <v>10.714285714285714</v>
      </c>
      <c r="N397">
        <f t="shared" si="6"/>
        <v>16.844758976685384</v>
      </c>
    </row>
    <row r="398" spans="1:14" x14ac:dyDescent="0.45">
      <c r="A398">
        <v>512</v>
      </c>
      <c r="B398">
        <v>0</v>
      </c>
      <c r="C398">
        <v>0</v>
      </c>
      <c r="D398">
        <v>0</v>
      </c>
      <c r="E398">
        <v>10</v>
      </c>
      <c r="F398">
        <v>0</v>
      </c>
      <c r="G398">
        <v>16.666666666666664</v>
      </c>
      <c r="H398">
        <v>13.793103448275861</v>
      </c>
      <c r="I398">
        <v>15.09433962264151</v>
      </c>
      <c r="J398">
        <v>0</v>
      </c>
      <c r="K398">
        <v>50</v>
      </c>
      <c r="L398">
        <v>0</v>
      </c>
      <c r="M398">
        <v>10.714285714285714</v>
      </c>
      <c r="N398">
        <f t="shared" si="6"/>
        <v>11.287391418493833</v>
      </c>
    </row>
    <row r="399" spans="1:14" x14ac:dyDescent="0.45">
      <c r="A399">
        <v>513</v>
      </c>
      <c r="B399">
        <v>0</v>
      </c>
      <c r="C399">
        <v>0</v>
      </c>
      <c r="D399">
        <v>11.111111111111111</v>
      </c>
      <c r="E399">
        <v>40</v>
      </c>
      <c r="F399">
        <v>0</v>
      </c>
      <c r="G399">
        <v>20.833333333333336</v>
      </c>
      <c r="H399">
        <v>20.689655172413794</v>
      </c>
      <c r="I399">
        <v>15.09433962264151</v>
      </c>
      <c r="J399">
        <v>20</v>
      </c>
      <c r="K399">
        <v>50</v>
      </c>
      <c r="L399">
        <v>0</v>
      </c>
      <c r="M399">
        <v>14.285714285714285</v>
      </c>
      <c r="N399">
        <f t="shared" si="6"/>
        <v>18.249237355897083</v>
      </c>
    </row>
    <row r="400" spans="1:14" x14ac:dyDescent="0.45">
      <c r="A400">
        <v>514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16.666666666666664</v>
      </c>
      <c r="H400">
        <v>13.793103448275861</v>
      </c>
      <c r="I400">
        <v>20.754716981132077</v>
      </c>
      <c r="J400">
        <v>20</v>
      </c>
      <c r="K400">
        <v>50</v>
      </c>
      <c r="L400">
        <v>0</v>
      </c>
      <c r="M400">
        <v>10.714285714285714</v>
      </c>
      <c r="N400">
        <f t="shared" si="6"/>
        <v>12.9746503445631</v>
      </c>
    </row>
    <row r="401" spans="1:14" x14ac:dyDescent="0.45">
      <c r="A401">
        <v>516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8.3333333333333321</v>
      </c>
      <c r="H401">
        <v>3.4482758620689653</v>
      </c>
      <c r="I401">
        <v>15.09433962264151</v>
      </c>
      <c r="J401">
        <v>0</v>
      </c>
      <c r="K401">
        <v>38.888888888888893</v>
      </c>
      <c r="L401">
        <v>0</v>
      </c>
      <c r="M401">
        <v>7.1428571428571423</v>
      </c>
      <c r="N401">
        <f t="shared" si="6"/>
        <v>7.1393961386176983</v>
      </c>
    </row>
    <row r="402" spans="1:14" x14ac:dyDescent="0.45">
      <c r="A402">
        <v>517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8.3333333333333321</v>
      </c>
      <c r="H402">
        <v>6.8965517241379306</v>
      </c>
      <c r="I402">
        <v>13.20754716981132</v>
      </c>
      <c r="J402">
        <v>0</v>
      </c>
      <c r="K402">
        <v>27.777777777777779</v>
      </c>
      <c r="L402">
        <v>0</v>
      </c>
      <c r="M402">
        <v>3.5714285714285712</v>
      </c>
      <c r="N402">
        <f t="shared" si="6"/>
        <v>6.0133777709374456</v>
      </c>
    </row>
    <row r="403" spans="1:14" x14ac:dyDescent="0.45">
      <c r="A403">
        <v>518</v>
      </c>
      <c r="B403">
        <v>0</v>
      </c>
      <c r="C403">
        <v>0</v>
      </c>
      <c r="D403">
        <v>11.111111111111111</v>
      </c>
      <c r="E403">
        <v>50</v>
      </c>
      <c r="F403">
        <v>0</v>
      </c>
      <c r="G403">
        <v>29.166666666666668</v>
      </c>
      <c r="H403">
        <v>17.241379310344829</v>
      </c>
      <c r="I403">
        <v>5.6603773584905666</v>
      </c>
      <c r="J403">
        <v>0</v>
      </c>
      <c r="K403">
        <v>22.222222222222221</v>
      </c>
      <c r="L403">
        <v>0</v>
      </c>
      <c r="M403">
        <v>21.428571428571427</v>
      </c>
      <c r="N403">
        <f t="shared" si="6"/>
        <v>14.201605389299312</v>
      </c>
    </row>
    <row r="404" spans="1:14" x14ac:dyDescent="0.45">
      <c r="A404">
        <v>519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20.833333333333336</v>
      </c>
      <c r="H404">
        <v>13.793103448275861</v>
      </c>
      <c r="I404">
        <v>5.6603773584905666</v>
      </c>
      <c r="J404">
        <v>0</v>
      </c>
      <c r="K404">
        <v>0</v>
      </c>
      <c r="L404">
        <v>0</v>
      </c>
      <c r="M404">
        <v>17.857142857142858</v>
      </c>
      <c r="N404">
        <f t="shared" si="6"/>
        <v>5.341571388716674</v>
      </c>
    </row>
    <row r="405" spans="1:14" x14ac:dyDescent="0.45">
      <c r="A405">
        <v>520</v>
      </c>
      <c r="B405">
        <v>0</v>
      </c>
      <c r="C405">
        <v>0</v>
      </c>
      <c r="D405">
        <v>11.111111111111111</v>
      </c>
      <c r="E405">
        <v>40</v>
      </c>
      <c r="F405">
        <v>33.333333333333329</v>
      </c>
      <c r="G405">
        <v>50</v>
      </c>
      <c r="H405">
        <v>62.068965517241381</v>
      </c>
      <c r="I405">
        <v>9.433962264150944</v>
      </c>
      <c r="J405">
        <v>0</v>
      </c>
      <c r="K405">
        <v>0</v>
      </c>
      <c r="L405">
        <v>0</v>
      </c>
      <c r="M405">
        <v>32.142857142857146</v>
      </c>
      <c r="N405">
        <f t="shared" si="6"/>
        <v>21.567822374158421</v>
      </c>
    </row>
    <row r="406" spans="1:14" x14ac:dyDescent="0.45">
      <c r="A406">
        <v>521</v>
      </c>
      <c r="B406">
        <v>0</v>
      </c>
      <c r="C406">
        <v>0</v>
      </c>
      <c r="D406">
        <v>55.555555555555557</v>
      </c>
      <c r="E406">
        <v>50</v>
      </c>
      <c r="F406">
        <v>33.333333333333329</v>
      </c>
      <c r="G406">
        <v>20.833333333333336</v>
      </c>
      <c r="H406">
        <v>31.03448275862069</v>
      </c>
      <c r="I406">
        <v>9.433962264150944</v>
      </c>
      <c r="J406">
        <v>6.666666666666667</v>
      </c>
      <c r="K406">
        <v>0</v>
      </c>
      <c r="L406">
        <v>0</v>
      </c>
      <c r="M406">
        <v>14.285714285714285</v>
      </c>
      <c r="N406">
        <f t="shared" si="6"/>
        <v>21.091728672993153</v>
      </c>
    </row>
    <row r="407" spans="1:14" x14ac:dyDescent="0.45">
      <c r="A407">
        <v>523</v>
      </c>
      <c r="B407">
        <v>0</v>
      </c>
      <c r="C407">
        <v>0</v>
      </c>
      <c r="D407">
        <v>33.333333333333329</v>
      </c>
      <c r="E407">
        <v>30</v>
      </c>
      <c r="F407">
        <v>0</v>
      </c>
      <c r="G407">
        <v>45.833333333333329</v>
      </c>
      <c r="H407">
        <v>34.482758620689658</v>
      </c>
      <c r="I407">
        <v>15.09433962264151</v>
      </c>
      <c r="J407">
        <v>0</v>
      </c>
      <c r="K407">
        <v>0</v>
      </c>
      <c r="L407">
        <v>14.285714285714285</v>
      </c>
      <c r="M407">
        <v>25</v>
      </c>
      <c r="N407">
        <f t="shared" si="6"/>
        <v>20.592785761764524</v>
      </c>
    </row>
    <row r="408" spans="1:14" x14ac:dyDescent="0.45">
      <c r="A408">
        <v>524</v>
      </c>
      <c r="B408">
        <v>1</v>
      </c>
      <c r="C408">
        <v>0</v>
      </c>
      <c r="D408">
        <v>0</v>
      </c>
      <c r="E408">
        <v>30</v>
      </c>
      <c r="F408">
        <v>33.333333333333329</v>
      </c>
      <c r="G408">
        <v>50</v>
      </c>
      <c r="H408">
        <v>62.068965517241381</v>
      </c>
      <c r="I408">
        <v>56.60377358490566</v>
      </c>
      <c r="J408">
        <v>0</v>
      </c>
      <c r="K408">
        <v>5.5555555555555554</v>
      </c>
      <c r="L408">
        <v>85.714285714285708</v>
      </c>
      <c r="M408">
        <v>28.571428571428569</v>
      </c>
      <c r="N408">
        <f t="shared" si="6"/>
        <v>38.452508493116824</v>
      </c>
    </row>
    <row r="409" spans="1:14" x14ac:dyDescent="0.45">
      <c r="A409">
        <v>525</v>
      </c>
      <c r="B409">
        <v>0</v>
      </c>
      <c r="C409">
        <v>0</v>
      </c>
      <c r="D409">
        <v>33.333333333333329</v>
      </c>
      <c r="E409">
        <v>40</v>
      </c>
      <c r="F409">
        <v>33.333333333333329</v>
      </c>
      <c r="G409">
        <v>25</v>
      </c>
      <c r="H409">
        <v>41.379310344827587</v>
      </c>
      <c r="I409">
        <v>13.20754716981132</v>
      </c>
      <c r="J409">
        <v>0</v>
      </c>
      <c r="K409">
        <v>0</v>
      </c>
      <c r="L409">
        <v>0</v>
      </c>
      <c r="M409">
        <v>82.142857142857139</v>
      </c>
      <c r="N409">
        <f t="shared" si="6"/>
        <v>22.761520163989506</v>
      </c>
    </row>
    <row r="410" spans="1:14" x14ac:dyDescent="0.45">
      <c r="A410">
        <v>528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8.3333333333333321</v>
      </c>
      <c r="H410">
        <v>10.344827586206897</v>
      </c>
      <c r="I410">
        <v>0</v>
      </c>
      <c r="J410">
        <v>0</v>
      </c>
      <c r="K410">
        <v>0</v>
      </c>
      <c r="L410">
        <v>0</v>
      </c>
      <c r="M410">
        <v>25</v>
      </c>
      <c r="N410">
        <f t="shared" si="6"/>
        <v>3.5177970884936274</v>
      </c>
    </row>
    <row r="411" spans="1:14" x14ac:dyDescent="0.45">
      <c r="A411">
        <v>529</v>
      </c>
      <c r="B411">
        <v>0</v>
      </c>
      <c r="C411">
        <v>1</v>
      </c>
      <c r="D411">
        <v>0</v>
      </c>
      <c r="E411">
        <v>10</v>
      </c>
      <c r="F411">
        <v>0</v>
      </c>
      <c r="G411">
        <v>8.3333333333333321</v>
      </c>
      <c r="H411">
        <v>10.344827586206897</v>
      </c>
      <c r="I411">
        <v>0</v>
      </c>
      <c r="J411">
        <v>0</v>
      </c>
      <c r="K411">
        <v>0</v>
      </c>
      <c r="L411">
        <v>0</v>
      </c>
      <c r="M411">
        <v>10.714285714285714</v>
      </c>
      <c r="N411">
        <f t="shared" si="6"/>
        <v>3.4210907648159847</v>
      </c>
    </row>
    <row r="412" spans="1:14" x14ac:dyDescent="0.45">
      <c r="A412">
        <v>530</v>
      </c>
      <c r="B412">
        <v>0</v>
      </c>
      <c r="C412">
        <v>1</v>
      </c>
      <c r="D412">
        <v>0</v>
      </c>
      <c r="E412">
        <v>10</v>
      </c>
      <c r="F412">
        <v>0</v>
      </c>
      <c r="G412">
        <v>0</v>
      </c>
      <c r="H412">
        <v>6.8965517241379306</v>
      </c>
      <c r="I412">
        <v>1.8867924528301887</v>
      </c>
      <c r="J412">
        <v>0</v>
      </c>
      <c r="K412">
        <v>0</v>
      </c>
      <c r="L412">
        <v>0</v>
      </c>
      <c r="M412">
        <v>17.857142857142858</v>
      </c>
      <c r="N412">
        <f t="shared" si="6"/>
        <v>2.7611571292665191</v>
      </c>
    </row>
    <row r="413" spans="1:14" x14ac:dyDescent="0.45">
      <c r="A413">
        <v>531</v>
      </c>
      <c r="B413">
        <v>0</v>
      </c>
      <c r="C413">
        <v>0</v>
      </c>
      <c r="D413">
        <v>11.111111111111111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17.857142857142858</v>
      </c>
      <c r="N413">
        <f t="shared" si="6"/>
        <v>3.2253402220559027</v>
      </c>
    </row>
    <row r="414" spans="1:14" x14ac:dyDescent="0.45">
      <c r="A414">
        <v>532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12.5</v>
      </c>
      <c r="H414">
        <v>10.344827586206897</v>
      </c>
      <c r="I414">
        <v>9.433962264150944</v>
      </c>
      <c r="J414">
        <v>13.333333333333334</v>
      </c>
      <c r="K414">
        <v>0</v>
      </c>
      <c r="L414">
        <v>0</v>
      </c>
      <c r="M414">
        <v>53.571428571428569</v>
      </c>
      <c r="N414">
        <f t="shared" si="6"/>
        <v>7.7639944783784394</v>
      </c>
    </row>
    <row r="415" spans="1:14" x14ac:dyDescent="0.45">
      <c r="A415">
        <v>533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12.5</v>
      </c>
      <c r="H415">
        <v>6.8965517241379306</v>
      </c>
      <c r="I415">
        <v>11.320754716981133</v>
      </c>
      <c r="J415">
        <v>13.333333333333334</v>
      </c>
      <c r="K415">
        <v>5.5555555555555554</v>
      </c>
      <c r="L415">
        <v>0</v>
      </c>
      <c r="M415">
        <v>50</v>
      </c>
      <c r="N415">
        <f t="shared" si="6"/>
        <v>7.9060038143349063</v>
      </c>
    </row>
    <row r="416" spans="1:14" x14ac:dyDescent="0.45">
      <c r="A416">
        <v>534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12.5</v>
      </c>
      <c r="H416">
        <v>6.8965517241379306</v>
      </c>
      <c r="I416">
        <v>11.320754716981133</v>
      </c>
      <c r="J416">
        <v>13.333333333333334</v>
      </c>
      <c r="K416">
        <v>5.5555555555555554</v>
      </c>
      <c r="L416">
        <v>0</v>
      </c>
      <c r="M416">
        <v>50</v>
      </c>
      <c r="N416">
        <f t="shared" si="6"/>
        <v>7.9060038143349063</v>
      </c>
    </row>
    <row r="417" spans="1:14" x14ac:dyDescent="0.45">
      <c r="A417">
        <v>535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12.5</v>
      </c>
      <c r="H417">
        <v>6.8965517241379306</v>
      </c>
      <c r="I417">
        <v>11.320754716981133</v>
      </c>
      <c r="J417">
        <v>13.333333333333334</v>
      </c>
      <c r="K417">
        <v>5.5555555555555554</v>
      </c>
      <c r="L417">
        <v>0</v>
      </c>
      <c r="M417">
        <v>50</v>
      </c>
      <c r="N417">
        <f t="shared" si="6"/>
        <v>7.9060038143349063</v>
      </c>
    </row>
    <row r="418" spans="1:14" x14ac:dyDescent="0.45">
      <c r="A418">
        <v>536</v>
      </c>
      <c r="B418">
        <v>0</v>
      </c>
      <c r="C418">
        <v>0</v>
      </c>
      <c r="D418">
        <v>33.333333333333329</v>
      </c>
      <c r="E418">
        <v>40</v>
      </c>
      <c r="F418">
        <v>66.666666666666657</v>
      </c>
      <c r="G418">
        <v>58.333333333333336</v>
      </c>
      <c r="H418">
        <v>55.172413793103445</v>
      </c>
      <c r="I418">
        <v>13.20754716981132</v>
      </c>
      <c r="J418">
        <v>0</v>
      </c>
      <c r="K418">
        <v>0</v>
      </c>
      <c r="L418">
        <v>7.1428571428571423</v>
      </c>
      <c r="M418">
        <v>60.714285714285708</v>
      </c>
      <c r="N418">
        <f t="shared" si="6"/>
        <v>29.709618989516215</v>
      </c>
    </row>
    <row r="419" spans="1:14" x14ac:dyDescent="0.45">
      <c r="A419">
        <v>537</v>
      </c>
      <c r="B419">
        <v>0</v>
      </c>
      <c r="C419">
        <v>0</v>
      </c>
      <c r="D419">
        <v>11.111111111111111</v>
      </c>
      <c r="E419">
        <v>40</v>
      </c>
      <c r="F419">
        <v>66.666666666666657</v>
      </c>
      <c r="G419">
        <v>54.166666666666664</v>
      </c>
      <c r="H419">
        <v>41.379310344827587</v>
      </c>
      <c r="I419">
        <v>11.320754716981133</v>
      </c>
      <c r="J419">
        <v>6.666666666666667</v>
      </c>
      <c r="K419">
        <v>0</v>
      </c>
      <c r="L419">
        <v>7.1428571428571423</v>
      </c>
      <c r="M419">
        <v>50</v>
      </c>
      <c r="N419">
        <f t="shared" si="6"/>
        <v>24.555813104789099</v>
      </c>
    </row>
    <row r="420" spans="1:14" x14ac:dyDescent="0.45">
      <c r="A420">
        <v>539</v>
      </c>
      <c r="B420">
        <v>0</v>
      </c>
      <c r="C420">
        <v>0</v>
      </c>
      <c r="D420">
        <v>33.333333333333329</v>
      </c>
      <c r="E420">
        <v>50</v>
      </c>
      <c r="F420">
        <v>66.666666666666657</v>
      </c>
      <c r="G420">
        <v>33.333333333333329</v>
      </c>
      <c r="H420">
        <v>37.931034482758619</v>
      </c>
      <c r="I420">
        <v>13.20754716981132</v>
      </c>
      <c r="J420">
        <v>0</v>
      </c>
      <c r="K420">
        <v>0</v>
      </c>
      <c r="L420">
        <v>0</v>
      </c>
      <c r="M420">
        <v>21.428571428571427</v>
      </c>
      <c r="N420">
        <f t="shared" si="6"/>
        <v>22.403849521424725</v>
      </c>
    </row>
    <row r="421" spans="1:14" x14ac:dyDescent="0.45">
      <c r="A421">
        <v>540</v>
      </c>
      <c r="B421">
        <v>0</v>
      </c>
      <c r="C421">
        <v>0</v>
      </c>
      <c r="D421">
        <v>33.333333333333329</v>
      </c>
      <c r="E421">
        <v>50</v>
      </c>
      <c r="F421">
        <v>66.666666666666657</v>
      </c>
      <c r="G421">
        <v>33.333333333333329</v>
      </c>
      <c r="H421">
        <v>37.931034482758619</v>
      </c>
      <c r="I421">
        <v>13.20754716981132</v>
      </c>
      <c r="J421">
        <v>0</v>
      </c>
      <c r="K421">
        <v>0</v>
      </c>
      <c r="L421">
        <v>0</v>
      </c>
      <c r="M421">
        <v>21.428571428571427</v>
      </c>
      <c r="N421">
        <f t="shared" si="6"/>
        <v>22.403849521424725</v>
      </c>
    </row>
    <row r="422" spans="1:14" x14ac:dyDescent="0.45">
      <c r="A422">
        <v>541</v>
      </c>
      <c r="B422">
        <v>0</v>
      </c>
      <c r="C422">
        <v>1</v>
      </c>
      <c r="D422">
        <v>0</v>
      </c>
      <c r="E422">
        <v>0</v>
      </c>
      <c r="F422">
        <v>33.333333333333329</v>
      </c>
      <c r="G422">
        <v>4.1666666666666661</v>
      </c>
      <c r="H422">
        <v>6.8965517241379306</v>
      </c>
      <c r="I422">
        <v>1.8867924528301887</v>
      </c>
      <c r="J422">
        <v>6.666666666666667</v>
      </c>
      <c r="K422">
        <v>0</v>
      </c>
      <c r="L422">
        <v>0</v>
      </c>
      <c r="M422">
        <v>7.1428571428571423</v>
      </c>
      <c r="N422">
        <f t="shared" si="6"/>
        <v>4.4393452005155263</v>
      </c>
    </row>
    <row r="423" spans="1:14" x14ac:dyDescent="0.45">
      <c r="A423">
        <v>542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4.1666666666666661</v>
      </c>
      <c r="H423">
        <v>6.8965517241379306</v>
      </c>
      <c r="I423">
        <v>0</v>
      </c>
      <c r="J423">
        <v>0</v>
      </c>
      <c r="K423">
        <v>0</v>
      </c>
      <c r="L423">
        <v>0</v>
      </c>
      <c r="M423">
        <v>10.714285714285714</v>
      </c>
      <c r="N423">
        <f t="shared" si="6"/>
        <v>1.8584117572039678</v>
      </c>
    </row>
    <row r="424" spans="1:14" x14ac:dyDescent="0.45">
      <c r="A424">
        <v>543</v>
      </c>
      <c r="B424">
        <v>0</v>
      </c>
      <c r="C424">
        <v>0</v>
      </c>
      <c r="D424">
        <v>0</v>
      </c>
      <c r="E424">
        <v>10</v>
      </c>
      <c r="F424">
        <v>33.333333333333329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7.1428571428571423</v>
      </c>
      <c r="N424">
        <f t="shared" si="6"/>
        <v>3.1262057145359403</v>
      </c>
    </row>
    <row r="425" spans="1:14" x14ac:dyDescent="0.45">
      <c r="A425">
        <v>544</v>
      </c>
      <c r="B425">
        <v>0</v>
      </c>
      <c r="C425">
        <v>1</v>
      </c>
      <c r="D425">
        <v>0</v>
      </c>
      <c r="E425">
        <v>10</v>
      </c>
      <c r="F425">
        <v>33.333333333333329</v>
      </c>
      <c r="G425">
        <v>4.1666666666666661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7.1428571428571423</v>
      </c>
      <c r="N425">
        <f t="shared" si="6"/>
        <v>3.5523033295884394</v>
      </c>
    </row>
    <row r="426" spans="1:14" x14ac:dyDescent="0.45">
      <c r="A426">
        <v>545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7.1428571428571423</v>
      </c>
      <c r="N426">
        <f t="shared" si="6"/>
        <v>0.41370451612914072</v>
      </c>
    </row>
    <row r="427" spans="1:14" x14ac:dyDescent="0.45">
      <c r="A427">
        <v>546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7.1428571428571423</v>
      </c>
      <c r="N427">
        <f t="shared" si="6"/>
        <v>0.41370451612914072</v>
      </c>
    </row>
    <row r="428" spans="1:14" x14ac:dyDescent="0.45">
      <c r="A428">
        <v>547</v>
      </c>
      <c r="B428">
        <v>1</v>
      </c>
      <c r="C428">
        <v>0</v>
      </c>
      <c r="D428">
        <v>11.111111111111111</v>
      </c>
      <c r="E428">
        <v>10</v>
      </c>
      <c r="F428">
        <v>33.333333333333329</v>
      </c>
      <c r="G428">
        <v>8.3333333333333321</v>
      </c>
      <c r="H428">
        <v>6.8965517241379306</v>
      </c>
      <c r="I428">
        <v>5.6603773584905666</v>
      </c>
      <c r="J428">
        <v>0</v>
      </c>
      <c r="K428">
        <v>0</v>
      </c>
      <c r="L428">
        <v>0</v>
      </c>
      <c r="M428">
        <v>21.428571428571427</v>
      </c>
      <c r="N428">
        <f t="shared" si="6"/>
        <v>7.6312508552252005</v>
      </c>
    </row>
    <row r="429" spans="1:14" x14ac:dyDescent="0.45">
      <c r="A429">
        <v>548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f t="shared" si="6"/>
        <v>0</v>
      </c>
    </row>
    <row r="430" spans="1:14" x14ac:dyDescent="0.45">
      <c r="A430">
        <v>549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f t="shared" si="6"/>
        <v>0</v>
      </c>
    </row>
    <row r="431" spans="1:14" x14ac:dyDescent="0.45">
      <c r="A431">
        <v>550</v>
      </c>
      <c r="B431">
        <v>0</v>
      </c>
      <c r="C431">
        <v>1</v>
      </c>
      <c r="D431">
        <v>0</v>
      </c>
      <c r="E431">
        <v>10</v>
      </c>
      <c r="F431">
        <v>0</v>
      </c>
      <c r="G431">
        <v>4.1666666666666661</v>
      </c>
      <c r="H431">
        <v>13.793103448275861</v>
      </c>
      <c r="I431">
        <v>3.7735849056603774</v>
      </c>
      <c r="J431">
        <v>13.333333333333334</v>
      </c>
      <c r="K431">
        <v>0</v>
      </c>
      <c r="L431">
        <v>0</v>
      </c>
      <c r="M431">
        <v>21.428571428571427</v>
      </c>
      <c r="N431">
        <f t="shared" si="6"/>
        <v>5.6334030310360133</v>
      </c>
    </row>
    <row r="432" spans="1:14" x14ac:dyDescent="0.45">
      <c r="A432">
        <v>551</v>
      </c>
      <c r="B432">
        <v>0</v>
      </c>
      <c r="C432">
        <v>0</v>
      </c>
      <c r="D432">
        <v>66.666666666666657</v>
      </c>
      <c r="E432">
        <v>30</v>
      </c>
      <c r="F432">
        <v>33.333333333333329</v>
      </c>
      <c r="G432">
        <v>83.333333333333343</v>
      </c>
      <c r="H432">
        <v>44.827586206896555</v>
      </c>
      <c r="I432">
        <v>100</v>
      </c>
      <c r="J432">
        <v>100</v>
      </c>
      <c r="K432">
        <v>100</v>
      </c>
      <c r="L432">
        <v>28.571428571428569</v>
      </c>
      <c r="M432">
        <v>46.428571428571431</v>
      </c>
      <c r="N432">
        <f t="shared" si="6"/>
        <v>63.487939838460676</v>
      </c>
    </row>
    <row r="433" spans="1:14" x14ac:dyDescent="0.45">
      <c r="A433">
        <v>552</v>
      </c>
      <c r="B433">
        <v>0</v>
      </c>
      <c r="C433">
        <v>0</v>
      </c>
      <c r="D433">
        <v>11.111111111111111</v>
      </c>
      <c r="E433">
        <v>70</v>
      </c>
      <c r="F433">
        <v>0</v>
      </c>
      <c r="G433">
        <v>45.833333333333329</v>
      </c>
      <c r="H433">
        <v>58.620689655172406</v>
      </c>
      <c r="I433">
        <v>94.339622641509436</v>
      </c>
      <c r="J433">
        <v>13.333333333333334</v>
      </c>
      <c r="K433">
        <v>16.666666666666664</v>
      </c>
      <c r="L433">
        <v>0</v>
      </c>
      <c r="M433">
        <v>25</v>
      </c>
      <c r="N433">
        <f t="shared" si="6"/>
        <v>31.786076948224164</v>
      </c>
    </row>
    <row r="434" spans="1:14" x14ac:dyDescent="0.45">
      <c r="A434">
        <v>553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3.7735849056603774</v>
      </c>
      <c r="J434">
        <v>0</v>
      </c>
      <c r="K434">
        <v>0</v>
      </c>
      <c r="L434">
        <v>0</v>
      </c>
      <c r="M434">
        <v>10.714285714285714</v>
      </c>
      <c r="N434">
        <f t="shared" si="6"/>
        <v>0.98942829900425222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9DC4-4681-40CC-8E70-A0770A318333}">
  <dimension ref="A1:Q434"/>
  <sheetViews>
    <sheetView workbookViewId="0">
      <selection activeCell="Q11" sqref="Q11"/>
    </sheetView>
  </sheetViews>
  <sheetFormatPr defaultRowHeight="14.25" x14ac:dyDescent="0.45"/>
  <sheetData>
    <row r="1" spans="1:17" x14ac:dyDescent="0.45">
      <c r="A1" t="s">
        <v>36</v>
      </c>
      <c r="D1">
        <v>0.11952893847151827</v>
      </c>
      <c r="E1">
        <v>6.4877528200127196E-2</v>
      </c>
      <c r="F1">
        <v>6.8306370915106593E-2</v>
      </c>
      <c r="G1">
        <v>0.10098769416724075</v>
      </c>
      <c r="H1">
        <v>7.8924482020539685E-2</v>
      </c>
      <c r="I1">
        <v>9.3684271321555393E-2</v>
      </c>
      <c r="J1">
        <v>9.4316155635525409E-2</v>
      </c>
      <c r="K1">
        <v>0.1247970173876369</v>
      </c>
      <c r="L1">
        <v>0.16841142209900545</v>
      </c>
      <c r="M1">
        <v>8.6166119781744377E-2</v>
      </c>
      <c r="P1" t="s">
        <v>33</v>
      </c>
      <c r="Q1">
        <f>MAX(N4:N434)</f>
        <v>84.28159736719229</v>
      </c>
    </row>
    <row r="2" spans="1:17" x14ac:dyDescent="0.45">
      <c r="P2" t="s">
        <v>18</v>
      </c>
      <c r="Q2">
        <f>MIN(N4:N434)</f>
        <v>0</v>
      </c>
    </row>
    <row r="3" spans="1:17" x14ac:dyDescent="0.45">
      <c r="A3" t="s">
        <v>21</v>
      </c>
      <c r="B3" t="s">
        <v>22</v>
      </c>
      <c r="C3" t="s">
        <v>23</v>
      </c>
      <c r="D3" t="s">
        <v>0</v>
      </c>
      <c r="E3" t="s">
        <v>7</v>
      </c>
      <c r="F3" t="s">
        <v>8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9</v>
      </c>
      <c r="N3" t="s">
        <v>38</v>
      </c>
    </row>
    <row r="4" spans="1:17" x14ac:dyDescent="0.45">
      <c r="A4">
        <v>1</v>
      </c>
      <c r="B4">
        <v>0</v>
      </c>
      <c r="C4">
        <v>0</v>
      </c>
      <c r="D4">
        <v>44.444444444444443</v>
      </c>
      <c r="E4">
        <v>80</v>
      </c>
      <c r="F4">
        <v>33.333333333333329</v>
      </c>
      <c r="G4">
        <v>66.666666666666657</v>
      </c>
      <c r="H4">
        <v>68.965517241379317</v>
      </c>
      <c r="I4">
        <v>100</v>
      </c>
      <c r="J4">
        <v>100</v>
      </c>
      <c r="K4">
        <v>33.333333333333329</v>
      </c>
      <c r="L4">
        <v>78.571428571428569</v>
      </c>
      <c r="M4">
        <v>53.571428571428569</v>
      </c>
      <c r="N4">
        <f>D4*D$1+E4*E$1+F4*F$1+G4*G$1+H4*H$1+I4*I$1+J4*J$1+K4*K$1+L4*L$1+M4*M$1</f>
        <v>65.763370650477285</v>
      </c>
    </row>
    <row r="5" spans="1:17" x14ac:dyDescent="0.4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1.8867924528301887</v>
      </c>
      <c r="J5">
        <v>0</v>
      </c>
      <c r="K5">
        <v>5.5555555555555554</v>
      </c>
      <c r="L5">
        <v>0</v>
      </c>
      <c r="M5">
        <v>3.5714285714285712</v>
      </c>
      <c r="N5">
        <f t="shared" ref="N5:N68" si="0">D5*D$1+E5*E$1+F5*F$1+G5*G$1+H5*H$1+I5*I$1+J5*J$1+K5*K$1+L5*L$1+M5*M$1</f>
        <v>1.1778156814207144</v>
      </c>
    </row>
    <row r="6" spans="1:17" x14ac:dyDescent="0.45">
      <c r="A6">
        <v>3</v>
      </c>
      <c r="B6">
        <v>0</v>
      </c>
      <c r="C6">
        <v>0</v>
      </c>
      <c r="D6">
        <v>44.444444444444443</v>
      </c>
      <c r="E6">
        <v>40</v>
      </c>
      <c r="F6">
        <v>0</v>
      </c>
      <c r="G6">
        <v>37.5</v>
      </c>
      <c r="H6">
        <v>31.03448275862069</v>
      </c>
      <c r="I6">
        <v>100</v>
      </c>
      <c r="J6">
        <v>80</v>
      </c>
      <c r="K6">
        <v>27.777777777777779</v>
      </c>
      <c r="L6">
        <v>14.285714285714285</v>
      </c>
      <c r="M6">
        <v>42.857142857142854</v>
      </c>
      <c r="N6">
        <f t="shared" si="0"/>
        <v>40.622931963986879</v>
      </c>
    </row>
    <row r="7" spans="1:17" x14ac:dyDescent="0.45">
      <c r="A7">
        <v>5</v>
      </c>
      <c r="B7">
        <v>0</v>
      </c>
      <c r="C7">
        <v>0</v>
      </c>
      <c r="D7">
        <v>22.222222222222221</v>
      </c>
      <c r="E7">
        <v>70</v>
      </c>
      <c r="F7">
        <v>0</v>
      </c>
      <c r="G7">
        <v>25</v>
      </c>
      <c r="H7">
        <v>17.241379310344829</v>
      </c>
      <c r="I7">
        <v>100</v>
      </c>
      <c r="J7">
        <v>46.666666666666664</v>
      </c>
      <c r="K7">
        <v>5.5555555555555554</v>
      </c>
      <c r="L7">
        <v>21.428571428571427</v>
      </c>
      <c r="M7">
        <v>32.142857142857146</v>
      </c>
      <c r="N7">
        <f t="shared" si="0"/>
        <v>31.924690850558413</v>
      </c>
    </row>
    <row r="8" spans="1:17" x14ac:dyDescent="0.45">
      <c r="A8">
        <v>6</v>
      </c>
      <c r="B8">
        <v>0</v>
      </c>
      <c r="C8">
        <v>0</v>
      </c>
      <c r="D8">
        <v>44.444444444444443</v>
      </c>
      <c r="E8">
        <v>60</v>
      </c>
      <c r="F8">
        <v>0</v>
      </c>
      <c r="G8">
        <v>20.833333333333336</v>
      </c>
      <c r="H8">
        <v>17.241379310344829</v>
      </c>
      <c r="I8">
        <v>100</v>
      </c>
      <c r="J8">
        <v>60</v>
      </c>
      <c r="K8">
        <v>5.5555555555555554</v>
      </c>
      <c r="L8">
        <v>21.428571428571427</v>
      </c>
      <c r="M8">
        <v>32.142857142857146</v>
      </c>
      <c r="N8">
        <f t="shared" si="0"/>
        <v>34.768880884034381</v>
      </c>
    </row>
    <row r="9" spans="1:17" x14ac:dyDescent="0.45">
      <c r="A9">
        <v>7</v>
      </c>
      <c r="B9">
        <v>0</v>
      </c>
      <c r="C9">
        <v>0</v>
      </c>
      <c r="D9">
        <v>44.444444444444443</v>
      </c>
      <c r="E9">
        <v>60</v>
      </c>
      <c r="F9">
        <v>0</v>
      </c>
      <c r="G9">
        <v>29.166666666666668</v>
      </c>
      <c r="H9">
        <v>31.03448275862069</v>
      </c>
      <c r="I9">
        <v>100</v>
      </c>
      <c r="J9">
        <v>86.666666666666671</v>
      </c>
      <c r="K9">
        <v>22.222222222222221</v>
      </c>
      <c r="L9">
        <v>21.428571428571427</v>
      </c>
      <c r="M9">
        <v>28.571428571428569</v>
      </c>
      <c r="N9">
        <f t="shared" si="0"/>
        <v>40.986370178535907</v>
      </c>
    </row>
    <row r="10" spans="1:17" x14ac:dyDescent="0.45">
      <c r="A10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12.5</v>
      </c>
      <c r="H10">
        <v>6.8965517241379306</v>
      </c>
      <c r="I10">
        <v>67.924528301886795</v>
      </c>
      <c r="J10">
        <v>6.666666666666667</v>
      </c>
      <c r="K10">
        <v>0</v>
      </c>
      <c r="L10">
        <v>0</v>
      </c>
      <c r="M10">
        <v>25</v>
      </c>
      <c r="N10">
        <f t="shared" si="0"/>
        <v>10.953040253915701</v>
      </c>
    </row>
    <row r="11" spans="1:17" x14ac:dyDescent="0.45">
      <c r="A11">
        <v>20</v>
      </c>
      <c r="B11">
        <v>0</v>
      </c>
      <c r="C11">
        <v>0</v>
      </c>
      <c r="D11">
        <v>11.111111111111111</v>
      </c>
      <c r="E11">
        <v>10</v>
      </c>
      <c r="F11">
        <v>33.333333333333329</v>
      </c>
      <c r="G11">
        <v>37.5</v>
      </c>
      <c r="H11">
        <v>27.586206896551722</v>
      </c>
      <c r="I11">
        <v>35.849056603773583</v>
      </c>
      <c r="J11">
        <v>60</v>
      </c>
      <c r="K11">
        <v>72.222222222222214</v>
      </c>
      <c r="L11">
        <v>21.428571428571427</v>
      </c>
      <c r="M11">
        <v>57.142857142857139</v>
      </c>
      <c r="N11">
        <f t="shared" si="0"/>
        <v>36.781193717488399</v>
      </c>
    </row>
    <row r="12" spans="1:17" x14ac:dyDescent="0.45">
      <c r="A12">
        <v>21</v>
      </c>
      <c r="B12">
        <v>0</v>
      </c>
      <c r="C12">
        <v>1</v>
      </c>
      <c r="D12">
        <v>11.111111111111111</v>
      </c>
      <c r="E12">
        <v>30</v>
      </c>
      <c r="F12">
        <v>0</v>
      </c>
      <c r="G12">
        <v>37.5</v>
      </c>
      <c r="H12">
        <v>37.931034482758619</v>
      </c>
      <c r="I12">
        <v>60.377358490566039</v>
      </c>
      <c r="J12">
        <v>46.666666666666664</v>
      </c>
      <c r="K12">
        <v>0</v>
      </c>
      <c r="L12">
        <v>0</v>
      </c>
      <c r="M12">
        <v>35.714285714285715</v>
      </c>
      <c r="N12">
        <f t="shared" si="0"/>
        <v>23.19034179429061</v>
      </c>
    </row>
    <row r="13" spans="1:17" x14ac:dyDescent="0.45">
      <c r="A13">
        <v>22</v>
      </c>
      <c r="B13">
        <v>0</v>
      </c>
      <c r="C13">
        <v>0</v>
      </c>
      <c r="D13">
        <v>44.444444444444443</v>
      </c>
      <c r="E13">
        <v>60</v>
      </c>
      <c r="F13">
        <v>0</v>
      </c>
      <c r="G13">
        <v>20.833333333333336</v>
      </c>
      <c r="H13">
        <v>17.241379310344829</v>
      </c>
      <c r="I13">
        <v>30.188679245283019</v>
      </c>
      <c r="J13">
        <v>20</v>
      </c>
      <c r="K13">
        <v>44.444444444444443</v>
      </c>
      <c r="L13">
        <v>0</v>
      </c>
      <c r="M13">
        <v>60.714285714285708</v>
      </c>
      <c r="N13">
        <f t="shared" si="0"/>
        <v>28.16230223535031</v>
      </c>
    </row>
    <row r="14" spans="1:17" x14ac:dyDescent="0.45">
      <c r="A14">
        <v>27</v>
      </c>
      <c r="B14">
        <v>1</v>
      </c>
      <c r="C14">
        <v>0</v>
      </c>
      <c r="D14">
        <v>44.444444444444443</v>
      </c>
      <c r="E14">
        <v>60</v>
      </c>
      <c r="F14">
        <v>33.333333333333329</v>
      </c>
      <c r="G14">
        <v>83.333333333333343</v>
      </c>
      <c r="H14">
        <v>68.965517241379317</v>
      </c>
      <c r="I14">
        <v>84.905660377358487</v>
      </c>
      <c r="J14">
        <v>86.666666666666671</v>
      </c>
      <c r="K14">
        <v>27.777777777777779</v>
      </c>
      <c r="L14">
        <v>71.428571428571431</v>
      </c>
      <c r="M14">
        <v>60.714285714285708</v>
      </c>
      <c r="N14">
        <f t="shared" si="0"/>
        <v>62.196514163773223</v>
      </c>
    </row>
    <row r="15" spans="1:17" x14ac:dyDescent="0.45">
      <c r="A15">
        <v>29</v>
      </c>
      <c r="B15">
        <v>0</v>
      </c>
      <c r="C15">
        <v>0</v>
      </c>
      <c r="D15">
        <v>77.777777777777786</v>
      </c>
      <c r="E15">
        <v>50</v>
      </c>
      <c r="F15">
        <v>66.666666666666657</v>
      </c>
      <c r="G15">
        <v>58.333333333333336</v>
      </c>
      <c r="H15">
        <v>55.172413793103445</v>
      </c>
      <c r="I15">
        <v>94.339622641509436</v>
      </c>
      <c r="J15">
        <v>100</v>
      </c>
      <c r="K15">
        <v>72.222222222222214</v>
      </c>
      <c r="L15">
        <v>50</v>
      </c>
      <c r="M15">
        <v>71.428571428571431</v>
      </c>
      <c r="N15">
        <f t="shared" si="0"/>
        <v>69.197898928747577</v>
      </c>
    </row>
    <row r="16" spans="1:17" x14ac:dyDescent="0.45">
      <c r="A16">
        <v>30</v>
      </c>
      <c r="B16">
        <v>1</v>
      </c>
      <c r="C16">
        <v>0</v>
      </c>
      <c r="D16">
        <v>77.777777777777786</v>
      </c>
      <c r="E16">
        <v>50</v>
      </c>
      <c r="F16">
        <v>66.666666666666657</v>
      </c>
      <c r="G16">
        <v>58.333333333333336</v>
      </c>
      <c r="H16">
        <v>55.172413793103445</v>
      </c>
      <c r="I16">
        <v>94.339622641509436</v>
      </c>
      <c r="J16">
        <v>100</v>
      </c>
      <c r="K16">
        <v>72.222222222222214</v>
      </c>
      <c r="L16">
        <v>50</v>
      </c>
      <c r="M16">
        <v>71.428571428571431</v>
      </c>
      <c r="N16">
        <f t="shared" si="0"/>
        <v>69.197898928747577</v>
      </c>
    </row>
    <row r="17" spans="1:14" x14ac:dyDescent="0.45">
      <c r="A17">
        <v>31</v>
      </c>
      <c r="B17">
        <v>0</v>
      </c>
      <c r="C17">
        <v>0</v>
      </c>
      <c r="D17">
        <v>77.777777777777786</v>
      </c>
      <c r="E17">
        <v>50</v>
      </c>
      <c r="F17">
        <v>66.666666666666657</v>
      </c>
      <c r="G17">
        <v>91.666666666666657</v>
      </c>
      <c r="H17">
        <v>86.206896551724128</v>
      </c>
      <c r="I17">
        <v>100</v>
      </c>
      <c r="J17">
        <v>100</v>
      </c>
      <c r="K17">
        <v>61.111111111111114</v>
      </c>
      <c r="L17">
        <v>100</v>
      </c>
      <c r="M17">
        <v>85.714285714285708</v>
      </c>
      <c r="N17">
        <f t="shared" si="0"/>
        <v>83.80870635245526</v>
      </c>
    </row>
    <row r="18" spans="1:14" x14ac:dyDescent="0.45">
      <c r="A18">
        <v>32</v>
      </c>
      <c r="B18">
        <v>0</v>
      </c>
      <c r="C18">
        <v>0</v>
      </c>
      <c r="D18">
        <v>77.777777777777786</v>
      </c>
      <c r="E18">
        <v>30</v>
      </c>
      <c r="F18">
        <v>66.666666666666657</v>
      </c>
      <c r="G18">
        <v>75</v>
      </c>
      <c r="H18">
        <v>62.068965517241381</v>
      </c>
      <c r="I18">
        <v>100</v>
      </c>
      <c r="J18">
        <v>100</v>
      </c>
      <c r="K18">
        <v>33.333333333333329</v>
      </c>
      <c r="L18">
        <v>50</v>
      </c>
      <c r="M18">
        <v>67.857142857142861</v>
      </c>
      <c r="N18">
        <f t="shared" si="0"/>
        <v>65.497118216726165</v>
      </c>
    </row>
    <row r="19" spans="1:14" x14ac:dyDescent="0.45">
      <c r="A19">
        <v>33</v>
      </c>
      <c r="B19">
        <v>0</v>
      </c>
      <c r="C19">
        <v>0</v>
      </c>
      <c r="D19">
        <v>55.555555555555557</v>
      </c>
      <c r="E19">
        <v>30</v>
      </c>
      <c r="F19">
        <v>33.333333333333329</v>
      </c>
      <c r="G19">
        <v>50</v>
      </c>
      <c r="H19">
        <v>51.724137931034484</v>
      </c>
      <c r="I19">
        <v>96.226415094339629</v>
      </c>
      <c r="J19">
        <v>100</v>
      </c>
      <c r="K19">
        <v>33.333333333333329</v>
      </c>
      <c r="L19">
        <v>28.571428571428569</v>
      </c>
      <c r="M19">
        <v>60.714285714285708</v>
      </c>
      <c r="N19">
        <f t="shared" si="0"/>
        <v>52.645074016360063</v>
      </c>
    </row>
    <row r="20" spans="1:14" x14ac:dyDescent="0.45">
      <c r="A20">
        <v>34</v>
      </c>
      <c r="B20">
        <v>1</v>
      </c>
      <c r="C20">
        <v>0</v>
      </c>
      <c r="D20">
        <v>0</v>
      </c>
      <c r="E20">
        <v>50</v>
      </c>
      <c r="F20">
        <v>33.333333333333329</v>
      </c>
      <c r="G20">
        <v>41.666666666666671</v>
      </c>
      <c r="H20">
        <v>37.931034482758619</v>
      </c>
      <c r="I20">
        <v>49.056603773584904</v>
      </c>
      <c r="J20">
        <v>26.666666666666668</v>
      </c>
      <c r="K20">
        <v>100</v>
      </c>
      <c r="L20">
        <v>28.571428571428569</v>
      </c>
      <c r="M20">
        <v>25</v>
      </c>
      <c r="N20">
        <f t="shared" si="0"/>
        <v>39.278802591940881</v>
      </c>
    </row>
    <row r="21" spans="1:14" x14ac:dyDescent="0.45">
      <c r="A21">
        <v>35</v>
      </c>
      <c r="B21">
        <v>0</v>
      </c>
      <c r="C21">
        <v>0</v>
      </c>
      <c r="D21">
        <v>0</v>
      </c>
      <c r="E21">
        <v>50</v>
      </c>
      <c r="F21">
        <v>33.333333333333329</v>
      </c>
      <c r="G21">
        <v>41.666666666666671</v>
      </c>
      <c r="H21">
        <v>37.931034482758619</v>
      </c>
      <c r="I21">
        <v>49.056603773584904</v>
      </c>
      <c r="J21">
        <v>26.666666666666668</v>
      </c>
      <c r="K21">
        <v>100</v>
      </c>
      <c r="L21">
        <v>28.571428571428569</v>
      </c>
      <c r="M21">
        <v>25</v>
      </c>
      <c r="N21">
        <f t="shared" si="0"/>
        <v>39.278802591940881</v>
      </c>
    </row>
    <row r="22" spans="1:14" x14ac:dyDescent="0.45">
      <c r="A22">
        <v>36</v>
      </c>
      <c r="B22">
        <v>0</v>
      </c>
      <c r="C22">
        <v>0</v>
      </c>
      <c r="D22">
        <v>0</v>
      </c>
      <c r="E22">
        <v>40</v>
      </c>
      <c r="F22">
        <v>33.333333333333329</v>
      </c>
      <c r="G22">
        <v>58.333333333333336</v>
      </c>
      <c r="H22">
        <v>48.275862068965516</v>
      </c>
      <c r="I22">
        <v>41.509433962264154</v>
      </c>
      <c r="J22">
        <v>13.333333333333334</v>
      </c>
      <c r="K22">
        <v>100</v>
      </c>
      <c r="L22">
        <v>28.571428571428569</v>
      </c>
      <c r="M22">
        <v>21.428571428571427</v>
      </c>
      <c r="N22">
        <f t="shared" si="0"/>
        <v>38.857279716695174</v>
      </c>
    </row>
    <row r="23" spans="1:14" x14ac:dyDescent="0.45">
      <c r="A23">
        <v>42</v>
      </c>
      <c r="B23">
        <v>0</v>
      </c>
      <c r="C23">
        <v>0</v>
      </c>
      <c r="D23">
        <v>22.222222222222221</v>
      </c>
      <c r="E23">
        <v>30</v>
      </c>
      <c r="F23">
        <v>33.333333333333329</v>
      </c>
      <c r="G23">
        <v>58.333333333333336</v>
      </c>
      <c r="H23">
        <v>37.931034482758619</v>
      </c>
      <c r="I23">
        <v>58.490566037735846</v>
      </c>
      <c r="J23">
        <v>66.666666666666657</v>
      </c>
      <c r="K23">
        <v>44.444444444444443</v>
      </c>
      <c r="L23">
        <v>50</v>
      </c>
      <c r="M23">
        <v>32.142857142857146</v>
      </c>
      <c r="N23">
        <f t="shared" si="0"/>
        <v>44.268159841917125</v>
      </c>
    </row>
    <row r="24" spans="1:14" x14ac:dyDescent="0.45">
      <c r="A24">
        <v>43</v>
      </c>
      <c r="B24">
        <v>1</v>
      </c>
      <c r="C24">
        <v>0</v>
      </c>
      <c r="D24">
        <v>0</v>
      </c>
      <c r="E24">
        <v>40</v>
      </c>
      <c r="F24">
        <v>33.333333333333329</v>
      </c>
      <c r="G24">
        <v>50</v>
      </c>
      <c r="H24">
        <v>27.586206896551722</v>
      </c>
      <c r="I24">
        <v>24.528301886792452</v>
      </c>
      <c r="J24">
        <v>20</v>
      </c>
      <c r="K24">
        <v>50</v>
      </c>
      <c r="L24">
        <v>0</v>
      </c>
      <c r="M24">
        <v>10.714285714285714</v>
      </c>
      <c r="N24">
        <f t="shared" si="0"/>
        <v>23.445890454437077</v>
      </c>
    </row>
    <row r="25" spans="1:14" x14ac:dyDescent="0.45">
      <c r="A25">
        <v>44</v>
      </c>
      <c r="B25">
        <v>0</v>
      </c>
      <c r="C25">
        <v>0</v>
      </c>
      <c r="D25">
        <v>22.222222222222221</v>
      </c>
      <c r="E25">
        <v>50</v>
      </c>
      <c r="F25">
        <v>0</v>
      </c>
      <c r="G25">
        <v>33.333333333333329</v>
      </c>
      <c r="H25">
        <v>37.931034482758619</v>
      </c>
      <c r="I25">
        <v>20.754716981132077</v>
      </c>
      <c r="J25">
        <v>6.666666666666667</v>
      </c>
      <c r="K25">
        <v>0</v>
      </c>
      <c r="L25">
        <v>7.1428571428571423</v>
      </c>
      <c r="M25">
        <v>21.428571428571427</v>
      </c>
      <c r="N25">
        <f t="shared" si="0"/>
        <v>17.882539253513613</v>
      </c>
    </row>
    <row r="26" spans="1:14" x14ac:dyDescent="0.45">
      <c r="A26">
        <v>46</v>
      </c>
      <c r="B26">
        <v>0</v>
      </c>
      <c r="C26">
        <v>0</v>
      </c>
      <c r="D26">
        <v>33.333333333333329</v>
      </c>
      <c r="E26">
        <v>70</v>
      </c>
      <c r="F26">
        <v>33.333333333333329</v>
      </c>
      <c r="G26">
        <v>37.5</v>
      </c>
      <c r="H26">
        <v>51.724137931034484</v>
      </c>
      <c r="I26">
        <v>18.867924528301888</v>
      </c>
      <c r="J26">
        <v>6.666666666666667</v>
      </c>
      <c r="K26">
        <v>0</v>
      </c>
      <c r="L26">
        <v>14.285714285714285</v>
      </c>
      <c r="M26">
        <v>35.714285714285715</v>
      </c>
      <c r="N26">
        <f t="shared" si="0"/>
        <v>26.551584290021815</v>
      </c>
    </row>
    <row r="27" spans="1:14" x14ac:dyDescent="0.45">
      <c r="A27">
        <v>48</v>
      </c>
      <c r="B27">
        <v>0</v>
      </c>
      <c r="C27">
        <v>0</v>
      </c>
      <c r="D27">
        <v>0</v>
      </c>
      <c r="E27">
        <v>30</v>
      </c>
      <c r="F27">
        <v>33.333333333333329</v>
      </c>
      <c r="G27">
        <v>20.833333333333336</v>
      </c>
      <c r="H27">
        <v>31.03448275862069</v>
      </c>
      <c r="I27">
        <v>24.528301886792452</v>
      </c>
      <c r="J27">
        <v>6.666666666666667</v>
      </c>
      <c r="K27">
        <v>33.333333333333329</v>
      </c>
      <c r="L27">
        <v>0</v>
      </c>
      <c r="M27">
        <v>25</v>
      </c>
      <c r="N27">
        <f t="shared" si="0"/>
        <v>18.017239682212018</v>
      </c>
    </row>
    <row r="28" spans="1:14" x14ac:dyDescent="0.45">
      <c r="A28">
        <v>49</v>
      </c>
      <c r="B28">
        <v>0</v>
      </c>
      <c r="C28">
        <v>0</v>
      </c>
      <c r="D28">
        <v>0</v>
      </c>
      <c r="E28">
        <v>30</v>
      </c>
      <c r="F28">
        <v>0</v>
      </c>
      <c r="G28">
        <v>33.333333333333329</v>
      </c>
      <c r="H28">
        <v>31.03448275862069</v>
      </c>
      <c r="I28">
        <v>15.09433962264151</v>
      </c>
      <c r="J28">
        <v>6.666666666666667</v>
      </c>
      <c r="K28">
        <v>38.888888888888893</v>
      </c>
      <c r="L28">
        <v>0</v>
      </c>
      <c r="M28">
        <v>28.571428571428569</v>
      </c>
      <c r="N28">
        <f t="shared" si="0"/>
        <v>17.11994585374925</v>
      </c>
    </row>
    <row r="29" spans="1:14" x14ac:dyDescent="0.45">
      <c r="A29">
        <v>50</v>
      </c>
      <c r="B29">
        <v>0</v>
      </c>
      <c r="C29">
        <v>0</v>
      </c>
      <c r="D29">
        <v>0</v>
      </c>
      <c r="E29">
        <v>10</v>
      </c>
      <c r="F29">
        <v>0</v>
      </c>
      <c r="G29">
        <v>4.1666666666666661</v>
      </c>
      <c r="H29">
        <v>6.8965517241379306</v>
      </c>
      <c r="I29">
        <v>5.6603773584905666</v>
      </c>
      <c r="J29">
        <v>0</v>
      </c>
      <c r="K29">
        <v>5.5555555555555554</v>
      </c>
      <c r="L29">
        <v>0</v>
      </c>
      <c r="M29">
        <v>7.1428571428571423</v>
      </c>
      <c r="N29">
        <f t="shared" si="0"/>
        <v>3.4529414892420736</v>
      </c>
    </row>
    <row r="30" spans="1:14" x14ac:dyDescent="0.45">
      <c r="A30">
        <v>53</v>
      </c>
      <c r="B30">
        <v>0</v>
      </c>
      <c r="C30">
        <v>0</v>
      </c>
      <c r="D30">
        <v>22.222222222222221</v>
      </c>
      <c r="E30">
        <v>20</v>
      </c>
      <c r="F30">
        <v>0</v>
      </c>
      <c r="G30">
        <v>12.5</v>
      </c>
      <c r="H30">
        <v>10.344827586206897</v>
      </c>
      <c r="I30">
        <v>15.09433962264151</v>
      </c>
      <c r="J30">
        <v>0</v>
      </c>
      <c r="K30">
        <v>0</v>
      </c>
      <c r="L30">
        <v>0</v>
      </c>
      <c r="M30">
        <v>10.714285714285714</v>
      </c>
      <c r="N30">
        <f t="shared" si="0"/>
        <v>8.3698661674868546</v>
      </c>
    </row>
    <row r="31" spans="1:14" x14ac:dyDescent="0.45">
      <c r="A31">
        <v>54</v>
      </c>
      <c r="B31">
        <v>0</v>
      </c>
      <c r="C31">
        <v>0</v>
      </c>
      <c r="D31">
        <v>22.222222222222221</v>
      </c>
      <c r="E31">
        <v>20</v>
      </c>
      <c r="F31">
        <v>0</v>
      </c>
      <c r="G31">
        <v>8.3333333333333321</v>
      </c>
      <c r="H31">
        <v>10.344827586206897</v>
      </c>
      <c r="I31">
        <v>11.320754716981133</v>
      </c>
      <c r="J31">
        <v>0</v>
      </c>
      <c r="K31">
        <v>0</v>
      </c>
      <c r="L31">
        <v>0</v>
      </c>
      <c r="M31">
        <v>17.857142857142858</v>
      </c>
      <c r="N31">
        <f t="shared" si="0"/>
        <v>8.2110308404551891</v>
      </c>
    </row>
    <row r="32" spans="1:14" x14ac:dyDescent="0.45">
      <c r="A32">
        <v>55</v>
      </c>
      <c r="B32">
        <v>0</v>
      </c>
      <c r="C32">
        <v>1</v>
      </c>
      <c r="D32">
        <v>22.222222222222221</v>
      </c>
      <c r="E32">
        <v>60</v>
      </c>
      <c r="F32">
        <v>0</v>
      </c>
      <c r="G32">
        <v>16.666666666666664</v>
      </c>
      <c r="H32">
        <v>13.793103448275861</v>
      </c>
      <c r="I32">
        <v>7.5471698113207548</v>
      </c>
      <c r="J32">
        <v>0</v>
      </c>
      <c r="K32">
        <v>0</v>
      </c>
      <c r="L32">
        <v>0</v>
      </c>
      <c r="M32">
        <v>25</v>
      </c>
      <c r="N32">
        <f t="shared" si="0"/>
        <v>12.181796204796845</v>
      </c>
    </row>
    <row r="33" spans="1:14" x14ac:dyDescent="0.45">
      <c r="A33">
        <v>56</v>
      </c>
      <c r="B33">
        <v>0</v>
      </c>
      <c r="C33">
        <v>1</v>
      </c>
      <c r="D33">
        <v>11.111111111111111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f t="shared" si="0"/>
        <v>1.9768745983514751</v>
      </c>
    </row>
    <row r="34" spans="1:14" x14ac:dyDescent="0.45">
      <c r="A34">
        <v>57</v>
      </c>
      <c r="B34">
        <v>0</v>
      </c>
      <c r="C34">
        <v>0</v>
      </c>
      <c r="D34">
        <v>22.222222222222221</v>
      </c>
      <c r="E34">
        <v>20</v>
      </c>
      <c r="F34">
        <v>0</v>
      </c>
      <c r="G34">
        <v>25</v>
      </c>
      <c r="H34">
        <v>10.344827586206897</v>
      </c>
      <c r="I34">
        <v>13.20754716981132</v>
      </c>
      <c r="J34">
        <v>0</v>
      </c>
      <c r="K34">
        <v>5.5555555555555554</v>
      </c>
      <c r="L34">
        <v>7.1428571428571423</v>
      </c>
      <c r="M34">
        <v>14.285714285714285</v>
      </c>
      <c r="N34">
        <f t="shared" si="0"/>
        <v>11.659441203119876</v>
      </c>
    </row>
    <row r="35" spans="1:14" x14ac:dyDescent="0.45">
      <c r="A35">
        <v>58</v>
      </c>
      <c r="B35">
        <v>0</v>
      </c>
      <c r="C35">
        <v>0</v>
      </c>
      <c r="D35">
        <v>22.222222222222221</v>
      </c>
      <c r="E35">
        <v>90</v>
      </c>
      <c r="F35">
        <v>33.333333333333329</v>
      </c>
      <c r="G35">
        <v>33.333333333333329</v>
      </c>
      <c r="H35">
        <v>17.241379310344829</v>
      </c>
      <c r="I35">
        <v>28.30188679245283</v>
      </c>
      <c r="J35">
        <v>6.666666666666667</v>
      </c>
      <c r="K35">
        <v>50</v>
      </c>
      <c r="L35">
        <v>7.1428571428571423</v>
      </c>
      <c r="M35">
        <v>32.142857142857146</v>
      </c>
      <c r="N35">
        <f t="shared" si="0"/>
        <v>28.991709494284365</v>
      </c>
    </row>
    <row r="36" spans="1:14" x14ac:dyDescent="0.45">
      <c r="A36">
        <v>59</v>
      </c>
      <c r="B36">
        <v>0</v>
      </c>
      <c r="C36">
        <v>0</v>
      </c>
      <c r="D36">
        <v>11.111111111111111</v>
      </c>
      <c r="E36">
        <v>60</v>
      </c>
      <c r="F36">
        <v>33.333333333333329</v>
      </c>
      <c r="G36">
        <v>25</v>
      </c>
      <c r="H36">
        <v>17.241379310344829</v>
      </c>
      <c r="I36">
        <v>37.735849056603776</v>
      </c>
      <c r="J36">
        <v>13.333333333333334</v>
      </c>
      <c r="K36">
        <v>61.111111111111114</v>
      </c>
      <c r="L36">
        <v>0</v>
      </c>
      <c r="M36">
        <v>32.142857142857146</v>
      </c>
      <c r="N36">
        <f t="shared" si="0"/>
        <v>26.572003262416231</v>
      </c>
    </row>
    <row r="37" spans="1:14" x14ac:dyDescent="0.45">
      <c r="A37">
        <v>61</v>
      </c>
      <c r="B37">
        <v>0</v>
      </c>
      <c r="C37">
        <v>0</v>
      </c>
      <c r="D37">
        <v>11.111111111111111</v>
      </c>
      <c r="E37">
        <v>90</v>
      </c>
      <c r="F37">
        <v>33.333333333333329</v>
      </c>
      <c r="G37">
        <v>16.666666666666664</v>
      </c>
      <c r="H37">
        <v>13.793103448275861</v>
      </c>
      <c r="I37">
        <v>18.867924528301888</v>
      </c>
      <c r="J37">
        <v>6.666666666666667</v>
      </c>
      <c r="K37">
        <v>44.444444444444443</v>
      </c>
      <c r="L37">
        <v>0</v>
      </c>
      <c r="M37">
        <v>39.285714285714285</v>
      </c>
      <c r="N37">
        <f t="shared" si="0"/>
        <v>23.54373146675578</v>
      </c>
    </row>
    <row r="38" spans="1:14" x14ac:dyDescent="0.45">
      <c r="A38">
        <v>65</v>
      </c>
      <c r="B38">
        <v>0</v>
      </c>
      <c r="C38">
        <v>0</v>
      </c>
      <c r="D38">
        <v>11.111111111111111</v>
      </c>
      <c r="E38">
        <v>0</v>
      </c>
      <c r="F38">
        <v>0</v>
      </c>
      <c r="G38">
        <v>12.5</v>
      </c>
      <c r="H38">
        <v>3.4482758620689653</v>
      </c>
      <c r="I38">
        <v>28.30188679245283</v>
      </c>
      <c r="J38">
        <v>13.333333333333334</v>
      </c>
      <c r="K38">
        <v>11.111111111111111</v>
      </c>
      <c r="L38">
        <v>21.428571428571427</v>
      </c>
      <c r="M38">
        <v>32.142857142857146</v>
      </c>
      <c r="N38">
        <f t="shared" si="0"/>
        <v>14.536664255765592</v>
      </c>
    </row>
    <row r="39" spans="1:14" x14ac:dyDescent="0.45">
      <c r="A39">
        <v>69</v>
      </c>
      <c r="B39">
        <v>0</v>
      </c>
      <c r="C39">
        <v>0</v>
      </c>
      <c r="D39">
        <v>0</v>
      </c>
      <c r="E39">
        <v>10</v>
      </c>
      <c r="F39">
        <v>0</v>
      </c>
      <c r="G39">
        <v>0</v>
      </c>
      <c r="H39">
        <v>3.4482758620689653</v>
      </c>
      <c r="I39">
        <v>18.867924528301888</v>
      </c>
      <c r="J39">
        <v>13.333333333333334</v>
      </c>
      <c r="K39">
        <v>0</v>
      </c>
      <c r="L39">
        <v>0</v>
      </c>
      <c r="M39">
        <v>14.285714285714285</v>
      </c>
      <c r="N39">
        <f t="shared" si="0"/>
        <v>5.1770497391806982</v>
      </c>
    </row>
    <row r="40" spans="1:14" x14ac:dyDescent="0.45">
      <c r="A40">
        <v>72</v>
      </c>
      <c r="B40">
        <v>1</v>
      </c>
      <c r="C40">
        <v>0</v>
      </c>
      <c r="D40">
        <v>11.111111111111111</v>
      </c>
      <c r="E40">
        <v>20</v>
      </c>
      <c r="F40">
        <v>100</v>
      </c>
      <c r="G40">
        <v>33.333333333333329</v>
      </c>
      <c r="H40">
        <v>10.344827586206897</v>
      </c>
      <c r="I40">
        <v>35.849056603773583</v>
      </c>
      <c r="J40">
        <v>20</v>
      </c>
      <c r="K40">
        <v>5.5555555555555554</v>
      </c>
      <c r="L40">
        <v>7.1428571428571423</v>
      </c>
      <c r="M40">
        <v>46.428571428571431</v>
      </c>
      <c r="N40">
        <f t="shared" si="0"/>
        <v>24.780644800690983</v>
      </c>
    </row>
    <row r="41" spans="1:14" x14ac:dyDescent="0.45">
      <c r="A41">
        <v>73</v>
      </c>
      <c r="B41">
        <v>1</v>
      </c>
      <c r="C41">
        <v>0</v>
      </c>
      <c r="D41">
        <v>0</v>
      </c>
      <c r="E41">
        <v>0</v>
      </c>
      <c r="F41">
        <v>100</v>
      </c>
      <c r="G41">
        <v>29.166666666666668</v>
      </c>
      <c r="H41">
        <v>17.241379310344829</v>
      </c>
      <c r="I41">
        <v>49.056603773584904</v>
      </c>
      <c r="J41">
        <v>20</v>
      </c>
      <c r="K41">
        <v>44.444444444444443</v>
      </c>
      <c r="L41">
        <v>21.428571428571427</v>
      </c>
      <c r="M41">
        <v>42.857142857142854</v>
      </c>
      <c r="N41">
        <f t="shared" si="0"/>
        <v>30.467217725744469</v>
      </c>
    </row>
    <row r="42" spans="1:14" x14ac:dyDescent="0.45">
      <c r="A42">
        <v>74</v>
      </c>
      <c r="B42">
        <v>1</v>
      </c>
      <c r="C42">
        <v>0</v>
      </c>
      <c r="D42">
        <v>0</v>
      </c>
      <c r="E42">
        <v>0</v>
      </c>
      <c r="F42">
        <v>100</v>
      </c>
      <c r="G42">
        <v>29.166666666666668</v>
      </c>
      <c r="H42">
        <v>17.241379310344829</v>
      </c>
      <c r="I42">
        <v>49.056603773584904</v>
      </c>
      <c r="J42">
        <v>20</v>
      </c>
      <c r="K42">
        <v>44.444444444444443</v>
      </c>
      <c r="L42">
        <v>21.428571428571427</v>
      </c>
      <c r="M42">
        <v>42.857142857142854</v>
      </c>
      <c r="N42">
        <f t="shared" si="0"/>
        <v>30.467217725744469</v>
      </c>
    </row>
    <row r="43" spans="1:14" x14ac:dyDescent="0.45">
      <c r="A43">
        <v>75</v>
      </c>
      <c r="B43">
        <v>0</v>
      </c>
      <c r="C43">
        <v>0</v>
      </c>
      <c r="D43">
        <v>55.555555555555557</v>
      </c>
      <c r="E43">
        <v>90</v>
      </c>
      <c r="F43">
        <v>100</v>
      </c>
      <c r="G43">
        <v>79.166666666666657</v>
      </c>
      <c r="H43">
        <v>48.275862068965516</v>
      </c>
      <c r="I43">
        <v>81.132075471698116</v>
      </c>
      <c r="J43">
        <v>100</v>
      </c>
      <c r="K43">
        <v>38.888888888888893</v>
      </c>
      <c r="L43">
        <v>42.857142857142854</v>
      </c>
      <c r="M43">
        <v>42.857142857142854</v>
      </c>
      <c r="N43">
        <f t="shared" si="0"/>
        <v>63.91121609911459</v>
      </c>
    </row>
    <row r="44" spans="1:14" x14ac:dyDescent="0.45">
      <c r="A44">
        <v>76</v>
      </c>
      <c r="B44">
        <v>1</v>
      </c>
      <c r="C44">
        <v>0</v>
      </c>
      <c r="D44">
        <v>44.444444444444443</v>
      </c>
      <c r="E44">
        <v>100</v>
      </c>
      <c r="F44">
        <v>33.333333333333329</v>
      </c>
      <c r="G44">
        <v>91.666666666666657</v>
      </c>
      <c r="H44">
        <v>62.068965517241381</v>
      </c>
      <c r="I44">
        <v>100</v>
      </c>
      <c r="J44">
        <v>100</v>
      </c>
      <c r="K44">
        <v>27.777777777777779</v>
      </c>
      <c r="L44">
        <v>14.285714285714285</v>
      </c>
      <c r="M44">
        <v>42.857142857142854</v>
      </c>
      <c r="N44">
        <f t="shared" si="0"/>
        <v>56.59833304310029</v>
      </c>
    </row>
    <row r="45" spans="1:14" x14ac:dyDescent="0.45">
      <c r="A45">
        <v>77</v>
      </c>
      <c r="B45">
        <v>1</v>
      </c>
      <c r="C45">
        <v>0</v>
      </c>
      <c r="D45">
        <v>88.888888888888886</v>
      </c>
      <c r="E45">
        <v>100</v>
      </c>
      <c r="F45">
        <v>0</v>
      </c>
      <c r="G45">
        <v>50</v>
      </c>
      <c r="H45">
        <v>55.172413793103445</v>
      </c>
      <c r="I45">
        <v>100</v>
      </c>
      <c r="J45">
        <v>66.666666666666657</v>
      </c>
      <c r="K45">
        <v>100</v>
      </c>
      <c r="L45">
        <v>78.571428571428569</v>
      </c>
      <c r="M45">
        <v>71.428571428571431</v>
      </c>
      <c r="N45">
        <f t="shared" si="0"/>
        <v>74.039307683192092</v>
      </c>
    </row>
    <row r="46" spans="1:14" x14ac:dyDescent="0.45">
      <c r="A46">
        <v>79</v>
      </c>
      <c r="B46">
        <v>0</v>
      </c>
      <c r="C46">
        <v>0</v>
      </c>
      <c r="D46">
        <v>33.333333333333329</v>
      </c>
      <c r="E46">
        <v>90</v>
      </c>
      <c r="F46">
        <v>33.333333333333329</v>
      </c>
      <c r="G46">
        <v>25</v>
      </c>
      <c r="H46">
        <v>31.03448275862069</v>
      </c>
      <c r="I46">
        <v>39.622641509433961</v>
      </c>
      <c r="J46">
        <v>20</v>
      </c>
      <c r="K46">
        <v>50</v>
      </c>
      <c r="L46">
        <v>21.428571428571427</v>
      </c>
      <c r="M46">
        <v>57.142857142857139</v>
      </c>
      <c r="N46">
        <f t="shared" si="0"/>
        <v>37.445014089063378</v>
      </c>
    </row>
    <row r="47" spans="1:14" x14ac:dyDescent="0.45">
      <c r="A47">
        <v>81</v>
      </c>
      <c r="B47">
        <v>1</v>
      </c>
      <c r="C47">
        <v>0</v>
      </c>
      <c r="D47">
        <v>11.111111111111111</v>
      </c>
      <c r="E47">
        <v>20</v>
      </c>
      <c r="F47">
        <v>100</v>
      </c>
      <c r="G47">
        <v>37.5</v>
      </c>
      <c r="H47">
        <v>20.689655172413794</v>
      </c>
      <c r="I47">
        <v>64.15094339622641</v>
      </c>
      <c r="J47">
        <v>33.333333333333329</v>
      </c>
      <c r="K47">
        <v>88.888888888888886</v>
      </c>
      <c r="L47">
        <v>14.285714285714285</v>
      </c>
      <c r="M47">
        <v>60.714285714285708</v>
      </c>
      <c r="N47">
        <f t="shared" si="0"/>
        <v>42.760512148096403</v>
      </c>
    </row>
    <row r="48" spans="1:14" x14ac:dyDescent="0.45">
      <c r="A48">
        <v>85</v>
      </c>
      <c r="B48">
        <v>1</v>
      </c>
      <c r="C48">
        <v>0</v>
      </c>
      <c r="D48">
        <v>55.555555555555557</v>
      </c>
      <c r="E48">
        <v>90</v>
      </c>
      <c r="F48">
        <v>66.666666666666657</v>
      </c>
      <c r="G48">
        <v>41.666666666666671</v>
      </c>
      <c r="H48">
        <v>48.275862068965516</v>
      </c>
      <c r="I48">
        <v>66.037735849056602</v>
      </c>
      <c r="J48">
        <v>40</v>
      </c>
      <c r="K48">
        <v>50</v>
      </c>
      <c r="L48">
        <v>35.714285714285715</v>
      </c>
      <c r="M48">
        <v>89.285714285714292</v>
      </c>
      <c r="N48">
        <f t="shared" si="0"/>
        <v>54.958491634840989</v>
      </c>
    </row>
    <row r="49" spans="1:14" x14ac:dyDescent="0.45">
      <c r="A49">
        <v>87</v>
      </c>
      <c r="B49">
        <v>0</v>
      </c>
      <c r="C49">
        <v>0</v>
      </c>
      <c r="D49">
        <v>55.555555555555557</v>
      </c>
      <c r="E49">
        <v>90</v>
      </c>
      <c r="F49">
        <v>66.666666666666657</v>
      </c>
      <c r="G49">
        <v>33.333333333333329</v>
      </c>
      <c r="H49">
        <v>34.482758620689658</v>
      </c>
      <c r="I49">
        <v>50.943396226415096</v>
      </c>
      <c r="J49">
        <v>26.666666666666668</v>
      </c>
      <c r="K49">
        <v>38.888888888888893</v>
      </c>
      <c r="L49">
        <v>35.714285714285715</v>
      </c>
      <c r="M49">
        <v>67.857142857142861</v>
      </c>
      <c r="N49">
        <f t="shared" si="0"/>
        <v>47.123612642240246</v>
      </c>
    </row>
    <row r="50" spans="1:14" x14ac:dyDescent="0.45">
      <c r="A50">
        <v>90</v>
      </c>
      <c r="B50">
        <v>0</v>
      </c>
      <c r="C50">
        <v>0</v>
      </c>
      <c r="D50">
        <v>0</v>
      </c>
      <c r="E50">
        <v>70</v>
      </c>
      <c r="F50">
        <v>33.333333333333329</v>
      </c>
      <c r="G50">
        <v>29.166666666666668</v>
      </c>
      <c r="H50">
        <v>24.137931034482758</v>
      </c>
      <c r="I50">
        <v>18.867924528301888</v>
      </c>
      <c r="J50">
        <v>13.333333333333334</v>
      </c>
      <c r="K50">
        <v>38.888888888888893</v>
      </c>
      <c r="L50">
        <v>7.1428571428571423</v>
      </c>
      <c r="M50">
        <v>60.714285714285708</v>
      </c>
      <c r="N50">
        <f t="shared" si="0"/>
        <v>25.98170111171013</v>
      </c>
    </row>
    <row r="51" spans="1:14" x14ac:dyDescent="0.45">
      <c r="A51">
        <v>92</v>
      </c>
      <c r="B51">
        <v>0</v>
      </c>
      <c r="C51">
        <v>0</v>
      </c>
      <c r="D51">
        <v>11.111111111111111</v>
      </c>
      <c r="E51">
        <v>40</v>
      </c>
      <c r="F51">
        <v>33.333333333333329</v>
      </c>
      <c r="G51">
        <v>20.833333333333336</v>
      </c>
      <c r="H51">
        <v>24.137931034482758</v>
      </c>
      <c r="I51">
        <v>15.09433962264151</v>
      </c>
      <c r="J51">
        <v>13.333333333333334</v>
      </c>
      <c r="K51">
        <v>38.888888888888893</v>
      </c>
      <c r="L51">
        <v>7.1428571428571423</v>
      </c>
      <c r="M51">
        <v>60.714285714285708</v>
      </c>
      <c r="N51">
        <f t="shared" si="0"/>
        <v>24.168384911839365</v>
      </c>
    </row>
    <row r="52" spans="1:14" x14ac:dyDescent="0.45">
      <c r="A52">
        <v>96</v>
      </c>
      <c r="B52">
        <v>0</v>
      </c>
      <c r="C52">
        <v>0</v>
      </c>
      <c r="D52">
        <v>33.333333333333329</v>
      </c>
      <c r="E52">
        <v>30</v>
      </c>
      <c r="F52">
        <v>66.666666666666657</v>
      </c>
      <c r="G52">
        <v>83.333333333333343</v>
      </c>
      <c r="H52">
        <v>68.965517241379317</v>
      </c>
      <c r="I52">
        <v>100</v>
      </c>
      <c r="J52">
        <v>93.333333333333329</v>
      </c>
      <c r="K52">
        <v>44.444444444444443</v>
      </c>
      <c r="L52">
        <v>57.142857142857139</v>
      </c>
      <c r="M52">
        <v>42.857142857142854</v>
      </c>
      <c r="N52">
        <f t="shared" si="0"/>
        <v>61.377236732301938</v>
      </c>
    </row>
    <row r="53" spans="1:14" x14ac:dyDescent="0.45">
      <c r="A53">
        <v>97</v>
      </c>
      <c r="B53">
        <v>0</v>
      </c>
      <c r="C53">
        <v>0</v>
      </c>
      <c r="D53">
        <v>33.333333333333329</v>
      </c>
      <c r="E53">
        <v>30</v>
      </c>
      <c r="F53">
        <v>33.333333333333329</v>
      </c>
      <c r="G53">
        <v>91.666666666666657</v>
      </c>
      <c r="H53">
        <v>58.620689655172406</v>
      </c>
      <c r="I53">
        <v>100</v>
      </c>
      <c r="J53">
        <v>80</v>
      </c>
      <c r="K53">
        <v>50</v>
      </c>
      <c r="L53">
        <v>50</v>
      </c>
      <c r="M53">
        <v>50</v>
      </c>
      <c r="N53">
        <f t="shared" si="0"/>
        <v>57.973763237359904</v>
      </c>
    </row>
    <row r="54" spans="1:14" x14ac:dyDescent="0.45">
      <c r="A54">
        <v>98</v>
      </c>
      <c r="B54">
        <v>0</v>
      </c>
      <c r="C54">
        <v>0</v>
      </c>
      <c r="D54">
        <v>11.111111111111111</v>
      </c>
      <c r="E54">
        <v>80</v>
      </c>
      <c r="F54">
        <v>0</v>
      </c>
      <c r="G54">
        <v>100</v>
      </c>
      <c r="H54">
        <v>79.310344827586206</v>
      </c>
      <c r="I54">
        <v>100</v>
      </c>
      <c r="J54">
        <v>100</v>
      </c>
      <c r="K54">
        <v>50</v>
      </c>
      <c r="L54">
        <v>42.857142857142854</v>
      </c>
      <c r="M54">
        <v>35.714285714285715</v>
      </c>
      <c r="N54">
        <f t="shared" si="0"/>
        <v>58.211486235010256</v>
      </c>
    </row>
    <row r="55" spans="1:14" x14ac:dyDescent="0.45">
      <c r="A55">
        <v>100</v>
      </c>
      <c r="B55">
        <v>0</v>
      </c>
      <c r="C55">
        <v>0</v>
      </c>
      <c r="D55">
        <v>55.555555555555557</v>
      </c>
      <c r="E55">
        <v>40</v>
      </c>
      <c r="F55">
        <v>33.333333333333329</v>
      </c>
      <c r="G55">
        <v>75</v>
      </c>
      <c r="H55">
        <v>62.068965517241381</v>
      </c>
      <c r="I55">
        <v>100</v>
      </c>
      <c r="J55">
        <v>46.666666666666664</v>
      </c>
      <c r="K55">
        <v>38.888888888888893</v>
      </c>
      <c r="L55">
        <v>50</v>
      </c>
      <c r="M55">
        <v>42.857142857142854</v>
      </c>
      <c r="N55">
        <f t="shared" si="0"/>
        <v>54.721784637016512</v>
      </c>
    </row>
    <row r="56" spans="1:14" x14ac:dyDescent="0.45">
      <c r="A56">
        <v>103</v>
      </c>
      <c r="B56">
        <v>0</v>
      </c>
      <c r="C56">
        <v>0</v>
      </c>
      <c r="D56">
        <v>33.333333333333329</v>
      </c>
      <c r="E56">
        <v>80</v>
      </c>
      <c r="F56">
        <v>33.333333333333329</v>
      </c>
      <c r="G56">
        <v>37.5</v>
      </c>
      <c r="H56">
        <v>24.137931034482758</v>
      </c>
      <c r="I56">
        <v>54.716981132075468</v>
      </c>
      <c r="J56">
        <v>26.666666666666668</v>
      </c>
      <c r="K56">
        <v>72.222222222222214</v>
      </c>
      <c r="L56">
        <v>7.1428571428571423</v>
      </c>
      <c r="M56">
        <v>32.142857142857146</v>
      </c>
      <c r="N56">
        <f t="shared" si="0"/>
        <v>37.770391391085695</v>
      </c>
    </row>
    <row r="57" spans="1:14" x14ac:dyDescent="0.45">
      <c r="A57">
        <v>105</v>
      </c>
      <c r="B57">
        <v>0</v>
      </c>
      <c r="C57">
        <v>0</v>
      </c>
      <c r="D57">
        <v>44.444444444444443</v>
      </c>
      <c r="E57">
        <v>70</v>
      </c>
      <c r="F57">
        <v>0</v>
      </c>
      <c r="G57">
        <v>83.333333333333343</v>
      </c>
      <c r="H57">
        <v>31.03448275862069</v>
      </c>
      <c r="I57">
        <v>81.132075471698116</v>
      </c>
      <c r="J57">
        <v>100</v>
      </c>
      <c r="K57">
        <v>38.888888888888893</v>
      </c>
      <c r="L57">
        <v>21.428571428571427</v>
      </c>
      <c r="M57">
        <v>46.428571428571431</v>
      </c>
      <c r="N57">
        <f t="shared" si="0"/>
        <v>50.21386420913457</v>
      </c>
    </row>
    <row r="58" spans="1:14" x14ac:dyDescent="0.45">
      <c r="A58">
        <v>106</v>
      </c>
      <c r="B58">
        <v>0</v>
      </c>
      <c r="C58">
        <v>0</v>
      </c>
      <c r="D58">
        <v>44.444444444444443</v>
      </c>
      <c r="E58">
        <v>70</v>
      </c>
      <c r="F58">
        <v>0</v>
      </c>
      <c r="G58">
        <v>83.333333333333343</v>
      </c>
      <c r="H58">
        <v>31.03448275862069</v>
      </c>
      <c r="I58">
        <v>81.132075471698116</v>
      </c>
      <c r="J58">
        <v>100</v>
      </c>
      <c r="K58">
        <v>38.888888888888893</v>
      </c>
      <c r="L58">
        <v>21.428571428571427</v>
      </c>
      <c r="M58">
        <v>46.428571428571431</v>
      </c>
      <c r="N58">
        <f t="shared" si="0"/>
        <v>50.21386420913457</v>
      </c>
    </row>
    <row r="59" spans="1:14" x14ac:dyDescent="0.45">
      <c r="A59">
        <v>107</v>
      </c>
      <c r="B59">
        <v>0</v>
      </c>
      <c r="C59">
        <v>0</v>
      </c>
      <c r="D59">
        <v>11.111111111111111</v>
      </c>
      <c r="E59">
        <v>20</v>
      </c>
      <c r="F59">
        <v>0</v>
      </c>
      <c r="G59">
        <v>29.166666666666668</v>
      </c>
      <c r="H59">
        <v>10.344827586206897</v>
      </c>
      <c r="I59">
        <v>18.867924528301888</v>
      </c>
      <c r="J59">
        <v>26.666666666666668</v>
      </c>
      <c r="K59">
        <v>22.222222222222221</v>
      </c>
      <c r="L59">
        <v>7.1428571428571423</v>
      </c>
      <c r="M59">
        <v>14.285714285714285</v>
      </c>
      <c r="N59">
        <f t="shared" si="0"/>
        <v>15.877460047443021</v>
      </c>
    </row>
    <row r="60" spans="1:14" x14ac:dyDescent="0.45">
      <c r="A60">
        <v>108</v>
      </c>
      <c r="B60">
        <v>0</v>
      </c>
      <c r="C60">
        <v>0</v>
      </c>
      <c r="D60">
        <v>55.555555555555557</v>
      </c>
      <c r="E60">
        <v>60</v>
      </c>
      <c r="F60">
        <v>0</v>
      </c>
      <c r="G60">
        <v>58.333333333333336</v>
      </c>
      <c r="H60">
        <v>34.482758620689658</v>
      </c>
      <c r="I60">
        <v>100</v>
      </c>
      <c r="J60">
        <v>100</v>
      </c>
      <c r="K60">
        <v>27.777777777777779</v>
      </c>
      <c r="L60">
        <v>21.428571428571427</v>
      </c>
      <c r="M60">
        <v>50</v>
      </c>
      <c r="N60">
        <f t="shared" si="0"/>
        <v>49.329379651912632</v>
      </c>
    </row>
    <row r="61" spans="1:14" x14ac:dyDescent="0.45">
      <c r="A61">
        <v>109</v>
      </c>
      <c r="B61">
        <v>0</v>
      </c>
      <c r="C61">
        <v>0</v>
      </c>
      <c r="D61">
        <v>55.555555555555557</v>
      </c>
      <c r="E61">
        <v>60</v>
      </c>
      <c r="F61">
        <v>0</v>
      </c>
      <c r="G61">
        <v>58.333333333333336</v>
      </c>
      <c r="H61">
        <v>34.482758620689658</v>
      </c>
      <c r="I61">
        <v>100</v>
      </c>
      <c r="J61">
        <v>100</v>
      </c>
      <c r="K61">
        <v>27.777777777777779</v>
      </c>
      <c r="L61">
        <v>21.428571428571427</v>
      </c>
      <c r="M61">
        <v>50</v>
      </c>
      <c r="N61">
        <f t="shared" si="0"/>
        <v>49.329379651912632</v>
      </c>
    </row>
    <row r="62" spans="1:14" x14ac:dyDescent="0.45">
      <c r="A62">
        <v>110</v>
      </c>
      <c r="B62">
        <v>0</v>
      </c>
      <c r="C62">
        <v>0</v>
      </c>
      <c r="D62">
        <v>55.555555555555557</v>
      </c>
      <c r="E62">
        <v>60</v>
      </c>
      <c r="F62">
        <v>0</v>
      </c>
      <c r="G62">
        <v>58.333333333333336</v>
      </c>
      <c r="H62">
        <v>34.482758620689658</v>
      </c>
      <c r="I62">
        <v>100</v>
      </c>
      <c r="J62">
        <v>100</v>
      </c>
      <c r="K62">
        <v>27.777777777777779</v>
      </c>
      <c r="L62">
        <v>21.428571428571427</v>
      </c>
      <c r="M62">
        <v>50</v>
      </c>
      <c r="N62">
        <f t="shared" si="0"/>
        <v>49.329379651912632</v>
      </c>
    </row>
    <row r="63" spans="1:14" x14ac:dyDescent="0.45">
      <c r="A63">
        <v>111</v>
      </c>
      <c r="B63">
        <v>0</v>
      </c>
      <c r="C63">
        <v>0</v>
      </c>
      <c r="D63">
        <v>55.555555555555557</v>
      </c>
      <c r="E63">
        <v>60</v>
      </c>
      <c r="F63">
        <v>0</v>
      </c>
      <c r="G63">
        <v>58.333333333333336</v>
      </c>
      <c r="H63">
        <v>34.482758620689658</v>
      </c>
      <c r="I63">
        <v>100</v>
      </c>
      <c r="J63">
        <v>100</v>
      </c>
      <c r="K63">
        <v>27.777777777777779</v>
      </c>
      <c r="L63">
        <v>21.428571428571427</v>
      </c>
      <c r="M63">
        <v>50</v>
      </c>
      <c r="N63">
        <f t="shared" si="0"/>
        <v>49.329379651912632</v>
      </c>
    </row>
    <row r="64" spans="1:14" x14ac:dyDescent="0.45">
      <c r="A64">
        <v>112</v>
      </c>
      <c r="B64">
        <v>0</v>
      </c>
      <c r="C64">
        <v>0</v>
      </c>
      <c r="D64">
        <v>44.444444444444443</v>
      </c>
      <c r="E64">
        <v>40</v>
      </c>
      <c r="F64">
        <v>0</v>
      </c>
      <c r="G64">
        <v>66.666666666666657</v>
      </c>
      <c r="H64">
        <v>48.275862068965516</v>
      </c>
      <c r="I64">
        <v>100</v>
      </c>
      <c r="J64">
        <v>100</v>
      </c>
      <c r="K64">
        <v>100</v>
      </c>
      <c r="L64">
        <v>64.285714285714292</v>
      </c>
      <c r="M64">
        <v>50</v>
      </c>
      <c r="N64">
        <f t="shared" si="0"/>
        <v>64.864657732843227</v>
      </c>
    </row>
    <row r="65" spans="1:14" x14ac:dyDescent="0.45">
      <c r="A65">
        <v>113</v>
      </c>
      <c r="B65">
        <v>0</v>
      </c>
      <c r="C65">
        <v>0</v>
      </c>
      <c r="D65">
        <v>33.333333333333329</v>
      </c>
      <c r="E65">
        <v>20</v>
      </c>
      <c r="F65">
        <v>0</v>
      </c>
      <c r="G65">
        <v>58.333333333333336</v>
      </c>
      <c r="H65">
        <v>55.172413793103445</v>
      </c>
      <c r="I65">
        <v>100</v>
      </c>
      <c r="J65">
        <v>100</v>
      </c>
      <c r="K65">
        <v>100</v>
      </c>
      <c r="L65">
        <v>71.428571428571431</v>
      </c>
      <c r="M65">
        <v>67.857142857142861</v>
      </c>
      <c r="N65">
        <f t="shared" si="0"/>
        <v>64.683369946652491</v>
      </c>
    </row>
    <row r="66" spans="1:14" x14ac:dyDescent="0.45">
      <c r="A66">
        <v>116</v>
      </c>
      <c r="B66">
        <v>0</v>
      </c>
      <c r="C66">
        <v>0</v>
      </c>
      <c r="D66">
        <v>22.222222222222221</v>
      </c>
      <c r="E66">
        <v>20</v>
      </c>
      <c r="F66">
        <v>0</v>
      </c>
      <c r="G66">
        <v>66.666666666666657</v>
      </c>
      <c r="H66">
        <v>58.620689655172406</v>
      </c>
      <c r="I66">
        <v>100</v>
      </c>
      <c r="J66">
        <v>100</v>
      </c>
      <c r="K66">
        <v>100</v>
      </c>
      <c r="L66">
        <v>78.571428571428569</v>
      </c>
      <c r="M66">
        <v>71.428571428571431</v>
      </c>
      <c r="N66">
        <f t="shared" si="0"/>
        <v>65.979663005996599</v>
      </c>
    </row>
    <row r="67" spans="1:14" x14ac:dyDescent="0.45">
      <c r="A67">
        <v>117</v>
      </c>
      <c r="B67">
        <v>0</v>
      </c>
      <c r="C67">
        <v>0</v>
      </c>
      <c r="D67">
        <v>22.222222222222221</v>
      </c>
      <c r="E67">
        <v>20</v>
      </c>
      <c r="F67">
        <v>0</v>
      </c>
      <c r="G67">
        <v>54.166666666666664</v>
      </c>
      <c r="H67">
        <v>41.379310344827587</v>
      </c>
      <c r="I67">
        <v>100</v>
      </c>
      <c r="J67">
        <v>100</v>
      </c>
      <c r="K67">
        <v>94.444444444444443</v>
      </c>
      <c r="L67">
        <v>64.285714285714292</v>
      </c>
      <c r="M67">
        <v>75</v>
      </c>
      <c r="N67">
        <f t="shared" si="0"/>
        <v>60.565091817773279</v>
      </c>
    </row>
    <row r="68" spans="1:14" x14ac:dyDescent="0.45">
      <c r="A68">
        <v>118</v>
      </c>
      <c r="B68">
        <v>0</v>
      </c>
      <c r="C68">
        <v>0</v>
      </c>
      <c r="D68">
        <v>22.222222222222221</v>
      </c>
      <c r="E68">
        <v>20</v>
      </c>
      <c r="F68">
        <v>0</v>
      </c>
      <c r="G68">
        <v>54.166666666666664</v>
      </c>
      <c r="H68">
        <v>41.379310344827587</v>
      </c>
      <c r="I68">
        <v>100</v>
      </c>
      <c r="J68">
        <v>100</v>
      </c>
      <c r="K68">
        <v>94.444444444444443</v>
      </c>
      <c r="L68">
        <v>64.285714285714292</v>
      </c>
      <c r="M68">
        <v>75</v>
      </c>
      <c r="N68">
        <f t="shared" si="0"/>
        <v>60.565091817773279</v>
      </c>
    </row>
    <row r="69" spans="1:14" x14ac:dyDescent="0.45">
      <c r="A69">
        <v>119</v>
      </c>
      <c r="B69">
        <v>0</v>
      </c>
      <c r="C69">
        <v>0</v>
      </c>
      <c r="D69">
        <v>22.222222222222221</v>
      </c>
      <c r="E69">
        <v>20</v>
      </c>
      <c r="F69">
        <v>0</v>
      </c>
      <c r="G69">
        <v>54.166666666666664</v>
      </c>
      <c r="H69">
        <v>41.379310344827587</v>
      </c>
      <c r="I69">
        <v>100</v>
      </c>
      <c r="J69">
        <v>100</v>
      </c>
      <c r="K69">
        <v>94.444444444444443</v>
      </c>
      <c r="L69">
        <v>64.285714285714292</v>
      </c>
      <c r="M69">
        <v>75</v>
      </c>
      <c r="N69">
        <f t="shared" ref="N69:N132" si="1">D69*D$1+E69*E$1+F69*F$1+G69*G$1+H69*H$1+I69*I$1+J69*J$1+K69*K$1+L69*L$1+M69*M$1</f>
        <v>60.565091817773279</v>
      </c>
    </row>
    <row r="70" spans="1:14" x14ac:dyDescent="0.45">
      <c r="A70">
        <v>120</v>
      </c>
      <c r="B70">
        <v>0</v>
      </c>
      <c r="C70">
        <v>0</v>
      </c>
      <c r="D70">
        <v>44.444444444444443</v>
      </c>
      <c r="E70">
        <v>20</v>
      </c>
      <c r="F70">
        <v>0</v>
      </c>
      <c r="G70">
        <v>50</v>
      </c>
      <c r="H70">
        <v>20.689655172413794</v>
      </c>
      <c r="I70">
        <v>100</v>
      </c>
      <c r="J70">
        <v>100</v>
      </c>
      <c r="K70">
        <v>38.888888888888893</v>
      </c>
      <c r="L70">
        <v>50</v>
      </c>
      <c r="M70">
        <v>50</v>
      </c>
      <c r="N70">
        <f t="shared" si="1"/>
        <v>49.674389988029844</v>
      </c>
    </row>
    <row r="71" spans="1:14" x14ac:dyDescent="0.45">
      <c r="A71">
        <v>121</v>
      </c>
      <c r="B71">
        <v>0</v>
      </c>
      <c r="C71">
        <v>0</v>
      </c>
      <c r="D71">
        <v>44.444444444444443</v>
      </c>
      <c r="E71">
        <v>20</v>
      </c>
      <c r="F71">
        <v>0</v>
      </c>
      <c r="G71">
        <v>50</v>
      </c>
      <c r="H71">
        <v>20.689655172413794</v>
      </c>
      <c r="I71">
        <v>100</v>
      </c>
      <c r="J71">
        <v>100</v>
      </c>
      <c r="K71">
        <v>38.888888888888893</v>
      </c>
      <c r="L71">
        <v>50</v>
      </c>
      <c r="M71">
        <v>50</v>
      </c>
      <c r="N71">
        <f t="shared" si="1"/>
        <v>49.674389988029844</v>
      </c>
    </row>
    <row r="72" spans="1:14" x14ac:dyDescent="0.45">
      <c r="A72">
        <v>122</v>
      </c>
      <c r="B72">
        <v>0</v>
      </c>
      <c r="C72">
        <v>0</v>
      </c>
      <c r="D72">
        <v>33.333333333333329</v>
      </c>
      <c r="E72">
        <v>10</v>
      </c>
      <c r="F72">
        <v>0</v>
      </c>
      <c r="G72">
        <v>41.666666666666671</v>
      </c>
      <c r="H72">
        <v>24.137931034482758</v>
      </c>
      <c r="I72">
        <v>100</v>
      </c>
      <c r="J72">
        <v>100</v>
      </c>
      <c r="K72">
        <v>27.777777777777779</v>
      </c>
      <c r="L72">
        <v>57.142857142857139</v>
      </c>
      <c r="M72">
        <v>53.571428571428569</v>
      </c>
      <c r="N72">
        <f t="shared" si="1"/>
        <v>47.252146002722725</v>
      </c>
    </row>
    <row r="73" spans="1:14" x14ac:dyDescent="0.45">
      <c r="A73">
        <v>123</v>
      </c>
      <c r="B73">
        <v>0</v>
      </c>
      <c r="C73">
        <v>0</v>
      </c>
      <c r="D73">
        <v>22.222222222222221</v>
      </c>
      <c r="E73">
        <v>100</v>
      </c>
      <c r="F73">
        <v>0</v>
      </c>
      <c r="G73">
        <v>100</v>
      </c>
      <c r="H73">
        <v>89.65517241379311</v>
      </c>
      <c r="I73">
        <v>100</v>
      </c>
      <c r="J73">
        <v>100</v>
      </c>
      <c r="K73">
        <v>100</v>
      </c>
      <c r="L73">
        <v>78.571428571428569</v>
      </c>
      <c r="M73">
        <v>67.857142857142861</v>
      </c>
      <c r="N73">
        <f t="shared" si="1"/>
        <v>76.677766068669996</v>
      </c>
    </row>
    <row r="74" spans="1:14" x14ac:dyDescent="0.45">
      <c r="A74">
        <v>124</v>
      </c>
      <c r="B74">
        <v>0</v>
      </c>
      <c r="C74">
        <v>0</v>
      </c>
      <c r="D74">
        <v>44.444444444444443</v>
      </c>
      <c r="E74">
        <v>90</v>
      </c>
      <c r="F74">
        <v>33.333333333333329</v>
      </c>
      <c r="G74">
        <v>100</v>
      </c>
      <c r="H74">
        <v>82.758620689655174</v>
      </c>
      <c r="I74">
        <v>100</v>
      </c>
      <c r="J74">
        <v>100</v>
      </c>
      <c r="K74">
        <v>100</v>
      </c>
      <c r="L74">
        <v>57.142857142857139</v>
      </c>
      <c r="M74">
        <v>67.857142857142861</v>
      </c>
      <c r="N74">
        <f t="shared" si="1"/>
        <v>76.808945489481403</v>
      </c>
    </row>
    <row r="75" spans="1:14" x14ac:dyDescent="0.45">
      <c r="A75">
        <v>125</v>
      </c>
      <c r="B75">
        <v>1</v>
      </c>
      <c r="C75">
        <v>0</v>
      </c>
      <c r="D75">
        <v>44.444444444444443</v>
      </c>
      <c r="E75">
        <v>60</v>
      </c>
      <c r="F75">
        <v>0</v>
      </c>
      <c r="G75">
        <v>87.5</v>
      </c>
      <c r="H75">
        <v>86.206896551724128</v>
      </c>
      <c r="I75">
        <v>100</v>
      </c>
      <c r="J75">
        <v>100</v>
      </c>
      <c r="K75">
        <v>100</v>
      </c>
      <c r="L75">
        <v>78.571428571428569</v>
      </c>
      <c r="M75">
        <v>46.428571428571431</v>
      </c>
      <c r="N75">
        <f t="shared" si="1"/>
        <v>73.357947157531129</v>
      </c>
    </row>
    <row r="76" spans="1:14" x14ac:dyDescent="0.45">
      <c r="A76">
        <v>126</v>
      </c>
      <c r="B76">
        <v>1</v>
      </c>
      <c r="C76">
        <v>0</v>
      </c>
      <c r="D76">
        <v>55.555555555555557</v>
      </c>
      <c r="E76">
        <v>50</v>
      </c>
      <c r="F76">
        <v>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64.285714285714292</v>
      </c>
      <c r="M76">
        <v>53.571428571428569</v>
      </c>
      <c r="N76">
        <f t="shared" si="1"/>
        <v>74.597825739679564</v>
      </c>
    </row>
    <row r="77" spans="1:14" x14ac:dyDescent="0.45">
      <c r="A77">
        <v>127</v>
      </c>
      <c r="B77">
        <v>0</v>
      </c>
      <c r="C77">
        <v>0</v>
      </c>
      <c r="D77">
        <v>55.555555555555557</v>
      </c>
      <c r="E77">
        <v>50</v>
      </c>
      <c r="F77">
        <v>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64.285714285714292</v>
      </c>
      <c r="M77">
        <v>53.571428571428569</v>
      </c>
      <c r="N77">
        <f t="shared" si="1"/>
        <v>74.597825739679564</v>
      </c>
    </row>
    <row r="78" spans="1:14" x14ac:dyDescent="0.45">
      <c r="A78">
        <v>129</v>
      </c>
      <c r="B78">
        <v>0</v>
      </c>
      <c r="C78">
        <v>0</v>
      </c>
      <c r="D78">
        <v>44.444444444444443</v>
      </c>
      <c r="E78">
        <v>60</v>
      </c>
      <c r="F78">
        <v>0</v>
      </c>
      <c r="G78">
        <v>75</v>
      </c>
      <c r="H78">
        <v>75.862068965517238</v>
      </c>
      <c r="I78">
        <v>96.226415094339629</v>
      </c>
      <c r="J78">
        <v>93.333333333333329</v>
      </c>
      <c r="K78">
        <v>100</v>
      </c>
      <c r="L78">
        <v>50</v>
      </c>
      <c r="M78">
        <v>28.571428571428569</v>
      </c>
      <c r="N78">
        <f t="shared" si="1"/>
        <v>63.946405271044398</v>
      </c>
    </row>
    <row r="79" spans="1:14" x14ac:dyDescent="0.45">
      <c r="A79">
        <v>131</v>
      </c>
      <c r="B79">
        <v>1</v>
      </c>
      <c r="C79">
        <v>0</v>
      </c>
      <c r="D79">
        <v>44.444444444444443</v>
      </c>
      <c r="E79">
        <v>80</v>
      </c>
      <c r="F79">
        <v>0</v>
      </c>
      <c r="G79">
        <v>66.666666666666657</v>
      </c>
      <c r="H79">
        <v>72.41379310344827</v>
      </c>
      <c r="I79">
        <v>100</v>
      </c>
      <c r="J79">
        <v>86.666666666666671</v>
      </c>
      <c r="K79">
        <v>100</v>
      </c>
      <c r="L79">
        <v>57.142857142857139</v>
      </c>
      <c r="M79">
        <v>46.428571428571431</v>
      </c>
      <c r="N79">
        <f t="shared" si="1"/>
        <v>66.596608951629094</v>
      </c>
    </row>
    <row r="80" spans="1:14" x14ac:dyDescent="0.45">
      <c r="A80">
        <v>133</v>
      </c>
      <c r="B80">
        <v>1</v>
      </c>
      <c r="C80">
        <v>0</v>
      </c>
      <c r="D80">
        <v>100</v>
      </c>
      <c r="E80">
        <v>90</v>
      </c>
      <c r="F80">
        <v>66.666666666666657</v>
      </c>
      <c r="G80">
        <v>79.166666666666657</v>
      </c>
      <c r="H80">
        <v>27.586206896551722</v>
      </c>
      <c r="I80">
        <v>100</v>
      </c>
      <c r="J80">
        <v>100</v>
      </c>
      <c r="K80">
        <v>94.444444444444443</v>
      </c>
      <c r="L80">
        <v>92.857142857142861</v>
      </c>
      <c r="M80">
        <v>64.285714285714292</v>
      </c>
      <c r="N80">
        <f t="shared" si="1"/>
        <v>84.28159736719229</v>
      </c>
    </row>
    <row r="81" spans="1:14" x14ac:dyDescent="0.45">
      <c r="A81">
        <v>134</v>
      </c>
      <c r="B81">
        <v>0</v>
      </c>
      <c r="C81">
        <v>0</v>
      </c>
      <c r="D81">
        <v>66.666666666666657</v>
      </c>
      <c r="E81">
        <v>100</v>
      </c>
      <c r="F81">
        <v>33.333333333333329</v>
      </c>
      <c r="G81">
        <v>91.666666666666657</v>
      </c>
      <c r="H81">
        <v>41.379310344827587</v>
      </c>
      <c r="I81">
        <v>100</v>
      </c>
      <c r="J81">
        <v>100</v>
      </c>
      <c r="K81">
        <v>50</v>
      </c>
      <c r="L81">
        <v>35.714285714285715</v>
      </c>
      <c r="M81">
        <v>25</v>
      </c>
      <c r="N81">
        <f t="shared" si="1"/>
        <v>62.465013888640485</v>
      </c>
    </row>
    <row r="82" spans="1:14" x14ac:dyDescent="0.45">
      <c r="A82">
        <v>135</v>
      </c>
      <c r="B82">
        <v>0</v>
      </c>
      <c r="C82">
        <v>0</v>
      </c>
      <c r="D82">
        <v>77.777777777777786</v>
      </c>
      <c r="E82">
        <v>100</v>
      </c>
      <c r="F82">
        <v>0</v>
      </c>
      <c r="G82">
        <v>100</v>
      </c>
      <c r="H82">
        <v>58.620689655172406</v>
      </c>
      <c r="I82">
        <v>100</v>
      </c>
      <c r="J82">
        <v>100</v>
      </c>
      <c r="K82">
        <v>61.111111111111114</v>
      </c>
      <c r="L82">
        <v>35.714285714285715</v>
      </c>
      <c r="M82">
        <v>39.285714285714285</v>
      </c>
      <c r="N82">
        <f t="shared" si="1"/>
        <v>66.336143318776024</v>
      </c>
    </row>
    <row r="83" spans="1:14" x14ac:dyDescent="0.45">
      <c r="A83">
        <v>136</v>
      </c>
      <c r="B83">
        <v>0</v>
      </c>
      <c r="C83">
        <v>0</v>
      </c>
      <c r="D83">
        <v>33.333333333333329</v>
      </c>
      <c r="E83">
        <v>100</v>
      </c>
      <c r="F83">
        <v>0</v>
      </c>
      <c r="G83">
        <v>50</v>
      </c>
      <c r="H83">
        <v>31.03448275862069</v>
      </c>
      <c r="I83">
        <v>69.811320754716974</v>
      </c>
      <c r="J83">
        <v>100</v>
      </c>
      <c r="K83">
        <v>50</v>
      </c>
      <c r="L83">
        <v>28.571428571428569</v>
      </c>
      <c r="M83">
        <v>25</v>
      </c>
      <c r="N83">
        <f t="shared" si="1"/>
        <v>47.148413013418349</v>
      </c>
    </row>
    <row r="84" spans="1:14" x14ac:dyDescent="0.45">
      <c r="A84">
        <v>139</v>
      </c>
      <c r="B84">
        <v>0</v>
      </c>
      <c r="C84">
        <v>0</v>
      </c>
      <c r="D84">
        <v>33.333333333333329</v>
      </c>
      <c r="E84">
        <v>70</v>
      </c>
      <c r="F84">
        <v>66.666666666666657</v>
      </c>
      <c r="G84">
        <v>41.666666666666671</v>
      </c>
      <c r="H84">
        <v>20.689655172413794</v>
      </c>
      <c r="I84">
        <v>43.39622641509434</v>
      </c>
      <c r="J84">
        <v>26.666666666666668</v>
      </c>
      <c r="K84">
        <v>22.222222222222221</v>
      </c>
      <c r="L84">
        <v>28.571428571428569</v>
      </c>
      <c r="M84">
        <v>39.285714285714285</v>
      </c>
      <c r="N84">
        <f t="shared" si="1"/>
        <v>36.47098475847929</v>
      </c>
    </row>
    <row r="85" spans="1:14" x14ac:dyDescent="0.45">
      <c r="A85">
        <v>140</v>
      </c>
      <c r="B85">
        <v>0</v>
      </c>
      <c r="C85">
        <v>0</v>
      </c>
      <c r="D85">
        <v>33.333333333333329</v>
      </c>
      <c r="E85">
        <v>70</v>
      </c>
      <c r="F85">
        <v>66.666666666666657</v>
      </c>
      <c r="G85">
        <v>41.666666666666671</v>
      </c>
      <c r="H85">
        <v>20.689655172413794</v>
      </c>
      <c r="I85">
        <v>43.39622641509434</v>
      </c>
      <c r="J85">
        <v>26.666666666666668</v>
      </c>
      <c r="K85">
        <v>22.222222222222221</v>
      </c>
      <c r="L85">
        <v>28.571428571428569</v>
      </c>
      <c r="M85">
        <v>39.285714285714285</v>
      </c>
      <c r="N85">
        <f t="shared" si="1"/>
        <v>36.47098475847929</v>
      </c>
    </row>
    <row r="86" spans="1:14" x14ac:dyDescent="0.45">
      <c r="A86">
        <v>141</v>
      </c>
      <c r="B86">
        <v>0</v>
      </c>
      <c r="C86">
        <v>0</v>
      </c>
      <c r="D86">
        <v>55.555555555555557</v>
      </c>
      <c r="E86">
        <v>90</v>
      </c>
      <c r="F86">
        <v>0</v>
      </c>
      <c r="G86">
        <v>54.166666666666664</v>
      </c>
      <c r="H86">
        <v>44.827586206896555</v>
      </c>
      <c r="I86">
        <v>50.943396226415096</v>
      </c>
      <c r="J86">
        <v>53.333333333333336</v>
      </c>
      <c r="K86">
        <v>16.666666666666664</v>
      </c>
      <c r="L86">
        <v>21.428571428571427</v>
      </c>
      <c r="M86">
        <v>39.285714285714285</v>
      </c>
      <c r="N86">
        <f t="shared" si="1"/>
        <v>40.364288870594088</v>
      </c>
    </row>
    <row r="87" spans="1:14" x14ac:dyDescent="0.45">
      <c r="A87">
        <v>142</v>
      </c>
      <c r="B87">
        <v>0</v>
      </c>
      <c r="C87">
        <v>0</v>
      </c>
      <c r="D87">
        <v>33.333333333333329</v>
      </c>
      <c r="E87">
        <v>60</v>
      </c>
      <c r="F87">
        <v>33.333333333333329</v>
      </c>
      <c r="G87">
        <v>37.5</v>
      </c>
      <c r="H87">
        <v>37.931034482758619</v>
      </c>
      <c r="I87">
        <v>37.735849056603776</v>
      </c>
      <c r="J87">
        <v>33.333333333333329</v>
      </c>
      <c r="K87">
        <v>44.444444444444443</v>
      </c>
      <c r="L87">
        <v>21.428571428571427</v>
      </c>
      <c r="M87">
        <v>46.428571428571431</v>
      </c>
      <c r="N87">
        <f t="shared" si="1"/>
        <v>36.769601968936499</v>
      </c>
    </row>
    <row r="88" spans="1:14" x14ac:dyDescent="0.45">
      <c r="A88">
        <v>143</v>
      </c>
      <c r="B88">
        <v>0</v>
      </c>
      <c r="C88">
        <v>0</v>
      </c>
      <c r="D88">
        <v>55.555555555555557</v>
      </c>
      <c r="E88">
        <v>100</v>
      </c>
      <c r="F88">
        <v>0</v>
      </c>
      <c r="G88">
        <v>87.5</v>
      </c>
      <c r="H88">
        <v>48.275862068965516</v>
      </c>
      <c r="I88">
        <v>92.452830188679243</v>
      </c>
      <c r="J88">
        <v>100</v>
      </c>
      <c r="K88">
        <v>33.333333333333329</v>
      </c>
      <c r="L88">
        <v>28.571428571428569</v>
      </c>
      <c r="M88">
        <v>42.857142857142854</v>
      </c>
      <c r="N88">
        <f t="shared" si="1"/>
        <v>56.532300842314115</v>
      </c>
    </row>
    <row r="89" spans="1:14" x14ac:dyDescent="0.45">
      <c r="A89">
        <v>144</v>
      </c>
      <c r="B89">
        <v>0</v>
      </c>
      <c r="C89">
        <v>0</v>
      </c>
      <c r="D89">
        <v>44.444444444444443</v>
      </c>
      <c r="E89">
        <v>70</v>
      </c>
      <c r="F89">
        <v>33.333333333333329</v>
      </c>
      <c r="G89">
        <v>29.166666666666668</v>
      </c>
      <c r="H89">
        <v>41.379310344827587</v>
      </c>
      <c r="I89">
        <v>28.30188679245283</v>
      </c>
      <c r="J89">
        <v>20</v>
      </c>
      <c r="K89">
        <v>44.444444444444443</v>
      </c>
      <c r="L89">
        <v>14.285714285714285</v>
      </c>
      <c r="M89">
        <v>42.857142857142854</v>
      </c>
      <c r="N89">
        <f t="shared" si="1"/>
        <v>34.525028341950055</v>
      </c>
    </row>
    <row r="90" spans="1:14" x14ac:dyDescent="0.45">
      <c r="A90">
        <v>145</v>
      </c>
      <c r="B90">
        <v>0</v>
      </c>
      <c r="C90">
        <v>0</v>
      </c>
      <c r="D90">
        <v>44.444444444444443</v>
      </c>
      <c r="E90">
        <v>90</v>
      </c>
      <c r="F90">
        <v>33.333333333333329</v>
      </c>
      <c r="G90">
        <v>41.666666666666671</v>
      </c>
      <c r="H90">
        <v>44.827586206896555</v>
      </c>
      <c r="I90">
        <v>33.962264150943398</v>
      </c>
      <c r="J90">
        <v>26.666666666666668</v>
      </c>
      <c r="K90">
        <v>38.888888888888893</v>
      </c>
      <c r="L90">
        <v>7.1428571428571423</v>
      </c>
      <c r="M90">
        <v>50</v>
      </c>
      <c r="N90">
        <f t="shared" si="1"/>
        <v>37.23535796007161</v>
      </c>
    </row>
    <row r="91" spans="1:14" x14ac:dyDescent="0.45">
      <c r="A91">
        <v>146</v>
      </c>
      <c r="B91">
        <v>0</v>
      </c>
      <c r="C91">
        <v>0</v>
      </c>
      <c r="D91">
        <v>22.222222222222221</v>
      </c>
      <c r="E91">
        <v>70</v>
      </c>
      <c r="F91">
        <v>66.666666666666657</v>
      </c>
      <c r="G91">
        <v>62.5</v>
      </c>
      <c r="H91">
        <v>41.379310344827587</v>
      </c>
      <c r="I91">
        <v>77.358490566037744</v>
      </c>
      <c r="J91">
        <v>100</v>
      </c>
      <c r="K91">
        <v>66.666666666666657</v>
      </c>
      <c r="L91">
        <v>42.857142857142854</v>
      </c>
      <c r="M91">
        <v>92.857142857142861</v>
      </c>
      <c r="N91">
        <f t="shared" si="1"/>
        <v>61.546417800135416</v>
      </c>
    </row>
    <row r="92" spans="1:14" x14ac:dyDescent="0.45">
      <c r="A92">
        <v>147</v>
      </c>
      <c r="B92">
        <v>0</v>
      </c>
      <c r="C92">
        <v>0</v>
      </c>
      <c r="D92">
        <v>44.444444444444443</v>
      </c>
      <c r="E92">
        <v>20</v>
      </c>
      <c r="F92">
        <v>0</v>
      </c>
      <c r="G92">
        <v>20.833333333333336</v>
      </c>
      <c r="H92">
        <v>10.344827586206897</v>
      </c>
      <c r="I92">
        <v>20.754716981132077</v>
      </c>
      <c r="J92">
        <v>26.666666666666668</v>
      </c>
      <c r="K92">
        <v>33.333333333333329</v>
      </c>
      <c r="L92">
        <v>14.285714285714285</v>
      </c>
      <c r="M92">
        <v>46.428571428571431</v>
      </c>
      <c r="N92">
        <f t="shared" si="1"/>
        <v>24.556154189018539</v>
      </c>
    </row>
    <row r="93" spans="1:14" x14ac:dyDescent="0.45">
      <c r="A93">
        <v>148</v>
      </c>
      <c r="B93">
        <v>0</v>
      </c>
      <c r="C93">
        <v>0</v>
      </c>
      <c r="D93">
        <v>11.111111111111111</v>
      </c>
      <c r="E93">
        <v>0</v>
      </c>
      <c r="F93">
        <v>0</v>
      </c>
      <c r="G93">
        <v>25</v>
      </c>
      <c r="H93">
        <v>6.8965517241379306</v>
      </c>
      <c r="I93">
        <v>45.283018867924532</v>
      </c>
      <c r="J93">
        <v>40</v>
      </c>
      <c r="K93">
        <v>38.888888888888893</v>
      </c>
      <c r="L93">
        <v>14.285714285714285</v>
      </c>
      <c r="M93">
        <v>57.142857142857139</v>
      </c>
      <c r="N93">
        <f t="shared" si="1"/>
        <v>24.594924369041745</v>
      </c>
    </row>
    <row r="94" spans="1:14" x14ac:dyDescent="0.45">
      <c r="A94">
        <v>149</v>
      </c>
      <c r="B94">
        <v>0</v>
      </c>
      <c r="C94">
        <v>0</v>
      </c>
      <c r="D94">
        <v>11.111111111111111</v>
      </c>
      <c r="E94">
        <v>0</v>
      </c>
      <c r="F94">
        <v>0</v>
      </c>
      <c r="G94">
        <v>25</v>
      </c>
      <c r="H94">
        <v>6.8965517241379306</v>
      </c>
      <c r="I94">
        <v>45.283018867924532</v>
      </c>
      <c r="J94">
        <v>40</v>
      </c>
      <c r="K94">
        <v>38.888888888888893</v>
      </c>
      <c r="L94">
        <v>14.285714285714285</v>
      </c>
      <c r="M94">
        <v>57.142857142857139</v>
      </c>
      <c r="N94">
        <f t="shared" si="1"/>
        <v>24.594924369041745</v>
      </c>
    </row>
    <row r="95" spans="1:14" x14ac:dyDescent="0.45">
      <c r="A95">
        <v>150</v>
      </c>
      <c r="B95">
        <v>0</v>
      </c>
      <c r="C95">
        <v>0</v>
      </c>
      <c r="D95">
        <v>11.111111111111111</v>
      </c>
      <c r="E95">
        <v>0</v>
      </c>
      <c r="F95">
        <v>0</v>
      </c>
      <c r="G95">
        <v>25</v>
      </c>
      <c r="H95">
        <v>6.8965517241379306</v>
      </c>
      <c r="I95">
        <v>45.283018867924532</v>
      </c>
      <c r="J95">
        <v>40</v>
      </c>
      <c r="K95">
        <v>38.888888888888893</v>
      </c>
      <c r="L95">
        <v>14.285714285714285</v>
      </c>
      <c r="M95">
        <v>57.142857142857139</v>
      </c>
      <c r="N95">
        <f t="shared" si="1"/>
        <v>24.594924369041745</v>
      </c>
    </row>
    <row r="96" spans="1:14" x14ac:dyDescent="0.45">
      <c r="A96">
        <v>151</v>
      </c>
      <c r="B96">
        <v>0</v>
      </c>
      <c r="C96">
        <v>0</v>
      </c>
      <c r="D96">
        <v>11.111111111111111</v>
      </c>
      <c r="E96">
        <v>10</v>
      </c>
      <c r="F96">
        <v>0</v>
      </c>
      <c r="G96">
        <v>33.333333333333329</v>
      </c>
      <c r="H96">
        <v>13.793103448275861</v>
      </c>
      <c r="I96">
        <v>49.056603773584904</v>
      </c>
      <c r="J96">
        <v>53.333333333333336</v>
      </c>
      <c r="K96">
        <v>44.444444444444443</v>
      </c>
      <c r="L96">
        <v>21.428571428571427</v>
      </c>
      <c r="M96">
        <v>60.714285714285708</v>
      </c>
      <c r="N96">
        <f t="shared" si="1"/>
        <v>30.444636470243534</v>
      </c>
    </row>
    <row r="97" spans="1:14" x14ac:dyDescent="0.45">
      <c r="A97">
        <v>152</v>
      </c>
      <c r="B97">
        <v>0</v>
      </c>
      <c r="C97">
        <v>0</v>
      </c>
      <c r="D97">
        <v>11.111111111111111</v>
      </c>
      <c r="E97">
        <v>40</v>
      </c>
      <c r="F97">
        <v>0</v>
      </c>
      <c r="G97">
        <v>41.666666666666671</v>
      </c>
      <c r="H97">
        <v>31.03448275862069</v>
      </c>
      <c r="I97">
        <v>100</v>
      </c>
      <c r="J97">
        <v>100</v>
      </c>
      <c r="K97">
        <v>100</v>
      </c>
      <c r="L97">
        <v>50</v>
      </c>
      <c r="M97">
        <v>17.857142857142858</v>
      </c>
      <c r="N97">
        <f t="shared" si="1"/>
        <v>51.819397760966822</v>
      </c>
    </row>
    <row r="98" spans="1:14" x14ac:dyDescent="0.45">
      <c r="A98">
        <v>153</v>
      </c>
      <c r="B98">
        <v>1</v>
      </c>
      <c r="C98">
        <v>0</v>
      </c>
      <c r="D98">
        <v>11.111111111111111</v>
      </c>
      <c r="E98">
        <v>40</v>
      </c>
      <c r="F98">
        <v>0</v>
      </c>
      <c r="G98">
        <v>50</v>
      </c>
      <c r="H98">
        <v>51.724137931034484</v>
      </c>
      <c r="I98">
        <v>100</v>
      </c>
      <c r="J98">
        <v>100</v>
      </c>
      <c r="K98">
        <v>88.888888888888886</v>
      </c>
      <c r="L98">
        <v>28.571428571428569</v>
      </c>
      <c r="M98">
        <v>25</v>
      </c>
      <c r="N98">
        <f t="shared" si="1"/>
        <v>49.913904766483697</v>
      </c>
    </row>
    <row r="99" spans="1:14" x14ac:dyDescent="0.45">
      <c r="A99">
        <v>154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5.6603773584905666</v>
      </c>
      <c r="J99">
        <v>33.333333333333329</v>
      </c>
      <c r="K99">
        <v>5.5555555555555554</v>
      </c>
      <c r="L99">
        <v>0</v>
      </c>
      <c r="M99">
        <v>10.714285714285714</v>
      </c>
      <c r="N99">
        <f t="shared" si="1"/>
        <v>5.2906853722503566</v>
      </c>
    </row>
    <row r="100" spans="1:14" x14ac:dyDescent="0.45">
      <c r="A100">
        <v>155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7.5471698113207548</v>
      </c>
      <c r="J100">
        <v>46.666666666666664</v>
      </c>
      <c r="K100">
        <v>5.5555555555555554</v>
      </c>
      <c r="L100">
        <v>0</v>
      </c>
      <c r="M100">
        <v>7.1428571428571423</v>
      </c>
      <c r="N100">
        <f t="shared" si="1"/>
        <v>6.4172607480581103</v>
      </c>
    </row>
    <row r="101" spans="1:14" x14ac:dyDescent="0.45">
      <c r="A101">
        <v>156</v>
      </c>
      <c r="B101">
        <v>0</v>
      </c>
      <c r="C101">
        <v>0</v>
      </c>
      <c r="D101">
        <v>0</v>
      </c>
      <c r="E101">
        <v>30</v>
      </c>
      <c r="F101">
        <v>100</v>
      </c>
      <c r="G101">
        <v>20.833333333333336</v>
      </c>
      <c r="H101">
        <v>27.586206896551722</v>
      </c>
      <c r="I101">
        <v>16.981132075471699</v>
      </c>
      <c r="J101">
        <v>13.333333333333334</v>
      </c>
      <c r="K101">
        <v>16.666666666666664</v>
      </c>
      <c r="L101">
        <v>0</v>
      </c>
      <c r="M101">
        <v>17.857142857142858</v>
      </c>
      <c r="N101">
        <f t="shared" si="1"/>
        <v>19.525145049582008</v>
      </c>
    </row>
    <row r="102" spans="1:14" x14ac:dyDescent="0.45">
      <c r="A102">
        <v>157</v>
      </c>
      <c r="B102">
        <v>0</v>
      </c>
      <c r="C102">
        <v>0</v>
      </c>
      <c r="D102">
        <v>11.111111111111111</v>
      </c>
      <c r="E102">
        <v>30</v>
      </c>
      <c r="F102">
        <v>100</v>
      </c>
      <c r="G102">
        <v>41.666666666666671</v>
      </c>
      <c r="H102">
        <v>58.620689655172406</v>
      </c>
      <c r="I102">
        <v>41.509433962264154</v>
      </c>
      <c r="J102">
        <v>60</v>
      </c>
      <c r="K102">
        <v>27.777777777777779</v>
      </c>
      <c r="L102">
        <v>0</v>
      </c>
      <c r="M102">
        <v>7.1428571428571423</v>
      </c>
      <c r="N102">
        <f t="shared" si="1"/>
        <v>32.569296923222694</v>
      </c>
    </row>
    <row r="103" spans="1:14" x14ac:dyDescent="0.45">
      <c r="A103">
        <v>164</v>
      </c>
      <c r="B103">
        <v>0</v>
      </c>
      <c r="C103">
        <v>0</v>
      </c>
      <c r="D103">
        <v>11.111111111111111</v>
      </c>
      <c r="E103">
        <v>30</v>
      </c>
      <c r="F103">
        <v>0</v>
      </c>
      <c r="G103">
        <v>20.833333333333336</v>
      </c>
      <c r="H103">
        <v>17.241379310344829</v>
      </c>
      <c r="I103">
        <v>13.20754716981132</v>
      </c>
      <c r="J103">
        <v>46.666666666666664</v>
      </c>
      <c r="K103">
        <v>16.666666666666664</v>
      </c>
      <c r="L103">
        <v>0</v>
      </c>
      <c r="M103">
        <v>7.1428571428571423</v>
      </c>
      <c r="N103">
        <f t="shared" si="1"/>
        <v>15.073284991716111</v>
      </c>
    </row>
    <row r="104" spans="1:14" x14ac:dyDescent="0.45">
      <c r="A104">
        <v>165</v>
      </c>
      <c r="B104">
        <v>0</v>
      </c>
      <c r="C104">
        <v>0</v>
      </c>
      <c r="D104">
        <v>66.666666666666657</v>
      </c>
      <c r="E104">
        <v>90</v>
      </c>
      <c r="F104">
        <v>100</v>
      </c>
      <c r="G104">
        <v>87.5</v>
      </c>
      <c r="H104">
        <v>55.172413793103445</v>
      </c>
      <c r="I104">
        <v>100</v>
      </c>
      <c r="J104">
        <v>100</v>
      </c>
      <c r="K104">
        <v>16.666666666666664</v>
      </c>
      <c r="L104">
        <v>21.428571428571427</v>
      </c>
      <c r="M104">
        <v>82.142857142857139</v>
      </c>
      <c r="N104">
        <f t="shared" si="1"/>
        <v>65.395828388824455</v>
      </c>
    </row>
    <row r="105" spans="1:14" x14ac:dyDescent="0.45">
      <c r="A105">
        <v>166</v>
      </c>
      <c r="B105">
        <v>0</v>
      </c>
      <c r="C105">
        <v>0</v>
      </c>
      <c r="D105">
        <v>66.666666666666657</v>
      </c>
      <c r="E105">
        <v>100</v>
      </c>
      <c r="F105">
        <v>100</v>
      </c>
      <c r="G105">
        <v>62.5</v>
      </c>
      <c r="H105">
        <v>37.931034482758619</v>
      </c>
      <c r="I105">
        <v>90.566037735849065</v>
      </c>
      <c r="J105">
        <v>100</v>
      </c>
      <c r="K105">
        <v>22.222222222222221</v>
      </c>
      <c r="L105">
        <v>0</v>
      </c>
      <c r="M105">
        <v>71.428571428571431</v>
      </c>
      <c r="N105">
        <f t="shared" si="1"/>
        <v>57.436622654059917</v>
      </c>
    </row>
    <row r="106" spans="1:14" x14ac:dyDescent="0.45">
      <c r="A106">
        <v>167</v>
      </c>
      <c r="B106">
        <v>0</v>
      </c>
      <c r="C106">
        <v>0</v>
      </c>
      <c r="D106">
        <v>66.666666666666657</v>
      </c>
      <c r="E106">
        <v>100</v>
      </c>
      <c r="F106">
        <v>100</v>
      </c>
      <c r="G106">
        <v>62.5</v>
      </c>
      <c r="H106">
        <v>37.931034482758619</v>
      </c>
      <c r="I106">
        <v>90.566037735849065</v>
      </c>
      <c r="J106">
        <v>100</v>
      </c>
      <c r="K106">
        <v>22.222222222222221</v>
      </c>
      <c r="L106">
        <v>0</v>
      </c>
      <c r="M106">
        <v>71.428571428571431</v>
      </c>
      <c r="N106">
        <f t="shared" si="1"/>
        <v>57.436622654059917</v>
      </c>
    </row>
    <row r="107" spans="1:14" x14ac:dyDescent="0.45">
      <c r="A107">
        <v>168</v>
      </c>
      <c r="B107">
        <v>0</v>
      </c>
      <c r="C107">
        <v>0</v>
      </c>
      <c r="D107">
        <v>44.444444444444443</v>
      </c>
      <c r="E107">
        <v>100</v>
      </c>
      <c r="F107">
        <v>66.666666666666657</v>
      </c>
      <c r="G107">
        <v>62.5</v>
      </c>
      <c r="H107">
        <v>37.931034482758619</v>
      </c>
      <c r="I107">
        <v>83.018867924528308</v>
      </c>
      <c r="J107">
        <v>100</v>
      </c>
      <c r="K107">
        <v>27.777777777777779</v>
      </c>
      <c r="L107">
        <v>0</v>
      </c>
      <c r="M107">
        <v>67.857142857142861</v>
      </c>
      <c r="N107">
        <f t="shared" si="1"/>
        <v>52.182074507729325</v>
      </c>
    </row>
    <row r="108" spans="1:14" x14ac:dyDescent="0.45">
      <c r="A108">
        <v>170</v>
      </c>
      <c r="B108">
        <v>1</v>
      </c>
      <c r="C108">
        <v>0</v>
      </c>
      <c r="D108">
        <v>33.333333333333329</v>
      </c>
      <c r="E108">
        <v>60</v>
      </c>
      <c r="F108">
        <v>66.666666666666657</v>
      </c>
      <c r="G108">
        <v>45.833333333333329</v>
      </c>
      <c r="H108">
        <v>34.482758620689658</v>
      </c>
      <c r="I108">
        <v>83.018867924528308</v>
      </c>
      <c r="J108">
        <v>80</v>
      </c>
      <c r="K108">
        <v>11.111111111111111</v>
      </c>
      <c r="L108">
        <v>7.1428571428571423</v>
      </c>
      <c r="M108">
        <v>25</v>
      </c>
      <c r="N108">
        <f t="shared" si="1"/>
        <v>39.847424062817879</v>
      </c>
    </row>
    <row r="109" spans="1:14" x14ac:dyDescent="0.45">
      <c r="A109">
        <v>171</v>
      </c>
      <c r="B109">
        <v>0</v>
      </c>
      <c r="C109">
        <v>0</v>
      </c>
      <c r="D109">
        <v>44.444444444444443</v>
      </c>
      <c r="E109">
        <v>50</v>
      </c>
      <c r="F109">
        <v>0</v>
      </c>
      <c r="G109">
        <v>25</v>
      </c>
      <c r="H109">
        <v>27.586206896551722</v>
      </c>
      <c r="I109">
        <v>22.641509433962266</v>
      </c>
      <c r="J109">
        <v>60</v>
      </c>
      <c r="K109">
        <v>16.666666666666664</v>
      </c>
      <c r="L109">
        <v>0</v>
      </c>
      <c r="M109">
        <v>10.714285714285714</v>
      </c>
      <c r="N109">
        <f t="shared" si="1"/>
        <v>24.041474486909301</v>
      </c>
    </row>
    <row r="110" spans="1:14" x14ac:dyDescent="0.45">
      <c r="A110">
        <v>172</v>
      </c>
      <c r="B110">
        <v>1</v>
      </c>
      <c r="C110">
        <v>0</v>
      </c>
      <c r="D110">
        <v>33.333333333333329</v>
      </c>
      <c r="E110">
        <v>40</v>
      </c>
      <c r="F110">
        <v>0</v>
      </c>
      <c r="G110">
        <v>25</v>
      </c>
      <c r="H110">
        <v>34.482758620689658</v>
      </c>
      <c r="I110">
        <v>33.962264150943398</v>
      </c>
      <c r="J110">
        <v>60</v>
      </c>
      <c r="K110">
        <v>16.666666666666664</v>
      </c>
      <c r="L110">
        <v>0</v>
      </c>
      <c r="M110">
        <v>14.285714285714285</v>
      </c>
      <c r="N110">
        <f t="shared" si="1"/>
        <v>23.977219459661367</v>
      </c>
    </row>
    <row r="111" spans="1:14" x14ac:dyDescent="0.45">
      <c r="A111">
        <v>173</v>
      </c>
      <c r="B111">
        <v>0</v>
      </c>
      <c r="C111">
        <v>0</v>
      </c>
      <c r="D111">
        <v>33.333333333333329</v>
      </c>
      <c r="E111">
        <v>40</v>
      </c>
      <c r="F111">
        <v>0</v>
      </c>
      <c r="G111">
        <v>25</v>
      </c>
      <c r="H111">
        <v>34.482758620689658</v>
      </c>
      <c r="I111">
        <v>33.962264150943398</v>
      </c>
      <c r="J111">
        <v>60</v>
      </c>
      <c r="K111">
        <v>16.666666666666664</v>
      </c>
      <c r="L111">
        <v>0</v>
      </c>
      <c r="M111">
        <v>14.285714285714285</v>
      </c>
      <c r="N111">
        <f t="shared" si="1"/>
        <v>23.977219459661367</v>
      </c>
    </row>
    <row r="112" spans="1:14" x14ac:dyDescent="0.45">
      <c r="A112">
        <v>174</v>
      </c>
      <c r="B112">
        <v>0</v>
      </c>
      <c r="C112">
        <v>1</v>
      </c>
      <c r="D112">
        <v>33.333333333333329</v>
      </c>
      <c r="E112">
        <v>40</v>
      </c>
      <c r="F112">
        <v>0</v>
      </c>
      <c r="G112">
        <v>25</v>
      </c>
      <c r="H112">
        <v>34.482758620689658</v>
      </c>
      <c r="I112">
        <v>33.962264150943398</v>
      </c>
      <c r="J112">
        <v>60</v>
      </c>
      <c r="K112">
        <v>16.666666666666664</v>
      </c>
      <c r="L112">
        <v>0</v>
      </c>
      <c r="M112">
        <v>14.285714285714285</v>
      </c>
      <c r="N112">
        <f t="shared" si="1"/>
        <v>23.977219459661367</v>
      </c>
    </row>
    <row r="113" spans="1:14" x14ac:dyDescent="0.45">
      <c r="A113">
        <v>175</v>
      </c>
      <c r="B113">
        <v>0</v>
      </c>
      <c r="C113">
        <v>0</v>
      </c>
      <c r="D113">
        <v>33.333333333333329</v>
      </c>
      <c r="E113">
        <v>20</v>
      </c>
      <c r="F113">
        <v>0</v>
      </c>
      <c r="G113">
        <v>20.833333333333336</v>
      </c>
      <c r="H113">
        <v>24.137931034482758</v>
      </c>
      <c r="I113">
        <v>16.981132075471699</v>
      </c>
      <c r="J113">
        <v>20</v>
      </c>
      <c r="K113">
        <v>5.5555555555555554</v>
      </c>
      <c r="L113">
        <v>0</v>
      </c>
      <c r="M113">
        <v>14.285714285714285</v>
      </c>
      <c r="N113">
        <f t="shared" si="1"/>
        <v>14.692281941139511</v>
      </c>
    </row>
    <row r="114" spans="1:14" x14ac:dyDescent="0.45">
      <c r="A114">
        <v>176</v>
      </c>
      <c r="B114">
        <v>0</v>
      </c>
      <c r="C114">
        <v>0</v>
      </c>
      <c r="D114">
        <v>33.333333333333329</v>
      </c>
      <c r="E114">
        <v>30</v>
      </c>
      <c r="F114">
        <v>100</v>
      </c>
      <c r="G114">
        <v>20.833333333333336</v>
      </c>
      <c r="H114">
        <v>20.689655172413794</v>
      </c>
      <c r="I114">
        <v>20.754716981132077</v>
      </c>
      <c r="J114">
        <v>60</v>
      </c>
      <c r="K114">
        <v>11.111111111111111</v>
      </c>
      <c r="L114">
        <v>0</v>
      </c>
      <c r="M114">
        <v>53.571428571428569</v>
      </c>
      <c r="N114">
        <f t="shared" si="1"/>
        <v>30.104127032070441</v>
      </c>
    </row>
    <row r="115" spans="1:14" x14ac:dyDescent="0.45">
      <c r="A115">
        <v>177</v>
      </c>
      <c r="B115">
        <v>1</v>
      </c>
      <c r="C115">
        <v>0</v>
      </c>
      <c r="D115">
        <v>44.444444444444443</v>
      </c>
      <c r="E115">
        <v>100</v>
      </c>
      <c r="F115">
        <v>33.333333333333329</v>
      </c>
      <c r="G115">
        <v>95.833333333333343</v>
      </c>
      <c r="H115">
        <v>82.758620689655174</v>
      </c>
      <c r="I115">
        <v>83.018867924528308</v>
      </c>
      <c r="J115">
        <v>93.333333333333329</v>
      </c>
      <c r="K115">
        <v>27.777777777777779</v>
      </c>
      <c r="L115">
        <v>35.714285714285715</v>
      </c>
      <c r="M115">
        <v>100</v>
      </c>
      <c r="N115">
        <f t="shared" si="1"/>
        <v>64.964990525266003</v>
      </c>
    </row>
    <row r="116" spans="1:14" x14ac:dyDescent="0.45">
      <c r="A116">
        <v>178</v>
      </c>
      <c r="B116">
        <v>0</v>
      </c>
      <c r="C116">
        <v>0</v>
      </c>
      <c r="D116">
        <v>55.555555555555557</v>
      </c>
      <c r="E116">
        <v>50</v>
      </c>
      <c r="F116">
        <v>100</v>
      </c>
      <c r="G116">
        <v>58.333333333333336</v>
      </c>
      <c r="H116">
        <v>48.275862068965516</v>
      </c>
      <c r="I116">
        <v>35.849056603773583</v>
      </c>
      <c r="J116">
        <v>53.333333333333336</v>
      </c>
      <c r="K116">
        <v>11.111111111111111</v>
      </c>
      <c r="L116">
        <v>7.1428571428571423</v>
      </c>
      <c r="M116">
        <v>75</v>
      </c>
      <c r="N116">
        <f t="shared" si="1"/>
        <v>43.856825269735012</v>
      </c>
    </row>
    <row r="117" spans="1:14" x14ac:dyDescent="0.45">
      <c r="A117">
        <v>179</v>
      </c>
      <c r="B117">
        <v>0</v>
      </c>
      <c r="C117">
        <v>1</v>
      </c>
      <c r="D117">
        <v>33.333333333333329</v>
      </c>
      <c r="E117">
        <v>100</v>
      </c>
      <c r="F117">
        <v>33.333333333333329</v>
      </c>
      <c r="G117">
        <v>66.666666666666657</v>
      </c>
      <c r="H117">
        <v>51.724137931034484</v>
      </c>
      <c r="I117">
        <v>43.39622641509434</v>
      </c>
      <c r="J117">
        <v>73.333333333333329</v>
      </c>
      <c r="K117">
        <v>22.222222222222221</v>
      </c>
      <c r="L117">
        <v>35.714285714285715</v>
      </c>
      <c r="M117">
        <v>100</v>
      </c>
      <c r="N117">
        <f t="shared" si="1"/>
        <v>51.950378145583407</v>
      </c>
    </row>
    <row r="118" spans="1:14" x14ac:dyDescent="0.45">
      <c r="A118">
        <v>180</v>
      </c>
      <c r="B118">
        <v>0</v>
      </c>
      <c r="C118">
        <v>0</v>
      </c>
      <c r="D118">
        <v>22.222222222222221</v>
      </c>
      <c r="E118">
        <v>80</v>
      </c>
      <c r="F118">
        <v>33.333333333333329</v>
      </c>
      <c r="G118">
        <v>70.833333333333343</v>
      </c>
      <c r="H118">
        <v>62.068965517241381</v>
      </c>
      <c r="I118">
        <v>60.377358490566039</v>
      </c>
      <c r="J118">
        <v>66.666666666666657</v>
      </c>
      <c r="K118">
        <v>16.666666666666664</v>
      </c>
      <c r="L118">
        <v>42.857142857142854</v>
      </c>
      <c r="M118">
        <v>100</v>
      </c>
      <c r="N118">
        <f t="shared" si="1"/>
        <v>52.033683062910121</v>
      </c>
    </row>
    <row r="119" spans="1:14" x14ac:dyDescent="0.45">
      <c r="A119">
        <v>181</v>
      </c>
      <c r="B119">
        <v>0</v>
      </c>
      <c r="C119">
        <v>0</v>
      </c>
      <c r="D119">
        <v>22.222222222222221</v>
      </c>
      <c r="E119">
        <v>100</v>
      </c>
      <c r="F119">
        <v>0</v>
      </c>
      <c r="G119">
        <v>70.833333333333343</v>
      </c>
      <c r="H119">
        <v>44.827586206896555</v>
      </c>
      <c r="I119">
        <v>60.377358490566039</v>
      </c>
      <c r="J119">
        <v>100</v>
      </c>
      <c r="K119">
        <v>33.333333333333329</v>
      </c>
      <c r="L119">
        <v>42.857142857142854</v>
      </c>
      <c r="M119">
        <v>89.285714285714292</v>
      </c>
      <c r="N119">
        <f t="shared" si="1"/>
        <v>53.994201383098982</v>
      </c>
    </row>
    <row r="120" spans="1:14" x14ac:dyDescent="0.45">
      <c r="A120">
        <v>182</v>
      </c>
      <c r="B120">
        <v>0</v>
      </c>
      <c r="C120">
        <v>0</v>
      </c>
      <c r="D120">
        <v>33.333333333333329</v>
      </c>
      <c r="E120">
        <v>100</v>
      </c>
      <c r="F120">
        <v>33.333333333333329</v>
      </c>
      <c r="G120">
        <v>66.666666666666657</v>
      </c>
      <c r="H120">
        <v>37.931034482758619</v>
      </c>
      <c r="I120">
        <v>77.358490566037744</v>
      </c>
      <c r="J120">
        <v>100</v>
      </c>
      <c r="K120">
        <v>33.333333333333329</v>
      </c>
      <c r="L120">
        <v>0</v>
      </c>
      <c r="M120">
        <v>85.714285714285708</v>
      </c>
      <c r="N120">
        <f t="shared" si="1"/>
        <v>50.699587365323453</v>
      </c>
    </row>
    <row r="121" spans="1:14" x14ac:dyDescent="0.45">
      <c r="A121">
        <v>183</v>
      </c>
      <c r="B121">
        <v>0</v>
      </c>
      <c r="C121">
        <v>0</v>
      </c>
      <c r="D121">
        <v>22.222222222222221</v>
      </c>
      <c r="E121">
        <v>100</v>
      </c>
      <c r="F121">
        <v>33.333333333333329</v>
      </c>
      <c r="G121">
        <v>62.5</v>
      </c>
      <c r="H121">
        <v>41.379310344827587</v>
      </c>
      <c r="I121">
        <v>75.471698113207552</v>
      </c>
      <c r="J121">
        <v>100</v>
      </c>
      <c r="K121">
        <v>22.222222222222221</v>
      </c>
      <c r="L121">
        <v>50</v>
      </c>
      <c r="M121">
        <v>89.285714285714292</v>
      </c>
      <c r="N121">
        <f t="shared" si="1"/>
        <v>56.387770320641032</v>
      </c>
    </row>
    <row r="122" spans="1:14" x14ac:dyDescent="0.45">
      <c r="A122">
        <v>184</v>
      </c>
      <c r="B122">
        <v>1</v>
      </c>
      <c r="C122">
        <v>0</v>
      </c>
      <c r="D122">
        <v>22.222222222222221</v>
      </c>
      <c r="E122">
        <v>100</v>
      </c>
      <c r="F122">
        <v>0</v>
      </c>
      <c r="G122">
        <v>75</v>
      </c>
      <c r="H122">
        <v>37.931034482758619</v>
      </c>
      <c r="I122">
        <v>66.037735849056602</v>
      </c>
      <c r="J122">
        <v>93.333333333333329</v>
      </c>
      <c r="K122">
        <v>38.888888888888893</v>
      </c>
      <c r="L122">
        <v>42.857142857142854</v>
      </c>
      <c r="M122">
        <v>92.857142857142861</v>
      </c>
      <c r="N122">
        <f t="shared" si="1"/>
        <v>54.773243532247726</v>
      </c>
    </row>
    <row r="123" spans="1:14" x14ac:dyDescent="0.45">
      <c r="A123">
        <v>185</v>
      </c>
      <c r="B123">
        <v>0</v>
      </c>
      <c r="C123">
        <v>0</v>
      </c>
      <c r="D123">
        <v>22.222222222222221</v>
      </c>
      <c r="E123">
        <v>100</v>
      </c>
      <c r="F123">
        <v>0</v>
      </c>
      <c r="G123">
        <v>75</v>
      </c>
      <c r="H123">
        <v>37.931034482758619</v>
      </c>
      <c r="I123">
        <v>66.037735849056602</v>
      </c>
      <c r="J123">
        <v>93.333333333333329</v>
      </c>
      <c r="K123">
        <v>38.888888888888893</v>
      </c>
      <c r="L123">
        <v>42.857142857142854</v>
      </c>
      <c r="M123">
        <v>92.857142857142861</v>
      </c>
      <c r="N123">
        <f t="shared" si="1"/>
        <v>54.773243532247726</v>
      </c>
    </row>
    <row r="124" spans="1:14" x14ac:dyDescent="0.45">
      <c r="A124">
        <v>186</v>
      </c>
      <c r="B124">
        <v>0</v>
      </c>
      <c r="C124">
        <v>0</v>
      </c>
      <c r="D124">
        <v>22.222222222222221</v>
      </c>
      <c r="E124">
        <v>40</v>
      </c>
      <c r="F124">
        <v>0</v>
      </c>
      <c r="G124">
        <v>91.666666666666657</v>
      </c>
      <c r="H124">
        <v>75.862068965517238</v>
      </c>
      <c r="I124">
        <v>100</v>
      </c>
      <c r="J124">
        <v>100</v>
      </c>
      <c r="K124">
        <v>100</v>
      </c>
      <c r="L124">
        <v>78.571428571428569</v>
      </c>
      <c r="M124">
        <v>60.714285714285708</v>
      </c>
      <c r="N124">
        <f t="shared" si="1"/>
        <v>70.239464429335811</v>
      </c>
    </row>
    <row r="125" spans="1:14" x14ac:dyDescent="0.45">
      <c r="A125">
        <v>187</v>
      </c>
      <c r="B125">
        <v>1</v>
      </c>
      <c r="C125">
        <v>0</v>
      </c>
      <c r="D125">
        <v>44.444444444444443</v>
      </c>
      <c r="E125">
        <v>40</v>
      </c>
      <c r="F125">
        <v>0</v>
      </c>
      <c r="G125">
        <v>20.833333333333336</v>
      </c>
      <c r="H125">
        <v>20.689655172413794</v>
      </c>
      <c r="I125">
        <v>43.39622641509434</v>
      </c>
      <c r="J125">
        <v>53.333333333333336</v>
      </c>
      <c r="K125">
        <v>61.111111111111114</v>
      </c>
      <c r="L125">
        <v>0</v>
      </c>
      <c r="M125">
        <v>57.142857142857139</v>
      </c>
      <c r="N125">
        <f t="shared" si="1"/>
        <v>33.290330492408138</v>
      </c>
    </row>
    <row r="126" spans="1:14" x14ac:dyDescent="0.45">
      <c r="A126">
        <v>188</v>
      </c>
      <c r="B126">
        <v>0</v>
      </c>
      <c r="C126">
        <v>0</v>
      </c>
      <c r="D126">
        <v>44.444444444444443</v>
      </c>
      <c r="E126">
        <v>40</v>
      </c>
      <c r="F126">
        <v>33.333333333333329</v>
      </c>
      <c r="G126">
        <v>25</v>
      </c>
      <c r="H126">
        <v>27.586206896551722</v>
      </c>
      <c r="I126">
        <v>30.188679245283019</v>
      </c>
      <c r="J126">
        <v>53.333333333333336</v>
      </c>
      <c r="K126">
        <v>88.888888888888886</v>
      </c>
      <c r="L126">
        <v>0</v>
      </c>
      <c r="M126">
        <v>75</v>
      </c>
      <c r="N126">
        <f t="shared" si="1"/>
        <v>40.300223448660006</v>
      </c>
    </row>
    <row r="127" spans="1:14" x14ac:dyDescent="0.45">
      <c r="A127">
        <v>189</v>
      </c>
      <c r="B127">
        <v>0</v>
      </c>
      <c r="C127">
        <v>0</v>
      </c>
      <c r="D127">
        <v>44.444444444444443</v>
      </c>
      <c r="E127">
        <v>10</v>
      </c>
      <c r="F127">
        <v>0</v>
      </c>
      <c r="G127">
        <v>37.5</v>
      </c>
      <c r="H127">
        <v>34.482758620689658</v>
      </c>
      <c r="I127">
        <v>43.39622641509434</v>
      </c>
      <c r="J127">
        <v>40</v>
      </c>
      <c r="K127">
        <v>83.333333333333343</v>
      </c>
      <c r="L127">
        <v>7.1428571428571423</v>
      </c>
      <c r="M127">
        <v>17.857142857142858</v>
      </c>
      <c r="N127">
        <f t="shared" si="1"/>
        <v>33.44930590531186</v>
      </c>
    </row>
    <row r="128" spans="1:14" x14ac:dyDescent="0.45">
      <c r="A128">
        <v>190</v>
      </c>
      <c r="B128">
        <v>0</v>
      </c>
      <c r="C128">
        <v>0</v>
      </c>
      <c r="D128">
        <v>44.444444444444443</v>
      </c>
      <c r="E128">
        <v>10</v>
      </c>
      <c r="F128">
        <v>0</v>
      </c>
      <c r="G128">
        <v>37.5</v>
      </c>
      <c r="H128">
        <v>34.482758620689658</v>
      </c>
      <c r="I128">
        <v>43.39622641509434</v>
      </c>
      <c r="J128">
        <v>40</v>
      </c>
      <c r="K128">
        <v>83.333333333333343</v>
      </c>
      <c r="L128">
        <v>7.1428571428571423</v>
      </c>
      <c r="M128">
        <v>17.857142857142858</v>
      </c>
      <c r="N128">
        <f t="shared" si="1"/>
        <v>33.44930590531186</v>
      </c>
    </row>
    <row r="129" spans="1:14" x14ac:dyDescent="0.45">
      <c r="A129">
        <v>191</v>
      </c>
      <c r="B129">
        <v>1</v>
      </c>
      <c r="C129">
        <v>0</v>
      </c>
      <c r="D129">
        <v>44.444444444444443</v>
      </c>
      <c r="E129">
        <v>10</v>
      </c>
      <c r="F129">
        <v>0</v>
      </c>
      <c r="G129">
        <v>41.666666666666671</v>
      </c>
      <c r="H129">
        <v>37.931034482758619</v>
      </c>
      <c r="I129">
        <v>64.15094339622641</v>
      </c>
      <c r="J129">
        <v>60</v>
      </c>
      <c r="K129">
        <v>61.111111111111114</v>
      </c>
      <c r="L129">
        <v>7.1428571428571423</v>
      </c>
      <c r="M129">
        <v>39.285714285714285</v>
      </c>
      <c r="N129">
        <f t="shared" si="1"/>
        <v>37.046104799600073</v>
      </c>
    </row>
    <row r="130" spans="1:14" x14ac:dyDescent="0.45">
      <c r="A130">
        <v>192</v>
      </c>
      <c r="B130">
        <v>0</v>
      </c>
      <c r="C130">
        <v>0</v>
      </c>
      <c r="D130">
        <v>44.444444444444443</v>
      </c>
      <c r="E130">
        <v>0</v>
      </c>
      <c r="F130">
        <v>33.333333333333329</v>
      </c>
      <c r="G130">
        <v>25</v>
      </c>
      <c r="H130">
        <v>31.03448275862069</v>
      </c>
      <c r="I130">
        <v>24.528301886792452</v>
      </c>
      <c r="J130">
        <v>53.333333333333336</v>
      </c>
      <c r="K130">
        <v>66.666666666666657</v>
      </c>
      <c r="L130">
        <v>14.285714285714285</v>
      </c>
      <c r="M130">
        <v>71.428571428571431</v>
      </c>
      <c r="N130">
        <f t="shared" si="1"/>
        <v>36.771861642118381</v>
      </c>
    </row>
    <row r="131" spans="1:14" x14ac:dyDescent="0.45">
      <c r="A131">
        <v>193</v>
      </c>
      <c r="B131">
        <v>0</v>
      </c>
      <c r="C131">
        <v>0</v>
      </c>
      <c r="D131">
        <v>44.444444444444443</v>
      </c>
      <c r="E131">
        <v>0</v>
      </c>
      <c r="F131">
        <v>33.333333333333329</v>
      </c>
      <c r="G131">
        <v>25</v>
      </c>
      <c r="H131">
        <v>31.03448275862069</v>
      </c>
      <c r="I131">
        <v>24.528301886792452</v>
      </c>
      <c r="J131">
        <v>53.333333333333336</v>
      </c>
      <c r="K131">
        <v>66.666666666666657</v>
      </c>
      <c r="L131">
        <v>14.285714285714285</v>
      </c>
      <c r="M131">
        <v>71.428571428571431</v>
      </c>
      <c r="N131">
        <f t="shared" si="1"/>
        <v>36.771861642118381</v>
      </c>
    </row>
    <row r="132" spans="1:14" x14ac:dyDescent="0.45">
      <c r="A132">
        <v>194</v>
      </c>
      <c r="B132">
        <v>0</v>
      </c>
      <c r="C132">
        <v>0</v>
      </c>
      <c r="D132">
        <v>33.333333333333329</v>
      </c>
      <c r="E132">
        <v>0</v>
      </c>
      <c r="F132">
        <v>33.333333333333329</v>
      </c>
      <c r="G132">
        <v>29.166666666666668</v>
      </c>
      <c r="H132">
        <v>31.03448275862069</v>
      </c>
      <c r="I132">
        <v>26.415094339622641</v>
      </c>
      <c r="J132">
        <v>40</v>
      </c>
      <c r="K132">
        <v>61.111111111111114</v>
      </c>
      <c r="L132">
        <v>14.285714285714285</v>
      </c>
      <c r="M132">
        <v>64.285714285714292</v>
      </c>
      <c r="N132">
        <f t="shared" si="1"/>
        <v>33.474969371649784</v>
      </c>
    </row>
    <row r="133" spans="1:14" x14ac:dyDescent="0.45">
      <c r="A133">
        <v>195</v>
      </c>
      <c r="B133">
        <v>0</v>
      </c>
      <c r="C133">
        <v>0</v>
      </c>
      <c r="D133">
        <v>33.333333333333329</v>
      </c>
      <c r="E133">
        <v>10</v>
      </c>
      <c r="F133">
        <v>33.333333333333329</v>
      </c>
      <c r="G133">
        <v>20.833333333333336</v>
      </c>
      <c r="H133">
        <v>13.793103448275861</v>
      </c>
      <c r="I133">
        <v>28.30188679245283</v>
      </c>
      <c r="J133">
        <v>26.666666666666668</v>
      </c>
      <c r="K133">
        <v>100</v>
      </c>
      <c r="L133">
        <v>7.1428571428571423</v>
      </c>
      <c r="M133">
        <v>28.571428571428569</v>
      </c>
      <c r="N133">
        <f t="shared" ref="N133:N196" si="2">D133*D$1+E133*E$1+F133*F$1+G133*G$1+H133*H$1+I133*I$1+J133*J$1+K133*K$1+L133*L$1+M133*M$1</f>
        <v>31.413544831270848</v>
      </c>
    </row>
    <row r="134" spans="1:14" x14ac:dyDescent="0.45">
      <c r="A134">
        <v>196</v>
      </c>
      <c r="B134">
        <v>0</v>
      </c>
      <c r="C134">
        <v>0</v>
      </c>
      <c r="D134">
        <v>11.111111111111111</v>
      </c>
      <c r="E134">
        <v>20</v>
      </c>
      <c r="F134">
        <v>0</v>
      </c>
      <c r="G134">
        <v>41.666666666666671</v>
      </c>
      <c r="H134">
        <v>27.586206896551722</v>
      </c>
      <c r="I134">
        <v>35.849056603773583</v>
      </c>
      <c r="J134">
        <v>40</v>
      </c>
      <c r="K134">
        <v>100</v>
      </c>
      <c r="L134">
        <v>7.1428571428571423</v>
      </c>
      <c r="M134">
        <v>28.571428571428569</v>
      </c>
      <c r="N134">
        <f t="shared" si="2"/>
        <v>32.286366136450539</v>
      </c>
    </row>
    <row r="135" spans="1:14" x14ac:dyDescent="0.45">
      <c r="A135">
        <v>197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16.666666666666664</v>
      </c>
      <c r="H135">
        <v>10.344827586206897</v>
      </c>
      <c r="I135">
        <v>24.528301886792452</v>
      </c>
      <c r="J135">
        <v>20</v>
      </c>
      <c r="K135">
        <v>50</v>
      </c>
      <c r="L135">
        <v>14.285714285714285</v>
      </c>
      <c r="M135">
        <v>10.714285714285714</v>
      </c>
      <c r="N135">
        <f t="shared" si="2"/>
        <v>16.901539632856952</v>
      </c>
    </row>
    <row r="136" spans="1:14" x14ac:dyDescent="0.45">
      <c r="A136">
        <v>198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25</v>
      </c>
      <c r="H136">
        <v>6.8965517241379306</v>
      </c>
      <c r="I136">
        <v>28.30188679245283</v>
      </c>
      <c r="J136">
        <v>20</v>
      </c>
      <c r="K136">
        <v>77.777777777777786</v>
      </c>
      <c r="L136">
        <v>7.1428571428571423</v>
      </c>
      <c r="M136">
        <v>25</v>
      </c>
      <c r="N136">
        <f t="shared" si="2"/>
        <v>21.319065572151654</v>
      </c>
    </row>
    <row r="137" spans="1:14" x14ac:dyDescent="0.45">
      <c r="A137">
        <v>199</v>
      </c>
      <c r="B137">
        <v>0</v>
      </c>
      <c r="C137">
        <v>0</v>
      </c>
      <c r="D137">
        <v>22.222222222222221</v>
      </c>
      <c r="E137">
        <v>10</v>
      </c>
      <c r="F137">
        <v>0</v>
      </c>
      <c r="G137">
        <v>37.5</v>
      </c>
      <c r="H137">
        <v>31.03448275862069</v>
      </c>
      <c r="I137">
        <v>43.39622641509434</v>
      </c>
      <c r="J137">
        <v>33.333333333333329</v>
      </c>
      <c r="K137">
        <v>100</v>
      </c>
      <c r="L137">
        <v>7.1428571428571423</v>
      </c>
      <c r="M137">
        <v>53.571428571428569</v>
      </c>
      <c r="N137">
        <f t="shared" si="2"/>
        <v>35.049491226000754</v>
      </c>
    </row>
    <row r="138" spans="1:14" x14ac:dyDescent="0.45">
      <c r="A138">
        <v>201</v>
      </c>
      <c r="B138">
        <v>0</v>
      </c>
      <c r="C138">
        <v>0</v>
      </c>
      <c r="D138">
        <v>22.222222222222221</v>
      </c>
      <c r="E138">
        <v>10</v>
      </c>
      <c r="F138">
        <v>0</v>
      </c>
      <c r="G138">
        <v>41.666666666666671</v>
      </c>
      <c r="H138">
        <v>31.03448275862069</v>
      </c>
      <c r="I138">
        <v>43.39622641509434</v>
      </c>
      <c r="J138">
        <v>33.333333333333329</v>
      </c>
      <c r="K138">
        <v>50</v>
      </c>
      <c r="L138">
        <v>7.1428571428571423</v>
      </c>
      <c r="M138">
        <v>57.142857142857139</v>
      </c>
      <c r="N138">
        <f t="shared" si="2"/>
        <v>29.538158557726739</v>
      </c>
    </row>
    <row r="139" spans="1:14" x14ac:dyDescent="0.45">
      <c r="A139">
        <v>202</v>
      </c>
      <c r="B139">
        <v>0</v>
      </c>
      <c r="C139">
        <v>0</v>
      </c>
      <c r="D139">
        <v>22.222222222222221</v>
      </c>
      <c r="E139">
        <v>10</v>
      </c>
      <c r="F139">
        <v>0</v>
      </c>
      <c r="G139">
        <v>41.666666666666671</v>
      </c>
      <c r="H139">
        <v>31.03448275862069</v>
      </c>
      <c r="I139">
        <v>43.39622641509434</v>
      </c>
      <c r="J139">
        <v>33.333333333333329</v>
      </c>
      <c r="K139">
        <v>50</v>
      </c>
      <c r="L139">
        <v>7.1428571428571423</v>
      </c>
      <c r="M139">
        <v>57.142857142857139</v>
      </c>
      <c r="N139">
        <f t="shared" si="2"/>
        <v>29.538158557726739</v>
      </c>
    </row>
    <row r="140" spans="1:14" x14ac:dyDescent="0.45">
      <c r="A140">
        <v>204</v>
      </c>
      <c r="B140">
        <v>0</v>
      </c>
      <c r="C140">
        <v>0</v>
      </c>
      <c r="D140">
        <v>11.111111111111111</v>
      </c>
      <c r="E140">
        <v>80</v>
      </c>
      <c r="F140">
        <v>0</v>
      </c>
      <c r="G140">
        <v>37.5</v>
      </c>
      <c r="H140">
        <v>27.586206896551722</v>
      </c>
      <c r="I140">
        <v>58.490566037735846</v>
      </c>
      <c r="J140">
        <v>40</v>
      </c>
      <c r="K140">
        <v>44.444444444444443</v>
      </c>
      <c r="L140">
        <v>14.285714285714285</v>
      </c>
      <c r="M140">
        <v>64.285714285714292</v>
      </c>
      <c r="N140">
        <f t="shared" si="2"/>
        <v>35.22652159977757</v>
      </c>
    </row>
    <row r="141" spans="1:14" x14ac:dyDescent="0.45">
      <c r="A141">
        <v>205</v>
      </c>
      <c r="B141">
        <v>0</v>
      </c>
      <c r="C141">
        <v>0</v>
      </c>
      <c r="D141">
        <v>22.222222222222221</v>
      </c>
      <c r="E141">
        <v>100</v>
      </c>
      <c r="F141">
        <v>0</v>
      </c>
      <c r="G141">
        <v>33.333333333333329</v>
      </c>
      <c r="H141">
        <v>34.482758620689658</v>
      </c>
      <c r="I141">
        <v>62.264150943396224</v>
      </c>
      <c r="J141">
        <v>46.666666666666664</v>
      </c>
      <c r="K141">
        <v>27.777777777777779</v>
      </c>
      <c r="L141">
        <v>14.285714285714285</v>
      </c>
      <c r="M141">
        <v>78.571428571428569</v>
      </c>
      <c r="N141">
        <f t="shared" si="2"/>
        <v>38.108990395232595</v>
      </c>
    </row>
    <row r="142" spans="1:14" x14ac:dyDescent="0.45">
      <c r="A142">
        <v>207</v>
      </c>
      <c r="B142">
        <v>0</v>
      </c>
      <c r="C142">
        <v>1</v>
      </c>
      <c r="D142">
        <v>22.222222222222221</v>
      </c>
      <c r="E142">
        <v>70</v>
      </c>
      <c r="F142">
        <v>33.333333333333329</v>
      </c>
      <c r="G142">
        <v>62.5</v>
      </c>
      <c r="H142">
        <v>68.965517241379317</v>
      </c>
      <c r="I142">
        <v>100</v>
      </c>
      <c r="J142">
        <v>13.333333333333334</v>
      </c>
      <c r="K142">
        <v>5.5555555555555554</v>
      </c>
      <c r="L142">
        <v>7.1428571428571423</v>
      </c>
      <c r="M142">
        <v>35.714285714285715</v>
      </c>
      <c r="N142">
        <f t="shared" si="2"/>
        <v>36.828896035502254</v>
      </c>
    </row>
    <row r="143" spans="1:14" x14ac:dyDescent="0.45">
      <c r="A143">
        <v>208</v>
      </c>
      <c r="B143">
        <v>0</v>
      </c>
      <c r="C143">
        <v>0</v>
      </c>
      <c r="D143">
        <v>0</v>
      </c>
      <c r="E143">
        <v>10</v>
      </c>
      <c r="F143">
        <v>0</v>
      </c>
      <c r="G143">
        <v>8.3333333333333321</v>
      </c>
      <c r="H143">
        <v>3.4482758620689653</v>
      </c>
      <c r="I143">
        <v>16.981132075471699</v>
      </c>
      <c r="J143">
        <v>0</v>
      </c>
      <c r="K143">
        <v>27.777777777777779</v>
      </c>
      <c r="L143">
        <v>0</v>
      </c>
      <c r="M143">
        <v>7.1428571428571423</v>
      </c>
      <c r="N143">
        <f t="shared" si="2"/>
        <v>7.435413871523556</v>
      </c>
    </row>
    <row r="144" spans="1:14" x14ac:dyDescent="0.45">
      <c r="A144">
        <v>209</v>
      </c>
      <c r="B144">
        <v>0</v>
      </c>
      <c r="C144">
        <v>0</v>
      </c>
      <c r="D144">
        <v>0</v>
      </c>
      <c r="E144">
        <v>80</v>
      </c>
      <c r="F144">
        <v>0</v>
      </c>
      <c r="G144">
        <v>95.833333333333343</v>
      </c>
      <c r="H144">
        <v>68.965517241379317</v>
      </c>
      <c r="I144">
        <v>98.113207547169807</v>
      </c>
      <c r="J144">
        <v>6.666666666666667</v>
      </c>
      <c r="K144">
        <v>22.222222222222221</v>
      </c>
      <c r="L144">
        <v>7.1428571428571423</v>
      </c>
      <c r="M144">
        <v>10.714285714285714</v>
      </c>
      <c r="N144">
        <f t="shared" si="2"/>
        <v>35.031110274809365</v>
      </c>
    </row>
    <row r="145" spans="1:14" x14ac:dyDescent="0.45">
      <c r="A145">
        <v>210</v>
      </c>
      <c r="B145">
        <v>0</v>
      </c>
      <c r="C145">
        <v>0</v>
      </c>
      <c r="D145">
        <v>0</v>
      </c>
      <c r="E145">
        <v>20</v>
      </c>
      <c r="F145">
        <v>66.666666666666657</v>
      </c>
      <c r="G145">
        <v>41.666666666666671</v>
      </c>
      <c r="H145">
        <v>13.793103448275861</v>
      </c>
      <c r="I145">
        <v>100</v>
      </c>
      <c r="J145">
        <v>100</v>
      </c>
      <c r="K145">
        <v>61.111111111111114</v>
      </c>
      <c r="L145">
        <v>28.571428571428569</v>
      </c>
      <c r="M145">
        <v>39.285714285714285</v>
      </c>
      <c r="N145">
        <f t="shared" si="2"/>
        <v>45.771122332010144</v>
      </c>
    </row>
    <row r="146" spans="1:14" x14ac:dyDescent="0.45">
      <c r="A146">
        <v>211</v>
      </c>
      <c r="B146">
        <v>0</v>
      </c>
      <c r="C146">
        <v>0</v>
      </c>
      <c r="D146">
        <v>0</v>
      </c>
      <c r="E146">
        <v>20</v>
      </c>
      <c r="F146">
        <v>66.666666666666657</v>
      </c>
      <c r="G146">
        <v>41.666666666666671</v>
      </c>
      <c r="H146">
        <v>13.793103448275861</v>
      </c>
      <c r="I146">
        <v>100</v>
      </c>
      <c r="J146">
        <v>100</v>
      </c>
      <c r="K146">
        <v>61.111111111111114</v>
      </c>
      <c r="L146">
        <v>28.571428571428569</v>
      </c>
      <c r="M146">
        <v>39.285714285714285</v>
      </c>
      <c r="N146">
        <f t="shared" si="2"/>
        <v>45.771122332010144</v>
      </c>
    </row>
    <row r="147" spans="1:14" x14ac:dyDescent="0.45">
      <c r="A147">
        <v>213</v>
      </c>
      <c r="B147">
        <v>0</v>
      </c>
      <c r="C147">
        <v>0</v>
      </c>
      <c r="D147">
        <v>55.555555555555557</v>
      </c>
      <c r="E147">
        <v>60</v>
      </c>
      <c r="F147">
        <v>66.666666666666657</v>
      </c>
      <c r="G147">
        <v>62.5</v>
      </c>
      <c r="H147">
        <v>41.379310344827587</v>
      </c>
      <c r="I147">
        <v>94.339622641509436</v>
      </c>
      <c r="J147">
        <v>100</v>
      </c>
      <c r="K147">
        <v>16.666666666666664</v>
      </c>
      <c r="L147">
        <v>28.571428571428569</v>
      </c>
      <c r="M147">
        <v>32.142857142857146</v>
      </c>
      <c r="N147">
        <f t="shared" si="2"/>
        <v>52.595562708631149</v>
      </c>
    </row>
    <row r="148" spans="1:14" x14ac:dyDescent="0.45">
      <c r="A148">
        <v>214</v>
      </c>
      <c r="B148">
        <v>0</v>
      </c>
      <c r="C148">
        <v>0</v>
      </c>
      <c r="D148">
        <v>44.444444444444443</v>
      </c>
      <c r="E148">
        <v>50</v>
      </c>
      <c r="F148">
        <v>66.666666666666657</v>
      </c>
      <c r="G148">
        <v>62.5</v>
      </c>
      <c r="H148">
        <v>44.827586206896555</v>
      </c>
      <c r="I148">
        <v>96.226415094339629</v>
      </c>
      <c r="J148">
        <v>100</v>
      </c>
      <c r="K148">
        <v>22.222222222222221</v>
      </c>
      <c r="L148">
        <v>14.285714285714285</v>
      </c>
      <c r="M148">
        <v>35.714285714285715</v>
      </c>
      <c r="N148">
        <f t="shared" si="2"/>
        <v>49.662779719420897</v>
      </c>
    </row>
    <row r="149" spans="1:14" x14ac:dyDescent="0.45">
      <c r="A149">
        <v>215</v>
      </c>
      <c r="B149">
        <v>0</v>
      </c>
      <c r="C149">
        <v>0</v>
      </c>
      <c r="D149">
        <v>44.444444444444443</v>
      </c>
      <c r="E149">
        <v>40</v>
      </c>
      <c r="F149">
        <v>100</v>
      </c>
      <c r="G149">
        <v>50</v>
      </c>
      <c r="H149">
        <v>41.379310344827587</v>
      </c>
      <c r="I149">
        <v>73.584905660377359</v>
      </c>
      <c r="J149">
        <v>100</v>
      </c>
      <c r="K149">
        <v>16.666666666666664</v>
      </c>
      <c r="L149">
        <v>57.142857142857139</v>
      </c>
      <c r="M149">
        <v>71.428571428571431</v>
      </c>
      <c r="N149">
        <f t="shared" si="2"/>
        <v>57.236907624797666</v>
      </c>
    </row>
    <row r="150" spans="1:14" x14ac:dyDescent="0.45">
      <c r="A150">
        <v>216</v>
      </c>
      <c r="B150">
        <v>1</v>
      </c>
      <c r="C150">
        <v>0</v>
      </c>
      <c r="D150">
        <v>33.333333333333329</v>
      </c>
      <c r="E150">
        <v>20</v>
      </c>
      <c r="F150">
        <v>0</v>
      </c>
      <c r="G150">
        <v>41.666666666666671</v>
      </c>
      <c r="H150">
        <v>34.482758620689658</v>
      </c>
      <c r="I150">
        <v>35.849056603773583</v>
      </c>
      <c r="J150">
        <v>46.666666666666664</v>
      </c>
      <c r="K150">
        <v>22.222222222222221</v>
      </c>
      <c r="L150">
        <v>14.285714285714285</v>
      </c>
      <c r="M150">
        <v>14.285714285714285</v>
      </c>
      <c r="N150">
        <f t="shared" si="2"/>
        <v>26.381205387872772</v>
      </c>
    </row>
    <row r="151" spans="1:14" x14ac:dyDescent="0.45">
      <c r="A151">
        <v>217</v>
      </c>
      <c r="B151">
        <v>0</v>
      </c>
      <c r="C151">
        <v>0</v>
      </c>
      <c r="D151">
        <v>100</v>
      </c>
      <c r="E151">
        <v>60</v>
      </c>
      <c r="F151">
        <v>33.333333333333329</v>
      </c>
      <c r="G151">
        <v>66.666666666666657</v>
      </c>
      <c r="H151">
        <v>41.379310344827587</v>
      </c>
      <c r="I151">
        <v>50.943396226415096</v>
      </c>
      <c r="J151">
        <v>40</v>
      </c>
      <c r="K151">
        <v>11.111111111111111</v>
      </c>
      <c r="L151">
        <v>7.1428571428571423</v>
      </c>
      <c r="M151">
        <v>32.142857142857146</v>
      </c>
      <c r="N151">
        <f t="shared" si="2"/>
        <v>42.02521686352322</v>
      </c>
    </row>
    <row r="152" spans="1:14" x14ac:dyDescent="0.45">
      <c r="A152">
        <v>218</v>
      </c>
      <c r="B152">
        <v>0</v>
      </c>
      <c r="C152">
        <v>1</v>
      </c>
      <c r="D152">
        <v>22.222222222222221</v>
      </c>
      <c r="E152">
        <v>20</v>
      </c>
      <c r="F152">
        <v>100</v>
      </c>
      <c r="G152">
        <v>37.5</v>
      </c>
      <c r="H152">
        <v>13.793103448275861</v>
      </c>
      <c r="I152">
        <v>26.415094339622641</v>
      </c>
      <c r="J152">
        <v>13.333333333333334</v>
      </c>
      <c r="K152">
        <v>50</v>
      </c>
      <c r="L152">
        <v>7.1428571428571423</v>
      </c>
      <c r="M152">
        <v>46.428571428571431</v>
      </c>
      <c r="N152">
        <f t="shared" si="2"/>
        <v>30.835625417170746</v>
      </c>
    </row>
    <row r="153" spans="1:14" x14ac:dyDescent="0.45">
      <c r="A153">
        <v>219</v>
      </c>
      <c r="B153">
        <v>0</v>
      </c>
      <c r="C153">
        <v>0</v>
      </c>
      <c r="D153">
        <v>22.222222222222221</v>
      </c>
      <c r="E153">
        <v>0</v>
      </c>
      <c r="F153">
        <v>33.333333333333329</v>
      </c>
      <c r="G153">
        <v>25</v>
      </c>
      <c r="H153">
        <v>6.8965517241379306</v>
      </c>
      <c r="I153">
        <v>11.320754716981133</v>
      </c>
      <c r="J153">
        <v>13.333333333333334</v>
      </c>
      <c r="K153">
        <v>38.888888888888893</v>
      </c>
      <c r="L153">
        <v>0</v>
      </c>
      <c r="M153">
        <v>17.857142857142858</v>
      </c>
      <c r="N153">
        <f t="shared" si="2"/>
        <v>16.712100241458707</v>
      </c>
    </row>
    <row r="154" spans="1:14" x14ac:dyDescent="0.45">
      <c r="A154">
        <v>220</v>
      </c>
      <c r="B154">
        <v>0</v>
      </c>
      <c r="C154">
        <v>0</v>
      </c>
      <c r="D154">
        <v>33.333333333333329</v>
      </c>
      <c r="E154">
        <v>20</v>
      </c>
      <c r="F154">
        <v>33.333333333333329</v>
      </c>
      <c r="G154">
        <v>25</v>
      </c>
      <c r="H154">
        <v>24.137931034482758</v>
      </c>
      <c r="I154">
        <v>24.528301886792452</v>
      </c>
      <c r="J154">
        <v>33.333333333333329</v>
      </c>
      <c r="K154">
        <v>55.555555555555557</v>
      </c>
      <c r="L154">
        <v>7.1428571428571423</v>
      </c>
      <c r="M154">
        <v>60.714285714285708</v>
      </c>
      <c r="N154">
        <f t="shared" si="2"/>
        <v>30.79790232246388</v>
      </c>
    </row>
    <row r="155" spans="1:14" x14ac:dyDescent="0.45">
      <c r="A155">
        <v>221</v>
      </c>
      <c r="B155">
        <v>0</v>
      </c>
      <c r="C155">
        <v>0</v>
      </c>
      <c r="D155">
        <v>22.222222222222221</v>
      </c>
      <c r="E155">
        <v>20</v>
      </c>
      <c r="F155">
        <v>33.333333333333329</v>
      </c>
      <c r="G155">
        <v>45.833333333333329</v>
      </c>
      <c r="H155">
        <v>31.03448275862069</v>
      </c>
      <c r="I155">
        <v>37.735849056603776</v>
      </c>
      <c r="J155">
        <v>33.333333333333329</v>
      </c>
      <c r="K155">
        <v>72.222222222222214</v>
      </c>
      <c r="L155">
        <v>14.285714285714285</v>
      </c>
      <c r="M155">
        <v>53.571428571428569</v>
      </c>
      <c r="N155">
        <f t="shared" si="2"/>
        <v>36.022776241286053</v>
      </c>
    </row>
    <row r="156" spans="1:14" x14ac:dyDescent="0.45">
      <c r="A156">
        <v>222</v>
      </c>
      <c r="B156">
        <v>0</v>
      </c>
      <c r="C156">
        <v>0</v>
      </c>
      <c r="D156">
        <v>33.333333333333329</v>
      </c>
      <c r="E156">
        <v>20</v>
      </c>
      <c r="F156">
        <v>33.333333333333329</v>
      </c>
      <c r="G156">
        <v>25</v>
      </c>
      <c r="H156">
        <v>20.689655172413794</v>
      </c>
      <c r="I156">
        <v>13.20754716981132</v>
      </c>
      <c r="J156">
        <v>26.666666666666668</v>
      </c>
      <c r="K156">
        <v>33.333333333333329</v>
      </c>
      <c r="L156">
        <v>0</v>
      </c>
      <c r="M156">
        <v>10.714285714285714</v>
      </c>
      <c r="N156">
        <f t="shared" si="2"/>
        <v>20.55188613738779</v>
      </c>
    </row>
    <row r="157" spans="1:14" x14ac:dyDescent="0.45">
      <c r="A157">
        <v>223</v>
      </c>
      <c r="B157">
        <v>0</v>
      </c>
      <c r="C157">
        <v>0</v>
      </c>
      <c r="D157">
        <v>0</v>
      </c>
      <c r="E157">
        <v>20</v>
      </c>
      <c r="F157">
        <v>0</v>
      </c>
      <c r="G157">
        <v>37.5</v>
      </c>
      <c r="H157">
        <v>17.241379310344829</v>
      </c>
      <c r="I157">
        <v>26.415094339622641</v>
      </c>
      <c r="J157">
        <v>0</v>
      </c>
      <c r="K157">
        <v>50</v>
      </c>
      <c r="L157">
        <v>0</v>
      </c>
      <c r="M157">
        <v>7.1428571428571423</v>
      </c>
      <c r="N157">
        <f t="shared" si="2"/>
        <v>15.775358045297539</v>
      </c>
    </row>
    <row r="158" spans="1:14" x14ac:dyDescent="0.45">
      <c r="A158">
        <v>224</v>
      </c>
      <c r="B158">
        <v>0</v>
      </c>
      <c r="C158">
        <v>0</v>
      </c>
      <c r="D158">
        <v>11.111111111111111</v>
      </c>
      <c r="E158">
        <v>30</v>
      </c>
      <c r="F158">
        <v>0</v>
      </c>
      <c r="G158">
        <v>29.166666666666668</v>
      </c>
      <c r="H158">
        <v>13.793103448275861</v>
      </c>
      <c r="I158">
        <v>7.5471698113207548</v>
      </c>
      <c r="J158">
        <v>0</v>
      </c>
      <c r="K158">
        <v>0</v>
      </c>
      <c r="L158">
        <v>0</v>
      </c>
      <c r="M158">
        <v>46.428571428571431</v>
      </c>
      <c r="N158">
        <f t="shared" si="2"/>
        <v>12.016134071999286</v>
      </c>
    </row>
    <row r="159" spans="1:14" x14ac:dyDescent="0.45">
      <c r="A159">
        <v>225</v>
      </c>
      <c r="B159">
        <v>0</v>
      </c>
      <c r="C159">
        <v>0</v>
      </c>
      <c r="D159">
        <v>0</v>
      </c>
      <c r="E159">
        <v>10</v>
      </c>
      <c r="F159">
        <v>0</v>
      </c>
      <c r="G159">
        <v>8.3333333333333321</v>
      </c>
      <c r="H159">
        <v>13.793103448275861</v>
      </c>
      <c r="I159">
        <v>20.754716981132077</v>
      </c>
      <c r="J159">
        <v>13.333333333333334</v>
      </c>
      <c r="K159">
        <v>5.5555555555555554</v>
      </c>
      <c r="L159">
        <v>0</v>
      </c>
      <c r="M159">
        <v>50</v>
      </c>
      <c r="N159">
        <f t="shared" si="2"/>
        <v>10.782514976193848</v>
      </c>
    </row>
    <row r="160" spans="1:14" x14ac:dyDescent="0.45">
      <c r="A160">
        <v>226</v>
      </c>
      <c r="B160">
        <v>0</v>
      </c>
      <c r="C160">
        <v>0</v>
      </c>
      <c r="D160">
        <v>44.444444444444443</v>
      </c>
      <c r="E160">
        <v>20</v>
      </c>
      <c r="F160">
        <v>0</v>
      </c>
      <c r="G160">
        <v>16.666666666666664</v>
      </c>
      <c r="H160">
        <v>20.689655172413794</v>
      </c>
      <c r="I160">
        <v>5.6603773584905666</v>
      </c>
      <c r="J160">
        <v>6.666666666666667</v>
      </c>
      <c r="K160">
        <v>16.666666666666664</v>
      </c>
      <c r="L160">
        <v>0</v>
      </c>
      <c r="M160">
        <v>67.857142857142861</v>
      </c>
      <c r="N160">
        <f t="shared" si="2"/>
        <v>19.011996071598556</v>
      </c>
    </row>
    <row r="161" spans="1:14" x14ac:dyDescent="0.45">
      <c r="A161">
        <v>227</v>
      </c>
      <c r="B161">
        <v>1</v>
      </c>
      <c r="C161">
        <v>0</v>
      </c>
      <c r="D161">
        <v>11.111111111111111</v>
      </c>
      <c r="E161">
        <v>10</v>
      </c>
      <c r="F161">
        <v>33.333333333333329</v>
      </c>
      <c r="G161">
        <v>8.3333333333333321</v>
      </c>
      <c r="H161">
        <v>17.241379310344829</v>
      </c>
      <c r="I161">
        <v>13.20754716981132</v>
      </c>
      <c r="J161">
        <v>20</v>
      </c>
      <c r="K161">
        <v>5.5555555555555554</v>
      </c>
      <c r="L161">
        <v>0</v>
      </c>
      <c r="M161">
        <v>28.571428571428569</v>
      </c>
      <c r="N161">
        <f t="shared" si="2"/>
        <v>12.734953123449253</v>
      </c>
    </row>
    <row r="162" spans="1:14" x14ac:dyDescent="0.45">
      <c r="A162">
        <v>230</v>
      </c>
      <c r="B162">
        <v>0</v>
      </c>
      <c r="C162">
        <v>0</v>
      </c>
      <c r="D162">
        <v>22.222222222222221</v>
      </c>
      <c r="E162">
        <v>30</v>
      </c>
      <c r="F162">
        <v>0</v>
      </c>
      <c r="G162">
        <v>8.3333333333333321</v>
      </c>
      <c r="H162">
        <v>13.793103448275861</v>
      </c>
      <c r="I162">
        <v>5.6603773584905666</v>
      </c>
      <c r="J162">
        <v>0</v>
      </c>
      <c r="K162">
        <v>22.222222222222221</v>
      </c>
      <c r="L162">
        <v>7.1428571428571423</v>
      </c>
      <c r="M162">
        <v>50</v>
      </c>
      <c r="N162">
        <f t="shared" si="2"/>
        <v>15.3475022415351</v>
      </c>
    </row>
    <row r="163" spans="1:14" x14ac:dyDescent="0.45">
      <c r="A163">
        <v>231</v>
      </c>
      <c r="B163">
        <v>1</v>
      </c>
      <c r="C163">
        <v>0</v>
      </c>
      <c r="D163">
        <v>11.111111111111111</v>
      </c>
      <c r="E163">
        <v>20</v>
      </c>
      <c r="F163">
        <v>0</v>
      </c>
      <c r="G163">
        <v>16.666666666666664</v>
      </c>
      <c r="H163">
        <v>20.689655172413794</v>
      </c>
      <c r="I163">
        <v>7.5471698113207548</v>
      </c>
      <c r="J163">
        <v>0</v>
      </c>
      <c r="K163">
        <v>5.5555555555555554</v>
      </c>
      <c r="L163">
        <v>14.285714285714285</v>
      </c>
      <c r="M163">
        <v>14.285714285714285</v>
      </c>
      <c r="N163">
        <f t="shared" si="2"/>
        <v>10.978888328585894</v>
      </c>
    </row>
    <row r="164" spans="1:14" x14ac:dyDescent="0.45">
      <c r="A164">
        <v>234</v>
      </c>
      <c r="B164">
        <v>0</v>
      </c>
      <c r="C164">
        <v>0</v>
      </c>
      <c r="D164">
        <v>0</v>
      </c>
      <c r="E164">
        <v>30</v>
      </c>
      <c r="F164">
        <v>0</v>
      </c>
      <c r="G164">
        <v>41.666666666666671</v>
      </c>
      <c r="H164">
        <v>55.172413793103445</v>
      </c>
      <c r="I164">
        <v>7.5471698113207548</v>
      </c>
      <c r="J164">
        <v>0</v>
      </c>
      <c r="K164">
        <v>5.5555555555555554</v>
      </c>
      <c r="L164">
        <v>7.1428571428571423</v>
      </c>
      <c r="M164">
        <v>25</v>
      </c>
      <c r="N164">
        <f t="shared" si="2"/>
        <v>15.266060208149577</v>
      </c>
    </row>
    <row r="165" spans="1:14" x14ac:dyDescent="0.45">
      <c r="A165">
        <v>237</v>
      </c>
      <c r="B165">
        <v>0</v>
      </c>
      <c r="C165">
        <v>0</v>
      </c>
      <c r="D165">
        <v>11.111111111111111</v>
      </c>
      <c r="E165">
        <v>10</v>
      </c>
      <c r="F165">
        <v>0</v>
      </c>
      <c r="G165">
        <v>4.1666666666666661</v>
      </c>
      <c r="H165">
        <v>3.4482758620689653</v>
      </c>
      <c r="I165">
        <v>3.7735849056603774</v>
      </c>
      <c r="J165">
        <v>6.666666666666667</v>
      </c>
      <c r="K165">
        <v>0</v>
      </c>
      <c r="L165">
        <v>0</v>
      </c>
      <c r="M165">
        <v>7.1428571428571423</v>
      </c>
      <c r="N165">
        <f t="shared" si="2"/>
        <v>4.2675822508749999</v>
      </c>
    </row>
    <row r="166" spans="1:14" x14ac:dyDescent="0.45">
      <c r="A166">
        <v>238</v>
      </c>
      <c r="B166">
        <v>0</v>
      </c>
      <c r="C166">
        <v>0</v>
      </c>
      <c r="D166">
        <v>22.222222222222221</v>
      </c>
      <c r="E166">
        <v>20</v>
      </c>
      <c r="F166">
        <v>0</v>
      </c>
      <c r="G166">
        <v>4.1666666666666661</v>
      </c>
      <c r="H166">
        <v>3.4482758620689653</v>
      </c>
      <c r="I166">
        <v>3.7735849056603774</v>
      </c>
      <c r="J166">
        <v>6.666666666666667</v>
      </c>
      <c r="K166">
        <v>0</v>
      </c>
      <c r="L166">
        <v>0</v>
      </c>
      <c r="M166">
        <v>7.1428571428571423</v>
      </c>
      <c r="N166">
        <f t="shared" si="2"/>
        <v>6.2444568492264754</v>
      </c>
    </row>
    <row r="167" spans="1:14" x14ac:dyDescent="0.45">
      <c r="A167">
        <v>239</v>
      </c>
      <c r="B167">
        <v>1</v>
      </c>
      <c r="C167">
        <v>0</v>
      </c>
      <c r="D167">
        <v>11.111111111111111</v>
      </c>
      <c r="E167">
        <v>20</v>
      </c>
      <c r="F167">
        <v>0</v>
      </c>
      <c r="G167">
        <v>0</v>
      </c>
      <c r="H167">
        <v>6.8965517241379306</v>
      </c>
      <c r="I167">
        <v>9.433962264150944</v>
      </c>
      <c r="J167">
        <v>6.666666666666667</v>
      </c>
      <c r="K167">
        <v>5.5555555555555554</v>
      </c>
      <c r="L167">
        <v>0</v>
      </c>
      <c r="M167">
        <v>17.857142857142858</v>
      </c>
      <c r="N167">
        <f t="shared" si="2"/>
        <v>6.9145423778566695</v>
      </c>
    </row>
    <row r="168" spans="1:14" x14ac:dyDescent="0.45">
      <c r="A168">
        <v>240</v>
      </c>
      <c r="B168">
        <v>1</v>
      </c>
      <c r="C168">
        <v>0</v>
      </c>
      <c r="D168">
        <v>0</v>
      </c>
      <c r="E168">
        <v>20</v>
      </c>
      <c r="F168">
        <v>0</v>
      </c>
      <c r="G168">
        <v>8.3333333333333321</v>
      </c>
      <c r="H168">
        <v>6.8965517241379306</v>
      </c>
      <c r="I168">
        <v>5.6603773584905666</v>
      </c>
      <c r="J168">
        <v>0</v>
      </c>
      <c r="K168">
        <v>0</v>
      </c>
      <c r="L168">
        <v>0</v>
      </c>
      <c r="M168">
        <v>10.714285714285714</v>
      </c>
      <c r="N168">
        <f t="shared" si="2"/>
        <v>4.1369182090865237</v>
      </c>
    </row>
    <row r="169" spans="1:14" x14ac:dyDescent="0.45">
      <c r="A169">
        <v>241</v>
      </c>
      <c r="B169">
        <v>0</v>
      </c>
      <c r="C169">
        <v>0</v>
      </c>
      <c r="D169">
        <v>11.111111111111111</v>
      </c>
      <c r="E169">
        <v>60</v>
      </c>
      <c r="F169">
        <v>33.333333333333329</v>
      </c>
      <c r="G169">
        <v>75</v>
      </c>
      <c r="H169">
        <v>58.620689655172406</v>
      </c>
      <c r="I169">
        <v>13.20754716981132</v>
      </c>
      <c r="J169">
        <v>0</v>
      </c>
      <c r="K169">
        <v>0</v>
      </c>
      <c r="L169">
        <v>0</v>
      </c>
      <c r="M169">
        <v>14.285714285714285</v>
      </c>
      <c r="N169">
        <f t="shared" si="2"/>
        <v>22.166598668985213</v>
      </c>
    </row>
    <row r="170" spans="1:14" x14ac:dyDescent="0.45">
      <c r="A170">
        <v>242</v>
      </c>
      <c r="B170">
        <v>0</v>
      </c>
      <c r="C170">
        <v>0</v>
      </c>
      <c r="D170">
        <v>11.111111111111111</v>
      </c>
      <c r="E170">
        <v>60</v>
      </c>
      <c r="F170">
        <v>33.333333333333329</v>
      </c>
      <c r="G170">
        <v>75</v>
      </c>
      <c r="H170">
        <v>58.620689655172406</v>
      </c>
      <c r="I170">
        <v>13.20754716981132</v>
      </c>
      <c r="J170">
        <v>0</v>
      </c>
      <c r="K170">
        <v>0</v>
      </c>
      <c r="L170">
        <v>0</v>
      </c>
      <c r="M170">
        <v>14.285714285714285</v>
      </c>
      <c r="N170">
        <f t="shared" si="2"/>
        <v>22.166598668985213</v>
      </c>
    </row>
    <row r="171" spans="1:14" x14ac:dyDescent="0.45">
      <c r="A171">
        <v>244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f t="shared" si="2"/>
        <v>0</v>
      </c>
    </row>
    <row r="172" spans="1:14" x14ac:dyDescent="0.45">
      <c r="A172">
        <v>245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17.857142857142858</v>
      </c>
      <c r="N172">
        <f t="shared" si="2"/>
        <v>1.5386807103882925</v>
      </c>
    </row>
    <row r="173" spans="1:14" x14ac:dyDescent="0.45">
      <c r="A173">
        <v>246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6.666666666666667</v>
      </c>
      <c r="K173">
        <v>5.5555555555555554</v>
      </c>
      <c r="L173">
        <v>0</v>
      </c>
      <c r="M173">
        <v>0</v>
      </c>
      <c r="N173">
        <f t="shared" si="2"/>
        <v>1.322091134168152</v>
      </c>
    </row>
    <row r="174" spans="1:14" x14ac:dyDescent="0.45">
      <c r="A174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7.1428571428571423</v>
      </c>
      <c r="N174">
        <f t="shared" si="2"/>
        <v>0.61547228415531696</v>
      </c>
    </row>
    <row r="175" spans="1:14" x14ac:dyDescent="0.45">
      <c r="A175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f t="shared" si="2"/>
        <v>0</v>
      </c>
    </row>
    <row r="176" spans="1:14" x14ac:dyDescent="0.45">
      <c r="A176">
        <v>250</v>
      </c>
      <c r="B176">
        <v>0</v>
      </c>
      <c r="C176">
        <v>1</v>
      </c>
      <c r="D176">
        <v>0</v>
      </c>
      <c r="E176">
        <v>10</v>
      </c>
      <c r="F176">
        <v>0</v>
      </c>
      <c r="G176">
        <v>0</v>
      </c>
      <c r="H176">
        <v>13.793103448275861</v>
      </c>
      <c r="I176">
        <v>30.188679245283019</v>
      </c>
      <c r="J176">
        <v>0</v>
      </c>
      <c r="K176">
        <v>22.222222222222221</v>
      </c>
      <c r="L176">
        <v>7.1428571428571423</v>
      </c>
      <c r="M176">
        <v>42.857142857142854</v>
      </c>
      <c r="N176">
        <f t="shared" si="2"/>
        <v>12.234632731635775</v>
      </c>
    </row>
    <row r="177" spans="1:14" x14ac:dyDescent="0.45">
      <c r="A177">
        <v>253</v>
      </c>
      <c r="B177">
        <v>0</v>
      </c>
      <c r="C177">
        <v>0</v>
      </c>
      <c r="D177">
        <v>11.111111111111111</v>
      </c>
      <c r="E177">
        <v>0</v>
      </c>
      <c r="F177">
        <v>33.333333333333329</v>
      </c>
      <c r="G177">
        <v>4.1666666666666661</v>
      </c>
      <c r="H177">
        <v>3.4482758620689653</v>
      </c>
      <c r="I177">
        <v>9.433962264150944</v>
      </c>
      <c r="J177">
        <v>13.333333333333334</v>
      </c>
      <c r="K177">
        <v>22.222222222222221</v>
      </c>
      <c r="L177">
        <v>0</v>
      </c>
      <c r="M177">
        <v>28.571428571428569</v>
      </c>
      <c r="N177">
        <f t="shared" si="2"/>
        <v>11.674432604040552</v>
      </c>
    </row>
    <row r="178" spans="1:14" x14ac:dyDescent="0.45">
      <c r="A178">
        <v>255</v>
      </c>
      <c r="B178">
        <v>0</v>
      </c>
      <c r="C178">
        <v>0</v>
      </c>
      <c r="D178">
        <v>22.222222222222221</v>
      </c>
      <c r="E178">
        <v>20</v>
      </c>
      <c r="F178">
        <v>66.666666666666657</v>
      </c>
      <c r="G178">
        <v>41.666666666666671</v>
      </c>
      <c r="H178">
        <v>41.379310344827587</v>
      </c>
      <c r="I178">
        <v>33.962264150943398</v>
      </c>
      <c r="J178">
        <v>20</v>
      </c>
      <c r="K178">
        <v>44.444444444444443</v>
      </c>
      <c r="L178">
        <v>0</v>
      </c>
      <c r="M178">
        <v>50</v>
      </c>
      <c r="N178">
        <f t="shared" si="2"/>
        <v>30.904061660670667</v>
      </c>
    </row>
    <row r="179" spans="1:14" x14ac:dyDescent="0.45">
      <c r="A179">
        <v>256</v>
      </c>
      <c r="B179">
        <v>0</v>
      </c>
      <c r="C179">
        <v>0</v>
      </c>
      <c r="D179">
        <v>22.222222222222221</v>
      </c>
      <c r="E179">
        <v>20</v>
      </c>
      <c r="F179">
        <v>66.666666666666657</v>
      </c>
      <c r="G179">
        <v>41.666666666666671</v>
      </c>
      <c r="H179">
        <v>41.379310344827587</v>
      </c>
      <c r="I179">
        <v>33.962264150943398</v>
      </c>
      <c r="J179">
        <v>20</v>
      </c>
      <c r="K179">
        <v>44.444444444444443</v>
      </c>
      <c r="L179">
        <v>0</v>
      </c>
      <c r="M179">
        <v>50</v>
      </c>
      <c r="N179">
        <f t="shared" si="2"/>
        <v>30.904061660670667</v>
      </c>
    </row>
    <row r="180" spans="1:14" x14ac:dyDescent="0.45">
      <c r="A180">
        <v>260</v>
      </c>
      <c r="B180">
        <v>0</v>
      </c>
      <c r="C180">
        <v>0</v>
      </c>
      <c r="D180">
        <v>0</v>
      </c>
      <c r="E180">
        <v>10</v>
      </c>
      <c r="F180">
        <v>0</v>
      </c>
      <c r="G180">
        <v>8.3333333333333321</v>
      </c>
      <c r="H180">
        <v>3.4482758620689653</v>
      </c>
      <c r="I180">
        <v>1.8867924528301887</v>
      </c>
      <c r="J180">
        <v>0</v>
      </c>
      <c r="K180">
        <v>11.111111111111111</v>
      </c>
      <c r="L180">
        <v>0</v>
      </c>
      <c r="M180">
        <v>25</v>
      </c>
      <c r="N180">
        <f t="shared" si="2"/>
        <v>5.48004208349065</v>
      </c>
    </row>
    <row r="181" spans="1:14" x14ac:dyDescent="0.45">
      <c r="A181">
        <v>261</v>
      </c>
      <c r="B181">
        <v>0</v>
      </c>
      <c r="C181">
        <v>0</v>
      </c>
      <c r="D181">
        <v>0</v>
      </c>
      <c r="E181">
        <v>10</v>
      </c>
      <c r="F181">
        <v>0</v>
      </c>
      <c r="G181">
        <v>8.3333333333333321</v>
      </c>
      <c r="H181">
        <v>3.4482758620689653</v>
      </c>
      <c r="I181">
        <v>1.8867924528301887</v>
      </c>
      <c r="J181">
        <v>0</v>
      </c>
      <c r="K181">
        <v>11.111111111111111</v>
      </c>
      <c r="L181">
        <v>0</v>
      </c>
      <c r="M181">
        <v>25</v>
      </c>
      <c r="N181">
        <f t="shared" si="2"/>
        <v>5.48004208349065</v>
      </c>
    </row>
    <row r="182" spans="1:14" x14ac:dyDescent="0.45">
      <c r="A182">
        <v>262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16.666666666666664</v>
      </c>
      <c r="H182">
        <v>27.586206896551722</v>
      </c>
      <c r="I182">
        <v>5.6603773584905666</v>
      </c>
      <c r="J182">
        <v>0</v>
      </c>
      <c r="K182">
        <v>0</v>
      </c>
      <c r="L182">
        <v>0</v>
      </c>
      <c r="M182">
        <v>25</v>
      </c>
      <c r="N182">
        <f t="shared" si="2"/>
        <v>6.5447966491212917</v>
      </c>
    </row>
    <row r="183" spans="1:14" x14ac:dyDescent="0.45">
      <c r="A183">
        <v>263</v>
      </c>
      <c r="B183">
        <v>0</v>
      </c>
      <c r="C183">
        <v>0</v>
      </c>
      <c r="D183">
        <v>0</v>
      </c>
      <c r="E183">
        <v>10</v>
      </c>
      <c r="F183">
        <v>0</v>
      </c>
      <c r="G183">
        <v>25</v>
      </c>
      <c r="H183">
        <v>24.137931034482758</v>
      </c>
      <c r="I183">
        <v>13.20754716981132</v>
      </c>
      <c r="J183">
        <v>13.333333333333334</v>
      </c>
      <c r="K183">
        <v>16.666666666666664</v>
      </c>
      <c r="L183">
        <v>0</v>
      </c>
      <c r="M183">
        <v>25</v>
      </c>
      <c r="N183">
        <f t="shared" si="2"/>
        <v>11.807532798819759</v>
      </c>
    </row>
    <row r="184" spans="1:14" x14ac:dyDescent="0.45">
      <c r="A184">
        <v>264</v>
      </c>
      <c r="B184">
        <v>0</v>
      </c>
      <c r="C184">
        <v>0</v>
      </c>
      <c r="D184">
        <v>11.111111111111111</v>
      </c>
      <c r="E184">
        <v>0</v>
      </c>
      <c r="F184">
        <v>0</v>
      </c>
      <c r="G184">
        <v>4.1666666666666661</v>
      </c>
      <c r="H184">
        <v>6.8965517241379306</v>
      </c>
      <c r="I184">
        <v>1.8867924528301887</v>
      </c>
      <c r="J184">
        <v>0</v>
      </c>
      <c r="K184">
        <v>0</v>
      </c>
      <c r="L184">
        <v>0</v>
      </c>
      <c r="M184">
        <v>21.428571428571427</v>
      </c>
      <c r="N184">
        <f t="shared" si="2"/>
        <v>4.3163677764801758</v>
      </c>
    </row>
    <row r="185" spans="1:14" x14ac:dyDescent="0.45">
      <c r="A185">
        <v>265</v>
      </c>
      <c r="B185">
        <v>0</v>
      </c>
      <c r="C185">
        <v>0</v>
      </c>
      <c r="D185">
        <v>11.111111111111111</v>
      </c>
      <c r="E185">
        <v>0</v>
      </c>
      <c r="F185">
        <v>0</v>
      </c>
      <c r="G185">
        <v>4.1666666666666661</v>
      </c>
      <c r="H185">
        <v>6.8965517241379306</v>
      </c>
      <c r="I185">
        <v>1.8867924528301887</v>
      </c>
      <c r="J185">
        <v>0</v>
      </c>
      <c r="K185">
        <v>0</v>
      </c>
      <c r="L185">
        <v>0</v>
      </c>
      <c r="M185">
        <v>21.428571428571427</v>
      </c>
      <c r="N185">
        <f t="shared" si="2"/>
        <v>4.3163677764801758</v>
      </c>
    </row>
    <row r="186" spans="1:14" x14ac:dyDescent="0.45">
      <c r="A186">
        <v>266</v>
      </c>
      <c r="B186">
        <v>0</v>
      </c>
      <c r="C186">
        <v>0</v>
      </c>
      <c r="D186">
        <v>0</v>
      </c>
      <c r="E186">
        <v>30</v>
      </c>
      <c r="F186">
        <v>33.333333333333329</v>
      </c>
      <c r="G186">
        <v>20.833333333333336</v>
      </c>
      <c r="H186">
        <v>20.689655172413794</v>
      </c>
      <c r="I186">
        <v>7.5471698113207548</v>
      </c>
      <c r="J186">
        <v>13.333333333333334</v>
      </c>
      <c r="K186">
        <v>0</v>
      </c>
      <c r="L186">
        <v>0</v>
      </c>
      <c r="M186">
        <v>7.1428571428571423</v>
      </c>
      <c r="N186">
        <f t="shared" si="2"/>
        <v>10.540107619600503</v>
      </c>
    </row>
    <row r="187" spans="1:14" x14ac:dyDescent="0.45">
      <c r="A187">
        <v>269</v>
      </c>
      <c r="B187">
        <v>0</v>
      </c>
      <c r="C187">
        <v>0</v>
      </c>
      <c r="D187">
        <v>11.111111111111111</v>
      </c>
      <c r="E187">
        <v>10</v>
      </c>
      <c r="F187">
        <v>0</v>
      </c>
      <c r="G187">
        <v>0</v>
      </c>
      <c r="H187">
        <v>0</v>
      </c>
      <c r="I187">
        <v>1.8867924528301887</v>
      </c>
      <c r="J187">
        <v>6.666666666666667</v>
      </c>
      <c r="K187">
        <v>0</v>
      </c>
      <c r="L187">
        <v>0</v>
      </c>
      <c r="M187">
        <v>10.714285714285714</v>
      </c>
      <c r="N187">
        <f t="shared" si="2"/>
        <v>3.7056201715663595</v>
      </c>
    </row>
    <row r="188" spans="1:14" x14ac:dyDescent="0.45">
      <c r="A188">
        <v>271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f t="shared" si="2"/>
        <v>0</v>
      </c>
    </row>
    <row r="189" spans="1:14" x14ac:dyDescent="0.45">
      <c r="A189">
        <v>273</v>
      </c>
      <c r="B189">
        <v>0</v>
      </c>
      <c r="C189">
        <v>1</v>
      </c>
      <c r="D189">
        <v>0</v>
      </c>
      <c r="E189">
        <v>10</v>
      </c>
      <c r="F189">
        <v>33.333333333333329</v>
      </c>
      <c r="G189">
        <v>20.833333333333336</v>
      </c>
      <c r="H189">
        <v>17.241379310344829</v>
      </c>
      <c r="I189">
        <v>11.320754716981133</v>
      </c>
      <c r="J189">
        <v>0</v>
      </c>
      <c r="K189">
        <v>5.5555555555555554</v>
      </c>
      <c r="L189">
        <v>7.1428571428571423</v>
      </c>
      <c r="M189">
        <v>7.1428571428571423</v>
      </c>
      <c r="N189">
        <f t="shared" si="2"/>
        <v>9.9626359722133042</v>
      </c>
    </row>
    <row r="190" spans="1:14" x14ac:dyDescent="0.45">
      <c r="A190">
        <v>274</v>
      </c>
      <c r="B190">
        <v>0</v>
      </c>
      <c r="C190">
        <v>0</v>
      </c>
      <c r="D190">
        <v>0</v>
      </c>
      <c r="E190">
        <v>10</v>
      </c>
      <c r="F190">
        <v>33.333333333333329</v>
      </c>
      <c r="G190">
        <v>20.833333333333336</v>
      </c>
      <c r="H190">
        <v>10.344827586206897</v>
      </c>
      <c r="I190">
        <v>3.7735849056603774</v>
      </c>
      <c r="J190">
        <v>0</v>
      </c>
      <c r="K190">
        <v>0</v>
      </c>
      <c r="L190">
        <v>0</v>
      </c>
      <c r="M190">
        <v>3.5714285714285712</v>
      </c>
      <c r="N190">
        <f t="shared" si="2"/>
        <v>6.5072864607233143</v>
      </c>
    </row>
    <row r="191" spans="1:14" x14ac:dyDescent="0.45">
      <c r="A191">
        <v>275</v>
      </c>
      <c r="B191">
        <v>0</v>
      </c>
      <c r="C191">
        <v>0</v>
      </c>
      <c r="D191">
        <v>11.111111111111111</v>
      </c>
      <c r="E191">
        <v>0</v>
      </c>
      <c r="F191">
        <v>0</v>
      </c>
      <c r="G191">
        <v>0</v>
      </c>
      <c r="H191">
        <v>6.8965517241379306</v>
      </c>
      <c r="I191">
        <v>18.867924528301888</v>
      </c>
      <c r="J191">
        <v>6.666666666666667</v>
      </c>
      <c r="K191">
        <v>22.222222222222221</v>
      </c>
      <c r="L191">
        <v>7.1428571428571423</v>
      </c>
      <c r="M191">
        <v>17.857142857142858</v>
      </c>
      <c r="N191">
        <f t="shared" si="2"/>
        <v>9.7836947133187167</v>
      </c>
    </row>
    <row r="192" spans="1:14" x14ac:dyDescent="0.45">
      <c r="A192">
        <v>276</v>
      </c>
      <c r="B192">
        <v>0</v>
      </c>
      <c r="C192">
        <v>0</v>
      </c>
      <c r="D192">
        <v>22.222222222222221</v>
      </c>
      <c r="E192">
        <v>30</v>
      </c>
      <c r="F192">
        <v>100</v>
      </c>
      <c r="G192">
        <v>29.166666666666668</v>
      </c>
      <c r="H192">
        <v>13.793103448275861</v>
      </c>
      <c r="I192">
        <v>11.320754716981133</v>
      </c>
      <c r="J192">
        <v>13.333333333333334</v>
      </c>
      <c r="K192">
        <v>0</v>
      </c>
      <c r="L192">
        <v>0</v>
      </c>
      <c r="M192">
        <v>42.857142857142854</v>
      </c>
      <c r="N192">
        <f t="shared" si="2"/>
        <v>21.478208631746313</v>
      </c>
    </row>
    <row r="193" spans="1:14" x14ac:dyDescent="0.45">
      <c r="A193">
        <v>277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10.344827586206897</v>
      </c>
      <c r="I193">
        <v>16.981132075471699</v>
      </c>
      <c r="J193">
        <v>0</v>
      </c>
      <c r="K193">
        <v>11.111111111111111</v>
      </c>
      <c r="L193">
        <v>0</v>
      </c>
      <c r="M193">
        <v>17.857142857142858</v>
      </c>
      <c r="N193">
        <f t="shared" si="2"/>
        <v>5.3326393804564178</v>
      </c>
    </row>
    <row r="194" spans="1:14" x14ac:dyDescent="0.45">
      <c r="A194">
        <v>278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8.3333333333333321</v>
      </c>
      <c r="H194">
        <v>13.793103448275861</v>
      </c>
      <c r="I194">
        <v>15.09433962264151</v>
      </c>
      <c r="J194">
        <v>0</v>
      </c>
      <c r="K194">
        <v>5.5555555555555554</v>
      </c>
      <c r="L194">
        <v>0</v>
      </c>
      <c r="M194">
        <v>21.428571428571427</v>
      </c>
      <c r="N194">
        <f t="shared" si="2"/>
        <v>5.8840134875290824</v>
      </c>
    </row>
    <row r="195" spans="1:14" x14ac:dyDescent="0.45">
      <c r="A195">
        <v>279</v>
      </c>
      <c r="B195">
        <v>0</v>
      </c>
      <c r="C195">
        <v>0</v>
      </c>
      <c r="D195">
        <v>0</v>
      </c>
      <c r="E195">
        <v>30</v>
      </c>
      <c r="F195">
        <v>66.666666666666657</v>
      </c>
      <c r="G195">
        <v>16.666666666666664</v>
      </c>
      <c r="H195">
        <v>17.241379310344829</v>
      </c>
      <c r="I195">
        <v>35.849056603773583</v>
      </c>
      <c r="J195">
        <v>6.666666666666667</v>
      </c>
      <c r="K195">
        <v>33.333333333333329</v>
      </c>
      <c r="L195">
        <v>14.285714285714285</v>
      </c>
      <c r="M195">
        <v>57.142857142857139</v>
      </c>
      <c r="N195">
        <f t="shared" si="2"/>
        <v>25.020802502301095</v>
      </c>
    </row>
    <row r="196" spans="1:14" x14ac:dyDescent="0.45">
      <c r="A196">
        <v>280</v>
      </c>
      <c r="B196">
        <v>0</v>
      </c>
      <c r="C196">
        <v>0</v>
      </c>
      <c r="D196">
        <v>0</v>
      </c>
      <c r="E196">
        <v>30</v>
      </c>
      <c r="F196">
        <v>66.666666666666657</v>
      </c>
      <c r="G196">
        <v>16.666666666666664</v>
      </c>
      <c r="H196">
        <v>17.241379310344829</v>
      </c>
      <c r="I196">
        <v>35.849056603773583</v>
      </c>
      <c r="J196">
        <v>6.666666666666667</v>
      </c>
      <c r="K196">
        <v>33.333333333333329</v>
      </c>
      <c r="L196">
        <v>14.285714285714285</v>
      </c>
      <c r="M196">
        <v>57.142857142857139</v>
      </c>
      <c r="N196">
        <f t="shared" si="2"/>
        <v>25.020802502301095</v>
      </c>
    </row>
    <row r="197" spans="1:14" x14ac:dyDescent="0.45">
      <c r="A197">
        <v>281</v>
      </c>
      <c r="B197">
        <v>0</v>
      </c>
      <c r="C197">
        <v>0</v>
      </c>
      <c r="D197">
        <v>0</v>
      </c>
      <c r="E197">
        <v>30</v>
      </c>
      <c r="F197">
        <v>66.666666666666657</v>
      </c>
      <c r="G197">
        <v>16.666666666666664</v>
      </c>
      <c r="H197">
        <v>17.241379310344829</v>
      </c>
      <c r="I197">
        <v>35.849056603773583</v>
      </c>
      <c r="J197">
        <v>6.666666666666667</v>
      </c>
      <c r="K197">
        <v>33.333333333333329</v>
      </c>
      <c r="L197">
        <v>14.285714285714285</v>
      </c>
      <c r="M197">
        <v>57.142857142857139</v>
      </c>
      <c r="N197">
        <f t="shared" ref="N197:N260" si="3">D197*D$1+E197*E$1+F197*F$1+G197*G$1+H197*H$1+I197*I$1+J197*J$1+K197*K$1+L197*L$1+M197*M$1</f>
        <v>25.020802502301095</v>
      </c>
    </row>
    <row r="198" spans="1:14" x14ac:dyDescent="0.45">
      <c r="A198">
        <v>282</v>
      </c>
      <c r="B198">
        <v>0</v>
      </c>
      <c r="C198">
        <v>0</v>
      </c>
      <c r="D198">
        <v>0</v>
      </c>
      <c r="E198">
        <v>30</v>
      </c>
      <c r="F198">
        <v>66.666666666666657</v>
      </c>
      <c r="G198">
        <v>12.5</v>
      </c>
      <c r="H198">
        <v>13.793103448275861</v>
      </c>
      <c r="I198">
        <v>28.30188679245283</v>
      </c>
      <c r="J198">
        <v>0</v>
      </c>
      <c r="K198">
        <v>33.333333333333329</v>
      </c>
      <c r="L198">
        <v>14.285714285714285</v>
      </c>
      <c r="M198">
        <v>46.428571428571431</v>
      </c>
      <c r="N198">
        <f t="shared" si="3"/>
        <v>22.068833155543096</v>
      </c>
    </row>
    <row r="199" spans="1:14" x14ac:dyDescent="0.45">
      <c r="A199">
        <v>283</v>
      </c>
      <c r="B199">
        <v>0</v>
      </c>
      <c r="C199">
        <v>0</v>
      </c>
      <c r="D199">
        <v>0</v>
      </c>
      <c r="E199">
        <v>30</v>
      </c>
      <c r="F199">
        <v>66.666666666666657</v>
      </c>
      <c r="G199">
        <v>8.3333333333333321</v>
      </c>
      <c r="H199">
        <v>13.793103448275861</v>
      </c>
      <c r="I199">
        <v>28.30188679245283</v>
      </c>
      <c r="J199">
        <v>0</v>
      </c>
      <c r="K199">
        <v>16.666666666666664</v>
      </c>
      <c r="L199">
        <v>7.1428571428571423</v>
      </c>
      <c r="M199">
        <v>50</v>
      </c>
      <c r="N199">
        <f t="shared" si="3"/>
        <v>18.672898219518029</v>
      </c>
    </row>
    <row r="200" spans="1:14" x14ac:dyDescent="0.45">
      <c r="A200">
        <v>284</v>
      </c>
      <c r="B200">
        <v>0</v>
      </c>
      <c r="C200">
        <v>0</v>
      </c>
      <c r="D200">
        <v>0</v>
      </c>
      <c r="E200">
        <v>30</v>
      </c>
      <c r="F200">
        <v>66.666666666666657</v>
      </c>
      <c r="G200">
        <v>12.5</v>
      </c>
      <c r="H200">
        <v>13.793103448275861</v>
      </c>
      <c r="I200">
        <v>28.30188679245283</v>
      </c>
      <c r="J200">
        <v>0</v>
      </c>
      <c r="K200">
        <v>33.333333333333329</v>
      </c>
      <c r="L200">
        <v>14.285714285714285</v>
      </c>
      <c r="M200">
        <v>46.428571428571431</v>
      </c>
      <c r="N200">
        <f t="shared" si="3"/>
        <v>22.068833155543096</v>
      </c>
    </row>
    <row r="201" spans="1:14" x14ac:dyDescent="0.45">
      <c r="A201">
        <v>285</v>
      </c>
      <c r="B201">
        <v>0</v>
      </c>
      <c r="C201">
        <v>0</v>
      </c>
      <c r="D201">
        <v>0</v>
      </c>
      <c r="E201">
        <v>30</v>
      </c>
      <c r="F201">
        <v>66.666666666666657</v>
      </c>
      <c r="G201">
        <v>12.5</v>
      </c>
      <c r="H201">
        <v>13.793103448275861</v>
      </c>
      <c r="I201">
        <v>28.30188679245283</v>
      </c>
      <c r="J201">
        <v>0</v>
      </c>
      <c r="K201">
        <v>33.333333333333329</v>
      </c>
      <c r="L201">
        <v>14.285714285714285</v>
      </c>
      <c r="M201">
        <v>46.428571428571431</v>
      </c>
      <c r="N201">
        <f t="shared" si="3"/>
        <v>22.068833155543096</v>
      </c>
    </row>
    <row r="202" spans="1:14" x14ac:dyDescent="0.45">
      <c r="A202">
        <v>286</v>
      </c>
      <c r="B202">
        <v>0</v>
      </c>
      <c r="C202">
        <v>0</v>
      </c>
      <c r="D202">
        <v>0</v>
      </c>
      <c r="E202">
        <v>30</v>
      </c>
      <c r="F202">
        <v>66.666666666666657</v>
      </c>
      <c r="G202">
        <v>8.3333333333333321</v>
      </c>
      <c r="H202">
        <v>13.793103448275861</v>
      </c>
      <c r="I202">
        <v>28.30188679245283</v>
      </c>
      <c r="J202">
        <v>0</v>
      </c>
      <c r="K202">
        <v>16.666666666666664</v>
      </c>
      <c r="L202">
        <v>7.1428571428571423</v>
      </c>
      <c r="M202">
        <v>50</v>
      </c>
      <c r="N202">
        <f t="shared" si="3"/>
        <v>18.672898219518029</v>
      </c>
    </row>
    <row r="203" spans="1:14" x14ac:dyDescent="0.45">
      <c r="A203">
        <v>287</v>
      </c>
      <c r="B203">
        <v>0</v>
      </c>
      <c r="C203">
        <v>0</v>
      </c>
      <c r="D203">
        <v>0</v>
      </c>
      <c r="E203">
        <v>30</v>
      </c>
      <c r="F203">
        <v>66.666666666666657</v>
      </c>
      <c r="G203">
        <v>8.3333333333333321</v>
      </c>
      <c r="H203">
        <v>13.793103448275861</v>
      </c>
      <c r="I203">
        <v>28.30188679245283</v>
      </c>
      <c r="J203">
        <v>0</v>
      </c>
      <c r="K203">
        <v>16.666666666666664</v>
      </c>
      <c r="L203">
        <v>7.1428571428571423</v>
      </c>
      <c r="M203">
        <v>50</v>
      </c>
      <c r="N203">
        <f t="shared" si="3"/>
        <v>18.672898219518029</v>
      </c>
    </row>
    <row r="204" spans="1:14" x14ac:dyDescent="0.45">
      <c r="A204">
        <v>288</v>
      </c>
      <c r="B204">
        <v>0</v>
      </c>
      <c r="C204">
        <v>0</v>
      </c>
      <c r="D204">
        <v>0</v>
      </c>
      <c r="E204">
        <v>30</v>
      </c>
      <c r="F204">
        <v>66.666666666666657</v>
      </c>
      <c r="G204">
        <v>8.3333333333333321</v>
      </c>
      <c r="H204">
        <v>13.793103448275861</v>
      </c>
      <c r="I204">
        <v>28.30188679245283</v>
      </c>
      <c r="J204">
        <v>0</v>
      </c>
      <c r="K204">
        <v>16.666666666666664</v>
      </c>
      <c r="L204">
        <v>7.1428571428571423</v>
      </c>
      <c r="M204">
        <v>50</v>
      </c>
      <c r="N204">
        <f t="shared" si="3"/>
        <v>18.672898219518029</v>
      </c>
    </row>
    <row r="205" spans="1:14" x14ac:dyDescent="0.45">
      <c r="A205">
        <v>289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4.1666666666666661</v>
      </c>
      <c r="H205">
        <v>3.4482758620689653</v>
      </c>
      <c r="I205">
        <v>9.433962264150944</v>
      </c>
      <c r="J205">
        <v>0</v>
      </c>
      <c r="K205">
        <v>11.111111111111111</v>
      </c>
      <c r="L205">
        <v>0</v>
      </c>
      <c r="M205">
        <v>25</v>
      </c>
      <c r="N205">
        <f t="shared" si="3"/>
        <v>5.1175358467728334</v>
      </c>
    </row>
    <row r="206" spans="1:14" x14ac:dyDescent="0.45">
      <c r="A206">
        <v>290</v>
      </c>
      <c r="B206">
        <v>0</v>
      </c>
      <c r="C206">
        <v>0</v>
      </c>
      <c r="D206">
        <v>0</v>
      </c>
      <c r="E206">
        <v>30</v>
      </c>
      <c r="F206">
        <v>66.666666666666657</v>
      </c>
      <c r="G206">
        <v>8.3333333333333321</v>
      </c>
      <c r="H206">
        <v>13.793103448275861</v>
      </c>
      <c r="I206">
        <v>28.30188679245283</v>
      </c>
      <c r="J206">
        <v>0</v>
      </c>
      <c r="K206">
        <v>16.666666666666664</v>
      </c>
      <c r="L206">
        <v>7.1428571428571423</v>
      </c>
      <c r="M206">
        <v>50</v>
      </c>
      <c r="N206">
        <f t="shared" si="3"/>
        <v>18.672898219518029</v>
      </c>
    </row>
    <row r="207" spans="1:14" x14ac:dyDescent="0.45">
      <c r="A207">
        <v>291</v>
      </c>
      <c r="B207">
        <v>0</v>
      </c>
      <c r="C207">
        <v>0</v>
      </c>
      <c r="D207">
        <v>0</v>
      </c>
      <c r="E207">
        <v>20</v>
      </c>
      <c r="F207">
        <v>66.666666666666657</v>
      </c>
      <c r="G207">
        <v>4.1666666666666661</v>
      </c>
      <c r="H207">
        <v>3.4482758620689653</v>
      </c>
      <c r="I207">
        <v>11.320754716981133</v>
      </c>
      <c r="J207">
        <v>0</v>
      </c>
      <c r="K207">
        <v>5.5555555555555554</v>
      </c>
      <c r="L207">
        <v>7.1428571428571423</v>
      </c>
      <c r="M207">
        <v>32.142857142857146</v>
      </c>
      <c r="N207">
        <f t="shared" si="3"/>
        <v>12.270701498030167</v>
      </c>
    </row>
    <row r="208" spans="1:14" x14ac:dyDescent="0.45">
      <c r="A208">
        <v>292</v>
      </c>
      <c r="B208">
        <v>0</v>
      </c>
      <c r="C208">
        <v>0</v>
      </c>
      <c r="D208">
        <v>0</v>
      </c>
      <c r="E208">
        <v>20</v>
      </c>
      <c r="F208">
        <v>66.666666666666657</v>
      </c>
      <c r="G208">
        <v>4.1666666666666661</v>
      </c>
      <c r="H208">
        <v>3.4482758620689653</v>
      </c>
      <c r="I208">
        <v>11.320754716981133</v>
      </c>
      <c r="J208">
        <v>0</v>
      </c>
      <c r="K208">
        <v>5.5555555555555554</v>
      </c>
      <c r="L208">
        <v>7.1428571428571423</v>
      </c>
      <c r="M208">
        <v>32.142857142857146</v>
      </c>
      <c r="N208">
        <f t="shared" si="3"/>
        <v>12.270701498030167</v>
      </c>
    </row>
    <row r="209" spans="1:14" x14ac:dyDescent="0.45">
      <c r="A209">
        <v>293</v>
      </c>
      <c r="B209">
        <v>0</v>
      </c>
      <c r="C209">
        <v>0</v>
      </c>
      <c r="D209">
        <v>0</v>
      </c>
      <c r="E209">
        <v>30</v>
      </c>
      <c r="F209">
        <v>66.666666666666657</v>
      </c>
      <c r="G209">
        <v>12.5</v>
      </c>
      <c r="H209">
        <v>3.4482758620689653</v>
      </c>
      <c r="I209">
        <v>15.09433962264151</v>
      </c>
      <c r="J209">
        <v>0</v>
      </c>
      <c r="K209">
        <v>5.5555555555555554</v>
      </c>
      <c r="L209">
        <v>7.1428571428571423</v>
      </c>
      <c r="M209">
        <v>35.714285714285715</v>
      </c>
      <c r="N209">
        <f t="shared" si="3"/>
        <v>14.42230259232625</v>
      </c>
    </row>
    <row r="210" spans="1:14" x14ac:dyDescent="0.45">
      <c r="A210">
        <v>294</v>
      </c>
      <c r="B210">
        <v>0</v>
      </c>
      <c r="C210">
        <v>0</v>
      </c>
      <c r="D210">
        <v>0</v>
      </c>
      <c r="E210">
        <v>30</v>
      </c>
      <c r="F210">
        <v>66.666666666666657</v>
      </c>
      <c r="G210">
        <v>12.5</v>
      </c>
      <c r="H210">
        <v>3.4482758620689653</v>
      </c>
      <c r="I210">
        <v>15.09433962264151</v>
      </c>
      <c r="J210">
        <v>0</v>
      </c>
      <c r="K210">
        <v>5.5555555555555554</v>
      </c>
      <c r="L210">
        <v>7.1428571428571423</v>
      </c>
      <c r="M210">
        <v>35.714285714285715</v>
      </c>
      <c r="N210">
        <f t="shared" si="3"/>
        <v>14.42230259232625</v>
      </c>
    </row>
    <row r="211" spans="1:14" x14ac:dyDescent="0.45">
      <c r="A211">
        <v>295</v>
      </c>
      <c r="B211">
        <v>0</v>
      </c>
      <c r="C211">
        <v>0</v>
      </c>
      <c r="D211">
        <v>0</v>
      </c>
      <c r="E211">
        <v>20</v>
      </c>
      <c r="F211">
        <v>66.666666666666657</v>
      </c>
      <c r="G211">
        <v>4.1666666666666661</v>
      </c>
      <c r="H211">
        <v>3.4482758620689653</v>
      </c>
      <c r="I211">
        <v>11.320754716981133</v>
      </c>
      <c r="J211">
        <v>0</v>
      </c>
      <c r="K211">
        <v>5.5555555555555554</v>
      </c>
      <c r="L211">
        <v>7.1428571428571423</v>
      </c>
      <c r="M211">
        <v>32.142857142857146</v>
      </c>
      <c r="N211">
        <f t="shared" si="3"/>
        <v>12.270701498030167</v>
      </c>
    </row>
    <row r="212" spans="1:14" x14ac:dyDescent="0.45">
      <c r="A212">
        <v>297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1.8867924528301887</v>
      </c>
      <c r="J212">
        <v>0</v>
      </c>
      <c r="K212">
        <v>16.666666666666664</v>
      </c>
      <c r="L212">
        <v>0</v>
      </c>
      <c r="M212">
        <v>7.1428571428571423</v>
      </c>
      <c r="N212">
        <f t="shared" si="3"/>
        <v>2.8721853500276717</v>
      </c>
    </row>
    <row r="213" spans="1:14" x14ac:dyDescent="0.45">
      <c r="A213">
        <v>298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1.8867924528301887</v>
      </c>
      <c r="J213">
        <v>0</v>
      </c>
      <c r="K213">
        <v>16.666666666666664</v>
      </c>
      <c r="L213">
        <v>0</v>
      </c>
      <c r="M213">
        <v>7.1428571428571423</v>
      </c>
      <c r="N213">
        <f t="shared" si="3"/>
        <v>2.8721853500276717</v>
      </c>
    </row>
    <row r="214" spans="1:14" x14ac:dyDescent="0.45">
      <c r="A214">
        <v>299</v>
      </c>
      <c r="B214">
        <v>0</v>
      </c>
      <c r="C214">
        <v>0</v>
      </c>
      <c r="D214">
        <v>22.222222222222221</v>
      </c>
      <c r="E214">
        <v>20</v>
      </c>
      <c r="F214">
        <v>0</v>
      </c>
      <c r="G214">
        <v>4.1666666666666661</v>
      </c>
      <c r="H214">
        <v>6.8965517241379306</v>
      </c>
      <c r="I214">
        <v>1.8867924528301887</v>
      </c>
      <c r="J214">
        <v>0</v>
      </c>
      <c r="K214">
        <v>5.5555555555555554</v>
      </c>
      <c r="L214">
        <v>0</v>
      </c>
      <c r="M214">
        <v>50</v>
      </c>
      <c r="N214">
        <f t="shared" si="3"/>
        <v>10.097223556718841</v>
      </c>
    </row>
    <row r="215" spans="1:14" x14ac:dyDescent="0.45">
      <c r="A215">
        <v>300</v>
      </c>
      <c r="B215">
        <v>0</v>
      </c>
      <c r="C215">
        <v>0</v>
      </c>
      <c r="D215">
        <v>22.222222222222221</v>
      </c>
      <c r="E215">
        <v>30</v>
      </c>
      <c r="F215">
        <v>0</v>
      </c>
      <c r="G215">
        <v>4.1666666666666661</v>
      </c>
      <c r="H215">
        <v>10.344827586206897</v>
      </c>
      <c r="I215">
        <v>3.7735849056603774</v>
      </c>
      <c r="J215">
        <v>0</v>
      </c>
      <c r="K215">
        <v>50</v>
      </c>
      <c r="L215">
        <v>0</v>
      </c>
      <c r="M215">
        <v>39.285714285714285</v>
      </c>
      <c r="N215">
        <f t="shared" si="3"/>
        <v>15.818240680960463</v>
      </c>
    </row>
    <row r="216" spans="1:14" x14ac:dyDescent="0.45">
      <c r="A216">
        <v>301</v>
      </c>
      <c r="B216">
        <v>0</v>
      </c>
      <c r="C216">
        <v>0</v>
      </c>
      <c r="D216">
        <v>11.111111111111111</v>
      </c>
      <c r="E216">
        <v>20</v>
      </c>
      <c r="F216">
        <v>33.333333333333329</v>
      </c>
      <c r="G216">
        <v>12.5</v>
      </c>
      <c r="H216">
        <v>3.4482758620689653</v>
      </c>
      <c r="I216">
        <v>20.754716981132077</v>
      </c>
      <c r="J216">
        <v>0</v>
      </c>
      <c r="K216">
        <v>16.666666666666664</v>
      </c>
      <c r="L216">
        <v>0</v>
      </c>
      <c r="M216">
        <v>53.571428571428569</v>
      </c>
      <c r="N216">
        <f t="shared" si="3"/>
        <v>15.077411432045828</v>
      </c>
    </row>
    <row r="217" spans="1:14" x14ac:dyDescent="0.45">
      <c r="A217">
        <v>302</v>
      </c>
      <c r="B217">
        <v>0</v>
      </c>
      <c r="C217">
        <v>0</v>
      </c>
      <c r="D217">
        <v>33.333333333333329</v>
      </c>
      <c r="E217">
        <v>40</v>
      </c>
      <c r="F217">
        <v>0</v>
      </c>
      <c r="G217">
        <v>25</v>
      </c>
      <c r="H217">
        <v>31.03448275862069</v>
      </c>
      <c r="I217">
        <v>13.20754716981132</v>
      </c>
      <c r="J217">
        <v>0</v>
      </c>
      <c r="K217">
        <v>66.666666666666657</v>
      </c>
      <c r="L217">
        <v>0</v>
      </c>
      <c r="M217">
        <v>50</v>
      </c>
      <c r="N217">
        <f t="shared" si="3"/>
        <v>25.41891848854808</v>
      </c>
    </row>
    <row r="218" spans="1:14" x14ac:dyDescent="0.45">
      <c r="A218">
        <v>303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5.6603773584905666</v>
      </c>
      <c r="J218">
        <v>0</v>
      </c>
      <c r="K218">
        <v>27.777777777777779</v>
      </c>
      <c r="L218">
        <v>0</v>
      </c>
      <c r="M218">
        <v>35.714285714285715</v>
      </c>
      <c r="N218">
        <f t="shared" si="3"/>
        <v>7.0742335653350512</v>
      </c>
    </row>
    <row r="219" spans="1:14" x14ac:dyDescent="0.45">
      <c r="A219">
        <v>304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8.3333333333333321</v>
      </c>
      <c r="H219">
        <v>0</v>
      </c>
      <c r="I219">
        <v>11.320754716981133</v>
      </c>
      <c r="J219">
        <v>0</v>
      </c>
      <c r="K219">
        <v>16.666666666666664</v>
      </c>
      <c r="L219">
        <v>0</v>
      </c>
      <c r="M219">
        <v>32.142857142857146</v>
      </c>
      <c r="N219">
        <f t="shared" si="3"/>
        <v>6.7517163430236522</v>
      </c>
    </row>
    <row r="220" spans="1:14" x14ac:dyDescent="0.45">
      <c r="A220">
        <v>305</v>
      </c>
      <c r="B220">
        <v>0</v>
      </c>
      <c r="C220">
        <v>1</v>
      </c>
      <c r="D220">
        <v>0</v>
      </c>
      <c r="E220">
        <v>0</v>
      </c>
      <c r="F220">
        <v>33.333333333333329</v>
      </c>
      <c r="G220">
        <v>4.1666666666666661</v>
      </c>
      <c r="H220">
        <v>6.8965517241379306</v>
      </c>
      <c r="I220">
        <v>9.433962264150944</v>
      </c>
      <c r="J220">
        <v>0</v>
      </c>
      <c r="K220">
        <v>27.777777777777779</v>
      </c>
      <c r="L220">
        <v>14.285714285714285</v>
      </c>
      <c r="M220">
        <v>42.857142857142854</v>
      </c>
      <c r="N220">
        <f t="shared" si="3"/>
        <v>13.69107672229357</v>
      </c>
    </row>
    <row r="221" spans="1:14" x14ac:dyDescent="0.45">
      <c r="A221">
        <v>306</v>
      </c>
      <c r="B221">
        <v>0</v>
      </c>
      <c r="C221">
        <v>0</v>
      </c>
      <c r="D221">
        <v>0</v>
      </c>
      <c r="E221">
        <v>10</v>
      </c>
      <c r="F221">
        <v>0</v>
      </c>
      <c r="G221">
        <v>29.166666666666668</v>
      </c>
      <c r="H221">
        <v>24.137931034482758</v>
      </c>
      <c r="I221">
        <v>32.075471698113205</v>
      </c>
      <c r="J221">
        <v>0</v>
      </c>
      <c r="K221">
        <v>44.444444444444443</v>
      </c>
      <c r="L221">
        <v>0</v>
      </c>
      <c r="M221">
        <v>53.571428571428569</v>
      </c>
      <c r="N221">
        <f t="shared" si="3"/>
        <v>18.666866829771504</v>
      </c>
    </row>
    <row r="222" spans="1:14" x14ac:dyDescent="0.45">
      <c r="A222">
        <v>307</v>
      </c>
      <c r="B222">
        <v>0</v>
      </c>
      <c r="C222">
        <v>0</v>
      </c>
      <c r="D222">
        <v>0</v>
      </c>
      <c r="E222">
        <v>10</v>
      </c>
      <c r="F222">
        <v>0</v>
      </c>
      <c r="G222">
        <v>29.166666666666668</v>
      </c>
      <c r="H222">
        <v>24.137931034482758</v>
      </c>
      <c r="I222">
        <v>32.075471698113205</v>
      </c>
      <c r="J222">
        <v>0</v>
      </c>
      <c r="K222">
        <v>44.444444444444443</v>
      </c>
      <c r="L222">
        <v>0</v>
      </c>
      <c r="M222">
        <v>53.571428571428569</v>
      </c>
      <c r="N222">
        <f t="shared" si="3"/>
        <v>18.666866829771504</v>
      </c>
    </row>
    <row r="223" spans="1:14" x14ac:dyDescent="0.45">
      <c r="A223">
        <v>308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1.8867924528301887</v>
      </c>
      <c r="J223">
        <v>0</v>
      </c>
      <c r="K223">
        <v>11.111111111111111</v>
      </c>
      <c r="L223">
        <v>0</v>
      </c>
      <c r="M223">
        <v>14.285714285714285</v>
      </c>
      <c r="N223">
        <f t="shared" si="3"/>
        <v>2.7943408709183393</v>
      </c>
    </row>
    <row r="224" spans="1:14" x14ac:dyDescent="0.45">
      <c r="A224">
        <v>309</v>
      </c>
      <c r="B224">
        <v>0</v>
      </c>
      <c r="C224">
        <v>1</v>
      </c>
      <c r="D224">
        <v>22.222222222222221</v>
      </c>
      <c r="E224">
        <v>20</v>
      </c>
      <c r="F224">
        <v>0</v>
      </c>
      <c r="G224">
        <v>16.666666666666664</v>
      </c>
      <c r="H224">
        <v>17.241379310344829</v>
      </c>
      <c r="I224">
        <v>11.320754716981133</v>
      </c>
      <c r="J224">
        <v>0</v>
      </c>
      <c r="K224">
        <v>5.5555555555555554</v>
      </c>
      <c r="L224">
        <v>0</v>
      </c>
      <c r="M224">
        <v>71.428571428571431</v>
      </c>
      <c r="N224">
        <f t="shared" si="3"/>
        <v>14.906260625500503</v>
      </c>
    </row>
    <row r="225" spans="1:14" x14ac:dyDescent="0.45">
      <c r="A225">
        <v>311</v>
      </c>
      <c r="B225">
        <v>0</v>
      </c>
      <c r="C225">
        <v>1</v>
      </c>
      <c r="D225">
        <v>11.111111111111111</v>
      </c>
      <c r="E225">
        <v>0</v>
      </c>
      <c r="F225">
        <v>0</v>
      </c>
      <c r="G225">
        <v>16.666666666666664</v>
      </c>
      <c r="H225">
        <v>17.241379310344829</v>
      </c>
      <c r="I225">
        <v>37.735849056603776</v>
      </c>
      <c r="J225">
        <v>0</v>
      </c>
      <c r="K225">
        <v>5.5555555555555554</v>
      </c>
      <c r="L225">
        <v>7.1428571428571423</v>
      </c>
      <c r="M225">
        <v>28.571428571428569</v>
      </c>
      <c r="N225">
        <f t="shared" si="3"/>
        <v>12.265394634592154</v>
      </c>
    </row>
    <row r="226" spans="1:14" x14ac:dyDescent="0.45">
      <c r="A226">
        <v>313</v>
      </c>
      <c r="B226">
        <v>0</v>
      </c>
      <c r="C226">
        <v>0</v>
      </c>
      <c r="D226">
        <v>11.111111111111111</v>
      </c>
      <c r="E226">
        <v>0</v>
      </c>
      <c r="F226">
        <v>100</v>
      </c>
      <c r="G226">
        <v>20.833333333333336</v>
      </c>
      <c r="H226">
        <v>31.03448275862069</v>
      </c>
      <c r="I226">
        <v>7.5471698113207548</v>
      </c>
      <c r="J226">
        <v>6.666666666666667</v>
      </c>
      <c r="K226">
        <v>11.111111111111111</v>
      </c>
      <c r="L226">
        <v>7.1428571428571423</v>
      </c>
      <c r="M226">
        <v>21.428571428571427</v>
      </c>
      <c r="N226">
        <f t="shared" si="3"/>
        <v>18.483841763002207</v>
      </c>
    </row>
    <row r="227" spans="1:14" x14ac:dyDescent="0.45">
      <c r="A227">
        <v>314</v>
      </c>
      <c r="B227">
        <v>0</v>
      </c>
      <c r="C227">
        <v>0</v>
      </c>
      <c r="D227">
        <v>11.111111111111111</v>
      </c>
      <c r="E227">
        <v>0</v>
      </c>
      <c r="F227">
        <v>100</v>
      </c>
      <c r="G227">
        <v>20.833333333333336</v>
      </c>
      <c r="H227">
        <v>31.03448275862069</v>
      </c>
      <c r="I227">
        <v>7.5471698113207548</v>
      </c>
      <c r="J227">
        <v>6.666666666666667</v>
      </c>
      <c r="K227">
        <v>11.111111111111111</v>
      </c>
      <c r="L227">
        <v>7.1428571428571423</v>
      </c>
      <c r="M227">
        <v>21.428571428571427</v>
      </c>
      <c r="N227">
        <f t="shared" si="3"/>
        <v>18.483841763002207</v>
      </c>
    </row>
    <row r="228" spans="1:14" x14ac:dyDescent="0.45">
      <c r="A228">
        <v>315</v>
      </c>
      <c r="B228">
        <v>0</v>
      </c>
      <c r="C228">
        <v>0</v>
      </c>
      <c r="D228">
        <v>11.111111111111111</v>
      </c>
      <c r="E228">
        <v>0</v>
      </c>
      <c r="F228">
        <v>100</v>
      </c>
      <c r="G228">
        <v>20.833333333333336</v>
      </c>
      <c r="H228">
        <v>31.03448275862069</v>
      </c>
      <c r="I228">
        <v>7.5471698113207548</v>
      </c>
      <c r="J228">
        <v>6.666666666666667</v>
      </c>
      <c r="K228">
        <v>11.111111111111111</v>
      </c>
      <c r="L228">
        <v>7.1428571428571423</v>
      </c>
      <c r="M228">
        <v>21.428571428571427</v>
      </c>
      <c r="N228">
        <f t="shared" si="3"/>
        <v>18.483841763002207</v>
      </c>
    </row>
    <row r="229" spans="1:14" x14ac:dyDescent="0.45">
      <c r="A229">
        <v>316</v>
      </c>
      <c r="B229">
        <v>0</v>
      </c>
      <c r="C229">
        <v>0</v>
      </c>
      <c r="D229">
        <v>11.111111111111111</v>
      </c>
      <c r="E229">
        <v>10</v>
      </c>
      <c r="F229">
        <v>100</v>
      </c>
      <c r="G229">
        <v>20.833333333333336</v>
      </c>
      <c r="H229">
        <v>31.03448275862069</v>
      </c>
      <c r="I229">
        <v>5.6603773584905666</v>
      </c>
      <c r="J229">
        <v>0</v>
      </c>
      <c r="K229">
        <v>0</v>
      </c>
      <c r="L229">
        <v>7.1428571428571423</v>
      </c>
      <c r="M229">
        <v>14.285714285714285</v>
      </c>
      <c r="N229">
        <f t="shared" si="3"/>
        <v>16.324974087336955</v>
      </c>
    </row>
    <row r="230" spans="1:14" x14ac:dyDescent="0.45">
      <c r="A230">
        <v>317</v>
      </c>
      <c r="B230">
        <v>0</v>
      </c>
      <c r="C230">
        <v>0</v>
      </c>
      <c r="D230">
        <v>0</v>
      </c>
      <c r="E230">
        <v>10</v>
      </c>
      <c r="F230">
        <v>0</v>
      </c>
      <c r="G230">
        <v>16.666666666666664</v>
      </c>
      <c r="H230">
        <v>20.689655172413794</v>
      </c>
      <c r="I230">
        <v>13.20754716981132</v>
      </c>
      <c r="J230">
        <v>6.666666666666667</v>
      </c>
      <c r="K230">
        <v>0</v>
      </c>
      <c r="L230">
        <v>0</v>
      </c>
      <c r="M230">
        <v>64.285714285714292</v>
      </c>
      <c r="N230">
        <f t="shared" si="3"/>
        <v>11.370188196638491</v>
      </c>
    </row>
    <row r="231" spans="1:14" x14ac:dyDescent="0.45">
      <c r="A231">
        <v>318</v>
      </c>
      <c r="B231">
        <v>0</v>
      </c>
      <c r="C231">
        <v>0</v>
      </c>
      <c r="D231">
        <v>11.111111111111111</v>
      </c>
      <c r="E231">
        <v>20</v>
      </c>
      <c r="F231">
        <v>33.333333333333329</v>
      </c>
      <c r="G231">
        <v>25</v>
      </c>
      <c r="H231">
        <v>17.241379310344829</v>
      </c>
      <c r="I231">
        <v>1.8867924528301887</v>
      </c>
      <c r="J231">
        <v>0</v>
      </c>
      <c r="K231">
        <v>0</v>
      </c>
      <c r="L231">
        <v>0</v>
      </c>
      <c r="M231">
        <v>28.571428571428569</v>
      </c>
      <c r="N231">
        <f t="shared" si="3"/>
        <v>11.426640109125609</v>
      </c>
    </row>
    <row r="232" spans="1:14" x14ac:dyDescent="0.45">
      <c r="A232">
        <v>319</v>
      </c>
      <c r="B232">
        <v>0</v>
      </c>
      <c r="C232">
        <v>0</v>
      </c>
      <c r="D232">
        <v>33.333333333333329</v>
      </c>
      <c r="E232">
        <v>40</v>
      </c>
      <c r="F232">
        <v>100</v>
      </c>
      <c r="G232">
        <v>16.666666666666664</v>
      </c>
      <c r="H232">
        <v>13.793103448275861</v>
      </c>
      <c r="I232">
        <v>3.7735849056603774</v>
      </c>
      <c r="J232">
        <v>0</v>
      </c>
      <c r="K232">
        <v>0</v>
      </c>
      <c r="L232">
        <v>0</v>
      </c>
      <c r="M232">
        <v>25</v>
      </c>
      <c r="N232">
        <f t="shared" si="3"/>
        <v>18.689456496498348</v>
      </c>
    </row>
    <row r="233" spans="1:14" x14ac:dyDescent="0.45">
      <c r="A233">
        <v>320</v>
      </c>
      <c r="B233">
        <v>0</v>
      </c>
      <c r="C233">
        <v>0</v>
      </c>
      <c r="D233">
        <v>22.222222222222221</v>
      </c>
      <c r="E233">
        <v>40</v>
      </c>
      <c r="F233">
        <v>33.333333333333329</v>
      </c>
      <c r="G233">
        <v>50</v>
      </c>
      <c r="H233">
        <v>34.482758620689658</v>
      </c>
      <c r="I233">
        <v>11.320754716981133</v>
      </c>
      <c r="J233">
        <v>6.666666666666667</v>
      </c>
      <c r="K233">
        <v>5.5555555555555554</v>
      </c>
      <c r="L233">
        <v>0</v>
      </c>
      <c r="M233">
        <v>25</v>
      </c>
      <c r="N233">
        <f t="shared" si="3"/>
        <v>19.835918147530517</v>
      </c>
    </row>
    <row r="234" spans="1:14" x14ac:dyDescent="0.45">
      <c r="A234">
        <v>324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3.4482758620689653</v>
      </c>
      <c r="I234">
        <v>0</v>
      </c>
      <c r="J234">
        <v>0</v>
      </c>
      <c r="K234">
        <v>0</v>
      </c>
      <c r="L234">
        <v>0</v>
      </c>
      <c r="M234">
        <v>7.1428571428571423</v>
      </c>
      <c r="N234">
        <f t="shared" si="3"/>
        <v>0.88762567043303997</v>
      </c>
    </row>
    <row r="235" spans="1:14" x14ac:dyDescent="0.45">
      <c r="A235">
        <v>325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8.3333333333333321</v>
      </c>
      <c r="H235">
        <v>6.8965517241379306</v>
      </c>
      <c r="I235">
        <v>5.6603773584905666</v>
      </c>
      <c r="J235">
        <v>0</v>
      </c>
      <c r="K235">
        <v>0</v>
      </c>
      <c r="L235">
        <v>0</v>
      </c>
      <c r="M235">
        <v>14.285714285714285</v>
      </c>
      <c r="N235">
        <f t="shared" si="3"/>
        <v>3.1471037871616385</v>
      </c>
    </row>
    <row r="236" spans="1:14" x14ac:dyDescent="0.45">
      <c r="A236">
        <v>326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5.5555555555555554</v>
      </c>
      <c r="L236">
        <v>0</v>
      </c>
      <c r="M236">
        <v>10.714285714285714</v>
      </c>
      <c r="N236">
        <f t="shared" si="3"/>
        <v>1.6165251894976249</v>
      </c>
    </row>
    <row r="237" spans="1:14" x14ac:dyDescent="0.45">
      <c r="A237">
        <v>327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5.5555555555555554</v>
      </c>
      <c r="L237">
        <v>0</v>
      </c>
      <c r="M237">
        <v>14.285714285714285</v>
      </c>
      <c r="N237">
        <f t="shared" si="3"/>
        <v>1.9242613315752832</v>
      </c>
    </row>
    <row r="238" spans="1:14" x14ac:dyDescent="0.45">
      <c r="A238">
        <v>328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5.5555555555555554</v>
      </c>
      <c r="L238">
        <v>0</v>
      </c>
      <c r="M238">
        <v>14.285714285714285</v>
      </c>
      <c r="N238">
        <f t="shared" si="3"/>
        <v>1.9242613315752832</v>
      </c>
    </row>
    <row r="239" spans="1:14" x14ac:dyDescent="0.45">
      <c r="A239">
        <v>329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5.5555555555555554</v>
      </c>
      <c r="L239">
        <v>0</v>
      </c>
      <c r="M239">
        <v>14.285714285714285</v>
      </c>
      <c r="N239">
        <f t="shared" si="3"/>
        <v>1.9242613315752832</v>
      </c>
    </row>
    <row r="240" spans="1:14" x14ac:dyDescent="0.45">
      <c r="A240">
        <v>330</v>
      </c>
      <c r="B240">
        <v>0</v>
      </c>
      <c r="C240">
        <v>0</v>
      </c>
      <c r="D240">
        <v>0</v>
      </c>
      <c r="E240">
        <v>10</v>
      </c>
      <c r="F240">
        <v>0</v>
      </c>
      <c r="G240">
        <v>0</v>
      </c>
      <c r="H240">
        <v>13.793103448275861</v>
      </c>
      <c r="I240">
        <v>0</v>
      </c>
      <c r="J240">
        <v>6.666666666666667</v>
      </c>
      <c r="K240">
        <v>0</v>
      </c>
      <c r="L240">
        <v>0</v>
      </c>
      <c r="M240">
        <v>7.1428571428571423</v>
      </c>
      <c r="N240">
        <f t="shared" si="3"/>
        <v>2.9816354821709838</v>
      </c>
    </row>
    <row r="241" spans="1:14" x14ac:dyDescent="0.45">
      <c r="A241">
        <v>331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3.5714285714285712</v>
      </c>
      <c r="N241">
        <f t="shared" si="3"/>
        <v>0.30773614207765848</v>
      </c>
    </row>
    <row r="242" spans="1:14" x14ac:dyDescent="0.45">
      <c r="A242">
        <v>332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f t="shared" si="3"/>
        <v>0</v>
      </c>
    </row>
    <row r="243" spans="1:14" x14ac:dyDescent="0.45">
      <c r="A243">
        <v>333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f t="shared" si="3"/>
        <v>0</v>
      </c>
    </row>
    <row r="244" spans="1:14" x14ac:dyDescent="0.45">
      <c r="A244">
        <v>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f t="shared" si="3"/>
        <v>0</v>
      </c>
    </row>
    <row r="245" spans="1:14" x14ac:dyDescent="0.45">
      <c r="A245">
        <v>335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f t="shared" si="3"/>
        <v>0</v>
      </c>
    </row>
    <row r="246" spans="1:14" x14ac:dyDescent="0.45">
      <c r="A246">
        <v>338</v>
      </c>
      <c r="B246">
        <v>0</v>
      </c>
      <c r="C246">
        <v>0</v>
      </c>
      <c r="D246">
        <v>44.444444444444443</v>
      </c>
      <c r="E246">
        <v>50</v>
      </c>
      <c r="F246">
        <v>33.333333333333329</v>
      </c>
      <c r="G246">
        <v>25</v>
      </c>
      <c r="H246">
        <v>93.103448275862064</v>
      </c>
      <c r="I246">
        <v>26.415094339622641</v>
      </c>
      <c r="J246">
        <v>0</v>
      </c>
      <c r="K246">
        <v>0</v>
      </c>
      <c r="L246">
        <v>57.142857142857139</v>
      </c>
      <c r="M246">
        <v>53.571428571428569</v>
      </c>
      <c r="N246">
        <f t="shared" si="3"/>
        <v>37.420217320081711</v>
      </c>
    </row>
    <row r="247" spans="1:14" x14ac:dyDescent="0.45">
      <c r="A247">
        <v>339</v>
      </c>
      <c r="B247">
        <v>0</v>
      </c>
      <c r="C247">
        <v>0</v>
      </c>
      <c r="D247">
        <v>22.222222222222221</v>
      </c>
      <c r="E247">
        <v>40</v>
      </c>
      <c r="F247">
        <v>0</v>
      </c>
      <c r="G247">
        <v>8.3333333333333321</v>
      </c>
      <c r="H247">
        <v>10.344827586206897</v>
      </c>
      <c r="I247">
        <v>3.7735849056603774</v>
      </c>
      <c r="J247">
        <v>0</v>
      </c>
      <c r="K247">
        <v>0</v>
      </c>
      <c r="L247">
        <v>7.1428571428571423</v>
      </c>
      <c r="M247">
        <v>21.428571428571427</v>
      </c>
      <c r="N247">
        <f t="shared" si="3"/>
        <v>10.312205171500377</v>
      </c>
    </row>
    <row r="248" spans="1:14" x14ac:dyDescent="0.45">
      <c r="A248">
        <v>340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f t="shared" si="3"/>
        <v>0</v>
      </c>
    </row>
    <row r="249" spans="1:14" x14ac:dyDescent="0.45">
      <c r="A249">
        <v>341</v>
      </c>
      <c r="B249">
        <v>0</v>
      </c>
      <c r="C249">
        <v>0</v>
      </c>
      <c r="D249">
        <v>0</v>
      </c>
      <c r="E249">
        <v>10</v>
      </c>
      <c r="F249">
        <v>33.333333333333329</v>
      </c>
      <c r="G249">
        <v>8.3333333333333321</v>
      </c>
      <c r="H249">
        <v>6.8965517241379306</v>
      </c>
      <c r="I249">
        <v>1.8867924528301887</v>
      </c>
      <c r="J249">
        <v>0</v>
      </c>
      <c r="K249">
        <v>5.5555555555555554</v>
      </c>
      <c r="L249">
        <v>0</v>
      </c>
      <c r="M249">
        <v>10.714285714285714</v>
      </c>
      <c r="N249">
        <f t="shared" si="3"/>
        <v>6.1048131686966407</v>
      </c>
    </row>
    <row r="250" spans="1:14" x14ac:dyDescent="0.45">
      <c r="A250">
        <v>342</v>
      </c>
      <c r="B250">
        <v>0</v>
      </c>
      <c r="C250">
        <v>0</v>
      </c>
      <c r="D250">
        <v>11.111111111111111</v>
      </c>
      <c r="E250">
        <v>20</v>
      </c>
      <c r="F250">
        <v>0</v>
      </c>
      <c r="G250">
        <v>20.833333333333336</v>
      </c>
      <c r="H250">
        <v>31.03448275862069</v>
      </c>
      <c r="I250">
        <v>11.320754716981133</v>
      </c>
      <c r="J250">
        <v>13.333333333333334</v>
      </c>
      <c r="K250">
        <v>0</v>
      </c>
      <c r="L250">
        <v>7.1428571428571423</v>
      </c>
      <c r="M250">
        <v>35.714285714285715</v>
      </c>
      <c r="N250">
        <f t="shared" si="3"/>
        <v>13.777366200335743</v>
      </c>
    </row>
    <row r="251" spans="1:14" x14ac:dyDescent="0.45">
      <c r="A251">
        <v>343</v>
      </c>
      <c r="B251">
        <v>0</v>
      </c>
      <c r="C251">
        <v>0</v>
      </c>
      <c r="D251">
        <v>11.111111111111111</v>
      </c>
      <c r="E251">
        <v>20</v>
      </c>
      <c r="F251">
        <v>33.333333333333329</v>
      </c>
      <c r="G251">
        <v>20.833333333333336</v>
      </c>
      <c r="H251">
        <v>31.03448275862069</v>
      </c>
      <c r="I251">
        <v>11.320754716981133</v>
      </c>
      <c r="J251">
        <v>13.333333333333334</v>
      </c>
      <c r="K251">
        <v>0</v>
      </c>
      <c r="L251">
        <v>0</v>
      </c>
      <c r="M251">
        <v>35.714285714285715</v>
      </c>
      <c r="N251">
        <f t="shared" si="3"/>
        <v>14.851306501560686</v>
      </c>
    </row>
    <row r="252" spans="1:14" x14ac:dyDescent="0.45">
      <c r="A252">
        <v>344</v>
      </c>
      <c r="B252">
        <v>0</v>
      </c>
      <c r="C252">
        <v>0</v>
      </c>
      <c r="D252">
        <v>33.333333333333329</v>
      </c>
      <c r="E252">
        <v>20</v>
      </c>
      <c r="F252">
        <v>0</v>
      </c>
      <c r="G252">
        <v>33.333333333333329</v>
      </c>
      <c r="H252">
        <v>34.482758620689658</v>
      </c>
      <c r="I252">
        <v>13.20754716981132</v>
      </c>
      <c r="J252">
        <v>13.333333333333334</v>
      </c>
      <c r="K252">
        <v>0</v>
      </c>
      <c r="L252">
        <v>7.1428571428571423</v>
      </c>
      <c r="M252">
        <v>42.857142857142854</v>
      </c>
      <c r="N252">
        <f t="shared" si="3"/>
        <v>18.760299456638101</v>
      </c>
    </row>
    <row r="253" spans="1:14" x14ac:dyDescent="0.45">
      <c r="A253">
        <v>345</v>
      </c>
      <c r="B253">
        <v>0</v>
      </c>
      <c r="C253">
        <v>1</v>
      </c>
      <c r="D253">
        <v>33.333333333333329</v>
      </c>
      <c r="E253">
        <v>20</v>
      </c>
      <c r="F253">
        <v>0</v>
      </c>
      <c r="G253">
        <v>33.333333333333329</v>
      </c>
      <c r="H253">
        <v>34.482758620689658</v>
      </c>
      <c r="I253">
        <v>13.20754716981132</v>
      </c>
      <c r="J253">
        <v>13.333333333333334</v>
      </c>
      <c r="K253">
        <v>0</v>
      </c>
      <c r="L253">
        <v>7.1428571428571423</v>
      </c>
      <c r="M253">
        <v>42.857142857142854</v>
      </c>
      <c r="N253">
        <f t="shared" si="3"/>
        <v>18.760299456638101</v>
      </c>
    </row>
    <row r="254" spans="1:14" x14ac:dyDescent="0.45">
      <c r="A254">
        <v>346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3.7735849056603774</v>
      </c>
      <c r="J254">
        <v>0</v>
      </c>
      <c r="K254">
        <v>0</v>
      </c>
      <c r="L254">
        <v>0</v>
      </c>
      <c r="M254">
        <v>10.714285714285714</v>
      </c>
      <c r="N254">
        <f t="shared" si="3"/>
        <v>1.2767339783897882</v>
      </c>
    </row>
    <row r="255" spans="1:14" x14ac:dyDescent="0.45">
      <c r="A255">
        <v>347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1.8867924528301887</v>
      </c>
      <c r="J255">
        <v>0</v>
      </c>
      <c r="K255">
        <v>0</v>
      </c>
      <c r="L255">
        <v>0</v>
      </c>
      <c r="M255">
        <v>0</v>
      </c>
      <c r="N255">
        <f t="shared" si="3"/>
        <v>0.1767627760784064</v>
      </c>
    </row>
    <row r="256" spans="1:14" x14ac:dyDescent="0.45">
      <c r="A256">
        <v>348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4.1666666666666661</v>
      </c>
      <c r="H256">
        <v>0</v>
      </c>
      <c r="I256">
        <v>1.8867924528301887</v>
      </c>
      <c r="J256">
        <v>0</v>
      </c>
      <c r="K256">
        <v>0</v>
      </c>
      <c r="L256">
        <v>0</v>
      </c>
      <c r="M256">
        <v>0</v>
      </c>
      <c r="N256">
        <f t="shared" si="3"/>
        <v>0.59754483510857614</v>
      </c>
    </row>
    <row r="257" spans="1:14" x14ac:dyDescent="0.45">
      <c r="A257">
        <v>349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4.1666666666666661</v>
      </c>
      <c r="H257">
        <v>0</v>
      </c>
      <c r="I257">
        <v>3.7735849056603774</v>
      </c>
      <c r="J257">
        <v>0</v>
      </c>
      <c r="K257">
        <v>5.5555555555555554</v>
      </c>
      <c r="L257">
        <v>0</v>
      </c>
      <c r="M257">
        <v>0</v>
      </c>
      <c r="N257">
        <f t="shared" si="3"/>
        <v>1.467624374451632</v>
      </c>
    </row>
    <row r="258" spans="1:14" x14ac:dyDescent="0.45">
      <c r="A258">
        <v>350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4.1666666666666661</v>
      </c>
      <c r="H258">
        <v>0</v>
      </c>
      <c r="I258">
        <v>3.7735849056603774</v>
      </c>
      <c r="J258">
        <v>0</v>
      </c>
      <c r="K258">
        <v>5.5555555555555554</v>
      </c>
      <c r="L258">
        <v>0</v>
      </c>
      <c r="M258">
        <v>0</v>
      </c>
      <c r="N258">
        <f t="shared" si="3"/>
        <v>1.467624374451632</v>
      </c>
    </row>
    <row r="259" spans="1:14" x14ac:dyDescent="0.45">
      <c r="A259">
        <v>351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4.1666666666666661</v>
      </c>
      <c r="H259">
        <v>0</v>
      </c>
      <c r="I259">
        <v>5.6603773584905666</v>
      </c>
      <c r="J259">
        <v>0</v>
      </c>
      <c r="K259">
        <v>11.111111111111111</v>
      </c>
      <c r="L259">
        <v>0</v>
      </c>
      <c r="M259">
        <v>10.714285714285714</v>
      </c>
      <c r="N259">
        <f t="shared" si="3"/>
        <v>3.2609123400276632</v>
      </c>
    </row>
    <row r="260" spans="1:14" x14ac:dyDescent="0.45">
      <c r="A260">
        <v>352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f t="shared" si="3"/>
        <v>0</v>
      </c>
    </row>
    <row r="261" spans="1:14" x14ac:dyDescent="0.45">
      <c r="A261">
        <v>353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f t="shared" ref="N261:N324" si="4">D261*D$1+E261*E$1+F261*F$1+G261*G$1+H261*H$1+I261*I$1+J261*J$1+K261*K$1+L261*L$1+M261*M$1</f>
        <v>0</v>
      </c>
    </row>
    <row r="262" spans="1:14" x14ac:dyDescent="0.45">
      <c r="A262">
        <v>355</v>
      </c>
      <c r="B262">
        <v>0</v>
      </c>
      <c r="C262">
        <v>0</v>
      </c>
      <c r="D262">
        <v>11.111111111111111</v>
      </c>
      <c r="E262">
        <v>10</v>
      </c>
      <c r="F262">
        <v>0</v>
      </c>
      <c r="G262">
        <v>16.666666666666664</v>
      </c>
      <c r="H262">
        <v>20.689655172413794</v>
      </c>
      <c r="I262">
        <v>24.528301886792452</v>
      </c>
      <c r="J262">
        <v>0</v>
      </c>
      <c r="K262">
        <v>33.333333333333329</v>
      </c>
      <c r="L262">
        <v>0</v>
      </c>
      <c r="M262">
        <v>25</v>
      </c>
      <c r="N262">
        <f t="shared" si="4"/>
        <v>13.904892815289282</v>
      </c>
    </row>
    <row r="263" spans="1:14" x14ac:dyDescent="0.45">
      <c r="A263">
        <v>356</v>
      </c>
      <c r="B263">
        <v>0</v>
      </c>
      <c r="C263">
        <v>0</v>
      </c>
      <c r="D263">
        <v>11.111111111111111</v>
      </c>
      <c r="E263">
        <v>10</v>
      </c>
      <c r="F263">
        <v>0</v>
      </c>
      <c r="G263">
        <v>16.666666666666664</v>
      </c>
      <c r="H263">
        <v>20.689655172413794</v>
      </c>
      <c r="I263">
        <v>24.528301886792452</v>
      </c>
      <c r="J263">
        <v>0</v>
      </c>
      <c r="K263">
        <v>33.333333333333329</v>
      </c>
      <c r="L263">
        <v>0</v>
      </c>
      <c r="M263">
        <v>25</v>
      </c>
      <c r="N263">
        <f t="shared" si="4"/>
        <v>13.904892815289282</v>
      </c>
    </row>
    <row r="264" spans="1:14" x14ac:dyDescent="0.45">
      <c r="A264">
        <v>357</v>
      </c>
      <c r="B264">
        <v>0</v>
      </c>
      <c r="C264">
        <v>0</v>
      </c>
      <c r="D264">
        <v>11.111111111111111</v>
      </c>
      <c r="E264">
        <v>10</v>
      </c>
      <c r="F264">
        <v>0</v>
      </c>
      <c r="G264">
        <v>16.666666666666664</v>
      </c>
      <c r="H264">
        <v>20.689655172413794</v>
      </c>
      <c r="I264">
        <v>24.528301886792452</v>
      </c>
      <c r="J264">
        <v>0</v>
      </c>
      <c r="K264">
        <v>33.333333333333329</v>
      </c>
      <c r="L264">
        <v>0</v>
      </c>
      <c r="M264">
        <v>25</v>
      </c>
      <c r="N264">
        <f t="shared" si="4"/>
        <v>13.904892815289282</v>
      </c>
    </row>
    <row r="265" spans="1:14" x14ac:dyDescent="0.45">
      <c r="A265">
        <v>358</v>
      </c>
      <c r="B265">
        <v>0</v>
      </c>
      <c r="C265">
        <v>0</v>
      </c>
      <c r="D265">
        <v>11.111111111111111</v>
      </c>
      <c r="E265">
        <v>10</v>
      </c>
      <c r="F265">
        <v>0</v>
      </c>
      <c r="G265">
        <v>16.666666666666664</v>
      </c>
      <c r="H265">
        <v>20.689655172413794</v>
      </c>
      <c r="I265">
        <v>24.528301886792452</v>
      </c>
      <c r="J265">
        <v>0</v>
      </c>
      <c r="K265">
        <v>33.333333333333329</v>
      </c>
      <c r="L265">
        <v>0</v>
      </c>
      <c r="M265">
        <v>25</v>
      </c>
      <c r="N265">
        <f t="shared" si="4"/>
        <v>13.904892815289282</v>
      </c>
    </row>
    <row r="266" spans="1:14" x14ac:dyDescent="0.45">
      <c r="A266">
        <v>359</v>
      </c>
      <c r="B266">
        <v>0</v>
      </c>
      <c r="C266">
        <v>0</v>
      </c>
      <c r="D266">
        <v>11.111111111111111</v>
      </c>
      <c r="E266">
        <v>10</v>
      </c>
      <c r="F266">
        <v>0</v>
      </c>
      <c r="G266">
        <v>16.666666666666664</v>
      </c>
      <c r="H266">
        <v>20.689655172413794</v>
      </c>
      <c r="I266">
        <v>24.528301886792452</v>
      </c>
      <c r="J266">
        <v>0</v>
      </c>
      <c r="K266">
        <v>33.333333333333329</v>
      </c>
      <c r="L266">
        <v>0</v>
      </c>
      <c r="M266">
        <v>25</v>
      </c>
      <c r="N266">
        <f t="shared" si="4"/>
        <v>13.904892815289282</v>
      </c>
    </row>
    <row r="267" spans="1:14" x14ac:dyDescent="0.45">
      <c r="A267">
        <v>360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3.7735849056603774</v>
      </c>
      <c r="J267">
        <v>0</v>
      </c>
      <c r="K267">
        <v>0</v>
      </c>
      <c r="L267">
        <v>0</v>
      </c>
      <c r="M267">
        <v>10.714285714285714</v>
      </c>
      <c r="N267">
        <f t="shared" si="4"/>
        <v>1.2767339783897882</v>
      </c>
    </row>
    <row r="268" spans="1:14" x14ac:dyDescent="0.45">
      <c r="A268">
        <v>361</v>
      </c>
      <c r="B268">
        <v>0</v>
      </c>
      <c r="C268">
        <v>0</v>
      </c>
      <c r="D268">
        <v>11.111111111111111</v>
      </c>
      <c r="E268">
        <v>0</v>
      </c>
      <c r="F268">
        <v>0</v>
      </c>
      <c r="G268">
        <v>0</v>
      </c>
      <c r="H268">
        <v>0</v>
      </c>
      <c r="I268">
        <v>5.6603773584905666</v>
      </c>
      <c r="J268">
        <v>0</v>
      </c>
      <c r="K268">
        <v>0</v>
      </c>
      <c r="L268">
        <v>0</v>
      </c>
      <c r="M268">
        <v>0</v>
      </c>
      <c r="N268">
        <f t="shared" si="4"/>
        <v>1.8583876445854224</v>
      </c>
    </row>
    <row r="269" spans="1:14" x14ac:dyDescent="0.45">
      <c r="A269">
        <v>362</v>
      </c>
      <c r="B269">
        <v>0</v>
      </c>
      <c r="C269">
        <v>0</v>
      </c>
      <c r="D269">
        <v>11.111111111111111</v>
      </c>
      <c r="E269">
        <v>50</v>
      </c>
      <c r="F269">
        <v>0</v>
      </c>
      <c r="G269">
        <v>37.5</v>
      </c>
      <c r="H269">
        <v>48.275862068965516</v>
      </c>
      <c r="I269">
        <v>24.528301886792452</v>
      </c>
      <c r="J269">
        <v>13.333333333333334</v>
      </c>
      <c r="K269">
        <v>5.5555555555555554</v>
      </c>
      <c r="L269">
        <v>7.1428571428571423</v>
      </c>
      <c r="M269">
        <v>67.857142857142861</v>
      </c>
      <c r="N269">
        <f t="shared" si="4"/>
        <v>23.467868688361271</v>
      </c>
    </row>
    <row r="270" spans="1:14" x14ac:dyDescent="0.45">
      <c r="A270">
        <v>363</v>
      </c>
      <c r="B270">
        <v>0</v>
      </c>
      <c r="C270">
        <v>0</v>
      </c>
      <c r="D270">
        <v>0</v>
      </c>
      <c r="E270">
        <v>20</v>
      </c>
      <c r="F270">
        <v>0</v>
      </c>
      <c r="G270">
        <v>25</v>
      </c>
      <c r="H270">
        <v>31.03448275862069</v>
      </c>
      <c r="I270">
        <v>49.056603773584904</v>
      </c>
      <c r="J270">
        <v>0</v>
      </c>
      <c r="K270">
        <v>61.111111111111114</v>
      </c>
      <c r="L270">
        <v>0</v>
      </c>
      <c r="M270">
        <v>28.571428571428569</v>
      </c>
      <c r="N270">
        <f t="shared" si="4"/>
        <v>20.955829105254047</v>
      </c>
    </row>
    <row r="271" spans="1:14" x14ac:dyDescent="0.45">
      <c r="A271">
        <v>364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12.5</v>
      </c>
      <c r="H271">
        <v>0</v>
      </c>
      <c r="I271">
        <v>43.39622641509434</v>
      </c>
      <c r="J271">
        <v>0</v>
      </c>
      <c r="K271">
        <v>33.333333333333329</v>
      </c>
      <c r="L271">
        <v>0</v>
      </c>
      <c r="M271">
        <v>28.571428571428569</v>
      </c>
      <c r="N271">
        <f t="shared" si="4"/>
        <v>11.949679743103021</v>
      </c>
    </row>
    <row r="272" spans="1:14" x14ac:dyDescent="0.45">
      <c r="A272">
        <v>365</v>
      </c>
      <c r="B272">
        <v>0</v>
      </c>
      <c r="C272">
        <v>0</v>
      </c>
      <c r="D272">
        <v>11.111111111111111</v>
      </c>
      <c r="E272">
        <v>20</v>
      </c>
      <c r="F272">
        <v>33.333333333333329</v>
      </c>
      <c r="G272">
        <v>16.666666666666664</v>
      </c>
      <c r="H272">
        <v>17.241379310344829</v>
      </c>
      <c r="I272">
        <v>9.433962264150944</v>
      </c>
      <c r="J272">
        <v>0</v>
      </c>
      <c r="K272">
        <v>5.5555555555555554</v>
      </c>
      <c r="L272">
        <v>0</v>
      </c>
      <c r="M272">
        <v>57.142857142857139</v>
      </c>
      <c r="N272">
        <f t="shared" si="4"/>
        <v>14.447332995264812</v>
      </c>
    </row>
    <row r="273" spans="1:14" x14ac:dyDescent="0.45">
      <c r="A273">
        <v>366</v>
      </c>
      <c r="B273">
        <v>0</v>
      </c>
      <c r="C273">
        <v>0</v>
      </c>
      <c r="D273">
        <v>11.111111111111111</v>
      </c>
      <c r="E273">
        <v>20</v>
      </c>
      <c r="F273">
        <v>33.333333333333329</v>
      </c>
      <c r="G273">
        <v>16.666666666666664</v>
      </c>
      <c r="H273">
        <v>17.241379310344829</v>
      </c>
      <c r="I273">
        <v>9.433962264150944</v>
      </c>
      <c r="J273">
        <v>0</v>
      </c>
      <c r="K273">
        <v>5.5555555555555554</v>
      </c>
      <c r="L273">
        <v>0</v>
      </c>
      <c r="M273">
        <v>57.142857142857139</v>
      </c>
      <c r="N273">
        <f t="shared" si="4"/>
        <v>14.447332995264812</v>
      </c>
    </row>
    <row r="274" spans="1:14" x14ac:dyDescent="0.45">
      <c r="A274">
        <v>367</v>
      </c>
      <c r="B274">
        <v>0</v>
      </c>
      <c r="C274">
        <v>0</v>
      </c>
      <c r="D274">
        <v>11.111111111111111</v>
      </c>
      <c r="E274">
        <v>30</v>
      </c>
      <c r="F274">
        <v>33.333333333333329</v>
      </c>
      <c r="G274">
        <v>20.833333333333336</v>
      </c>
      <c r="H274">
        <v>20.689655172413794</v>
      </c>
      <c r="I274">
        <v>9.433962264150944</v>
      </c>
      <c r="J274">
        <v>0</v>
      </c>
      <c r="K274">
        <v>11.111111111111111</v>
      </c>
      <c r="L274">
        <v>0</v>
      </c>
      <c r="M274">
        <v>64.285714285714292</v>
      </c>
      <c r="N274">
        <f t="shared" si="4"/>
        <v>17.097832769993943</v>
      </c>
    </row>
    <row r="275" spans="1:14" x14ac:dyDescent="0.45">
      <c r="A275">
        <v>369</v>
      </c>
      <c r="B275">
        <v>0</v>
      </c>
      <c r="C275">
        <v>0</v>
      </c>
      <c r="D275">
        <v>22.222222222222221</v>
      </c>
      <c r="E275">
        <v>30</v>
      </c>
      <c r="F275">
        <v>33.333333333333329</v>
      </c>
      <c r="G275">
        <v>33.333333333333329</v>
      </c>
      <c r="H275">
        <v>31.03448275862069</v>
      </c>
      <c r="I275">
        <v>15.09433962264151</v>
      </c>
      <c r="J275">
        <v>0</v>
      </c>
      <c r="K275">
        <v>38.888888888888893</v>
      </c>
      <c r="L275">
        <v>50</v>
      </c>
      <c r="M275">
        <v>46.428571428571431</v>
      </c>
      <c r="N275">
        <f t="shared" si="4"/>
        <v>31.383500961388272</v>
      </c>
    </row>
    <row r="276" spans="1:14" x14ac:dyDescent="0.45">
      <c r="A276">
        <v>370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3.7735849056603774</v>
      </c>
      <c r="J276">
        <v>0</v>
      </c>
      <c r="K276">
        <v>11.111111111111111</v>
      </c>
      <c r="L276">
        <v>0</v>
      </c>
      <c r="M276">
        <v>10.714285714285714</v>
      </c>
      <c r="N276">
        <f t="shared" si="4"/>
        <v>2.663367504919087</v>
      </c>
    </row>
    <row r="277" spans="1:14" x14ac:dyDescent="0.45">
      <c r="A277">
        <v>371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3.7735849056603774</v>
      </c>
      <c r="J277">
        <v>0</v>
      </c>
      <c r="K277">
        <v>11.111111111111111</v>
      </c>
      <c r="L277">
        <v>0</v>
      </c>
      <c r="M277">
        <v>10.714285714285714</v>
      </c>
      <c r="N277">
        <f t="shared" si="4"/>
        <v>2.663367504919087</v>
      </c>
    </row>
    <row r="278" spans="1:14" x14ac:dyDescent="0.45">
      <c r="A278">
        <v>372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3.7735849056603774</v>
      </c>
      <c r="J278">
        <v>0</v>
      </c>
      <c r="K278">
        <v>11.111111111111111</v>
      </c>
      <c r="L278">
        <v>0</v>
      </c>
      <c r="M278">
        <v>10.714285714285714</v>
      </c>
      <c r="N278">
        <f t="shared" si="4"/>
        <v>2.663367504919087</v>
      </c>
    </row>
    <row r="279" spans="1:14" x14ac:dyDescent="0.45">
      <c r="A279">
        <v>373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1.8867924528301887</v>
      </c>
      <c r="J279">
        <v>0</v>
      </c>
      <c r="K279">
        <v>11.111111111111111</v>
      </c>
      <c r="L279">
        <v>0</v>
      </c>
      <c r="M279">
        <v>7.1428571428571423</v>
      </c>
      <c r="N279">
        <f t="shared" si="4"/>
        <v>2.1788685867630222</v>
      </c>
    </row>
    <row r="280" spans="1:14" x14ac:dyDescent="0.45">
      <c r="A280">
        <v>374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3.7735849056603774</v>
      </c>
      <c r="J280">
        <v>0</v>
      </c>
      <c r="K280">
        <v>11.111111111111111</v>
      </c>
      <c r="L280">
        <v>0</v>
      </c>
      <c r="M280">
        <v>10.714285714285714</v>
      </c>
      <c r="N280">
        <f t="shared" si="4"/>
        <v>2.663367504919087</v>
      </c>
    </row>
    <row r="281" spans="1:14" x14ac:dyDescent="0.45">
      <c r="A281">
        <v>375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4.1666666666666661</v>
      </c>
      <c r="H281">
        <v>6.8965517241379306</v>
      </c>
      <c r="I281">
        <v>3.7735849056603774</v>
      </c>
      <c r="J281">
        <v>0</v>
      </c>
      <c r="K281">
        <v>11.111111111111111</v>
      </c>
      <c r="L281">
        <v>0</v>
      </c>
      <c r="M281">
        <v>7.1428571428571423</v>
      </c>
      <c r="N281">
        <f t="shared" si="4"/>
        <v>3.3207201944270444</v>
      </c>
    </row>
    <row r="282" spans="1:14" x14ac:dyDescent="0.45">
      <c r="A282">
        <v>376</v>
      </c>
      <c r="B282">
        <v>0</v>
      </c>
      <c r="C282">
        <v>0</v>
      </c>
      <c r="D282">
        <v>0</v>
      </c>
      <c r="E282">
        <v>10</v>
      </c>
      <c r="F282">
        <v>0</v>
      </c>
      <c r="G282">
        <v>20.833333333333336</v>
      </c>
      <c r="H282">
        <v>20.689655172413794</v>
      </c>
      <c r="I282">
        <v>3.7735849056603774</v>
      </c>
      <c r="J282">
        <v>0</v>
      </c>
      <c r="K282">
        <v>5.5555555555555554</v>
      </c>
      <c r="L282">
        <v>0</v>
      </c>
      <c r="M282">
        <v>10.714285714285714</v>
      </c>
      <c r="N282">
        <f t="shared" si="4"/>
        <v>6.3556566364728972</v>
      </c>
    </row>
    <row r="283" spans="1:14" x14ac:dyDescent="0.45">
      <c r="A283">
        <v>377</v>
      </c>
      <c r="B283">
        <v>0</v>
      </c>
      <c r="C283">
        <v>0</v>
      </c>
      <c r="D283">
        <v>11.111111111111111</v>
      </c>
      <c r="E283">
        <v>0</v>
      </c>
      <c r="F283">
        <v>0</v>
      </c>
      <c r="G283">
        <v>12.5</v>
      </c>
      <c r="H283">
        <v>20.689655172413794</v>
      </c>
      <c r="I283">
        <v>9.433962264150944</v>
      </c>
      <c r="J283">
        <v>0</v>
      </c>
      <c r="K283">
        <v>0</v>
      </c>
      <c r="L283">
        <v>0</v>
      </c>
      <c r="M283">
        <v>10.714285714285714</v>
      </c>
      <c r="N283">
        <f t="shared" si="4"/>
        <v>6.0303881177320573</v>
      </c>
    </row>
    <row r="284" spans="1:14" x14ac:dyDescent="0.45">
      <c r="A284">
        <v>378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1.8867924528301887</v>
      </c>
      <c r="J284">
        <v>6.666666666666667</v>
      </c>
      <c r="K284">
        <v>0</v>
      </c>
      <c r="L284">
        <v>0</v>
      </c>
      <c r="M284">
        <v>7.1428571428571423</v>
      </c>
      <c r="N284">
        <f t="shared" si="4"/>
        <v>1.4210094311372261</v>
      </c>
    </row>
    <row r="285" spans="1:14" x14ac:dyDescent="0.45">
      <c r="A285">
        <v>379</v>
      </c>
      <c r="B285">
        <v>0</v>
      </c>
      <c r="C285">
        <v>0</v>
      </c>
      <c r="D285">
        <v>11.111111111111111</v>
      </c>
      <c r="E285">
        <v>10</v>
      </c>
      <c r="F285">
        <v>0</v>
      </c>
      <c r="G285">
        <v>12.5</v>
      </c>
      <c r="H285">
        <v>20.689655172413794</v>
      </c>
      <c r="I285">
        <v>11.320754716981133</v>
      </c>
      <c r="J285">
        <v>0</v>
      </c>
      <c r="K285">
        <v>0</v>
      </c>
      <c r="L285">
        <v>0</v>
      </c>
      <c r="M285">
        <v>10.714285714285714</v>
      </c>
      <c r="N285">
        <f t="shared" si="4"/>
        <v>6.8559261758117369</v>
      </c>
    </row>
    <row r="286" spans="1:14" x14ac:dyDescent="0.45">
      <c r="A286">
        <v>380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1.8867924528301887</v>
      </c>
      <c r="J286">
        <v>0</v>
      </c>
      <c r="K286">
        <v>0</v>
      </c>
      <c r="L286">
        <v>0</v>
      </c>
      <c r="M286">
        <v>3.5714285714285712</v>
      </c>
      <c r="N286">
        <f t="shared" si="4"/>
        <v>0.48449891815606488</v>
      </c>
    </row>
    <row r="287" spans="1:14" x14ac:dyDescent="0.45">
      <c r="A287">
        <v>381</v>
      </c>
      <c r="B287">
        <v>0</v>
      </c>
      <c r="C287">
        <v>1</v>
      </c>
      <c r="D287">
        <v>11.111111111111111</v>
      </c>
      <c r="E287">
        <v>10</v>
      </c>
      <c r="F287">
        <v>0</v>
      </c>
      <c r="G287">
        <v>0</v>
      </c>
      <c r="H287">
        <v>0</v>
      </c>
      <c r="I287">
        <v>1.8867924528301887</v>
      </c>
      <c r="J287">
        <v>0</v>
      </c>
      <c r="K287">
        <v>0</v>
      </c>
      <c r="L287">
        <v>0</v>
      </c>
      <c r="M287">
        <v>7.1428571428571423</v>
      </c>
      <c r="N287">
        <f t="shared" si="4"/>
        <v>2.7691096585851986</v>
      </c>
    </row>
    <row r="288" spans="1:14" x14ac:dyDescent="0.45">
      <c r="A288">
        <v>386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f t="shared" si="4"/>
        <v>0</v>
      </c>
    </row>
    <row r="289" spans="1:14" x14ac:dyDescent="0.45">
      <c r="A289">
        <v>387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f t="shared" si="4"/>
        <v>0</v>
      </c>
    </row>
    <row r="290" spans="1:14" x14ac:dyDescent="0.45">
      <c r="A290">
        <v>389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16.666666666666664</v>
      </c>
      <c r="H290">
        <v>24.137931034482758</v>
      </c>
      <c r="I290">
        <v>9.433962264150944</v>
      </c>
      <c r="J290">
        <v>0</v>
      </c>
      <c r="K290">
        <v>0</v>
      </c>
      <c r="L290">
        <v>0</v>
      </c>
      <c r="M290">
        <v>7.1428571428571423</v>
      </c>
      <c r="N290">
        <f t="shared" si="4"/>
        <v>5.0874881046120892</v>
      </c>
    </row>
    <row r="291" spans="1:14" x14ac:dyDescent="0.45">
      <c r="A291">
        <v>390</v>
      </c>
      <c r="B291">
        <v>0</v>
      </c>
      <c r="C291">
        <v>0</v>
      </c>
      <c r="D291">
        <v>0</v>
      </c>
      <c r="E291">
        <v>10</v>
      </c>
      <c r="F291">
        <v>0</v>
      </c>
      <c r="G291">
        <v>4.1666666666666661</v>
      </c>
      <c r="H291">
        <v>6.8965517241379306</v>
      </c>
      <c r="I291">
        <v>1.8867924528301887</v>
      </c>
      <c r="J291">
        <v>0</v>
      </c>
      <c r="K291">
        <v>0</v>
      </c>
      <c r="L291">
        <v>0</v>
      </c>
      <c r="M291">
        <v>10.714285714285714</v>
      </c>
      <c r="N291">
        <f t="shared" si="4"/>
        <v>2.7138353158982698</v>
      </c>
    </row>
    <row r="292" spans="1:14" x14ac:dyDescent="0.45">
      <c r="A292">
        <v>391</v>
      </c>
      <c r="B292">
        <v>0</v>
      </c>
      <c r="C292">
        <v>0</v>
      </c>
      <c r="D292">
        <v>0</v>
      </c>
      <c r="E292">
        <v>30</v>
      </c>
      <c r="F292">
        <v>0</v>
      </c>
      <c r="G292">
        <v>20.833333333333336</v>
      </c>
      <c r="H292">
        <v>27.586206896551722</v>
      </c>
      <c r="I292">
        <v>11.320754716981133</v>
      </c>
      <c r="J292">
        <v>0</v>
      </c>
      <c r="K292">
        <v>0</v>
      </c>
      <c r="L292">
        <v>0</v>
      </c>
      <c r="M292">
        <v>46.428571428571431</v>
      </c>
      <c r="N292">
        <f t="shared" si="4"/>
        <v>11.288609734856447</v>
      </c>
    </row>
    <row r="293" spans="1:14" x14ac:dyDescent="0.45">
      <c r="A293">
        <v>392</v>
      </c>
      <c r="B293">
        <v>0</v>
      </c>
      <c r="C293">
        <v>0</v>
      </c>
      <c r="D293">
        <v>0</v>
      </c>
      <c r="E293">
        <v>10</v>
      </c>
      <c r="F293">
        <v>0</v>
      </c>
      <c r="G293">
        <v>4.1666666666666661</v>
      </c>
      <c r="H293">
        <v>6.8965517241379306</v>
      </c>
      <c r="I293">
        <v>1.8867924528301887</v>
      </c>
      <c r="J293">
        <v>0</v>
      </c>
      <c r="K293">
        <v>0</v>
      </c>
      <c r="L293">
        <v>0</v>
      </c>
      <c r="M293">
        <v>0</v>
      </c>
      <c r="N293">
        <f t="shared" si="4"/>
        <v>1.7906268896652944</v>
      </c>
    </row>
    <row r="294" spans="1:14" x14ac:dyDescent="0.45">
      <c r="A294">
        <v>393</v>
      </c>
      <c r="B294">
        <v>0</v>
      </c>
      <c r="C294">
        <v>0</v>
      </c>
      <c r="D294">
        <v>0</v>
      </c>
      <c r="E294">
        <v>10</v>
      </c>
      <c r="F294">
        <v>0</v>
      </c>
      <c r="G294">
        <v>0</v>
      </c>
      <c r="H294">
        <v>3.4482758620689653</v>
      </c>
      <c r="I294">
        <v>1.8867924528301887</v>
      </c>
      <c r="J294">
        <v>0</v>
      </c>
      <c r="K294">
        <v>0</v>
      </c>
      <c r="L294">
        <v>0</v>
      </c>
      <c r="M294">
        <v>10.714285714285714</v>
      </c>
      <c r="N294">
        <f t="shared" si="4"/>
        <v>2.0208998705903767</v>
      </c>
    </row>
    <row r="295" spans="1:14" x14ac:dyDescent="0.45">
      <c r="A295">
        <v>394</v>
      </c>
      <c r="B295">
        <v>0</v>
      </c>
      <c r="C295">
        <v>1</v>
      </c>
      <c r="D295">
        <v>0</v>
      </c>
      <c r="E295">
        <v>10</v>
      </c>
      <c r="F295">
        <v>0</v>
      </c>
      <c r="G295">
        <v>12.5</v>
      </c>
      <c r="H295">
        <v>6.8965517241379306</v>
      </c>
      <c r="I295">
        <v>1.8867924528301887</v>
      </c>
      <c r="J295">
        <v>0</v>
      </c>
      <c r="K295">
        <v>0</v>
      </c>
      <c r="L295">
        <v>0</v>
      </c>
      <c r="M295">
        <v>39.285714285714285</v>
      </c>
      <c r="N295">
        <f t="shared" si="4"/>
        <v>6.0172885705798773</v>
      </c>
    </row>
    <row r="296" spans="1:14" x14ac:dyDescent="0.45">
      <c r="A296">
        <v>395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7.1428571428571423</v>
      </c>
      <c r="N296">
        <f t="shared" si="4"/>
        <v>0.61547228415531696</v>
      </c>
    </row>
    <row r="297" spans="1:14" x14ac:dyDescent="0.45">
      <c r="A297">
        <v>397</v>
      </c>
      <c r="B297">
        <v>0</v>
      </c>
      <c r="C297">
        <v>0</v>
      </c>
      <c r="D297">
        <v>11.111111111111111</v>
      </c>
      <c r="E297">
        <v>30</v>
      </c>
      <c r="F297">
        <v>33.333333333333329</v>
      </c>
      <c r="G297">
        <v>16.666666666666664</v>
      </c>
      <c r="H297">
        <v>24.137931034482758</v>
      </c>
      <c r="I297">
        <v>16.981132075471699</v>
      </c>
      <c r="J297">
        <v>13.333333333333334</v>
      </c>
      <c r="K297">
        <v>33.333333333333329</v>
      </c>
      <c r="L297">
        <v>0</v>
      </c>
      <c r="M297">
        <v>82.142857142857139</v>
      </c>
      <c r="N297">
        <f t="shared" si="4"/>
        <v>23.225751706809017</v>
      </c>
    </row>
    <row r="298" spans="1:14" x14ac:dyDescent="0.45">
      <c r="A298">
        <v>398</v>
      </c>
      <c r="B298">
        <v>0</v>
      </c>
      <c r="C298">
        <v>0</v>
      </c>
      <c r="D298">
        <v>11.111111111111111</v>
      </c>
      <c r="E298">
        <v>60</v>
      </c>
      <c r="F298">
        <v>0</v>
      </c>
      <c r="G298">
        <v>62.5</v>
      </c>
      <c r="H298">
        <v>72.41379310344827</v>
      </c>
      <c r="I298">
        <v>28.30188679245283</v>
      </c>
      <c r="J298">
        <v>6.666666666666667</v>
      </c>
      <c r="K298">
        <v>27.777777777777779</v>
      </c>
      <c r="L298">
        <v>7.1428571428571423</v>
      </c>
      <c r="M298">
        <v>60.714285714285708</v>
      </c>
      <c r="N298">
        <f t="shared" si="4"/>
        <v>30.428955978644215</v>
      </c>
    </row>
    <row r="299" spans="1:14" x14ac:dyDescent="0.45">
      <c r="A299">
        <v>399</v>
      </c>
      <c r="B299">
        <v>0</v>
      </c>
      <c r="C299">
        <v>0</v>
      </c>
      <c r="D299">
        <v>11.111111111111111</v>
      </c>
      <c r="E299">
        <v>60</v>
      </c>
      <c r="F299">
        <v>0</v>
      </c>
      <c r="G299">
        <v>62.5</v>
      </c>
      <c r="H299">
        <v>72.41379310344827</v>
      </c>
      <c r="I299">
        <v>28.30188679245283</v>
      </c>
      <c r="J299">
        <v>6.666666666666667</v>
      </c>
      <c r="K299">
        <v>27.777777777777779</v>
      </c>
      <c r="L299">
        <v>7.1428571428571423</v>
      </c>
      <c r="M299">
        <v>60.714285714285708</v>
      </c>
      <c r="N299">
        <f t="shared" si="4"/>
        <v>30.428955978644215</v>
      </c>
    </row>
    <row r="300" spans="1:14" x14ac:dyDescent="0.45">
      <c r="A300">
        <v>400</v>
      </c>
      <c r="B300">
        <v>0</v>
      </c>
      <c r="C300">
        <v>0</v>
      </c>
      <c r="D300">
        <v>11.111111111111111</v>
      </c>
      <c r="E300">
        <v>40</v>
      </c>
      <c r="F300">
        <v>33.333333333333329</v>
      </c>
      <c r="G300">
        <v>29.166666666666668</v>
      </c>
      <c r="H300">
        <v>37.931034482758619</v>
      </c>
      <c r="I300">
        <v>11.320754716981133</v>
      </c>
      <c r="J300">
        <v>13.333333333333334</v>
      </c>
      <c r="K300">
        <v>5.5555555555555554</v>
      </c>
      <c r="L300">
        <v>0</v>
      </c>
      <c r="M300">
        <v>60.714285714285708</v>
      </c>
      <c r="N300">
        <f t="shared" si="4"/>
        <v>20.382197713987274</v>
      </c>
    </row>
    <row r="301" spans="1:14" x14ac:dyDescent="0.45">
      <c r="A301">
        <v>401</v>
      </c>
      <c r="B301">
        <v>0</v>
      </c>
      <c r="C301">
        <v>0</v>
      </c>
      <c r="D301">
        <v>11.111111111111111</v>
      </c>
      <c r="E301">
        <v>30</v>
      </c>
      <c r="F301">
        <v>0</v>
      </c>
      <c r="G301">
        <v>4.1666666666666661</v>
      </c>
      <c r="H301">
        <v>13.793103448275861</v>
      </c>
      <c r="I301">
        <v>0</v>
      </c>
      <c r="J301">
        <v>0</v>
      </c>
      <c r="K301">
        <v>0</v>
      </c>
      <c r="L301">
        <v>0</v>
      </c>
      <c r="M301">
        <v>7.1428571428571423</v>
      </c>
      <c r="N301">
        <f t="shared" si="4"/>
        <v>5.3992930506503978</v>
      </c>
    </row>
    <row r="302" spans="1:14" x14ac:dyDescent="0.45">
      <c r="A302">
        <v>402</v>
      </c>
      <c r="B302">
        <v>0</v>
      </c>
      <c r="C302">
        <v>1</v>
      </c>
      <c r="D302">
        <v>0</v>
      </c>
      <c r="E302">
        <v>20</v>
      </c>
      <c r="F302">
        <v>0</v>
      </c>
      <c r="G302">
        <v>4.1666666666666661</v>
      </c>
      <c r="H302">
        <v>13.793103448275861</v>
      </c>
      <c r="I302">
        <v>1.8867924528301887</v>
      </c>
      <c r="J302">
        <v>0</v>
      </c>
      <c r="K302">
        <v>0</v>
      </c>
      <c r="L302">
        <v>0</v>
      </c>
      <c r="M302">
        <v>10.714285714285714</v>
      </c>
      <c r="N302">
        <f t="shared" si="4"/>
        <v>3.9069173704549875</v>
      </c>
    </row>
    <row r="303" spans="1:14" x14ac:dyDescent="0.45">
      <c r="A303">
        <v>404</v>
      </c>
      <c r="B303">
        <v>0</v>
      </c>
      <c r="C303">
        <v>0</v>
      </c>
      <c r="D303">
        <v>11.111111111111111</v>
      </c>
      <c r="E303">
        <v>10</v>
      </c>
      <c r="F303">
        <v>0</v>
      </c>
      <c r="G303">
        <v>16.666666666666664</v>
      </c>
      <c r="H303">
        <v>27.586206896551722</v>
      </c>
      <c r="I303">
        <v>7.5471698113207548</v>
      </c>
      <c r="J303">
        <v>0</v>
      </c>
      <c r="K303">
        <v>0</v>
      </c>
      <c r="L303">
        <v>0</v>
      </c>
      <c r="M303">
        <v>21.428571428571427</v>
      </c>
      <c r="N303">
        <f t="shared" si="4"/>
        <v>8.390697881473514</v>
      </c>
    </row>
    <row r="304" spans="1:14" x14ac:dyDescent="0.45">
      <c r="A304">
        <v>405</v>
      </c>
      <c r="B304">
        <v>0</v>
      </c>
      <c r="C304">
        <v>0</v>
      </c>
      <c r="D304">
        <v>22.222222222222221</v>
      </c>
      <c r="E304">
        <v>20</v>
      </c>
      <c r="F304">
        <v>0</v>
      </c>
      <c r="G304">
        <v>16.666666666666664</v>
      </c>
      <c r="H304">
        <v>10.344827586206897</v>
      </c>
      <c r="I304">
        <v>7.5471698113207548</v>
      </c>
      <c r="J304">
        <v>0</v>
      </c>
      <c r="K304">
        <v>0</v>
      </c>
      <c r="L304">
        <v>0</v>
      </c>
      <c r="M304">
        <v>14.285714285714285</v>
      </c>
      <c r="N304">
        <f t="shared" si="4"/>
        <v>8.391333264281057</v>
      </c>
    </row>
    <row r="305" spans="1:14" x14ac:dyDescent="0.45">
      <c r="A305">
        <v>406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4.1666666666666661</v>
      </c>
      <c r="H305">
        <v>6.8965517241379306</v>
      </c>
      <c r="I305">
        <v>9.433962264150944</v>
      </c>
      <c r="J305">
        <v>0</v>
      </c>
      <c r="K305">
        <v>33.333333333333329</v>
      </c>
      <c r="L305">
        <v>0</v>
      </c>
      <c r="M305">
        <v>17.857142857142858</v>
      </c>
      <c r="N305">
        <f t="shared" si="4"/>
        <v>7.5474840019538361</v>
      </c>
    </row>
    <row r="306" spans="1:14" x14ac:dyDescent="0.45">
      <c r="A306">
        <v>407</v>
      </c>
      <c r="B306">
        <v>0</v>
      </c>
      <c r="C306">
        <v>1</v>
      </c>
      <c r="D306">
        <v>11.111111111111111</v>
      </c>
      <c r="E306">
        <v>0</v>
      </c>
      <c r="F306">
        <v>0</v>
      </c>
      <c r="G306">
        <v>4.1666666666666661</v>
      </c>
      <c r="H306">
        <v>6.8965517241379306</v>
      </c>
      <c r="I306">
        <v>11.320754716981133</v>
      </c>
      <c r="J306">
        <v>13.333333333333334</v>
      </c>
      <c r="K306">
        <v>33.333333333333329</v>
      </c>
      <c r="L306">
        <v>0</v>
      </c>
      <c r="M306">
        <v>32.142857142857146</v>
      </c>
      <c r="N306">
        <f t="shared" si="4"/>
        <v>11.540839404500085</v>
      </c>
    </row>
    <row r="307" spans="1:14" x14ac:dyDescent="0.45">
      <c r="A307">
        <v>408</v>
      </c>
      <c r="B307">
        <v>0</v>
      </c>
      <c r="C307">
        <v>1</v>
      </c>
      <c r="D307">
        <v>11.111111111111111</v>
      </c>
      <c r="E307">
        <v>0</v>
      </c>
      <c r="F307">
        <v>0</v>
      </c>
      <c r="G307">
        <v>4.1666666666666661</v>
      </c>
      <c r="H307">
        <v>6.8965517241379306</v>
      </c>
      <c r="I307">
        <v>5.6603773584905666</v>
      </c>
      <c r="J307">
        <v>0</v>
      </c>
      <c r="K307">
        <v>27.777777777777779</v>
      </c>
      <c r="L307">
        <v>0</v>
      </c>
      <c r="M307">
        <v>28.571428571428569</v>
      </c>
      <c r="N307">
        <f t="shared" si="4"/>
        <v>8.7519494291155535</v>
      </c>
    </row>
    <row r="308" spans="1:14" x14ac:dyDescent="0.45">
      <c r="A308">
        <v>409</v>
      </c>
      <c r="B308">
        <v>0</v>
      </c>
      <c r="C308">
        <v>1</v>
      </c>
      <c r="D308">
        <v>11.111111111111111</v>
      </c>
      <c r="E308">
        <v>0</v>
      </c>
      <c r="F308">
        <v>0</v>
      </c>
      <c r="G308">
        <v>4.1666666666666661</v>
      </c>
      <c r="H308">
        <v>6.8965517241379306</v>
      </c>
      <c r="I308">
        <v>9.433962264150944</v>
      </c>
      <c r="J308">
        <v>0</v>
      </c>
      <c r="K308">
        <v>33.333333333333329</v>
      </c>
      <c r="L308">
        <v>0</v>
      </c>
      <c r="M308">
        <v>28.571428571428569</v>
      </c>
      <c r="N308">
        <f t="shared" si="4"/>
        <v>9.7987917445370147</v>
      </c>
    </row>
    <row r="309" spans="1:14" x14ac:dyDescent="0.45">
      <c r="A309">
        <v>410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11.320754716981133</v>
      </c>
      <c r="J309">
        <v>0</v>
      </c>
      <c r="K309">
        <v>5.5555555555555554</v>
      </c>
      <c r="L309">
        <v>0</v>
      </c>
      <c r="M309">
        <v>7.1428571428571423</v>
      </c>
      <c r="N309">
        <f t="shared" si="4"/>
        <v>2.3693657038904048</v>
      </c>
    </row>
    <row r="310" spans="1:14" x14ac:dyDescent="0.45">
      <c r="A310">
        <v>411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11.320754716981133</v>
      </c>
      <c r="J310">
        <v>0</v>
      </c>
      <c r="K310">
        <v>5.5555555555555554</v>
      </c>
      <c r="L310">
        <v>0</v>
      </c>
      <c r="M310">
        <v>7.1428571428571423</v>
      </c>
      <c r="N310">
        <f t="shared" si="4"/>
        <v>2.3693657038904048</v>
      </c>
    </row>
    <row r="311" spans="1:14" x14ac:dyDescent="0.45">
      <c r="A311">
        <v>412</v>
      </c>
      <c r="B311">
        <v>0</v>
      </c>
      <c r="C311">
        <v>0</v>
      </c>
      <c r="D311">
        <v>11.111111111111111</v>
      </c>
      <c r="E311">
        <v>0</v>
      </c>
      <c r="F311">
        <v>0</v>
      </c>
      <c r="G311">
        <v>4.1666666666666661</v>
      </c>
      <c r="H311">
        <v>6.8965517241379306</v>
      </c>
      <c r="I311">
        <v>11.320754716981133</v>
      </c>
      <c r="J311">
        <v>13.333333333333334</v>
      </c>
      <c r="K311">
        <v>27.777777777777779</v>
      </c>
      <c r="L311">
        <v>0</v>
      </c>
      <c r="M311">
        <v>53.571428571428569</v>
      </c>
      <c r="N311">
        <f t="shared" si="4"/>
        <v>12.693939493701386</v>
      </c>
    </row>
    <row r="312" spans="1:14" x14ac:dyDescent="0.45">
      <c r="A312">
        <v>413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1.8867924528301887</v>
      </c>
      <c r="J312">
        <v>0</v>
      </c>
      <c r="K312">
        <v>0</v>
      </c>
      <c r="L312">
        <v>0</v>
      </c>
      <c r="M312">
        <v>28.571428571428569</v>
      </c>
      <c r="N312">
        <f t="shared" si="4"/>
        <v>2.6386519126996744</v>
      </c>
    </row>
    <row r="313" spans="1:14" x14ac:dyDescent="0.45">
      <c r="A313">
        <v>414</v>
      </c>
      <c r="B313">
        <v>0</v>
      </c>
      <c r="C313">
        <v>0</v>
      </c>
      <c r="D313">
        <v>0</v>
      </c>
      <c r="E313">
        <v>20</v>
      </c>
      <c r="F313">
        <v>0</v>
      </c>
      <c r="G313">
        <v>8.3333333333333321</v>
      </c>
      <c r="H313">
        <v>17.241379310344829</v>
      </c>
      <c r="I313">
        <v>9.433962264150944</v>
      </c>
      <c r="J313">
        <v>13.333333333333334</v>
      </c>
      <c r="K313">
        <v>27.777777777777779</v>
      </c>
      <c r="L313">
        <v>0</v>
      </c>
      <c r="M313">
        <v>32.142857142857146</v>
      </c>
      <c r="N313">
        <f t="shared" si="4"/>
        <v>11.87745333067271</v>
      </c>
    </row>
    <row r="314" spans="1:14" x14ac:dyDescent="0.45">
      <c r="A314">
        <v>415</v>
      </c>
      <c r="B314">
        <v>0</v>
      </c>
      <c r="C314">
        <v>1</v>
      </c>
      <c r="D314">
        <v>0</v>
      </c>
      <c r="E314">
        <v>20</v>
      </c>
      <c r="F314">
        <v>0</v>
      </c>
      <c r="G314">
        <v>8.3333333333333321</v>
      </c>
      <c r="H314">
        <v>13.793103448275861</v>
      </c>
      <c r="I314">
        <v>9.433962264150944</v>
      </c>
      <c r="J314">
        <v>6.666666666666667</v>
      </c>
      <c r="K314">
        <v>27.777777777777779</v>
      </c>
      <c r="L314">
        <v>0</v>
      </c>
      <c r="M314">
        <v>32.142857142857146</v>
      </c>
      <c r="N314">
        <f t="shared" si="4"/>
        <v>10.976525573491484</v>
      </c>
    </row>
    <row r="315" spans="1:14" x14ac:dyDescent="0.45">
      <c r="A315">
        <v>416</v>
      </c>
      <c r="B315">
        <v>0</v>
      </c>
      <c r="C315">
        <v>0</v>
      </c>
      <c r="D315">
        <v>11.111111111111111</v>
      </c>
      <c r="E315">
        <v>30</v>
      </c>
      <c r="F315">
        <v>0</v>
      </c>
      <c r="G315">
        <v>20.833333333333336</v>
      </c>
      <c r="H315">
        <v>27.586206896551722</v>
      </c>
      <c r="I315">
        <v>16.981132075471699</v>
      </c>
      <c r="J315">
        <v>20</v>
      </c>
      <c r="K315">
        <v>38.888888888888893</v>
      </c>
      <c r="L315">
        <v>0</v>
      </c>
      <c r="M315">
        <v>39.285714285714285</v>
      </c>
      <c r="N315">
        <f t="shared" si="4"/>
        <v>19.271065550849606</v>
      </c>
    </row>
    <row r="316" spans="1:14" x14ac:dyDescent="0.45">
      <c r="A316">
        <v>417</v>
      </c>
      <c r="B316">
        <v>0</v>
      </c>
      <c r="C316">
        <v>0</v>
      </c>
      <c r="D316">
        <v>11.111111111111111</v>
      </c>
      <c r="E316">
        <v>30</v>
      </c>
      <c r="F316">
        <v>0</v>
      </c>
      <c r="G316">
        <v>20.833333333333336</v>
      </c>
      <c r="H316">
        <v>27.586206896551722</v>
      </c>
      <c r="I316">
        <v>16.981132075471699</v>
      </c>
      <c r="J316">
        <v>20</v>
      </c>
      <c r="K316">
        <v>38.888888888888893</v>
      </c>
      <c r="L316">
        <v>0</v>
      </c>
      <c r="M316">
        <v>39.285714285714285</v>
      </c>
      <c r="N316">
        <f t="shared" si="4"/>
        <v>19.271065550849606</v>
      </c>
    </row>
    <row r="317" spans="1:14" x14ac:dyDescent="0.45">
      <c r="A317">
        <v>418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8.3333333333333321</v>
      </c>
      <c r="H317">
        <v>0</v>
      </c>
      <c r="I317">
        <v>9.433962264150944</v>
      </c>
      <c r="J317">
        <v>6.666666666666667</v>
      </c>
      <c r="K317">
        <v>27.777777777777779</v>
      </c>
      <c r="L317">
        <v>0</v>
      </c>
      <c r="M317">
        <v>35.714285714285715</v>
      </c>
      <c r="N317">
        <f t="shared" si="4"/>
        <v>8.8980976064557069</v>
      </c>
    </row>
    <row r="318" spans="1:14" x14ac:dyDescent="0.45">
      <c r="A318">
        <v>421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3.7735849056603774</v>
      </c>
      <c r="J318">
        <v>6.666666666666667</v>
      </c>
      <c r="K318">
        <v>22.222222222222221</v>
      </c>
      <c r="L318">
        <v>0</v>
      </c>
      <c r="M318">
        <v>0</v>
      </c>
      <c r="N318">
        <f t="shared" si="4"/>
        <v>3.7555669761189132</v>
      </c>
    </row>
    <row r="319" spans="1:14" x14ac:dyDescent="0.45">
      <c r="A319">
        <v>422</v>
      </c>
      <c r="B319">
        <v>0</v>
      </c>
      <c r="C319">
        <v>0</v>
      </c>
      <c r="D319">
        <v>0</v>
      </c>
      <c r="E319">
        <v>30</v>
      </c>
      <c r="F319">
        <v>33.333333333333329</v>
      </c>
      <c r="G319">
        <v>29.166666666666668</v>
      </c>
      <c r="H319">
        <v>20.689655172413794</v>
      </c>
      <c r="I319">
        <v>1.8867924528301887</v>
      </c>
      <c r="J319">
        <v>0</v>
      </c>
      <c r="K319">
        <v>11.111111111111111</v>
      </c>
      <c r="L319">
        <v>0</v>
      </c>
      <c r="M319">
        <v>14.285714285714285</v>
      </c>
      <c r="N319">
        <f t="shared" si="4"/>
        <v>11.595940478303234</v>
      </c>
    </row>
    <row r="320" spans="1:14" x14ac:dyDescent="0.45">
      <c r="A320">
        <v>423</v>
      </c>
      <c r="B320">
        <v>1</v>
      </c>
      <c r="C320">
        <v>0</v>
      </c>
      <c r="D320">
        <v>22.222222222222221</v>
      </c>
      <c r="E320">
        <v>20</v>
      </c>
      <c r="F320">
        <v>0</v>
      </c>
      <c r="G320">
        <v>54.166666666666664</v>
      </c>
      <c r="H320">
        <v>55.172413793103445</v>
      </c>
      <c r="I320">
        <v>47.169811320754718</v>
      </c>
      <c r="J320">
        <v>40</v>
      </c>
      <c r="K320">
        <v>38.888888888888893</v>
      </c>
      <c r="L320">
        <v>14.285714285714285</v>
      </c>
      <c r="M320">
        <v>35.714285714285715</v>
      </c>
      <c r="N320">
        <f t="shared" si="4"/>
        <v>32.306541994106254</v>
      </c>
    </row>
    <row r="321" spans="1:14" x14ac:dyDescent="0.45">
      <c r="A321">
        <v>424</v>
      </c>
      <c r="B321">
        <v>0</v>
      </c>
      <c r="C321">
        <v>0</v>
      </c>
      <c r="D321">
        <v>22.222222222222221</v>
      </c>
      <c r="E321">
        <v>30</v>
      </c>
      <c r="F321">
        <v>0</v>
      </c>
      <c r="G321">
        <v>29.166666666666668</v>
      </c>
      <c r="H321">
        <v>48.275862068965516</v>
      </c>
      <c r="I321">
        <v>33.962264150943398</v>
      </c>
      <c r="J321">
        <v>33.333333333333329</v>
      </c>
      <c r="K321">
        <v>38.888888888888893</v>
      </c>
      <c r="L321">
        <v>14.285714285714285</v>
      </c>
      <c r="M321">
        <v>46.428571428571431</v>
      </c>
      <c r="N321">
        <f t="shared" si="4"/>
        <v>28.943412772151692</v>
      </c>
    </row>
    <row r="322" spans="1:14" x14ac:dyDescent="0.45">
      <c r="A322">
        <v>425</v>
      </c>
      <c r="B322">
        <v>0</v>
      </c>
      <c r="C322">
        <v>0</v>
      </c>
      <c r="D322">
        <v>22.222222222222221</v>
      </c>
      <c r="E322">
        <v>30</v>
      </c>
      <c r="F322">
        <v>0</v>
      </c>
      <c r="G322">
        <v>41.666666666666671</v>
      </c>
      <c r="H322">
        <v>62.068965517241381</v>
      </c>
      <c r="I322">
        <v>47.169811320754718</v>
      </c>
      <c r="J322">
        <v>26.666666666666668</v>
      </c>
      <c r="K322">
        <v>50</v>
      </c>
      <c r="L322">
        <v>14.285714285714285</v>
      </c>
      <c r="M322">
        <v>35.714285714285715</v>
      </c>
      <c r="N322">
        <f t="shared" si="4"/>
        <v>32.366362656294754</v>
      </c>
    </row>
    <row r="323" spans="1:14" x14ac:dyDescent="0.45">
      <c r="A323">
        <v>426</v>
      </c>
      <c r="B323">
        <v>0</v>
      </c>
      <c r="C323">
        <v>0</v>
      </c>
      <c r="D323">
        <v>33.333333333333329</v>
      </c>
      <c r="E323">
        <v>60</v>
      </c>
      <c r="F323">
        <v>33.333333333333329</v>
      </c>
      <c r="G323">
        <v>50</v>
      </c>
      <c r="H323">
        <v>51.724137931034484</v>
      </c>
      <c r="I323">
        <v>30.188679245283019</v>
      </c>
      <c r="J323">
        <v>13.333333333333334</v>
      </c>
      <c r="K323">
        <v>11.111111111111111</v>
      </c>
      <c r="L323">
        <v>14.285714285714285</v>
      </c>
      <c r="M323">
        <v>21.428571428571427</v>
      </c>
      <c r="N323">
        <f t="shared" si="4"/>
        <v>29.010195170703657</v>
      </c>
    </row>
    <row r="324" spans="1:14" x14ac:dyDescent="0.45">
      <c r="A324">
        <v>430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5.6603773584905666</v>
      </c>
      <c r="J324">
        <v>0</v>
      </c>
      <c r="K324">
        <v>0</v>
      </c>
      <c r="L324">
        <v>0</v>
      </c>
      <c r="M324">
        <v>32.142857142857146</v>
      </c>
      <c r="N324">
        <f t="shared" si="4"/>
        <v>3.2999136069341457</v>
      </c>
    </row>
    <row r="325" spans="1:14" x14ac:dyDescent="0.45">
      <c r="A325">
        <v>431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1.8867924528301887</v>
      </c>
      <c r="J325">
        <v>6.666666666666667</v>
      </c>
      <c r="K325">
        <v>5.5555555555555554</v>
      </c>
      <c r="L325">
        <v>0</v>
      </c>
      <c r="M325">
        <v>25</v>
      </c>
      <c r="N325">
        <f t="shared" ref="N325:N388" si="5">D325*D$1+E325*E$1+F325*F$1+G325*G$1+H325*H$1+I325*I$1+J325*J$1+K325*K$1+L325*L$1+M325*M$1</f>
        <v>3.6530069047901681</v>
      </c>
    </row>
    <row r="326" spans="1:14" x14ac:dyDescent="0.45">
      <c r="A326">
        <v>432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3.4482758620689653</v>
      </c>
      <c r="I326">
        <v>16.981132075471699</v>
      </c>
      <c r="J326">
        <v>0</v>
      </c>
      <c r="K326">
        <v>5.5555555555555554</v>
      </c>
      <c r="L326">
        <v>0</v>
      </c>
      <c r="M326">
        <v>25</v>
      </c>
      <c r="N326">
        <f t="shared" si="5"/>
        <v>4.7104881287916402</v>
      </c>
    </row>
    <row r="327" spans="1:14" x14ac:dyDescent="0.45">
      <c r="A327">
        <v>433</v>
      </c>
      <c r="B327">
        <v>0</v>
      </c>
      <c r="C327">
        <v>0</v>
      </c>
      <c r="D327">
        <v>11.111111111111111</v>
      </c>
      <c r="E327">
        <v>20</v>
      </c>
      <c r="F327">
        <v>33.333333333333329</v>
      </c>
      <c r="G327">
        <v>29.166666666666668</v>
      </c>
      <c r="H327">
        <v>51.724137931034484</v>
      </c>
      <c r="I327">
        <v>39.622641509433961</v>
      </c>
      <c r="J327">
        <v>6.666666666666667</v>
      </c>
      <c r="K327">
        <v>16.666666666666664</v>
      </c>
      <c r="L327">
        <v>50</v>
      </c>
      <c r="M327">
        <v>42.857142857142854</v>
      </c>
      <c r="N327">
        <f t="shared" si="5"/>
        <v>30.464451886459493</v>
      </c>
    </row>
    <row r="328" spans="1:14" x14ac:dyDescent="0.45">
      <c r="A328">
        <v>434</v>
      </c>
      <c r="B328">
        <v>0</v>
      </c>
      <c r="C328">
        <v>0</v>
      </c>
      <c r="D328">
        <v>22.222222222222221</v>
      </c>
      <c r="E328">
        <v>50</v>
      </c>
      <c r="F328">
        <v>33.333333333333329</v>
      </c>
      <c r="G328">
        <v>16.666666666666664</v>
      </c>
      <c r="H328">
        <v>24.137931034482758</v>
      </c>
      <c r="I328">
        <v>13.20754716981132</v>
      </c>
      <c r="J328">
        <v>13.333333333333334</v>
      </c>
      <c r="K328">
        <v>0</v>
      </c>
      <c r="L328">
        <v>0</v>
      </c>
      <c r="M328">
        <v>28.571428571428569</v>
      </c>
      <c r="N328">
        <f t="shared" si="5"/>
        <v>16.721933324252177</v>
      </c>
    </row>
    <row r="329" spans="1:14" x14ac:dyDescent="0.45">
      <c r="A329">
        <v>435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3.4482758620689653</v>
      </c>
      <c r="I329">
        <v>13.20754716981132</v>
      </c>
      <c r="J329">
        <v>6.666666666666667</v>
      </c>
      <c r="K329">
        <v>0</v>
      </c>
      <c r="L329">
        <v>0</v>
      </c>
      <c r="M329">
        <v>14.285714285714285</v>
      </c>
      <c r="N329">
        <f t="shared" si="5"/>
        <v>3.3692117580407048</v>
      </c>
    </row>
    <row r="330" spans="1:14" x14ac:dyDescent="0.45">
      <c r="A330">
        <v>436</v>
      </c>
      <c r="B330">
        <v>0</v>
      </c>
      <c r="C330">
        <v>0</v>
      </c>
      <c r="D330">
        <v>33.333333333333329</v>
      </c>
      <c r="E330">
        <v>10</v>
      </c>
      <c r="F330">
        <v>66.666666666666657</v>
      </c>
      <c r="G330">
        <v>12.5</v>
      </c>
      <c r="H330">
        <v>24.137931034482758</v>
      </c>
      <c r="I330">
        <v>26.415094339622641</v>
      </c>
      <c r="J330">
        <v>33.333333333333329</v>
      </c>
      <c r="K330">
        <v>50</v>
      </c>
      <c r="L330">
        <v>0</v>
      </c>
      <c r="M330">
        <v>28.571428571428569</v>
      </c>
      <c r="N330">
        <f t="shared" si="5"/>
        <v>26.674541898711873</v>
      </c>
    </row>
    <row r="331" spans="1:14" x14ac:dyDescent="0.45">
      <c r="A331">
        <v>437</v>
      </c>
      <c r="B331">
        <v>1</v>
      </c>
      <c r="C331">
        <v>0</v>
      </c>
      <c r="D331">
        <v>22.222222222222221</v>
      </c>
      <c r="E331">
        <v>10</v>
      </c>
      <c r="F331">
        <v>66.666666666666657</v>
      </c>
      <c r="G331">
        <v>29.166666666666668</v>
      </c>
      <c r="H331">
        <v>34.482758620689658</v>
      </c>
      <c r="I331">
        <v>33.962264150943398</v>
      </c>
      <c r="J331">
        <v>40</v>
      </c>
      <c r="K331">
        <v>55.555555555555557</v>
      </c>
      <c r="L331">
        <v>0</v>
      </c>
      <c r="M331">
        <v>32.142857142857146</v>
      </c>
      <c r="N331">
        <f t="shared" si="5"/>
        <v>30.182909357874955</v>
      </c>
    </row>
    <row r="332" spans="1:14" x14ac:dyDescent="0.45">
      <c r="A332">
        <v>438</v>
      </c>
      <c r="B332">
        <v>0</v>
      </c>
      <c r="C332">
        <v>0</v>
      </c>
      <c r="D332">
        <v>11.111111111111111</v>
      </c>
      <c r="E332">
        <v>20</v>
      </c>
      <c r="F332">
        <v>66.666666666666657</v>
      </c>
      <c r="G332">
        <v>62.5</v>
      </c>
      <c r="H332">
        <v>58.620689655172406</v>
      </c>
      <c r="I332">
        <v>92.452830188679243</v>
      </c>
      <c r="J332">
        <v>73.333333333333329</v>
      </c>
      <c r="K332">
        <v>77.777777777777786</v>
      </c>
      <c r="L332">
        <v>35.714285714285715</v>
      </c>
      <c r="M332">
        <v>82.142857142857139</v>
      </c>
      <c r="N332">
        <f t="shared" si="5"/>
        <v>56.494700101198418</v>
      </c>
    </row>
    <row r="333" spans="1:14" x14ac:dyDescent="0.45">
      <c r="A333">
        <v>439</v>
      </c>
      <c r="B333">
        <v>0</v>
      </c>
      <c r="C333">
        <v>0</v>
      </c>
      <c r="D333">
        <v>11.111111111111111</v>
      </c>
      <c r="E333">
        <v>10</v>
      </c>
      <c r="F333">
        <v>100</v>
      </c>
      <c r="G333">
        <v>58.333333333333336</v>
      </c>
      <c r="H333">
        <v>51.724137931034484</v>
      </c>
      <c r="I333">
        <v>86.79245283018868</v>
      </c>
      <c r="J333">
        <v>100</v>
      </c>
      <c r="K333">
        <v>88.888888888888886</v>
      </c>
      <c r="L333">
        <v>35.714285714285715</v>
      </c>
      <c r="M333">
        <v>67.857142857142861</v>
      </c>
      <c r="N333">
        <f t="shared" si="5"/>
        <v>59.298213131712544</v>
      </c>
    </row>
    <row r="334" spans="1:14" x14ac:dyDescent="0.45">
      <c r="A334">
        <v>440</v>
      </c>
      <c r="B334">
        <v>0</v>
      </c>
      <c r="C334">
        <v>0</v>
      </c>
      <c r="D334">
        <v>11.111111111111111</v>
      </c>
      <c r="E334">
        <v>20</v>
      </c>
      <c r="F334">
        <v>100</v>
      </c>
      <c r="G334">
        <v>62.5</v>
      </c>
      <c r="H334">
        <v>44.827586206896555</v>
      </c>
      <c r="I334">
        <v>83.018867924528308</v>
      </c>
      <c r="J334">
        <v>93.333333333333329</v>
      </c>
      <c r="K334">
        <v>88.888888888888886</v>
      </c>
      <c r="L334">
        <v>35.714285714285715</v>
      </c>
      <c r="M334">
        <v>67.857142857142861</v>
      </c>
      <c r="N334">
        <f t="shared" si="5"/>
        <v>58.84116377712823</v>
      </c>
    </row>
    <row r="335" spans="1:14" x14ac:dyDescent="0.45">
      <c r="A335">
        <v>441</v>
      </c>
      <c r="B335">
        <v>0</v>
      </c>
      <c r="C335">
        <v>0</v>
      </c>
      <c r="D335">
        <v>33.333333333333329</v>
      </c>
      <c r="E335">
        <v>40</v>
      </c>
      <c r="F335">
        <v>33.333333333333329</v>
      </c>
      <c r="G335">
        <v>75</v>
      </c>
      <c r="H335">
        <v>41.379310344827587</v>
      </c>
      <c r="I335">
        <v>43.39622641509434</v>
      </c>
      <c r="J335">
        <v>86.666666666666671</v>
      </c>
      <c r="K335">
        <v>27.777777777777779</v>
      </c>
      <c r="L335">
        <v>7.1428571428571423</v>
      </c>
      <c r="M335">
        <v>85.714285714285708</v>
      </c>
      <c r="N335">
        <f t="shared" si="5"/>
        <v>43.990996432449521</v>
      </c>
    </row>
    <row r="336" spans="1:14" x14ac:dyDescent="0.45">
      <c r="A336">
        <v>442</v>
      </c>
      <c r="B336">
        <v>0</v>
      </c>
      <c r="C336">
        <v>0</v>
      </c>
      <c r="D336">
        <v>33.333333333333329</v>
      </c>
      <c r="E336">
        <v>50</v>
      </c>
      <c r="F336">
        <v>66.666666666666657</v>
      </c>
      <c r="G336">
        <v>75</v>
      </c>
      <c r="H336">
        <v>55.172413793103445</v>
      </c>
      <c r="I336">
        <v>49.056603773584904</v>
      </c>
      <c r="J336">
        <v>100</v>
      </c>
      <c r="K336">
        <v>27.777777777777779</v>
      </c>
      <c r="L336">
        <v>7.1428571428571423</v>
      </c>
      <c r="M336">
        <v>89.285714285714292</v>
      </c>
      <c r="N336">
        <f t="shared" si="5"/>
        <v>50.100837502185129</v>
      </c>
    </row>
    <row r="337" spans="1:14" x14ac:dyDescent="0.45">
      <c r="A337">
        <v>443</v>
      </c>
      <c r="B337">
        <v>0</v>
      </c>
      <c r="C337">
        <v>0</v>
      </c>
      <c r="D337">
        <v>33.333333333333329</v>
      </c>
      <c r="E337">
        <v>50</v>
      </c>
      <c r="F337">
        <v>66.666666666666657</v>
      </c>
      <c r="G337">
        <v>75</v>
      </c>
      <c r="H337">
        <v>55.172413793103445</v>
      </c>
      <c r="I337">
        <v>49.056603773584904</v>
      </c>
      <c r="J337">
        <v>100</v>
      </c>
      <c r="K337">
        <v>27.777777777777779</v>
      </c>
      <c r="L337">
        <v>7.1428571428571423</v>
      </c>
      <c r="M337">
        <v>89.285714285714292</v>
      </c>
      <c r="N337">
        <f t="shared" si="5"/>
        <v>50.100837502185129</v>
      </c>
    </row>
    <row r="338" spans="1:14" x14ac:dyDescent="0.45">
      <c r="A338">
        <v>444</v>
      </c>
      <c r="B338">
        <v>0</v>
      </c>
      <c r="C338">
        <v>0</v>
      </c>
      <c r="D338">
        <v>11.111111111111111</v>
      </c>
      <c r="E338">
        <v>40</v>
      </c>
      <c r="F338">
        <v>0</v>
      </c>
      <c r="G338">
        <v>45.833333333333329</v>
      </c>
      <c r="H338">
        <v>55.172413793103445</v>
      </c>
      <c r="I338">
        <v>88.679245283018872</v>
      </c>
      <c r="J338">
        <v>66.666666666666657</v>
      </c>
      <c r="K338">
        <v>66.666666666666657</v>
      </c>
      <c r="L338">
        <v>35.714285714285715</v>
      </c>
      <c r="M338">
        <v>100</v>
      </c>
      <c r="N338">
        <f t="shared" si="5"/>
        <v>50.452958242594143</v>
      </c>
    </row>
    <row r="339" spans="1:14" x14ac:dyDescent="0.45">
      <c r="A339">
        <v>445</v>
      </c>
      <c r="B339">
        <v>0</v>
      </c>
      <c r="C339">
        <v>0</v>
      </c>
      <c r="D339">
        <v>11.111111111111111</v>
      </c>
      <c r="E339">
        <v>20</v>
      </c>
      <c r="F339">
        <v>0</v>
      </c>
      <c r="G339">
        <v>33.333333333333329</v>
      </c>
      <c r="H339">
        <v>27.586206896551722</v>
      </c>
      <c r="I339">
        <v>49.056603773584904</v>
      </c>
      <c r="J339">
        <v>60</v>
      </c>
      <c r="K339">
        <v>38.888888888888893</v>
      </c>
      <c r="L339">
        <v>21.428571428571427</v>
      </c>
      <c r="M339">
        <v>71.428571428571431</v>
      </c>
      <c r="N339">
        <f t="shared" si="5"/>
        <v>33.040691331227528</v>
      </c>
    </row>
    <row r="340" spans="1:14" x14ac:dyDescent="0.45">
      <c r="A340">
        <v>446</v>
      </c>
      <c r="B340">
        <v>0</v>
      </c>
      <c r="C340">
        <v>0</v>
      </c>
      <c r="D340">
        <v>0</v>
      </c>
      <c r="E340">
        <v>10</v>
      </c>
      <c r="F340">
        <v>0</v>
      </c>
      <c r="G340">
        <v>16.666666666666664</v>
      </c>
      <c r="H340">
        <v>6.8965517241379306</v>
      </c>
      <c r="I340">
        <v>5.6603773584905666</v>
      </c>
      <c r="J340">
        <v>20</v>
      </c>
      <c r="K340">
        <v>5.5555555555555554</v>
      </c>
      <c r="L340">
        <v>0</v>
      </c>
      <c r="M340">
        <v>64.285714285714292</v>
      </c>
      <c r="N340">
        <f t="shared" si="5"/>
        <v>11.525389052285627</v>
      </c>
    </row>
    <row r="341" spans="1:14" x14ac:dyDescent="0.45">
      <c r="A341">
        <v>447</v>
      </c>
      <c r="B341">
        <v>0</v>
      </c>
      <c r="C341">
        <v>0</v>
      </c>
      <c r="D341">
        <v>0</v>
      </c>
      <c r="E341">
        <v>10</v>
      </c>
      <c r="F341">
        <v>0</v>
      </c>
      <c r="G341">
        <v>16.666666666666664</v>
      </c>
      <c r="H341">
        <v>6.8965517241379306</v>
      </c>
      <c r="I341">
        <v>5.6603773584905666</v>
      </c>
      <c r="J341">
        <v>20</v>
      </c>
      <c r="K341">
        <v>5.5555555555555554</v>
      </c>
      <c r="L341">
        <v>0</v>
      </c>
      <c r="M341">
        <v>46.428571428571431</v>
      </c>
      <c r="N341">
        <f t="shared" si="5"/>
        <v>9.9867083418973337</v>
      </c>
    </row>
    <row r="342" spans="1:14" x14ac:dyDescent="0.45">
      <c r="A342">
        <v>449</v>
      </c>
      <c r="B342">
        <v>1</v>
      </c>
      <c r="C342">
        <v>0</v>
      </c>
      <c r="D342">
        <v>0</v>
      </c>
      <c r="E342">
        <v>10</v>
      </c>
      <c r="F342">
        <v>0</v>
      </c>
      <c r="G342">
        <v>20.833333333333336</v>
      </c>
      <c r="H342">
        <v>6.8965517241379306</v>
      </c>
      <c r="I342">
        <v>3.7735849056603774</v>
      </c>
      <c r="J342">
        <v>26.666666666666668</v>
      </c>
      <c r="K342">
        <v>0</v>
      </c>
      <c r="L342">
        <v>0</v>
      </c>
      <c r="M342">
        <v>67.857142857142861</v>
      </c>
      <c r="N342">
        <f t="shared" si="5"/>
        <v>12.012602084953903</v>
      </c>
    </row>
    <row r="343" spans="1:14" x14ac:dyDescent="0.45">
      <c r="A343">
        <v>450</v>
      </c>
      <c r="B343">
        <v>0</v>
      </c>
      <c r="C343">
        <v>1</v>
      </c>
      <c r="D343">
        <v>11.111111111111111</v>
      </c>
      <c r="E343">
        <v>20</v>
      </c>
      <c r="F343">
        <v>0</v>
      </c>
      <c r="G343">
        <v>20.833333333333336</v>
      </c>
      <c r="H343">
        <v>27.586206896551722</v>
      </c>
      <c r="I343">
        <v>13.20754716981132</v>
      </c>
      <c r="J343">
        <v>6.666666666666667</v>
      </c>
      <c r="K343">
        <v>27.777777777777779</v>
      </c>
      <c r="L343">
        <v>14.285714285714285</v>
      </c>
      <c r="M343">
        <v>14.285714285714285</v>
      </c>
      <c r="N343">
        <f t="shared" si="5"/>
        <v>15.876306912368831</v>
      </c>
    </row>
    <row r="344" spans="1:14" x14ac:dyDescent="0.45">
      <c r="A344">
        <v>451</v>
      </c>
      <c r="B344">
        <v>0</v>
      </c>
      <c r="C344">
        <v>1</v>
      </c>
      <c r="D344">
        <v>0</v>
      </c>
      <c r="E344">
        <v>20</v>
      </c>
      <c r="F344">
        <v>0</v>
      </c>
      <c r="G344">
        <v>4.1666666666666661</v>
      </c>
      <c r="H344">
        <v>6.8965517241379306</v>
      </c>
      <c r="I344">
        <v>5.6603773584905666</v>
      </c>
      <c r="J344">
        <v>6.666666666666667</v>
      </c>
      <c r="K344">
        <v>22.222222222222221</v>
      </c>
      <c r="L344">
        <v>0</v>
      </c>
      <c r="M344">
        <v>3.5714285714285712</v>
      </c>
      <c r="N344">
        <f t="shared" si="5"/>
        <v>6.5027052898631368</v>
      </c>
    </row>
    <row r="345" spans="1:14" x14ac:dyDescent="0.45">
      <c r="A345">
        <v>452</v>
      </c>
      <c r="B345">
        <v>0</v>
      </c>
      <c r="C345">
        <v>1</v>
      </c>
      <c r="D345">
        <v>22.222222222222221</v>
      </c>
      <c r="E345">
        <v>30</v>
      </c>
      <c r="F345">
        <v>33.333333333333329</v>
      </c>
      <c r="G345">
        <v>25</v>
      </c>
      <c r="H345">
        <v>44.827586206896555</v>
      </c>
      <c r="I345">
        <v>5.6603773584905666</v>
      </c>
      <c r="J345">
        <v>6.666666666666667</v>
      </c>
      <c r="K345">
        <v>5.5555555555555554</v>
      </c>
      <c r="L345">
        <v>0</v>
      </c>
      <c r="M345">
        <v>42.857142857142854</v>
      </c>
      <c r="N345">
        <f t="shared" si="5"/>
        <v>18.487303052334468</v>
      </c>
    </row>
    <row r="346" spans="1:14" x14ac:dyDescent="0.45">
      <c r="A346">
        <v>453</v>
      </c>
      <c r="B346">
        <v>0</v>
      </c>
      <c r="C346">
        <v>0</v>
      </c>
      <c r="D346">
        <v>11.111111111111111</v>
      </c>
      <c r="E346">
        <v>30</v>
      </c>
      <c r="F346">
        <v>33.333333333333329</v>
      </c>
      <c r="G346">
        <v>25</v>
      </c>
      <c r="H346">
        <v>34.482758620689658</v>
      </c>
      <c r="I346">
        <v>16.981132075471699</v>
      </c>
      <c r="J346">
        <v>0</v>
      </c>
      <c r="K346">
        <v>5.5555555555555554</v>
      </c>
      <c r="L346">
        <v>7.1428571428571423</v>
      </c>
      <c r="M346">
        <v>28.571428571428569</v>
      </c>
      <c r="N346">
        <f t="shared" si="5"/>
        <v>16.746540023686006</v>
      </c>
    </row>
    <row r="347" spans="1:14" x14ac:dyDescent="0.45">
      <c r="A347">
        <v>454</v>
      </c>
      <c r="B347">
        <v>0</v>
      </c>
      <c r="C347">
        <v>0</v>
      </c>
      <c r="D347">
        <v>0</v>
      </c>
      <c r="E347">
        <v>10</v>
      </c>
      <c r="F347">
        <v>0</v>
      </c>
      <c r="G347">
        <v>37.5</v>
      </c>
      <c r="H347">
        <v>44.827586206896555</v>
      </c>
      <c r="I347">
        <v>18.867924528301888</v>
      </c>
      <c r="J347">
        <v>0</v>
      </c>
      <c r="K347">
        <v>0</v>
      </c>
      <c r="L347">
        <v>7.1428571428571423</v>
      </c>
      <c r="M347">
        <v>42.857142857142854</v>
      </c>
      <c r="N347">
        <f t="shared" si="5"/>
        <v>14.637208029877776</v>
      </c>
    </row>
    <row r="348" spans="1:14" x14ac:dyDescent="0.45">
      <c r="A348">
        <v>455</v>
      </c>
      <c r="B348">
        <v>0</v>
      </c>
      <c r="C348">
        <v>0</v>
      </c>
      <c r="D348">
        <v>22.222222222222221</v>
      </c>
      <c r="E348">
        <v>30</v>
      </c>
      <c r="F348">
        <v>0</v>
      </c>
      <c r="G348">
        <v>45.833333333333329</v>
      </c>
      <c r="H348">
        <v>37.931034482758619</v>
      </c>
      <c r="I348">
        <v>11.320754716981133</v>
      </c>
      <c r="J348">
        <v>6.666666666666667</v>
      </c>
      <c r="K348">
        <v>5.5555555555555554</v>
      </c>
      <c r="L348">
        <v>7.1428571428571423</v>
      </c>
      <c r="M348">
        <v>42.857142857142854</v>
      </c>
      <c r="N348">
        <f t="shared" si="5"/>
        <v>19.503254601940146</v>
      </c>
    </row>
    <row r="349" spans="1:14" x14ac:dyDescent="0.45">
      <c r="A349">
        <v>456</v>
      </c>
      <c r="B349">
        <v>0</v>
      </c>
      <c r="C349">
        <v>0</v>
      </c>
      <c r="D349">
        <v>22.222222222222221</v>
      </c>
      <c r="E349">
        <v>30</v>
      </c>
      <c r="F349">
        <v>0</v>
      </c>
      <c r="G349">
        <v>45.833333333333329</v>
      </c>
      <c r="H349">
        <v>37.931034482758619</v>
      </c>
      <c r="I349">
        <v>11.320754716981133</v>
      </c>
      <c r="J349">
        <v>6.666666666666667</v>
      </c>
      <c r="K349">
        <v>5.5555555555555554</v>
      </c>
      <c r="L349">
        <v>7.1428571428571423</v>
      </c>
      <c r="M349">
        <v>42.857142857142854</v>
      </c>
      <c r="N349">
        <f t="shared" si="5"/>
        <v>19.503254601940146</v>
      </c>
    </row>
    <row r="350" spans="1:14" x14ac:dyDescent="0.45">
      <c r="A350">
        <v>457</v>
      </c>
      <c r="B350">
        <v>0</v>
      </c>
      <c r="C350">
        <v>0</v>
      </c>
      <c r="D350">
        <v>11.111111111111111</v>
      </c>
      <c r="E350">
        <v>20</v>
      </c>
      <c r="F350">
        <v>0</v>
      </c>
      <c r="G350">
        <v>25</v>
      </c>
      <c r="H350">
        <v>17.241379310344829</v>
      </c>
      <c r="I350">
        <v>1.8867924528301887</v>
      </c>
      <c r="J350">
        <v>6.666666666666667</v>
      </c>
      <c r="K350">
        <v>5.5555555555555554</v>
      </c>
      <c r="L350">
        <v>0</v>
      </c>
      <c r="M350">
        <v>32.142857142857146</v>
      </c>
      <c r="N350">
        <f t="shared" si="5"/>
        <v>10.779588354867865</v>
      </c>
    </row>
    <row r="351" spans="1:14" x14ac:dyDescent="0.45">
      <c r="A351">
        <v>458</v>
      </c>
      <c r="B351">
        <v>0</v>
      </c>
      <c r="C351">
        <v>0</v>
      </c>
      <c r="D351">
        <v>11.111111111111111</v>
      </c>
      <c r="E351">
        <v>30</v>
      </c>
      <c r="F351">
        <v>33.333333333333329</v>
      </c>
      <c r="G351">
        <v>29.166666666666668</v>
      </c>
      <c r="H351">
        <v>34.482758620689658</v>
      </c>
      <c r="I351">
        <v>15.09433962264151</v>
      </c>
      <c r="J351">
        <v>6.666666666666667</v>
      </c>
      <c r="K351">
        <v>11.111111111111111</v>
      </c>
      <c r="L351">
        <v>7.1428571428571423</v>
      </c>
      <c r="M351">
        <v>28.571428571428569</v>
      </c>
      <c r="N351">
        <f t="shared" si="5"/>
        <v>18.312650440805921</v>
      </c>
    </row>
    <row r="352" spans="1:14" x14ac:dyDescent="0.45">
      <c r="A352">
        <v>459</v>
      </c>
      <c r="B352">
        <v>0</v>
      </c>
      <c r="C352">
        <v>0</v>
      </c>
      <c r="D352">
        <v>11.111111111111111</v>
      </c>
      <c r="E352">
        <v>30</v>
      </c>
      <c r="F352">
        <v>33.333333333333329</v>
      </c>
      <c r="G352">
        <v>25</v>
      </c>
      <c r="H352">
        <v>17.241379310344829</v>
      </c>
      <c r="I352">
        <v>5.6603773584905666</v>
      </c>
      <c r="J352">
        <v>13.333333333333334</v>
      </c>
      <c r="K352">
        <v>11.111111111111111</v>
      </c>
      <c r="L352">
        <v>0</v>
      </c>
      <c r="M352">
        <v>39.285714285714285</v>
      </c>
      <c r="N352">
        <f t="shared" si="5"/>
        <v>15.996331637852972</v>
      </c>
    </row>
    <row r="353" spans="1:14" x14ac:dyDescent="0.45">
      <c r="A353">
        <v>460</v>
      </c>
      <c r="B353">
        <v>0</v>
      </c>
      <c r="C353">
        <v>0</v>
      </c>
      <c r="D353">
        <v>11.111111111111111</v>
      </c>
      <c r="E353">
        <v>30</v>
      </c>
      <c r="F353">
        <v>0</v>
      </c>
      <c r="G353">
        <v>37.5</v>
      </c>
      <c r="H353">
        <v>24.137931034482758</v>
      </c>
      <c r="I353">
        <v>11.320754716981133</v>
      </c>
      <c r="J353">
        <v>6.666666666666667</v>
      </c>
      <c r="K353">
        <v>5.5555555555555554</v>
      </c>
      <c r="L353">
        <v>0</v>
      </c>
      <c r="M353">
        <v>50</v>
      </c>
      <c r="N353">
        <f t="shared" si="5"/>
        <v>15.657511177295419</v>
      </c>
    </row>
    <row r="354" spans="1:14" x14ac:dyDescent="0.45">
      <c r="A354">
        <v>461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12.5</v>
      </c>
      <c r="H354">
        <v>6.8965517241379306</v>
      </c>
      <c r="I354">
        <v>7.5471698113207548</v>
      </c>
      <c r="J354">
        <v>26.666666666666668</v>
      </c>
      <c r="K354">
        <v>11.111111111111111</v>
      </c>
      <c r="L354">
        <v>0</v>
      </c>
      <c r="M354">
        <v>3.5714285714285712</v>
      </c>
      <c r="N354">
        <f t="shared" si="5"/>
        <v>6.7231712061805498</v>
      </c>
    </row>
    <row r="355" spans="1:14" x14ac:dyDescent="0.45">
      <c r="A355">
        <v>462</v>
      </c>
      <c r="B355">
        <v>0</v>
      </c>
      <c r="C355">
        <v>0</v>
      </c>
      <c r="D355">
        <v>22.222222222222221</v>
      </c>
      <c r="E355">
        <v>0</v>
      </c>
      <c r="F355">
        <v>66.666666666666657</v>
      </c>
      <c r="G355">
        <v>16.666666666666664</v>
      </c>
      <c r="H355">
        <v>10.344827586206897</v>
      </c>
      <c r="I355">
        <v>39.622641509433961</v>
      </c>
      <c r="J355">
        <v>20</v>
      </c>
      <c r="K355">
        <v>100</v>
      </c>
      <c r="L355">
        <v>14.285714285714285</v>
      </c>
      <c r="M355">
        <v>46.428571428571431</v>
      </c>
      <c r="N355">
        <f t="shared" si="5"/>
        <v>34.194035543348875</v>
      </c>
    </row>
    <row r="356" spans="1:14" x14ac:dyDescent="0.45">
      <c r="A356">
        <v>465</v>
      </c>
      <c r="B356">
        <v>0</v>
      </c>
      <c r="C356">
        <v>0</v>
      </c>
      <c r="D356">
        <v>11.111111111111111</v>
      </c>
      <c r="E356">
        <v>0</v>
      </c>
      <c r="F356">
        <v>66.666666666666657</v>
      </c>
      <c r="G356">
        <v>12.5</v>
      </c>
      <c r="H356">
        <v>17.241379310344829</v>
      </c>
      <c r="I356">
        <v>24.528301886792452</v>
      </c>
      <c r="J356">
        <v>6.666666666666667</v>
      </c>
      <c r="K356">
        <v>100</v>
      </c>
      <c r="L356">
        <v>0</v>
      </c>
      <c r="M356">
        <v>10.714285714285714</v>
      </c>
      <c r="N356">
        <f t="shared" si="5"/>
        <v>24.834571110755885</v>
      </c>
    </row>
    <row r="357" spans="1:14" x14ac:dyDescent="0.45">
      <c r="A357">
        <v>467</v>
      </c>
      <c r="B357">
        <v>0</v>
      </c>
      <c r="C357">
        <v>0</v>
      </c>
      <c r="D357">
        <v>22.222222222222221</v>
      </c>
      <c r="E357">
        <v>20</v>
      </c>
      <c r="F357">
        <v>0</v>
      </c>
      <c r="G357">
        <v>58.333333333333336</v>
      </c>
      <c r="H357">
        <v>37.931034482758619</v>
      </c>
      <c r="I357">
        <v>64.15094339622641</v>
      </c>
      <c r="J357">
        <v>6.666666666666667</v>
      </c>
      <c r="K357">
        <v>100</v>
      </c>
      <c r="L357">
        <v>21.428571428571427</v>
      </c>
      <c r="M357">
        <v>42.857142857142854</v>
      </c>
      <c r="N357">
        <f t="shared" si="5"/>
        <v>39.258445661281023</v>
      </c>
    </row>
    <row r="358" spans="1:14" x14ac:dyDescent="0.45">
      <c r="A358">
        <v>468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3.7735849056603774</v>
      </c>
      <c r="J358">
        <v>0</v>
      </c>
      <c r="K358">
        <v>0</v>
      </c>
      <c r="L358">
        <v>0</v>
      </c>
      <c r="M358">
        <v>3.5714285714285712</v>
      </c>
      <c r="N358">
        <f t="shared" si="5"/>
        <v>0.66126169423447134</v>
      </c>
    </row>
    <row r="359" spans="1:14" x14ac:dyDescent="0.45">
      <c r="A359">
        <v>469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3.7735849056603774</v>
      </c>
      <c r="J359">
        <v>0</v>
      </c>
      <c r="K359">
        <v>0</v>
      </c>
      <c r="L359">
        <v>0</v>
      </c>
      <c r="M359">
        <v>3.5714285714285712</v>
      </c>
      <c r="N359">
        <f t="shared" si="5"/>
        <v>0.66126169423447134</v>
      </c>
    </row>
    <row r="360" spans="1:14" x14ac:dyDescent="0.45">
      <c r="A360">
        <v>470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1.8867924528301887</v>
      </c>
      <c r="J360">
        <v>0</v>
      </c>
      <c r="K360">
        <v>0</v>
      </c>
      <c r="L360">
        <v>0</v>
      </c>
      <c r="M360">
        <v>7.1428571428571423</v>
      </c>
      <c r="N360">
        <f t="shared" si="5"/>
        <v>0.79223506023372336</v>
      </c>
    </row>
    <row r="361" spans="1:14" x14ac:dyDescent="0.45">
      <c r="A361">
        <v>471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5.6603773584905666</v>
      </c>
      <c r="J361">
        <v>0</v>
      </c>
      <c r="K361">
        <v>5.5555555555555554</v>
      </c>
      <c r="L361">
        <v>0</v>
      </c>
      <c r="M361">
        <v>7.1428571428571423</v>
      </c>
      <c r="N361">
        <f t="shared" si="5"/>
        <v>1.8390773756551857</v>
      </c>
    </row>
    <row r="362" spans="1:14" x14ac:dyDescent="0.45">
      <c r="A362">
        <v>472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3.7735849056603774</v>
      </c>
      <c r="J362">
        <v>0</v>
      </c>
      <c r="K362">
        <v>5.5555555555555554</v>
      </c>
      <c r="L362">
        <v>0</v>
      </c>
      <c r="M362">
        <v>7.1428571428571423</v>
      </c>
      <c r="N362">
        <f t="shared" si="5"/>
        <v>1.6623145995767792</v>
      </c>
    </row>
    <row r="363" spans="1:14" x14ac:dyDescent="0.45">
      <c r="A363">
        <v>473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3.7735849056603774</v>
      </c>
      <c r="J363">
        <v>0</v>
      </c>
      <c r="K363">
        <v>5.5555555555555554</v>
      </c>
      <c r="L363">
        <v>0</v>
      </c>
      <c r="M363">
        <v>7.1428571428571423</v>
      </c>
      <c r="N363">
        <f t="shared" si="5"/>
        <v>1.6623145995767792</v>
      </c>
    </row>
    <row r="364" spans="1:14" x14ac:dyDescent="0.45">
      <c r="A364">
        <v>474</v>
      </c>
      <c r="B364">
        <v>0</v>
      </c>
      <c r="C364">
        <v>0</v>
      </c>
      <c r="D364">
        <v>33.333333333333329</v>
      </c>
      <c r="E364">
        <v>80</v>
      </c>
      <c r="F364">
        <v>66.666666666666657</v>
      </c>
      <c r="G364">
        <v>33.333333333333329</v>
      </c>
      <c r="H364">
        <v>51.724137931034484</v>
      </c>
      <c r="I364">
        <v>94.339622641509436</v>
      </c>
      <c r="J364">
        <v>13.333333333333334</v>
      </c>
      <c r="K364">
        <v>33.333333333333329</v>
      </c>
      <c r="L364">
        <v>64.285714285714292</v>
      </c>
      <c r="M364">
        <v>89.285714285714292</v>
      </c>
      <c r="N364">
        <f t="shared" si="5"/>
        <v>53.95225577323928</v>
      </c>
    </row>
    <row r="365" spans="1:14" x14ac:dyDescent="0.45">
      <c r="A365">
        <v>475</v>
      </c>
      <c r="B365">
        <v>0</v>
      </c>
      <c r="C365">
        <v>0</v>
      </c>
      <c r="D365">
        <v>22.222222222222221</v>
      </c>
      <c r="E365">
        <v>100</v>
      </c>
      <c r="F365">
        <v>0</v>
      </c>
      <c r="G365">
        <v>100</v>
      </c>
      <c r="H365">
        <v>86.206896551724128</v>
      </c>
      <c r="I365">
        <v>52.830188679245282</v>
      </c>
      <c r="J365">
        <v>20</v>
      </c>
      <c r="K365">
        <v>16.666666666666664</v>
      </c>
      <c r="L365">
        <v>28.571428571428569</v>
      </c>
      <c r="M365">
        <v>25</v>
      </c>
      <c r="N365">
        <f t="shared" si="5"/>
        <v>41.92809457073816</v>
      </c>
    </row>
    <row r="366" spans="1:14" x14ac:dyDescent="0.45">
      <c r="A366">
        <v>476</v>
      </c>
      <c r="B366">
        <v>0</v>
      </c>
      <c r="C366">
        <v>1</v>
      </c>
      <c r="D366">
        <v>22.222222222222221</v>
      </c>
      <c r="E366">
        <v>100</v>
      </c>
      <c r="F366">
        <v>0</v>
      </c>
      <c r="G366">
        <v>100</v>
      </c>
      <c r="H366">
        <v>86.206896551724128</v>
      </c>
      <c r="I366">
        <v>52.830188679245282</v>
      </c>
      <c r="J366">
        <v>20</v>
      </c>
      <c r="K366">
        <v>16.666666666666664</v>
      </c>
      <c r="L366">
        <v>28.571428571428569</v>
      </c>
      <c r="M366">
        <v>25</v>
      </c>
      <c r="N366">
        <f t="shared" si="5"/>
        <v>41.92809457073816</v>
      </c>
    </row>
    <row r="367" spans="1:14" x14ac:dyDescent="0.45">
      <c r="A367">
        <v>477</v>
      </c>
      <c r="B367">
        <v>0</v>
      </c>
      <c r="C367">
        <v>0</v>
      </c>
      <c r="D367">
        <v>22.222222222222221</v>
      </c>
      <c r="E367">
        <v>100</v>
      </c>
      <c r="F367">
        <v>0</v>
      </c>
      <c r="G367">
        <v>100</v>
      </c>
      <c r="H367">
        <v>86.206896551724128</v>
      </c>
      <c r="I367">
        <v>52.830188679245282</v>
      </c>
      <c r="J367">
        <v>20</v>
      </c>
      <c r="K367">
        <v>16.666666666666664</v>
      </c>
      <c r="L367">
        <v>28.571428571428569</v>
      </c>
      <c r="M367">
        <v>25</v>
      </c>
      <c r="N367">
        <f t="shared" si="5"/>
        <v>41.92809457073816</v>
      </c>
    </row>
    <row r="368" spans="1:14" x14ac:dyDescent="0.45">
      <c r="A368">
        <v>478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1.8867924528301887</v>
      </c>
      <c r="J368">
        <v>0</v>
      </c>
      <c r="K368">
        <v>0</v>
      </c>
      <c r="L368">
        <v>0</v>
      </c>
      <c r="M368">
        <v>7.1428571428571423</v>
      </c>
      <c r="N368">
        <f t="shared" si="5"/>
        <v>0.79223506023372336</v>
      </c>
    </row>
    <row r="369" spans="1:14" x14ac:dyDescent="0.45">
      <c r="A369">
        <v>479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5.6603773584905666</v>
      </c>
      <c r="J369">
        <v>0</v>
      </c>
      <c r="K369">
        <v>5.5555555555555554</v>
      </c>
      <c r="L369">
        <v>0</v>
      </c>
      <c r="M369">
        <v>7.1428571428571423</v>
      </c>
      <c r="N369">
        <f t="shared" si="5"/>
        <v>1.8390773756551857</v>
      </c>
    </row>
    <row r="370" spans="1:14" x14ac:dyDescent="0.45">
      <c r="A370">
        <v>480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3.7735849056603774</v>
      </c>
      <c r="J370">
        <v>0</v>
      </c>
      <c r="K370">
        <v>5.5555555555555554</v>
      </c>
      <c r="L370">
        <v>0</v>
      </c>
      <c r="M370">
        <v>7.1428571428571423</v>
      </c>
      <c r="N370">
        <f t="shared" si="5"/>
        <v>1.6623145995767792</v>
      </c>
    </row>
    <row r="371" spans="1:14" x14ac:dyDescent="0.45">
      <c r="A371">
        <v>481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f t="shared" si="5"/>
        <v>0</v>
      </c>
    </row>
    <row r="372" spans="1:14" x14ac:dyDescent="0.45">
      <c r="A372">
        <v>482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7.1428571428571423</v>
      </c>
      <c r="N372">
        <f t="shared" si="5"/>
        <v>0.61547228415531696</v>
      </c>
    </row>
    <row r="373" spans="1:14" x14ac:dyDescent="0.45">
      <c r="A373">
        <v>483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f t="shared" si="5"/>
        <v>0</v>
      </c>
    </row>
    <row r="374" spans="1:14" x14ac:dyDescent="0.45">
      <c r="A374">
        <v>484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f t="shared" si="5"/>
        <v>0</v>
      </c>
    </row>
    <row r="375" spans="1:14" x14ac:dyDescent="0.45">
      <c r="A375">
        <v>489</v>
      </c>
      <c r="B375">
        <v>0</v>
      </c>
      <c r="C375">
        <v>0</v>
      </c>
      <c r="D375">
        <v>0</v>
      </c>
      <c r="E375">
        <v>30</v>
      </c>
      <c r="F375">
        <v>0</v>
      </c>
      <c r="G375">
        <v>25</v>
      </c>
      <c r="H375">
        <v>20.689655172413794</v>
      </c>
      <c r="I375">
        <v>5.6603773584905666</v>
      </c>
      <c r="J375">
        <v>26.666666666666668</v>
      </c>
      <c r="K375">
        <v>0</v>
      </c>
      <c r="L375">
        <v>0</v>
      </c>
      <c r="M375">
        <v>14.285714285714285</v>
      </c>
      <c r="N375">
        <f t="shared" si="5"/>
        <v>10.380268898011035</v>
      </c>
    </row>
    <row r="376" spans="1:14" x14ac:dyDescent="0.45">
      <c r="A376">
        <v>490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5.5555555555555554</v>
      </c>
      <c r="L376">
        <v>0</v>
      </c>
      <c r="M376">
        <v>10.714285714285714</v>
      </c>
      <c r="N376">
        <f t="shared" si="5"/>
        <v>1.6165251894976249</v>
      </c>
    </row>
    <row r="377" spans="1:14" x14ac:dyDescent="0.45">
      <c r="A377">
        <v>491</v>
      </c>
      <c r="B377">
        <v>0</v>
      </c>
      <c r="C377">
        <v>0</v>
      </c>
      <c r="D377">
        <v>11.111111111111111</v>
      </c>
      <c r="E377">
        <v>20</v>
      </c>
      <c r="F377">
        <v>0</v>
      </c>
      <c r="G377">
        <v>41.666666666666671</v>
      </c>
      <c r="H377">
        <v>62.068965517241381</v>
      </c>
      <c r="I377">
        <v>24.528301886792452</v>
      </c>
      <c r="J377">
        <v>20</v>
      </c>
      <c r="K377">
        <v>0</v>
      </c>
      <c r="L377">
        <v>7.1428571428571423</v>
      </c>
      <c r="M377">
        <v>28.571428571428569</v>
      </c>
      <c r="N377">
        <f t="shared" si="5"/>
        <v>19.581298491283128</v>
      </c>
    </row>
    <row r="378" spans="1:14" x14ac:dyDescent="0.45">
      <c r="A378">
        <v>492</v>
      </c>
      <c r="B378">
        <v>0</v>
      </c>
      <c r="C378">
        <v>0</v>
      </c>
      <c r="D378">
        <v>0</v>
      </c>
      <c r="E378">
        <v>10</v>
      </c>
      <c r="F378">
        <v>0</v>
      </c>
      <c r="G378">
        <v>20.833333333333336</v>
      </c>
      <c r="H378">
        <v>13.793103448275861</v>
      </c>
      <c r="I378">
        <v>5.6603773584905666</v>
      </c>
      <c r="J378">
        <v>13.333333333333334</v>
      </c>
      <c r="K378">
        <v>5.5555555555555554</v>
      </c>
      <c r="L378">
        <v>0</v>
      </c>
      <c r="M378">
        <v>10.714285714285714</v>
      </c>
      <c r="N378">
        <f t="shared" si="5"/>
        <v>7.2456613818028615</v>
      </c>
    </row>
    <row r="379" spans="1:14" x14ac:dyDescent="0.45">
      <c r="A379">
        <v>493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1.8867924528301887</v>
      </c>
      <c r="J379">
        <v>0</v>
      </c>
      <c r="K379">
        <v>0</v>
      </c>
      <c r="L379">
        <v>0</v>
      </c>
      <c r="M379">
        <v>7.1428571428571423</v>
      </c>
      <c r="N379">
        <f t="shared" si="5"/>
        <v>0.79223506023372336</v>
      </c>
    </row>
    <row r="380" spans="1:14" x14ac:dyDescent="0.45">
      <c r="A380">
        <v>494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1.8867924528301887</v>
      </c>
      <c r="J380">
        <v>0</v>
      </c>
      <c r="K380">
        <v>0</v>
      </c>
      <c r="L380">
        <v>0</v>
      </c>
      <c r="M380">
        <v>7.1428571428571423</v>
      </c>
      <c r="N380">
        <f t="shared" si="5"/>
        <v>0.79223506023372336</v>
      </c>
    </row>
    <row r="381" spans="1:14" x14ac:dyDescent="0.45">
      <c r="A381">
        <v>495</v>
      </c>
      <c r="B381">
        <v>1</v>
      </c>
      <c r="C381">
        <v>0</v>
      </c>
      <c r="D381">
        <v>11.111111111111111</v>
      </c>
      <c r="E381">
        <v>20</v>
      </c>
      <c r="F381">
        <v>33.333333333333329</v>
      </c>
      <c r="G381">
        <v>4.1666666666666661</v>
      </c>
      <c r="H381">
        <v>3.4482758620689653</v>
      </c>
      <c r="I381">
        <v>0</v>
      </c>
      <c r="J381">
        <v>0</v>
      </c>
      <c r="K381">
        <v>0</v>
      </c>
      <c r="L381">
        <v>0</v>
      </c>
      <c r="M381">
        <v>17.857142857142858</v>
      </c>
      <c r="N381">
        <f t="shared" si="5"/>
        <v>7.1341450665524855</v>
      </c>
    </row>
    <row r="382" spans="1:14" x14ac:dyDescent="0.45">
      <c r="A382">
        <v>496</v>
      </c>
      <c r="B382">
        <v>1</v>
      </c>
      <c r="C382">
        <v>0</v>
      </c>
      <c r="D382">
        <v>11.111111111111111</v>
      </c>
      <c r="E382">
        <v>20</v>
      </c>
      <c r="F382">
        <v>33.333333333333329</v>
      </c>
      <c r="G382">
        <v>8.3333333333333321</v>
      </c>
      <c r="H382">
        <v>6.8965517241379306</v>
      </c>
      <c r="I382">
        <v>0</v>
      </c>
      <c r="J382">
        <v>0</v>
      </c>
      <c r="K382">
        <v>0</v>
      </c>
      <c r="L382">
        <v>0</v>
      </c>
      <c r="M382">
        <v>10.714285714285714</v>
      </c>
      <c r="N382">
        <f t="shared" si="5"/>
        <v>7.2116082277050602</v>
      </c>
    </row>
    <row r="383" spans="1:14" x14ac:dyDescent="0.45">
      <c r="A383">
        <v>497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12.5</v>
      </c>
      <c r="H383">
        <v>0</v>
      </c>
      <c r="I383">
        <v>7.5471698113207548</v>
      </c>
      <c r="J383">
        <v>0</v>
      </c>
      <c r="K383">
        <v>22.222222222222221</v>
      </c>
      <c r="L383">
        <v>0</v>
      </c>
      <c r="M383">
        <v>39.285714285714285</v>
      </c>
      <c r="N383">
        <f t="shared" si="5"/>
        <v>8.1277618973169758</v>
      </c>
    </row>
    <row r="384" spans="1:14" x14ac:dyDescent="0.45">
      <c r="A384">
        <v>498</v>
      </c>
      <c r="B384">
        <v>0</v>
      </c>
      <c r="C384">
        <v>0</v>
      </c>
      <c r="D384">
        <v>0</v>
      </c>
      <c r="E384">
        <v>10</v>
      </c>
      <c r="F384">
        <v>0</v>
      </c>
      <c r="G384">
        <v>8.3333333333333321</v>
      </c>
      <c r="H384">
        <v>0</v>
      </c>
      <c r="I384">
        <v>9.433962264150944</v>
      </c>
      <c r="J384">
        <v>6.666666666666667</v>
      </c>
      <c r="K384">
        <v>22.222222222222221</v>
      </c>
      <c r="L384">
        <v>0</v>
      </c>
      <c r="M384">
        <v>35.714285714285715</v>
      </c>
      <c r="N384">
        <f t="shared" si="5"/>
        <v>8.8535561251923287</v>
      </c>
    </row>
    <row r="385" spans="1:14" x14ac:dyDescent="0.45">
      <c r="A385">
        <v>499</v>
      </c>
      <c r="B385">
        <v>0</v>
      </c>
      <c r="C385">
        <v>0</v>
      </c>
      <c r="D385">
        <v>0</v>
      </c>
      <c r="E385">
        <v>20</v>
      </c>
      <c r="F385">
        <v>0</v>
      </c>
      <c r="G385">
        <v>8.3333333333333321</v>
      </c>
      <c r="H385">
        <v>0</v>
      </c>
      <c r="I385">
        <v>9.433962264150944</v>
      </c>
      <c r="J385">
        <v>6.666666666666667</v>
      </c>
      <c r="K385">
        <v>16.666666666666664</v>
      </c>
      <c r="L385">
        <v>0</v>
      </c>
      <c r="M385">
        <v>28.571428571428569</v>
      </c>
      <c r="N385">
        <f t="shared" si="5"/>
        <v>8.1935423597736339</v>
      </c>
    </row>
    <row r="386" spans="1:14" x14ac:dyDescent="0.45">
      <c r="A386">
        <v>500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4.1666666666666661</v>
      </c>
      <c r="H386">
        <v>0</v>
      </c>
      <c r="I386">
        <v>0</v>
      </c>
      <c r="J386">
        <v>0</v>
      </c>
      <c r="K386">
        <v>11.111111111111111</v>
      </c>
      <c r="L386">
        <v>0</v>
      </c>
      <c r="M386">
        <v>50</v>
      </c>
      <c r="N386">
        <f t="shared" si="5"/>
        <v>6.1157215746466882</v>
      </c>
    </row>
    <row r="387" spans="1:14" x14ac:dyDescent="0.45">
      <c r="A387">
        <v>501</v>
      </c>
      <c r="B387">
        <v>0</v>
      </c>
      <c r="C387">
        <v>0</v>
      </c>
      <c r="D387">
        <v>0</v>
      </c>
      <c r="E387">
        <v>10</v>
      </c>
      <c r="F387">
        <v>0</v>
      </c>
      <c r="G387">
        <v>16.666666666666664</v>
      </c>
      <c r="H387">
        <v>13.793103448275861</v>
      </c>
      <c r="I387">
        <v>7.5471698113207548</v>
      </c>
      <c r="J387">
        <v>0</v>
      </c>
      <c r="K387">
        <v>33.333333333333329</v>
      </c>
      <c r="L387">
        <v>0</v>
      </c>
      <c r="M387">
        <v>71.428571428571431</v>
      </c>
      <c r="N387">
        <f t="shared" si="5"/>
        <v>14.442191588687535</v>
      </c>
    </row>
    <row r="388" spans="1:14" x14ac:dyDescent="0.45">
      <c r="A388">
        <v>502</v>
      </c>
      <c r="B388">
        <v>0</v>
      </c>
      <c r="C388">
        <v>0</v>
      </c>
      <c r="D388">
        <v>11.111111111111111</v>
      </c>
      <c r="E388">
        <v>40</v>
      </c>
      <c r="F388">
        <v>0</v>
      </c>
      <c r="G388">
        <v>37.5</v>
      </c>
      <c r="H388">
        <v>48.275862068965516</v>
      </c>
      <c r="I388">
        <v>15.09433962264151</v>
      </c>
      <c r="J388">
        <v>26.666666666666668</v>
      </c>
      <c r="K388">
        <v>16.666666666666664</v>
      </c>
      <c r="L388">
        <v>7.1428571428571423</v>
      </c>
      <c r="M388">
        <v>46.428571428571431</v>
      </c>
      <c r="N388">
        <f t="shared" si="5"/>
        <v>22.733044941838322</v>
      </c>
    </row>
    <row r="389" spans="1:14" x14ac:dyDescent="0.45">
      <c r="A389">
        <v>503</v>
      </c>
      <c r="B389">
        <v>0</v>
      </c>
      <c r="C389">
        <v>0</v>
      </c>
      <c r="D389">
        <v>11.111111111111111</v>
      </c>
      <c r="E389">
        <v>40</v>
      </c>
      <c r="F389">
        <v>33.333333333333329</v>
      </c>
      <c r="G389">
        <v>41.666666666666671</v>
      </c>
      <c r="H389">
        <v>44.827586206896555</v>
      </c>
      <c r="I389">
        <v>15.09433962264151</v>
      </c>
      <c r="J389">
        <v>26.666666666666668</v>
      </c>
      <c r="K389">
        <v>5.5555555555555554</v>
      </c>
      <c r="L389">
        <v>7.1428571428571423</v>
      </c>
      <c r="M389">
        <v>50</v>
      </c>
      <c r="N389">
        <f t="shared" ref="N389:N434" si="6">D389*D$1+E389*E$1+F389*F$1+G389*G$1+H389*H$1+I389*I$1+J389*J$1+K389*K$1+L389*L$1+M389*M$1</f>
        <v>24.079655260642685</v>
      </c>
    </row>
    <row r="390" spans="1:14" x14ac:dyDescent="0.45">
      <c r="A390">
        <v>504</v>
      </c>
      <c r="B390">
        <v>0</v>
      </c>
      <c r="C390">
        <v>0</v>
      </c>
      <c r="D390">
        <v>22.222222222222221</v>
      </c>
      <c r="E390">
        <v>40</v>
      </c>
      <c r="F390">
        <v>66.666666666666657</v>
      </c>
      <c r="G390">
        <v>37.5</v>
      </c>
      <c r="H390">
        <v>41.379310344827587</v>
      </c>
      <c r="I390">
        <v>9.433962264150944</v>
      </c>
      <c r="J390">
        <v>20</v>
      </c>
      <c r="K390">
        <v>11.111111111111111</v>
      </c>
      <c r="L390">
        <v>0</v>
      </c>
      <c r="M390">
        <v>28.571428571428569</v>
      </c>
      <c r="N390">
        <f t="shared" si="6"/>
        <v>23.476596644569909</v>
      </c>
    </row>
    <row r="391" spans="1:14" x14ac:dyDescent="0.45">
      <c r="A391">
        <v>505</v>
      </c>
      <c r="B391">
        <v>0</v>
      </c>
      <c r="C391">
        <v>0</v>
      </c>
      <c r="D391">
        <v>22.222222222222221</v>
      </c>
      <c r="E391">
        <v>40</v>
      </c>
      <c r="F391">
        <v>66.666666666666657</v>
      </c>
      <c r="G391">
        <v>25</v>
      </c>
      <c r="H391">
        <v>17.241379310344829</v>
      </c>
      <c r="I391">
        <v>7.5471698113207548</v>
      </c>
      <c r="J391">
        <v>20</v>
      </c>
      <c r="K391">
        <v>11.111111111111111</v>
      </c>
      <c r="L391">
        <v>0</v>
      </c>
      <c r="M391">
        <v>17.857142857142858</v>
      </c>
      <c r="N391">
        <f t="shared" si="6"/>
        <v>19.209205561223957</v>
      </c>
    </row>
    <row r="392" spans="1:14" x14ac:dyDescent="0.45">
      <c r="A392">
        <v>506</v>
      </c>
      <c r="B392">
        <v>0</v>
      </c>
      <c r="C392">
        <v>0</v>
      </c>
      <c r="D392">
        <v>22.222222222222221</v>
      </c>
      <c r="E392">
        <v>60</v>
      </c>
      <c r="F392">
        <v>33.333333333333329</v>
      </c>
      <c r="G392">
        <v>37.5</v>
      </c>
      <c r="H392">
        <v>20.689655172413794</v>
      </c>
      <c r="I392">
        <v>9.433962264150944</v>
      </c>
      <c r="J392">
        <v>20</v>
      </c>
      <c r="K392">
        <v>11.111111111111111</v>
      </c>
      <c r="L392">
        <v>0</v>
      </c>
      <c r="M392">
        <v>25</v>
      </c>
      <c r="N392">
        <f t="shared" si="6"/>
        <v>20.556611718324902</v>
      </c>
    </row>
    <row r="393" spans="1:14" x14ac:dyDescent="0.45">
      <c r="A393">
        <v>507</v>
      </c>
      <c r="B393">
        <v>0</v>
      </c>
      <c r="C393">
        <v>0</v>
      </c>
      <c r="D393">
        <v>33.333333333333329</v>
      </c>
      <c r="E393">
        <v>30</v>
      </c>
      <c r="F393">
        <v>66.666666666666657</v>
      </c>
      <c r="G393">
        <v>58.333333333333336</v>
      </c>
      <c r="H393">
        <v>48.275862068965516</v>
      </c>
      <c r="I393">
        <v>60.377358490566039</v>
      </c>
      <c r="J393">
        <v>20</v>
      </c>
      <c r="K393">
        <v>11.111111111111111</v>
      </c>
      <c r="L393">
        <v>28.571428571428569</v>
      </c>
      <c r="M393">
        <v>35.714285714285715</v>
      </c>
      <c r="N393">
        <f t="shared" si="6"/>
        <v>37.003959902011864</v>
      </c>
    </row>
    <row r="394" spans="1:14" x14ac:dyDescent="0.45">
      <c r="A394">
        <v>508</v>
      </c>
      <c r="B394">
        <v>0</v>
      </c>
      <c r="C394">
        <v>0</v>
      </c>
      <c r="D394">
        <v>11.111111111111111</v>
      </c>
      <c r="E394">
        <v>20</v>
      </c>
      <c r="F394">
        <v>0</v>
      </c>
      <c r="G394">
        <v>4.1666666666666661</v>
      </c>
      <c r="H394">
        <v>0</v>
      </c>
      <c r="I394">
        <v>11.320754716981133</v>
      </c>
      <c r="J394">
        <v>6.666666666666667</v>
      </c>
      <c r="K394">
        <v>5.5555555555555554</v>
      </c>
      <c r="L394">
        <v>0</v>
      </c>
      <c r="M394">
        <v>3.5714285714285712</v>
      </c>
      <c r="N394">
        <f t="shared" si="6"/>
        <v>5.7368358720991655</v>
      </c>
    </row>
    <row r="395" spans="1:14" x14ac:dyDescent="0.45">
      <c r="A395">
        <v>509</v>
      </c>
      <c r="B395">
        <v>0</v>
      </c>
      <c r="C395">
        <v>0</v>
      </c>
      <c r="D395">
        <v>11.111111111111111</v>
      </c>
      <c r="E395">
        <v>20</v>
      </c>
      <c r="F395">
        <v>0</v>
      </c>
      <c r="G395">
        <v>16.666666666666664</v>
      </c>
      <c r="H395">
        <v>13.793103448275861</v>
      </c>
      <c r="I395">
        <v>11.320754716981133</v>
      </c>
      <c r="J395">
        <v>0</v>
      </c>
      <c r="K395">
        <v>5.5555555555555554</v>
      </c>
      <c r="L395">
        <v>0</v>
      </c>
      <c r="M395">
        <v>7.1428571428571423</v>
      </c>
      <c r="N395">
        <f t="shared" si="6"/>
        <v>7.7667573654747226</v>
      </c>
    </row>
    <row r="396" spans="1:14" x14ac:dyDescent="0.45">
      <c r="A396">
        <v>510</v>
      </c>
      <c r="B396">
        <v>0</v>
      </c>
      <c r="C396">
        <v>0</v>
      </c>
      <c r="D396">
        <v>11.111111111111111</v>
      </c>
      <c r="E396">
        <v>30</v>
      </c>
      <c r="F396">
        <v>0</v>
      </c>
      <c r="G396">
        <v>25</v>
      </c>
      <c r="H396">
        <v>24.137931034482758</v>
      </c>
      <c r="I396">
        <v>15.09433962264151</v>
      </c>
      <c r="J396">
        <v>0</v>
      </c>
      <c r="K396">
        <v>5.5555555555555554</v>
      </c>
      <c r="L396">
        <v>0</v>
      </c>
      <c r="M396">
        <v>32.142857142857146</v>
      </c>
      <c r="N396">
        <f t="shared" si="6"/>
        <v>12.581235471069926</v>
      </c>
    </row>
    <row r="397" spans="1:14" x14ac:dyDescent="0.45">
      <c r="A397">
        <v>511</v>
      </c>
      <c r="B397">
        <v>0</v>
      </c>
      <c r="C397">
        <v>0</v>
      </c>
      <c r="D397">
        <v>11.111111111111111</v>
      </c>
      <c r="E397">
        <v>40</v>
      </c>
      <c r="F397">
        <v>0</v>
      </c>
      <c r="G397">
        <v>20.833333333333336</v>
      </c>
      <c r="H397">
        <v>13.793103448275861</v>
      </c>
      <c r="I397">
        <v>16.981132075471699</v>
      </c>
      <c r="J397">
        <v>20</v>
      </c>
      <c r="K397">
        <v>44.444444444444443</v>
      </c>
      <c r="L397">
        <v>0</v>
      </c>
      <c r="M397">
        <v>10.714285714285714</v>
      </c>
      <c r="N397">
        <f t="shared" si="6"/>
        <v>17.062654914383369</v>
      </c>
    </row>
    <row r="398" spans="1:14" x14ac:dyDescent="0.45">
      <c r="A398">
        <v>512</v>
      </c>
      <c r="B398">
        <v>0</v>
      </c>
      <c r="C398">
        <v>0</v>
      </c>
      <c r="D398">
        <v>0</v>
      </c>
      <c r="E398">
        <v>10</v>
      </c>
      <c r="F398">
        <v>0</v>
      </c>
      <c r="G398">
        <v>16.666666666666664</v>
      </c>
      <c r="H398">
        <v>13.793103448275861</v>
      </c>
      <c r="I398">
        <v>15.09433962264151</v>
      </c>
      <c r="J398">
        <v>0</v>
      </c>
      <c r="K398">
        <v>50</v>
      </c>
      <c r="L398">
        <v>0</v>
      </c>
      <c r="M398">
        <v>10.714285714285714</v>
      </c>
      <c r="N398">
        <f t="shared" si="6"/>
        <v>11.997678567474914</v>
      </c>
    </row>
    <row r="399" spans="1:14" x14ac:dyDescent="0.45">
      <c r="A399">
        <v>513</v>
      </c>
      <c r="B399">
        <v>0</v>
      </c>
      <c r="C399">
        <v>0</v>
      </c>
      <c r="D399">
        <v>11.111111111111111</v>
      </c>
      <c r="E399">
        <v>40</v>
      </c>
      <c r="F399">
        <v>0</v>
      </c>
      <c r="G399">
        <v>20.833333333333336</v>
      </c>
      <c r="H399">
        <v>20.689655172413794</v>
      </c>
      <c r="I399">
        <v>15.09433962264151</v>
      </c>
      <c r="J399">
        <v>20</v>
      </c>
      <c r="K399">
        <v>50</v>
      </c>
      <c r="L399">
        <v>0</v>
      </c>
      <c r="M399">
        <v>14.285714285714285</v>
      </c>
      <c r="N399">
        <f t="shared" si="6"/>
        <v>18.431251816202717</v>
      </c>
    </row>
    <row r="400" spans="1:14" x14ac:dyDescent="0.45">
      <c r="A400">
        <v>514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16.666666666666664</v>
      </c>
      <c r="H400">
        <v>13.793103448275861</v>
      </c>
      <c r="I400">
        <v>20.754716981132077</v>
      </c>
      <c r="J400">
        <v>20</v>
      </c>
      <c r="K400">
        <v>50</v>
      </c>
      <c r="L400">
        <v>0</v>
      </c>
      <c r="M400">
        <v>10.714285714285714</v>
      </c>
      <c r="N400">
        <f t="shared" si="6"/>
        <v>13.76551472641937</v>
      </c>
    </row>
    <row r="401" spans="1:14" x14ac:dyDescent="0.45">
      <c r="A401">
        <v>516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8.3333333333333321</v>
      </c>
      <c r="H401">
        <v>3.4482758620689653</v>
      </c>
      <c r="I401">
        <v>15.09433962264151</v>
      </c>
      <c r="J401">
        <v>0</v>
      </c>
      <c r="K401">
        <v>38.888888888888893</v>
      </c>
      <c r="L401">
        <v>0</v>
      </c>
      <c r="M401">
        <v>7.1428571428571423</v>
      </c>
      <c r="N401">
        <f t="shared" si="6"/>
        <v>7.9965093399731773</v>
      </c>
    </row>
    <row r="402" spans="1:14" x14ac:dyDescent="0.45">
      <c r="A402">
        <v>517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8.3333333333333321</v>
      </c>
      <c r="H402">
        <v>6.8965517241379306</v>
      </c>
      <c r="I402">
        <v>13.20754716981132</v>
      </c>
      <c r="J402">
        <v>0</v>
      </c>
      <c r="K402">
        <v>27.777777777777779</v>
      </c>
      <c r="L402">
        <v>0</v>
      </c>
      <c r="M402">
        <v>3.5714285714285712</v>
      </c>
      <c r="N402">
        <f t="shared" si="6"/>
        <v>6.3975302815655368</v>
      </c>
    </row>
    <row r="403" spans="1:14" x14ac:dyDescent="0.45">
      <c r="A403">
        <v>518</v>
      </c>
      <c r="B403">
        <v>0</v>
      </c>
      <c r="C403">
        <v>0</v>
      </c>
      <c r="D403">
        <v>11.111111111111111</v>
      </c>
      <c r="E403">
        <v>50</v>
      </c>
      <c r="F403">
        <v>0</v>
      </c>
      <c r="G403">
        <v>29.166666666666668</v>
      </c>
      <c r="H403">
        <v>17.241379310344829</v>
      </c>
      <c r="I403">
        <v>5.6603773584905666</v>
      </c>
      <c r="J403">
        <v>0</v>
      </c>
      <c r="K403">
        <v>22.222222222222221</v>
      </c>
      <c r="L403">
        <v>0</v>
      </c>
      <c r="M403">
        <v>21.428571428571427</v>
      </c>
      <c r="N403">
        <f t="shared" si="6"/>
        <v>14.028189304716136</v>
      </c>
    </row>
    <row r="404" spans="1:14" x14ac:dyDescent="0.45">
      <c r="A404">
        <v>519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20.833333333333336</v>
      </c>
      <c r="H404">
        <v>13.793103448275861</v>
      </c>
      <c r="I404">
        <v>5.6603773584905666</v>
      </c>
      <c r="J404">
        <v>0</v>
      </c>
      <c r="K404">
        <v>0</v>
      </c>
      <c r="L404">
        <v>0</v>
      </c>
      <c r="M404">
        <v>17.857142857142858</v>
      </c>
      <c r="N404">
        <f t="shared" si="6"/>
        <v>5.2614928788852531</v>
      </c>
    </row>
    <row r="405" spans="1:14" x14ac:dyDescent="0.45">
      <c r="A405">
        <v>520</v>
      </c>
      <c r="B405">
        <v>0</v>
      </c>
      <c r="C405">
        <v>0</v>
      </c>
      <c r="D405">
        <v>11.111111111111111</v>
      </c>
      <c r="E405">
        <v>40</v>
      </c>
      <c r="F405">
        <v>33.333333333333329</v>
      </c>
      <c r="G405">
        <v>50</v>
      </c>
      <c r="H405">
        <v>62.068965517241381</v>
      </c>
      <c r="I405">
        <v>9.433962264150944</v>
      </c>
      <c r="J405">
        <v>0</v>
      </c>
      <c r="K405">
        <v>0</v>
      </c>
      <c r="L405">
        <v>0</v>
      </c>
      <c r="M405">
        <v>32.142857142857146</v>
      </c>
      <c r="N405">
        <f t="shared" si="6"/>
        <v>19.801664295310857</v>
      </c>
    </row>
    <row r="406" spans="1:14" x14ac:dyDescent="0.45">
      <c r="A406">
        <v>521</v>
      </c>
      <c r="B406">
        <v>0</v>
      </c>
      <c r="C406">
        <v>0</v>
      </c>
      <c r="D406">
        <v>55.555555555555557</v>
      </c>
      <c r="E406">
        <v>50</v>
      </c>
      <c r="F406">
        <v>33.333333333333329</v>
      </c>
      <c r="G406">
        <v>20.833333333333336</v>
      </c>
      <c r="H406">
        <v>31.03448275862069</v>
      </c>
      <c r="I406">
        <v>9.433962264150944</v>
      </c>
      <c r="J406">
        <v>6.666666666666667</v>
      </c>
      <c r="K406">
        <v>0</v>
      </c>
      <c r="L406">
        <v>0</v>
      </c>
      <c r="M406">
        <v>14.285714285714285</v>
      </c>
      <c r="N406">
        <f t="shared" si="6"/>
        <v>19.458075613517451</v>
      </c>
    </row>
    <row r="407" spans="1:14" x14ac:dyDescent="0.45">
      <c r="A407">
        <v>523</v>
      </c>
      <c r="B407">
        <v>0</v>
      </c>
      <c r="C407">
        <v>0</v>
      </c>
      <c r="D407">
        <v>33.333333333333329</v>
      </c>
      <c r="E407">
        <v>30</v>
      </c>
      <c r="F407">
        <v>0</v>
      </c>
      <c r="G407">
        <v>45.833333333333329</v>
      </c>
      <c r="H407">
        <v>34.482758620689658</v>
      </c>
      <c r="I407">
        <v>15.09433962264151</v>
      </c>
      <c r="J407">
        <v>0</v>
      </c>
      <c r="K407">
        <v>0</v>
      </c>
      <c r="L407">
        <v>14.285714285714285</v>
      </c>
      <c r="M407">
        <v>25</v>
      </c>
      <c r="N407">
        <f t="shared" si="6"/>
        <v>19.254892968891603</v>
      </c>
    </row>
    <row r="408" spans="1:14" x14ac:dyDescent="0.45">
      <c r="A408">
        <v>524</v>
      </c>
      <c r="B408">
        <v>1</v>
      </c>
      <c r="C408">
        <v>0</v>
      </c>
      <c r="D408">
        <v>0</v>
      </c>
      <c r="E408">
        <v>30</v>
      </c>
      <c r="F408">
        <v>33.333333333333329</v>
      </c>
      <c r="G408">
        <v>50</v>
      </c>
      <c r="H408">
        <v>62.068965517241381</v>
      </c>
      <c r="I408">
        <v>56.60377358490566</v>
      </c>
      <c r="J408">
        <v>0</v>
      </c>
      <c r="K408">
        <v>5.5555555555555554</v>
      </c>
      <c r="L408">
        <v>85.714285714285708</v>
      </c>
      <c r="M408">
        <v>28.571428571428569</v>
      </c>
      <c r="N408">
        <f t="shared" si="6"/>
        <v>37.064704471449851</v>
      </c>
    </row>
    <row r="409" spans="1:14" x14ac:dyDescent="0.45">
      <c r="A409">
        <v>525</v>
      </c>
      <c r="B409">
        <v>0</v>
      </c>
      <c r="C409">
        <v>0</v>
      </c>
      <c r="D409">
        <v>33.333333333333329</v>
      </c>
      <c r="E409">
        <v>40</v>
      </c>
      <c r="F409">
        <v>33.333333333333329</v>
      </c>
      <c r="G409">
        <v>25</v>
      </c>
      <c r="H409">
        <v>41.379310344827587</v>
      </c>
      <c r="I409">
        <v>13.20754716981132</v>
      </c>
      <c r="J409">
        <v>0</v>
      </c>
      <c r="K409">
        <v>0</v>
      </c>
      <c r="L409">
        <v>0</v>
      </c>
      <c r="M409">
        <v>82.142857142857139</v>
      </c>
      <c r="N409">
        <f t="shared" si="6"/>
        <v>22.962081797407933</v>
      </c>
    </row>
    <row r="410" spans="1:14" x14ac:dyDescent="0.45">
      <c r="A410">
        <v>528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8.3333333333333321</v>
      </c>
      <c r="H410">
        <v>10.344827586206897</v>
      </c>
      <c r="I410">
        <v>0</v>
      </c>
      <c r="J410">
        <v>0</v>
      </c>
      <c r="K410">
        <v>0</v>
      </c>
      <c r="L410">
        <v>0</v>
      </c>
      <c r="M410">
        <v>25</v>
      </c>
      <c r="N410">
        <f t="shared" si="6"/>
        <v>3.8121772714371183</v>
      </c>
    </row>
    <row r="411" spans="1:14" x14ac:dyDescent="0.45">
      <c r="A411">
        <v>529</v>
      </c>
      <c r="B411">
        <v>0</v>
      </c>
      <c r="C411">
        <v>1</v>
      </c>
      <c r="D411">
        <v>0</v>
      </c>
      <c r="E411">
        <v>10</v>
      </c>
      <c r="F411">
        <v>0</v>
      </c>
      <c r="G411">
        <v>8.3333333333333321</v>
      </c>
      <c r="H411">
        <v>10.344827586206897</v>
      </c>
      <c r="I411">
        <v>0</v>
      </c>
      <c r="J411">
        <v>0</v>
      </c>
      <c r="K411">
        <v>0</v>
      </c>
      <c r="L411">
        <v>0</v>
      </c>
      <c r="M411">
        <v>10.714285714285714</v>
      </c>
      <c r="N411">
        <f t="shared" si="6"/>
        <v>3.2300079851277559</v>
      </c>
    </row>
    <row r="412" spans="1:14" x14ac:dyDescent="0.45">
      <c r="A412">
        <v>530</v>
      </c>
      <c r="B412">
        <v>0</v>
      </c>
      <c r="C412">
        <v>1</v>
      </c>
      <c r="D412">
        <v>0</v>
      </c>
      <c r="E412">
        <v>10</v>
      </c>
      <c r="F412">
        <v>0</v>
      </c>
      <c r="G412">
        <v>0</v>
      </c>
      <c r="H412">
        <v>6.8965517241379306</v>
      </c>
      <c r="I412">
        <v>1.8867924528301887</v>
      </c>
      <c r="J412">
        <v>0</v>
      </c>
      <c r="K412">
        <v>0</v>
      </c>
      <c r="L412">
        <v>0</v>
      </c>
      <c r="M412">
        <v>17.857142857142858</v>
      </c>
      <c r="N412">
        <f t="shared" si="6"/>
        <v>2.9085255410234168</v>
      </c>
    </row>
    <row r="413" spans="1:14" x14ac:dyDescent="0.45">
      <c r="A413">
        <v>531</v>
      </c>
      <c r="B413">
        <v>0</v>
      </c>
      <c r="C413">
        <v>0</v>
      </c>
      <c r="D413">
        <v>11.111111111111111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17.857142857142858</v>
      </c>
      <c r="N413">
        <f t="shared" si="6"/>
        <v>3.5155553087397675</v>
      </c>
    </row>
    <row r="414" spans="1:14" x14ac:dyDescent="0.45">
      <c r="A414">
        <v>532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12.5</v>
      </c>
      <c r="H414">
        <v>10.344827586206897</v>
      </c>
      <c r="I414">
        <v>9.433962264150944</v>
      </c>
      <c r="J414">
        <v>13.333333333333334</v>
      </c>
      <c r="K414">
        <v>0</v>
      </c>
      <c r="L414">
        <v>0</v>
      </c>
      <c r="M414">
        <v>53.571428571428569</v>
      </c>
      <c r="N414">
        <f t="shared" si="6"/>
        <v>8.8362110892875947</v>
      </c>
    </row>
    <row r="415" spans="1:14" x14ac:dyDescent="0.45">
      <c r="A415">
        <v>533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12.5</v>
      </c>
      <c r="H415">
        <v>6.8965517241379306</v>
      </c>
      <c r="I415">
        <v>11.320754716981133</v>
      </c>
      <c r="J415">
        <v>13.333333333333334</v>
      </c>
      <c r="K415">
        <v>5.5555555555555554</v>
      </c>
      <c r="L415">
        <v>0</v>
      </c>
      <c r="M415">
        <v>50</v>
      </c>
      <c r="N415">
        <f t="shared" si="6"/>
        <v>9.1264011002752667</v>
      </c>
    </row>
    <row r="416" spans="1:14" x14ac:dyDescent="0.45">
      <c r="A416">
        <v>534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12.5</v>
      </c>
      <c r="H416">
        <v>6.8965517241379306</v>
      </c>
      <c r="I416">
        <v>11.320754716981133</v>
      </c>
      <c r="J416">
        <v>13.333333333333334</v>
      </c>
      <c r="K416">
        <v>5.5555555555555554</v>
      </c>
      <c r="L416">
        <v>0</v>
      </c>
      <c r="M416">
        <v>50</v>
      </c>
      <c r="N416">
        <f t="shared" si="6"/>
        <v>9.1264011002752667</v>
      </c>
    </row>
    <row r="417" spans="1:14" x14ac:dyDescent="0.45">
      <c r="A417">
        <v>535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12.5</v>
      </c>
      <c r="H417">
        <v>6.8965517241379306</v>
      </c>
      <c r="I417">
        <v>11.320754716981133</v>
      </c>
      <c r="J417">
        <v>13.333333333333334</v>
      </c>
      <c r="K417">
        <v>5.5555555555555554</v>
      </c>
      <c r="L417">
        <v>0</v>
      </c>
      <c r="M417">
        <v>50</v>
      </c>
      <c r="N417">
        <f t="shared" si="6"/>
        <v>9.1264011002752667</v>
      </c>
    </row>
    <row r="418" spans="1:14" x14ac:dyDescent="0.45">
      <c r="A418">
        <v>536</v>
      </c>
      <c r="B418">
        <v>0</v>
      </c>
      <c r="C418">
        <v>0</v>
      </c>
      <c r="D418">
        <v>33.333333333333329</v>
      </c>
      <c r="E418">
        <v>40</v>
      </c>
      <c r="F418">
        <v>66.666666666666657</v>
      </c>
      <c r="G418">
        <v>58.333333333333336</v>
      </c>
      <c r="H418">
        <v>55.172413793103445</v>
      </c>
      <c r="I418">
        <v>13.20754716981132</v>
      </c>
      <c r="J418">
        <v>0</v>
      </c>
      <c r="K418">
        <v>0</v>
      </c>
      <c r="L418">
        <v>7.1428571428571423</v>
      </c>
      <c r="M418">
        <v>60.714285714285708</v>
      </c>
      <c r="N418">
        <f t="shared" si="6"/>
        <v>29.050352722076397</v>
      </c>
    </row>
    <row r="419" spans="1:14" x14ac:dyDescent="0.45">
      <c r="A419">
        <v>537</v>
      </c>
      <c r="B419">
        <v>0</v>
      </c>
      <c r="C419">
        <v>0</v>
      </c>
      <c r="D419">
        <v>11.111111111111111</v>
      </c>
      <c r="E419">
        <v>40</v>
      </c>
      <c r="F419">
        <v>66.666666666666657</v>
      </c>
      <c r="G419">
        <v>54.166666666666664</v>
      </c>
      <c r="H419">
        <v>41.379310344827587</v>
      </c>
      <c r="I419">
        <v>11.320754716981133</v>
      </c>
      <c r="J419">
        <v>6.666666666666667</v>
      </c>
      <c r="K419">
        <v>0</v>
      </c>
      <c r="L419">
        <v>7.1428571428571423</v>
      </c>
      <c r="M419">
        <v>50</v>
      </c>
      <c r="N419">
        <f t="shared" si="6"/>
        <v>24.413561653827053</v>
      </c>
    </row>
    <row r="420" spans="1:14" x14ac:dyDescent="0.45">
      <c r="A420">
        <v>539</v>
      </c>
      <c r="B420">
        <v>0</v>
      </c>
      <c r="C420">
        <v>0</v>
      </c>
      <c r="D420">
        <v>33.333333333333329</v>
      </c>
      <c r="E420">
        <v>50</v>
      </c>
      <c r="F420">
        <v>66.666666666666657</v>
      </c>
      <c r="G420">
        <v>33.333333333333329</v>
      </c>
      <c r="H420">
        <v>37.931034482758619</v>
      </c>
      <c r="I420">
        <v>13.20754716981132</v>
      </c>
      <c r="J420">
        <v>0</v>
      </c>
      <c r="K420">
        <v>0</v>
      </c>
      <c r="L420">
        <v>0</v>
      </c>
      <c r="M420">
        <v>21.428571428571427</v>
      </c>
      <c r="N420">
        <f t="shared" si="6"/>
        <v>21.225632426375178</v>
      </c>
    </row>
    <row r="421" spans="1:14" x14ac:dyDescent="0.45">
      <c r="A421">
        <v>540</v>
      </c>
      <c r="B421">
        <v>0</v>
      </c>
      <c r="C421">
        <v>0</v>
      </c>
      <c r="D421">
        <v>33.333333333333329</v>
      </c>
      <c r="E421">
        <v>50</v>
      </c>
      <c r="F421">
        <v>66.666666666666657</v>
      </c>
      <c r="G421">
        <v>33.333333333333329</v>
      </c>
      <c r="H421">
        <v>37.931034482758619</v>
      </c>
      <c r="I421">
        <v>13.20754716981132</v>
      </c>
      <c r="J421">
        <v>0</v>
      </c>
      <c r="K421">
        <v>0</v>
      </c>
      <c r="L421">
        <v>0</v>
      </c>
      <c r="M421">
        <v>21.428571428571427</v>
      </c>
      <c r="N421">
        <f t="shared" si="6"/>
        <v>21.225632426375178</v>
      </c>
    </row>
    <row r="422" spans="1:14" x14ac:dyDescent="0.45">
      <c r="A422">
        <v>541</v>
      </c>
      <c r="B422">
        <v>0</v>
      </c>
      <c r="C422">
        <v>1</v>
      </c>
      <c r="D422">
        <v>0</v>
      </c>
      <c r="E422">
        <v>0</v>
      </c>
      <c r="F422">
        <v>33.333333333333329</v>
      </c>
      <c r="G422">
        <v>4.1666666666666661</v>
      </c>
      <c r="H422">
        <v>6.8965517241379306</v>
      </c>
      <c r="I422">
        <v>1.8867924528301887</v>
      </c>
      <c r="J422">
        <v>6.666666666666667</v>
      </c>
      <c r="K422">
        <v>0</v>
      </c>
      <c r="L422">
        <v>0</v>
      </c>
      <c r="M422">
        <v>7.1428571428571423</v>
      </c>
      <c r="N422">
        <f t="shared" si="6"/>
        <v>4.662977293226394</v>
      </c>
    </row>
    <row r="423" spans="1:14" x14ac:dyDescent="0.45">
      <c r="A423">
        <v>542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4.1666666666666661</v>
      </c>
      <c r="H423">
        <v>6.8965517241379306</v>
      </c>
      <c r="I423">
        <v>0</v>
      </c>
      <c r="J423">
        <v>0</v>
      </c>
      <c r="K423">
        <v>0</v>
      </c>
      <c r="L423">
        <v>0</v>
      </c>
      <c r="M423">
        <v>10.714285714285714</v>
      </c>
      <c r="N423">
        <f t="shared" si="6"/>
        <v>1.888297257818591</v>
      </c>
    </row>
    <row r="424" spans="1:14" x14ac:dyDescent="0.45">
      <c r="A424">
        <v>543</v>
      </c>
      <c r="B424">
        <v>0</v>
      </c>
      <c r="C424">
        <v>0</v>
      </c>
      <c r="D424">
        <v>0</v>
      </c>
      <c r="E424">
        <v>10</v>
      </c>
      <c r="F424">
        <v>33.333333333333329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7.1428571428571423</v>
      </c>
      <c r="N424">
        <f t="shared" si="6"/>
        <v>3.5411265966601415</v>
      </c>
    </row>
    <row r="425" spans="1:14" x14ac:dyDescent="0.45">
      <c r="A425">
        <v>544</v>
      </c>
      <c r="B425">
        <v>0</v>
      </c>
      <c r="C425">
        <v>1</v>
      </c>
      <c r="D425">
        <v>0</v>
      </c>
      <c r="E425">
        <v>10</v>
      </c>
      <c r="F425">
        <v>33.333333333333329</v>
      </c>
      <c r="G425">
        <v>4.1666666666666661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7.1428571428571423</v>
      </c>
      <c r="N425">
        <f t="shared" si="6"/>
        <v>3.9619086556903111</v>
      </c>
    </row>
    <row r="426" spans="1:14" x14ac:dyDescent="0.45">
      <c r="A426">
        <v>545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7.1428571428571423</v>
      </c>
      <c r="N426">
        <f t="shared" si="6"/>
        <v>0.61547228415531696</v>
      </c>
    </row>
    <row r="427" spans="1:14" x14ac:dyDescent="0.45">
      <c r="A427">
        <v>546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7.1428571428571423</v>
      </c>
      <c r="N427">
        <f t="shared" si="6"/>
        <v>0.61547228415531696</v>
      </c>
    </row>
    <row r="428" spans="1:14" x14ac:dyDescent="0.45">
      <c r="A428">
        <v>547</v>
      </c>
      <c r="B428">
        <v>1</v>
      </c>
      <c r="C428">
        <v>0</v>
      </c>
      <c r="D428">
        <v>11.111111111111111</v>
      </c>
      <c r="E428">
        <v>10</v>
      </c>
      <c r="F428">
        <v>33.333333333333329</v>
      </c>
      <c r="G428">
        <v>8.3333333333333321</v>
      </c>
      <c r="H428">
        <v>6.8965517241379306</v>
      </c>
      <c r="I428">
        <v>5.6603773584905666</v>
      </c>
      <c r="J428">
        <v>0</v>
      </c>
      <c r="K428">
        <v>0</v>
      </c>
      <c r="L428">
        <v>0</v>
      </c>
      <c r="M428">
        <v>21.428571428571427</v>
      </c>
      <c r="N428">
        <f t="shared" si="6"/>
        <v>8.0163297001719833</v>
      </c>
    </row>
    <row r="429" spans="1:14" x14ac:dyDescent="0.45">
      <c r="A429">
        <v>548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f t="shared" si="6"/>
        <v>0</v>
      </c>
    </row>
    <row r="430" spans="1:14" x14ac:dyDescent="0.45">
      <c r="A430">
        <v>549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f t="shared" si="6"/>
        <v>0</v>
      </c>
    </row>
    <row r="431" spans="1:14" x14ac:dyDescent="0.45">
      <c r="A431">
        <v>550</v>
      </c>
      <c r="B431">
        <v>0</v>
      </c>
      <c r="C431">
        <v>1</v>
      </c>
      <c r="D431">
        <v>0</v>
      </c>
      <c r="E431">
        <v>10</v>
      </c>
      <c r="F431">
        <v>0</v>
      </c>
      <c r="G431">
        <v>4.1666666666666661</v>
      </c>
      <c r="H431">
        <v>13.793103448275861</v>
      </c>
      <c r="I431">
        <v>3.7735849056603774</v>
      </c>
      <c r="J431">
        <v>13.333333333333334</v>
      </c>
      <c r="K431">
        <v>0</v>
      </c>
      <c r="L431">
        <v>0</v>
      </c>
      <c r="M431">
        <v>21.428571428571427</v>
      </c>
      <c r="N431">
        <f t="shared" si="6"/>
        <v>5.6156620325721036</v>
      </c>
    </row>
    <row r="432" spans="1:14" x14ac:dyDescent="0.45">
      <c r="A432">
        <v>551</v>
      </c>
      <c r="B432">
        <v>0</v>
      </c>
      <c r="C432">
        <v>0</v>
      </c>
      <c r="D432">
        <v>66.666666666666657</v>
      </c>
      <c r="E432">
        <v>30</v>
      </c>
      <c r="F432">
        <v>33.333333333333329</v>
      </c>
      <c r="G432">
        <v>83.333333333333343</v>
      </c>
      <c r="H432">
        <v>44.827586206896555</v>
      </c>
      <c r="I432">
        <v>100</v>
      </c>
      <c r="J432">
        <v>100</v>
      </c>
      <c r="K432">
        <v>100</v>
      </c>
      <c r="L432">
        <v>28.571428571428569</v>
      </c>
      <c r="M432">
        <v>46.428571428571431</v>
      </c>
      <c r="N432">
        <f t="shared" si="6"/>
        <v>64.23750517541815</v>
      </c>
    </row>
    <row r="433" spans="1:14" x14ac:dyDescent="0.45">
      <c r="A433">
        <v>552</v>
      </c>
      <c r="B433">
        <v>0</v>
      </c>
      <c r="C433">
        <v>0</v>
      </c>
      <c r="D433">
        <v>11.111111111111111</v>
      </c>
      <c r="E433">
        <v>70</v>
      </c>
      <c r="F433">
        <v>0</v>
      </c>
      <c r="G433">
        <v>45.833333333333329</v>
      </c>
      <c r="H433">
        <v>58.620689655172406</v>
      </c>
      <c r="I433">
        <v>94.339622641509436</v>
      </c>
      <c r="J433">
        <v>13.333333333333334</v>
      </c>
      <c r="K433">
        <v>16.666666666666664</v>
      </c>
      <c r="L433">
        <v>0</v>
      </c>
      <c r="M433">
        <v>25</v>
      </c>
      <c r="N433">
        <f t="shared" si="6"/>
        <v>29.454527336477149</v>
      </c>
    </row>
    <row r="434" spans="1:14" x14ac:dyDescent="0.45">
      <c r="A434">
        <v>553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3.7735849056603774</v>
      </c>
      <c r="J434">
        <v>0</v>
      </c>
      <c r="K434">
        <v>0</v>
      </c>
      <c r="L434">
        <v>0</v>
      </c>
      <c r="M434">
        <v>10.714285714285714</v>
      </c>
      <c r="N434">
        <f t="shared" si="6"/>
        <v>1.2767339783897882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D8F0-3AE1-4D9A-A5F6-4D0255A65A13}">
  <dimension ref="B3:I14"/>
  <sheetViews>
    <sheetView workbookViewId="0">
      <selection activeCell="G3" sqref="G3:I14"/>
    </sheetView>
  </sheetViews>
  <sheetFormatPr defaultRowHeight="14.25" x14ac:dyDescent="0.45"/>
  <sheetData>
    <row r="3" spans="2:9" x14ac:dyDescent="0.45">
      <c r="B3" s="69" t="s">
        <v>200</v>
      </c>
      <c r="C3" s="70" t="s">
        <v>197</v>
      </c>
      <c r="D3" s="70"/>
      <c r="G3" s="69" t="s">
        <v>201</v>
      </c>
      <c r="H3" s="70" t="s">
        <v>197</v>
      </c>
      <c r="I3" s="70"/>
    </row>
    <row r="4" spans="2:9" x14ac:dyDescent="0.45">
      <c r="B4" s="69"/>
      <c r="C4" s="41" t="s">
        <v>198</v>
      </c>
      <c r="D4" s="41" t="s">
        <v>199</v>
      </c>
      <c r="G4" s="69"/>
      <c r="H4" s="41" t="s">
        <v>198</v>
      </c>
      <c r="I4" s="41" t="s">
        <v>199</v>
      </c>
    </row>
    <row r="5" spans="2:9" x14ac:dyDescent="0.45">
      <c r="B5" s="41" t="s">
        <v>0</v>
      </c>
      <c r="C5" s="54">
        <v>0.13143386008371707</v>
      </c>
      <c r="D5" s="54">
        <v>0.11952893847151827</v>
      </c>
      <c r="G5" s="41"/>
      <c r="H5" s="54"/>
      <c r="I5" s="54"/>
    </row>
    <row r="6" spans="2:9" x14ac:dyDescent="0.45">
      <c r="B6" s="41" t="s">
        <v>7</v>
      </c>
      <c r="C6" s="54">
        <v>7.307027085806389E-2</v>
      </c>
      <c r="D6" s="54">
        <v>6.4877528200127196E-2</v>
      </c>
      <c r="G6" s="41"/>
      <c r="H6" s="54"/>
      <c r="I6" s="54"/>
    </row>
    <row r="7" spans="2:9" x14ac:dyDescent="0.45">
      <c r="B7" s="41" t="s">
        <v>8</v>
      </c>
      <c r="C7" s="54">
        <v>5.945395469478483E-2</v>
      </c>
      <c r="D7" s="54">
        <v>6.8306370915106593E-2</v>
      </c>
      <c r="G7" s="41"/>
      <c r="H7" s="54"/>
      <c r="I7" s="54"/>
    </row>
    <row r="8" spans="2:9" x14ac:dyDescent="0.45">
      <c r="B8" s="41" t="s">
        <v>1</v>
      </c>
      <c r="C8" s="54">
        <v>0.10226342761259979</v>
      </c>
      <c r="D8" s="54">
        <v>0.10098769416724075</v>
      </c>
      <c r="G8" s="41"/>
      <c r="H8" s="54"/>
      <c r="I8" s="54"/>
    </row>
    <row r="9" spans="2:9" x14ac:dyDescent="0.45">
      <c r="B9" s="41" t="s">
        <v>2</v>
      </c>
      <c r="C9" s="54">
        <v>0.11770481835387485</v>
      </c>
      <c r="D9" s="54">
        <v>7.8924482020539685E-2</v>
      </c>
      <c r="G9" s="41"/>
      <c r="H9" s="54"/>
      <c r="I9" s="54"/>
    </row>
    <row r="10" spans="2:9" x14ac:dyDescent="0.45">
      <c r="B10" s="41" t="s">
        <v>3</v>
      </c>
      <c r="C10" s="54">
        <v>9.7750954074793395E-2</v>
      </c>
      <c r="D10" s="54">
        <v>9.3684271321555393E-2</v>
      </c>
      <c r="G10" s="41"/>
      <c r="H10" s="54"/>
      <c r="I10" s="54"/>
    </row>
    <row r="11" spans="2:9" x14ac:dyDescent="0.45">
      <c r="B11" s="41" t="s">
        <v>4</v>
      </c>
      <c r="C11" s="54">
        <v>9.3232717371704757E-2</v>
      </c>
      <c r="D11" s="54">
        <v>9.4316155635525409E-2</v>
      </c>
      <c r="G11" s="41"/>
      <c r="H11" s="54"/>
      <c r="I11" s="54"/>
    </row>
    <row r="12" spans="2:9" x14ac:dyDescent="0.45">
      <c r="B12" s="41" t="s">
        <v>5</v>
      </c>
      <c r="C12" s="54">
        <v>0.10265481280703614</v>
      </c>
      <c r="D12" s="54">
        <v>0.1247970173876369</v>
      </c>
      <c r="G12" s="41"/>
      <c r="H12" s="54"/>
      <c r="I12" s="54"/>
    </row>
    <row r="13" spans="2:9" x14ac:dyDescent="0.45">
      <c r="B13" s="41" t="s">
        <v>6</v>
      </c>
      <c r="C13" s="54">
        <v>0.16451655188534556</v>
      </c>
      <c r="D13" s="54">
        <v>0.16841142209900545</v>
      </c>
      <c r="G13" s="41"/>
      <c r="H13" s="54"/>
      <c r="I13" s="54"/>
    </row>
    <row r="14" spans="2:9" x14ac:dyDescent="0.45">
      <c r="B14" s="41" t="s">
        <v>9</v>
      </c>
      <c r="C14" s="54">
        <v>5.7918632258079708E-2</v>
      </c>
      <c r="D14" s="54">
        <v>8.6166119781744377E-2</v>
      </c>
      <c r="G14" s="41"/>
      <c r="H14" s="54"/>
      <c r="I14" s="54"/>
    </row>
  </sheetData>
  <mergeCells count="4">
    <mergeCell ref="B3:B4"/>
    <mergeCell ref="C3:D3"/>
    <mergeCell ref="G3:G4"/>
    <mergeCell ref="H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EEF9-DDFC-474D-A5EF-9D846531963B}">
  <dimension ref="A1:AD437"/>
  <sheetViews>
    <sheetView topLeftCell="M1" workbookViewId="0">
      <selection activeCell="V2" sqref="V2:W3"/>
    </sheetView>
  </sheetViews>
  <sheetFormatPr defaultRowHeight="14.25" x14ac:dyDescent="0.45"/>
  <cols>
    <col min="15" max="15" width="9.86328125" customWidth="1"/>
  </cols>
  <sheetData>
    <row r="1" spans="1:30" x14ac:dyDescent="0.45">
      <c r="A1" s="3" t="s">
        <v>39</v>
      </c>
      <c r="D1">
        <v>-0.17648171951283964</v>
      </c>
      <c r="E1">
        <v>0.12451516292237895</v>
      </c>
      <c r="F1">
        <v>8.846396142459656E-2</v>
      </c>
      <c r="G1">
        <v>0.14524513113577964</v>
      </c>
      <c r="H1">
        <v>0.14600040452737567</v>
      </c>
      <c r="I1">
        <v>6.5128270718560324E-2</v>
      </c>
      <c r="J1">
        <v>0.25416534975846922</v>
      </c>
      <c r="O1" t="s">
        <v>50</v>
      </c>
      <c r="P1" t="s">
        <v>51</v>
      </c>
    </row>
    <row r="2" spans="1:30" x14ac:dyDescent="0.45">
      <c r="A2" t="s">
        <v>40</v>
      </c>
      <c r="D2">
        <v>-0.18877639999712781</v>
      </c>
      <c r="E2">
        <v>0.13318956924505962</v>
      </c>
      <c r="F2">
        <v>9.4626844147476422E-2</v>
      </c>
      <c r="G2">
        <v>0.15536370026657861</v>
      </c>
      <c r="H2">
        <v>0.1561715901277648</v>
      </c>
      <c r="J2">
        <v>0.27187189621599273</v>
      </c>
      <c r="N2" t="s">
        <v>33</v>
      </c>
      <c r="O2">
        <f>MAX(K7:K437)</f>
        <v>66.647988450539259</v>
      </c>
      <c r="P2">
        <f>0*D$1+100*E$1+100*F$1+100*G$1+100*H$1+100*I$1+100*J$1</f>
        <v>82.351828048716044</v>
      </c>
      <c r="Q2">
        <f>(P2-$P$3)/($P$2-$P$3)*100</f>
        <v>100</v>
      </c>
      <c r="R2">
        <f>MAX(O7:O437)</f>
        <v>84.296160401823215</v>
      </c>
      <c r="T2">
        <f>CORREL(B7:B437,O7:O437)</f>
        <v>0.19637186761649625</v>
      </c>
      <c r="V2" t="s">
        <v>54</v>
      </c>
      <c r="W2" t="s">
        <v>55</v>
      </c>
      <c r="AC2" t="s">
        <v>57</v>
      </c>
      <c r="AD2" t="s">
        <v>58</v>
      </c>
    </row>
    <row r="3" spans="1:30" x14ac:dyDescent="0.45">
      <c r="A3" t="s">
        <v>41</v>
      </c>
      <c r="D3">
        <v>-0.19360915207330098</v>
      </c>
      <c r="E3">
        <v>0.13659927600556288</v>
      </c>
      <c r="G3">
        <v>0.15934107373612608</v>
      </c>
      <c r="H3">
        <v>0.16016964590402022</v>
      </c>
      <c r="I3">
        <v>7.1448925727990095E-2</v>
      </c>
      <c r="J3">
        <v>0.27883192655299976</v>
      </c>
      <c r="N3" t="s">
        <v>18</v>
      </c>
      <c r="O3">
        <f>MIN(K7:K437)</f>
        <v>-6.3390446715692397</v>
      </c>
      <c r="P3">
        <f>100*D$1+0*E$1+0*F$1+0*G$1+0*H$1+0*I$1+0*J$1</f>
        <v>-17.648171951283963</v>
      </c>
      <c r="Q3">
        <f>(P3-$P$3)/($P$2-$P$3)*100</f>
        <v>0</v>
      </c>
      <c r="R3">
        <f>MIN(O7:O437)</f>
        <v>11.309127279714723</v>
      </c>
      <c r="V3">
        <f>AVERAGE(W7:W45)</f>
        <v>59.034686013887367</v>
      </c>
      <c r="W3">
        <f>MIN(W7:W45)</f>
        <v>20.149829638250239</v>
      </c>
      <c r="AC3">
        <f>AVERAGE(AD7:AD47)</f>
        <v>35.550211276127335</v>
      </c>
      <c r="AD3">
        <f>MIN(AD7:AD47)</f>
        <v>15.944573237220972</v>
      </c>
    </row>
    <row r="6" spans="1:30" x14ac:dyDescent="0.45">
      <c r="A6" t="s">
        <v>21</v>
      </c>
      <c r="B6" t="s">
        <v>22</v>
      </c>
      <c r="C6" t="s">
        <v>23</v>
      </c>
      <c r="D6" t="s">
        <v>17</v>
      </c>
      <c r="E6" t="s">
        <v>10</v>
      </c>
      <c r="F6" t="s">
        <v>12</v>
      </c>
      <c r="G6" t="s">
        <v>13</v>
      </c>
      <c r="H6" t="s">
        <v>14</v>
      </c>
      <c r="I6" t="s">
        <v>16</v>
      </c>
      <c r="J6" t="s">
        <v>37</v>
      </c>
      <c r="K6" s="3" t="s">
        <v>44</v>
      </c>
      <c r="L6" t="s">
        <v>45</v>
      </c>
      <c r="M6" t="s">
        <v>46</v>
      </c>
      <c r="O6" s="3" t="s">
        <v>53</v>
      </c>
      <c r="T6" t="s">
        <v>21</v>
      </c>
      <c r="U6" t="s">
        <v>22</v>
      </c>
      <c r="V6" t="s">
        <v>23</v>
      </c>
      <c r="W6" t="s">
        <v>53</v>
      </c>
      <c r="AA6" t="s">
        <v>21</v>
      </c>
      <c r="AB6" t="s">
        <v>22</v>
      </c>
      <c r="AC6" t="s">
        <v>23</v>
      </c>
      <c r="AD6" t="s">
        <v>53</v>
      </c>
    </row>
    <row r="7" spans="1:30" x14ac:dyDescent="0.45">
      <c r="A7">
        <v>1</v>
      </c>
      <c r="B7">
        <v>0</v>
      </c>
      <c r="C7">
        <v>0</v>
      </c>
      <c r="D7">
        <v>13.290937888298563</v>
      </c>
      <c r="E7">
        <v>33.333333333333329</v>
      </c>
      <c r="F7">
        <v>100</v>
      </c>
      <c r="G7">
        <v>75</v>
      </c>
      <c r="H7">
        <v>50</v>
      </c>
      <c r="I7">
        <v>100</v>
      </c>
      <c r="J7">
        <v>67.153339185961869</v>
      </c>
      <c r="K7">
        <f>D7*D$1+E7*E$1+F7*F$1+G7*G$1+H7*H$1+I7*I$1+J7*J$1</f>
        <v>52.425578075797745</v>
      </c>
      <c r="L7">
        <f>D7*D$2+E7*E$2+F7*F$2+G7*G$2+H7*H$2+J7*J$2</f>
        <v>49.111284003882687</v>
      </c>
      <c r="M7">
        <f>D7*D$3+E7*E$3+G7*G$3+H7*H$3+I7*I$3+J7*J$3</f>
        <v>47.808512323271309</v>
      </c>
      <c r="O7">
        <f>(K7-$P$3)/($P$2-$P$3)*100</f>
        <v>70.073750027081701</v>
      </c>
      <c r="T7">
        <v>133</v>
      </c>
      <c r="U7">
        <v>1</v>
      </c>
      <c r="V7">
        <v>0</v>
      </c>
      <c r="W7">
        <v>84.296160401823215</v>
      </c>
      <c r="AA7">
        <v>218</v>
      </c>
      <c r="AB7">
        <v>0</v>
      </c>
      <c r="AC7">
        <v>1</v>
      </c>
      <c r="AD7">
        <v>66.44974177438408</v>
      </c>
    </row>
    <row r="8" spans="1:30" x14ac:dyDescent="0.45">
      <c r="A8">
        <v>2</v>
      </c>
      <c r="B8">
        <v>0</v>
      </c>
      <c r="C8">
        <v>0</v>
      </c>
      <c r="D8">
        <v>18.089781861345379</v>
      </c>
      <c r="E8">
        <v>0</v>
      </c>
      <c r="F8">
        <v>0</v>
      </c>
      <c r="G8">
        <v>25</v>
      </c>
      <c r="H8">
        <v>33.333333333333329</v>
      </c>
      <c r="I8">
        <v>33.333333333333329</v>
      </c>
      <c r="J8">
        <v>0.96159253606448614</v>
      </c>
      <c r="K8">
        <f t="shared" ref="K8:K71" si="0">D8*D$1+E8*E$1+F8*F$1+G8*G$1+H8*H$1+I8*I$1+J8*J$1</f>
        <v>7.7206384813439097</v>
      </c>
      <c r="L8">
        <f t="shared" ref="L8:L71" si="1">D8*D$2+E8*E$2+F8*F$2+G8*G$2+H8*H$2+J8*J$2</f>
        <v>5.9363182672388328</v>
      </c>
      <c r="M8">
        <f t="shared" ref="M8:M71" si="2">D8*D$3+E8*E$3+G8*G$3+H8*H$3+I8*I$3+J8*J$3</f>
        <v>8.4699212698272799</v>
      </c>
      <c r="O8">
        <f t="shared" ref="O8:O71" si="3">(K8-$P$3)/($P$2-$P$3)*100</f>
        <v>25.368810432627875</v>
      </c>
      <c r="T8">
        <v>131</v>
      </c>
      <c r="U8">
        <v>1</v>
      </c>
      <c r="V8">
        <v>0</v>
      </c>
      <c r="W8">
        <v>79.833037828958823</v>
      </c>
      <c r="AA8">
        <v>207</v>
      </c>
      <c r="AB8">
        <v>0</v>
      </c>
      <c r="AC8">
        <v>1</v>
      </c>
      <c r="AD8">
        <v>57.450009412757517</v>
      </c>
    </row>
    <row r="9" spans="1:30" x14ac:dyDescent="0.45">
      <c r="A9">
        <v>3</v>
      </c>
      <c r="B9">
        <v>0</v>
      </c>
      <c r="C9">
        <v>0</v>
      </c>
      <c r="D9">
        <v>8.9853886751778074</v>
      </c>
      <c r="E9">
        <v>0</v>
      </c>
      <c r="F9">
        <v>100</v>
      </c>
      <c r="G9">
        <v>75</v>
      </c>
      <c r="H9">
        <v>33.333333333333329</v>
      </c>
      <c r="I9">
        <v>33.333333333333329</v>
      </c>
      <c r="J9">
        <v>41.169801345683332</v>
      </c>
      <c r="K9">
        <f t="shared" si="0"/>
        <v>35.65558360046672</v>
      </c>
      <c r="L9">
        <f t="shared" si="1"/>
        <v>35.817364237678156</v>
      </c>
      <c r="M9">
        <f t="shared" si="2"/>
        <v>29.411001127180747</v>
      </c>
      <c r="O9">
        <f t="shared" si="3"/>
        <v>53.303755551750683</v>
      </c>
      <c r="T9">
        <v>30</v>
      </c>
      <c r="U9">
        <v>1</v>
      </c>
      <c r="V9">
        <v>0</v>
      </c>
      <c r="W9">
        <v>78.623690497041707</v>
      </c>
      <c r="AA9">
        <v>21</v>
      </c>
      <c r="AB9">
        <v>0</v>
      </c>
      <c r="AC9">
        <v>1</v>
      </c>
      <c r="AD9">
        <v>56.916143035877489</v>
      </c>
    </row>
    <row r="10" spans="1:30" x14ac:dyDescent="0.45">
      <c r="A10">
        <v>5</v>
      </c>
      <c r="B10">
        <v>0</v>
      </c>
      <c r="C10">
        <v>0</v>
      </c>
      <c r="D10">
        <v>9.461206767672719</v>
      </c>
      <c r="E10">
        <v>66.666666666666657</v>
      </c>
      <c r="F10">
        <v>100</v>
      </c>
      <c r="G10">
        <v>75</v>
      </c>
      <c r="H10">
        <v>50</v>
      </c>
      <c r="I10">
        <v>66.666666666666657</v>
      </c>
      <c r="J10">
        <v>32.704935589504096</v>
      </c>
      <c r="K10">
        <f t="shared" si="0"/>
        <v>46.32542813398365</v>
      </c>
      <c r="L10">
        <f t="shared" si="1"/>
        <v>44.908346358577248</v>
      </c>
      <c r="M10">
        <f t="shared" si="2"/>
        <v>41.116346919314566</v>
      </c>
      <c r="O10">
        <f t="shared" si="3"/>
        <v>63.973600085267613</v>
      </c>
      <c r="T10">
        <v>170</v>
      </c>
      <c r="U10">
        <v>1</v>
      </c>
      <c r="V10">
        <v>0</v>
      </c>
      <c r="W10">
        <v>77.421612998272593</v>
      </c>
      <c r="AA10">
        <v>461</v>
      </c>
      <c r="AB10">
        <v>0</v>
      </c>
      <c r="AC10">
        <v>1</v>
      </c>
      <c r="AD10">
        <v>55.927320247103054</v>
      </c>
    </row>
    <row r="11" spans="1:30" x14ac:dyDescent="0.45">
      <c r="A11">
        <v>6</v>
      </c>
      <c r="B11">
        <v>0</v>
      </c>
      <c r="C11">
        <v>0</v>
      </c>
      <c r="D11">
        <v>9.7329038537042472</v>
      </c>
      <c r="E11">
        <v>100</v>
      </c>
      <c r="F11">
        <v>100</v>
      </c>
      <c r="G11">
        <v>100</v>
      </c>
      <c r="H11">
        <v>33.333333333333329</v>
      </c>
      <c r="I11">
        <v>100</v>
      </c>
      <c r="J11">
        <v>35.711990610465179</v>
      </c>
      <c r="K11">
        <f t="shared" si="0"/>
        <v>54.561003747169245</v>
      </c>
      <c r="L11">
        <f t="shared" si="1"/>
        <v>51.395475090731388</v>
      </c>
      <c r="M11">
        <f t="shared" si="2"/>
        <v>50.151179624400577</v>
      </c>
      <c r="O11">
        <f t="shared" si="3"/>
        <v>72.209175698453208</v>
      </c>
      <c r="T11">
        <v>76</v>
      </c>
      <c r="U11">
        <v>1</v>
      </c>
      <c r="V11">
        <v>0</v>
      </c>
      <c r="W11">
        <v>76.047997726975268</v>
      </c>
      <c r="AA11">
        <v>174</v>
      </c>
      <c r="AB11">
        <v>0</v>
      </c>
      <c r="AC11">
        <v>1</v>
      </c>
      <c r="AD11">
        <v>54.561048079228001</v>
      </c>
    </row>
    <row r="12" spans="1:30" x14ac:dyDescent="0.45">
      <c r="A12">
        <v>7</v>
      </c>
      <c r="B12">
        <v>0</v>
      </c>
      <c r="C12">
        <v>0</v>
      </c>
      <c r="D12">
        <v>10.591467184521047</v>
      </c>
      <c r="E12">
        <v>33.333333333333329</v>
      </c>
      <c r="F12">
        <v>100</v>
      </c>
      <c r="G12">
        <v>100</v>
      </c>
      <c r="H12">
        <v>33.333333333333329</v>
      </c>
      <c r="I12">
        <v>100</v>
      </c>
      <c r="J12">
        <v>42.177967661783846</v>
      </c>
      <c r="K12">
        <f t="shared" si="0"/>
        <v>47.751899471522741</v>
      </c>
      <c r="L12">
        <f t="shared" si="1"/>
        <v>44.112011421464047</v>
      </c>
      <c r="M12">
        <f t="shared" si="2"/>
        <v>42.681256343815718</v>
      </c>
      <c r="O12">
        <f t="shared" si="3"/>
        <v>65.400071422806704</v>
      </c>
      <c r="T12">
        <v>77</v>
      </c>
      <c r="U12">
        <v>1</v>
      </c>
      <c r="V12">
        <v>0</v>
      </c>
      <c r="W12">
        <v>75.785715903683752</v>
      </c>
      <c r="AA12">
        <v>179</v>
      </c>
      <c r="AB12">
        <v>0</v>
      </c>
      <c r="AC12">
        <v>1</v>
      </c>
      <c r="AD12">
        <v>51.8484781987449</v>
      </c>
    </row>
    <row r="13" spans="1:30" x14ac:dyDescent="0.45">
      <c r="A13">
        <v>17</v>
      </c>
      <c r="B13">
        <v>0</v>
      </c>
      <c r="C13">
        <v>0</v>
      </c>
      <c r="D13">
        <v>24.152582138669441</v>
      </c>
      <c r="E13">
        <v>66.666666666666657</v>
      </c>
      <c r="F13">
        <v>100</v>
      </c>
      <c r="G13">
        <v>75</v>
      </c>
      <c r="H13">
        <v>33.333333333333329</v>
      </c>
      <c r="I13">
        <v>0</v>
      </c>
      <c r="J13">
        <v>10.799254915301686</v>
      </c>
      <c r="K13">
        <f t="shared" si="0"/>
        <v>31.38977916621862</v>
      </c>
      <c r="L13">
        <f t="shared" si="1"/>
        <v>33.576562626773836</v>
      </c>
      <c r="M13">
        <f t="shared" si="2"/>
        <v>24.731203232502963</v>
      </c>
      <c r="O13">
        <f t="shared" si="3"/>
        <v>49.037951117502587</v>
      </c>
      <c r="T13">
        <v>126</v>
      </c>
      <c r="U13">
        <v>1</v>
      </c>
      <c r="V13">
        <v>0</v>
      </c>
      <c r="W13">
        <v>75.598035598405033</v>
      </c>
      <c r="AA13">
        <v>452</v>
      </c>
      <c r="AB13">
        <v>0</v>
      </c>
      <c r="AC13">
        <v>1</v>
      </c>
      <c r="AD13">
        <v>51.145999179702486</v>
      </c>
    </row>
    <row r="14" spans="1:30" x14ac:dyDescent="0.45">
      <c r="A14">
        <v>20</v>
      </c>
      <c r="B14">
        <v>0</v>
      </c>
      <c r="C14">
        <v>0</v>
      </c>
      <c r="D14">
        <v>18.726008209733269</v>
      </c>
      <c r="E14">
        <v>33.333333333333329</v>
      </c>
      <c r="F14">
        <v>100</v>
      </c>
      <c r="G14">
        <v>75</v>
      </c>
      <c r="H14">
        <v>50</v>
      </c>
      <c r="I14">
        <v>66.666666666666657</v>
      </c>
      <c r="J14">
        <v>34.601977471886073</v>
      </c>
      <c r="K14">
        <f t="shared" si="0"/>
        <v>41.022016927339877</v>
      </c>
      <c r="L14">
        <f t="shared" si="1"/>
        <v>39.235470561252555</v>
      </c>
      <c r="M14">
        <f t="shared" si="2"/>
        <v>35.298243210620591</v>
      </c>
      <c r="O14">
        <f t="shared" si="3"/>
        <v>58.67018887862384</v>
      </c>
      <c r="T14">
        <v>85</v>
      </c>
      <c r="U14">
        <v>1</v>
      </c>
      <c r="V14">
        <v>0</v>
      </c>
      <c r="W14">
        <v>73.409557259687091</v>
      </c>
      <c r="AA14">
        <v>55</v>
      </c>
      <c r="AB14">
        <v>0</v>
      </c>
      <c r="AC14">
        <v>1</v>
      </c>
      <c r="AD14">
        <v>50.450788061729376</v>
      </c>
    </row>
    <row r="15" spans="1:30" x14ac:dyDescent="0.45">
      <c r="A15">
        <v>21</v>
      </c>
      <c r="B15">
        <v>0</v>
      </c>
      <c r="C15">
        <v>1</v>
      </c>
      <c r="D15">
        <v>23.148184293417813</v>
      </c>
      <c r="E15">
        <v>0</v>
      </c>
      <c r="F15">
        <v>100</v>
      </c>
      <c r="G15">
        <v>100</v>
      </c>
      <c r="H15">
        <v>50</v>
      </c>
      <c r="I15">
        <v>100</v>
      </c>
      <c r="J15">
        <v>24.273355529761737</v>
      </c>
      <c r="K15">
        <f t="shared" si="0"/>
        <v>39.267971084593519</v>
      </c>
      <c r="L15">
        <f t="shared" si="1"/>
        <v>35.037046245813549</v>
      </c>
      <c r="M15">
        <f t="shared" si="2"/>
        <v>33.373968394796876</v>
      </c>
      <c r="O15">
        <f t="shared" si="3"/>
        <v>56.916143035877489</v>
      </c>
      <c r="T15">
        <v>125</v>
      </c>
      <c r="U15">
        <v>1</v>
      </c>
      <c r="V15">
        <v>0</v>
      </c>
      <c r="W15">
        <v>72.650291769981266</v>
      </c>
      <c r="AA15">
        <v>476</v>
      </c>
      <c r="AB15">
        <v>0</v>
      </c>
      <c r="AC15">
        <v>1</v>
      </c>
      <c r="AD15">
        <v>48.977312356337954</v>
      </c>
    </row>
    <row r="16" spans="1:30" x14ac:dyDescent="0.45">
      <c r="A16">
        <v>22</v>
      </c>
      <c r="B16">
        <v>0</v>
      </c>
      <c r="C16">
        <v>0</v>
      </c>
      <c r="D16">
        <v>17.885559870006936</v>
      </c>
      <c r="E16">
        <v>100</v>
      </c>
      <c r="F16">
        <v>100</v>
      </c>
      <c r="G16">
        <v>75</v>
      </c>
      <c r="H16">
        <v>66.666666666666657</v>
      </c>
      <c r="I16">
        <v>0</v>
      </c>
      <c r="J16">
        <v>27.28015369702365</v>
      </c>
      <c r="K16">
        <f t="shared" si="0"/>
        <v>45.70185301726621</v>
      </c>
      <c r="L16">
        <f t="shared" si="1"/>
        <v>48.885693711578519</v>
      </c>
      <c r="M16">
        <f t="shared" si="2"/>
        <v>40.432254255581832</v>
      </c>
      <c r="O16">
        <f t="shared" si="3"/>
        <v>63.35002496855018</v>
      </c>
      <c r="T16">
        <v>177</v>
      </c>
      <c r="U16">
        <v>1</v>
      </c>
      <c r="V16">
        <v>0</v>
      </c>
      <c r="W16">
        <v>72.361848035125121</v>
      </c>
      <c r="AA16">
        <v>409</v>
      </c>
      <c r="AB16">
        <v>0</v>
      </c>
      <c r="AC16">
        <v>1</v>
      </c>
      <c r="AD16">
        <v>47.717261050369792</v>
      </c>
    </row>
    <row r="17" spans="1:30" x14ac:dyDescent="0.45">
      <c r="A17">
        <v>27</v>
      </c>
      <c r="B17">
        <v>1</v>
      </c>
      <c r="C17">
        <v>0</v>
      </c>
      <c r="D17">
        <v>14.867055899690262</v>
      </c>
      <c r="E17">
        <v>66.666666666666657</v>
      </c>
      <c r="F17">
        <v>100</v>
      </c>
      <c r="G17">
        <v>100</v>
      </c>
      <c r="H17">
        <v>33.333333333333329</v>
      </c>
      <c r="I17">
        <v>33.333333333333329</v>
      </c>
      <c r="J17">
        <v>63.346017004261057</v>
      </c>
      <c r="K17">
        <f t="shared" si="0"/>
        <v>52.186141604150514</v>
      </c>
      <c r="L17">
        <f t="shared" si="1"/>
        <v>53.499531198047684</v>
      </c>
      <c r="M17">
        <f t="shared" si="2"/>
        <v>47.545838702575608</v>
      </c>
      <c r="O17">
        <f t="shared" si="3"/>
        <v>69.834313555434477</v>
      </c>
      <c r="T17">
        <v>74</v>
      </c>
      <c r="U17">
        <v>1</v>
      </c>
      <c r="V17">
        <v>0</v>
      </c>
      <c r="W17">
        <v>70.807725911639238</v>
      </c>
      <c r="AA17">
        <v>550</v>
      </c>
      <c r="AB17">
        <v>0</v>
      </c>
      <c r="AC17">
        <v>1</v>
      </c>
      <c r="AD17">
        <v>43.068741181355648</v>
      </c>
    </row>
    <row r="18" spans="1:30" x14ac:dyDescent="0.45">
      <c r="A18">
        <v>29</v>
      </c>
      <c r="B18">
        <v>0</v>
      </c>
      <c r="C18">
        <v>0</v>
      </c>
      <c r="D18">
        <v>12.122567147717417</v>
      </c>
      <c r="E18">
        <v>66.666666666666657</v>
      </c>
      <c r="F18">
        <v>100</v>
      </c>
      <c r="G18">
        <v>100</v>
      </c>
      <c r="H18">
        <v>33.333333333333329</v>
      </c>
      <c r="I18">
        <v>66.666666666666657</v>
      </c>
      <c r="J18">
        <v>68.621060954742532</v>
      </c>
      <c r="K18">
        <f t="shared" si="0"/>
        <v>56.182169446233104</v>
      </c>
      <c r="L18">
        <f t="shared" si="1"/>
        <v>55.451762105917823</v>
      </c>
      <c r="M18">
        <f t="shared" si="2"/>
        <v>51.929678367683948</v>
      </c>
      <c r="O18">
        <f t="shared" si="3"/>
        <v>73.83034139751706</v>
      </c>
      <c r="T18">
        <v>27</v>
      </c>
      <c r="U18">
        <v>1</v>
      </c>
      <c r="V18">
        <v>0</v>
      </c>
      <c r="W18">
        <v>69.834313555434477</v>
      </c>
      <c r="AA18">
        <v>450</v>
      </c>
      <c r="AB18">
        <v>0</v>
      </c>
      <c r="AC18">
        <v>1</v>
      </c>
      <c r="AD18">
        <v>42.796038953053554</v>
      </c>
    </row>
    <row r="19" spans="1:30" x14ac:dyDescent="0.45">
      <c r="A19">
        <v>30</v>
      </c>
      <c r="B19">
        <v>1</v>
      </c>
      <c r="C19">
        <v>0</v>
      </c>
      <c r="D19">
        <v>12.538083562620431</v>
      </c>
      <c r="E19">
        <v>66.666666666666657</v>
      </c>
      <c r="F19">
        <v>100</v>
      </c>
      <c r="G19">
        <v>100</v>
      </c>
      <c r="H19">
        <v>66.666666666666657</v>
      </c>
      <c r="I19">
        <v>66.666666666666657</v>
      </c>
      <c r="J19">
        <v>68.621060954742532</v>
      </c>
      <c r="K19">
        <f t="shared" si="0"/>
        <v>60.975518545757737</v>
      </c>
      <c r="L19">
        <f t="shared" si="1"/>
        <v>60.579042083898216</v>
      </c>
      <c r="M19">
        <f t="shared" si="2"/>
        <v>57.188218783722718</v>
      </c>
      <c r="O19">
        <f t="shared" si="3"/>
        <v>78.623690497041707</v>
      </c>
      <c r="T19">
        <v>153</v>
      </c>
      <c r="U19">
        <v>1</v>
      </c>
      <c r="V19">
        <v>0</v>
      </c>
      <c r="W19">
        <v>69.238099786371976</v>
      </c>
      <c r="AA19">
        <v>309</v>
      </c>
      <c r="AB19">
        <v>0</v>
      </c>
      <c r="AC19">
        <v>1</v>
      </c>
      <c r="AD19">
        <v>42.507255137678165</v>
      </c>
    </row>
    <row r="20" spans="1:30" x14ac:dyDescent="0.45">
      <c r="A20">
        <v>31</v>
      </c>
      <c r="B20">
        <v>0</v>
      </c>
      <c r="C20">
        <v>0</v>
      </c>
      <c r="D20">
        <v>11.934284414358332</v>
      </c>
      <c r="E20">
        <v>33.333333333333329</v>
      </c>
      <c r="F20">
        <v>100</v>
      </c>
      <c r="G20">
        <v>100</v>
      </c>
      <c r="H20">
        <v>33.333333333333329</v>
      </c>
      <c r="I20">
        <v>0</v>
      </c>
      <c r="J20">
        <v>84.148684913524505</v>
      </c>
      <c r="K20">
        <f t="shared" si="0"/>
        <v>51.669591735856045</v>
      </c>
      <c r="L20">
        <f t="shared" si="1"/>
        <v>55.269177703737256</v>
      </c>
      <c r="M20">
        <f t="shared" si="2"/>
        <v>46.979158015872571</v>
      </c>
      <c r="O20">
        <f t="shared" si="3"/>
        <v>69.317763687140001</v>
      </c>
      <c r="T20">
        <v>73</v>
      </c>
      <c r="U20">
        <v>1</v>
      </c>
      <c r="V20">
        <v>0</v>
      </c>
      <c r="W20">
        <v>68.636783554353897</v>
      </c>
      <c r="AA20">
        <v>541</v>
      </c>
      <c r="AB20">
        <v>0</v>
      </c>
      <c r="AC20">
        <v>1</v>
      </c>
      <c r="AD20">
        <v>41.722214638900738</v>
      </c>
    </row>
    <row r="21" spans="1:30" x14ac:dyDescent="0.45">
      <c r="A21">
        <v>32</v>
      </c>
      <c r="B21">
        <v>0</v>
      </c>
      <c r="C21">
        <v>0</v>
      </c>
      <c r="D21">
        <v>10.848817442712273</v>
      </c>
      <c r="E21">
        <v>66.666666666666657</v>
      </c>
      <c r="F21">
        <v>100</v>
      </c>
      <c r="G21">
        <v>75</v>
      </c>
      <c r="H21">
        <v>33.333333333333329</v>
      </c>
      <c r="I21">
        <v>0</v>
      </c>
      <c r="J21">
        <v>66.030126785737721</v>
      </c>
      <c r="K21">
        <f t="shared" si="0"/>
        <v>47.775424302169924</v>
      </c>
      <c r="L21">
        <f t="shared" si="1"/>
        <v>51.103721297563496</v>
      </c>
      <c r="M21">
        <f t="shared" si="2"/>
        <v>42.707064243505513</v>
      </c>
      <c r="O21">
        <f t="shared" si="3"/>
        <v>65.423596253453894</v>
      </c>
      <c r="T21">
        <v>43</v>
      </c>
      <c r="U21">
        <v>1</v>
      </c>
      <c r="V21">
        <v>0</v>
      </c>
      <c r="W21">
        <v>66.45224854402764</v>
      </c>
      <c r="AA21">
        <v>324</v>
      </c>
      <c r="AB21">
        <v>0</v>
      </c>
      <c r="AC21">
        <v>1</v>
      </c>
      <c r="AD21">
        <v>41.385024578035896</v>
      </c>
    </row>
    <row r="22" spans="1:30" x14ac:dyDescent="0.45">
      <c r="A22">
        <v>33</v>
      </c>
      <c r="B22">
        <v>0</v>
      </c>
      <c r="C22">
        <v>0</v>
      </c>
      <c r="D22">
        <v>10.44959192687203</v>
      </c>
      <c r="E22">
        <v>66.666666666666657</v>
      </c>
      <c r="F22">
        <v>100</v>
      </c>
      <c r="G22">
        <v>75</v>
      </c>
      <c r="H22">
        <v>33.333333333333329</v>
      </c>
      <c r="I22">
        <v>0</v>
      </c>
      <c r="J22">
        <v>53.045423383158031</v>
      </c>
      <c r="K22">
        <f t="shared" si="0"/>
        <v>44.545618625852157</v>
      </c>
      <c r="L22">
        <f t="shared" si="1"/>
        <v>47.648909717369222</v>
      </c>
      <c r="M22">
        <f t="shared" si="2"/>
        <v>39.163808091652783</v>
      </c>
      <c r="O22">
        <f t="shared" si="3"/>
        <v>62.19379057713612</v>
      </c>
      <c r="T22">
        <v>423</v>
      </c>
      <c r="U22">
        <v>1</v>
      </c>
      <c r="V22">
        <v>0</v>
      </c>
      <c r="W22">
        <v>65.541065395645504</v>
      </c>
      <c r="AA22">
        <v>415</v>
      </c>
      <c r="AB22">
        <v>0</v>
      </c>
      <c r="AC22">
        <v>1</v>
      </c>
      <c r="AD22">
        <v>40.528931159158304</v>
      </c>
    </row>
    <row r="23" spans="1:30" x14ac:dyDescent="0.45">
      <c r="A23">
        <v>34</v>
      </c>
      <c r="B23">
        <v>1</v>
      </c>
      <c r="C23">
        <v>0</v>
      </c>
      <c r="D23">
        <v>14.187447406466545</v>
      </c>
      <c r="E23">
        <v>66.666666666666657</v>
      </c>
      <c r="F23">
        <v>100</v>
      </c>
      <c r="G23">
        <v>75</v>
      </c>
      <c r="H23">
        <v>50</v>
      </c>
      <c r="I23">
        <v>66.666666666666657</v>
      </c>
      <c r="J23">
        <v>38.056409324303317</v>
      </c>
      <c r="K23">
        <f t="shared" si="0"/>
        <v>46.851492252746354</v>
      </c>
      <c r="L23">
        <f t="shared" si="1"/>
        <v>45.471058977095566</v>
      </c>
      <c r="M23">
        <f t="shared" si="2"/>
        <v>41.693465208115157</v>
      </c>
      <c r="O23">
        <f t="shared" si="3"/>
        <v>64.499664204030324</v>
      </c>
      <c r="T23">
        <v>34</v>
      </c>
      <c r="U23">
        <v>1</v>
      </c>
      <c r="V23">
        <v>0</v>
      </c>
      <c r="W23">
        <v>64.499664204030324</v>
      </c>
      <c r="AA23">
        <v>250</v>
      </c>
      <c r="AB23">
        <v>0</v>
      </c>
      <c r="AC23">
        <v>1</v>
      </c>
      <c r="AD23">
        <v>40.132887751216359</v>
      </c>
    </row>
    <row r="24" spans="1:30" x14ac:dyDescent="0.45">
      <c r="A24">
        <v>35</v>
      </c>
      <c r="B24">
        <v>0</v>
      </c>
      <c r="C24">
        <v>0</v>
      </c>
      <c r="D24">
        <v>14.521058270721435</v>
      </c>
      <c r="E24">
        <v>66.666666666666657</v>
      </c>
      <c r="F24">
        <v>100</v>
      </c>
      <c r="G24">
        <v>75</v>
      </c>
      <c r="H24">
        <v>33.333333333333329</v>
      </c>
      <c r="I24">
        <v>0</v>
      </c>
      <c r="J24">
        <v>38.056409324303317</v>
      </c>
      <c r="K24">
        <f t="shared" si="0"/>
        <v>40.017391243747539</v>
      </c>
      <c r="L24">
        <f t="shared" si="1"/>
        <v>42.805221283678847</v>
      </c>
      <c r="M24">
        <f t="shared" si="2"/>
        <v>34.196119277964655</v>
      </c>
      <c r="O24">
        <f t="shared" si="3"/>
        <v>57.665563195031503</v>
      </c>
      <c r="T24">
        <v>524</v>
      </c>
      <c r="U24">
        <v>1</v>
      </c>
      <c r="V24">
        <v>0</v>
      </c>
      <c r="W24">
        <v>63.446222837837183</v>
      </c>
      <c r="AA24">
        <v>56</v>
      </c>
      <c r="AB24">
        <v>0</v>
      </c>
      <c r="AC24">
        <v>1</v>
      </c>
      <c r="AD24">
        <v>39.58568912043367</v>
      </c>
    </row>
    <row r="25" spans="1:30" x14ac:dyDescent="0.45">
      <c r="A25">
        <v>36</v>
      </c>
      <c r="B25">
        <v>0</v>
      </c>
      <c r="C25">
        <v>0</v>
      </c>
      <c r="D25">
        <v>14.521058270721435</v>
      </c>
      <c r="E25">
        <v>66.666666666666657</v>
      </c>
      <c r="F25">
        <v>100</v>
      </c>
      <c r="G25">
        <v>75</v>
      </c>
      <c r="H25">
        <v>83.333333333333343</v>
      </c>
      <c r="I25">
        <v>0</v>
      </c>
      <c r="J25">
        <v>38.060034921894271</v>
      </c>
      <c r="K25">
        <f t="shared" si="0"/>
        <v>47.318332971396117</v>
      </c>
      <c r="L25">
        <f t="shared" si="1"/>
        <v>50.614786488159062</v>
      </c>
      <c r="M25">
        <f t="shared" si="2"/>
        <v>42.205612505526858</v>
      </c>
      <c r="O25">
        <f t="shared" si="3"/>
        <v>64.966504922680087</v>
      </c>
      <c r="T25">
        <v>72</v>
      </c>
      <c r="U25">
        <v>1</v>
      </c>
      <c r="V25">
        <v>0</v>
      </c>
      <c r="W25">
        <v>62.424025144949411</v>
      </c>
      <c r="AA25">
        <v>402</v>
      </c>
      <c r="AB25">
        <v>0</v>
      </c>
      <c r="AC25">
        <v>1</v>
      </c>
      <c r="AD25">
        <v>37.587596186079082</v>
      </c>
    </row>
    <row r="26" spans="1:30" x14ac:dyDescent="0.45">
      <c r="A26">
        <v>42</v>
      </c>
      <c r="B26">
        <v>0</v>
      </c>
      <c r="C26">
        <v>0</v>
      </c>
      <c r="D26">
        <v>15.657557750703969</v>
      </c>
      <c r="E26">
        <v>66.666666666666657</v>
      </c>
      <c r="F26">
        <v>100</v>
      </c>
      <c r="G26">
        <v>75</v>
      </c>
      <c r="H26">
        <v>33.333333333333329</v>
      </c>
      <c r="I26">
        <v>0</v>
      </c>
      <c r="J26">
        <v>44.107648363991501</v>
      </c>
      <c r="K26">
        <f t="shared" si="0"/>
        <v>41.354835148289226</v>
      </c>
      <c r="L26">
        <f t="shared" si="1"/>
        <v>44.235838835425412</v>
      </c>
      <c r="M26">
        <f t="shared" si="2"/>
        <v>35.663361216782469</v>
      </c>
      <c r="O26">
        <f t="shared" si="3"/>
        <v>59.003007099573189</v>
      </c>
      <c r="T26">
        <v>184</v>
      </c>
      <c r="U26">
        <v>1</v>
      </c>
      <c r="V26">
        <v>0</v>
      </c>
      <c r="W26">
        <v>61.857097029373129</v>
      </c>
      <c r="AA26">
        <v>381</v>
      </c>
      <c r="AB26">
        <v>0</v>
      </c>
      <c r="AC26">
        <v>1</v>
      </c>
      <c r="AD26">
        <v>33.332942814267994</v>
      </c>
    </row>
    <row r="27" spans="1:30" x14ac:dyDescent="0.45">
      <c r="A27">
        <v>43</v>
      </c>
      <c r="B27">
        <v>1</v>
      </c>
      <c r="C27">
        <v>0</v>
      </c>
      <c r="D27">
        <v>17.662712131246909</v>
      </c>
      <c r="E27">
        <v>100</v>
      </c>
      <c r="F27">
        <v>100</v>
      </c>
      <c r="G27">
        <v>75</v>
      </c>
      <c r="H27">
        <v>50</v>
      </c>
      <c r="I27">
        <v>100</v>
      </c>
      <c r="J27">
        <v>23.280426849857871</v>
      </c>
      <c r="K27">
        <f t="shared" si="0"/>
        <v>48.804076592743669</v>
      </c>
      <c r="L27">
        <f t="shared" si="1"/>
        <v>45.237488947701422</v>
      </c>
      <c r="M27">
        <f t="shared" si="2"/>
        <v>43.835546549242295</v>
      </c>
      <c r="O27">
        <f t="shared" si="3"/>
        <v>66.45224854402764</v>
      </c>
      <c r="T27">
        <v>81</v>
      </c>
      <c r="U27">
        <v>1</v>
      </c>
      <c r="V27">
        <v>0</v>
      </c>
      <c r="W27">
        <v>60.767844754443566</v>
      </c>
      <c r="AA27">
        <v>451</v>
      </c>
      <c r="AB27">
        <v>0</v>
      </c>
      <c r="AC27">
        <v>1</v>
      </c>
      <c r="AD27">
        <v>33.061183856716283</v>
      </c>
    </row>
    <row r="28" spans="1:30" x14ac:dyDescent="0.45">
      <c r="A28">
        <v>44</v>
      </c>
      <c r="B28">
        <v>0</v>
      </c>
      <c r="C28">
        <v>0</v>
      </c>
      <c r="D28">
        <v>26.197466732971897</v>
      </c>
      <c r="E28">
        <v>100</v>
      </c>
      <c r="F28">
        <v>0</v>
      </c>
      <c r="G28">
        <v>100</v>
      </c>
      <c r="H28">
        <v>33.333333333333329</v>
      </c>
      <c r="I28">
        <v>0</v>
      </c>
      <c r="J28">
        <v>19.514289045138241</v>
      </c>
      <c r="K28">
        <f t="shared" si="0"/>
        <v>32.179191681258516</v>
      </c>
      <c r="L28">
        <f t="shared" si="1"/>
        <v>34.420969929203068</v>
      </c>
      <c r="M28">
        <f t="shared" si="2"/>
        <v>35.302160660098366</v>
      </c>
      <c r="O28">
        <f t="shared" si="3"/>
        <v>49.827363632542479</v>
      </c>
      <c r="T28">
        <v>231</v>
      </c>
      <c r="U28">
        <v>1</v>
      </c>
      <c r="V28">
        <v>0</v>
      </c>
      <c r="W28">
        <v>59.082291017665852</v>
      </c>
      <c r="AA28">
        <v>544</v>
      </c>
      <c r="AB28">
        <v>0</v>
      </c>
      <c r="AC28">
        <v>1</v>
      </c>
      <c r="AD28">
        <v>31.049006464277589</v>
      </c>
    </row>
    <row r="29" spans="1:30" x14ac:dyDescent="0.45">
      <c r="A29">
        <v>46</v>
      </c>
      <c r="B29">
        <v>0</v>
      </c>
      <c r="C29">
        <v>0</v>
      </c>
      <c r="D29">
        <v>26.056784458038333</v>
      </c>
      <c r="E29">
        <v>100</v>
      </c>
      <c r="F29">
        <v>0</v>
      </c>
      <c r="G29">
        <v>100</v>
      </c>
      <c r="H29">
        <v>33.333333333333329</v>
      </c>
      <c r="I29">
        <v>0</v>
      </c>
      <c r="J29">
        <v>28.28557302385159</v>
      </c>
      <c r="K29">
        <f t="shared" si="0"/>
        <v>34.433375991324304</v>
      </c>
      <c r="L29">
        <f t="shared" si="1"/>
        <v>36.832193030150194</v>
      </c>
      <c r="M29">
        <f t="shared" si="2"/>
        <v>37.775112046188099</v>
      </c>
      <c r="O29">
        <f t="shared" si="3"/>
        <v>52.081547942608267</v>
      </c>
      <c r="T29">
        <v>187</v>
      </c>
      <c r="U29">
        <v>1</v>
      </c>
      <c r="V29">
        <v>0</v>
      </c>
      <c r="W29">
        <v>58.930615857142939</v>
      </c>
      <c r="AA29">
        <v>273</v>
      </c>
      <c r="AB29">
        <v>0</v>
      </c>
      <c r="AC29">
        <v>1</v>
      </c>
      <c r="AD29">
        <v>30.390144152400957</v>
      </c>
    </row>
    <row r="30" spans="1:30" x14ac:dyDescent="0.45">
      <c r="A30">
        <v>48</v>
      </c>
      <c r="B30">
        <v>0</v>
      </c>
      <c r="C30">
        <v>0</v>
      </c>
      <c r="D30">
        <v>17.499456123814568</v>
      </c>
      <c r="E30">
        <v>100</v>
      </c>
      <c r="F30">
        <v>0</v>
      </c>
      <c r="G30">
        <v>75</v>
      </c>
      <c r="H30">
        <v>16.666666666666664</v>
      </c>
      <c r="I30">
        <v>0</v>
      </c>
      <c r="J30">
        <v>17.846312107073562</v>
      </c>
      <c r="K30">
        <f t="shared" si="0"/>
        <v>27.225821254200497</v>
      </c>
      <c r="L30">
        <f t="shared" si="1"/>
        <v>29.122520664013212</v>
      </c>
      <c r="M30">
        <f t="shared" si="2"/>
        <v>29.86806895397185</v>
      </c>
      <c r="O30">
        <f t="shared" si="3"/>
        <v>44.87399320548446</v>
      </c>
      <c r="T30">
        <v>227</v>
      </c>
      <c r="U30">
        <v>1</v>
      </c>
      <c r="V30">
        <v>0</v>
      </c>
      <c r="W30">
        <v>57.773072659384248</v>
      </c>
      <c r="AA30">
        <v>311</v>
      </c>
      <c r="AB30">
        <v>0</v>
      </c>
      <c r="AC30">
        <v>1</v>
      </c>
      <c r="AD30">
        <v>30.253455925047994</v>
      </c>
    </row>
    <row r="31" spans="1:30" x14ac:dyDescent="0.45">
      <c r="A31">
        <v>49</v>
      </c>
      <c r="B31">
        <v>0</v>
      </c>
      <c r="C31">
        <v>0</v>
      </c>
      <c r="D31">
        <v>17.829791909608527</v>
      </c>
      <c r="E31">
        <v>100</v>
      </c>
      <c r="F31">
        <v>0</v>
      </c>
      <c r="G31">
        <v>75</v>
      </c>
      <c r="H31">
        <v>100</v>
      </c>
      <c r="I31">
        <v>100</v>
      </c>
      <c r="J31">
        <v>16.997784424037761</v>
      </c>
      <c r="K31">
        <f t="shared" si="0"/>
        <v>45.631384140505752</v>
      </c>
      <c r="L31">
        <f t="shared" si="1"/>
        <v>41.843769410715836</v>
      </c>
      <c r="M31">
        <f t="shared" si="2"/>
        <v>50.059879378791081</v>
      </c>
      <c r="O31">
        <f t="shared" si="3"/>
        <v>63.279556091789715</v>
      </c>
      <c r="T31">
        <v>191</v>
      </c>
      <c r="U31">
        <v>1</v>
      </c>
      <c r="V31">
        <v>0</v>
      </c>
      <c r="W31">
        <v>57.586004597599697</v>
      </c>
      <c r="AA31">
        <v>389</v>
      </c>
      <c r="AB31">
        <v>0</v>
      </c>
      <c r="AC31">
        <v>1</v>
      </c>
      <c r="AD31">
        <v>30.209441357577511</v>
      </c>
    </row>
    <row r="32" spans="1:30" x14ac:dyDescent="0.45">
      <c r="A32">
        <v>50</v>
      </c>
      <c r="B32">
        <v>0</v>
      </c>
      <c r="C32">
        <v>0</v>
      </c>
      <c r="D32">
        <v>24.736050542294375</v>
      </c>
      <c r="E32">
        <v>66.666666666666657</v>
      </c>
      <c r="F32">
        <v>100</v>
      </c>
      <c r="G32">
        <v>50</v>
      </c>
      <c r="H32">
        <v>33.333333333333329</v>
      </c>
      <c r="I32">
        <v>33.333333333333329</v>
      </c>
      <c r="J32">
        <v>3.5058740105304937</v>
      </c>
      <c r="K32">
        <f t="shared" si="0"/>
        <v>27.972897029373424</v>
      </c>
      <c r="L32">
        <f t="shared" si="1"/>
        <v>27.59945975895533</v>
      </c>
      <c r="M32">
        <f t="shared" si="2"/>
        <v>20.982714975049884</v>
      </c>
      <c r="O32">
        <f t="shared" si="3"/>
        <v>45.621068980657384</v>
      </c>
      <c r="T32">
        <v>495</v>
      </c>
      <c r="U32">
        <v>1</v>
      </c>
      <c r="V32">
        <v>0</v>
      </c>
      <c r="W32">
        <v>57.018697450789361</v>
      </c>
      <c r="AA32">
        <v>529</v>
      </c>
      <c r="AB32">
        <v>0</v>
      </c>
      <c r="AC32">
        <v>1</v>
      </c>
      <c r="AD32">
        <v>28.99448750953486</v>
      </c>
    </row>
    <row r="33" spans="1:30" x14ac:dyDescent="0.45">
      <c r="A33">
        <v>53</v>
      </c>
      <c r="B33">
        <v>0</v>
      </c>
      <c r="C33">
        <v>0</v>
      </c>
      <c r="D33">
        <v>20.868657876176318</v>
      </c>
      <c r="E33">
        <v>33.333333333333329</v>
      </c>
      <c r="F33">
        <v>0</v>
      </c>
      <c r="G33">
        <v>100</v>
      </c>
      <c r="H33">
        <v>100</v>
      </c>
      <c r="I33">
        <v>0</v>
      </c>
      <c r="J33">
        <v>8.9741296339961103</v>
      </c>
      <c r="K33">
        <f t="shared" si="0"/>
        <v>31.873035168351198</v>
      </c>
      <c r="L33">
        <f t="shared" si="1"/>
        <v>34.093484881449378</v>
      </c>
      <c r="M33">
        <f t="shared" si="2"/>
        <v>34.966291862869248</v>
      </c>
      <c r="O33">
        <f t="shared" si="3"/>
        <v>49.521207119635164</v>
      </c>
      <c r="T33">
        <v>172</v>
      </c>
      <c r="U33">
        <v>1</v>
      </c>
      <c r="V33">
        <v>0</v>
      </c>
      <c r="W33">
        <v>56.780332688464071</v>
      </c>
      <c r="AA33">
        <v>528</v>
      </c>
      <c r="AB33">
        <v>0</v>
      </c>
      <c r="AC33">
        <v>1</v>
      </c>
      <c r="AD33">
        <v>28.975533709743978</v>
      </c>
    </row>
    <row r="34" spans="1:30" x14ac:dyDescent="0.45">
      <c r="A34">
        <v>54</v>
      </c>
      <c r="B34">
        <v>0</v>
      </c>
      <c r="C34">
        <v>0</v>
      </c>
      <c r="D34">
        <v>19.835939231065034</v>
      </c>
      <c r="E34">
        <v>0</v>
      </c>
      <c r="F34">
        <v>0</v>
      </c>
      <c r="G34">
        <v>100</v>
      </c>
      <c r="H34">
        <v>16.666666666666664</v>
      </c>
      <c r="I34">
        <v>0</v>
      </c>
      <c r="J34">
        <v>8.5928650102622122</v>
      </c>
      <c r="K34">
        <f t="shared" si="0"/>
        <v>15.641181066144281</v>
      </c>
      <c r="L34">
        <f t="shared" si="1"/>
        <v>16.730831167786398</v>
      </c>
      <c r="M34">
        <f t="shared" si="2"/>
        <v>17.159147202330193</v>
      </c>
      <c r="O34">
        <f t="shared" si="3"/>
        <v>33.28935301742824</v>
      </c>
      <c r="T34">
        <v>449</v>
      </c>
      <c r="U34">
        <v>1</v>
      </c>
      <c r="V34">
        <v>0</v>
      </c>
      <c r="W34">
        <v>51.012853310769188</v>
      </c>
      <c r="AA34">
        <v>530</v>
      </c>
      <c r="AB34">
        <v>0</v>
      </c>
      <c r="AC34">
        <v>1</v>
      </c>
      <c r="AD34">
        <v>27.238292647335221</v>
      </c>
    </row>
    <row r="35" spans="1:30" x14ac:dyDescent="0.45">
      <c r="A35">
        <v>55</v>
      </c>
      <c r="B35">
        <v>0</v>
      </c>
      <c r="C35">
        <v>1</v>
      </c>
      <c r="D35">
        <v>19.055205586978023</v>
      </c>
      <c r="E35">
        <v>66.666666666666657</v>
      </c>
      <c r="F35">
        <v>100</v>
      </c>
      <c r="G35">
        <v>75</v>
      </c>
      <c r="H35">
        <v>33.333333333333329</v>
      </c>
      <c r="I35">
        <v>0</v>
      </c>
      <c r="J35">
        <v>12.818582749987243</v>
      </c>
      <c r="K35">
        <f t="shared" si="0"/>
        <v>32.802616110445413</v>
      </c>
      <c r="L35">
        <f t="shared" si="1"/>
        <v>35.087825509129615</v>
      </c>
      <c r="M35">
        <f t="shared" si="2"/>
        <v>26.28115505496174</v>
      </c>
      <c r="O35">
        <f t="shared" si="3"/>
        <v>50.450788061729376</v>
      </c>
      <c r="T35">
        <v>496</v>
      </c>
      <c r="U35">
        <v>1</v>
      </c>
      <c r="V35">
        <v>0</v>
      </c>
      <c r="W35">
        <v>50.318813569976442</v>
      </c>
      <c r="AA35">
        <v>326</v>
      </c>
      <c r="AB35">
        <v>0</v>
      </c>
      <c r="AC35">
        <v>1</v>
      </c>
      <c r="AD35">
        <v>26.419739150654912</v>
      </c>
    </row>
    <row r="36" spans="1:30" x14ac:dyDescent="0.45">
      <c r="A36">
        <v>56</v>
      </c>
      <c r="B36">
        <v>0</v>
      </c>
      <c r="C36">
        <v>1</v>
      </c>
      <c r="D36">
        <v>23.79280113757002</v>
      </c>
      <c r="E36">
        <v>0</v>
      </c>
      <c r="F36">
        <v>100</v>
      </c>
      <c r="G36">
        <v>50</v>
      </c>
      <c r="H36">
        <v>50</v>
      </c>
      <c r="I36">
        <v>33.333333333333329</v>
      </c>
      <c r="J36">
        <v>2.1910789317330508</v>
      </c>
      <c r="K36">
        <f t="shared" si="0"/>
        <v>21.937517169149707</v>
      </c>
      <c r="L36">
        <f t="shared" si="1"/>
        <v>21.143622373795953</v>
      </c>
      <c r="M36">
        <f t="shared" si="2"/>
        <v>14.361605545678199</v>
      </c>
      <c r="O36">
        <f t="shared" si="3"/>
        <v>39.58568912043367</v>
      </c>
      <c r="T36">
        <v>216</v>
      </c>
      <c r="U36">
        <v>1</v>
      </c>
      <c r="V36">
        <v>0</v>
      </c>
      <c r="W36">
        <v>48.059634899878247</v>
      </c>
      <c r="AA36">
        <v>407</v>
      </c>
      <c r="AB36">
        <v>0</v>
      </c>
      <c r="AC36">
        <v>1</v>
      </c>
      <c r="AD36">
        <v>26.068462360942785</v>
      </c>
    </row>
    <row r="37" spans="1:30" x14ac:dyDescent="0.45">
      <c r="A37">
        <v>57</v>
      </c>
      <c r="B37">
        <v>0</v>
      </c>
      <c r="C37">
        <v>0</v>
      </c>
      <c r="D37">
        <v>19.42773647852276</v>
      </c>
      <c r="E37">
        <v>0</v>
      </c>
      <c r="F37">
        <v>0</v>
      </c>
      <c r="G37">
        <v>100</v>
      </c>
      <c r="H37">
        <v>100</v>
      </c>
      <c r="I37">
        <v>0</v>
      </c>
      <c r="J37">
        <v>12.020261718160022</v>
      </c>
      <c r="K37">
        <f t="shared" si="0"/>
        <v>28.751047250127993</v>
      </c>
      <c r="L37">
        <f t="shared" si="1"/>
        <v>30.75400223325461</v>
      </c>
      <c r="M37">
        <f t="shared" si="2"/>
        <v>31.54131711025013</v>
      </c>
      <c r="O37">
        <f t="shared" si="3"/>
        <v>46.399219201411952</v>
      </c>
      <c r="T37">
        <v>547</v>
      </c>
      <c r="U37">
        <v>1</v>
      </c>
      <c r="V37">
        <v>0</v>
      </c>
      <c r="W37">
        <v>42.628705241900967</v>
      </c>
      <c r="AA37">
        <v>408</v>
      </c>
      <c r="AB37">
        <v>0</v>
      </c>
      <c r="AC37">
        <v>1</v>
      </c>
      <c r="AD37">
        <v>24.904023616272831</v>
      </c>
    </row>
    <row r="38" spans="1:30" x14ac:dyDescent="0.45">
      <c r="A38">
        <v>58</v>
      </c>
      <c r="B38">
        <v>0</v>
      </c>
      <c r="C38">
        <v>0</v>
      </c>
      <c r="D38">
        <v>17.306162052421538</v>
      </c>
      <c r="E38">
        <v>33.333333333333329</v>
      </c>
      <c r="F38">
        <v>100</v>
      </c>
      <c r="G38">
        <v>75</v>
      </c>
      <c r="H38">
        <v>66.666666666666657</v>
      </c>
      <c r="I38">
        <v>0</v>
      </c>
      <c r="J38">
        <v>28.474666729580282</v>
      </c>
      <c r="K38">
        <f t="shared" si="0"/>
        <v>37.806699101614541</v>
      </c>
      <c r="L38">
        <f t="shared" si="1"/>
        <v>40.44052025262706</v>
      </c>
      <c r="M38">
        <f t="shared" si="2"/>
        <v>31.770880945547233</v>
      </c>
      <c r="O38">
        <f t="shared" si="3"/>
        <v>55.454871052898504</v>
      </c>
      <c r="T38">
        <v>240</v>
      </c>
      <c r="U38">
        <v>1</v>
      </c>
      <c r="V38">
        <v>0</v>
      </c>
      <c r="W38">
        <v>40.480267991935698</v>
      </c>
      <c r="AA38">
        <v>305</v>
      </c>
      <c r="AB38">
        <v>0</v>
      </c>
      <c r="AC38">
        <v>1</v>
      </c>
      <c r="AD38">
        <v>22.44815368111907</v>
      </c>
    </row>
    <row r="39" spans="1:30" x14ac:dyDescent="0.45">
      <c r="A39">
        <v>59</v>
      </c>
      <c r="B39">
        <v>0</v>
      </c>
      <c r="C39">
        <v>0</v>
      </c>
      <c r="D39">
        <v>15.614116679291229</v>
      </c>
      <c r="E39">
        <v>33.333333333333329</v>
      </c>
      <c r="F39">
        <v>0</v>
      </c>
      <c r="G39">
        <v>75</v>
      </c>
      <c r="H39">
        <v>33.333333333333329</v>
      </c>
      <c r="I39">
        <v>33.333333333333329</v>
      </c>
      <c r="J39">
        <v>25.479208215188834</v>
      </c>
      <c r="K39">
        <f t="shared" si="0"/>
        <v>25.80183848147421</v>
      </c>
      <c r="L39">
        <f t="shared" si="1"/>
        <v>25.277153414781324</v>
      </c>
      <c r="M39">
        <f t="shared" si="2"/>
        <v>28.305889607830188</v>
      </c>
      <c r="O39">
        <f t="shared" si="3"/>
        <v>43.450010432758177</v>
      </c>
      <c r="T39">
        <v>155</v>
      </c>
      <c r="U39">
        <v>1</v>
      </c>
      <c r="V39">
        <v>0</v>
      </c>
      <c r="W39">
        <v>39.895570244568049</v>
      </c>
      <c r="AA39">
        <v>394</v>
      </c>
      <c r="AB39">
        <v>0</v>
      </c>
      <c r="AC39">
        <v>1</v>
      </c>
      <c r="AD39">
        <v>21.425554656909561</v>
      </c>
    </row>
    <row r="40" spans="1:30" x14ac:dyDescent="0.45">
      <c r="A40">
        <v>61</v>
      </c>
      <c r="B40">
        <v>0</v>
      </c>
      <c r="C40">
        <v>0</v>
      </c>
      <c r="D40">
        <v>15.783350366190191</v>
      </c>
      <c r="E40">
        <v>100</v>
      </c>
      <c r="F40">
        <v>100</v>
      </c>
      <c r="G40">
        <v>100</v>
      </c>
      <c r="H40">
        <v>33.333333333333329</v>
      </c>
      <c r="I40">
        <v>33.333333333333329</v>
      </c>
      <c r="J40">
        <v>22.650124322994674</v>
      </c>
      <c r="K40">
        <f t="shared" si="0"/>
        <v>45.831452014801279</v>
      </c>
      <c r="L40">
        <f t="shared" si="1"/>
        <v>46.702139224034767</v>
      </c>
      <c r="M40">
        <f t="shared" si="2"/>
        <v>40.574430748940898</v>
      </c>
      <c r="O40">
        <f t="shared" si="3"/>
        <v>63.479623966085242</v>
      </c>
      <c r="T40">
        <v>437</v>
      </c>
      <c r="U40">
        <v>1</v>
      </c>
      <c r="V40">
        <v>0</v>
      </c>
      <c r="W40">
        <v>39.86648124664714</v>
      </c>
      <c r="AA40">
        <v>345</v>
      </c>
      <c r="AB40">
        <v>0</v>
      </c>
      <c r="AC40">
        <v>1</v>
      </c>
      <c r="AD40">
        <v>19.925489549873515</v>
      </c>
    </row>
    <row r="41" spans="1:30" x14ac:dyDescent="0.45">
      <c r="A41">
        <v>65</v>
      </c>
      <c r="B41">
        <v>0</v>
      </c>
      <c r="C41">
        <v>0</v>
      </c>
      <c r="D41">
        <v>11.493744931436249</v>
      </c>
      <c r="E41">
        <v>100</v>
      </c>
      <c r="F41">
        <v>100</v>
      </c>
      <c r="G41">
        <v>75</v>
      </c>
      <c r="H41">
        <v>83.333333333333343</v>
      </c>
      <c r="I41">
        <v>100</v>
      </c>
      <c r="J41">
        <v>13.681821123685072</v>
      </c>
      <c r="K41">
        <f t="shared" si="0"/>
        <v>52.319833701110738</v>
      </c>
      <c r="L41">
        <f t="shared" si="1"/>
        <v>48.998172898503256</v>
      </c>
      <c r="M41">
        <f t="shared" si="2"/>
        <v>47.692505527914896</v>
      </c>
      <c r="O41">
        <f t="shared" si="3"/>
        <v>69.968005652394709</v>
      </c>
      <c r="T41">
        <v>154</v>
      </c>
      <c r="U41">
        <v>1</v>
      </c>
      <c r="V41">
        <v>0</v>
      </c>
      <c r="W41">
        <v>38.776729590124525</v>
      </c>
      <c r="AA41">
        <v>472</v>
      </c>
      <c r="AB41">
        <v>0</v>
      </c>
      <c r="AC41">
        <v>1</v>
      </c>
      <c r="AD41">
        <v>19.45355445248094</v>
      </c>
    </row>
    <row r="42" spans="1:30" x14ac:dyDescent="0.45">
      <c r="A42">
        <v>69</v>
      </c>
      <c r="B42">
        <v>0</v>
      </c>
      <c r="C42">
        <v>0</v>
      </c>
      <c r="D42">
        <v>10.043031522121849</v>
      </c>
      <c r="E42">
        <v>0</v>
      </c>
      <c r="F42">
        <v>0</v>
      </c>
      <c r="G42">
        <v>75</v>
      </c>
      <c r="H42">
        <v>16.666666666666664</v>
      </c>
      <c r="I42">
        <v>33.333333333333329</v>
      </c>
      <c r="J42">
        <v>5.0514509471599016</v>
      </c>
      <c r="K42">
        <f t="shared" si="0"/>
        <v>15.009159592552008</v>
      </c>
      <c r="L42">
        <f t="shared" si="1"/>
        <v>13.73259756729874</v>
      </c>
      <c r="M42">
        <f t="shared" si="2"/>
        <v>16.46578846845059</v>
      </c>
      <c r="O42">
        <f t="shared" si="3"/>
        <v>32.657331543835973</v>
      </c>
      <c r="T42">
        <v>548</v>
      </c>
      <c r="U42">
        <v>1</v>
      </c>
      <c r="V42">
        <v>0</v>
      </c>
      <c r="W42">
        <v>37.549993852325457</v>
      </c>
      <c r="AA42">
        <v>473</v>
      </c>
      <c r="AB42">
        <v>0</v>
      </c>
      <c r="AC42">
        <v>1</v>
      </c>
      <c r="AD42">
        <v>19.45355445248094</v>
      </c>
    </row>
    <row r="43" spans="1:30" x14ac:dyDescent="0.45">
      <c r="A43">
        <v>72</v>
      </c>
      <c r="B43">
        <v>1</v>
      </c>
      <c r="C43">
        <v>0</v>
      </c>
      <c r="D43">
        <v>10.395129264910381</v>
      </c>
      <c r="E43">
        <v>100</v>
      </c>
      <c r="F43">
        <v>100</v>
      </c>
      <c r="G43">
        <v>100</v>
      </c>
      <c r="H43">
        <v>33.333333333333329</v>
      </c>
      <c r="I43">
        <v>0</v>
      </c>
      <c r="J43">
        <v>23.297030013469566</v>
      </c>
      <c r="K43">
        <f t="shared" si="0"/>
        <v>44.775853193665455</v>
      </c>
      <c r="L43">
        <f t="shared" si="1"/>
        <v>47.895183682665248</v>
      </c>
      <c r="M43">
        <f t="shared" si="2"/>
        <v>39.416386769916684</v>
      </c>
      <c r="O43">
        <f t="shared" si="3"/>
        <v>62.424025144949411</v>
      </c>
      <c r="T43">
        <v>239</v>
      </c>
      <c r="U43">
        <v>1</v>
      </c>
      <c r="V43">
        <v>0</v>
      </c>
      <c r="W43">
        <v>35.618476835816608</v>
      </c>
      <c r="AA43">
        <v>471</v>
      </c>
      <c r="AB43">
        <v>0</v>
      </c>
      <c r="AC43">
        <v>1</v>
      </c>
      <c r="AD43">
        <v>19.434346933900475</v>
      </c>
    </row>
    <row r="44" spans="1:30" x14ac:dyDescent="0.45">
      <c r="A44">
        <v>73</v>
      </c>
      <c r="B44">
        <v>1</v>
      </c>
      <c r="C44">
        <v>0</v>
      </c>
      <c r="D44">
        <v>12.382191830258268</v>
      </c>
      <c r="E44">
        <v>66.666666666666657</v>
      </c>
      <c r="F44">
        <v>100</v>
      </c>
      <c r="G44">
        <v>100</v>
      </c>
      <c r="H44">
        <v>83.333333333333343</v>
      </c>
      <c r="I44">
        <v>33.333333333333329</v>
      </c>
      <c r="J44">
        <v>28.187474269500914</v>
      </c>
      <c r="K44">
        <f t="shared" si="0"/>
        <v>50.988611603069934</v>
      </c>
      <c r="L44">
        <f t="shared" si="1"/>
        <v>52.218574716455265</v>
      </c>
      <c r="M44">
        <f t="shared" si="2"/>
        <v>46.232089217747614</v>
      </c>
      <c r="O44">
        <f t="shared" si="3"/>
        <v>68.636783554353897</v>
      </c>
      <c r="T44">
        <v>304</v>
      </c>
      <c r="U44">
        <v>1</v>
      </c>
      <c r="V44">
        <v>0</v>
      </c>
      <c r="W44">
        <v>21.291345110308367</v>
      </c>
      <c r="AA44">
        <v>470</v>
      </c>
      <c r="AB44">
        <v>0</v>
      </c>
      <c r="AC44">
        <v>1</v>
      </c>
      <c r="AD44">
        <v>19.306899500320874</v>
      </c>
    </row>
    <row r="45" spans="1:30" x14ac:dyDescent="0.45">
      <c r="A45">
        <v>74</v>
      </c>
      <c r="B45">
        <v>1</v>
      </c>
      <c r="C45">
        <v>0</v>
      </c>
      <c r="D45">
        <v>12.382191830258268</v>
      </c>
      <c r="E45">
        <v>66.666666666666657</v>
      </c>
      <c r="F45">
        <v>100</v>
      </c>
      <c r="G45">
        <v>100</v>
      </c>
      <c r="H45">
        <v>83.333333333333343</v>
      </c>
      <c r="I45">
        <v>66.666666666666657</v>
      </c>
      <c r="J45">
        <v>28.187474269500914</v>
      </c>
      <c r="K45">
        <f t="shared" si="0"/>
        <v>53.159553960355282</v>
      </c>
      <c r="L45">
        <f t="shared" si="1"/>
        <v>52.218574716455265</v>
      </c>
      <c r="M45">
        <f t="shared" si="2"/>
        <v>48.613720075347288</v>
      </c>
      <c r="O45">
        <f t="shared" si="3"/>
        <v>70.807725911639238</v>
      </c>
      <c r="T45">
        <v>370</v>
      </c>
      <c r="U45">
        <v>1</v>
      </c>
      <c r="V45">
        <v>0</v>
      </c>
      <c r="W45">
        <v>20.149829638250239</v>
      </c>
      <c r="AA45">
        <v>469</v>
      </c>
      <c r="AB45">
        <v>0</v>
      </c>
      <c r="AC45">
        <v>1</v>
      </c>
      <c r="AD45">
        <v>19.283686766149248</v>
      </c>
    </row>
    <row r="46" spans="1:30" x14ac:dyDescent="0.45">
      <c r="A46">
        <v>75</v>
      </c>
      <c r="B46">
        <v>0</v>
      </c>
      <c r="C46">
        <v>0</v>
      </c>
      <c r="D46">
        <v>11.606238657731108</v>
      </c>
      <c r="E46">
        <v>33.333333333333329</v>
      </c>
      <c r="F46">
        <v>100</v>
      </c>
      <c r="G46">
        <v>100</v>
      </c>
      <c r="H46">
        <v>100</v>
      </c>
      <c r="I46">
        <v>100</v>
      </c>
      <c r="J46">
        <v>64.380834817217362</v>
      </c>
      <c r="K46">
        <f t="shared" si="0"/>
        <v>62.949370655044689</v>
      </c>
      <c r="L46">
        <f t="shared" si="1"/>
        <v>60.36822145276215</v>
      </c>
      <c r="M46">
        <f t="shared" si="2"/>
        <v>59.353631916890549</v>
      </c>
      <c r="O46">
        <f t="shared" si="3"/>
        <v>80.597542606328659</v>
      </c>
      <c r="AA46">
        <v>468</v>
      </c>
      <c r="AB46">
        <v>0</v>
      </c>
      <c r="AC46">
        <v>1</v>
      </c>
      <c r="AD46">
        <v>19.227655423846532</v>
      </c>
    </row>
    <row r="47" spans="1:30" x14ac:dyDescent="0.45">
      <c r="A47">
        <v>76</v>
      </c>
      <c r="B47">
        <v>1</v>
      </c>
      <c r="C47">
        <v>0</v>
      </c>
      <c r="D47">
        <v>11.605626050182993</v>
      </c>
      <c r="E47">
        <v>100</v>
      </c>
      <c r="F47">
        <v>100</v>
      </c>
      <c r="G47">
        <v>100</v>
      </c>
      <c r="H47">
        <v>66.666666666666657</v>
      </c>
      <c r="I47">
        <v>0</v>
      </c>
      <c r="J47">
        <v>58.592647585919821</v>
      </c>
      <c r="K47">
        <f t="shared" si="0"/>
        <v>58.399825775691298</v>
      </c>
      <c r="L47">
        <f t="shared" si="1"/>
        <v>62.468276605795452</v>
      </c>
      <c r="M47">
        <f t="shared" si="2"/>
        <v>54.362556757137497</v>
      </c>
      <c r="O47">
        <f t="shared" si="3"/>
        <v>76.047997726975268</v>
      </c>
      <c r="AA47">
        <v>386</v>
      </c>
      <c r="AB47">
        <v>0</v>
      </c>
      <c r="AC47">
        <v>1</v>
      </c>
      <c r="AD47">
        <v>15.944573237220972</v>
      </c>
    </row>
    <row r="48" spans="1:30" x14ac:dyDescent="0.45">
      <c r="A48">
        <v>77</v>
      </c>
      <c r="B48">
        <v>1</v>
      </c>
      <c r="C48">
        <v>0</v>
      </c>
      <c r="D48">
        <v>14.214381022467199</v>
      </c>
      <c r="E48">
        <v>33.333333333333329</v>
      </c>
      <c r="F48">
        <v>100</v>
      </c>
      <c r="G48">
        <v>100</v>
      </c>
      <c r="H48">
        <v>83.333333333333343</v>
      </c>
      <c r="I48">
        <v>33.333333333333329</v>
      </c>
      <c r="J48">
        <v>73.91670404151624</v>
      </c>
      <c r="K48">
        <f t="shared" si="0"/>
        <v>58.137543952399781</v>
      </c>
      <c r="L48">
        <f t="shared" si="1"/>
        <v>59.865540739082391</v>
      </c>
      <c r="M48">
        <f t="shared" si="2"/>
        <v>54.07482065873657</v>
      </c>
      <c r="O48">
        <f t="shared" si="3"/>
        <v>75.785715903683752</v>
      </c>
    </row>
    <row r="49" spans="1:15" x14ac:dyDescent="0.45">
      <c r="A49">
        <v>79</v>
      </c>
      <c r="B49">
        <v>0</v>
      </c>
      <c r="C49">
        <v>0</v>
      </c>
      <c r="D49">
        <v>14.524207246067972</v>
      </c>
      <c r="E49">
        <v>66.666666666666657</v>
      </c>
      <c r="F49">
        <v>0</v>
      </c>
      <c r="G49">
        <v>25</v>
      </c>
      <c r="H49">
        <v>66.666666666666657</v>
      </c>
      <c r="I49">
        <v>0</v>
      </c>
      <c r="J49">
        <v>36.85428219322116</v>
      </c>
      <c r="K49">
        <f t="shared" si="0"/>
        <v>28.469323896101923</v>
      </c>
      <c r="L49">
        <f t="shared" si="1"/>
        <v>30.45265249167818</v>
      </c>
      <c r="M49">
        <f t="shared" si="2"/>
        <v>31.232252693591015</v>
      </c>
      <c r="O49">
        <f t="shared" si="3"/>
        <v>46.117495847385882</v>
      </c>
    </row>
    <row r="50" spans="1:15" x14ac:dyDescent="0.45">
      <c r="A50">
        <v>81</v>
      </c>
      <c r="B50">
        <v>1</v>
      </c>
      <c r="C50">
        <v>0</v>
      </c>
      <c r="D50">
        <v>12.820457087950784</v>
      </c>
      <c r="E50">
        <v>66.666666666666657</v>
      </c>
      <c r="F50">
        <v>100</v>
      </c>
      <c r="G50">
        <v>75</v>
      </c>
      <c r="H50">
        <v>50</v>
      </c>
      <c r="I50">
        <v>0</v>
      </c>
      <c r="J50">
        <v>39.50749800875758</v>
      </c>
      <c r="K50">
        <f t="shared" si="0"/>
        <v>43.119672803159602</v>
      </c>
      <c r="L50">
        <f t="shared" si="1"/>
        <v>46.123624720476059</v>
      </c>
      <c r="M50">
        <f t="shared" si="2"/>
        <v>37.59947518286171</v>
      </c>
      <c r="O50">
        <f t="shared" si="3"/>
        <v>60.767844754443566</v>
      </c>
    </row>
    <row r="51" spans="1:15" x14ac:dyDescent="0.45">
      <c r="A51">
        <v>85</v>
      </c>
      <c r="B51">
        <v>1</v>
      </c>
      <c r="C51">
        <v>0</v>
      </c>
      <c r="D51">
        <v>18.669770558623373</v>
      </c>
      <c r="E51">
        <v>100</v>
      </c>
      <c r="F51">
        <v>100</v>
      </c>
      <c r="G51">
        <v>100</v>
      </c>
      <c r="H51">
        <v>50</v>
      </c>
      <c r="I51">
        <v>33.333333333333329</v>
      </c>
      <c r="J51">
        <v>54.149278808650493</v>
      </c>
      <c r="K51">
        <f t="shared" si="0"/>
        <v>55.761385308403121</v>
      </c>
      <c r="L51">
        <f t="shared" si="1"/>
        <v>57.323845905906701</v>
      </c>
      <c r="M51">
        <f t="shared" si="2"/>
        <v>51.468057411382972</v>
      </c>
      <c r="O51">
        <f t="shared" si="3"/>
        <v>73.409557259687091</v>
      </c>
    </row>
    <row r="52" spans="1:15" x14ac:dyDescent="0.45">
      <c r="A52">
        <v>87</v>
      </c>
      <c r="B52">
        <v>0</v>
      </c>
      <c r="C52">
        <v>0</v>
      </c>
      <c r="D52">
        <v>19.371386725345406</v>
      </c>
      <c r="E52">
        <v>100</v>
      </c>
      <c r="F52">
        <v>0</v>
      </c>
      <c r="G52">
        <v>100</v>
      </c>
      <c r="H52">
        <v>33.333333333333329</v>
      </c>
      <c r="I52">
        <v>33.333333333333329</v>
      </c>
      <c r="J52">
        <v>46.573257265521711</v>
      </c>
      <c r="K52">
        <f t="shared" si="0"/>
        <v>42.432264497659062</v>
      </c>
      <c r="L52">
        <f t="shared" si="1"/>
        <v>43.066145738859106</v>
      </c>
      <c r="M52">
        <f t="shared" si="2"/>
        <v>46.550287319385035</v>
      </c>
      <c r="O52">
        <f t="shared" si="3"/>
        <v>60.080436448943033</v>
      </c>
    </row>
    <row r="53" spans="1:15" x14ac:dyDescent="0.45">
      <c r="A53">
        <v>90</v>
      </c>
      <c r="B53">
        <v>0</v>
      </c>
      <c r="C53">
        <v>0</v>
      </c>
      <c r="D53">
        <v>20.987006471376869</v>
      </c>
      <c r="E53">
        <v>0</v>
      </c>
      <c r="F53">
        <v>100</v>
      </c>
      <c r="G53">
        <v>100</v>
      </c>
      <c r="H53">
        <v>33.333333333333329</v>
      </c>
      <c r="I53">
        <v>0</v>
      </c>
      <c r="J53">
        <v>24.691750289465059</v>
      </c>
      <c r="K53">
        <f t="shared" si="0"/>
        <v>30.809553765925131</v>
      </c>
      <c r="L53">
        <f t="shared" si="1"/>
        <v>32.9559155560367</v>
      </c>
      <c r="M53">
        <f t="shared" si="2"/>
        <v>24.09466734611026</v>
      </c>
      <c r="O53">
        <f t="shared" si="3"/>
        <v>48.457725717209094</v>
      </c>
    </row>
    <row r="54" spans="1:15" x14ac:dyDescent="0.45">
      <c r="A54">
        <v>92</v>
      </c>
      <c r="B54">
        <v>0</v>
      </c>
      <c r="C54">
        <v>0</v>
      </c>
      <c r="D54">
        <v>21.359947917243396</v>
      </c>
      <c r="E54">
        <v>33.333333333333329</v>
      </c>
      <c r="F54">
        <v>100</v>
      </c>
      <c r="G54">
        <v>100</v>
      </c>
      <c r="H54">
        <v>33.333333333333329</v>
      </c>
      <c r="I54">
        <v>33.333333333333329</v>
      </c>
      <c r="J54">
        <v>22.738951631960017</v>
      </c>
      <c r="K54">
        <f t="shared" si="0"/>
        <v>36.568850452519676</v>
      </c>
      <c r="L54">
        <f t="shared" si="1"/>
        <v>36.794254246701009</v>
      </c>
      <c r="M54">
        <f t="shared" si="2"/>
        <v>30.412899914945907</v>
      </c>
      <c r="O54">
        <f t="shared" si="3"/>
        <v>54.217022403803639</v>
      </c>
    </row>
    <row r="55" spans="1:15" x14ac:dyDescent="0.45">
      <c r="A55">
        <v>96</v>
      </c>
      <c r="B55">
        <v>0</v>
      </c>
      <c r="C55">
        <v>0</v>
      </c>
      <c r="D55">
        <v>13.026659636795756</v>
      </c>
      <c r="E55">
        <v>100</v>
      </c>
      <c r="F55">
        <v>100</v>
      </c>
      <c r="G55">
        <v>100</v>
      </c>
      <c r="H55">
        <v>50</v>
      </c>
      <c r="I55">
        <v>33.333333333333329</v>
      </c>
      <c r="J55">
        <v>62.098784494535899</v>
      </c>
      <c r="K55">
        <f t="shared" si="0"/>
        <v>58.77778012034895</v>
      </c>
      <c r="L55">
        <f t="shared" si="1"/>
        <v>60.550379255315271</v>
      </c>
      <c r="M55">
        <f t="shared" si="2"/>
        <v>54.777191317553047</v>
      </c>
      <c r="O55">
        <f t="shared" si="3"/>
        <v>76.425952071632906</v>
      </c>
    </row>
    <row r="56" spans="1:15" x14ac:dyDescent="0.45">
      <c r="A56">
        <v>97</v>
      </c>
      <c r="B56">
        <v>0</v>
      </c>
      <c r="C56">
        <v>0</v>
      </c>
      <c r="D56">
        <v>13.189077534085353</v>
      </c>
      <c r="E56">
        <v>66.666666666666657</v>
      </c>
      <c r="F56">
        <v>100</v>
      </c>
      <c r="G56">
        <v>100</v>
      </c>
      <c r="H56">
        <v>50</v>
      </c>
      <c r="I56">
        <v>33.333333333333329</v>
      </c>
      <c r="J56">
        <v>58.317333088560027</v>
      </c>
      <c r="K56">
        <f t="shared" si="0"/>
        <v>53.63749698061514</v>
      </c>
      <c r="L56">
        <f t="shared" si="1"/>
        <v>55.05199591700989</v>
      </c>
      <c r="M56">
        <f t="shared" si="2"/>
        <v>49.138047145297051</v>
      </c>
      <c r="O56">
        <f t="shared" si="3"/>
        <v>71.285668931899096</v>
      </c>
    </row>
    <row r="57" spans="1:15" x14ac:dyDescent="0.45">
      <c r="A57">
        <v>98</v>
      </c>
      <c r="B57">
        <v>0</v>
      </c>
      <c r="C57">
        <v>0</v>
      </c>
      <c r="D57">
        <v>14.361319844591661</v>
      </c>
      <c r="E57">
        <v>0</v>
      </c>
      <c r="F57">
        <v>100</v>
      </c>
      <c r="G57">
        <v>100</v>
      </c>
      <c r="H57">
        <v>33.333333333333329</v>
      </c>
      <c r="I57">
        <v>66.666666666666657</v>
      </c>
      <c r="J57">
        <v>60.217890116733848</v>
      </c>
      <c r="K57">
        <f t="shared" si="0"/>
        <v>45.350264804110154</v>
      </c>
      <c r="L57">
        <f t="shared" si="1"/>
        <v>43.865247825024397</v>
      </c>
      <c r="M57">
        <f t="shared" si="2"/>
        <v>40.046544642053505</v>
      </c>
      <c r="O57">
        <f t="shared" si="3"/>
        <v>62.998436755394117</v>
      </c>
    </row>
    <row r="58" spans="1:15" x14ac:dyDescent="0.45">
      <c r="A58">
        <v>100</v>
      </c>
      <c r="B58">
        <v>0</v>
      </c>
      <c r="C58">
        <v>0</v>
      </c>
      <c r="D58">
        <v>14.438552456000991</v>
      </c>
      <c r="E58">
        <v>66.666666666666657</v>
      </c>
      <c r="F58">
        <v>100</v>
      </c>
      <c r="G58">
        <v>100</v>
      </c>
      <c r="H58">
        <v>100</v>
      </c>
      <c r="I58">
        <v>0</v>
      </c>
      <c r="J58">
        <v>56.008205674172451</v>
      </c>
      <c r="K58">
        <f t="shared" si="0"/>
        <v>57.959165190076043</v>
      </c>
      <c r="L58">
        <f t="shared" si="1"/>
        <v>61.996917196998318</v>
      </c>
      <c r="M58">
        <f t="shared" si="2"/>
        <v>53.879130357119422</v>
      </c>
      <c r="O58">
        <f t="shared" si="3"/>
        <v>75.607337141360006</v>
      </c>
    </row>
    <row r="59" spans="1:15" x14ac:dyDescent="0.45">
      <c r="A59">
        <v>103</v>
      </c>
      <c r="B59">
        <v>0</v>
      </c>
      <c r="C59">
        <v>0</v>
      </c>
      <c r="D59">
        <v>17.987658767751306</v>
      </c>
      <c r="E59">
        <v>66.666666666666657</v>
      </c>
      <c r="F59">
        <v>0</v>
      </c>
      <c r="G59">
        <v>100</v>
      </c>
      <c r="H59">
        <v>33.333333333333329</v>
      </c>
      <c r="I59">
        <v>0</v>
      </c>
      <c r="J59">
        <v>37.170168310648783</v>
      </c>
      <c r="K59">
        <f t="shared" si="0"/>
        <v>33.965080005896674</v>
      </c>
      <c r="L59">
        <f t="shared" si="1"/>
        <v>36.331272988651484</v>
      </c>
      <c r="M59">
        <f t="shared" si="2"/>
        <v>37.261368249333394</v>
      </c>
      <c r="O59">
        <f t="shared" si="3"/>
        <v>51.613251957180637</v>
      </c>
    </row>
    <row r="60" spans="1:15" x14ac:dyDescent="0.45">
      <c r="A60">
        <v>105</v>
      </c>
      <c r="B60">
        <v>0</v>
      </c>
      <c r="C60">
        <v>0</v>
      </c>
      <c r="D60">
        <v>9.5265545352612815</v>
      </c>
      <c r="E60">
        <v>100</v>
      </c>
      <c r="F60">
        <v>100</v>
      </c>
      <c r="G60">
        <v>100</v>
      </c>
      <c r="H60">
        <v>50</v>
      </c>
      <c r="I60">
        <v>100</v>
      </c>
      <c r="J60">
        <v>50.591859477390472</v>
      </c>
      <c r="K60">
        <f t="shared" si="0"/>
        <v>60.812707780086846</v>
      </c>
      <c r="L60">
        <f t="shared" si="1"/>
        <v>58.082706971967959</v>
      </c>
      <c r="M60">
        <f t="shared" si="2"/>
        <v>57.00960734239635</v>
      </c>
      <c r="O60">
        <f t="shared" si="3"/>
        <v>78.46087973137081</v>
      </c>
    </row>
    <row r="61" spans="1:15" x14ac:dyDescent="0.45">
      <c r="A61">
        <v>106</v>
      </c>
      <c r="B61">
        <v>0</v>
      </c>
      <c r="C61">
        <v>0</v>
      </c>
      <c r="D61">
        <v>9.1917312325988156</v>
      </c>
      <c r="E61">
        <v>100</v>
      </c>
      <c r="F61">
        <v>100</v>
      </c>
      <c r="G61">
        <v>100</v>
      </c>
      <c r="H61">
        <v>33.333333333333329</v>
      </c>
      <c r="I61">
        <v>100</v>
      </c>
      <c r="J61">
        <v>50.591859477390472</v>
      </c>
      <c r="K61">
        <f t="shared" si="0"/>
        <v>58.438457896817425</v>
      </c>
      <c r="L61">
        <f t="shared" si="1"/>
        <v>55.543053874216973</v>
      </c>
      <c r="M61">
        <f t="shared" si="2"/>
        <v>54.404938099718869</v>
      </c>
      <c r="O61">
        <f t="shared" si="3"/>
        <v>76.086629848101381</v>
      </c>
    </row>
    <row r="62" spans="1:15" x14ac:dyDescent="0.45">
      <c r="A62">
        <v>107</v>
      </c>
      <c r="B62">
        <v>0</v>
      </c>
      <c r="C62">
        <v>0</v>
      </c>
      <c r="D62">
        <v>8.1207667392079923</v>
      </c>
      <c r="E62">
        <v>33.333333333333329</v>
      </c>
      <c r="F62">
        <v>0</v>
      </c>
      <c r="G62">
        <v>100</v>
      </c>
      <c r="H62">
        <v>50</v>
      </c>
      <c r="I62">
        <v>0</v>
      </c>
      <c r="J62">
        <v>15.736409740638651</v>
      </c>
      <c r="K62">
        <f t="shared" si="0"/>
        <v>28.541521978466612</v>
      </c>
      <c r="L62">
        <f t="shared" si="1"/>
        <v>30.529880286789904</v>
      </c>
      <c r="M62">
        <f t="shared" si="2"/>
        <v>31.311457551445589</v>
      </c>
      <c r="O62">
        <f t="shared" si="3"/>
        <v>46.189693929750575</v>
      </c>
    </row>
    <row r="63" spans="1:15" x14ac:dyDescent="0.45">
      <c r="A63">
        <v>108</v>
      </c>
      <c r="B63">
        <v>0</v>
      </c>
      <c r="C63">
        <v>0</v>
      </c>
      <c r="D63">
        <v>6.9089301562132679</v>
      </c>
      <c r="E63">
        <v>100</v>
      </c>
      <c r="F63">
        <v>100</v>
      </c>
      <c r="G63">
        <v>75</v>
      </c>
      <c r="H63">
        <v>50</v>
      </c>
      <c r="I63">
        <v>0</v>
      </c>
      <c r="J63">
        <v>50.081426836554108</v>
      </c>
      <c r="K63">
        <f t="shared" si="0"/>
        <v>51.000980990603139</v>
      </c>
      <c r="L63">
        <f t="shared" si="1"/>
        <v>54.553987882170176</v>
      </c>
      <c r="M63">
        <f t="shared" si="2"/>
        <v>46.245659046048132</v>
      </c>
      <c r="O63">
        <f t="shared" si="3"/>
        <v>68.64915294188711</v>
      </c>
    </row>
    <row r="64" spans="1:15" x14ac:dyDescent="0.45">
      <c r="A64">
        <v>109</v>
      </c>
      <c r="B64">
        <v>0</v>
      </c>
      <c r="C64">
        <v>0</v>
      </c>
      <c r="D64">
        <v>7.3848941337760596</v>
      </c>
      <c r="E64">
        <v>100</v>
      </c>
      <c r="F64">
        <v>100</v>
      </c>
      <c r="G64">
        <v>75</v>
      </c>
      <c r="H64">
        <v>33.333333333333329</v>
      </c>
      <c r="I64">
        <v>0</v>
      </c>
      <c r="J64">
        <v>50.081426836554108</v>
      </c>
      <c r="K64">
        <f t="shared" si="0"/>
        <v>48.483641973960424</v>
      </c>
      <c r="L64">
        <f t="shared" si="1"/>
        <v>51.861277280494811</v>
      </c>
      <c r="M64">
        <f t="shared" si="2"/>
        <v>43.48401396553443</v>
      </c>
      <c r="O64">
        <f t="shared" si="3"/>
        <v>66.131813925244387</v>
      </c>
    </row>
    <row r="65" spans="1:15" x14ac:dyDescent="0.45">
      <c r="A65">
        <v>110</v>
      </c>
      <c r="B65">
        <v>0</v>
      </c>
      <c r="C65">
        <v>0</v>
      </c>
      <c r="D65">
        <v>6.9089301562132679</v>
      </c>
      <c r="E65">
        <v>100</v>
      </c>
      <c r="F65">
        <v>100</v>
      </c>
      <c r="G65">
        <v>75</v>
      </c>
      <c r="H65">
        <v>50</v>
      </c>
      <c r="I65">
        <v>0</v>
      </c>
      <c r="J65">
        <v>50.081426836554108</v>
      </c>
      <c r="K65">
        <f t="shared" si="0"/>
        <v>51.000980990603139</v>
      </c>
      <c r="L65">
        <f t="shared" si="1"/>
        <v>54.553987882170176</v>
      </c>
      <c r="M65">
        <f t="shared" si="2"/>
        <v>46.245659046048132</v>
      </c>
      <c r="O65">
        <f t="shared" si="3"/>
        <v>68.64915294188711</v>
      </c>
    </row>
    <row r="66" spans="1:15" x14ac:dyDescent="0.45">
      <c r="A66">
        <v>111</v>
      </c>
      <c r="B66">
        <v>0</v>
      </c>
      <c r="C66">
        <v>0</v>
      </c>
      <c r="D66">
        <v>7.3848941337760596</v>
      </c>
      <c r="E66">
        <v>66.666666666666657</v>
      </c>
      <c r="F66">
        <v>100</v>
      </c>
      <c r="G66">
        <v>75</v>
      </c>
      <c r="H66">
        <v>50</v>
      </c>
      <c r="I66">
        <v>0</v>
      </c>
      <c r="J66">
        <v>50.081426836554108</v>
      </c>
      <c r="K66">
        <f t="shared" si="0"/>
        <v>46.766476618670723</v>
      </c>
      <c r="L66">
        <f t="shared" si="1"/>
        <v>50.024484807788909</v>
      </c>
      <c r="M66">
        <f t="shared" si="2"/>
        <v>41.600198863749334</v>
      </c>
      <c r="O66">
        <f t="shared" si="3"/>
        <v>64.414648569954693</v>
      </c>
    </row>
    <row r="67" spans="1:15" x14ac:dyDescent="0.45">
      <c r="A67">
        <v>112</v>
      </c>
      <c r="B67">
        <v>0</v>
      </c>
      <c r="C67">
        <v>0</v>
      </c>
      <c r="D67">
        <v>6.9089301562132679</v>
      </c>
      <c r="E67">
        <v>100</v>
      </c>
      <c r="F67">
        <v>100</v>
      </c>
      <c r="G67">
        <v>100</v>
      </c>
      <c r="H67">
        <v>50</v>
      </c>
      <c r="I67">
        <v>100</v>
      </c>
      <c r="J67">
        <v>64.100023231506114</v>
      </c>
      <c r="K67">
        <f t="shared" si="0"/>
        <v>64.707977796699453</v>
      </c>
      <c r="L67">
        <f t="shared" si="1"/>
        <v>62.24934277301692</v>
      </c>
      <c r="M67">
        <f t="shared" si="2"/>
        <v>61.282910702623703</v>
      </c>
      <c r="O67">
        <f t="shared" si="3"/>
        <v>82.356149747983409</v>
      </c>
    </row>
    <row r="68" spans="1:15" x14ac:dyDescent="0.45">
      <c r="A68">
        <v>113</v>
      </c>
      <c r="B68">
        <v>0</v>
      </c>
      <c r="C68">
        <v>0</v>
      </c>
      <c r="D68">
        <v>6.9198596773709831</v>
      </c>
      <c r="E68">
        <v>100</v>
      </c>
      <c r="F68">
        <v>100</v>
      </c>
      <c r="G68">
        <v>75</v>
      </c>
      <c r="H68">
        <v>66.666666666666657</v>
      </c>
      <c r="I68">
        <v>0</v>
      </c>
      <c r="J68">
        <v>63.347183247120505</v>
      </c>
      <c r="K68">
        <f t="shared" si="0"/>
        <v>56.804087823274301</v>
      </c>
      <c r="L68">
        <f t="shared" si="1"/>
        <v>60.761370832055221</v>
      </c>
      <c r="M68">
        <f t="shared" si="2"/>
        <v>52.611953506265586</v>
      </c>
      <c r="O68">
        <f t="shared" si="3"/>
        <v>74.452259774558257</v>
      </c>
    </row>
    <row r="69" spans="1:15" x14ac:dyDescent="0.45">
      <c r="A69">
        <v>116</v>
      </c>
      <c r="B69">
        <v>0</v>
      </c>
      <c r="C69">
        <v>0</v>
      </c>
      <c r="D69">
        <v>5.9453434149573319</v>
      </c>
      <c r="E69">
        <v>100</v>
      </c>
      <c r="F69">
        <v>100</v>
      </c>
      <c r="G69">
        <v>75</v>
      </c>
      <c r="H69">
        <v>50</v>
      </c>
      <c r="I69">
        <v>0</v>
      </c>
      <c r="J69">
        <v>64.526851423869019</v>
      </c>
      <c r="K69">
        <f t="shared" si="0"/>
        <v>54.842562828244247</v>
      </c>
      <c r="L69">
        <f t="shared" si="1"/>
        <v>58.663195292467869</v>
      </c>
      <c r="M69">
        <f t="shared" si="2"/>
        <v>50.460063825528856</v>
      </c>
      <c r="O69">
        <f t="shared" si="3"/>
        <v>72.490734779528211</v>
      </c>
    </row>
    <row r="70" spans="1:15" x14ac:dyDescent="0.45">
      <c r="A70">
        <v>117</v>
      </c>
      <c r="B70">
        <v>0</v>
      </c>
      <c r="C70">
        <v>0</v>
      </c>
      <c r="D70">
        <v>6.0042402344057981</v>
      </c>
      <c r="E70">
        <v>100</v>
      </c>
      <c r="F70">
        <v>100</v>
      </c>
      <c r="G70">
        <v>75</v>
      </c>
      <c r="H70">
        <v>50</v>
      </c>
      <c r="I70">
        <v>0</v>
      </c>
      <c r="J70">
        <v>58.505476445782108</v>
      </c>
      <c r="K70">
        <f t="shared" si="0"/>
        <v>53.301743738941781</v>
      </c>
      <c r="L70">
        <f t="shared" si="1"/>
        <v>57.01503432980109</v>
      </c>
      <c r="M70">
        <f t="shared" si="2"/>
        <v>48.769709276617618</v>
      </c>
      <c r="O70">
        <f t="shared" si="3"/>
        <v>70.949915690225737</v>
      </c>
    </row>
    <row r="71" spans="1:15" x14ac:dyDescent="0.45">
      <c r="A71">
        <v>118</v>
      </c>
      <c r="B71">
        <v>0</v>
      </c>
      <c r="C71">
        <v>0</v>
      </c>
      <c r="D71">
        <v>6.1876167742384869</v>
      </c>
      <c r="E71">
        <v>100</v>
      </c>
      <c r="F71">
        <v>100</v>
      </c>
      <c r="G71">
        <v>75</v>
      </c>
      <c r="H71">
        <v>50</v>
      </c>
      <c r="I71">
        <v>0</v>
      </c>
      <c r="J71">
        <v>58.505476445782108</v>
      </c>
      <c r="K71">
        <f t="shared" si="0"/>
        <v>53.2693811318738</v>
      </c>
      <c r="L71">
        <f t="shared" si="1"/>
        <v>56.980417166767545</v>
      </c>
      <c r="M71">
        <f t="shared" si="2"/>
        <v>48.734205900230478</v>
      </c>
      <c r="O71">
        <f t="shared" si="3"/>
        <v>70.91755308315777</v>
      </c>
    </row>
    <row r="72" spans="1:15" x14ac:dyDescent="0.45">
      <c r="A72">
        <v>119</v>
      </c>
      <c r="B72">
        <v>0</v>
      </c>
      <c r="C72">
        <v>0</v>
      </c>
      <c r="D72">
        <v>6.0319571370129523</v>
      </c>
      <c r="E72">
        <v>100</v>
      </c>
      <c r="F72">
        <v>100</v>
      </c>
      <c r="G72">
        <v>75</v>
      </c>
      <c r="H72">
        <v>33.333333333333329</v>
      </c>
      <c r="I72">
        <v>0</v>
      </c>
      <c r="J72">
        <v>58.505476445782108</v>
      </c>
      <c r="K72">
        <f t="shared" ref="K72:K135" si="4">D72*D$1+E72*E$1+F72*F$1+G72*G$1+H72*H$1+I72*I$1+J72*J$1</f>
        <v>50.863512136853842</v>
      </c>
      <c r="L72">
        <f t="shared" ref="L72:L135" si="5">D72*D$2+E72*E$2+F72*F$2+G72*G$2+H72*H$2+J72*J$2</f>
        <v>54.406942197245087</v>
      </c>
      <c r="M72">
        <f t="shared" ref="M72:M135" si="6">D72*D$3+E72*E$3+G72*G$3+H72*H$3+I72*I$3+J72*J$3</f>
        <v>46.094848932205416</v>
      </c>
      <c r="O72">
        <f t="shared" ref="O72:O135" si="7">(K72-$P$3)/($P$2-$P$3)*100</f>
        <v>68.511684088137798</v>
      </c>
    </row>
    <row r="73" spans="1:15" x14ac:dyDescent="0.45">
      <c r="A73">
        <v>120</v>
      </c>
      <c r="B73">
        <v>0</v>
      </c>
      <c r="C73">
        <v>0</v>
      </c>
      <c r="D73">
        <v>6.0319571370129523</v>
      </c>
      <c r="E73">
        <v>100</v>
      </c>
      <c r="F73">
        <v>100</v>
      </c>
      <c r="G73">
        <v>75</v>
      </c>
      <c r="H73">
        <v>33.333333333333329</v>
      </c>
      <c r="I73">
        <v>0</v>
      </c>
      <c r="J73">
        <v>49.063611755257789</v>
      </c>
      <c r="K73">
        <f t="shared" si="4"/>
        <v>48.46371729541459</v>
      </c>
      <c r="L73">
        <f t="shared" si="5"/>
        <v>51.839964540017412</v>
      </c>
      <c r="M73">
        <f t="shared" si="6"/>
        <v>43.462155610293777</v>
      </c>
      <c r="O73">
        <f t="shared" si="7"/>
        <v>66.111889246698553</v>
      </c>
    </row>
    <row r="74" spans="1:15" x14ac:dyDescent="0.45">
      <c r="A74">
        <v>121</v>
      </c>
      <c r="B74">
        <v>0</v>
      </c>
      <c r="C74">
        <v>0</v>
      </c>
      <c r="D74">
        <v>6.1876167742384869</v>
      </c>
      <c r="E74">
        <v>100</v>
      </c>
      <c r="F74">
        <v>100</v>
      </c>
      <c r="G74">
        <v>75</v>
      </c>
      <c r="H74">
        <v>50</v>
      </c>
      <c r="I74">
        <v>0</v>
      </c>
      <c r="J74">
        <v>49.063611755257789</v>
      </c>
      <c r="K74">
        <f t="shared" si="4"/>
        <v>50.869586290434547</v>
      </c>
      <c r="L74">
        <f t="shared" si="5"/>
        <v>54.41343950953987</v>
      </c>
      <c r="M74">
        <f t="shared" si="6"/>
        <v>46.101512578318847</v>
      </c>
      <c r="O74">
        <f t="shared" si="7"/>
        <v>68.517758241718511</v>
      </c>
    </row>
    <row r="75" spans="1:15" x14ac:dyDescent="0.45">
      <c r="A75">
        <v>122</v>
      </c>
      <c r="B75">
        <v>0</v>
      </c>
      <c r="C75">
        <v>0</v>
      </c>
      <c r="D75">
        <v>6.5223177198641489</v>
      </c>
      <c r="E75">
        <v>100</v>
      </c>
      <c r="F75">
        <v>100</v>
      </c>
      <c r="G75">
        <v>75</v>
      </c>
      <c r="H75">
        <v>66.666666666666657</v>
      </c>
      <c r="I75">
        <v>0</v>
      </c>
      <c r="J75">
        <v>46.667577732026359</v>
      </c>
      <c r="K75">
        <f t="shared" si="4"/>
        <v>52.634868941936404</v>
      </c>
      <c r="L75">
        <f t="shared" si="5"/>
        <v>56.301701392117799</v>
      </c>
      <c r="M75">
        <f t="shared" si="6"/>
        <v>48.03811472765431</v>
      </c>
      <c r="O75">
        <f t="shared" si="7"/>
        <v>70.283040893220374</v>
      </c>
    </row>
    <row r="76" spans="1:15" x14ac:dyDescent="0.45">
      <c r="A76">
        <v>123</v>
      </c>
      <c r="B76">
        <v>0</v>
      </c>
      <c r="C76">
        <v>0</v>
      </c>
      <c r="D76">
        <v>12.740317652158078</v>
      </c>
      <c r="E76">
        <v>100</v>
      </c>
      <c r="F76">
        <v>100</v>
      </c>
      <c r="G76">
        <v>100</v>
      </c>
      <c r="H76">
        <v>33.333333333333329</v>
      </c>
      <c r="I76">
        <v>100</v>
      </c>
      <c r="J76">
        <v>77.227309910679466</v>
      </c>
      <c r="K76">
        <f t="shared" si="4"/>
        <v>64.582005839004964</v>
      </c>
      <c r="L76">
        <f t="shared" si="5"/>
        <v>62.114594920719249</v>
      </c>
      <c r="M76">
        <f t="shared" si="6"/>
        <v>61.144713250890064</v>
      </c>
      <c r="O76">
        <f t="shared" si="7"/>
        <v>82.230177790288934</v>
      </c>
    </row>
    <row r="77" spans="1:15" x14ac:dyDescent="0.45">
      <c r="A77">
        <v>124</v>
      </c>
      <c r="B77">
        <v>0</v>
      </c>
      <c r="C77">
        <v>0</v>
      </c>
      <c r="D77">
        <v>13.490934642705401</v>
      </c>
      <c r="E77">
        <v>33.333333333333329</v>
      </c>
      <c r="F77">
        <v>100</v>
      </c>
      <c r="G77">
        <v>100</v>
      </c>
      <c r="H77">
        <v>50</v>
      </c>
      <c r="I77">
        <v>100</v>
      </c>
      <c r="J77">
        <v>77.06204608701465</v>
      </c>
      <c r="K77">
        <f t="shared" si="4"/>
        <v>58.539860538237768</v>
      </c>
      <c r="L77">
        <f t="shared" si="5"/>
        <v>55.651520777476833</v>
      </c>
      <c r="M77">
        <f t="shared" si="6"/>
        <v>54.516181799505894</v>
      </c>
      <c r="O77">
        <f t="shared" si="7"/>
        <v>76.188032489521731</v>
      </c>
    </row>
    <row r="78" spans="1:15" x14ac:dyDescent="0.45">
      <c r="A78">
        <v>125</v>
      </c>
      <c r="B78">
        <v>1</v>
      </c>
      <c r="C78">
        <v>0</v>
      </c>
      <c r="D78">
        <v>14.686505620841658</v>
      </c>
      <c r="E78">
        <v>66.666666666666657</v>
      </c>
      <c r="F78">
        <v>100</v>
      </c>
      <c r="G78">
        <v>100</v>
      </c>
      <c r="H78">
        <v>33.333333333333329</v>
      </c>
      <c r="I78">
        <v>33.333333333333329</v>
      </c>
      <c r="J78">
        <v>74.299966445137926</v>
      </c>
      <c r="K78">
        <f t="shared" si="4"/>
        <v>55.002119818697295</v>
      </c>
      <c r="L78">
        <f t="shared" si="5"/>
        <v>56.511685835252507</v>
      </c>
      <c r="M78">
        <f t="shared" si="6"/>
        <v>50.635105714933935</v>
      </c>
      <c r="O78">
        <f t="shared" si="7"/>
        <v>72.650291769981266</v>
      </c>
    </row>
    <row r="79" spans="1:15" x14ac:dyDescent="0.45">
      <c r="A79">
        <v>126</v>
      </c>
      <c r="B79">
        <v>1</v>
      </c>
      <c r="C79">
        <v>0</v>
      </c>
      <c r="D79">
        <v>14.212765858602468</v>
      </c>
      <c r="E79">
        <v>66.666666666666657</v>
      </c>
      <c r="F79">
        <v>100</v>
      </c>
      <c r="G79">
        <v>100</v>
      </c>
      <c r="H79">
        <v>50</v>
      </c>
      <c r="I79">
        <v>33.333333333333329</v>
      </c>
      <c r="J79">
        <v>75.994915601406916</v>
      </c>
      <c r="K79">
        <f t="shared" si="4"/>
        <v>57.949863647121063</v>
      </c>
      <c r="L79">
        <f t="shared" si="5"/>
        <v>59.664785598670818</v>
      </c>
      <c r="M79">
        <f t="shared" si="6"/>
        <v>53.868926105656669</v>
      </c>
      <c r="O79">
        <f t="shared" si="7"/>
        <v>75.598035598405033</v>
      </c>
    </row>
    <row r="80" spans="1:15" x14ac:dyDescent="0.45">
      <c r="A80">
        <v>127</v>
      </c>
      <c r="B80">
        <v>0</v>
      </c>
      <c r="C80">
        <v>0</v>
      </c>
      <c r="D80">
        <v>14.212765858602468</v>
      </c>
      <c r="E80">
        <v>66.666666666666657</v>
      </c>
      <c r="F80">
        <v>100</v>
      </c>
      <c r="G80">
        <v>100</v>
      </c>
      <c r="H80">
        <v>33.333333333333329</v>
      </c>
      <c r="I80">
        <v>33.333333333333329</v>
      </c>
      <c r="J80">
        <v>75.994915601406916</v>
      </c>
      <c r="K80">
        <f t="shared" si="4"/>
        <v>55.516523571664806</v>
      </c>
      <c r="L80">
        <f t="shared" si="5"/>
        <v>57.061925763208066</v>
      </c>
      <c r="M80">
        <f t="shared" si="6"/>
        <v>51.199432007256334</v>
      </c>
      <c r="O80">
        <f t="shared" si="7"/>
        <v>73.164695522948762</v>
      </c>
    </row>
    <row r="81" spans="1:15" x14ac:dyDescent="0.45">
      <c r="A81">
        <v>129</v>
      </c>
      <c r="B81">
        <v>0</v>
      </c>
      <c r="C81">
        <v>0</v>
      </c>
      <c r="D81">
        <v>14.534280209457343</v>
      </c>
      <c r="E81">
        <v>66.666666666666657</v>
      </c>
      <c r="F81">
        <v>100</v>
      </c>
      <c r="G81">
        <v>100</v>
      </c>
      <c r="H81">
        <v>66.666666666666657</v>
      </c>
      <c r="I81">
        <v>33.333333333333329</v>
      </c>
      <c r="J81">
        <v>65.078880372755833</v>
      </c>
      <c r="K81">
        <f t="shared" si="4"/>
        <v>57.55198440522453</v>
      </c>
      <c r="L81">
        <f t="shared" si="5"/>
        <v>59.239187915657823</v>
      </c>
      <c r="M81">
        <f t="shared" si="6"/>
        <v>53.432432950083395</v>
      </c>
      <c r="O81">
        <f t="shared" si="7"/>
        <v>75.200156356508501</v>
      </c>
    </row>
    <row r="82" spans="1:15" x14ac:dyDescent="0.45">
      <c r="A82">
        <v>131</v>
      </c>
      <c r="B82">
        <v>1</v>
      </c>
      <c r="C82">
        <v>0</v>
      </c>
      <c r="D82">
        <v>14.911820827780966</v>
      </c>
      <c r="E82">
        <v>100</v>
      </c>
      <c r="F82">
        <v>100</v>
      </c>
      <c r="G82">
        <v>100</v>
      </c>
      <c r="H82">
        <v>66.666666666666657</v>
      </c>
      <c r="I82">
        <v>33.333333333333329</v>
      </c>
      <c r="J82">
        <v>67.238911469574404</v>
      </c>
      <c r="K82">
        <f t="shared" si="4"/>
        <v>62.184865877674866</v>
      </c>
      <c r="L82">
        <f t="shared" si="5"/>
        <v>64.194821215224223</v>
      </c>
      <c r="M82">
        <f t="shared" si="6"/>
        <v>58.514932463422269</v>
      </c>
      <c r="O82">
        <f t="shared" si="7"/>
        <v>79.833037828958823</v>
      </c>
    </row>
    <row r="83" spans="1:15" x14ac:dyDescent="0.45">
      <c r="A83">
        <v>133</v>
      </c>
      <c r="B83">
        <v>1</v>
      </c>
      <c r="C83">
        <v>0</v>
      </c>
      <c r="D83">
        <v>10.574568055491534</v>
      </c>
      <c r="E83">
        <v>100</v>
      </c>
      <c r="F83">
        <v>100</v>
      </c>
      <c r="G83">
        <v>100</v>
      </c>
      <c r="H83">
        <v>50</v>
      </c>
      <c r="I83">
        <v>66.666666666666657</v>
      </c>
      <c r="J83">
        <v>82.819613038781426</v>
      </c>
      <c r="K83">
        <f t="shared" si="4"/>
        <v>66.647988450539259</v>
      </c>
      <c r="L83">
        <f t="shared" si="5"/>
        <v>66.646687223987641</v>
      </c>
      <c r="M83">
        <f t="shared" si="6"/>
        <v>63.411198089781479</v>
      </c>
      <c r="O83">
        <f t="shared" si="7"/>
        <v>84.296160401823215</v>
      </c>
    </row>
    <row r="84" spans="1:15" x14ac:dyDescent="0.45">
      <c r="A84">
        <v>134</v>
      </c>
      <c r="B84">
        <v>0</v>
      </c>
      <c r="C84">
        <v>0</v>
      </c>
      <c r="D84">
        <v>11.793949019176821</v>
      </c>
      <c r="E84">
        <v>66.666666666666657</v>
      </c>
      <c r="F84">
        <v>100</v>
      </c>
      <c r="G84">
        <v>100</v>
      </c>
      <c r="H84">
        <v>33.333333333333329</v>
      </c>
      <c r="I84">
        <v>66.666666666666657</v>
      </c>
      <c r="J84">
        <v>63.850439383664494</v>
      </c>
      <c r="K84">
        <f t="shared" si="4"/>
        <v>55.027637838442693</v>
      </c>
      <c r="L84">
        <f t="shared" si="5"/>
        <v>54.21679952053961</v>
      </c>
      <c r="M84">
        <f t="shared" si="6"/>
        <v>50.663100241387617</v>
      </c>
      <c r="O84">
        <f t="shared" si="7"/>
        <v>72.675809789726657</v>
      </c>
    </row>
    <row r="85" spans="1:15" x14ac:dyDescent="0.45">
      <c r="A85">
        <v>135</v>
      </c>
      <c r="B85">
        <v>0</v>
      </c>
      <c r="C85">
        <v>0</v>
      </c>
      <c r="D85">
        <v>11.833783517276657</v>
      </c>
      <c r="E85">
        <v>100</v>
      </c>
      <c r="F85">
        <v>100</v>
      </c>
      <c r="G85">
        <v>100</v>
      </c>
      <c r="H85">
        <v>50</v>
      </c>
      <c r="I85">
        <v>0</v>
      </c>
      <c r="J85">
        <v>68.178623830437729</v>
      </c>
      <c r="K85">
        <f t="shared" si="4"/>
        <v>58.36264308308693</v>
      </c>
      <c r="L85">
        <f t="shared" si="5"/>
        <v>62.428503563740847</v>
      </c>
      <c r="M85">
        <f t="shared" si="6"/>
        <v>54.321765509144178</v>
      </c>
      <c r="O85">
        <f t="shared" si="7"/>
        <v>76.010815034370893</v>
      </c>
    </row>
    <row r="86" spans="1:15" x14ac:dyDescent="0.45">
      <c r="A86">
        <v>136</v>
      </c>
      <c r="B86">
        <v>0</v>
      </c>
      <c r="C86">
        <v>0</v>
      </c>
      <c r="D86">
        <v>15.270677632011104</v>
      </c>
      <c r="E86">
        <v>66.666666666666657</v>
      </c>
      <c r="F86">
        <v>0</v>
      </c>
      <c r="G86">
        <v>75</v>
      </c>
      <c r="H86">
        <v>83.333333333333343</v>
      </c>
      <c r="I86">
        <v>33.333333333333329</v>
      </c>
      <c r="J86">
        <v>47.882809595682687</v>
      </c>
      <c r="K86">
        <f t="shared" si="4"/>
        <v>43.007194032923351</v>
      </c>
      <c r="L86">
        <f t="shared" si="5"/>
        <v>43.6811280056843</v>
      </c>
      <c r="M86">
        <f t="shared" si="6"/>
        <v>47.181013380597946</v>
      </c>
      <c r="O86">
        <f t="shared" si="7"/>
        <v>60.655365984207307</v>
      </c>
    </row>
    <row r="87" spans="1:15" x14ac:dyDescent="0.45">
      <c r="A87">
        <v>139</v>
      </c>
      <c r="B87">
        <v>0</v>
      </c>
      <c r="C87">
        <v>0</v>
      </c>
      <c r="D87">
        <v>17.794838689854583</v>
      </c>
      <c r="E87">
        <v>100</v>
      </c>
      <c r="F87">
        <v>100</v>
      </c>
      <c r="G87">
        <v>100</v>
      </c>
      <c r="H87">
        <v>33.333333333333329</v>
      </c>
      <c r="I87">
        <v>0</v>
      </c>
      <c r="J87">
        <v>36.141187007571041</v>
      </c>
      <c r="K87">
        <f t="shared" si="4"/>
        <v>46.734479405214429</v>
      </c>
      <c r="L87">
        <f t="shared" si="5"/>
        <v>49.990258493681736</v>
      </c>
      <c r="M87">
        <f t="shared" si="6"/>
        <v>41.565096342178933</v>
      </c>
      <c r="O87">
        <f t="shared" si="7"/>
        <v>64.3826513564984</v>
      </c>
    </row>
    <row r="88" spans="1:15" x14ac:dyDescent="0.45">
      <c r="A88">
        <v>140</v>
      </c>
      <c r="B88">
        <v>0</v>
      </c>
      <c r="C88">
        <v>0</v>
      </c>
      <c r="D88">
        <v>18.249550762620771</v>
      </c>
      <c r="E88">
        <v>66.666666666666657</v>
      </c>
      <c r="F88">
        <v>100</v>
      </c>
      <c r="G88">
        <v>75</v>
      </c>
      <c r="H88">
        <v>16.666666666666664</v>
      </c>
      <c r="I88">
        <v>66.666666666666657</v>
      </c>
      <c r="J88">
        <v>36.141187007571041</v>
      </c>
      <c r="K88">
        <f t="shared" si="4"/>
        <v>40.781141966703373</v>
      </c>
      <c r="L88">
        <f t="shared" si="5"/>
        <v>38.977814935253839</v>
      </c>
      <c r="M88">
        <f t="shared" si="6"/>
        <v>35.033991496543592</v>
      </c>
      <c r="O88">
        <f t="shared" si="7"/>
        <v>58.429313917987336</v>
      </c>
    </row>
    <row r="89" spans="1:15" x14ac:dyDescent="0.45">
      <c r="A89">
        <v>141</v>
      </c>
      <c r="B89">
        <v>0</v>
      </c>
      <c r="C89">
        <v>0</v>
      </c>
      <c r="D89">
        <v>16.875925333706064</v>
      </c>
      <c r="E89">
        <v>100</v>
      </c>
      <c r="F89">
        <v>100</v>
      </c>
      <c r="G89">
        <v>100</v>
      </c>
      <c r="H89">
        <v>50</v>
      </c>
      <c r="I89">
        <v>0</v>
      </c>
      <c r="J89">
        <v>42.15771762724723</v>
      </c>
      <c r="K89">
        <f t="shared" si="4"/>
        <v>50.85918449912964</v>
      </c>
      <c r="L89">
        <f t="shared" si="5"/>
        <v>54.402313072640432</v>
      </c>
      <c r="M89">
        <f t="shared" si="6"/>
        <v>46.090101300141441</v>
      </c>
      <c r="O89">
        <f t="shared" si="7"/>
        <v>68.507356450413596</v>
      </c>
    </row>
    <row r="90" spans="1:15" x14ac:dyDescent="0.45">
      <c r="A90">
        <v>142</v>
      </c>
      <c r="B90">
        <v>0</v>
      </c>
      <c r="C90">
        <v>0</v>
      </c>
      <c r="D90">
        <v>17.030950579590577</v>
      </c>
      <c r="E90">
        <v>100</v>
      </c>
      <c r="F90">
        <v>100</v>
      </c>
      <c r="G90">
        <v>100</v>
      </c>
      <c r="H90">
        <v>83.333333333333343</v>
      </c>
      <c r="I90">
        <v>66.666666666666657</v>
      </c>
      <c r="J90">
        <v>36.620030126690274</v>
      </c>
      <c r="K90">
        <f t="shared" si="4"/>
        <v>58.632901962219094</v>
      </c>
      <c r="L90">
        <f t="shared" si="5"/>
        <v>58.073226034311162</v>
      </c>
      <c r="M90">
        <f t="shared" si="6"/>
        <v>54.618252831307032</v>
      </c>
      <c r="O90">
        <f t="shared" si="7"/>
        <v>76.281073913503064</v>
      </c>
    </row>
    <row r="91" spans="1:15" x14ac:dyDescent="0.45">
      <c r="A91">
        <v>143</v>
      </c>
      <c r="B91">
        <v>0</v>
      </c>
      <c r="C91">
        <v>0</v>
      </c>
      <c r="D91">
        <v>15.008328284929989</v>
      </c>
      <c r="E91">
        <v>100</v>
      </c>
      <c r="F91">
        <v>100</v>
      </c>
      <c r="G91">
        <v>100</v>
      </c>
      <c r="H91">
        <v>66.666666666666657</v>
      </c>
      <c r="I91">
        <v>0</v>
      </c>
      <c r="J91">
        <v>58.204410889756545</v>
      </c>
      <c r="K91">
        <f t="shared" si="4"/>
        <v>57.700634718643556</v>
      </c>
      <c r="L91">
        <f t="shared" si="5"/>
        <v>61.720376080891185</v>
      </c>
      <c r="M91">
        <f t="shared" si="6"/>
        <v>53.595509676760429</v>
      </c>
      <c r="O91">
        <f t="shared" si="7"/>
        <v>75.348806669927512</v>
      </c>
    </row>
    <row r="92" spans="1:15" x14ac:dyDescent="0.45">
      <c r="A92">
        <v>144</v>
      </c>
      <c r="B92">
        <v>0</v>
      </c>
      <c r="C92">
        <v>0</v>
      </c>
      <c r="D92">
        <v>18.055063692654809</v>
      </c>
      <c r="E92">
        <v>33.333333333333329</v>
      </c>
      <c r="F92">
        <v>0</v>
      </c>
      <c r="G92">
        <v>75</v>
      </c>
      <c r="H92">
        <v>33.333333333333329</v>
      </c>
      <c r="I92">
        <v>66.666666666666657</v>
      </c>
      <c r="J92">
        <v>34.817540316164418</v>
      </c>
      <c r="K92">
        <f t="shared" si="4"/>
        <v>29.915478757206614</v>
      </c>
      <c r="L92">
        <f t="shared" si="5"/>
        <v>27.355190280801711</v>
      </c>
      <c r="M92">
        <f t="shared" si="6"/>
        <v>32.81875591442342</v>
      </c>
      <c r="O92">
        <f t="shared" si="7"/>
        <v>47.563650708490577</v>
      </c>
    </row>
    <row r="93" spans="1:15" x14ac:dyDescent="0.45">
      <c r="A93">
        <v>145</v>
      </c>
      <c r="B93">
        <v>0</v>
      </c>
      <c r="C93">
        <v>0</v>
      </c>
      <c r="D93">
        <v>17.837929298620264</v>
      </c>
      <c r="E93">
        <v>66.666666666666657</v>
      </c>
      <c r="F93">
        <v>100</v>
      </c>
      <c r="G93">
        <v>100</v>
      </c>
      <c r="H93">
        <v>100</v>
      </c>
      <c r="I93">
        <v>66.666666666666657</v>
      </c>
      <c r="J93">
        <v>37.806257771604614</v>
      </c>
      <c r="K93">
        <f t="shared" si="4"/>
        <v>57.074817579247565</v>
      </c>
      <c r="L93">
        <f t="shared" si="5"/>
        <v>56.406596983319226</v>
      </c>
      <c r="M93">
        <f t="shared" si="6"/>
        <v>52.908957403551298</v>
      </c>
      <c r="O93">
        <f t="shared" si="7"/>
        <v>74.722989530531521</v>
      </c>
    </row>
    <row r="94" spans="1:15" x14ac:dyDescent="0.45">
      <c r="A94">
        <v>146</v>
      </c>
      <c r="B94">
        <v>0</v>
      </c>
      <c r="C94">
        <v>0</v>
      </c>
      <c r="D94">
        <v>18.012798857538261</v>
      </c>
      <c r="E94">
        <v>66.666666666666657</v>
      </c>
      <c r="F94">
        <v>100</v>
      </c>
      <c r="G94">
        <v>100</v>
      </c>
      <c r="H94">
        <v>50</v>
      </c>
      <c r="I94">
        <v>33.333333333333329</v>
      </c>
      <c r="J94">
        <v>59.418937078671604</v>
      </c>
      <c r="K94">
        <f t="shared" si="4"/>
        <v>53.066187910443453</v>
      </c>
      <c r="L94">
        <f t="shared" si="5"/>
        <v>54.440886336649811</v>
      </c>
      <c r="M94">
        <f t="shared" si="6"/>
        <v>48.511292912886717</v>
      </c>
      <c r="O94">
        <f t="shared" si="7"/>
        <v>70.714359861727417</v>
      </c>
    </row>
    <row r="95" spans="1:15" x14ac:dyDescent="0.45">
      <c r="A95">
        <v>147</v>
      </c>
      <c r="B95">
        <v>0</v>
      </c>
      <c r="C95">
        <v>0</v>
      </c>
      <c r="D95">
        <v>19.929981302152235</v>
      </c>
      <c r="E95">
        <v>100</v>
      </c>
      <c r="F95">
        <v>100</v>
      </c>
      <c r="G95">
        <v>100</v>
      </c>
      <c r="H95">
        <v>33.333333333333329</v>
      </c>
      <c r="I95">
        <v>33.333333333333329</v>
      </c>
      <c r="J95">
        <v>23.627176523919051</v>
      </c>
      <c r="K95">
        <f t="shared" si="4"/>
        <v>45.347980271417789</v>
      </c>
      <c r="L95">
        <f t="shared" si="5"/>
        <v>46.184986198394448</v>
      </c>
      <c r="M95">
        <f t="shared" si="6"/>
        <v>40.044038396994964</v>
      </c>
      <c r="O95">
        <f t="shared" si="7"/>
        <v>62.996152222701753</v>
      </c>
    </row>
    <row r="96" spans="1:15" x14ac:dyDescent="0.45">
      <c r="A96">
        <v>148</v>
      </c>
      <c r="B96">
        <v>0</v>
      </c>
      <c r="C96">
        <v>0</v>
      </c>
      <c r="D96">
        <v>20.211366496480668</v>
      </c>
      <c r="E96">
        <v>33.333333333333329</v>
      </c>
      <c r="F96">
        <v>0</v>
      </c>
      <c r="G96">
        <v>100</v>
      </c>
      <c r="H96">
        <v>33.333333333333329</v>
      </c>
      <c r="I96">
        <v>33.333333333333329</v>
      </c>
      <c r="J96">
        <v>22.636490467720428</v>
      </c>
      <c r="K96">
        <f t="shared" si="4"/>
        <v>27.899115856551106</v>
      </c>
      <c r="L96">
        <f t="shared" si="5"/>
        <v>27.520538586658219</v>
      </c>
      <c r="M96">
        <f t="shared" si="6"/>
        <v>30.606706346085137</v>
      </c>
      <c r="O96">
        <f t="shared" si="7"/>
        <v>45.547287807835069</v>
      </c>
    </row>
    <row r="97" spans="1:15" x14ac:dyDescent="0.45">
      <c r="A97">
        <v>149</v>
      </c>
      <c r="B97">
        <v>0</v>
      </c>
      <c r="C97">
        <v>0</v>
      </c>
      <c r="D97">
        <v>19.942400902715576</v>
      </c>
      <c r="E97">
        <v>33.333333333333329</v>
      </c>
      <c r="F97">
        <v>0</v>
      </c>
      <c r="G97">
        <v>100</v>
      </c>
      <c r="H97">
        <v>33.333333333333329</v>
      </c>
      <c r="I97">
        <v>0</v>
      </c>
      <c r="J97">
        <v>22.636490467720428</v>
      </c>
      <c r="K97">
        <f t="shared" si="4"/>
        <v>25.775641009743218</v>
      </c>
      <c r="L97">
        <f t="shared" si="5"/>
        <v>27.571312943172288</v>
      </c>
      <c r="M97">
        <f t="shared" si="6"/>
        <v>28.277149689031219</v>
      </c>
      <c r="O97">
        <f t="shared" si="7"/>
        <v>43.423812961027181</v>
      </c>
    </row>
    <row r="98" spans="1:15" x14ac:dyDescent="0.45">
      <c r="A98">
        <v>150</v>
      </c>
      <c r="B98">
        <v>0</v>
      </c>
      <c r="C98">
        <v>0</v>
      </c>
      <c r="D98">
        <v>20.462553335819724</v>
      </c>
      <c r="E98">
        <v>33.333333333333329</v>
      </c>
      <c r="F98">
        <v>100</v>
      </c>
      <c r="G98">
        <v>75</v>
      </c>
      <c r="H98">
        <v>50</v>
      </c>
      <c r="I98">
        <v>33.333333333333329</v>
      </c>
      <c r="J98">
        <v>22.636490467720428</v>
      </c>
      <c r="K98">
        <f t="shared" si="4"/>
        <v>35.503393910746979</v>
      </c>
      <c r="L98">
        <f t="shared" si="5"/>
        <v>35.654572182947064</v>
      </c>
      <c r="M98">
        <f t="shared" si="6"/>
        <v>29.244041530105914</v>
      </c>
      <c r="O98">
        <f t="shared" si="7"/>
        <v>53.151565862030949</v>
      </c>
    </row>
    <row r="99" spans="1:15" x14ac:dyDescent="0.45">
      <c r="A99">
        <v>151</v>
      </c>
      <c r="B99">
        <v>0</v>
      </c>
      <c r="C99">
        <v>0</v>
      </c>
      <c r="D99">
        <v>20.462553335819724</v>
      </c>
      <c r="E99">
        <v>0</v>
      </c>
      <c r="F99">
        <v>100</v>
      </c>
      <c r="G99">
        <v>75</v>
      </c>
      <c r="H99">
        <v>33.333333333333329</v>
      </c>
      <c r="I99">
        <v>0</v>
      </c>
      <c r="J99">
        <v>28.595395198875444</v>
      </c>
      <c r="K99">
        <f t="shared" si="4"/>
        <v>28.263153152430821</v>
      </c>
      <c r="L99">
        <f t="shared" si="5"/>
        <v>30.232118767945224</v>
      </c>
      <c r="M99">
        <f t="shared" si="6"/>
        <v>21.301140260254215</v>
      </c>
      <c r="O99">
        <f t="shared" si="7"/>
        <v>45.911325103714788</v>
      </c>
    </row>
    <row r="100" spans="1:15" x14ac:dyDescent="0.45">
      <c r="A100">
        <v>152</v>
      </c>
      <c r="B100">
        <v>0</v>
      </c>
      <c r="C100">
        <v>0</v>
      </c>
      <c r="D100">
        <v>14.856394464613304</v>
      </c>
      <c r="E100">
        <v>66.666666666666657</v>
      </c>
      <c r="F100">
        <v>0</v>
      </c>
      <c r="G100">
        <v>75</v>
      </c>
      <c r="H100">
        <v>33.333333333333329</v>
      </c>
      <c r="I100">
        <v>66.666666666666657</v>
      </c>
      <c r="J100">
        <v>50.921008673753434</v>
      </c>
      <c r="K100">
        <f t="shared" si="4"/>
        <v>38.723434500901206</v>
      </c>
      <c r="L100">
        <f t="shared" si="5"/>
        <v>36.776756328653597</v>
      </c>
      <c r="M100">
        <f t="shared" si="6"/>
        <v>42.481517857944738</v>
      </c>
      <c r="O100">
        <f t="shared" si="7"/>
        <v>56.371606452185176</v>
      </c>
    </row>
    <row r="101" spans="1:15" x14ac:dyDescent="0.45">
      <c r="A101">
        <v>153</v>
      </c>
      <c r="B101">
        <v>1</v>
      </c>
      <c r="C101">
        <v>0</v>
      </c>
      <c r="D101">
        <v>15.320970316527601</v>
      </c>
      <c r="E101">
        <v>33.333333333333329</v>
      </c>
      <c r="F101">
        <v>100</v>
      </c>
      <c r="G101">
        <v>100</v>
      </c>
      <c r="H101">
        <v>66.666666666666657</v>
      </c>
      <c r="I101">
        <v>66.666666666666657</v>
      </c>
      <c r="J101">
        <v>49.956216809414151</v>
      </c>
      <c r="K101">
        <f t="shared" si="4"/>
        <v>51.589927835088019</v>
      </c>
      <c r="L101">
        <f t="shared" si="5"/>
        <v>50.53959986236088</v>
      </c>
      <c r="M101">
        <f t="shared" si="6"/>
        <v>46.8917627869439</v>
      </c>
      <c r="O101">
        <f t="shared" si="7"/>
        <v>69.238099786371976</v>
      </c>
    </row>
    <row r="102" spans="1:15" x14ac:dyDescent="0.45">
      <c r="A102">
        <v>154</v>
      </c>
      <c r="B102">
        <v>1</v>
      </c>
      <c r="C102">
        <v>0</v>
      </c>
      <c r="D102">
        <v>23.604199029690538</v>
      </c>
      <c r="E102">
        <v>66.666666666666657</v>
      </c>
      <c r="F102">
        <v>0</v>
      </c>
      <c r="G102">
        <v>75</v>
      </c>
      <c r="H102">
        <v>33.333333333333329</v>
      </c>
      <c r="I102">
        <v>0</v>
      </c>
      <c r="J102">
        <v>4.8519258227276598</v>
      </c>
      <c r="K102">
        <f t="shared" si="4"/>
        <v>21.128557638840562</v>
      </c>
      <c r="L102">
        <f t="shared" si="5"/>
        <v>22.600488363339828</v>
      </c>
      <c r="M102">
        <f t="shared" si="6"/>
        <v>23.17906999251657</v>
      </c>
      <c r="O102">
        <f t="shared" si="7"/>
        <v>38.776729590124525</v>
      </c>
    </row>
    <row r="103" spans="1:15" x14ac:dyDescent="0.45">
      <c r="A103">
        <v>155</v>
      </c>
      <c r="B103">
        <v>1</v>
      </c>
      <c r="C103">
        <v>0</v>
      </c>
      <c r="D103">
        <v>22.112831041366025</v>
      </c>
      <c r="E103">
        <v>0</v>
      </c>
      <c r="F103">
        <v>100</v>
      </c>
      <c r="G103">
        <v>75</v>
      </c>
      <c r="H103">
        <v>33.333333333333329</v>
      </c>
      <c r="I103">
        <v>0</v>
      </c>
      <c r="J103">
        <v>6.0726122253577568</v>
      </c>
      <c r="K103">
        <f t="shared" si="4"/>
        <v>22.247398293284089</v>
      </c>
      <c r="L103">
        <f t="shared" si="5"/>
        <v>23.797273568625148</v>
      </c>
      <c r="M103">
        <f t="shared" si="6"/>
        <v>14.701560425156885</v>
      </c>
      <c r="O103">
        <f t="shared" si="7"/>
        <v>39.895570244568049</v>
      </c>
    </row>
    <row r="104" spans="1:15" x14ac:dyDescent="0.45">
      <c r="A104">
        <v>156</v>
      </c>
      <c r="B104">
        <v>0</v>
      </c>
      <c r="C104">
        <v>0</v>
      </c>
      <c r="D104">
        <v>19.286673786063293</v>
      </c>
      <c r="E104">
        <v>100</v>
      </c>
      <c r="F104">
        <v>100</v>
      </c>
      <c r="G104">
        <v>75</v>
      </c>
      <c r="H104">
        <v>16.666666666666664</v>
      </c>
      <c r="I104">
        <v>0</v>
      </c>
      <c r="J104">
        <v>19.163220739357545</v>
      </c>
      <c r="K104">
        <f t="shared" si="4"/>
        <v>36.091518693607185</v>
      </c>
      <c r="L104">
        <f t="shared" si="5"/>
        <v>38.605851009472509</v>
      </c>
      <c r="M104">
        <f t="shared" si="6"/>
        <v>29.889243428847468</v>
      </c>
      <c r="O104">
        <f t="shared" si="7"/>
        <v>53.739690644891148</v>
      </c>
    </row>
    <row r="105" spans="1:15" x14ac:dyDescent="0.45">
      <c r="A105">
        <v>157</v>
      </c>
      <c r="B105">
        <v>0</v>
      </c>
      <c r="C105">
        <v>0</v>
      </c>
      <c r="D105">
        <v>17.475120874042315</v>
      </c>
      <c r="E105">
        <v>66.666666666666657</v>
      </c>
      <c r="F105">
        <v>100</v>
      </c>
      <c r="G105">
        <v>75</v>
      </c>
      <c r="H105">
        <v>50</v>
      </c>
      <c r="I105">
        <v>66.666666666666657</v>
      </c>
      <c r="J105">
        <v>33.675570505859348</v>
      </c>
      <c r="K105">
        <f t="shared" si="4"/>
        <v>45.157820555466557</v>
      </c>
      <c r="L105">
        <f t="shared" si="5"/>
        <v>43.659396858933555</v>
      </c>
      <c r="M105">
        <f t="shared" si="6"/>
        <v>39.835423808099023</v>
      </c>
      <c r="O105">
        <f t="shared" si="7"/>
        <v>62.80599250675052</v>
      </c>
    </row>
    <row r="106" spans="1:15" x14ac:dyDescent="0.45">
      <c r="A106">
        <v>164</v>
      </c>
      <c r="B106">
        <v>0</v>
      </c>
      <c r="C106">
        <v>0</v>
      </c>
      <c r="D106">
        <v>12.715984272616726</v>
      </c>
      <c r="E106">
        <v>100</v>
      </c>
      <c r="F106">
        <v>100</v>
      </c>
      <c r="G106">
        <v>75</v>
      </c>
      <c r="H106">
        <v>16.666666666666664</v>
      </c>
      <c r="I106">
        <v>66.666666666666657</v>
      </c>
      <c r="J106">
        <v>15.578894387814078</v>
      </c>
      <c r="K106">
        <f t="shared" si="4"/>
        <v>40.681998431107367</v>
      </c>
      <c r="L106">
        <f t="shared" si="5"/>
        <v>38.871764519468762</v>
      </c>
      <c r="M106">
        <f t="shared" si="6"/>
        <v>34.925226147286573</v>
      </c>
      <c r="O106">
        <f t="shared" si="7"/>
        <v>58.33017038239133</v>
      </c>
    </row>
    <row r="107" spans="1:15" x14ac:dyDescent="0.45">
      <c r="A107">
        <v>165</v>
      </c>
      <c r="B107">
        <v>0</v>
      </c>
      <c r="C107">
        <v>0</v>
      </c>
      <c r="D107">
        <v>8.3610217478624911</v>
      </c>
      <c r="E107">
        <v>66.666666666666657</v>
      </c>
      <c r="F107">
        <v>100</v>
      </c>
      <c r="G107">
        <v>100</v>
      </c>
      <c r="H107">
        <v>66.666666666666657</v>
      </c>
      <c r="I107">
        <v>100</v>
      </c>
      <c r="J107">
        <v>65.818323355559528</v>
      </c>
      <c r="K107">
        <f t="shared" si="4"/>
        <v>63.171277172445414</v>
      </c>
      <c r="L107">
        <f t="shared" si="5"/>
        <v>60.605587190167952</v>
      </c>
      <c r="M107">
        <f t="shared" si="6"/>
        <v>59.597074313032699</v>
      </c>
      <c r="O107">
        <f t="shared" si="7"/>
        <v>80.819449123729385</v>
      </c>
    </row>
    <row r="108" spans="1:15" x14ac:dyDescent="0.45">
      <c r="A108">
        <v>166</v>
      </c>
      <c r="B108">
        <v>0</v>
      </c>
      <c r="C108">
        <v>0</v>
      </c>
      <c r="D108">
        <v>9.659359406269898</v>
      </c>
      <c r="E108">
        <v>66.666666666666657</v>
      </c>
      <c r="F108">
        <v>100</v>
      </c>
      <c r="G108">
        <v>100</v>
      </c>
      <c r="H108">
        <v>83.333333333333343</v>
      </c>
      <c r="I108">
        <v>100</v>
      </c>
      <c r="J108">
        <v>57.465261200047948</v>
      </c>
      <c r="K108">
        <f t="shared" si="4"/>
        <v>63.252425421127832</v>
      </c>
      <c r="L108">
        <f t="shared" si="5"/>
        <v>60.692388669066872</v>
      </c>
      <c r="M108">
        <f t="shared" si="6"/>
        <v>59.686097944845699</v>
      </c>
      <c r="O108">
        <f t="shared" si="7"/>
        <v>80.900597372411795</v>
      </c>
    </row>
    <row r="109" spans="1:15" x14ac:dyDescent="0.45">
      <c r="A109">
        <v>167</v>
      </c>
      <c r="B109">
        <v>0</v>
      </c>
      <c r="C109">
        <v>0</v>
      </c>
      <c r="D109">
        <v>9.9530468251713309</v>
      </c>
      <c r="E109">
        <v>66.666666666666657</v>
      </c>
      <c r="F109">
        <v>100</v>
      </c>
      <c r="G109">
        <v>100</v>
      </c>
      <c r="H109">
        <v>83.333333333333343</v>
      </c>
      <c r="I109">
        <v>100</v>
      </c>
      <c r="J109">
        <v>57.465261200047948</v>
      </c>
      <c r="K109">
        <f t="shared" si="4"/>
        <v>63.200594960440817</v>
      </c>
      <c r="L109">
        <f t="shared" si="5"/>
        <v>60.636947415402204</v>
      </c>
      <c r="M109">
        <f t="shared" si="6"/>
        <v>59.629237372697595</v>
      </c>
      <c r="O109">
        <f t="shared" si="7"/>
        <v>80.84876691172478</v>
      </c>
    </row>
    <row r="110" spans="1:15" x14ac:dyDescent="0.45">
      <c r="A110">
        <v>168</v>
      </c>
      <c r="B110">
        <v>0</v>
      </c>
      <c r="C110">
        <v>0</v>
      </c>
      <c r="D110">
        <v>10.428673210538591</v>
      </c>
      <c r="E110">
        <v>100</v>
      </c>
      <c r="F110">
        <v>100</v>
      </c>
      <c r="G110">
        <v>75</v>
      </c>
      <c r="H110">
        <v>33.333333333333329</v>
      </c>
      <c r="I110">
        <v>33.333333333333329</v>
      </c>
      <c r="J110">
        <v>52.188419471825952</v>
      </c>
      <c r="K110">
        <f t="shared" si="4"/>
        <v>50.652937486043896</v>
      </c>
      <c r="L110">
        <f t="shared" si="5"/>
        <v>51.85951570706149</v>
      </c>
      <c r="M110">
        <f t="shared" si="6"/>
        <v>45.863838152709477</v>
      </c>
      <c r="O110">
        <f t="shared" si="7"/>
        <v>68.301109437327852</v>
      </c>
    </row>
    <row r="111" spans="1:15" x14ac:dyDescent="0.45">
      <c r="A111">
        <v>170</v>
      </c>
      <c r="B111">
        <v>1</v>
      </c>
      <c r="C111">
        <v>0</v>
      </c>
      <c r="D111">
        <v>8.3320400014424827</v>
      </c>
      <c r="E111">
        <v>100</v>
      </c>
      <c r="F111">
        <v>100</v>
      </c>
      <c r="G111">
        <v>75</v>
      </c>
      <c r="H111">
        <v>83.333333333333343</v>
      </c>
      <c r="I111">
        <v>100</v>
      </c>
      <c r="J111">
        <v>40.812286506921701</v>
      </c>
      <c r="K111">
        <f t="shared" si="4"/>
        <v>59.773441046988637</v>
      </c>
      <c r="L111">
        <f t="shared" si="5"/>
        <v>56.971039242003535</v>
      </c>
      <c r="M111">
        <f t="shared" si="6"/>
        <v>55.869480469604312</v>
      </c>
      <c r="O111">
        <f t="shared" si="7"/>
        <v>77.421612998272593</v>
      </c>
    </row>
    <row r="112" spans="1:15" x14ac:dyDescent="0.45">
      <c r="A112">
        <v>171</v>
      </c>
      <c r="B112">
        <v>0</v>
      </c>
      <c r="C112">
        <v>0</v>
      </c>
      <c r="D112">
        <v>12.432907272697271</v>
      </c>
      <c r="E112">
        <v>66.666666666666657</v>
      </c>
      <c r="F112">
        <v>100</v>
      </c>
      <c r="G112">
        <v>100</v>
      </c>
      <c r="H112">
        <v>83.333333333333343</v>
      </c>
      <c r="I112">
        <v>0</v>
      </c>
      <c r="J112">
        <v>25.437296109802045</v>
      </c>
      <c r="K112">
        <f t="shared" si="4"/>
        <v>48.109718903439145</v>
      </c>
      <c r="L112">
        <f t="shared" si="5"/>
        <v>51.461304686598218</v>
      </c>
      <c r="M112">
        <f t="shared" si="6"/>
        <v>43.073801911707491</v>
      </c>
      <c r="O112">
        <f t="shared" si="7"/>
        <v>65.757890854723115</v>
      </c>
    </row>
    <row r="113" spans="1:15" x14ac:dyDescent="0.45">
      <c r="A113">
        <v>172</v>
      </c>
      <c r="B113">
        <v>1</v>
      </c>
      <c r="C113">
        <v>0</v>
      </c>
      <c r="D113">
        <v>14.68476427456914</v>
      </c>
      <c r="E113">
        <v>0</v>
      </c>
      <c r="F113">
        <v>100</v>
      </c>
      <c r="G113">
        <v>100</v>
      </c>
      <c r="H113">
        <v>66.666666666666657</v>
      </c>
      <c r="I113">
        <v>33.333333333333329</v>
      </c>
      <c r="J113">
        <v>25.371441378522945</v>
      </c>
      <c r="K113">
        <f t="shared" si="4"/>
        <v>39.132160737180108</v>
      </c>
      <c r="L113">
        <f t="shared" si="5"/>
        <v>39.536138726008829</v>
      </c>
      <c r="M113">
        <f t="shared" si="6"/>
        <v>33.224977744218037</v>
      </c>
      <c r="O113">
        <f t="shared" si="7"/>
        <v>56.780332688464071</v>
      </c>
    </row>
    <row r="114" spans="1:15" x14ac:dyDescent="0.45">
      <c r="A114">
        <v>173</v>
      </c>
      <c r="B114">
        <v>0</v>
      </c>
      <c r="C114">
        <v>0</v>
      </c>
      <c r="D114">
        <v>15.091523380565</v>
      </c>
      <c r="E114">
        <v>0</v>
      </c>
      <c r="F114">
        <v>100</v>
      </c>
      <c r="G114">
        <v>100</v>
      </c>
      <c r="H114">
        <v>66.666666666666657</v>
      </c>
      <c r="I114">
        <v>33.333333333333329</v>
      </c>
      <c r="J114">
        <v>25.371441378522945</v>
      </c>
      <c r="K114">
        <f t="shared" si="4"/>
        <v>39.060375190726454</v>
      </c>
      <c r="L114">
        <f t="shared" si="5"/>
        <v>39.459352206312879</v>
      </c>
      <c r="M114">
        <f t="shared" si="6"/>
        <v>33.146225458608086</v>
      </c>
      <c r="O114">
        <f t="shared" si="7"/>
        <v>56.70854714201041</v>
      </c>
    </row>
    <row r="115" spans="1:15" x14ac:dyDescent="0.45">
      <c r="A115">
        <v>174</v>
      </c>
      <c r="B115">
        <v>0</v>
      </c>
      <c r="C115">
        <v>1</v>
      </c>
      <c r="D115">
        <v>14.958686424036911</v>
      </c>
      <c r="E115">
        <v>0</v>
      </c>
      <c r="F115">
        <v>100</v>
      </c>
      <c r="G115">
        <v>100</v>
      </c>
      <c r="H115">
        <v>66.666666666666657</v>
      </c>
      <c r="I115">
        <v>0</v>
      </c>
      <c r="J115">
        <v>25.371441378522945</v>
      </c>
      <c r="K115">
        <f t="shared" si="4"/>
        <v>36.912876127944038</v>
      </c>
      <c r="L115">
        <f t="shared" si="5"/>
        <v>39.484428688752828</v>
      </c>
      <c r="M115">
        <f t="shared" si="6"/>
        <v>30.790313051525821</v>
      </c>
      <c r="O115">
        <f t="shared" si="7"/>
        <v>54.561048079228001</v>
      </c>
    </row>
    <row r="116" spans="1:15" x14ac:dyDescent="0.45">
      <c r="A116">
        <v>175</v>
      </c>
      <c r="B116">
        <v>0</v>
      </c>
      <c r="C116">
        <v>0</v>
      </c>
      <c r="D116">
        <v>15.091523380565</v>
      </c>
      <c r="E116">
        <v>100</v>
      </c>
      <c r="F116">
        <v>100</v>
      </c>
      <c r="G116">
        <v>100</v>
      </c>
      <c r="H116">
        <v>33.333333333333329</v>
      </c>
      <c r="I116">
        <v>33.333333333333329</v>
      </c>
      <c r="J116">
        <v>15.736462706667615</v>
      </c>
      <c r="K116">
        <f t="shared" si="4"/>
        <v>44.196333608004323</v>
      </c>
      <c r="L116">
        <f t="shared" si="5"/>
        <v>44.953109538375386</v>
      </c>
      <c r="M116">
        <f t="shared" si="6"/>
        <v>38.780625196993213</v>
      </c>
      <c r="O116">
        <f t="shared" si="7"/>
        <v>61.844505559288287</v>
      </c>
    </row>
    <row r="117" spans="1:15" x14ac:dyDescent="0.45">
      <c r="A117">
        <v>176</v>
      </c>
      <c r="B117">
        <v>0</v>
      </c>
      <c r="C117">
        <v>0</v>
      </c>
      <c r="D117">
        <v>15.821848483982116</v>
      </c>
      <c r="E117">
        <v>100</v>
      </c>
      <c r="F117">
        <v>100</v>
      </c>
      <c r="G117">
        <v>100</v>
      </c>
      <c r="H117">
        <v>100</v>
      </c>
      <c r="I117">
        <v>100</v>
      </c>
      <c r="J117">
        <v>28.950541774731509</v>
      </c>
      <c r="K117">
        <f t="shared" si="4"/>
        <v>61.501250622416144</v>
      </c>
      <c r="L117">
        <f t="shared" si="5"/>
        <v>58.819217469358357</v>
      </c>
      <c r="M117">
        <f t="shared" si="6"/>
        <v>57.764972805955395</v>
      </c>
      <c r="O117">
        <f t="shared" si="7"/>
        <v>79.149422573700107</v>
      </c>
    </row>
    <row r="118" spans="1:15" x14ac:dyDescent="0.45">
      <c r="A118">
        <v>177</v>
      </c>
      <c r="B118">
        <v>1</v>
      </c>
      <c r="C118">
        <v>0</v>
      </c>
      <c r="D118">
        <v>11.37934620478884</v>
      </c>
      <c r="E118">
        <v>66.666666666666657</v>
      </c>
      <c r="F118">
        <v>100</v>
      </c>
      <c r="G118">
        <v>75</v>
      </c>
      <c r="H118">
        <v>66.666666666666657</v>
      </c>
      <c r="I118">
        <v>33.333333333333329</v>
      </c>
      <c r="J118">
        <v>66.007534806343998</v>
      </c>
      <c r="K118">
        <f t="shared" si="4"/>
        <v>54.71367608384115</v>
      </c>
      <c r="L118">
        <f t="shared" si="5"/>
        <v>56.203147534412196</v>
      </c>
      <c r="M118">
        <f t="shared" si="6"/>
        <v>50.318668708990714</v>
      </c>
      <c r="O118">
        <f t="shared" si="7"/>
        <v>72.361848035125121</v>
      </c>
    </row>
    <row r="119" spans="1:15" x14ac:dyDescent="0.45">
      <c r="A119">
        <v>178</v>
      </c>
      <c r="B119">
        <v>0</v>
      </c>
      <c r="C119">
        <v>0</v>
      </c>
      <c r="D119">
        <v>15.061587591213296</v>
      </c>
      <c r="E119">
        <v>100</v>
      </c>
      <c r="F119">
        <v>100</v>
      </c>
      <c r="G119">
        <v>100</v>
      </c>
      <c r="H119">
        <v>66.666666666666657</v>
      </c>
      <c r="I119">
        <v>66.666666666666657</v>
      </c>
      <c r="J119">
        <v>43.684774071738495</v>
      </c>
      <c r="K119">
        <f t="shared" si="4"/>
        <v>58.342731569043806</v>
      </c>
      <c r="L119">
        <f t="shared" si="5"/>
        <v>57.762840786702569</v>
      </c>
      <c r="M119">
        <f t="shared" si="6"/>
        <v>54.299921596012403</v>
      </c>
      <c r="O119">
        <f t="shared" si="7"/>
        <v>75.990903520327777</v>
      </c>
    </row>
    <row r="120" spans="1:15" x14ac:dyDescent="0.45">
      <c r="A120">
        <v>179</v>
      </c>
      <c r="B120">
        <v>0</v>
      </c>
      <c r="C120">
        <v>1</v>
      </c>
      <c r="D120">
        <v>13.923273270813421</v>
      </c>
      <c r="E120">
        <v>33.333333333333329</v>
      </c>
      <c r="F120">
        <v>0</v>
      </c>
      <c r="G120">
        <v>100</v>
      </c>
      <c r="H120">
        <v>33.333333333333329</v>
      </c>
      <c r="I120">
        <v>0</v>
      </c>
      <c r="J120">
        <v>51.60345724847474</v>
      </c>
      <c r="K120">
        <f t="shared" si="4"/>
        <v>34.200306247460937</v>
      </c>
      <c r="L120">
        <f t="shared" si="5"/>
        <v>36.582886374955358</v>
      </c>
      <c r="M120">
        <f t="shared" si="6"/>
        <v>37.519423039939241</v>
      </c>
      <c r="O120">
        <f t="shared" si="7"/>
        <v>51.8484781987449</v>
      </c>
    </row>
    <row r="121" spans="1:15" x14ac:dyDescent="0.45">
      <c r="A121">
        <v>180</v>
      </c>
      <c r="B121">
        <v>0</v>
      </c>
      <c r="C121">
        <v>0</v>
      </c>
      <c r="D121">
        <v>13.895179567499538</v>
      </c>
      <c r="E121">
        <v>100</v>
      </c>
      <c r="F121">
        <v>100</v>
      </c>
      <c r="G121">
        <v>100</v>
      </c>
      <c r="H121">
        <v>50</v>
      </c>
      <c r="I121">
        <v>66.666666666666657</v>
      </c>
      <c r="J121">
        <v>51.968593399810757</v>
      </c>
      <c r="K121">
        <f t="shared" si="4"/>
        <v>58.220701024121574</v>
      </c>
      <c r="L121">
        <f t="shared" si="5"/>
        <v>57.632308927517975</v>
      </c>
      <c r="M121">
        <f t="shared" si="6"/>
        <v>54.166048068518144</v>
      </c>
      <c r="O121">
        <f t="shared" si="7"/>
        <v>75.868872975405537</v>
      </c>
    </row>
    <row r="122" spans="1:15" x14ac:dyDescent="0.45">
      <c r="A122">
        <v>181</v>
      </c>
      <c r="B122">
        <v>0</v>
      </c>
      <c r="C122">
        <v>0</v>
      </c>
      <c r="D122">
        <v>12.450826568440437</v>
      </c>
      <c r="E122">
        <v>0</v>
      </c>
      <c r="F122">
        <v>100</v>
      </c>
      <c r="G122">
        <v>100</v>
      </c>
      <c r="H122">
        <v>66.666666666666657</v>
      </c>
      <c r="I122">
        <v>100</v>
      </c>
      <c r="J122">
        <v>53.616920925565196</v>
      </c>
      <c r="K122">
        <f t="shared" si="4"/>
        <v>51.047316807582639</v>
      </c>
      <c r="L122">
        <f t="shared" si="5"/>
        <v>47.637005527974061</v>
      </c>
      <c r="M122">
        <f t="shared" si="6"/>
        <v>46.296491723000671</v>
      </c>
      <c r="O122">
        <f t="shared" si="7"/>
        <v>68.695488758866603</v>
      </c>
    </row>
    <row r="123" spans="1:15" x14ac:dyDescent="0.45">
      <c r="A123">
        <v>182</v>
      </c>
      <c r="B123">
        <v>0</v>
      </c>
      <c r="C123">
        <v>0</v>
      </c>
      <c r="D123">
        <v>11.307333626756135</v>
      </c>
      <c r="E123">
        <v>66.666666666666657</v>
      </c>
      <c r="F123">
        <v>100</v>
      </c>
      <c r="G123">
        <v>100</v>
      </c>
      <c r="H123">
        <v>50</v>
      </c>
      <c r="I123">
        <v>0</v>
      </c>
      <c r="J123">
        <v>50.223600892601574</v>
      </c>
      <c r="K123">
        <f t="shared" si="4"/>
        <v>49.741501749340898</v>
      </c>
      <c r="L123">
        <f t="shared" si="5"/>
        <v>53.206766437972377</v>
      </c>
      <c r="M123">
        <f t="shared" si="6"/>
        <v>44.863948188811349</v>
      </c>
      <c r="O123">
        <f t="shared" si="7"/>
        <v>67.389673700624854</v>
      </c>
    </row>
    <row r="124" spans="1:15" x14ac:dyDescent="0.45">
      <c r="A124">
        <v>183</v>
      </c>
      <c r="B124">
        <v>0</v>
      </c>
      <c r="C124">
        <v>0</v>
      </c>
      <c r="D124">
        <v>11.64480939958279</v>
      </c>
      <c r="E124">
        <v>100</v>
      </c>
      <c r="F124">
        <v>100</v>
      </c>
      <c r="G124">
        <v>100</v>
      </c>
      <c r="H124">
        <v>66.666666666666657</v>
      </c>
      <c r="I124">
        <v>66.666666666666657</v>
      </c>
      <c r="J124">
        <v>55.850640797112831</v>
      </c>
      <c r="K124">
        <f t="shared" si="4"/>
        <v>62.037872230866412</v>
      </c>
      <c r="L124">
        <f t="shared" si="5"/>
        <v>61.715405129045848</v>
      </c>
      <c r="M124">
        <f t="shared" si="6"/>
        <v>58.353673181739694</v>
      </c>
      <c r="O124">
        <f t="shared" si="7"/>
        <v>79.686044182150368</v>
      </c>
    </row>
    <row r="125" spans="1:15" x14ac:dyDescent="0.45">
      <c r="A125">
        <v>184</v>
      </c>
      <c r="B125">
        <v>1</v>
      </c>
      <c r="C125">
        <v>0</v>
      </c>
      <c r="D125">
        <v>11.787465495668368</v>
      </c>
      <c r="E125">
        <v>0</v>
      </c>
      <c r="F125">
        <v>100</v>
      </c>
      <c r="G125">
        <v>100</v>
      </c>
      <c r="H125">
        <v>33.333333333333329</v>
      </c>
      <c r="I125">
        <v>66.666666666666657</v>
      </c>
      <c r="J125">
        <v>53.940173784390268</v>
      </c>
      <c r="K125">
        <f t="shared" si="4"/>
        <v>44.208925078089173</v>
      </c>
      <c r="L125">
        <f t="shared" si="5"/>
        <v>42.644396139950729</v>
      </c>
      <c r="M125">
        <f t="shared" si="6"/>
        <v>38.794438660808126</v>
      </c>
      <c r="O125">
        <f t="shared" si="7"/>
        <v>61.857097029373129</v>
      </c>
    </row>
    <row r="126" spans="1:15" x14ac:dyDescent="0.45">
      <c r="A126">
        <v>185</v>
      </c>
      <c r="B126">
        <v>0</v>
      </c>
      <c r="C126">
        <v>0</v>
      </c>
      <c r="D126">
        <v>12.407587419547179</v>
      </c>
      <c r="E126">
        <v>33.333333333333329</v>
      </c>
      <c r="F126">
        <v>100</v>
      </c>
      <c r="G126">
        <v>100</v>
      </c>
      <c r="H126">
        <v>50</v>
      </c>
      <c r="I126">
        <v>66.666666666666657</v>
      </c>
      <c r="J126">
        <v>53.940173784390268</v>
      </c>
      <c r="K126">
        <f t="shared" si="4"/>
        <v>50.683330400857656</v>
      </c>
      <c r="L126">
        <f t="shared" si="5"/>
        <v>49.569843899232993</v>
      </c>
      <c r="M126">
        <f t="shared" si="6"/>
        <v>45.897180679529654</v>
      </c>
      <c r="O126">
        <f t="shared" si="7"/>
        <v>68.331502352141626</v>
      </c>
    </row>
    <row r="127" spans="1:15" x14ac:dyDescent="0.45">
      <c r="A127">
        <v>186</v>
      </c>
      <c r="B127">
        <v>0</v>
      </c>
      <c r="C127">
        <v>0</v>
      </c>
      <c r="D127">
        <v>7.7328557219250564</v>
      </c>
      <c r="E127">
        <v>0</v>
      </c>
      <c r="F127">
        <v>100</v>
      </c>
      <c r="G127">
        <v>75</v>
      </c>
      <c r="H127">
        <v>33.333333333333329</v>
      </c>
      <c r="I127">
        <v>66.666666666666657</v>
      </c>
      <c r="J127">
        <v>69.95367917704597</v>
      </c>
      <c r="K127">
        <f t="shared" si="4"/>
        <v>45.363439503501937</v>
      </c>
      <c r="L127">
        <f t="shared" si="5"/>
        <v>43.879340345933024</v>
      </c>
      <c r="M127">
        <f t="shared" si="6"/>
        <v>40.060997937188574</v>
      </c>
      <c r="O127">
        <f t="shared" si="7"/>
        <v>63.0116114547859</v>
      </c>
    </row>
    <row r="128" spans="1:15" x14ac:dyDescent="0.45">
      <c r="A128">
        <v>187</v>
      </c>
      <c r="B128">
        <v>1</v>
      </c>
      <c r="C128">
        <v>0</v>
      </c>
      <c r="D128">
        <v>18.870194083563494</v>
      </c>
      <c r="E128">
        <v>100</v>
      </c>
      <c r="F128">
        <v>0</v>
      </c>
      <c r="G128">
        <v>100</v>
      </c>
      <c r="H128">
        <v>50</v>
      </c>
      <c r="I128">
        <v>33.333333333333329</v>
      </c>
      <c r="J128">
        <v>32.127495835121003</v>
      </c>
      <c r="K128">
        <f t="shared" si="4"/>
        <v>41.282443905858983</v>
      </c>
      <c r="L128">
        <f t="shared" si="5"/>
        <v>41.836222364575605</v>
      </c>
      <c r="M128">
        <f t="shared" si="6"/>
        <v>45.288877410022494</v>
      </c>
      <c r="O128">
        <f t="shared" si="7"/>
        <v>58.930615857142939</v>
      </c>
    </row>
    <row r="129" spans="1:15" x14ac:dyDescent="0.45">
      <c r="A129">
        <v>188</v>
      </c>
      <c r="B129">
        <v>0</v>
      </c>
      <c r="C129">
        <v>0</v>
      </c>
      <c r="D129">
        <v>18.239614325737726</v>
      </c>
      <c r="E129">
        <v>0</v>
      </c>
      <c r="F129">
        <v>0</v>
      </c>
      <c r="G129">
        <v>100</v>
      </c>
      <c r="H129">
        <v>33.333333333333329</v>
      </c>
      <c r="I129">
        <v>0</v>
      </c>
      <c r="J129">
        <v>37.941882839416607</v>
      </c>
      <c r="K129">
        <f t="shared" si="4"/>
        <v>25.815746687408449</v>
      </c>
      <c r="L129">
        <f t="shared" si="5"/>
        <v>27.61421260139177</v>
      </c>
      <c r="M129">
        <f t="shared" si="6"/>
        <v>28.321147595825899</v>
      </c>
      <c r="O129">
        <f t="shared" si="7"/>
        <v>43.463918638692412</v>
      </c>
    </row>
    <row r="130" spans="1:15" x14ac:dyDescent="0.45">
      <c r="A130">
        <v>189</v>
      </c>
      <c r="B130">
        <v>0</v>
      </c>
      <c r="C130">
        <v>0</v>
      </c>
      <c r="D130">
        <v>23.526472544642179</v>
      </c>
      <c r="E130">
        <v>66.666666666666657</v>
      </c>
      <c r="F130">
        <v>100</v>
      </c>
      <c r="G130">
        <v>100</v>
      </c>
      <c r="H130">
        <v>66.666666666666657</v>
      </c>
      <c r="I130">
        <v>0</v>
      </c>
      <c r="J130">
        <v>33.201151458635984</v>
      </c>
      <c r="K130">
        <f t="shared" si="4"/>
        <v>45.691870363472653</v>
      </c>
      <c r="L130">
        <f t="shared" si="5"/>
        <v>48.875015611598712</v>
      </c>
      <c r="M130">
        <f t="shared" si="6"/>
        <v>40.421302791930252</v>
      </c>
      <c r="O130">
        <f t="shared" si="7"/>
        <v>63.340042314756616</v>
      </c>
    </row>
    <row r="131" spans="1:15" x14ac:dyDescent="0.45">
      <c r="A131">
        <v>190</v>
      </c>
      <c r="B131">
        <v>0</v>
      </c>
      <c r="C131">
        <v>0</v>
      </c>
      <c r="D131">
        <v>23.86594642427929</v>
      </c>
      <c r="E131">
        <v>0</v>
      </c>
      <c r="F131">
        <v>0</v>
      </c>
      <c r="G131">
        <v>100</v>
      </c>
      <c r="H131">
        <v>16.666666666666664</v>
      </c>
      <c r="I131">
        <v>100</v>
      </c>
      <c r="J131">
        <v>33.201151458635984</v>
      </c>
      <c r="K131">
        <f t="shared" si="4"/>
        <v>27.697359271000266</v>
      </c>
      <c r="L131">
        <f t="shared" si="5"/>
        <v>22.660362417234577</v>
      </c>
      <c r="M131">
        <f t="shared" si="6"/>
        <v>30.38536941916982</v>
      </c>
      <c r="O131">
        <f t="shared" si="7"/>
        <v>45.34553122228423</v>
      </c>
    </row>
    <row r="132" spans="1:15" x14ac:dyDescent="0.45">
      <c r="A132">
        <v>191</v>
      </c>
      <c r="B132">
        <v>1</v>
      </c>
      <c r="C132">
        <v>0</v>
      </c>
      <c r="D132">
        <v>24.132046514291002</v>
      </c>
      <c r="E132">
        <v>33.333333333333329</v>
      </c>
      <c r="F132">
        <v>100</v>
      </c>
      <c r="G132">
        <v>100</v>
      </c>
      <c r="H132">
        <v>50</v>
      </c>
      <c r="I132">
        <v>0</v>
      </c>
      <c r="J132">
        <v>36.886470977568273</v>
      </c>
      <c r="K132">
        <f t="shared" si="4"/>
        <v>39.937832646315726</v>
      </c>
      <c r="L132">
        <f t="shared" si="5"/>
        <v>42.720120199818979</v>
      </c>
      <c r="M132">
        <f t="shared" si="6"/>
        <v>34.108839571990387</v>
      </c>
      <c r="O132">
        <f t="shared" si="7"/>
        <v>57.586004597599697</v>
      </c>
    </row>
    <row r="133" spans="1:15" x14ac:dyDescent="0.45">
      <c r="A133">
        <v>192</v>
      </c>
      <c r="B133">
        <v>0</v>
      </c>
      <c r="C133">
        <v>0</v>
      </c>
      <c r="D133">
        <v>20.571543604765449</v>
      </c>
      <c r="E133">
        <v>66.666666666666657</v>
      </c>
      <c r="F133">
        <v>0</v>
      </c>
      <c r="G133">
        <v>75</v>
      </c>
      <c r="H133">
        <v>16.666666666666664</v>
      </c>
      <c r="I133">
        <v>0</v>
      </c>
      <c r="J133">
        <v>34.733809536918905</v>
      </c>
      <c r="K133">
        <f t="shared" si="4"/>
        <v>26.825365233124344</v>
      </c>
      <c r="L133">
        <f t="shared" si="5"/>
        <v>28.694166689309164</v>
      </c>
      <c r="M133">
        <f t="shared" si="6"/>
        <v>29.428748944527126</v>
      </c>
      <c r="O133">
        <f t="shared" si="7"/>
        <v>44.473537184408308</v>
      </c>
    </row>
    <row r="134" spans="1:15" x14ac:dyDescent="0.45">
      <c r="A134">
        <v>193</v>
      </c>
      <c r="B134">
        <v>0</v>
      </c>
      <c r="C134">
        <v>0</v>
      </c>
      <c r="D134">
        <v>20.571543604765449</v>
      </c>
      <c r="E134">
        <v>66.666666666666657</v>
      </c>
      <c r="F134">
        <v>0</v>
      </c>
      <c r="G134">
        <v>75</v>
      </c>
      <c r="H134">
        <v>16.666666666666664</v>
      </c>
      <c r="I134">
        <v>0</v>
      </c>
      <c r="J134">
        <v>34.733809536918905</v>
      </c>
      <c r="K134">
        <f t="shared" si="4"/>
        <v>26.825365233124344</v>
      </c>
      <c r="L134">
        <f t="shared" si="5"/>
        <v>28.694166689309164</v>
      </c>
      <c r="M134">
        <f t="shared" si="6"/>
        <v>29.428748944527126</v>
      </c>
      <c r="O134">
        <f t="shared" si="7"/>
        <v>44.473537184408308</v>
      </c>
    </row>
    <row r="135" spans="1:15" x14ac:dyDescent="0.45">
      <c r="A135">
        <v>194</v>
      </c>
      <c r="B135">
        <v>0</v>
      </c>
      <c r="C135">
        <v>0</v>
      </c>
      <c r="D135">
        <v>21.006373912434132</v>
      </c>
      <c r="E135">
        <v>66.666666666666657</v>
      </c>
      <c r="F135">
        <v>100</v>
      </c>
      <c r="G135">
        <v>75</v>
      </c>
      <c r="H135">
        <v>50</v>
      </c>
      <c r="I135">
        <v>33.333333333333329</v>
      </c>
      <c r="J135">
        <v>31.656854761211079</v>
      </c>
      <c r="K135">
        <f t="shared" si="4"/>
        <v>41.850588996629426</v>
      </c>
      <c r="L135">
        <f t="shared" si="5"/>
        <v>42.443947545448424</v>
      </c>
      <c r="M135">
        <f t="shared" si="6"/>
        <v>36.207227643736907</v>
      </c>
      <c r="O135">
        <f t="shared" si="7"/>
        <v>59.498760947913389</v>
      </c>
    </row>
    <row r="136" spans="1:15" x14ac:dyDescent="0.45">
      <c r="A136">
        <v>195</v>
      </c>
      <c r="B136">
        <v>0</v>
      </c>
      <c r="C136">
        <v>0</v>
      </c>
      <c r="D136">
        <v>19.747295315666683</v>
      </c>
      <c r="E136">
        <v>33.333333333333329</v>
      </c>
      <c r="F136">
        <v>0</v>
      </c>
      <c r="G136">
        <v>75</v>
      </c>
      <c r="H136">
        <v>66.666666666666657</v>
      </c>
      <c r="I136">
        <v>33.333333333333329</v>
      </c>
      <c r="J136">
        <v>29.195792484672541</v>
      </c>
      <c r="K136">
        <f t="shared" ref="K136:K199" si="8">D136*D$1+E136*E$1+F136*F$1+G136*G$1+H136*H$1+I136*I$1+J136*J$1</f>
        <v>30.883715100345608</v>
      </c>
      <c r="L136">
        <f t="shared" ref="L136:L199" si="9">D136*D$2+E136*E$2+F136*F$2+G136*G$2+H136*H$2+J136*J$2</f>
        <v>30.713061314977882</v>
      </c>
      <c r="M136">
        <f t="shared" ref="M136:M199" si="10">D136*D$3+E136*E$3+G136*G$3+H136*H$3+I136*I$3+J136*J$3</f>
        <v>33.880958945531447</v>
      </c>
      <c r="O136">
        <f t="shared" ref="O136:O199" si="11">(K136-$P$3)/($P$2-$P$3)*100</f>
        <v>48.531887051629568</v>
      </c>
    </row>
    <row r="137" spans="1:15" x14ac:dyDescent="0.45">
      <c r="A137">
        <v>196</v>
      </c>
      <c r="B137">
        <v>0</v>
      </c>
      <c r="C137">
        <v>0</v>
      </c>
      <c r="D137">
        <v>19.747295315666683</v>
      </c>
      <c r="E137">
        <v>66.666666666666657</v>
      </c>
      <c r="F137">
        <v>0</v>
      </c>
      <c r="G137">
        <v>75</v>
      </c>
      <c r="H137">
        <v>33.333333333333329</v>
      </c>
      <c r="I137">
        <v>0</v>
      </c>
      <c r="J137">
        <v>30.758793016210685</v>
      </c>
      <c r="K137">
        <f t="shared" si="8"/>
        <v>28.393858599664771</v>
      </c>
      <c r="L137">
        <f t="shared" si="9"/>
        <v>30.371929870516926</v>
      </c>
      <c r="M137">
        <f t="shared" si="10"/>
        <v>31.149463540728675</v>
      </c>
      <c r="O137">
        <f t="shared" si="11"/>
        <v>46.042030550948738</v>
      </c>
    </row>
    <row r="138" spans="1:15" x14ac:dyDescent="0.45">
      <c r="A138">
        <v>197</v>
      </c>
      <c r="B138">
        <v>0</v>
      </c>
      <c r="C138">
        <v>0</v>
      </c>
      <c r="D138">
        <v>21.406934447362801</v>
      </c>
      <c r="E138">
        <v>0</v>
      </c>
      <c r="F138">
        <v>100</v>
      </c>
      <c r="G138">
        <v>75</v>
      </c>
      <c r="H138">
        <v>83.333333333333343</v>
      </c>
      <c r="I138">
        <v>100</v>
      </c>
      <c r="J138">
        <v>16.01858234948034</v>
      </c>
      <c r="K138">
        <f t="shared" si="8"/>
        <v>38.712744411501752</v>
      </c>
      <c r="L138">
        <f t="shared" si="9"/>
        <v>34.443139450152373</v>
      </c>
      <c r="M138">
        <f t="shared" si="10"/>
        <v>32.764857345320983</v>
      </c>
      <c r="O138">
        <f t="shared" si="11"/>
        <v>56.360916362785716</v>
      </c>
    </row>
    <row r="139" spans="1:15" x14ac:dyDescent="0.45">
      <c r="A139">
        <v>198</v>
      </c>
      <c r="B139">
        <v>0</v>
      </c>
      <c r="C139">
        <v>0</v>
      </c>
      <c r="D139">
        <v>19.747295315666683</v>
      </c>
      <c r="E139">
        <v>66.666666666666657</v>
      </c>
      <c r="F139">
        <v>0</v>
      </c>
      <c r="G139">
        <v>75</v>
      </c>
      <c r="H139">
        <v>66.666666666666657</v>
      </c>
      <c r="I139">
        <v>66.666666666666657</v>
      </c>
      <c r="J139">
        <v>19.337583802896038</v>
      </c>
      <c r="K139">
        <f t="shared" si="8"/>
        <v>34.699547830781214</v>
      </c>
      <c r="L139">
        <f t="shared" si="9"/>
        <v>32.472543735538999</v>
      </c>
      <c r="M139">
        <f t="shared" si="10"/>
        <v>38.067115684215295</v>
      </c>
      <c r="O139">
        <f t="shared" si="11"/>
        <v>52.34771978206517</v>
      </c>
    </row>
    <row r="140" spans="1:15" x14ac:dyDescent="0.45">
      <c r="A140">
        <v>199</v>
      </c>
      <c r="B140">
        <v>0</v>
      </c>
      <c r="C140">
        <v>0</v>
      </c>
      <c r="D140">
        <v>18.873729028308635</v>
      </c>
      <c r="E140">
        <v>33.333333333333329</v>
      </c>
      <c r="F140">
        <v>100</v>
      </c>
      <c r="G140">
        <v>75</v>
      </c>
      <c r="H140">
        <v>33.333333333333329</v>
      </c>
      <c r="I140">
        <v>0</v>
      </c>
      <c r="J140">
        <v>33.032405006637212</v>
      </c>
      <c r="K140">
        <f t="shared" si="8"/>
        <v>33.821791178641668</v>
      </c>
      <c r="L140">
        <f t="shared" si="9"/>
        <v>36.178001879078906</v>
      </c>
      <c r="M140">
        <f t="shared" si="10"/>
        <v>27.399240380243086</v>
      </c>
      <c r="O140">
        <f t="shared" si="11"/>
        <v>51.469963129925631</v>
      </c>
    </row>
    <row r="141" spans="1:15" x14ac:dyDescent="0.45">
      <c r="A141">
        <v>201</v>
      </c>
      <c r="B141">
        <v>0</v>
      </c>
      <c r="C141">
        <v>0</v>
      </c>
      <c r="D141">
        <v>17.920006574288859</v>
      </c>
      <c r="E141">
        <v>66.666666666666657</v>
      </c>
      <c r="F141">
        <v>0</v>
      </c>
      <c r="G141">
        <v>75</v>
      </c>
      <c r="H141">
        <v>33.333333333333329</v>
      </c>
      <c r="I141">
        <v>0</v>
      </c>
      <c r="J141">
        <v>28.532614239402477</v>
      </c>
      <c r="K141">
        <f t="shared" si="8"/>
        <v>28.150524151357242</v>
      </c>
      <c r="L141">
        <f t="shared" si="9"/>
        <v>30.111643415502868</v>
      </c>
      <c r="M141">
        <f t="shared" si="10"/>
        <v>30.88251364735109</v>
      </c>
      <c r="O141">
        <f t="shared" si="11"/>
        <v>45.798696102641202</v>
      </c>
    </row>
    <row r="142" spans="1:15" x14ac:dyDescent="0.45">
      <c r="A142">
        <v>202</v>
      </c>
      <c r="B142">
        <v>0</v>
      </c>
      <c r="C142">
        <v>0</v>
      </c>
      <c r="D142">
        <v>17.920006574288859</v>
      </c>
      <c r="E142">
        <v>66.666666666666657</v>
      </c>
      <c r="F142">
        <v>0</v>
      </c>
      <c r="G142">
        <v>75</v>
      </c>
      <c r="H142">
        <v>33.333333333333329</v>
      </c>
      <c r="I142">
        <v>0</v>
      </c>
      <c r="J142">
        <v>28.532614239402477</v>
      </c>
      <c r="K142">
        <f t="shared" si="8"/>
        <v>28.150524151357242</v>
      </c>
      <c r="L142">
        <f t="shared" si="9"/>
        <v>30.111643415502868</v>
      </c>
      <c r="M142">
        <f t="shared" si="10"/>
        <v>30.88251364735109</v>
      </c>
      <c r="O142">
        <f t="shared" si="11"/>
        <v>45.798696102641202</v>
      </c>
    </row>
    <row r="143" spans="1:15" x14ac:dyDescent="0.45">
      <c r="A143">
        <v>204</v>
      </c>
      <c r="B143">
        <v>0</v>
      </c>
      <c r="C143">
        <v>0</v>
      </c>
      <c r="D143">
        <v>12.083272860114009</v>
      </c>
      <c r="E143">
        <v>0</v>
      </c>
      <c r="F143">
        <v>100</v>
      </c>
      <c r="G143">
        <v>75</v>
      </c>
      <c r="H143">
        <v>33.333333333333329</v>
      </c>
      <c r="I143">
        <v>0</v>
      </c>
      <c r="J143">
        <v>34.470736453956995</v>
      </c>
      <c r="K143">
        <f t="shared" si="8"/>
        <v>31.235251144111896</v>
      </c>
      <c r="L143">
        <f t="shared" si="9"/>
        <v>33.411269338650243</v>
      </c>
      <c r="M143">
        <f t="shared" si="10"/>
        <v>24.561678369450675</v>
      </c>
      <c r="O143">
        <f t="shared" si="11"/>
        <v>48.883423095395855</v>
      </c>
    </row>
    <row r="144" spans="1:15" x14ac:dyDescent="0.45">
      <c r="A144">
        <v>205</v>
      </c>
      <c r="B144">
        <v>0</v>
      </c>
      <c r="C144">
        <v>0</v>
      </c>
      <c r="D144">
        <v>12.507172842516326</v>
      </c>
      <c r="E144">
        <v>33.333333333333329</v>
      </c>
      <c r="F144">
        <v>100</v>
      </c>
      <c r="G144">
        <v>75</v>
      </c>
      <c r="H144">
        <v>33.333333333333329</v>
      </c>
      <c r="I144">
        <v>100</v>
      </c>
      <c r="J144">
        <v>37.885096306605519</v>
      </c>
      <c r="K144">
        <f t="shared" si="8"/>
        <v>42.691585015067758</v>
      </c>
      <c r="L144">
        <f t="shared" si="9"/>
        <v>38.69916782168545</v>
      </c>
      <c r="M144">
        <f t="shared" si="10"/>
        <v>37.129841761937513</v>
      </c>
      <c r="O144">
        <f t="shared" si="11"/>
        <v>60.339756966351722</v>
      </c>
    </row>
    <row r="145" spans="1:15" x14ac:dyDescent="0.45">
      <c r="A145">
        <v>207</v>
      </c>
      <c r="B145">
        <v>0</v>
      </c>
      <c r="C145">
        <v>1</v>
      </c>
      <c r="D145">
        <v>17.617915012503381</v>
      </c>
      <c r="E145">
        <v>66.666666666666657</v>
      </c>
      <c r="F145">
        <v>100</v>
      </c>
      <c r="G145">
        <v>75</v>
      </c>
      <c r="H145">
        <v>33.333333333333329</v>
      </c>
      <c r="I145">
        <v>0</v>
      </c>
      <c r="J145">
        <v>39.358651431322073</v>
      </c>
      <c r="K145">
        <f t="shared" si="8"/>
        <v>39.801837461473561</v>
      </c>
      <c r="L145">
        <f t="shared" si="9"/>
        <v>42.574650847625918</v>
      </c>
      <c r="M145">
        <f t="shared" si="10"/>
        <v>33.959646145634245</v>
      </c>
      <c r="O145">
        <f t="shared" si="11"/>
        <v>57.450009412757517</v>
      </c>
    </row>
    <row r="146" spans="1:15" x14ac:dyDescent="0.45">
      <c r="A146">
        <v>208</v>
      </c>
      <c r="B146">
        <v>0</v>
      </c>
      <c r="C146">
        <v>0</v>
      </c>
      <c r="D146">
        <v>20.968596073594686</v>
      </c>
      <c r="E146">
        <v>33.333333333333329</v>
      </c>
      <c r="F146">
        <v>100</v>
      </c>
      <c r="G146">
        <v>75</v>
      </c>
      <c r="H146">
        <v>50</v>
      </c>
      <c r="I146">
        <v>0</v>
      </c>
      <c r="J146">
        <v>6.9139255784143181</v>
      </c>
      <c r="K146">
        <f t="shared" si="8"/>
        <v>29.247013056761407</v>
      </c>
      <c r="L146">
        <f t="shared" si="9"/>
        <v>31.28451972683057</v>
      </c>
      <c r="M146">
        <f t="shared" si="10"/>
        <v>22.380483108693003</v>
      </c>
      <c r="O146">
        <f t="shared" si="11"/>
        <v>46.895185008045374</v>
      </c>
    </row>
    <row r="147" spans="1:15" x14ac:dyDescent="0.45">
      <c r="A147">
        <v>209</v>
      </c>
      <c r="B147">
        <v>0</v>
      </c>
      <c r="C147">
        <v>0</v>
      </c>
      <c r="D147">
        <v>19.606451610581001</v>
      </c>
      <c r="E147">
        <v>0</v>
      </c>
      <c r="F147">
        <v>0</v>
      </c>
      <c r="G147">
        <v>75</v>
      </c>
      <c r="H147">
        <v>16.666666666666664</v>
      </c>
      <c r="I147">
        <v>33.333333333333329</v>
      </c>
      <c r="J147">
        <v>38.052544652973694</v>
      </c>
      <c r="K147">
        <f t="shared" si="8"/>
        <v>21.709125295067281</v>
      </c>
      <c r="L147">
        <f t="shared" si="9"/>
        <v>20.899319474340466</v>
      </c>
      <c r="M147">
        <f t="shared" si="10"/>
        <v>23.815981350551372</v>
      </c>
      <c r="O147">
        <f t="shared" si="11"/>
        <v>39.357297246351244</v>
      </c>
    </row>
    <row r="148" spans="1:15" x14ac:dyDescent="0.45">
      <c r="A148">
        <v>210</v>
      </c>
      <c r="B148">
        <v>0</v>
      </c>
      <c r="C148">
        <v>0</v>
      </c>
      <c r="D148">
        <v>10.087306687144613</v>
      </c>
      <c r="E148">
        <v>100</v>
      </c>
      <c r="F148">
        <v>100</v>
      </c>
      <c r="G148">
        <v>75</v>
      </c>
      <c r="H148">
        <v>83.333333333333343</v>
      </c>
      <c r="I148">
        <v>66.666666666666657</v>
      </c>
      <c r="J148">
        <v>43.657057849165177</v>
      </c>
      <c r="K148">
        <f t="shared" si="8"/>
        <v>58.015768509991162</v>
      </c>
      <c r="L148">
        <f t="shared" si="9"/>
        <v>57.413099695158444</v>
      </c>
      <c r="M148">
        <f t="shared" si="10"/>
        <v>53.941226991283855</v>
      </c>
      <c r="O148">
        <f t="shared" si="11"/>
        <v>75.663940461275132</v>
      </c>
    </row>
    <row r="149" spans="1:15" x14ac:dyDescent="0.45">
      <c r="A149">
        <v>211</v>
      </c>
      <c r="B149">
        <v>0</v>
      </c>
      <c r="C149">
        <v>0</v>
      </c>
      <c r="D149">
        <v>9.4785391661857545</v>
      </c>
      <c r="E149">
        <v>100</v>
      </c>
      <c r="F149">
        <v>100</v>
      </c>
      <c r="G149">
        <v>75</v>
      </c>
      <c r="H149">
        <v>50</v>
      </c>
      <c r="I149">
        <v>0</v>
      </c>
      <c r="J149">
        <v>43.657057849165177</v>
      </c>
      <c r="K149">
        <f t="shared" si="8"/>
        <v>48.914639983390337</v>
      </c>
      <c r="L149">
        <f t="shared" si="9"/>
        <v>52.322300965274742</v>
      </c>
      <c r="M149">
        <f t="shared" si="10"/>
        <v>43.956840042826443</v>
      </c>
      <c r="O149">
        <f t="shared" si="11"/>
        <v>66.562811934674301</v>
      </c>
    </row>
    <row r="150" spans="1:15" x14ac:dyDescent="0.45">
      <c r="A150">
        <v>213</v>
      </c>
      <c r="B150">
        <v>0</v>
      </c>
      <c r="C150">
        <v>0</v>
      </c>
      <c r="D150">
        <v>10.114722725830379</v>
      </c>
      <c r="E150">
        <v>66.666666666666657</v>
      </c>
      <c r="F150">
        <v>100</v>
      </c>
      <c r="G150">
        <v>100</v>
      </c>
      <c r="H150">
        <v>33.333333333333329</v>
      </c>
      <c r="I150">
        <v>100</v>
      </c>
      <c r="J150">
        <v>53.729819418241192</v>
      </c>
      <c r="K150">
        <f t="shared" si="8"/>
        <v>54.922622026144623</v>
      </c>
      <c r="L150">
        <f t="shared" si="9"/>
        <v>51.782285674097004</v>
      </c>
      <c r="M150">
        <f t="shared" si="10"/>
        <v>50.547892714911555</v>
      </c>
      <c r="O150">
        <f t="shared" si="11"/>
        <v>72.570793977428593</v>
      </c>
    </row>
    <row r="151" spans="1:15" x14ac:dyDescent="0.45">
      <c r="A151">
        <v>214</v>
      </c>
      <c r="B151">
        <v>0</v>
      </c>
      <c r="C151">
        <v>0</v>
      </c>
      <c r="D151">
        <v>9.5170608655139528</v>
      </c>
      <c r="E151">
        <v>66.666666666666657</v>
      </c>
      <c r="F151">
        <v>100</v>
      </c>
      <c r="G151">
        <v>100</v>
      </c>
      <c r="H151">
        <v>33.333333333333329</v>
      </c>
      <c r="I151">
        <v>100</v>
      </c>
      <c r="J151">
        <v>50.555975251046561</v>
      </c>
      <c r="K151">
        <f t="shared" si="8"/>
        <v>54.221417206106608</v>
      </c>
      <c r="L151">
        <f t="shared" si="9"/>
        <v>51.032231096473851</v>
      </c>
      <c r="M151">
        <f t="shared" si="10"/>
        <v>49.778636437196084</v>
      </c>
      <c r="O151">
        <f t="shared" si="11"/>
        <v>71.869589157390578</v>
      </c>
    </row>
    <row r="152" spans="1:15" x14ac:dyDescent="0.45">
      <c r="A152">
        <v>215</v>
      </c>
      <c r="B152">
        <v>0</v>
      </c>
      <c r="C152">
        <v>0</v>
      </c>
      <c r="D152">
        <v>10.931122604164271</v>
      </c>
      <c r="E152">
        <v>100</v>
      </c>
      <c r="F152">
        <v>100</v>
      </c>
      <c r="G152">
        <v>75</v>
      </c>
      <c r="H152">
        <v>33.333333333333329</v>
      </c>
      <c r="I152">
        <v>0</v>
      </c>
      <c r="J152">
        <v>56.458597785858331</v>
      </c>
      <c r="K152">
        <f t="shared" si="8"/>
        <v>49.478653360520383</v>
      </c>
      <c r="L152">
        <f t="shared" si="9"/>
        <v>52.925606594768482</v>
      </c>
      <c r="M152">
        <f t="shared" si="10"/>
        <v>44.575590540076682</v>
      </c>
      <c r="O152">
        <f t="shared" si="11"/>
        <v>67.126825311804339</v>
      </c>
    </row>
    <row r="153" spans="1:15" x14ac:dyDescent="0.45">
      <c r="A153">
        <v>216</v>
      </c>
      <c r="B153">
        <v>1</v>
      </c>
      <c r="C153">
        <v>0</v>
      </c>
      <c r="D153">
        <v>13.46490647469995</v>
      </c>
      <c r="E153">
        <v>0</v>
      </c>
      <c r="F153">
        <v>100</v>
      </c>
      <c r="G153">
        <v>100</v>
      </c>
      <c r="H153">
        <v>16.666666666666664</v>
      </c>
      <c r="I153">
        <v>0</v>
      </c>
      <c r="J153">
        <v>27.476300256787123</v>
      </c>
      <c r="K153">
        <f t="shared" si="8"/>
        <v>30.411462948594284</v>
      </c>
      <c r="L153">
        <f t="shared" si="9"/>
        <v>32.530091558089055</v>
      </c>
      <c r="M153">
        <f t="shared" si="10"/>
        <v>23.657942081848624</v>
      </c>
      <c r="O153">
        <f t="shared" si="11"/>
        <v>48.059634899878247</v>
      </c>
    </row>
    <row r="154" spans="1:15" x14ac:dyDescent="0.45">
      <c r="A154">
        <v>217</v>
      </c>
      <c r="B154">
        <v>0</v>
      </c>
      <c r="C154">
        <v>0</v>
      </c>
      <c r="D154">
        <v>14.987480058995059</v>
      </c>
      <c r="E154">
        <v>33.333333333333329</v>
      </c>
      <c r="F154">
        <v>100</v>
      </c>
      <c r="G154">
        <v>100</v>
      </c>
      <c r="H154">
        <v>66.666666666666657</v>
      </c>
      <c r="I154">
        <v>0</v>
      </c>
      <c r="J154">
        <v>44.083978659601627</v>
      </c>
      <c r="K154">
        <f t="shared" si="8"/>
        <v>45.814378591395325</v>
      </c>
      <c r="L154">
        <f t="shared" si="9"/>
        <v>49.006058431790564</v>
      </c>
      <c r="M154">
        <f t="shared" si="10"/>
        <v>40.555700361239893</v>
      </c>
      <c r="O154">
        <f t="shared" si="11"/>
        <v>63.462550542679288</v>
      </c>
    </row>
    <row r="155" spans="1:15" x14ac:dyDescent="0.45">
      <c r="A155">
        <v>218</v>
      </c>
      <c r="B155">
        <v>0</v>
      </c>
      <c r="C155">
        <v>1</v>
      </c>
      <c r="D155">
        <v>16.022127536956635</v>
      </c>
      <c r="E155">
        <v>100</v>
      </c>
      <c r="F155">
        <v>100</v>
      </c>
      <c r="G155">
        <v>75</v>
      </c>
      <c r="H155">
        <v>83.333333333333343</v>
      </c>
      <c r="I155">
        <v>0</v>
      </c>
      <c r="J155">
        <v>28.608088399239467</v>
      </c>
      <c r="K155">
        <f t="shared" si="8"/>
        <v>48.80156982310011</v>
      </c>
      <c r="L155">
        <f t="shared" si="9"/>
        <v>52.201353720055181</v>
      </c>
      <c r="M155">
        <f t="shared" si="10"/>
        <v>43.832796499285436</v>
      </c>
      <c r="O155">
        <f t="shared" si="11"/>
        <v>66.44974177438408</v>
      </c>
    </row>
    <row r="156" spans="1:15" x14ac:dyDescent="0.45">
      <c r="A156">
        <v>219</v>
      </c>
      <c r="B156">
        <v>0</v>
      </c>
      <c r="C156">
        <v>0</v>
      </c>
      <c r="D156">
        <v>17.321437301310887</v>
      </c>
      <c r="E156">
        <v>100</v>
      </c>
      <c r="F156">
        <v>100</v>
      </c>
      <c r="G156">
        <v>75</v>
      </c>
      <c r="H156">
        <v>50</v>
      </c>
      <c r="I156">
        <v>100</v>
      </c>
      <c r="J156">
        <v>15.647004366610123</v>
      </c>
      <c r="K156">
        <f t="shared" si="8"/>
        <v>46.92415386624841</v>
      </c>
      <c r="L156">
        <f t="shared" si="9"/>
        <v>43.226600536368018</v>
      </c>
      <c r="M156">
        <f t="shared" si="10"/>
        <v>41.773178582493216</v>
      </c>
      <c r="O156">
        <f t="shared" si="11"/>
        <v>64.572325817532374</v>
      </c>
    </row>
    <row r="157" spans="1:15" x14ac:dyDescent="0.45">
      <c r="A157">
        <v>220</v>
      </c>
      <c r="B157">
        <v>0</v>
      </c>
      <c r="C157">
        <v>0</v>
      </c>
      <c r="D157">
        <v>18.385326876764491</v>
      </c>
      <c r="E157">
        <v>0</v>
      </c>
      <c r="F157">
        <v>0</v>
      </c>
      <c r="G157">
        <v>75</v>
      </c>
      <c r="H157">
        <v>50</v>
      </c>
      <c r="I157">
        <v>0</v>
      </c>
      <c r="J157">
        <v>29.12214298240044</v>
      </c>
      <c r="K157">
        <f t="shared" si="8"/>
        <v>22.35057061737319</v>
      </c>
      <c r="L157">
        <f t="shared" si="9"/>
        <v>23.907633440314072</v>
      </c>
      <c r="M157">
        <f t="shared" si="10"/>
        <v>24.51967851134426</v>
      </c>
      <c r="O157">
        <f t="shared" si="11"/>
        <v>39.99874256865715</v>
      </c>
    </row>
    <row r="158" spans="1:15" x14ac:dyDescent="0.45">
      <c r="A158">
        <v>221</v>
      </c>
      <c r="B158">
        <v>0</v>
      </c>
      <c r="C158">
        <v>0</v>
      </c>
      <c r="D158">
        <v>18.695858327356294</v>
      </c>
      <c r="E158">
        <v>33.333333333333329</v>
      </c>
      <c r="F158">
        <v>100</v>
      </c>
      <c r="G158">
        <v>75</v>
      </c>
      <c r="H158">
        <v>50</v>
      </c>
      <c r="I158">
        <v>66.666666666666657</v>
      </c>
      <c r="J158">
        <v>34.367389797712441</v>
      </c>
      <c r="K158">
        <f t="shared" si="8"/>
        <v>40.967713772169517</v>
      </c>
      <c r="L158">
        <f t="shared" si="9"/>
        <v>39.177384351701534</v>
      </c>
      <c r="M158">
        <f t="shared" si="10"/>
        <v>35.23866997064728</v>
      </c>
      <c r="O158">
        <f t="shared" si="11"/>
        <v>58.615885723453474</v>
      </c>
    </row>
    <row r="159" spans="1:15" x14ac:dyDescent="0.45">
      <c r="A159">
        <v>222</v>
      </c>
      <c r="B159">
        <v>0</v>
      </c>
      <c r="C159">
        <v>0</v>
      </c>
      <c r="D159">
        <v>17.748641113056063</v>
      </c>
      <c r="E159">
        <v>66.666666666666657</v>
      </c>
      <c r="F159">
        <v>100</v>
      </c>
      <c r="G159">
        <v>100</v>
      </c>
      <c r="H159">
        <v>100</v>
      </c>
      <c r="I159">
        <v>100</v>
      </c>
      <c r="J159">
        <v>20.635830371810211</v>
      </c>
      <c r="K159">
        <f t="shared" si="8"/>
        <v>54.897389983482313</v>
      </c>
      <c r="L159">
        <f t="shared" si="9"/>
        <v>51.755295829531171</v>
      </c>
      <c r="M159">
        <f t="shared" si="10"/>
        <v>50.520211919425122</v>
      </c>
      <c r="O159">
        <f t="shared" si="11"/>
        <v>72.545561934766283</v>
      </c>
    </row>
    <row r="160" spans="1:15" x14ac:dyDescent="0.45">
      <c r="A160">
        <v>223</v>
      </c>
      <c r="B160">
        <v>0</v>
      </c>
      <c r="C160">
        <v>0</v>
      </c>
      <c r="D160">
        <v>23.706333964100725</v>
      </c>
      <c r="E160">
        <v>66.666666666666657</v>
      </c>
      <c r="F160">
        <v>100</v>
      </c>
      <c r="G160">
        <v>75</v>
      </c>
      <c r="H160">
        <v>83.333333333333343</v>
      </c>
      <c r="I160">
        <v>66.666666666666657</v>
      </c>
      <c r="J160">
        <v>15.454223202682899</v>
      </c>
      <c r="K160">
        <f t="shared" si="8"/>
        <v>44.293570395212271</v>
      </c>
      <c r="L160">
        <f t="shared" si="9"/>
        <v>42.734938312178095</v>
      </c>
      <c r="M160">
        <f t="shared" si="10"/>
        <v>38.88729874920945</v>
      </c>
      <c r="O160">
        <f t="shared" si="11"/>
        <v>61.941742346496234</v>
      </c>
    </row>
    <row r="161" spans="1:15" x14ac:dyDescent="0.45">
      <c r="A161">
        <v>224</v>
      </c>
      <c r="B161">
        <v>0</v>
      </c>
      <c r="C161">
        <v>0</v>
      </c>
      <c r="D161">
        <v>25.111858664121627</v>
      </c>
      <c r="E161">
        <v>33.333333333333329</v>
      </c>
      <c r="F161">
        <v>100</v>
      </c>
      <c r="G161">
        <v>100</v>
      </c>
      <c r="H161">
        <v>33.333333333333329</v>
      </c>
      <c r="I161">
        <v>0</v>
      </c>
      <c r="J161">
        <v>11.685504794637836</v>
      </c>
      <c r="K161">
        <f t="shared" si="8"/>
        <v>30.926361253721915</v>
      </c>
      <c r="L161">
        <f t="shared" si="9"/>
        <v>33.080860491409346</v>
      </c>
      <c r="M161">
        <f t="shared" si="10"/>
        <v>24.222810922286733</v>
      </c>
      <c r="O161">
        <f t="shared" si="11"/>
        <v>48.574533205005878</v>
      </c>
    </row>
    <row r="162" spans="1:15" x14ac:dyDescent="0.45">
      <c r="A162">
        <v>225</v>
      </c>
      <c r="B162">
        <v>0</v>
      </c>
      <c r="C162">
        <v>0</v>
      </c>
      <c r="D162">
        <v>32.718394629960287</v>
      </c>
      <c r="E162">
        <v>66.666666666666657</v>
      </c>
      <c r="F162">
        <v>100</v>
      </c>
      <c r="G162">
        <v>50</v>
      </c>
      <c r="H162">
        <v>100</v>
      </c>
      <c r="I162">
        <v>0</v>
      </c>
      <c r="J162">
        <v>9.9445450878471569</v>
      </c>
      <c r="K162">
        <f t="shared" si="8"/>
        <v>35.763064249924625</v>
      </c>
      <c r="L162">
        <f t="shared" si="9"/>
        <v>38.254514635299536</v>
      </c>
      <c r="M162">
        <f t="shared" si="10"/>
        <v>29.528912701610519</v>
      </c>
      <c r="O162">
        <f t="shared" si="11"/>
        <v>53.411236201208588</v>
      </c>
    </row>
    <row r="163" spans="1:15" x14ac:dyDescent="0.45">
      <c r="A163">
        <v>226</v>
      </c>
      <c r="B163">
        <v>0</v>
      </c>
      <c r="C163">
        <v>0</v>
      </c>
      <c r="D163">
        <v>33.787388027463976</v>
      </c>
      <c r="E163">
        <v>33.333333333333329</v>
      </c>
      <c r="F163">
        <v>100</v>
      </c>
      <c r="G163">
        <v>75</v>
      </c>
      <c r="H163">
        <v>33.333333333333329</v>
      </c>
      <c r="I163">
        <v>66.666666666666657</v>
      </c>
      <c r="J163">
        <v>18.258538060225479</v>
      </c>
      <c r="K163">
        <f t="shared" si="8"/>
        <v>31.776682649093459</v>
      </c>
      <c r="L163">
        <f t="shared" si="9"/>
        <v>29.346055801269852</v>
      </c>
      <c r="M163">
        <f t="shared" si="10"/>
        <v>25.155655438999936</v>
      </c>
      <c r="O163">
        <f t="shared" si="11"/>
        <v>49.424854600377422</v>
      </c>
    </row>
    <row r="164" spans="1:15" x14ac:dyDescent="0.45">
      <c r="A164">
        <v>227</v>
      </c>
      <c r="B164">
        <v>1</v>
      </c>
      <c r="C164">
        <v>0</v>
      </c>
      <c r="D164">
        <v>33.407244924439382</v>
      </c>
      <c r="E164">
        <v>100</v>
      </c>
      <c r="F164">
        <v>100</v>
      </c>
      <c r="G164">
        <v>100</v>
      </c>
      <c r="H164">
        <v>33.333333333333329</v>
      </c>
      <c r="I164">
        <v>33.333333333333329</v>
      </c>
      <c r="J164">
        <v>12.435293335940802</v>
      </c>
      <c r="K164">
        <f t="shared" si="8"/>
        <v>40.124900708100292</v>
      </c>
      <c r="L164">
        <f t="shared" si="9"/>
        <v>40.598038385423294</v>
      </c>
      <c r="M164">
        <f t="shared" si="10"/>
        <v>34.314062463755498</v>
      </c>
      <c r="O164">
        <f t="shared" si="11"/>
        <v>57.773072659384248</v>
      </c>
    </row>
    <row r="165" spans="1:15" x14ac:dyDescent="0.45">
      <c r="A165">
        <v>230</v>
      </c>
      <c r="B165">
        <v>0</v>
      </c>
      <c r="C165">
        <v>0</v>
      </c>
      <c r="D165">
        <v>38.637266382443748</v>
      </c>
      <c r="E165">
        <v>33.333333333333329</v>
      </c>
      <c r="F165">
        <v>100</v>
      </c>
      <c r="G165">
        <v>50</v>
      </c>
      <c r="H165">
        <v>33.333333333333329</v>
      </c>
      <c r="I165">
        <v>33.333333333333329</v>
      </c>
      <c r="J165">
        <v>14.494145728318102</v>
      </c>
      <c r="K165">
        <f t="shared" si="8"/>
        <v>24.161919048231358</v>
      </c>
      <c r="L165">
        <f t="shared" si="9"/>
        <v>23.522988236951711</v>
      </c>
      <c r="M165">
        <f t="shared" si="10"/>
        <v>16.801884135823752</v>
      </c>
      <c r="O165">
        <f t="shared" si="11"/>
        <v>41.810090999515324</v>
      </c>
    </row>
    <row r="166" spans="1:15" x14ac:dyDescent="0.45">
      <c r="A166">
        <v>231</v>
      </c>
      <c r="B166">
        <v>1</v>
      </c>
      <c r="C166">
        <v>0</v>
      </c>
      <c r="D166">
        <v>38.497762057352617</v>
      </c>
      <c r="E166">
        <v>100</v>
      </c>
      <c r="F166">
        <v>100</v>
      </c>
      <c r="G166">
        <v>100</v>
      </c>
      <c r="H166">
        <v>50</v>
      </c>
      <c r="I166">
        <v>33.333333333333329</v>
      </c>
      <c r="J166">
        <v>11.547137257375903</v>
      </c>
      <c r="K166">
        <f t="shared" si="8"/>
        <v>41.434119066381889</v>
      </c>
      <c r="L166">
        <f t="shared" si="9"/>
        <v>41.998464045195782</v>
      </c>
      <c r="M166">
        <f t="shared" si="10"/>
        <v>35.750339585971879</v>
      </c>
      <c r="O166">
        <f t="shared" si="11"/>
        <v>59.082291017665852</v>
      </c>
    </row>
    <row r="167" spans="1:15" x14ac:dyDescent="0.45">
      <c r="A167">
        <v>234</v>
      </c>
      <c r="B167">
        <v>0</v>
      </c>
      <c r="C167">
        <v>0</v>
      </c>
      <c r="D167">
        <v>48.295789645486693</v>
      </c>
      <c r="E167">
        <v>66.666666666666657</v>
      </c>
      <c r="F167">
        <v>0</v>
      </c>
      <c r="G167">
        <v>50</v>
      </c>
      <c r="H167">
        <v>16.666666666666664</v>
      </c>
      <c r="I167">
        <v>66.666666666666657</v>
      </c>
      <c r="J167">
        <v>16.878274819349155</v>
      </c>
      <c r="K167">
        <f t="shared" si="8"/>
        <v>18.105040829221412</v>
      </c>
      <c r="L167">
        <f t="shared" si="9"/>
        <v>14.721972740826539</v>
      </c>
      <c r="M167">
        <f t="shared" si="10"/>
        <v>19.862122903573759</v>
      </c>
      <c r="O167">
        <f t="shared" si="11"/>
        <v>35.753212780505379</v>
      </c>
    </row>
    <row r="168" spans="1:15" x14ac:dyDescent="0.45">
      <c r="A168">
        <v>237</v>
      </c>
      <c r="B168">
        <v>0</v>
      </c>
      <c r="C168">
        <v>0</v>
      </c>
      <c r="D168">
        <v>59.515062270556783</v>
      </c>
      <c r="E168">
        <v>66.666666666666657</v>
      </c>
      <c r="F168">
        <v>100</v>
      </c>
      <c r="G168">
        <v>100</v>
      </c>
      <c r="H168">
        <v>33.333333333333329</v>
      </c>
      <c r="I168">
        <v>0</v>
      </c>
      <c r="J168">
        <v>4.4271827208488084</v>
      </c>
      <c r="K168">
        <f t="shared" si="8"/>
        <v>27.160516186709675</v>
      </c>
      <c r="L168">
        <f t="shared" si="9"/>
        <v>29.052666088839551</v>
      </c>
      <c r="M168">
        <f t="shared" si="10"/>
        <v>20.091493116248358</v>
      </c>
      <c r="O168">
        <f t="shared" si="11"/>
        <v>44.808688137993641</v>
      </c>
    </row>
    <row r="169" spans="1:15" x14ac:dyDescent="0.45">
      <c r="A169">
        <v>238</v>
      </c>
      <c r="B169">
        <v>0</v>
      </c>
      <c r="C169">
        <v>0</v>
      </c>
      <c r="D169">
        <v>59.540671623176337</v>
      </c>
      <c r="E169">
        <v>33.333333333333329</v>
      </c>
      <c r="F169">
        <v>100</v>
      </c>
      <c r="G169">
        <v>100</v>
      </c>
      <c r="H169">
        <v>33.333333333333329</v>
      </c>
      <c r="I169">
        <v>0</v>
      </c>
      <c r="J169">
        <v>6.6182616525818592</v>
      </c>
      <c r="K169">
        <f t="shared" si="8"/>
        <v>23.562387516410144</v>
      </c>
      <c r="L169">
        <f t="shared" si="9"/>
        <v>25.203872123206295</v>
      </c>
      <c r="M169">
        <f t="shared" si="10"/>
        <v>16.144168470781928</v>
      </c>
      <c r="O169">
        <f t="shared" si="11"/>
        <v>41.210559467694111</v>
      </c>
    </row>
    <row r="170" spans="1:15" x14ac:dyDescent="0.45">
      <c r="A170">
        <v>239</v>
      </c>
      <c r="B170">
        <v>1</v>
      </c>
      <c r="C170">
        <v>0</v>
      </c>
      <c r="D170">
        <v>68.155297418296797</v>
      </c>
      <c r="E170">
        <v>100</v>
      </c>
      <c r="F170">
        <v>0</v>
      </c>
      <c r="G170">
        <v>25</v>
      </c>
      <c r="H170">
        <v>83.333333333333343</v>
      </c>
      <c r="I170">
        <v>0</v>
      </c>
      <c r="J170">
        <v>6.8818350753599953</v>
      </c>
      <c r="K170">
        <f t="shared" si="8"/>
        <v>17.970304884532649</v>
      </c>
      <c r="L170">
        <f t="shared" si="9"/>
        <v>19.222214472508405</v>
      </c>
      <c r="M170">
        <f t="shared" si="10"/>
        <v>19.714310925783678</v>
      </c>
      <c r="O170">
        <f t="shared" si="11"/>
        <v>35.618476835816608</v>
      </c>
    </row>
    <row r="171" spans="1:15" x14ac:dyDescent="0.45">
      <c r="A171">
        <v>240</v>
      </c>
      <c r="B171">
        <v>1</v>
      </c>
      <c r="C171">
        <v>0</v>
      </c>
      <c r="D171">
        <v>77.039203047143317</v>
      </c>
      <c r="E171">
        <v>100</v>
      </c>
      <c r="F171">
        <v>100</v>
      </c>
      <c r="G171">
        <v>50</v>
      </c>
      <c r="H171">
        <v>16.666666666666664</v>
      </c>
      <c r="I171">
        <v>66.666666666666657</v>
      </c>
      <c r="J171">
        <v>4.2992220766335567</v>
      </c>
      <c r="K171">
        <f t="shared" si="8"/>
        <v>22.832096040651734</v>
      </c>
      <c r="L171">
        <f t="shared" si="9"/>
        <v>19.778340436385825</v>
      </c>
      <c r="M171">
        <f t="shared" si="10"/>
        <v>15.343002696908906</v>
      </c>
      <c r="O171">
        <f t="shared" si="11"/>
        <v>40.480267991935698</v>
      </c>
    </row>
    <row r="172" spans="1:15" x14ac:dyDescent="0.45">
      <c r="A172">
        <v>241</v>
      </c>
      <c r="B172">
        <v>0</v>
      </c>
      <c r="C172">
        <v>0</v>
      </c>
      <c r="D172">
        <v>75.027444908251013</v>
      </c>
      <c r="E172">
        <v>33.333333333333329</v>
      </c>
      <c r="F172">
        <v>100</v>
      </c>
      <c r="G172">
        <v>100</v>
      </c>
      <c r="H172">
        <v>33.333333333333329</v>
      </c>
      <c r="I172">
        <v>0</v>
      </c>
      <c r="J172">
        <v>24.514545032143502</v>
      </c>
      <c r="K172">
        <f t="shared" si="8"/>
        <v>25.37787026189762</v>
      </c>
      <c r="L172">
        <f t="shared" si="9"/>
        <v>27.14583131249838</v>
      </c>
      <c r="M172">
        <f t="shared" si="10"/>
        <v>18.135842599568772</v>
      </c>
      <c r="O172">
        <f t="shared" si="11"/>
        <v>43.026042213181583</v>
      </c>
    </row>
    <row r="173" spans="1:15" x14ac:dyDescent="0.45">
      <c r="A173">
        <v>242</v>
      </c>
      <c r="B173">
        <v>0</v>
      </c>
      <c r="C173">
        <v>0</v>
      </c>
      <c r="D173">
        <v>75.304692993415017</v>
      </c>
      <c r="E173">
        <v>100</v>
      </c>
      <c r="F173">
        <v>100</v>
      </c>
      <c r="G173">
        <v>100</v>
      </c>
      <c r="H173">
        <v>33.333333333333329</v>
      </c>
      <c r="I173">
        <v>33.333333333333329</v>
      </c>
      <c r="J173">
        <v>24.514545032143502</v>
      </c>
      <c r="K173">
        <f t="shared" si="8"/>
        <v>35.800894261873509</v>
      </c>
      <c r="L173">
        <f t="shared" si="9"/>
        <v>35.972798033412332</v>
      </c>
      <c r="M173">
        <f t="shared" si="10"/>
        <v>29.570414090856751</v>
      </c>
      <c r="O173">
        <f t="shared" si="11"/>
        <v>53.449066213157472</v>
      </c>
    </row>
    <row r="174" spans="1:15" x14ac:dyDescent="0.45">
      <c r="A174">
        <v>244</v>
      </c>
      <c r="B174">
        <v>0</v>
      </c>
      <c r="C174">
        <v>0</v>
      </c>
      <c r="D174">
        <v>75.913771728912721</v>
      </c>
      <c r="E174">
        <v>66.666666666666657</v>
      </c>
      <c r="F174">
        <v>0</v>
      </c>
      <c r="G174">
        <v>25</v>
      </c>
      <c r="H174">
        <v>16.666666666666664</v>
      </c>
      <c r="I174">
        <v>0</v>
      </c>
      <c r="J174">
        <v>0</v>
      </c>
      <c r="K174">
        <f t="shared" si="8"/>
        <v>0.96808624591896875</v>
      </c>
      <c r="L174">
        <f t="shared" si="9"/>
        <v>1.0355284212766369</v>
      </c>
      <c r="M174">
        <f t="shared" si="10"/>
        <v>1.0620383670534257</v>
      </c>
      <c r="O174">
        <f t="shared" si="11"/>
        <v>18.616258197202932</v>
      </c>
    </row>
    <row r="175" spans="1:15" x14ac:dyDescent="0.45">
      <c r="A175">
        <v>245</v>
      </c>
      <c r="B175">
        <v>0</v>
      </c>
      <c r="C175">
        <v>0</v>
      </c>
      <c r="D175">
        <v>71.771662487088477</v>
      </c>
      <c r="E175">
        <v>0</v>
      </c>
      <c r="F175">
        <v>0</v>
      </c>
      <c r="G175">
        <v>25</v>
      </c>
      <c r="H175">
        <v>16.666666666666664</v>
      </c>
      <c r="I175">
        <v>0</v>
      </c>
      <c r="J175">
        <v>1.0342612903228519</v>
      </c>
      <c r="K175">
        <f t="shared" si="8"/>
        <v>-6.3390446715692397</v>
      </c>
      <c r="L175">
        <f t="shared" si="9"/>
        <v>-6.7806571458113813</v>
      </c>
      <c r="M175">
        <f t="shared" si="10"/>
        <v>-6.9542447070729443</v>
      </c>
      <c r="O175">
        <f t="shared" si="11"/>
        <v>11.309127279714723</v>
      </c>
    </row>
    <row r="176" spans="1:15" x14ac:dyDescent="0.45">
      <c r="A176">
        <v>246</v>
      </c>
      <c r="B176">
        <v>0</v>
      </c>
      <c r="C176">
        <v>0</v>
      </c>
      <c r="D176">
        <v>82.329391620207787</v>
      </c>
      <c r="E176">
        <v>33.333333333333329</v>
      </c>
      <c r="F176">
        <v>100</v>
      </c>
      <c r="G176">
        <v>100</v>
      </c>
      <c r="H176">
        <v>33.333333333333329</v>
      </c>
      <c r="I176">
        <v>0</v>
      </c>
      <c r="J176">
        <v>1.1918559647393436</v>
      </c>
      <c r="K176">
        <f t="shared" si="8"/>
        <v>18.161390726255558</v>
      </c>
      <c r="L176">
        <f t="shared" si="9"/>
        <v>19.426612397633146</v>
      </c>
      <c r="M176">
        <f t="shared" si="10"/>
        <v>10.219008563121504</v>
      </c>
      <c r="O176">
        <f t="shared" si="11"/>
        <v>35.809562677539517</v>
      </c>
    </row>
    <row r="177" spans="1:15" x14ac:dyDescent="0.45">
      <c r="A177">
        <v>248</v>
      </c>
      <c r="B177">
        <v>0</v>
      </c>
      <c r="C177">
        <v>0</v>
      </c>
      <c r="D177">
        <v>73.798746988182145</v>
      </c>
      <c r="E177">
        <v>33.333333333333329</v>
      </c>
      <c r="F177">
        <v>0</v>
      </c>
      <c r="G177">
        <v>50</v>
      </c>
      <c r="H177">
        <v>16.666666666666664</v>
      </c>
      <c r="I177">
        <v>66.666666666666657</v>
      </c>
      <c r="J177">
        <v>0.41370451612914072</v>
      </c>
      <c r="K177">
        <f t="shared" si="8"/>
        <v>5.2690063642331353</v>
      </c>
      <c r="L177">
        <f t="shared" si="9"/>
        <v>0.99171000750557581</v>
      </c>
      <c r="M177">
        <f t="shared" si="10"/>
        <v>5.7803598993933534</v>
      </c>
      <c r="O177">
        <f t="shared" si="11"/>
        <v>22.917178315517098</v>
      </c>
    </row>
    <row r="178" spans="1:15" x14ac:dyDescent="0.45">
      <c r="A178">
        <v>249</v>
      </c>
      <c r="B178">
        <v>0</v>
      </c>
      <c r="C178">
        <v>0</v>
      </c>
      <c r="D178">
        <v>81.294214562955119</v>
      </c>
      <c r="E178">
        <v>33.333333333333329</v>
      </c>
      <c r="F178">
        <v>100</v>
      </c>
      <c r="G178">
        <v>100</v>
      </c>
      <c r="H178">
        <v>33.333333333333329</v>
      </c>
      <c r="I178">
        <v>33.333333333333329</v>
      </c>
      <c r="J178">
        <v>0</v>
      </c>
      <c r="K178">
        <f t="shared" si="8"/>
        <v>20.212094422465402</v>
      </c>
      <c r="L178">
        <f t="shared" si="9"/>
        <v>19.2979972547109</v>
      </c>
      <c r="M178">
        <f t="shared" si="10"/>
        <v>12.468731678199644</v>
      </c>
      <c r="O178">
        <f t="shared" si="11"/>
        <v>37.860266373749369</v>
      </c>
    </row>
    <row r="179" spans="1:15" x14ac:dyDescent="0.45">
      <c r="A179">
        <v>250</v>
      </c>
      <c r="B179">
        <v>0</v>
      </c>
      <c r="C179">
        <v>1</v>
      </c>
      <c r="D179">
        <v>28.068117395499076</v>
      </c>
      <c r="E179">
        <v>100</v>
      </c>
      <c r="F179">
        <v>0</v>
      </c>
      <c r="G179">
        <v>50</v>
      </c>
      <c r="H179">
        <v>33.333333333333329</v>
      </c>
      <c r="I179">
        <v>0</v>
      </c>
      <c r="J179">
        <v>11.243753029886378</v>
      </c>
      <c r="K179">
        <f t="shared" si="8"/>
        <v>22.484715799932395</v>
      </c>
      <c r="L179">
        <f t="shared" si="9"/>
        <v>24.051123908960832</v>
      </c>
      <c r="M179">
        <f t="shared" si="10"/>
        <v>24.666842393936168</v>
      </c>
      <c r="O179">
        <f t="shared" si="11"/>
        <v>40.132887751216359</v>
      </c>
    </row>
    <row r="180" spans="1:15" x14ac:dyDescent="0.45">
      <c r="A180">
        <v>253</v>
      </c>
      <c r="B180">
        <v>0</v>
      </c>
      <c r="C180">
        <v>0</v>
      </c>
      <c r="D180">
        <v>42.2919818668855</v>
      </c>
      <c r="E180">
        <v>33.333333333333329</v>
      </c>
      <c r="F180">
        <v>100</v>
      </c>
      <c r="G180">
        <v>75</v>
      </c>
      <c r="H180">
        <v>33.333333333333329</v>
      </c>
      <c r="I180">
        <v>0</v>
      </c>
      <c r="J180">
        <v>10.375468849220844</v>
      </c>
      <c r="K180">
        <f t="shared" si="8"/>
        <v>23.930289546798146</v>
      </c>
      <c r="L180">
        <f t="shared" si="9"/>
        <v>25.597404218428366</v>
      </c>
      <c r="M180">
        <f t="shared" si="10"/>
        <v>16.547775146567322</v>
      </c>
      <c r="O180">
        <f t="shared" si="11"/>
        <v>41.578461498082106</v>
      </c>
    </row>
    <row r="181" spans="1:15" x14ac:dyDescent="0.45">
      <c r="A181">
        <v>255</v>
      </c>
      <c r="B181">
        <v>0</v>
      </c>
      <c r="C181">
        <v>0</v>
      </c>
      <c r="D181">
        <v>44.289163291572784</v>
      </c>
      <c r="E181">
        <v>0</v>
      </c>
      <c r="F181">
        <v>100</v>
      </c>
      <c r="G181">
        <v>25</v>
      </c>
      <c r="H181">
        <v>33.333333333333329</v>
      </c>
      <c r="I181">
        <v>33.333333333333329</v>
      </c>
      <c r="J181">
        <v>30.12014100978007</v>
      </c>
      <c r="K181">
        <f t="shared" si="8"/>
        <v>19.354415410095477</v>
      </c>
      <c r="L181">
        <f t="shared" si="9"/>
        <v>18.380567637891538</v>
      </c>
      <c r="M181">
        <f t="shared" si="10"/>
        <v>11.527815492691113</v>
      </c>
      <c r="O181">
        <f t="shared" si="11"/>
        <v>37.00258736137944</v>
      </c>
    </row>
    <row r="182" spans="1:15" x14ac:dyDescent="0.45">
      <c r="A182">
        <v>256</v>
      </c>
      <c r="B182">
        <v>0</v>
      </c>
      <c r="C182">
        <v>0</v>
      </c>
      <c r="D182">
        <v>44.858777546591696</v>
      </c>
      <c r="E182">
        <v>66.666666666666657</v>
      </c>
      <c r="F182">
        <v>100</v>
      </c>
      <c r="G182">
        <v>100</v>
      </c>
      <c r="H182">
        <v>16.666666666666664</v>
      </c>
      <c r="I182">
        <v>0</v>
      </c>
      <c r="J182">
        <v>30.12014100978007</v>
      </c>
      <c r="K182">
        <f t="shared" si="8"/>
        <v>33.844002170844512</v>
      </c>
      <c r="L182">
        <f t="shared" si="9"/>
        <v>36.201760210309978</v>
      </c>
      <c r="M182">
        <f t="shared" si="10"/>
        <v>27.423606934348342</v>
      </c>
      <c r="O182">
        <f t="shared" si="11"/>
        <v>51.492174122128475</v>
      </c>
    </row>
    <row r="183" spans="1:15" x14ac:dyDescent="0.45">
      <c r="A183">
        <v>260</v>
      </c>
      <c r="B183">
        <v>0</v>
      </c>
      <c r="C183">
        <v>0</v>
      </c>
      <c r="D183">
        <v>46.821863309530343</v>
      </c>
      <c r="E183">
        <v>66.666666666666657</v>
      </c>
      <c r="F183">
        <v>0</v>
      </c>
      <c r="G183">
        <v>100</v>
      </c>
      <c r="H183">
        <v>50</v>
      </c>
      <c r="I183">
        <v>66.666666666666657</v>
      </c>
      <c r="J183">
        <v>4.7617872227110691</v>
      </c>
      <c r="K183">
        <f t="shared" si="8"/>
        <v>27.414507283284081</v>
      </c>
      <c r="L183">
        <f t="shared" si="9"/>
        <v>24.679987474268209</v>
      </c>
      <c r="M183">
        <f t="shared" si="10"/>
        <v>30.075066835677628</v>
      </c>
      <c r="O183">
        <f t="shared" si="11"/>
        <v>45.062679234568044</v>
      </c>
    </row>
    <row r="184" spans="1:15" x14ac:dyDescent="0.45">
      <c r="A184">
        <v>261</v>
      </c>
      <c r="B184">
        <v>0</v>
      </c>
      <c r="C184">
        <v>0</v>
      </c>
      <c r="D184">
        <v>46.821863309530343</v>
      </c>
      <c r="E184">
        <v>0</v>
      </c>
      <c r="F184">
        <v>100</v>
      </c>
      <c r="G184">
        <v>100</v>
      </c>
      <c r="H184">
        <v>16.666666666666664</v>
      </c>
      <c r="I184">
        <v>0</v>
      </c>
      <c r="J184">
        <v>4.7617872227110691</v>
      </c>
      <c r="K184">
        <f t="shared" si="8"/>
        <v>18.751327698768598</v>
      </c>
      <c r="L184">
        <f t="shared" si="9"/>
        <v>20.05764760175305</v>
      </c>
      <c r="M184">
        <f t="shared" si="10"/>
        <v>10.866198523306759</v>
      </c>
      <c r="O184">
        <f t="shared" si="11"/>
        <v>36.399499650052562</v>
      </c>
    </row>
    <row r="185" spans="1:15" x14ac:dyDescent="0.45">
      <c r="A185">
        <v>262</v>
      </c>
      <c r="B185">
        <v>0</v>
      </c>
      <c r="C185">
        <v>0</v>
      </c>
      <c r="D185">
        <v>44.785120387695514</v>
      </c>
      <c r="E185">
        <v>33.333333333333329</v>
      </c>
      <c r="F185">
        <v>100</v>
      </c>
      <c r="G185">
        <v>100</v>
      </c>
      <c r="H185">
        <v>16.666666666666664</v>
      </c>
      <c r="I185">
        <v>0</v>
      </c>
      <c r="J185">
        <v>6.9526930257088306</v>
      </c>
      <c r="K185">
        <f t="shared" si="8"/>
        <v>23.818133362272363</v>
      </c>
      <c r="L185">
        <f t="shared" si="9"/>
        <v>25.477434621516938</v>
      </c>
      <c r="M185">
        <f t="shared" si="10"/>
        <v>16.424734279525939</v>
      </c>
      <c r="O185">
        <f t="shared" si="11"/>
        <v>41.466305313556326</v>
      </c>
    </row>
    <row r="186" spans="1:15" x14ac:dyDescent="0.45">
      <c r="A186">
        <v>263</v>
      </c>
      <c r="B186">
        <v>0</v>
      </c>
      <c r="C186">
        <v>0</v>
      </c>
      <c r="D186">
        <v>48.768539820777583</v>
      </c>
      <c r="E186">
        <v>0</v>
      </c>
      <c r="F186">
        <v>100</v>
      </c>
      <c r="G186">
        <v>100</v>
      </c>
      <c r="H186">
        <v>33.333333333333329</v>
      </c>
      <c r="I186">
        <v>66.666666666666657</v>
      </c>
      <c r="J186">
        <v>11.821471775110004</v>
      </c>
      <c r="K186">
        <f t="shared" si="8"/>
        <v>26.977326864200315</v>
      </c>
      <c r="L186">
        <f t="shared" si="9"/>
        <v>24.212350679411024</v>
      </c>
      <c r="M186">
        <f t="shared" si="10"/>
        <v>19.89052539280469</v>
      </c>
      <c r="O186">
        <f t="shared" si="11"/>
        <v>44.625498815484278</v>
      </c>
    </row>
    <row r="187" spans="1:15" x14ac:dyDescent="0.45">
      <c r="A187">
        <v>264</v>
      </c>
      <c r="B187">
        <v>0</v>
      </c>
      <c r="C187">
        <v>0</v>
      </c>
      <c r="D187">
        <v>50.012994587454799</v>
      </c>
      <c r="E187">
        <v>0</v>
      </c>
      <c r="F187">
        <v>100</v>
      </c>
      <c r="G187">
        <v>100</v>
      </c>
      <c r="H187">
        <v>16.666666666666664</v>
      </c>
      <c r="I187">
        <v>0</v>
      </c>
      <c r="J187">
        <v>4.1237805169553612</v>
      </c>
      <c r="K187">
        <f t="shared" si="8"/>
        <v>18.025992166132635</v>
      </c>
      <c r="L187">
        <f t="shared" si="9"/>
        <v>19.281781234295917</v>
      </c>
      <c r="M187">
        <f t="shared" si="10"/>
        <v>10.070469663513618</v>
      </c>
      <c r="O187">
        <f t="shared" si="11"/>
        <v>35.674164117416595</v>
      </c>
    </row>
    <row r="188" spans="1:15" x14ac:dyDescent="0.45">
      <c r="A188">
        <v>265</v>
      </c>
      <c r="B188">
        <v>0</v>
      </c>
      <c r="C188">
        <v>0</v>
      </c>
      <c r="D188">
        <v>49.880452034751684</v>
      </c>
      <c r="E188">
        <v>0</v>
      </c>
      <c r="F188">
        <v>100</v>
      </c>
      <c r="G188">
        <v>100</v>
      </c>
      <c r="H188">
        <v>16.666666666666664</v>
      </c>
      <c r="I188">
        <v>0</v>
      </c>
      <c r="J188">
        <v>4.1237805169553612</v>
      </c>
      <c r="K188">
        <f t="shared" si="8"/>
        <v>18.049383503742302</v>
      </c>
      <c r="L188">
        <f t="shared" si="9"/>
        <v>19.30680214024164</v>
      </c>
      <c r="M188">
        <f t="shared" si="10"/>
        <v>10.096131114756099</v>
      </c>
      <c r="O188">
        <f t="shared" si="11"/>
        <v>35.697555455026261</v>
      </c>
    </row>
    <row r="189" spans="1:15" x14ac:dyDescent="0.45">
      <c r="A189">
        <v>266</v>
      </c>
      <c r="B189">
        <v>0</v>
      </c>
      <c r="C189">
        <v>0</v>
      </c>
      <c r="D189">
        <v>54.779723541994365</v>
      </c>
      <c r="E189">
        <v>0</v>
      </c>
      <c r="F189">
        <v>100</v>
      </c>
      <c r="G189">
        <v>100</v>
      </c>
      <c r="H189">
        <v>16.666666666666664</v>
      </c>
      <c r="I189">
        <v>0</v>
      </c>
      <c r="J189">
        <v>11.134217258743467</v>
      </c>
      <c r="K189">
        <f t="shared" si="8"/>
        <v>18.966561750220052</v>
      </c>
      <c r="L189">
        <f t="shared" si="9"/>
        <v>20.287876032788063</v>
      </c>
      <c r="M189">
        <f t="shared" si="10"/>
        <v>11.102320895152673</v>
      </c>
      <c r="O189">
        <f t="shared" si="11"/>
        <v>36.614733701504015</v>
      </c>
    </row>
    <row r="190" spans="1:15" x14ac:dyDescent="0.45">
      <c r="A190">
        <v>269</v>
      </c>
      <c r="B190">
        <v>0</v>
      </c>
      <c r="C190">
        <v>0</v>
      </c>
      <c r="D190">
        <v>57.243590639893185</v>
      </c>
      <c r="E190">
        <v>0</v>
      </c>
      <c r="F190">
        <v>100</v>
      </c>
      <c r="G190">
        <v>100</v>
      </c>
      <c r="H190">
        <v>16.666666666666664</v>
      </c>
      <c r="I190">
        <v>66.666666666666657</v>
      </c>
      <c r="J190">
        <v>3.6176229174767309</v>
      </c>
      <c r="K190">
        <f t="shared" si="8"/>
        <v>20.963161132961854</v>
      </c>
      <c r="L190">
        <f t="shared" si="9"/>
        <v>17.779205315328763</v>
      </c>
      <c r="M190">
        <f t="shared" si="10"/>
        <v>13.292688909413737</v>
      </c>
      <c r="O190">
        <f t="shared" si="11"/>
        <v>38.611333084245814</v>
      </c>
    </row>
    <row r="191" spans="1:15" x14ac:dyDescent="0.45">
      <c r="A191">
        <v>271</v>
      </c>
      <c r="B191">
        <v>0</v>
      </c>
      <c r="C191">
        <v>0</v>
      </c>
      <c r="D191">
        <v>67.975371533547019</v>
      </c>
      <c r="E191">
        <v>66.666666666666657</v>
      </c>
      <c r="F191">
        <v>0</v>
      </c>
      <c r="G191">
        <v>50</v>
      </c>
      <c r="H191">
        <v>66.666666666666657</v>
      </c>
      <c r="I191">
        <v>33.333333333333329</v>
      </c>
      <c r="J191">
        <v>0</v>
      </c>
      <c r="K191">
        <f t="shared" si="8"/>
        <v>15.471159624626786</v>
      </c>
      <c r="L191">
        <f t="shared" si="9"/>
        <v>14.226783044946973</v>
      </c>
      <c r="M191">
        <f t="shared" si="10"/>
        <v>16.972625293900538</v>
      </c>
      <c r="O191">
        <f t="shared" si="11"/>
        <v>33.119331575910749</v>
      </c>
    </row>
    <row r="192" spans="1:15" x14ac:dyDescent="0.45">
      <c r="A192">
        <v>273</v>
      </c>
      <c r="B192">
        <v>0</v>
      </c>
      <c r="C192">
        <v>1</v>
      </c>
      <c r="D192">
        <v>36.101242414896305</v>
      </c>
      <c r="E192">
        <v>66.666666666666657</v>
      </c>
      <c r="F192">
        <v>0</v>
      </c>
      <c r="G192">
        <v>25</v>
      </c>
      <c r="H192">
        <v>16.666666666666664</v>
      </c>
      <c r="I192">
        <v>33.333333333333329</v>
      </c>
      <c r="J192">
        <v>10.138124527471568</v>
      </c>
      <c r="K192">
        <f t="shared" si="8"/>
        <v>12.74197220111699</v>
      </c>
      <c r="L192">
        <f t="shared" si="9"/>
        <v>11.307465519314336</v>
      </c>
      <c r="M192">
        <f t="shared" si="10"/>
        <v>13.978572060662371</v>
      </c>
      <c r="O192">
        <f t="shared" si="11"/>
        <v>30.390144152400957</v>
      </c>
    </row>
    <row r="193" spans="1:15" x14ac:dyDescent="0.45">
      <c r="A193">
        <v>274</v>
      </c>
      <c r="B193">
        <v>0</v>
      </c>
      <c r="C193">
        <v>0</v>
      </c>
      <c r="D193">
        <v>34.794562704722551</v>
      </c>
      <c r="E193">
        <v>33.333333333333329</v>
      </c>
      <c r="F193">
        <v>0</v>
      </c>
      <c r="G193">
        <v>75</v>
      </c>
      <c r="H193">
        <v>16.666666666666664</v>
      </c>
      <c r="I193">
        <v>0</v>
      </c>
      <c r="J193">
        <v>6.6363491084810429</v>
      </c>
      <c r="K193">
        <f t="shared" si="8"/>
        <v>13.023356077835331</v>
      </c>
      <c r="L193">
        <f t="shared" si="9"/>
        <v>13.930634192827</v>
      </c>
      <c r="M193">
        <f t="shared" si="10"/>
        <v>14.287264053968638</v>
      </c>
      <c r="O193">
        <f t="shared" si="11"/>
        <v>30.671528029119294</v>
      </c>
    </row>
    <row r="194" spans="1:15" x14ac:dyDescent="0.45">
      <c r="A194">
        <v>275</v>
      </c>
      <c r="B194">
        <v>0</v>
      </c>
      <c r="C194">
        <v>0</v>
      </c>
      <c r="D194">
        <v>40.340947132814023</v>
      </c>
      <c r="E194">
        <v>100</v>
      </c>
      <c r="F194">
        <v>100</v>
      </c>
      <c r="G194">
        <v>0</v>
      </c>
      <c r="H194">
        <v>16.666666666666664</v>
      </c>
      <c r="I194">
        <v>33.333333333333329</v>
      </c>
      <c r="J194">
        <v>9.2286402447614755</v>
      </c>
      <c r="K194">
        <f t="shared" si="8"/>
        <v>21.128355726268463</v>
      </c>
      <c r="L194">
        <f t="shared" si="9"/>
        <v>20.278090325347787</v>
      </c>
      <c r="M194">
        <f t="shared" si="10"/>
        <v>13.473915527249696</v>
      </c>
      <c r="O194">
        <f t="shared" si="11"/>
        <v>38.776527677552423</v>
      </c>
    </row>
    <row r="195" spans="1:15" x14ac:dyDescent="0.45">
      <c r="A195">
        <v>276</v>
      </c>
      <c r="B195">
        <v>0</v>
      </c>
      <c r="C195">
        <v>0</v>
      </c>
      <c r="D195">
        <v>30.643840384935807</v>
      </c>
      <c r="E195">
        <v>0</v>
      </c>
      <c r="F195">
        <v>0</v>
      </c>
      <c r="G195">
        <v>50</v>
      </c>
      <c r="H195">
        <v>16.666666666666664</v>
      </c>
      <c r="I195">
        <v>0</v>
      </c>
      <c r="J195">
        <v>20.496398652304098</v>
      </c>
      <c r="K195">
        <f t="shared" si="8"/>
        <v>9.496993320886661</v>
      </c>
      <c r="L195">
        <f t="shared" si="9"/>
        <v>10.158605746037729</v>
      </c>
      <c r="M195">
        <f t="shared" si="10"/>
        <v>10.418670155629901</v>
      </c>
      <c r="O195">
        <f t="shared" si="11"/>
        <v>27.145165272170622</v>
      </c>
    </row>
    <row r="196" spans="1:15" x14ac:dyDescent="0.45">
      <c r="A196">
        <v>277</v>
      </c>
      <c r="B196">
        <v>0</v>
      </c>
      <c r="C196">
        <v>0</v>
      </c>
      <c r="D196">
        <v>36.466070520601704</v>
      </c>
      <c r="E196">
        <v>66.666666666666657</v>
      </c>
      <c r="F196">
        <v>0</v>
      </c>
      <c r="G196">
        <v>25</v>
      </c>
      <c r="H196">
        <v>33.333333333333329</v>
      </c>
      <c r="I196">
        <v>66.666666666666657</v>
      </c>
      <c r="J196">
        <v>5.0524282350962144</v>
      </c>
      <c r="K196">
        <f t="shared" si="8"/>
        <v>15.989261365520163</v>
      </c>
      <c r="L196">
        <f t="shared" si="9"/>
        <v>12.458796523777515</v>
      </c>
      <c r="M196">
        <f t="shared" si="10"/>
        <v>17.541008461397777</v>
      </c>
      <c r="O196">
        <f t="shared" si="11"/>
        <v>33.637433316804128</v>
      </c>
    </row>
    <row r="197" spans="1:15" x14ac:dyDescent="0.45">
      <c r="A197">
        <v>278</v>
      </c>
      <c r="B197">
        <v>0</v>
      </c>
      <c r="C197">
        <v>0</v>
      </c>
      <c r="D197">
        <v>36.004693455082112</v>
      </c>
      <c r="E197">
        <v>66.666666666666657</v>
      </c>
      <c r="F197">
        <v>0</v>
      </c>
      <c r="G197">
        <v>25</v>
      </c>
      <c r="H197">
        <v>66.666666666666657</v>
      </c>
      <c r="I197">
        <v>66.666666666666657</v>
      </c>
      <c r="J197">
        <v>5.7626141292447457</v>
      </c>
      <c r="K197">
        <f t="shared" si="8"/>
        <v>21.117870780479162</v>
      </c>
      <c r="L197">
        <f t="shared" si="9"/>
        <v>17.944692881881043</v>
      </c>
      <c r="M197">
        <f t="shared" si="10"/>
        <v>23.167345981715968</v>
      </c>
      <c r="O197">
        <f t="shared" si="11"/>
        <v>38.766042731763122</v>
      </c>
    </row>
    <row r="198" spans="1:15" x14ac:dyDescent="0.45">
      <c r="A198">
        <v>279</v>
      </c>
      <c r="B198">
        <v>0</v>
      </c>
      <c r="C198">
        <v>0</v>
      </c>
      <c r="D198">
        <v>15.228538324498977</v>
      </c>
      <c r="E198">
        <v>33.333333333333329</v>
      </c>
      <c r="F198">
        <v>0</v>
      </c>
      <c r="G198">
        <v>75</v>
      </c>
      <c r="H198">
        <v>33.333333333333329</v>
      </c>
      <c r="I198">
        <v>0</v>
      </c>
      <c r="J198">
        <v>23.097019598449403</v>
      </c>
      <c r="K198">
        <f t="shared" si="8"/>
        <v>23.09347385228531</v>
      </c>
      <c r="L198">
        <f t="shared" si="9"/>
        <v>24.702291372138717</v>
      </c>
      <c r="M198">
        <f t="shared" si="10"/>
        <v>25.334680007141586</v>
      </c>
      <c r="O198">
        <f t="shared" si="11"/>
        <v>40.74164580356927</v>
      </c>
    </row>
    <row r="199" spans="1:15" x14ac:dyDescent="0.45">
      <c r="A199">
        <v>280</v>
      </c>
      <c r="B199">
        <v>0</v>
      </c>
      <c r="C199">
        <v>0</v>
      </c>
      <c r="D199">
        <v>15.667118176928316</v>
      </c>
      <c r="E199">
        <v>66.666666666666657</v>
      </c>
      <c r="F199">
        <v>100</v>
      </c>
      <c r="G199">
        <v>75</v>
      </c>
      <c r="H199">
        <v>100</v>
      </c>
      <c r="I199">
        <v>100</v>
      </c>
      <c r="J199">
        <v>23.097019598449403</v>
      </c>
      <c r="K199">
        <f t="shared" si="8"/>
        <v>52.259161472671586</v>
      </c>
      <c r="L199">
        <f t="shared" si="9"/>
        <v>48.933273911253117</v>
      </c>
      <c r="M199">
        <f t="shared" si="10"/>
        <v>47.62594510038209</v>
      </c>
      <c r="O199">
        <f t="shared" si="11"/>
        <v>69.907333423955549</v>
      </c>
    </row>
    <row r="200" spans="1:15" x14ac:dyDescent="0.45">
      <c r="A200">
        <v>281</v>
      </c>
      <c r="B200">
        <v>0</v>
      </c>
      <c r="C200">
        <v>0</v>
      </c>
      <c r="D200">
        <v>15.667118176928316</v>
      </c>
      <c r="E200">
        <v>66.666666666666657</v>
      </c>
      <c r="F200">
        <v>100</v>
      </c>
      <c r="G200">
        <v>75</v>
      </c>
      <c r="H200">
        <v>33.333333333333329</v>
      </c>
      <c r="I200">
        <v>0</v>
      </c>
      <c r="J200">
        <v>23.097019598449403</v>
      </c>
      <c r="K200">
        <f t="shared" ref="K200:K263" si="12">D200*D$1+E200*E$1+F200*F$1+G200*G$1+H200*H$1+I200*I$1+J200*J$1</f>
        <v>36.012974098990519</v>
      </c>
      <c r="L200">
        <f t="shared" ref="L200:L263" si="13">D200*D$2+E200*E$2+F200*F$2+G200*G$2+H200*H$2+J200*J$2</f>
        <v>38.521834569402131</v>
      </c>
      <c r="M200">
        <f t="shared" ref="M200:M263" si="14">D200*D$3+E200*E$3+G200*G$3+H200*H$3+I200*I$3+J200*J$3</f>
        <v>29.803076133981733</v>
      </c>
      <c r="O200">
        <f t="shared" ref="O200:O263" si="15">(K200-$P$3)/($P$2-$P$3)*100</f>
        <v>53.661146050274475</v>
      </c>
    </row>
    <row r="201" spans="1:15" x14ac:dyDescent="0.45">
      <c r="A201">
        <v>282</v>
      </c>
      <c r="B201">
        <v>0</v>
      </c>
      <c r="C201">
        <v>0</v>
      </c>
      <c r="D201">
        <v>15.667118176928316</v>
      </c>
      <c r="E201">
        <v>66.666666666666657</v>
      </c>
      <c r="F201">
        <v>100</v>
      </c>
      <c r="G201">
        <v>75</v>
      </c>
      <c r="H201">
        <v>33.333333333333329</v>
      </c>
      <c r="I201">
        <v>33.333333333333329</v>
      </c>
      <c r="J201">
        <v>20.285192026458532</v>
      </c>
      <c r="K201">
        <f t="shared" si="12"/>
        <v>37.46924731798029</v>
      </c>
      <c r="L201">
        <f t="shared" si="13"/>
        <v>37.757377675572563</v>
      </c>
      <c r="M201">
        <f t="shared" si="14"/>
        <v>31.400679692548348</v>
      </c>
      <c r="O201">
        <f t="shared" si="15"/>
        <v>55.117419269264254</v>
      </c>
    </row>
    <row r="202" spans="1:15" x14ac:dyDescent="0.45">
      <c r="A202">
        <v>283</v>
      </c>
      <c r="B202">
        <v>0</v>
      </c>
      <c r="C202">
        <v>0</v>
      </c>
      <c r="D202">
        <v>16.203623111502679</v>
      </c>
      <c r="E202">
        <v>66.666666666666657</v>
      </c>
      <c r="F202">
        <v>100</v>
      </c>
      <c r="G202">
        <v>75</v>
      </c>
      <c r="H202">
        <v>33.333333333333329</v>
      </c>
      <c r="I202">
        <v>33.333333333333329</v>
      </c>
      <c r="J202">
        <v>17.1799148949342</v>
      </c>
      <c r="K202">
        <f t="shared" si="12"/>
        <v>36.585310156368621</v>
      </c>
      <c r="L202">
        <f t="shared" si="13"/>
        <v>36.811860623419236</v>
      </c>
      <c r="M202">
        <f t="shared" si="14"/>
        <v>30.430957022018362</v>
      </c>
      <c r="O202">
        <f t="shared" si="15"/>
        <v>54.233482107652584</v>
      </c>
    </row>
    <row r="203" spans="1:15" x14ac:dyDescent="0.45">
      <c r="A203">
        <v>284</v>
      </c>
      <c r="B203">
        <v>0</v>
      </c>
      <c r="C203">
        <v>0</v>
      </c>
      <c r="D203">
        <v>15.907097546251547</v>
      </c>
      <c r="E203">
        <v>66.666666666666657</v>
      </c>
      <c r="F203">
        <v>100</v>
      </c>
      <c r="G203">
        <v>75</v>
      </c>
      <c r="H203">
        <v>50</v>
      </c>
      <c r="I203">
        <v>0</v>
      </c>
      <c r="J203">
        <v>20.285192026458532</v>
      </c>
      <c r="K203">
        <f t="shared" si="12"/>
        <v>37.689293064405447</v>
      </c>
      <c r="L203">
        <f t="shared" si="13"/>
        <v>40.314935069620887</v>
      </c>
      <c r="M203">
        <f t="shared" si="14"/>
        <v>31.642080731139259</v>
      </c>
      <c r="O203">
        <f t="shared" si="15"/>
        <v>55.337465015689411</v>
      </c>
    </row>
    <row r="204" spans="1:15" x14ac:dyDescent="0.45">
      <c r="A204">
        <v>285</v>
      </c>
      <c r="B204">
        <v>0</v>
      </c>
      <c r="C204">
        <v>0</v>
      </c>
      <c r="D204">
        <v>15.667118176928316</v>
      </c>
      <c r="E204">
        <v>66.666666666666657</v>
      </c>
      <c r="F204">
        <v>100</v>
      </c>
      <c r="G204">
        <v>75</v>
      </c>
      <c r="H204">
        <v>33.333333333333329</v>
      </c>
      <c r="I204">
        <v>0</v>
      </c>
      <c r="J204">
        <v>20.285192026458532</v>
      </c>
      <c r="K204">
        <f t="shared" si="12"/>
        <v>35.298304960694949</v>
      </c>
      <c r="L204">
        <f t="shared" si="13"/>
        <v>37.757377675572563</v>
      </c>
      <c r="M204">
        <f t="shared" si="14"/>
        <v>29.019048834948677</v>
      </c>
      <c r="O204">
        <f t="shared" si="15"/>
        <v>52.946476911978912</v>
      </c>
    </row>
    <row r="205" spans="1:15" x14ac:dyDescent="0.45">
      <c r="A205">
        <v>286</v>
      </c>
      <c r="B205">
        <v>0</v>
      </c>
      <c r="C205">
        <v>0</v>
      </c>
      <c r="D205">
        <v>16.203623111502679</v>
      </c>
      <c r="E205">
        <v>66.666666666666657</v>
      </c>
      <c r="F205">
        <v>100</v>
      </c>
      <c r="G205">
        <v>75</v>
      </c>
      <c r="H205">
        <v>16.666666666666664</v>
      </c>
      <c r="I205">
        <v>0</v>
      </c>
      <c r="J205">
        <v>17.1799148949342</v>
      </c>
      <c r="K205">
        <f t="shared" si="12"/>
        <v>31.981027723627022</v>
      </c>
      <c r="L205">
        <f t="shared" si="13"/>
        <v>34.209000787956491</v>
      </c>
      <c r="M205">
        <f t="shared" si="14"/>
        <v>25.379832066018352</v>
      </c>
      <c r="O205">
        <f t="shared" si="15"/>
        <v>49.629199674910986</v>
      </c>
    </row>
    <row r="206" spans="1:15" x14ac:dyDescent="0.45">
      <c r="A206">
        <v>287</v>
      </c>
      <c r="B206">
        <v>0</v>
      </c>
      <c r="C206">
        <v>0</v>
      </c>
      <c r="D206">
        <v>17.667065670964284</v>
      </c>
      <c r="E206">
        <v>66.666666666666657</v>
      </c>
      <c r="F206">
        <v>100</v>
      </c>
      <c r="G206">
        <v>75</v>
      </c>
      <c r="H206">
        <v>33.333333333333329</v>
      </c>
      <c r="I206">
        <v>0</v>
      </c>
      <c r="J206">
        <v>17.1799148949342</v>
      </c>
      <c r="K206">
        <f t="shared" si="12"/>
        <v>34.156096939781229</v>
      </c>
      <c r="L206">
        <f t="shared" si="13"/>
        <v>36.535597205441498</v>
      </c>
      <c r="M206">
        <f t="shared" si="14"/>
        <v>27.765990291373345</v>
      </c>
      <c r="O206">
        <f t="shared" si="15"/>
        <v>51.804268891065199</v>
      </c>
    </row>
    <row r="207" spans="1:15" x14ac:dyDescent="0.45">
      <c r="A207">
        <v>288</v>
      </c>
      <c r="B207">
        <v>0</v>
      </c>
      <c r="C207">
        <v>0</v>
      </c>
      <c r="D207">
        <v>16.53288410008475</v>
      </c>
      <c r="E207">
        <v>66.666666666666657</v>
      </c>
      <c r="F207">
        <v>100</v>
      </c>
      <c r="G207">
        <v>75</v>
      </c>
      <c r="H207">
        <v>16.666666666666664</v>
      </c>
      <c r="I207">
        <v>33.333333333333329</v>
      </c>
      <c r="J207">
        <v>17.1799148949342</v>
      </c>
      <c r="K207">
        <f t="shared" si="12"/>
        <v>34.093861535478908</v>
      </c>
      <c r="L207">
        <f t="shared" si="13"/>
        <v>34.146844083872473</v>
      </c>
      <c r="M207">
        <f t="shared" si="14"/>
        <v>27.697714982807831</v>
      </c>
      <c r="O207">
        <f t="shared" si="15"/>
        <v>51.742033486762871</v>
      </c>
    </row>
    <row r="208" spans="1:15" x14ac:dyDescent="0.45">
      <c r="A208">
        <v>289</v>
      </c>
      <c r="B208">
        <v>0</v>
      </c>
      <c r="C208">
        <v>0</v>
      </c>
      <c r="D208">
        <v>17.667065670964284</v>
      </c>
      <c r="E208">
        <v>66.666666666666657</v>
      </c>
      <c r="F208">
        <v>100</v>
      </c>
      <c r="G208">
        <v>75</v>
      </c>
      <c r="H208">
        <v>16.666666666666664</v>
      </c>
      <c r="I208">
        <v>0</v>
      </c>
      <c r="J208">
        <v>4.3427299486990147</v>
      </c>
      <c r="K208">
        <f t="shared" si="12"/>
        <v>28.459989262550945</v>
      </c>
      <c r="L208">
        <f t="shared" si="13"/>
        <v>30.442667556570392</v>
      </c>
      <c r="M208">
        <f t="shared" si="14"/>
        <v>21.517079182897081</v>
      </c>
      <c r="O208">
        <f t="shared" si="15"/>
        <v>46.108161213834904</v>
      </c>
    </row>
    <row r="209" spans="1:15" x14ac:dyDescent="0.45">
      <c r="A209">
        <v>290</v>
      </c>
      <c r="B209">
        <v>0</v>
      </c>
      <c r="C209">
        <v>0</v>
      </c>
      <c r="D209">
        <v>16.203623111502679</v>
      </c>
      <c r="E209">
        <v>66.666666666666657</v>
      </c>
      <c r="F209">
        <v>100</v>
      </c>
      <c r="G209">
        <v>75</v>
      </c>
      <c r="H209">
        <v>33.333333333333329</v>
      </c>
      <c r="I209">
        <v>66.666666666666657</v>
      </c>
      <c r="J209">
        <v>17.1799148949342</v>
      </c>
      <c r="K209">
        <f t="shared" si="12"/>
        <v>38.756252513653969</v>
      </c>
      <c r="L209">
        <f t="shared" si="13"/>
        <v>36.811860623419236</v>
      </c>
      <c r="M209">
        <f t="shared" si="14"/>
        <v>32.812587879618029</v>
      </c>
      <c r="O209">
        <f t="shared" si="15"/>
        <v>56.404424464937932</v>
      </c>
    </row>
    <row r="210" spans="1:15" x14ac:dyDescent="0.45">
      <c r="A210">
        <v>291</v>
      </c>
      <c r="B210">
        <v>0</v>
      </c>
      <c r="C210">
        <v>0</v>
      </c>
      <c r="D210">
        <v>16.248333545381673</v>
      </c>
      <c r="E210">
        <v>66.666666666666657</v>
      </c>
      <c r="F210">
        <v>100</v>
      </c>
      <c r="G210">
        <v>75</v>
      </c>
      <c r="H210">
        <v>33.333333333333329</v>
      </c>
      <c r="I210">
        <v>0</v>
      </c>
      <c r="J210">
        <v>10.970686336204848</v>
      </c>
      <c r="K210">
        <f t="shared" si="12"/>
        <v>32.828306476472434</v>
      </c>
      <c r="L210">
        <f t="shared" si="13"/>
        <v>35.115305606369006</v>
      </c>
      <c r="M210">
        <f t="shared" si="14"/>
        <v>26.309338653788135</v>
      </c>
      <c r="O210">
        <f t="shared" si="15"/>
        <v>50.476478427756398</v>
      </c>
    </row>
    <row r="211" spans="1:15" x14ac:dyDescent="0.45">
      <c r="A211">
        <v>292</v>
      </c>
      <c r="B211">
        <v>0</v>
      </c>
      <c r="C211">
        <v>0</v>
      </c>
      <c r="D211">
        <v>17.92106845634952</v>
      </c>
      <c r="E211">
        <v>66.666666666666657</v>
      </c>
      <c r="F211">
        <v>100</v>
      </c>
      <c r="G211">
        <v>75</v>
      </c>
      <c r="H211">
        <v>100</v>
      </c>
      <c r="I211">
        <v>100</v>
      </c>
      <c r="J211">
        <v>10.970686336204848</v>
      </c>
      <c r="K211">
        <f t="shared" si="12"/>
        <v>48.779286716776745</v>
      </c>
      <c r="L211">
        <f t="shared" si="13"/>
        <v>45.21097207357797</v>
      </c>
      <c r="M211">
        <f t="shared" si="14"/>
        <v>43.808350832432595</v>
      </c>
      <c r="O211">
        <f t="shared" si="15"/>
        <v>66.427458668060709</v>
      </c>
    </row>
    <row r="212" spans="1:15" x14ac:dyDescent="0.45">
      <c r="A212">
        <v>293</v>
      </c>
      <c r="B212">
        <v>0</v>
      </c>
      <c r="C212">
        <v>0</v>
      </c>
      <c r="D212">
        <v>15.636289038237702</v>
      </c>
      <c r="E212">
        <v>66.666666666666657</v>
      </c>
      <c r="F212">
        <v>100</v>
      </c>
      <c r="G212">
        <v>75</v>
      </c>
      <c r="H212">
        <v>33.333333333333329</v>
      </c>
      <c r="I212">
        <v>33.333333333333329</v>
      </c>
      <c r="J212">
        <v>13.129308057765595</v>
      </c>
      <c r="K212">
        <f t="shared" si="12"/>
        <v>35.655910345653645</v>
      </c>
      <c r="L212">
        <f t="shared" si="13"/>
        <v>35.817713745719409</v>
      </c>
      <c r="M212">
        <f t="shared" si="14"/>
        <v>29.411359582769009</v>
      </c>
      <c r="O212">
        <f t="shared" si="15"/>
        <v>53.304082296937608</v>
      </c>
    </row>
    <row r="213" spans="1:15" x14ac:dyDescent="0.45">
      <c r="A213">
        <v>294</v>
      </c>
      <c r="B213">
        <v>0</v>
      </c>
      <c r="C213">
        <v>0</v>
      </c>
      <c r="D213">
        <v>15.636289038237702</v>
      </c>
      <c r="E213">
        <v>66.666666666666657</v>
      </c>
      <c r="F213">
        <v>100</v>
      </c>
      <c r="G213">
        <v>75</v>
      </c>
      <c r="H213">
        <v>16.666666666666664</v>
      </c>
      <c r="I213">
        <v>0</v>
      </c>
      <c r="J213">
        <v>13.129308057765595</v>
      </c>
      <c r="K213">
        <f t="shared" si="12"/>
        <v>31.051627912912046</v>
      </c>
      <c r="L213">
        <f t="shared" si="13"/>
        <v>33.214853910256664</v>
      </c>
      <c r="M213">
        <f t="shared" si="14"/>
        <v>24.360234626769</v>
      </c>
      <c r="O213">
        <f t="shared" si="15"/>
        <v>48.699799864196009</v>
      </c>
    </row>
    <row r="214" spans="1:15" x14ac:dyDescent="0.45">
      <c r="A214">
        <v>295</v>
      </c>
      <c r="B214">
        <v>0</v>
      </c>
      <c r="C214">
        <v>0</v>
      </c>
      <c r="D214">
        <v>16.248333545381673</v>
      </c>
      <c r="E214">
        <v>66.666666666666657</v>
      </c>
      <c r="F214">
        <v>100</v>
      </c>
      <c r="G214">
        <v>75</v>
      </c>
      <c r="H214">
        <v>33.333333333333329</v>
      </c>
      <c r="I214">
        <v>66.666666666666657</v>
      </c>
      <c r="J214">
        <v>10.970686336204848</v>
      </c>
      <c r="K214">
        <f t="shared" si="12"/>
        <v>37.170191191043124</v>
      </c>
      <c r="L214">
        <f t="shared" si="13"/>
        <v>35.115305606369006</v>
      </c>
      <c r="M214">
        <f t="shared" si="14"/>
        <v>31.072600368987473</v>
      </c>
      <c r="O214">
        <f t="shared" si="15"/>
        <v>54.818363142327087</v>
      </c>
    </row>
    <row r="215" spans="1:15" x14ac:dyDescent="0.45">
      <c r="A215">
        <v>297</v>
      </c>
      <c r="B215">
        <v>0</v>
      </c>
      <c r="C215">
        <v>0</v>
      </c>
      <c r="D215">
        <v>21.593358203288517</v>
      </c>
      <c r="E215">
        <v>66.666666666666657</v>
      </c>
      <c r="F215">
        <v>0</v>
      </c>
      <c r="G215">
        <v>100</v>
      </c>
      <c r="H215">
        <v>50</v>
      </c>
      <c r="I215">
        <v>0</v>
      </c>
      <c r="J215">
        <v>2.309053825318347</v>
      </c>
      <c r="K215">
        <f t="shared" si="12"/>
        <v>26.901592688788803</v>
      </c>
      <c r="L215">
        <f t="shared" si="13"/>
        <v>28.775704565872246</v>
      </c>
      <c r="M215">
        <f t="shared" si="14"/>
        <v>29.512374223658817</v>
      </c>
      <c r="O215">
        <f t="shared" si="15"/>
        <v>44.549764640072766</v>
      </c>
    </row>
    <row r="216" spans="1:15" x14ac:dyDescent="0.45">
      <c r="A216">
        <v>298</v>
      </c>
      <c r="B216">
        <v>0</v>
      </c>
      <c r="C216">
        <v>0</v>
      </c>
      <c r="D216">
        <v>21.175507815169823</v>
      </c>
      <c r="E216">
        <v>66.666666666666657</v>
      </c>
      <c r="F216">
        <v>0</v>
      </c>
      <c r="G216">
        <v>100</v>
      </c>
      <c r="H216">
        <v>50</v>
      </c>
      <c r="I216">
        <v>33.333333333333329</v>
      </c>
      <c r="J216">
        <v>2.309053825318347</v>
      </c>
      <c r="K216">
        <f t="shared" si="12"/>
        <v>29.146278001068442</v>
      </c>
      <c r="L216">
        <f t="shared" si="13"/>
        <v>28.854584857878692</v>
      </c>
      <c r="M216">
        <f t="shared" si="14"/>
        <v>31.974904740595651</v>
      </c>
      <c r="O216">
        <f t="shared" si="15"/>
        <v>46.794449952352409</v>
      </c>
    </row>
    <row r="217" spans="1:15" x14ac:dyDescent="0.45">
      <c r="A217">
        <v>299</v>
      </c>
      <c r="B217">
        <v>0</v>
      </c>
      <c r="C217">
        <v>0</v>
      </c>
      <c r="D217">
        <v>27.992546938726786</v>
      </c>
      <c r="E217">
        <v>33.333333333333329</v>
      </c>
      <c r="F217">
        <v>0</v>
      </c>
      <c r="G217">
        <v>25</v>
      </c>
      <c r="H217">
        <v>16.666666666666664</v>
      </c>
      <c r="I217">
        <v>0</v>
      </c>
      <c r="J217">
        <v>9.2706847373802592</v>
      </c>
      <c r="K217">
        <f t="shared" si="12"/>
        <v>7.6310877960830936</v>
      </c>
      <c r="L217">
        <f t="shared" si="13"/>
        <v>8.162711051224635</v>
      </c>
      <c r="M217">
        <f t="shared" si="14"/>
        <v>8.3716797505991742</v>
      </c>
      <c r="O217">
        <f t="shared" si="15"/>
        <v>25.279259747367057</v>
      </c>
    </row>
    <row r="218" spans="1:15" x14ac:dyDescent="0.45">
      <c r="A218">
        <v>300</v>
      </c>
      <c r="B218">
        <v>0</v>
      </c>
      <c r="C218">
        <v>0</v>
      </c>
      <c r="D218">
        <v>27.155751683946161</v>
      </c>
      <c r="E218">
        <v>33.333333333333329</v>
      </c>
      <c r="F218">
        <v>100</v>
      </c>
      <c r="G218">
        <v>25</v>
      </c>
      <c r="H218">
        <v>33.333333333333329</v>
      </c>
      <c r="I218">
        <v>100</v>
      </c>
      <c r="J218">
        <v>14.533581242908497</v>
      </c>
      <c r="K218">
        <f t="shared" si="12"/>
        <v>26.908976082369126</v>
      </c>
      <c r="L218">
        <f t="shared" si="13"/>
        <v>21.817056149713672</v>
      </c>
      <c r="M218">
        <f t="shared" si="14"/>
        <v>19.815541213421049</v>
      </c>
      <c r="O218">
        <f t="shared" si="15"/>
        <v>44.557148033653093</v>
      </c>
    </row>
    <row r="219" spans="1:15" x14ac:dyDescent="0.45">
      <c r="A219">
        <v>301</v>
      </c>
      <c r="B219">
        <v>0</v>
      </c>
      <c r="C219">
        <v>0</v>
      </c>
      <c r="D219">
        <v>27.414405032046641</v>
      </c>
      <c r="E219">
        <v>100</v>
      </c>
      <c r="F219">
        <v>100</v>
      </c>
      <c r="G219">
        <v>75</v>
      </c>
      <c r="H219">
        <v>83.333333333333343</v>
      </c>
      <c r="I219">
        <v>0</v>
      </c>
      <c r="J219">
        <v>13.430242463486692</v>
      </c>
      <c r="K219">
        <f t="shared" si="12"/>
        <v>42.933358580758437</v>
      </c>
      <c r="L219">
        <f t="shared" si="13"/>
        <v>45.924330831736498</v>
      </c>
      <c r="M219">
        <f t="shared" si="14"/>
        <v>37.395079290086748</v>
      </c>
      <c r="O219">
        <f t="shared" si="15"/>
        <v>60.581530532042407</v>
      </c>
    </row>
    <row r="220" spans="1:15" x14ac:dyDescent="0.45">
      <c r="A220">
        <v>302</v>
      </c>
      <c r="B220">
        <v>0</v>
      </c>
      <c r="C220">
        <v>0</v>
      </c>
      <c r="D220">
        <v>28.021893314063711</v>
      </c>
      <c r="E220">
        <v>66.666666666666657</v>
      </c>
      <c r="F220">
        <v>100</v>
      </c>
      <c r="G220">
        <v>75</v>
      </c>
      <c r="H220">
        <v>66.666666666666657</v>
      </c>
      <c r="I220">
        <v>66.666666666666657</v>
      </c>
      <c r="J220">
        <v>24.544069486781318</v>
      </c>
      <c r="K220">
        <f t="shared" si="12"/>
        <v>43.408936945063431</v>
      </c>
      <c r="L220">
        <f t="shared" si="13"/>
        <v>41.788676464225119</v>
      </c>
      <c r="M220">
        <f t="shared" si="14"/>
        <v>37.916812215806551</v>
      </c>
      <c r="O220">
        <f t="shared" si="15"/>
        <v>61.057108896347387</v>
      </c>
    </row>
    <row r="221" spans="1:15" x14ac:dyDescent="0.45">
      <c r="A221">
        <v>303</v>
      </c>
      <c r="B221">
        <v>0</v>
      </c>
      <c r="C221">
        <v>0</v>
      </c>
      <c r="D221">
        <v>19.185715494275538</v>
      </c>
      <c r="E221">
        <v>66.666666666666657</v>
      </c>
      <c r="F221">
        <v>0</v>
      </c>
      <c r="G221">
        <v>25</v>
      </c>
      <c r="H221">
        <v>16.666666666666664</v>
      </c>
      <c r="I221">
        <v>100</v>
      </c>
      <c r="J221">
        <v>5.4733524458347418</v>
      </c>
      <c r="K221">
        <f t="shared" si="12"/>
        <v>18.883514765431798</v>
      </c>
      <c r="L221">
        <f t="shared" si="13"/>
        <v>13.2324973641936</v>
      </c>
      <c r="M221">
        <f t="shared" si="14"/>
        <v>20.716147213382754</v>
      </c>
      <c r="O221">
        <f t="shared" si="15"/>
        <v>36.531686716715761</v>
      </c>
    </row>
    <row r="222" spans="1:15" x14ac:dyDescent="0.45">
      <c r="A222">
        <v>304</v>
      </c>
      <c r="B222">
        <v>1</v>
      </c>
      <c r="C222">
        <v>0</v>
      </c>
      <c r="D222">
        <v>21.686006987975396</v>
      </c>
      <c r="E222">
        <v>0</v>
      </c>
      <c r="F222">
        <v>0</v>
      </c>
      <c r="G222">
        <v>25</v>
      </c>
      <c r="H222">
        <v>16.666666666666664</v>
      </c>
      <c r="I222">
        <v>0</v>
      </c>
      <c r="J222">
        <v>5.5313936739016905</v>
      </c>
      <c r="K222">
        <f t="shared" si="12"/>
        <v>3.6431731590244043</v>
      </c>
      <c r="L222">
        <f t="shared" si="13"/>
        <v>3.8969764994654583</v>
      </c>
      <c r="M222">
        <f t="shared" si="14"/>
        <v>3.9967406716229759</v>
      </c>
      <c r="O222">
        <f t="shared" si="15"/>
        <v>21.291345110308367</v>
      </c>
    </row>
    <row r="223" spans="1:15" x14ac:dyDescent="0.45">
      <c r="A223">
        <v>305</v>
      </c>
      <c r="B223">
        <v>0</v>
      </c>
      <c r="C223">
        <v>1</v>
      </c>
      <c r="D223">
        <v>24.196273186033984</v>
      </c>
      <c r="E223">
        <v>0</v>
      </c>
      <c r="F223">
        <v>0</v>
      </c>
      <c r="G223">
        <v>25</v>
      </c>
      <c r="H223">
        <v>16.666666666666664</v>
      </c>
      <c r="I223">
        <v>0</v>
      </c>
      <c r="J223">
        <v>11.825818415115776</v>
      </c>
      <c r="K223">
        <f t="shared" si="12"/>
        <v>4.7999817298351068</v>
      </c>
      <c r="L223">
        <f t="shared" si="13"/>
        <v>5.1343746735442144</v>
      </c>
      <c r="M223">
        <f t="shared" si="14"/>
        <v>5.2658167386741752</v>
      </c>
      <c r="O223">
        <f t="shared" si="15"/>
        <v>22.44815368111907</v>
      </c>
    </row>
    <row r="224" spans="1:15" x14ac:dyDescent="0.45">
      <c r="A224">
        <v>306</v>
      </c>
      <c r="B224">
        <v>0</v>
      </c>
      <c r="C224">
        <v>0</v>
      </c>
      <c r="D224">
        <v>26.583145758497256</v>
      </c>
      <c r="E224">
        <v>0</v>
      </c>
      <c r="F224">
        <v>100</v>
      </c>
      <c r="G224">
        <v>75</v>
      </c>
      <c r="H224">
        <v>50</v>
      </c>
      <c r="I224">
        <v>0</v>
      </c>
      <c r="J224">
        <v>17.355164758415601</v>
      </c>
      <c r="K224">
        <f t="shared" si="12"/>
        <v>26.759443451430425</v>
      </c>
      <c r="L224">
        <f t="shared" si="13"/>
        <v>28.623652436252669</v>
      </c>
      <c r="M224">
        <f t="shared" si="14"/>
        <v>19.651496540900595</v>
      </c>
      <c r="O224">
        <f t="shared" si="15"/>
        <v>44.407615402714384</v>
      </c>
    </row>
    <row r="225" spans="1:15" x14ac:dyDescent="0.45">
      <c r="A225">
        <v>307</v>
      </c>
      <c r="B225">
        <v>0</v>
      </c>
      <c r="C225">
        <v>0</v>
      </c>
      <c r="D225">
        <v>25.853062087139612</v>
      </c>
      <c r="E225">
        <v>66.666666666666657</v>
      </c>
      <c r="F225">
        <v>100</v>
      </c>
      <c r="G225">
        <v>75</v>
      </c>
      <c r="H225">
        <v>83.333333333333343</v>
      </c>
      <c r="I225">
        <v>33.333333333333329</v>
      </c>
      <c r="J225">
        <v>17.355164758415601</v>
      </c>
      <c r="K225">
        <f t="shared" si="12"/>
        <v>42.226923242829663</v>
      </c>
      <c r="L225">
        <f t="shared" si="13"/>
        <v>42.846499290691057</v>
      </c>
      <c r="M225">
        <f t="shared" si="14"/>
        <v>36.62008487622591</v>
      </c>
      <c r="O225">
        <f t="shared" si="15"/>
        <v>59.875095194113626</v>
      </c>
    </row>
    <row r="226" spans="1:15" x14ac:dyDescent="0.45">
      <c r="A226">
        <v>308</v>
      </c>
      <c r="B226">
        <v>0</v>
      </c>
      <c r="C226">
        <v>0</v>
      </c>
      <c r="D226">
        <v>24.193009345060755</v>
      </c>
      <c r="E226">
        <v>66.666666666666657</v>
      </c>
      <c r="F226">
        <v>100</v>
      </c>
      <c r="G226">
        <v>75</v>
      </c>
      <c r="H226">
        <v>83.333333333333343</v>
      </c>
      <c r="I226">
        <v>0</v>
      </c>
      <c r="J226">
        <v>2.1524538258528425</v>
      </c>
      <c r="K226">
        <f t="shared" si="12"/>
        <v>36.484947506496688</v>
      </c>
      <c r="L226">
        <f t="shared" si="13"/>
        <v>39.026688222286616</v>
      </c>
      <c r="M226">
        <f t="shared" si="14"/>
        <v>30.320854244262264</v>
      </c>
      <c r="O226">
        <f t="shared" si="15"/>
        <v>54.133119457780651</v>
      </c>
    </row>
    <row r="227" spans="1:15" x14ac:dyDescent="0.45">
      <c r="A227">
        <v>309</v>
      </c>
      <c r="B227">
        <v>0</v>
      </c>
      <c r="C227">
        <v>1</v>
      </c>
      <c r="D227">
        <v>39.205225725069539</v>
      </c>
      <c r="E227">
        <v>0</v>
      </c>
      <c r="F227">
        <v>100</v>
      </c>
      <c r="G227">
        <v>100</v>
      </c>
      <c r="H227">
        <v>33.333333333333329</v>
      </c>
      <c r="I227">
        <v>0</v>
      </c>
      <c r="J227">
        <v>13.929905994888166</v>
      </c>
      <c r="K227">
        <f t="shared" si="12"/>
        <v>24.859083186394201</v>
      </c>
      <c r="L227">
        <f t="shared" si="13"/>
        <v>26.590902695818354</v>
      </c>
      <c r="M227">
        <f t="shared" si="14"/>
        <v>17.566707586197047</v>
      </c>
      <c r="O227">
        <f t="shared" si="15"/>
        <v>42.507255137678165</v>
      </c>
    </row>
    <row r="228" spans="1:15" x14ac:dyDescent="0.45">
      <c r="A228">
        <v>311</v>
      </c>
      <c r="B228">
        <v>0</v>
      </c>
      <c r="C228">
        <v>1</v>
      </c>
      <c r="D228">
        <v>30.754023998984565</v>
      </c>
      <c r="E228">
        <v>0</v>
      </c>
      <c r="F228">
        <v>100</v>
      </c>
      <c r="G228">
        <v>25</v>
      </c>
      <c r="H228">
        <v>16.666666666666664</v>
      </c>
      <c r="I228">
        <v>0</v>
      </c>
      <c r="J228">
        <v>12.283116159225891</v>
      </c>
      <c r="K228">
        <f t="shared" si="12"/>
        <v>12.605283973764029</v>
      </c>
      <c r="L228">
        <f t="shared" si="13"/>
        <v>13.48343690257132</v>
      </c>
      <c r="M228">
        <f t="shared" si="14"/>
        <v>4.1236853752693765</v>
      </c>
      <c r="O228">
        <f t="shared" si="15"/>
        <v>30.253455925047994</v>
      </c>
    </row>
    <row r="229" spans="1:15" x14ac:dyDescent="0.45">
      <c r="A229">
        <v>313</v>
      </c>
      <c r="B229">
        <v>0</v>
      </c>
      <c r="C229">
        <v>0</v>
      </c>
      <c r="D229">
        <v>37.494637716244789</v>
      </c>
      <c r="E229">
        <v>0</v>
      </c>
      <c r="F229">
        <v>100</v>
      </c>
      <c r="G229">
        <v>100</v>
      </c>
      <c r="H229">
        <v>50</v>
      </c>
      <c r="I229">
        <v>33.333333333333329</v>
      </c>
      <c r="J229">
        <v>18.10530322979826</v>
      </c>
      <c r="K229">
        <f t="shared" si="12"/>
        <v>30.826494430902713</v>
      </c>
      <c r="L229">
        <f t="shared" si="13"/>
        <v>30.651854341175312</v>
      </c>
      <c r="M229">
        <f t="shared" si="14"/>
        <v>24.113252091266425</v>
      </c>
      <c r="O229">
        <f t="shared" si="15"/>
        <v>48.474666382186676</v>
      </c>
    </row>
    <row r="230" spans="1:15" x14ac:dyDescent="0.45">
      <c r="A230">
        <v>314</v>
      </c>
      <c r="B230">
        <v>0</v>
      </c>
      <c r="C230">
        <v>0</v>
      </c>
      <c r="D230">
        <v>37.800771950349372</v>
      </c>
      <c r="E230">
        <v>66.666666666666657</v>
      </c>
      <c r="F230">
        <v>100</v>
      </c>
      <c r="G230">
        <v>100</v>
      </c>
      <c r="H230">
        <v>50</v>
      </c>
      <c r="I230">
        <v>33.333333333333329</v>
      </c>
      <c r="J230">
        <v>18.10530322979826</v>
      </c>
      <c r="K230">
        <f t="shared" si="12"/>
        <v>39.073478196358117</v>
      </c>
      <c r="L230">
        <f t="shared" si="13"/>
        <v>39.473368038882477</v>
      </c>
      <c r="M230">
        <f t="shared" si="14"/>
        <v>33.160600102151683</v>
      </c>
      <c r="O230">
        <f t="shared" si="15"/>
        <v>56.72165014764208</v>
      </c>
    </row>
    <row r="231" spans="1:15" x14ac:dyDescent="0.45">
      <c r="A231">
        <v>315</v>
      </c>
      <c r="B231">
        <v>0</v>
      </c>
      <c r="C231">
        <v>0</v>
      </c>
      <c r="D231">
        <v>37.764204897175908</v>
      </c>
      <c r="E231">
        <v>66.666666666666657</v>
      </c>
      <c r="F231">
        <v>100</v>
      </c>
      <c r="G231">
        <v>100</v>
      </c>
      <c r="H231">
        <v>50</v>
      </c>
      <c r="I231">
        <v>33.333333333333329</v>
      </c>
      <c r="J231">
        <v>18.10530322979826</v>
      </c>
      <c r="K231">
        <f t="shared" si="12"/>
        <v>39.079931612779689</v>
      </c>
      <c r="L231">
        <f t="shared" si="13"/>
        <v>39.480271035539069</v>
      </c>
      <c r="M231">
        <f t="shared" si="14"/>
        <v>33.167679818310418</v>
      </c>
      <c r="O231">
        <f t="shared" si="15"/>
        <v>56.728103564063645</v>
      </c>
    </row>
    <row r="232" spans="1:15" x14ac:dyDescent="0.45">
      <c r="A232">
        <v>316</v>
      </c>
      <c r="B232">
        <v>0</v>
      </c>
      <c r="C232">
        <v>0</v>
      </c>
      <c r="D232">
        <v>40.671317355363058</v>
      </c>
      <c r="E232">
        <v>66.666666666666657</v>
      </c>
      <c r="F232">
        <v>100</v>
      </c>
      <c r="G232">
        <v>75</v>
      </c>
      <c r="H232">
        <v>33.333333333333329</v>
      </c>
      <c r="I232">
        <v>0</v>
      </c>
      <c r="J232">
        <v>16.475705179510502</v>
      </c>
      <c r="K232">
        <f t="shared" si="12"/>
        <v>29.917281337788417</v>
      </c>
      <c r="L232">
        <f t="shared" si="13"/>
        <v>32.001482557166867</v>
      </c>
      <c r="M232">
        <f t="shared" si="14"/>
        <v>23.115800477027165</v>
      </c>
      <c r="O232">
        <f t="shared" si="15"/>
        <v>47.56545328907238</v>
      </c>
    </row>
    <row r="233" spans="1:15" x14ac:dyDescent="0.45">
      <c r="A233">
        <v>317</v>
      </c>
      <c r="B233">
        <v>0</v>
      </c>
      <c r="C233">
        <v>0</v>
      </c>
      <c r="D233">
        <v>44.285813676826393</v>
      </c>
      <c r="E233">
        <v>0</v>
      </c>
      <c r="F233">
        <v>100</v>
      </c>
      <c r="G233">
        <v>100</v>
      </c>
      <c r="H233">
        <v>83.333333333333343</v>
      </c>
      <c r="I233">
        <v>0</v>
      </c>
      <c r="J233">
        <v>10.506307703807769</v>
      </c>
      <c r="K233">
        <f t="shared" si="12"/>
        <v>30.392312457815777</v>
      </c>
      <c r="L233">
        <f t="shared" si="13"/>
        <v>32.509606939527295</v>
      </c>
      <c r="M233">
        <f t="shared" si="14"/>
        <v>23.636933048779085</v>
      </c>
      <c r="O233">
        <f t="shared" si="15"/>
        <v>48.04048440909974</v>
      </c>
    </row>
    <row r="234" spans="1:15" x14ac:dyDescent="0.45">
      <c r="A234">
        <v>318</v>
      </c>
      <c r="B234">
        <v>0</v>
      </c>
      <c r="C234">
        <v>0</v>
      </c>
      <c r="D234">
        <v>51.658638597760145</v>
      </c>
      <c r="E234">
        <v>100</v>
      </c>
      <c r="F234">
        <v>100</v>
      </c>
      <c r="G234">
        <v>75</v>
      </c>
      <c r="H234">
        <v>66.666666666666657</v>
      </c>
      <c r="I234">
        <v>100</v>
      </c>
      <c r="J234">
        <v>11.328813067271073</v>
      </c>
      <c r="K234">
        <f t="shared" si="12"/>
        <v>42.200071011728312</v>
      </c>
      <c r="L234">
        <f t="shared" si="13"/>
        <v>38.173412268335653</v>
      </c>
      <c r="M234">
        <f t="shared" si="14"/>
        <v>36.590626654098649</v>
      </c>
      <c r="O234">
        <f t="shared" si="15"/>
        <v>59.848242963012275</v>
      </c>
    </row>
    <row r="235" spans="1:15" x14ac:dyDescent="0.45">
      <c r="A235">
        <v>319</v>
      </c>
      <c r="B235">
        <v>0</v>
      </c>
      <c r="C235">
        <v>0</v>
      </c>
      <c r="D235">
        <v>59.6566865274078</v>
      </c>
      <c r="E235">
        <v>100</v>
      </c>
      <c r="F235">
        <v>100</v>
      </c>
      <c r="G235">
        <v>100</v>
      </c>
      <c r="H235">
        <v>33.333333333333329</v>
      </c>
      <c r="I235">
        <v>66.666666666666657</v>
      </c>
      <c r="J235">
        <v>18.394077500646318</v>
      </c>
      <c r="K235">
        <f t="shared" si="12"/>
        <v>39.177812936399505</v>
      </c>
      <c r="L235">
        <f t="shared" si="13"/>
        <v>37.262789247680395</v>
      </c>
      <c r="M235">
        <f t="shared" si="14"/>
        <v>33.275060458765168</v>
      </c>
      <c r="O235">
        <f t="shared" si="15"/>
        <v>56.825984887683468</v>
      </c>
    </row>
    <row r="236" spans="1:15" x14ac:dyDescent="0.45">
      <c r="A236">
        <v>320</v>
      </c>
      <c r="B236">
        <v>0</v>
      </c>
      <c r="C236">
        <v>0</v>
      </c>
      <c r="D236">
        <v>58.614428213809212</v>
      </c>
      <c r="E236">
        <v>100</v>
      </c>
      <c r="F236">
        <v>100</v>
      </c>
      <c r="G236">
        <v>75</v>
      </c>
      <c r="H236">
        <v>50</v>
      </c>
      <c r="I236">
        <v>33.333333333333329</v>
      </c>
      <c r="J236">
        <v>20.743756336495277</v>
      </c>
      <c r="K236">
        <f t="shared" si="12"/>
        <v>36.590228858669988</v>
      </c>
      <c r="L236">
        <f t="shared" si="13"/>
        <v>36.817121989387743</v>
      </c>
      <c r="M236">
        <f t="shared" si="14"/>
        <v>30.436353081080426</v>
      </c>
      <c r="O236">
        <f t="shared" si="15"/>
        <v>54.238400809953944</v>
      </c>
    </row>
    <row r="237" spans="1:15" x14ac:dyDescent="0.45">
      <c r="A237">
        <v>324</v>
      </c>
      <c r="B237">
        <v>0</v>
      </c>
      <c r="C237">
        <v>1</v>
      </c>
      <c r="D237">
        <v>62.502191441639013</v>
      </c>
      <c r="E237">
        <v>33.333333333333329</v>
      </c>
      <c r="F237">
        <v>100</v>
      </c>
      <c r="G237">
        <v>100</v>
      </c>
      <c r="H237">
        <v>33.333333333333329</v>
      </c>
      <c r="I237">
        <v>33.333333333333329</v>
      </c>
      <c r="J237">
        <v>0.81958320010801944</v>
      </c>
      <c r="K237">
        <f t="shared" si="12"/>
        <v>23.736852626751929</v>
      </c>
      <c r="L237">
        <f t="shared" si="13"/>
        <v>23.068309366935882</v>
      </c>
      <c r="M237">
        <f t="shared" si="14"/>
        <v>16.335565303116113</v>
      </c>
      <c r="O237">
        <f t="shared" si="15"/>
        <v>41.385024578035896</v>
      </c>
    </row>
    <row r="238" spans="1:15" x14ac:dyDescent="0.45">
      <c r="A238">
        <v>325</v>
      </c>
      <c r="B238">
        <v>0</v>
      </c>
      <c r="C238">
        <v>0</v>
      </c>
      <c r="D238">
        <v>59.513108337701759</v>
      </c>
      <c r="E238">
        <v>0</v>
      </c>
      <c r="F238">
        <v>100</v>
      </c>
      <c r="G238">
        <v>25</v>
      </c>
      <c r="H238">
        <v>33.333333333333329</v>
      </c>
      <c r="I238">
        <v>0</v>
      </c>
      <c r="J238">
        <v>3.0446689175368489</v>
      </c>
      <c r="K238">
        <f t="shared" si="12"/>
        <v>7.6150782190996429</v>
      </c>
      <c r="L238">
        <f t="shared" si="13"/>
        <v>8.1455861596678467</v>
      </c>
      <c r="M238">
        <f t="shared" si="14"/>
        <v>-1.3508165023122756</v>
      </c>
      <c r="O238">
        <f t="shared" si="15"/>
        <v>25.263250170383607</v>
      </c>
    </row>
    <row r="239" spans="1:15" x14ac:dyDescent="0.45">
      <c r="A239">
        <v>326</v>
      </c>
      <c r="B239">
        <v>0</v>
      </c>
      <c r="C239">
        <v>1</v>
      </c>
      <c r="D239">
        <v>61.104672583147988</v>
      </c>
      <c r="E239">
        <v>0</v>
      </c>
      <c r="F239">
        <v>100</v>
      </c>
      <c r="G239">
        <v>25</v>
      </c>
      <c r="H239">
        <v>16.666666666666664</v>
      </c>
      <c r="I239">
        <v>66.666666666666657</v>
      </c>
      <c r="J239">
        <v>1.1908612897883564</v>
      </c>
      <c r="K239">
        <f t="shared" si="12"/>
        <v>8.7715671993709492</v>
      </c>
      <c r="L239">
        <f t="shared" si="13"/>
        <v>4.7382783606099643</v>
      </c>
      <c r="M239">
        <f t="shared" si="14"/>
        <v>-8.2091041848058544E-2</v>
      </c>
      <c r="O239">
        <f t="shared" si="15"/>
        <v>26.419739150654912</v>
      </c>
    </row>
    <row r="240" spans="1:15" x14ac:dyDescent="0.45">
      <c r="A240">
        <v>327</v>
      </c>
      <c r="B240">
        <v>0</v>
      </c>
      <c r="C240">
        <v>0</v>
      </c>
      <c r="D240">
        <v>60.231277875504752</v>
      </c>
      <c r="E240">
        <v>0</v>
      </c>
      <c r="F240">
        <v>100</v>
      </c>
      <c r="G240">
        <v>25</v>
      </c>
      <c r="H240">
        <v>16.666666666666664</v>
      </c>
      <c r="I240">
        <v>66.666666666666657</v>
      </c>
      <c r="J240">
        <v>1.3977135478529266</v>
      </c>
      <c r="K240">
        <f t="shared" si="12"/>
        <v>8.9782800757085521</v>
      </c>
      <c r="L240">
        <f t="shared" si="13"/>
        <v>4.9593919849319708</v>
      </c>
      <c r="M240">
        <f t="shared" si="14"/>
        <v>0.14468318055203883</v>
      </c>
      <c r="O240">
        <f t="shared" si="15"/>
        <v>26.626452026992521</v>
      </c>
    </row>
    <row r="241" spans="1:15" x14ac:dyDescent="0.45">
      <c r="A241">
        <v>328</v>
      </c>
      <c r="B241">
        <v>0</v>
      </c>
      <c r="C241">
        <v>0</v>
      </c>
      <c r="D241">
        <v>60.169903884911925</v>
      </c>
      <c r="E241">
        <v>0</v>
      </c>
      <c r="F241">
        <v>100</v>
      </c>
      <c r="G241">
        <v>25</v>
      </c>
      <c r="H241">
        <v>16.666666666666664</v>
      </c>
      <c r="I241">
        <v>66.666666666666657</v>
      </c>
      <c r="J241">
        <v>1.3977135478529266</v>
      </c>
      <c r="K241">
        <f t="shared" si="12"/>
        <v>8.9891114631017395</v>
      </c>
      <c r="L241">
        <f t="shared" si="13"/>
        <v>4.9709779459295422</v>
      </c>
      <c r="M241">
        <f t="shared" si="14"/>
        <v>0.15656574683007124</v>
      </c>
      <c r="O241">
        <f t="shared" si="15"/>
        <v>26.637283414385703</v>
      </c>
    </row>
    <row r="242" spans="1:15" x14ac:dyDescent="0.45">
      <c r="A242">
        <v>329</v>
      </c>
      <c r="B242">
        <v>0</v>
      </c>
      <c r="C242">
        <v>0</v>
      </c>
      <c r="D242">
        <v>59.881129399762358</v>
      </c>
      <c r="E242">
        <v>0</v>
      </c>
      <c r="F242">
        <v>100</v>
      </c>
      <c r="G242">
        <v>25</v>
      </c>
      <c r="H242">
        <v>16.666666666666664</v>
      </c>
      <c r="I242">
        <v>66.666666666666657</v>
      </c>
      <c r="J242">
        <v>1.3977135478529266</v>
      </c>
      <c r="K242">
        <f t="shared" si="12"/>
        <v>9.0400748807923694</v>
      </c>
      <c r="L242">
        <f t="shared" si="13"/>
        <v>5.0254917536471027</v>
      </c>
      <c r="M242">
        <f t="shared" si="14"/>
        <v>0.21247513004028301</v>
      </c>
      <c r="O242">
        <f t="shared" si="15"/>
        <v>26.688246832076327</v>
      </c>
    </row>
    <row r="243" spans="1:15" x14ac:dyDescent="0.45">
      <c r="A243">
        <v>330</v>
      </c>
      <c r="B243">
        <v>0</v>
      </c>
      <c r="C243">
        <v>0</v>
      </c>
      <c r="D243">
        <v>51.6844934412212</v>
      </c>
      <c r="E243">
        <v>0</v>
      </c>
      <c r="F243">
        <v>100</v>
      </c>
      <c r="G243">
        <v>50</v>
      </c>
      <c r="H243">
        <v>16.666666666666664</v>
      </c>
      <c r="I243">
        <v>0</v>
      </c>
      <c r="J243">
        <v>3.3894734097699932</v>
      </c>
      <c r="K243">
        <f t="shared" si="12"/>
        <v>10.282111194739322</v>
      </c>
      <c r="L243">
        <f t="shared" si="13"/>
        <v>10.99841921911827</v>
      </c>
      <c r="M243">
        <f t="shared" si="14"/>
        <v>1.5750502355600506</v>
      </c>
      <c r="O243">
        <f t="shared" si="15"/>
        <v>27.930283146023282</v>
      </c>
    </row>
    <row r="244" spans="1:15" x14ac:dyDescent="0.45">
      <c r="A244">
        <v>331</v>
      </c>
      <c r="B244">
        <v>0</v>
      </c>
      <c r="C244">
        <v>0</v>
      </c>
      <c r="D244">
        <v>53.639218580181961</v>
      </c>
      <c r="E244">
        <v>0</v>
      </c>
      <c r="F244">
        <v>100</v>
      </c>
      <c r="G244">
        <v>75</v>
      </c>
      <c r="H244">
        <v>16.666666666666664</v>
      </c>
      <c r="I244">
        <v>0</v>
      </c>
      <c r="J244">
        <v>0.20685225806457036</v>
      </c>
      <c r="K244">
        <f t="shared" si="12"/>
        <v>12.759354201263131</v>
      </c>
      <c r="L244">
        <f t="shared" si="13"/>
        <v>13.648240503614558</v>
      </c>
      <c r="M244">
        <f t="shared" si="14"/>
        <v>4.2927080150542931</v>
      </c>
      <c r="O244">
        <f t="shared" si="15"/>
        <v>30.407526152547092</v>
      </c>
    </row>
    <row r="245" spans="1:15" x14ac:dyDescent="0.45">
      <c r="A245">
        <v>332</v>
      </c>
      <c r="B245">
        <v>0</v>
      </c>
      <c r="C245">
        <v>0</v>
      </c>
      <c r="D245">
        <v>58.413167516571384</v>
      </c>
      <c r="E245">
        <v>0</v>
      </c>
      <c r="F245">
        <v>100</v>
      </c>
      <c r="G245">
        <v>100</v>
      </c>
      <c r="H245">
        <v>16.666666666666664</v>
      </c>
      <c r="I245">
        <v>0</v>
      </c>
      <c r="J245">
        <v>0</v>
      </c>
      <c r="K245">
        <f t="shared" si="12"/>
        <v>15.495393085977815</v>
      </c>
      <c r="L245">
        <f t="shared" si="13"/>
        <v>16.574886800660735</v>
      </c>
      <c r="M245">
        <f t="shared" si="14"/>
        <v>7.2942776392138704</v>
      </c>
      <c r="O245">
        <f t="shared" si="15"/>
        <v>33.14356503726178</v>
      </c>
    </row>
    <row r="246" spans="1:15" x14ac:dyDescent="0.45">
      <c r="A246">
        <v>333</v>
      </c>
      <c r="B246">
        <v>0</v>
      </c>
      <c r="C246">
        <v>0</v>
      </c>
      <c r="D246">
        <v>58.134073490619542</v>
      </c>
      <c r="E246">
        <v>0</v>
      </c>
      <c r="F246">
        <v>100</v>
      </c>
      <c r="G246">
        <v>100</v>
      </c>
      <c r="H246">
        <v>16.666666666666664</v>
      </c>
      <c r="I246">
        <v>0</v>
      </c>
      <c r="J246">
        <v>0</v>
      </c>
      <c r="K246">
        <f t="shared" si="12"/>
        <v>15.544648079583558</v>
      </c>
      <c r="L246">
        <f t="shared" si="13"/>
        <v>16.627573166140632</v>
      </c>
      <c r="M246">
        <f t="shared" si="14"/>
        <v>7.3483127969271305</v>
      </c>
      <c r="O246">
        <f t="shared" si="15"/>
        <v>33.192820030867523</v>
      </c>
    </row>
    <row r="247" spans="1:15" x14ac:dyDescent="0.45">
      <c r="A247">
        <v>334</v>
      </c>
      <c r="B247">
        <v>0</v>
      </c>
      <c r="C247">
        <v>0</v>
      </c>
      <c r="D247">
        <v>58.59574275166446</v>
      </c>
      <c r="E247">
        <v>0</v>
      </c>
      <c r="F247">
        <v>100</v>
      </c>
      <c r="G247">
        <v>100</v>
      </c>
      <c r="H247">
        <v>16.666666666666664</v>
      </c>
      <c r="I247">
        <v>0</v>
      </c>
      <c r="J247">
        <v>0</v>
      </c>
      <c r="K247">
        <f t="shared" si="12"/>
        <v>15.463171894548127</v>
      </c>
      <c r="L247">
        <f t="shared" si="13"/>
        <v>16.540420905051235</v>
      </c>
      <c r="M247">
        <f t="shared" si="14"/>
        <v>7.2589294027579179</v>
      </c>
      <c r="O247">
        <f t="shared" si="15"/>
        <v>33.111343845832089</v>
      </c>
    </row>
    <row r="248" spans="1:15" x14ac:dyDescent="0.45">
      <c r="A248">
        <v>335</v>
      </c>
      <c r="B248">
        <v>0</v>
      </c>
      <c r="C248">
        <v>0</v>
      </c>
      <c r="D248">
        <v>57.88422707529206</v>
      </c>
      <c r="E248">
        <v>0</v>
      </c>
      <c r="F248">
        <v>100</v>
      </c>
      <c r="G248">
        <v>100</v>
      </c>
      <c r="H248">
        <v>16.666666666666664</v>
      </c>
      <c r="I248">
        <v>0</v>
      </c>
      <c r="J248">
        <v>0</v>
      </c>
      <c r="K248">
        <f t="shared" si="12"/>
        <v>15.58874140457467</v>
      </c>
      <c r="L248">
        <f t="shared" si="13"/>
        <v>16.674738272978338</v>
      </c>
      <c r="M248">
        <f t="shared" si="14"/>
        <v>7.3966853495472389</v>
      </c>
      <c r="O248">
        <f t="shared" si="15"/>
        <v>33.236913355858633</v>
      </c>
    </row>
    <row r="249" spans="1:15" x14ac:dyDescent="0.45">
      <c r="A249">
        <v>338</v>
      </c>
      <c r="B249">
        <v>0</v>
      </c>
      <c r="C249">
        <v>0</v>
      </c>
      <c r="D249">
        <v>46.379174126021262</v>
      </c>
      <c r="E249">
        <v>66.666666666666657</v>
      </c>
      <c r="F249">
        <v>0</v>
      </c>
      <c r="G249">
        <v>100</v>
      </c>
      <c r="H249">
        <v>66.666666666666657</v>
      </c>
      <c r="I249">
        <v>0</v>
      </c>
      <c r="J249">
        <v>40.077957449745817</v>
      </c>
      <c r="K249">
        <f t="shared" si="12"/>
        <v>34.560235950368991</v>
      </c>
      <c r="L249">
        <f t="shared" si="13"/>
        <v>36.967890746822192</v>
      </c>
      <c r="M249">
        <f t="shared" si="14"/>
        <v>37.914283679207635</v>
      </c>
      <c r="O249">
        <f t="shared" si="15"/>
        <v>52.208407901652954</v>
      </c>
    </row>
    <row r="250" spans="1:15" x14ac:dyDescent="0.45">
      <c r="A250">
        <v>339</v>
      </c>
      <c r="B250">
        <v>0</v>
      </c>
      <c r="C250">
        <v>0</v>
      </c>
      <c r="D250">
        <v>33.756682639737022</v>
      </c>
      <c r="E250">
        <v>100</v>
      </c>
      <c r="F250">
        <v>0</v>
      </c>
      <c r="G250">
        <v>25</v>
      </c>
      <c r="H250">
        <v>50</v>
      </c>
      <c r="I250">
        <v>0</v>
      </c>
      <c r="J250">
        <v>10.698497863619446</v>
      </c>
      <c r="K250">
        <f t="shared" si="12"/>
        <v>20.144414851088229</v>
      </c>
      <c r="L250">
        <f t="shared" si="13"/>
        <v>21.547784813828535</v>
      </c>
      <c r="M250">
        <f t="shared" si="14"/>
        <v>22.099416807009611</v>
      </c>
      <c r="O250">
        <f t="shared" si="15"/>
        <v>37.792586802372192</v>
      </c>
    </row>
    <row r="251" spans="1:15" x14ac:dyDescent="0.45">
      <c r="A251">
        <v>340</v>
      </c>
      <c r="B251">
        <v>0</v>
      </c>
      <c r="C251">
        <v>0</v>
      </c>
      <c r="D251">
        <v>54.235152926302156</v>
      </c>
      <c r="E251">
        <v>0</v>
      </c>
      <c r="F251">
        <v>0</v>
      </c>
      <c r="G251">
        <v>25</v>
      </c>
      <c r="H251">
        <v>66.666666666666657</v>
      </c>
      <c r="I251">
        <v>0</v>
      </c>
      <c r="J251">
        <v>0</v>
      </c>
      <c r="K251">
        <f t="shared" si="12"/>
        <v>3.7929755337439124</v>
      </c>
      <c r="L251">
        <f t="shared" si="13"/>
        <v>4.0572149257944385</v>
      </c>
      <c r="M251">
        <f t="shared" si="14"/>
        <v>4.1610812663773293</v>
      </c>
      <c r="O251">
        <f t="shared" si="15"/>
        <v>21.441147485027876</v>
      </c>
    </row>
    <row r="252" spans="1:15" x14ac:dyDescent="0.45">
      <c r="A252">
        <v>341</v>
      </c>
      <c r="B252">
        <v>0</v>
      </c>
      <c r="C252">
        <v>0</v>
      </c>
      <c r="D252">
        <v>49.975426345730007</v>
      </c>
      <c r="E252">
        <v>66.666666666666657</v>
      </c>
      <c r="F252">
        <v>100</v>
      </c>
      <c r="G252">
        <v>75</v>
      </c>
      <c r="H252">
        <v>33.333333333333329</v>
      </c>
      <c r="I252">
        <v>0</v>
      </c>
      <c r="J252">
        <v>5.7517508486631819</v>
      </c>
      <c r="K252">
        <f t="shared" si="12"/>
        <v>25.549618581339928</v>
      </c>
      <c r="L252">
        <f t="shared" si="13"/>
        <v>27.329544557923317</v>
      </c>
      <c r="M252">
        <f t="shared" si="14"/>
        <v>18.324258978268098</v>
      </c>
      <c r="O252">
        <f t="shared" si="15"/>
        <v>43.197790532623891</v>
      </c>
    </row>
    <row r="253" spans="1:15" x14ac:dyDescent="0.45">
      <c r="A253">
        <v>342</v>
      </c>
      <c r="B253">
        <v>0</v>
      </c>
      <c r="C253">
        <v>0</v>
      </c>
      <c r="D253">
        <v>50.742767991883817</v>
      </c>
      <c r="E253">
        <v>0</v>
      </c>
      <c r="F253">
        <v>100</v>
      </c>
      <c r="G253">
        <v>100</v>
      </c>
      <c r="H253">
        <v>50</v>
      </c>
      <c r="I253">
        <v>0</v>
      </c>
      <c r="J253">
        <v>14.298536152505287</v>
      </c>
      <c r="K253">
        <f t="shared" si="12"/>
        <v>25.349950976593291</v>
      </c>
      <c r="L253">
        <f t="shared" si="13"/>
        <v>27.11596701729097</v>
      </c>
      <c r="M253">
        <f t="shared" si="14"/>
        <v>18.105213766343521</v>
      </c>
      <c r="O253">
        <f t="shared" si="15"/>
        <v>42.998122927877255</v>
      </c>
    </row>
    <row r="254" spans="1:15" x14ac:dyDescent="0.45">
      <c r="A254">
        <v>343</v>
      </c>
      <c r="B254">
        <v>0</v>
      </c>
      <c r="C254">
        <v>0</v>
      </c>
      <c r="D254">
        <v>49.621139859069871</v>
      </c>
      <c r="E254">
        <v>66.666666666666657</v>
      </c>
      <c r="F254">
        <v>0</v>
      </c>
      <c r="G254">
        <v>75</v>
      </c>
      <c r="H254">
        <v>16.666666666666664</v>
      </c>
      <c r="I254">
        <v>0</v>
      </c>
      <c r="J254">
        <v>15.105216414578978</v>
      </c>
      <c r="K254">
        <f t="shared" si="12"/>
        <v>16.70973429880474</v>
      </c>
      <c r="L254">
        <f t="shared" si="13"/>
        <v>17.873825654828778</v>
      </c>
      <c r="M254">
        <f t="shared" si="14"/>
        <v>18.331402809832507</v>
      </c>
      <c r="O254">
        <f t="shared" si="15"/>
        <v>34.357906250088703</v>
      </c>
    </row>
    <row r="255" spans="1:15" x14ac:dyDescent="0.45">
      <c r="A255">
        <v>344</v>
      </c>
      <c r="B255">
        <v>0</v>
      </c>
      <c r="C255">
        <v>0</v>
      </c>
      <c r="D255">
        <v>49.134704533343196</v>
      </c>
      <c r="E255">
        <v>100</v>
      </c>
      <c r="F255">
        <v>100</v>
      </c>
      <c r="G255">
        <v>25</v>
      </c>
      <c r="H255">
        <v>16.666666666666664</v>
      </c>
      <c r="I255">
        <v>0</v>
      </c>
      <c r="J255">
        <v>19.5016004064809</v>
      </c>
      <c r="K255">
        <f t="shared" si="12"/>
        <v>23.647634732911705</v>
      </c>
      <c r="L255">
        <f t="shared" si="13"/>
        <v>25.295058126410268</v>
      </c>
      <c r="M255">
        <f t="shared" si="14"/>
        <v>16.237688872492857</v>
      </c>
      <c r="O255">
        <f t="shared" si="15"/>
        <v>41.295806684195668</v>
      </c>
    </row>
    <row r="256" spans="1:15" x14ac:dyDescent="0.45">
      <c r="A256">
        <v>345</v>
      </c>
      <c r="B256">
        <v>0</v>
      </c>
      <c r="C256">
        <v>1</v>
      </c>
      <c r="D256">
        <v>49.544971952679688</v>
      </c>
      <c r="E256">
        <v>0</v>
      </c>
      <c r="F256">
        <v>0</v>
      </c>
      <c r="G256">
        <v>25</v>
      </c>
      <c r="H256">
        <v>16.666666666666664</v>
      </c>
      <c r="I256">
        <v>0</v>
      </c>
      <c r="J256">
        <v>19.5016004064809</v>
      </c>
      <c r="K256">
        <f t="shared" si="12"/>
        <v>2.2773175985895509</v>
      </c>
      <c r="L256">
        <f t="shared" si="13"/>
        <v>2.4359679806982091</v>
      </c>
      <c r="M256">
        <f t="shared" si="14"/>
        <v>2.4983297447555279</v>
      </c>
      <c r="O256">
        <f t="shared" si="15"/>
        <v>19.925489549873515</v>
      </c>
    </row>
    <row r="257" spans="1:15" x14ac:dyDescent="0.45">
      <c r="A257">
        <v>346</v>
      </c>
      <c r="B257">
        <v>0</v>
      </c>
      <c r="C257">
        <v>0</v>
      </c>
      <c r="D257">
        <v>45.839225385980939</v>
      </c>
      <c r="E257">
        <v>33.333333333333329</v>
      </c>
      <c r="F257">
        <v>100</v>
      </c>
      <c r="G257">
        <v>75</v>
      </c>
      <c r="H257">
        <v>33.333333333333329</v>
      </c>
      <c r="I257">
        <v>33.333333333333329</v>
      </c>
      <c r="J257">
        <v>0.98942829900425222</v>
      </c>
      <c r="K257">
        <f t="shared" si="12"/>
        <v>23.089601989009775</v>
      </c>
      <c r="L257">
        <f t="shared" si="13"/>
        <v>22.375967714632804</v>
      </c>
      <c r="M257">
        <f t="shared" si="14"/>
        <v>15.625499424915937</v>
      </c>
      <c r="O257">
        <f t="shared" si="15"/>
        <v>40.737773940293735</v>
      </c>
    </row>
    <row r="258" spans="1:15" x14ac:dyDescent="0.45">
      <c r="A258">
        <v>347</v>
      </c>
      <c r="B258">
        <v>0</v>
      </c>
      <c r="C258">
        <v>0</v>
      </c>
      <c r="D258">
        <v>55.13469760769415</v>
      </c>
      <c r="E258">
        <v>100</v>
      </c>
      <c r="F258">
        <v>0</v>
      </c>
      <c r="G258">
        <v>50</v>
      </c>
      <c r="H258">
        <v>16.666666666666664</v>
      </c>
      <c r="I258">
        <v>0</v>
      </c>
      <c r="J258">
        <v>0.18443576240527057</v>
      </c>
      <c r="K258">
        <f t="shared" si="12"/>
        <v>12.463723865916533</v>
      </c>
      <c r="L258">
        <f t="shared" si="13"/>
        <v>13.332014944442045</v>
      </c>
      <c r="M258">
        <f t="shared" si="14"/>
        <v>13.67331991107614</v>
      </c>
      <c r="O258">
        <f t="shared" si="15"/>
        <v>30.111895817200494</v>
      </c>
    </row>
    <row r="259" spans="1:15" x14ac:dyDescent="0.45">
      <c r="A259">
        <v>348</v>
      </c>
      <c r="B259">
        <v>0</v>
      </c>
      <c r="C259">
        <v>0</v>
      </c>
      <c r="D259">
        <v>54.614716602133626</v>
      </c>
      <c r="E259">
        <v>100</v>
      </c>
      <c r="F259">
        <v>0</v>
      </c>
      <c r="G259">
        <v>50</v>
      </c>
      <c r="H259">
        <v>16.666666666666664</v>
      </c>
      <c r="I259">
        <v>0</v>
      </c>
      <c r="J259">
        <v>0.6105333774577697</v>
      </c>
      <c r="K259">
        <f t="shared" si="12"/>
        <v>12.663790257252938</v>
      </c>
      <c r="L259">
        <f t="shared" si="13"/>
        <v>13.546019053316083</v>
      </c>
      <c r="M259">
        <f t="shared" si="14"/>
        <v>13.892802611561663</v>
      </c>
      <c r="O259">
        <f t="shared" si="15"/>
        <v>30.311962208536901</v>
      </c>
    </row>
    <row r="260" spans="1:15" x14ac:dyDescent="0.45">
      <c r="A260">
        <v>349</v>
      </c>
      <c r="B260">
        <v>0</v>
      </c>
      <c r="C260">
        <v>0</v>
      </c>
      <c r="D260">
        <v>54.27397452091499</v>
      </c>
      <c r="E260">
        <v>100</v>
      </c>
      <c r="F260">
        <v>0</v>
      </c>
      <c r="G260">
        <v>50</v>
      </c>
      <c r="H260">
        <v>16.666666666666664</v>
      </c>
      <c r="I260">
        <v>0</v>
      </c>
      <c r="J260">
        <v>1.3652736554576856</v>
      </c>
      <c r="K260">
        <f t="shared" si="12"/>
        <v>12.91575383239144</v>
      </c>
      <c r="L260">
        <f t="shared" si="13"/>
        <v>13.815535787266487</v>
      </c>
      <c r="M260">
        <f t="shared" si="14"/>
        <v>14.169219082743957</v>
      </c>
      <c r="O260">
        <f t="shared" si="15"/>
        <v>30.563925783675401</v>
      </c>
    </row>
    <row r="261" spans="1:15" x14ac:dyDescent="0.45">
      <c r="A261">
        <v>350</v>
      </c>
      <c r="B261">
        <v>0</v>
      </c>
      <c r="C261">
        <v>0</v>
      </c>
      <c r="D261">
        <v>53.910947261615803</v>
      </c>
      <c r="E261">
        <v>100</v>
      </c>
      <c r="F261">
        <v>0</v>
      </c>
      <c r="G261">
        <v>50</v>
      </c>
      <c r="H261">
        <v>16.666666666666664</v>
      </c>
      <c r="I261">
        <v>0</v>
      </c>
      <c r="J261">
        <v>1.3652736554576856</v>
      </c>
      <c r="K261">
        <f t="shared" si="12"/>
        <v>12.979821507342594</v>
      </c>
      <c r="L261">
        <f t="shared" si="13"/>
        <v>13.884066766377813</v>
      </c>
      <c r="M261">
        <f t="shared" si="14"/>
        <v>14.239504482596368</v>
      </c>
      <c r="O261">
        <f t="shared" si="15"/>
        <v>30.627993458626555</v>
      </c>
    </row>
    <row r="262" spans="1:15" x14ac:dyDescent="0.45">
      <c r="A262">
        <v>351</v>
      </c>
      <c r="B262">
        <v>0</v>
      </c>
      <c r="C262">
        <v>0</v>
      </c>
      <c r="D262">
        <v>50.416504793538628</v>
      </c>
      <c r="E262">
        <v>33.333333333333329</v>
      </c>
      <c r="F262">
        <v>0</v>
      </c>
      <c r="G262">
        <v>25</v>
      </c>
      <c r="H262">
        <v>16.666666666666664</v>
      </c>
      <c r="I262">
        <v>0</v>
      </c>
      <c r="J262">
        <v>2.7405707076513122</v>
      </c>
      <c r="K262">
        <f t="shared" si="12"/>
        <v>2.0139404392537075</v>
      </c>
      <c r="L262">
        <f t="shared" si="13"/>
        <v>2.1542425299368722</v>
      </c>
      <c r="M262">
        <f t="shared" si="14"/>
        <v>2.209392008681522</v>
      </c>
      <c r="O262">
        <f t="shared" si="15"/>
        <v>19.662112390537672</v>
      </c>
    </row>
    <row r="263" spans="1:15" x14ac:dyDescent="0.45">
      <c r="A263">
        <v>352</v>
      </c>
      <c r="B263">
        <v>0</v>
      </c>
      <c r="C263">
        <v>0</v>
      </c>
      <c r="D263">
        <v>56.850701390489931</v>
      </c>
      <c r="E263">
        <v>66.666666666666657</v>
      </c>
      <c r="F263">
        <v>0</v>
      </c>
      <c r="G263">
        <v>50</v>
      </c>
      <c r="H263">
        <v>16.666666666666664</v>
      </c>
      <c r="I263">
        <v>0</v>
      </c>
      <c r="J263">
        <v>0</v>
      </c>
      <c r="K263">
        <f t="shared" si="12"/>
        <v>7.9634979568325246</v>
      </c>
      <c r="L263">
        <f t="shared" si="13"/>
        <v>8.5182787193205858</v>
      </c>
      <c r="M263">
        <f t="shared" si="14"/>
        <v>8.7363500945923107</v>
      </c>
      <c r="O263">
        <f t="shared" si="15"/>
        <v>25.61166990811649</v>
      </c>
    </row>
    <row r="264" spans="1:15" x14ac:dyDescent="0.45">
      <c r="A264">
        <v>353</v>
      </c>
      <c r="B264">
        <v>0</v>
      </c>
      <c r="C264">
        <v>0</v>
      </c>
      <c r="D264">
        <v>54.088305422870434</v>
      </c>
      <c r="E264">
        <v>0</v>
      </c>
      <c r="F264">
        <v>0</v>
      </c>
      <c r="G264">
        <v>25</v>
      </c>
      <c r="H264">
        <v>16.666666666666664</v>
      </c>
      <c r="I264">
        <v>0</v>
      </c>
      <c r="J264">
        <v>0</v>
      </c>
      <c r="K264">
        <f t="shared" ref="K264:K327" si="16">D264*D$1+E264*E$1+F264*F$1+G264*G$1+H264*H$1+I264*I$1+J264*J$1</f>
        <v>-3.4811287927130716</v>
      </c>
      <c r="L264">
        <f t="shared" ref="L264:L327" si="17">D264*D$2+E264*E$2+F264*F$2+G264*G$2+H264*H$2+J264*J$2</f>
        <v>-3.7236432375473947</v>
      </c>
      <c r="M264">
        <f t="shared" ref="M264:M327" si="18">D264*D$3+E264*E$3+G264*G$3+H264*H$3+I264*I$3+J264*J$3</f>
        <v>-3.8189700082001834</v>
      </c>
      <c r="O264">
        <f t="shared" ref="O264:O327" si="19">(K264-$P$3)/($P$2-$P$3)*100</f>
        <v>14.167043158570891</v>
      </c>
    </row>
    <row r="265" spans="1:15" x14ac:dyDescent="0.45">
      <c r="A265">
        <v>355</v>
      </c>
      <c r="B265">
        <v>0</v>
      </c>
      <c r="C265">
        <v>0</v>
      </c>
      <c r="D265">
        <v>32.744216940079191</v>
      </c>
      <c r="E265">
        <v>66.666666666666657</v>
      </c>
      <c r="F265">
        <v>100</v>
      </c>
      <c r="G265">
        <v>25</v>
      </c>
      <c r="H265">
        <v>66.666666666666657</v>
      </c>
      <c r="I265">
        <v>66.666666666666657</v>
      </c>
      <c r="J265">
        <v>13.5981993071047</v>
      </c>
      <c r="K265">
        <f t="shared" si="16"/>
        <v>32.531215672030825</v>
      </c>
      <c r="L265">
        <f t="shared" si="17"/>
        <v>30.153153715672836</v>
      </c>
      <c r="M265">
        <f t="shared" si="18"/>
        <v>25.983415385953414</v>
      </c>
      <c r="O265">
        <f t="shared" si="19"/>
        <v>50.179387623314788</v>
      </c>
    </row>
    <row r="266" spans="1:15" x14ac:dyDescent="0.45">
      <c r="A266">
        <v>356</v>
      </c>
      <c r="B266">
        <v>0</v>
      </c>
      <c r="C266">
        <v>0</v>
      </c>
      <c r="D266">
        <v>33.339323492538796</v>
      </c>
      <c r="E266">
        <v>66.666666666666657</v>
      </c>
      <c r="F266">
        <v>100</v>
      </c>
      <c r="G266">
        <v>25</v>
      </c>
      <c r="H266">
        <v>16.666666666666664</v>
      </c>
      <c r="I266">
        <v>0</v>
      </c>
      <c r="J266">
        <v>13.5981993071047</v>
      </c>
      <c r="K266">
        <f t="shared" si="16"/>
        <v>20.784285303419921</v>
      </c>
      <c r="L266">
        <f t="shared" si="17"/>
        <v>22.23223213669657</v>
      </c>
      <c r="M266">
        <f t="shared" si="18"/>
        <v>13.096453300538096</v>
      </c>
      <c r="O266">
        <f t="shared" si="19"/>
        <v>38.432457254703884</v>
      </c>
    </row>
    <row r="267" spans="1:15" x14ac:dyDescent="0.45">
      <c r="A267">
        <v>357</v>
      </c>
      <c r="B267">
        <v>0</v>
      </c>
      <c r="C267">
        <v>0</v>
      </c>
      <c r="D267">
        <v>33.02112848161903</v>
      </c>
      <c r="E267">
        <v>66.666666666666657</v>
      </c>
      <c r="F267">
        <v>100</v>
      </c>
      <c r="G267">
        <v>25</v>
      </c>
      <c r="H267">
        <v>33.333333333333329</v>
      </c>
      <c r="I267">
        <v>0</v>
      </c>
      <c r="J267">
        <v>13.5981993071047</v>
      </c>
      <c r="K267">
        <f t="shared" si="16"/>
        <v>23.273780981543709</v>
      </c>
      <c r="L267">
        <f t="shared" si="17"/>
        <v>24.895159680817798</v>
      </c>
      <c r="M267">
        <f t="shared" si="18"/>
        <v>15.827552865196562</v>
      </c>
      <c r="O267">
        <f t="shared" si="19"/>
        <v>40.921952932827672</v>
      </c>
    </row>
    <row r="268" spans="1:15" x14ac:dyDescent="0.45">
      <c r="A268">
        <v>358</v>
      </c>
      <c r="B268">
        <v>0</v>
      </c>
      <c r="C268">
        <v>0</v>
      </c>
      <c r="D268">
        <v>33.02112848161903</v>
      </c>
      <c r="E268">
        <v>66.666666666666657</v>
      </c>
      <c r="F268">
        <v>100</v>
      </c>
      <c r="G268">
        <v>25</v>
      </c>
      <c r="H268">
        <v>33.333333333333329</v>
      </c>
      <c r="I268">
        <v>0</v>
      </c>
      <c r="J268">
        <v>13.5981993071047</v>
      </c>
      <c r="K268">
        <f t="shared" si="16"/>
        <v>23.273780981543709</v>
      </c>
      <c r="L268">
        <f t="shared" si="17"/>
        <v>24.895159680817798</v>
      </c>
      <c r="M268">
        <f t="shared" si="18"/>
        <v>15.827552865196562</v>
      </c>
      <c r="O268">
        <f t="shared" si="19"/>
        <v>40.921952932827672</v>
      </c>
    </row>
    <row r="269" spans="1:15" x14ac:dyDescent="0.45">
      <c r="A269">
        <v>359</v>
      </c>
      <c r="B269">
        <v>0</v>
      </c>
      <c r="C269">
        <v>0</v>
      </c>
      <c r="D269">
        <v>33.259224751467222</v>
      </c>
      <c r="E269">
        <v>66.666666666666657</v>
      </c>
      <c r="F269">
        <v>100</v>
      </c>
      <c r="G269">
        <v>25</v>
      </c>
      <c r="H269">
        <v>66.666666666666657</v>
      </c>
      <c r="I269">
        <v>0</v>
      </c>
      <c r="J269">
        <v>13.5981993071047</v>
      </c>
      <c r="K269">
        <f t="shared" si="16"/>
        <v>28.098441493343824</v>
      </c>
      <c r="L269">
        <f t="shared" si="17"/>
        <v>30.055932395068602</v>
      </c>
      <c r="M269">
        <f t="shared" si="18"/>
        <v>21.120443445080113</v>
      </c>
      <c r="O269">
        <f t="shared" si="19"/>
        <v>45.746613444627783</v>
      </c>
    </row>
    <row r="270" spans="1:15" x14ac:dyDescent="0.45">
      <c r="A270">
        <v>360</v>
      </c>
      <c r="B270">
        <v>0</v>
      </c>
      <c r="C270">
        <v>0</v>
      </c>
      <c r="D270">
        <v>41.93702237560678</v>
      </c>
      <c r="E270">
        <v>0</v>
      </c>
      <c r="F270">
        <v>0</v>
      </c>
      <c r="G270">
        <v>75</v>
      </c>
      <c r="H270">
        <v>50</v>
      </c>
      <c r="I270">
        <v>66.666666666666657</v>
      </c>
      <c r="J270">
        <v>0.98942829900425222</v>
      </c>
      <c r="K270">
        <f t="shared" si="16"/>
        <v>15.38565034570477</v>
      </c>
      <c r="L270">
        <f t="shared" si="17"/>
        <v>11.81313466353564</v>
      </c>
      <c r="M270">
        <f t="shared" si="18"/>
        <v>16.878817396786939</v>
      </c>
      <c r="O270">
        <f t="shared" si="19"/>
        <v>33.033822296988731</v>
      </c>
    </row>
    <row r="271" spans="1:15" x14ac:dyDescent="0.45">
      <c r="A271">
        <v>361</v>
      </c>
      <c r="B271">
        <v>0</v>
      </c>
      <c r="C271">
        <v>0</v>
      </c>
      <c r="D271">
        <v>41.788766609290391</v>
      </c>
      <c r="E271">
        <v>33.333333333333329</v>
      </c>
      <c r="F271">
        <v>100</v>
      </c>
      <c r="G271">
        <v>75</v>
      </c>
      <c r="H271">
        <v>33.333333333333329</v>
      </c>
      <c r="I271">
        <v>0</v>
      </c>
      <c r="J271">
        <v>2.0136835103682236</v>
      </c>
      <c r="K271">
        <f t="shared" si="16"/>
        <v>21.893821745488911</v>
      </c>
      <c r="L271">
        <f t="shared" si="17"/>
        <v>23.419064947355849</v>
      </c>
      <c r="M271">
        <f t="shared" si="18"/>
        <v>14.313669510445752</v>
      </c>
      <c r="O271">
        <f t="shared" si="19"/>
        <v>39.541993696772877</v>
      </c>
    </row>
    <row r="272" spans="1:15" x14ac:dyDescent="0.45">
      <c r="A272">
        <v>362</v>
      </c>
      <c r="B272">
        <v>0</v>
      </c>
      <c r="C272">
        <v>0</v>
      </c>
      <c r="D272">
        <v>28.848429288113238</v>
      </c>
      <c r="E272">
        <v>66.666666666666657</v>
      </c>
      <c r="F272">
        <v>100</v>
      </c>
      <c r="G272">
        <v>100</v>
      </c>
      <c r="H272">
        <v>50</v>
      </c>
      <c r="I272">
        <v>33.333333333333329</v>
      </c>
      <c r="J272">
        <v>23.947453333364269</v>
      </c>
      <c r="K272">
        <f t="shared" si="16"/>
        <v>42.138275147472037</v>
      </c>
      <c r="L272">
        <f t="shared" si="17"/>
        <v>42.751675484835069</v>
      </c>
      <c r="M272">
        <f t="shared" si="18"/>
        <v>36.522833542645984</v>
      </c>
      <c r="O272">
        <f t="shared" si="19"/>
        <v>59.786447098756</v>
      </c>
    </row>
    <row r="273" spans="1:15" x14ac:dyDescent="0.45">
      <c r="A273">
        <v>363</v>
      </c>
      <c r="B273">
        <v>0</v>
      </c>
      <c r="C273">
        <v>0</v>
      </c>
      <c r="D273">
        <v>27.86347530654627</v>
      </c>
      <c r="E273">
        <v>66.666666666666657</v>
      </c>
      <c r="F273">
        <v>100</v>
      </c>
      <c r="G273">
        <v>25</v>
      </c>
      <c r="H273">
        <v>33.333333333333329</v>
      </c>
      <c r="I273">
        <v>0</v>
      </c>
      <c r="J273">
        <v>20.394396821880875</v>
      </c>
      <c r="K273">
        <f t="shared" si="16"/>
        <v>25.911370400902129</v>
      </c>
      <c r="L273">
        <f t="shared" si="17"/>
        <v>27.716497985042402</v>
      </c>
      <c r="M273">
        <f t="shared" si="18"/>
        <v>18.72111856939032</v>
      </c>
      <c r="O273">
        <f t="shared" si="19"/>
        <v>43.559542352186092</v>
      </c>
    </row>
    <row r="274" spans="1:15" x14ac:dyDescent="0.45">
      <c r="A274">
        <v>364</v>
      </c>
      <c r="B274">
        <v>0</v>
      </c>
      <c r="C274">
        <v>0</v>
      </c>
      <c r="D274">
        <v>30.522067697602022</v>
      </c>
      <c r="E274">
        <v>0</v>
      </c>
      <c r="F274">
        <v>0</v>
      </c>
      <c r="G274">
        <v>25</v>
      </c>
      <c r="H274">
        <v>16.666666666666664</v>
      </c>
      <c r="I274">
        <v>0</v>
      </c>
      <c r="J274">
        <v>10.596960538563154</v>
      </c>
      <c r="K274">
        <f t="shared" si="16"/>
        <v>3.3712615451512482</v>
      </c>
      <c r="L274">
        <f t="shared" si="17"/>
        <v>3.6061220374504903</v>
      </c>
      <c r="M274">
        <f t="shared" si="18"/>
        <v>3.6984402179205498</v>
      </c>
      <c r="O274">
        <f t="shared" si="19"/>
        <v>21.019433496435212</v>
      </c>
    </row>
    <row r="275" spans="1:15" x14ac:dyDescent="0.45">
      <c r="A275">
        <v>365</v>
      </c>
      <c r="B275">
        <v>0</v>
      </c>
      <c r="C275">
        <v>0</v>
      </c>
      <c r="D275">
        <v>26.571629883539867</v>
      </c>
      <c r="E275">
        <v>100</v>
      </c>
      <c r="F275">
        <v>100</v>
      </c>
      <c r="G275">
        <v>75</v>
      </c>
      <c r="H275">
        <v>66.666666666666657</v>
      </c>
      <c r="I275">
        <v>0</v>
      </c>
      <c r="J275">
        <v>13.439483466898363</v>
      </c>
      <c r="K275">
        <f t="shared" si="16"/>
        <v>40.65110165553758</v>
      </c>
      <c r="L275">
        <f t="shared" si="17"/>
        <v>43.483079423936367</v>
      </c>
      <c r="M275">
        <f t="shared" si="18"/>
        <v>34.891330860361812</v>
      </c>
      <c r="O275">
        <f t="shared" si="19"/>
        <v>58.299273606821544</v>
      </c>
    </row>
    <row r="276" spans="1:15" x14ac:dyDescent="0.45">
      <c r="A276">
        <v>366</v>
      </c>
      <c r="B276">
        <v>0</v>
      </c>
      <c r="C276">
        <v>0</v>
      </c>
      <c r="D276">
        <v>26.571629883539867</v>
      </c>
      <c r="E276">
        <v>66.666666666666657</v>
      </c>
      <c r="F276">
        <v>100</v>
      </c>
      <c r="G276">
        <v>75</v>
      </c>
      <c r="H276">
        <v>50</v>
      </c>
      <c r="I276">
        <v>0</v>
      </c>
      <c r="J276">
        <v>13.439483466898363</v>
      </c>
      <c r="K276">
        <f t="shared" si="16"/>
        <v>34.067256149335357</v>
      </c>
      <c r="L276">
        <f t="shared" si="17"/>
        <v>36.440567280304968</v>
      </c>
      <c r="M276">
        <f t="shared" si="18"/>
        <v>27.668527561776045</v>
      </c>
      <c r="O276">
        <f t="shared" si="19"/>
        <v>51.71542810061932</v>
      </c>
    </row>
    <row r="277" spans="1:15" x14ac:dyDescent="0.45">
      <c r="A277">
        <v>367</v>
      </c>
      <c r="B277">
        <v>0</v>
      </c>
      <c r="C277">
        <v>0</v>
      </c>
      <c r="D277">
        <v>26.571629883539867</v>
      </c>
      <c r="E277">
        <v>66.666666666666657</v>
      </c>
      <c r="F277">
        <v>100</v>
      </c>
      <c r="G277">
        <v>75</v>
      </c>
      <c r="H277">
        <v>50</v>
      </c>
      <c r="I277">
        <v>0</v>
      </c>
      <c r="J277">
        <v>15.98617150623417</v>
      </c>
      <c r="K277">
        <f t="shared" si="16"/>
        <v>34.71453600557885</v>
      </c>
      <c r="L277">
        <f t="shared" si="17"/>
        <v>37.132940186629789</v>
      </c>
      <c r="M277">
        <f t="shared" si="18"/>
        <v>28.378625494113528</v>
      </c>
      <c r="O277">
        <f t="shared" si="19"/>
        <v>52.362707956862806</v>
      </c>
    </row>
    <row r="278" spans="1:15" x14ac:dyDescent="0.45">
      <c r="A278">
        <v>369</v>
      </c>
      <c r="B278">
        <v>0</v>
      </c>
      <c r="C278">
        <v>0</v>
      </c>
      <c r="D278">
        <v>28.449994261661445</v>
      </c>
      <c r="E278">
        <v>100</v>
      </c>
      <c r="F278">
        <v>100</v>
      </c>
      <c r="G278">
        <v>50</v>
      </c>
      <c r="H278">
        <v>33.333333333333329</v>
      </c>
      <c r="I278">
        <v>0</v>
      </c>
      <c r="J278">
        <v>30.538872795614175</v>
      </c>
      <c r="K278">
        <f t="shared" si="16"/>
        <v>36.167868520297304</v>
      </c>
      <c r="L278">
        <f t="shared" si="17"/>
        <v>38.687519782095258</v>
      </c>
      <c r="M278">
        <f t="shared" si="18"/>
        <v>29.973002955030811</v>
      </c>
      <c r="O278">
        <f t="shared" si="19"/>
        <v>53.816040471581275</v>
      </c>
    </row>
    <row r="279" spans="1:15" x14ac:dyDescent="0.45">
      <c r="A279">
        <v>370</v>
      </c>
      <c r="B279">
        <v>1</v>
      </c>
      <c r="C279">
        <v>0</v>
      </c>
      <c r="D279">
        <v>61.646141991194447</v>
      </c>
      <c r="E279">
        <v>0</v>
      </c>
      <c r="F279">
        <v>0</v>
      </c>
      <c r="G279">
        <v>25</v>
      </c>
      <c r="H279">
        <v>33.333333333333329</v>
      </c>
      <c r="I279">
        <v>66.666666666666657</v>
      </c>
      <c r="J279">
        <v>2.1300373301935429</v>
      </c>
      <c r="K279">
        <f t="shared" si="16"/>
        <v>2.5016576869662739</v>
      </c>
      <c r="L279">
        <f t="shared" si="17"/>
        <v>-1.968427293248932</v>
      </c>
      <c r="M279">
        <f t="shared" si="18"/>
        <v>2.7444418883053663</v>
      </c>
      <c r="O279">
        <f t="shared" si="19"/>
        <v>20.149829638250239</v>
      </c>
    </row>
    <row r="280" spans="1:15" x14ac:dyDescent="0.45">
      <c r="A280">
        <v>371</v>
      </c>
      <c r="B280">
        <v>0</v>
      </c>
      <c r="C280">
        <v>0</v>
      </c>
      <c r="D280">
        <v>61.646141991194447</v>
      </c>
      <c r="E280">
        <v>66.666666666666657</v>
      </c>
      <c r="F280">
        <v>0</v>
      </c>
      <c r="G280">
        <v>25</v>
      </c>
      <c r="H280">
        <v>33.333333333333329</v>
      </c>
      <c r="I280">
        <v>0</v>
      </c>
      <c r="J280">
        <v>2.1300373301935429</v>
      </c>
      <c r="K280">
        <f t="shared" si="16"/>
        <v>6.4607838338875148</v>
      </c>
      <c r="L280">
        <f t="shared" si="17"/>
        <v>6.9108773230883731</v>
      </c>
      <c r="M280">
        <f t="shared" si="18"/>
        <v>7.0877985734768849</v>
      </c>
      <c r="O280">
        <f t="shared" si="19"/>
        <v>24.108955785171478</v>
      </c>
    </row>
    <row r="281" spans="1:15" x14ac:dyDescent="0.45">
      <c r="A281">
        <v>372</v>
      </c>
      <c r="B281">
        <v>0</v>
      </c>
      <c r="C281">
        <v>0</v>
      </c>
      <c r="D281">
        <v>62.390027612487145</v>
      </c>
      <c r="E281">
        <v>0</v>
      </c>
      <c r="F281">
        <v>0</v>
      </c>
      <c r="G281">
        <v>25</v>
      </c>
      <c r="H281">
        <v>33.333333333333329</v>
      </c>
      <c r="I281">
        <v>0</v>
      </c>
      <c r="J281">
        <v>2.1300373301935429</v>
      </c>
      <c r="K281">
        <f t="shared" si="16"/>
        <v>-1.9715092411710273</v>
      </c>
      <c r="L281">
        <f t="shared" si="17"/>
        <v>-2.1088553428461951</v>
      </c>
      <c r="M281">
        <f t="shared" si="18"/>
        <v>-2.1628428912719739</v>
      </c>
      <c r="O281">
        <f t="shared" si="19"/>
        <v>15.676662710112934</v>
      </c>
    </row>
    <row r="282" spans="1:15" x14ac:dyDescent="0.45">
      <c r="A282">
        <v>373</v>
      </c>
      <c r="B282">
        <v>0</v>
      </c>
      <c r="C282">
        <v>0</v>
      </c>
      <c r="D282">
        <v>62.743892709313201</v>
      </c>
      <c r="E282">
        <v>33.333333333333329</v>
      </c>
      <c r="F282">
        <v>0</v>
      </c>
      <c r="G282">
        <v>25</v>
      </c>
      <c r="H282">
        <v>33.333333333333329</v>
      </c>
      <c r="I282">
        <v>0</v>
      </c>
      <c r="J282">
        <v>1.7387493097237017</v>
      </c>
      <c r="K282">
        <f t="shared" si="16"/>
        <v>2.0170936122324821</v>
      </c>
      <c r="L282">
        <f t="shared" si="17"/>
        <v>2.1576153701672616</v>
      </c>
      <c r="M282">
        <f t="shared" si="18"/>
        <v>2.2128511949839127</v>
      </c>
      <c r="O282">
        <f t="shared" si="19"/>
        <v>19.665265563516446</v>
      </c>
    </row>
    <row r="283" spans="1:15" x14ac:dyDescent="0.45">
      <c r="A283">
        <v>374</v>
      </c>
      <c r="B283">
        <v>0</v>
      </c>
      <c r="C283">
        <v>0</v>
      </c>
      <c r="D283">
        <v>62.390027612487145</v>
      </c>
      <c r="E283">
        <v>100</v>
      </c>
      <c r="F283">
        <v>0</v>
      </c>
      <c r="G283">
        <v>25</v>
      </c>
      <c r="H283">
        <v>33.333333333333329</v>
      </c>
      <c r="I283">
        <v>33.333333333333329</v>
      </c>
      <c r="J283">
        <v>2.1300373301935429</v>
      </c>
      <c r="K283">
        <f t="shared" si="16"/>
        <v>12.65094940835221</v>
      </c>
      <c r="L283">
        <f t="shared" si="17"/>
        <v>11.210101581659767</v>
      </c>
      <c r="M283">
        <f t="shared" si="18"/>
        <v>13.878715566883983</v>
      </c>
      <c r="O283">
        <f t="shared" si="19"/>
        <v>30.299121359636171</v>
      </c>
    </row>
    <row r="284" spans="1:15" x14ac:dyDescent="0.45">
      <c r="A284">
        <v>375</v>
      </c>
      <c r="B284">
        <v>0</v>
      </c>
      <c r="C284">
        <v>0</v>
      </c>
      <c r="D284">
        <v>62.390897744534669</v>
      </c>
      <c r="E284">
        <v>100</v>
      </c>
      <c r="F284">
        <v>0</v>
      </c>
      <c r="G284">
        <v>25</v>
      </c>
      <c r="H284">
        <v>66.666666666666657</v>
      </c>
      <c r="I284">
        <v>66.666666666666657</v>
      </c>
      <c r="J284">
        <v>3.1610400551392295</v>
      </c>
      <c r="K284">
        <f t="shared" si="16"/>
        <v>19.950463522337884</v>
      </c>
      <c r="L284">
        <f t="shared" si="17"/>
        <v>16.695957658024643</v>
      </c>
      <c r="M284">
        <f t="shared" si="18"/>
        <v>21.886642631834412</v>
      </c>
      <c r="O284">
        <f t="shared" si="19"/>
        <v>37.598635473621847</v>
      </c>
    </row>
    <row r="285" spans="1:15" x14ac:dyDescent="0.45">
      <c r="A285">
        <v>376</v>
      </c>
      <c r="B285">
        <v>0</v>
      </c>
      <c r="C285">
        <v>0</v>
      </c>
      <c r="D285">
        <v>41.052612550562131</v>
      </c>
      <c r="E285">
        <v>66.666666666666657</v>
      </c>
      <c r="F285">
        <v>100</v>
      </c>
      <c r="G285">
        <v>100</v>
      </c>
      <c r="H285">
        <v>50</v>
      </c>
      <c r="I285">
        <v>66.666666666666657</v>
      </c>
      <c r="J285">
        <v>6.856195702315306</v>
      </c>
      <c r="K285">
        <f t="shared" si="16"/>
        <v>37.811396783742914</v>
      </c>
      <c r="L285">
        <f t="shared" si="17"/>
        <v>35.801181082775429</v>
      </c>
      <c r="M285">
        <f t="shared" si="18"/>
        <v>31.776034534576702</v>
      </c>
      <c r="O285">
        <f t="shared" si="19"/>
        <v>55.459568735026878</v>
      </c>
    </row>
    <row r="286" spans="1:15" x14ac:dyDescent="0.45">
      <c r="A286">
        <v>377</v>
      </c>
      <c r="B286">
        <v>0</v>
      </c>
      <c r="C286">
        <v>0</v>
      </c>
      <c r="D286">
        <v>49.299456668764925</v>
      </c>
      <c r="E286">
        <v>0</v>
      </c>
      <c r="F286">
        <v>100</v>
      </c>
      <c r="G286">
        <v>100</v>
      </c>
      <c r="H286">
        <v>33.333333333333329</v>
      </c>
      <c r="I286">
        <v>66.666666666666657</v>
      </c>
      <c r="J286">
        <v>6.7166767584032465</v>
      </c>
      <c r="K286">
        <f t="shared" si="16"/>
        <v>25.586167735082608</v>
      </c>
      <c r="L286">
        <f t="shared" si="17"/>
        <v>22.724275807164137</v>
      </c>
      <c r="M286">
        <f t="shared" si="18"/>
        <v>18.364355202877935</v>
      </c>
      <c r="O286">
        <f t="shared" si="19"/>
        <v>43.234339686366567</v>
      </c>
    </row>
    <row r="287" spans="1:15" x14ac:dyDescent="0.45">
      <c r="A287">
        <v>378</v>
      </c>
      <c r="B287">
        <v>0</v>
      </c>
      <c r="C287">
        <v>0</v>
      </c>
      <c r="D287">
        <v>50.036924183869758</v>
      </c>
      <c r="E287">
        <v>33.333333333333329</v>
      </c>
      <c r="F287">
        <v>0</v>
      </c>
      <c r="G287">
        <v>75</v>
      </c>
      <c r="H287">
        <v>50</v>
      </c>
      <c r="I287">
        <v>0</v>
      </c>
      <c r="J287">
        <v>1.2196917276791097</v>
      </c>
      <c r="K287">
        <f t="shared" si="16"/>
        <v>13.823311447758366</v>
      </c>
      <c r="L287">
        <f t="shared" si="17"/>
        <v>14.786318822993211</v>
      </c>
      <c r="M287">
        <f t="shared" si="18"/>
        <v>15.164854556230347</v>
      </c>
      <c r="O287">
        <f t="shared" si="19"/>
        <v>31.471483399042327</v>
      </c>
    </row>
    <row r="288" spans="1:15" x14ac:dyDescent="0.45">
      <c r="A288">
        <v>379</v>
      </c>
      <c r="B288">
        <v>0</v>
      </c>
      <c r="C288">
        <v>0</v>
      </c>
      <c r="D288">
        <v>48.849986797412939</v>
      </c>
      <c r="E288">
        <v>33.333333333333329</v>
      </c>
      <c r="F288">
        <v>0</v>
      </c>
      <c r="G288">
        <v>75</v>
      </c>
      <c r="H288">
        <v>16.666666666666664</v>
      </c>
      <c r="I288">
        <v>0</v>
      </c>
      <c r="J288">
        <v>7.6318152293891561</v>
      </c>
      <c r="K288">
        <f t="shared" si="16"/>
        <v>10.795843660268455</v>
      </c>
      <c r="L288">
        <f t="shared" si="17"/>
        <v>11.547941094086079</v>
      </c>
      <c r="M288">
        <f t="shared" si="18"/>
        <v>11.843573049663256</v>
      </c>
      <c r="O288">
        <f t="shared" si="19"/>
        <v>28.444015611552416</v>
      </c>
    </row>
    <row r="289" spans="1:15" x14ac:dyDescent="0.45">
      <c r="A289">
        <v>380</v>
      </c>
      <c r="B289">
        <v>0</v>
      </c>
      <c r="C289">
        <v>0</v>
      </c>
      <c r="D289">
        <v>49.878369857803264</v>
      </c>
      <c r="E289">
        <v>0</v>
      </c>
      <c r="F289">
        <v>0</v>
      </c>
      <c r="G289">
        <v>100</v>
      </c>
      <c r="H289">
        <v>100</v>
      </c>
      <c r="I289">
        <v>100</v>
      </c>
      <c r="J289">
        <v>0.3912880204698409</v>
      </c>
      <c r="K289">
        <f t="shared" si="16"/>
        <v>26.93421201574807</v>
      </c>
      <c r="L289">
        <f t="shared" si="17"/>
        <v>21.844050156044723</v>
      </c>
      <c r="M289">
        <f t="shared" si="18"/>
        <v>29.548159234430571</v>
      </c>
      <c r="O289">
        <f t="shared" si="19"/>
        <v>44.58238396703203</v>
      </c>
    </row>
    <row r="290" spans="1:15" x14ac:dyDescent="0.45">
      <c r="A290">
        <v>381</v>
      </c>
      <c r="B290">
        <v>0</v>
      </c>
      <c r="C290">
        <v>1</v>
      </c>
      <c r="D290">
        <v>51.479710679459799</v>
      </c>
      <c r="E290">
        <v>66.666666666666657</v>
      </c>
      <c r="F290">
        <v>0</v>
      </c>
      <c r="G290">
        <v>75</v>
      </c>
      <c r="H290">
        <v>33.333333333333329</v>
      </c>
      <c r="I290">
        <v>0</v>
      </c>
      <c r="J290">
        <v>2.7892192102674622</v>
      </c>
      <c r="K290">
        <f t="shared" si="16"/>
        <v>15.684770862984035</v>
      </c>
      <c r="L290">
        <f t="shared" si="17"/>
        <v>16.777457667951566</v>
      </c>
      <c r="M290">
        <f t="shared" si="18"/>
        <v>17.206967359729429</v>
      </c>
      <c r="O290">
        <f t="shared" si="19"/>
        <v>33.332942814267994</v>
      </c>
    </row>
    <row r="291" spans="1:15" x14ac:dyDescent="0.45">
      <c r="A291">
        <v>386</v>
      </c>
      <c r="B291">
        <v>0</v>
      </c>
      <c r="C291">
        <v>1</v>
      </c>
      <c r="D291">
        <v>91.052364934808978</v>
      </c>
      <c r="E291">
        <v>66.666666666666657</v>
      </c>
      <c r="F291">
        <v>0</v>
      </c>
      <c r="G291">
        <v>25</v>
      </c>
      <c r="H291">
        <v>16.666666666666664</v>
      </c>
      <c r="I291">
        <v>0</v>
      </c>
      <c r="J291">
        <v>0</v>
      </c>
      <c r="K291">
        <f t="shared" si="16"/>
        <v>-1.7035987140629927</v>
      </c>
      <c r="L291">
        <f t="shared" si="17"/>
        <v>-1.8222807051534358</v>
      </c>
      <c r="M291">
        <f t="shared" si="18"/>
        <v>-1.8689318271227822</v>
      </c>
      <c r="O291">
        <f t="shared" si="19"/>
        <v>15.944573237220972</v>
      </c>
    </row>
    <row r="292" spans="1:15" x14ac:dyDescent="0.45">
      <c r="A292">
        <v>387</v>
      </c>
      <c r="B292">
        <v>0</v>
      </c>
      <c r="C292">
        <v>0</v>
      </c>
      <c r="D292">
        <v>91.237031617585984</v>
      </c>
      <c r="E292">
        <v>33.333333333333329</v>
      </c>
      <c r="F292">
        <v>0</v>
      </c>
      <c r="G292">
        <v>25</v>
      </c>
      <c r="H292">
        <v>16.666666666666664</v>
      </c>
      <c r="I292">
        <v>0</v>
      </c>
      <c r="J292">
        <v>0</v>
      </c>
      <c r="K292">
        <f t="shared" si="16"/>
        <v>-5.8866944385221771</v>
      </c>
      <c r="L292">
        <f t="shared" si="17"/>
        <v>-6.2967937248961423</v>
      </c>
      <c r="M292">
        <f t="shared" si="18"/>
        <v>-6.45799418717686</v>
      </c>
      <c r="O292">
        <f t="shared" si="19"/>
        <v>11.761477512761786</v>
      </c>
    </row>
    <row r="293" spans="1:15" x14ac:dyDescent="0.45">
      <c r="A293">
        <v>389</v>
      </c>
      <c r="B293">
        <v>0</v>
      </c>
      <c r="C293">
        <v>1</v>
      </c>
      <c r="D293">
        <v>83.509126613085371</v>
      </c>
      <c r="E293">
        <v>0</v>
      </c>
      <c r="F293">
        <v>100</v>
      </c>
      <c r="G293">
        <v>100</v>
      </c>
      <c r="H293">
        <v>16.666666666666664</v>
      </c>
      <c r="I293">
        <v>0</v>
      </c>
      <c r="J293">
        <v>5.8814245762176407</v>
      </c>
      <c r="K293">
        <f t="shared" si="16"/>
        <v>12.561269406293549</v>
      </c>
      <c r="L293">
        <f t="shared" si="17"/>
        <v>13.436356039933287</v>
      </c>
      <c r="M293">
        <f t="shared" si="18"/>
        <v>4.075399223534478</v>
      </c>
      <c r="O293">
        <f t="shared" si="19"/>
        <v>30.209441357577511</v>
      </c>
    </row>
    <row r="294" spans="1:15" x14ac:dyDescent="0.45">
      <c r="A294">
        <v>390</v>
      </c>
      <c r="B294">
        <v>0</v>
      </c>
      <c r="C294">
        <v>0</v>
      </c>
      <c r="D294">
        <v>81.597941296335904</v>
      </c>
      <c r="E294">
        <v>0</v>
      </c>
      <c r="F294">
        <v>100</v>
      </c>
      <c r="G294">
        <v>50</v>
      </c>
      <c r="H294">
        <v>33.333333333333329</v>
      </c>
      <c r="I294">
        <v>0</v>
      </c>
      <c r="J294">
        <v>2.7735502281898774</v>
      </c>
      <c r="K294">
        <f t="shared" si="16"/>
        <v>7.2797282252966156</v>
      </c>
      <c r="L294">
        <f t="shared" si="17"/>
        <v>7.7868738536910866</v>
      </c>
      <c r="M294">
        <f t="shared" si="18"/>
        <v>-1.7187119881859105</v>
      </c>
      <c r="O294">
        <f t="shared" si="19"/>
        <v>24.927900176580579</v>
      </c>
    </row>
    <row r="295" spans="1:15" x14ac:dyDescent="0.45">
      <c r="A295">
        <v>391</v>
      </c>
      <c r="B295">
        <v>0</v>
      </c>
      <c r="C295">
        <v>0</v>
      </c>
      <c r="D295">
        <v>69.881788219481095</v>
      </c>
      <c r="E295">
        <v>0</v>
      </c>
      <c r="F295">
        <v>100</v>
      </c>
      <c r="G295">
        <v>100</v>
      </c>
      <c r="H295">
        <v>33.333333333333329</v>
      </c>
      <c r="I295">
        <v>66.666666666666657</v>
      </c>
      <c r="J295">
        <v>11.365319602106482</v>
      </c>
      <c r="K295">
        <f t="shared" si="16"/>
        <v>23.135286405700889</v>
      </c>
      <c r="L295">
        <f t="shared" si="17"/>
        <v>20.102652698221139</v>
      </c>
      <c r="M295">
        <f t="shared" si="18"/>
        <v>15.675617483618815</v>
      </c>
      <c r="O295">
        <f t="shared" si="19"/>
        <v>40.783458356984852</v>
      </c>
    </row>
    <row r="296" spans="1:15" x14ac:dyDescent="0.45">
      <c r="A296">
        <v>392</v>
      </c>
      <c r="B296">
        <v>0</v>
      </c>
      <c r="C296">
        <v>0</v>
      </c>
      <c r="D296">
        <v>68.607980502918181</v>
      </c>
      <c r="E296">
        <v>66.666666666666657</v>
      </c>
      <c r="F296">
        <v>0</v>
      </c>
      <c r="G296">
        <v>25</v>
      </c>
      <c r="H296">
        <v>33.333333333333329</v>
      </c>
      <c r="I296">
        <v>0</v>
      </c>
      <c r="J296">
        <v>2.1529934539961664</v>
      </c>
      <c r="K296">
        <f t="shared" si="16"/>
        <v>5.2379812536031931</v>
      </c>
      <c r="L296">
        <f t="shared" si="17"/>
        <v>5.6028876363917925</v>
      </c>
      <c r="M296">
        <f t="shared" si="18"/>
        <v>5.7463238225768771</v>
      </c>
      <c r="O296">
        <f t="shared" si="19"/>
        <v>22.886153204887158</v>
      </c>
    </row>
    <row r="297" spans="1:15" x14ac:dyDescent="0.45">
      <c r="A297">
        <v>393</v>
      </c>
      <c r="B297">
        <v>0</v>
      </c>
      <c r="C297">
        <v>0</v>
      </c>
      <c r="D297">
        <v>68.018769491218507</v>
      </c>
      <c r="E297">
        <v>66.666666666666657</v>
      </c>
      <c r="F297">
        <v>0</v>
      </c>
      <c r="G297">
        <v>25</v>
      </c>
      <c r="H297">
        <v>33.333333333333329</v>
      </c>
      <c r="I297">
        <v>0</v>
      </c>
      <c r="J297">
        <v>1.9415739291584995</v>
      </c>
      <c r="K297">
        <f t="shared" si="16"/>
        <v>5.288230708627716</v>
      </c>
      <c r="L297">
        <f t="shared" si="17"/>
        <v>5.6566377429044215</v>
      </c>
      <c r="M297">
        <f t="shared" si="18"/>
        <v>5.8014499535228943</v>
      </c>
      <c r="O297">
        <f t="shared" si="19"/>
        <v>22.936402659911678</v>
      </c>
    </row>
    <row r="298" spans="1:15" x14ac:dyDescent="0.45">
      <c r="A298">
        <v>394</v>
      </c>
      <c r="B298">
        <v>0</v>
      </c>
      <c r="C298">
        <v>1</v>
      </c>
      <c r="D298">
        <v>67.600388399129926</v>
      </c>
      <c r="E298">
        <v>66.666666666666657</v>
      </c>
      <c r="F298">
        <v>0</v>
      </c>
      <c r="G298">
        <v>25</v>
      </c>
      <c r="H298">
        <v>16.666666666666664</v>
      </c>
      <c r="I298">
        <v>0</v>
      </c>
      <c r="J298">
        <v>5.2805635228114394</v>
      </c>
      <c r="K298">
        <f t="shared" si="16"/>
        <v>3.7773827056255964</v>
      </c>
      <c r="L298">
        <f t="shared" si="17"/>
        <v>4.0405358161049172</v>
      </c>
      <c r="M298">
        <f t="shared" si="18"/>
        <v>4.1439751647439973</v>
      </c>
      <c r="O298">
        <f t="shared" si="19"/>
        <v>21.425554656909561</v>
      </c>
    </row>
    <row r="299" spans="1:15" x14ac:dyDescent="0.45">
      <c r="A299">
        <v>395</v>
      </c>
      <c r="B299">
        <v>0</v>
      </c>
      <c r="C299">
        <v>0</v>
      </c>
      <c r="D299">
        <v>66.780089317623066</v>
      </c>
      <c r="E299">
        <v>33.333333333333329</v>
      </c>
      <c r="F299">
        <v>0</v>
      </c>
      <c r="G299">
        <v>50</v>
      </c>
      <c r="H299">
        <v>16.666666666666664</v>
      </c>
      <c r="I299">
        <v>0</v>
      </c>
      <c r="J299">
        <v>0.41370451612914072</v>
      </c>
      <c r="K299">
        <f t="shared" si="16"/>
        <v>2.1657864240346956</v>
      </c>
      <c r="L299">
        <f t="shared" si="17"/>
        <v>2.3166669353659457</v>
      </c>
      <c r="M299">
        <f t="shared" si="18"/>
        <v>2.3759745444837286</v>
      </c>
      <c r="O299">
        <f t="shared" si="19"/>
        <v>19.813958375318659</v>
      </c>
    </row>
    <row r="300" spans="1:15" x14ac:dyDescent="0.45">
      <c r="A300">
        <v>397</v>
      </c>
      <c r="B300">
        <v>0</v>
      </c>
      <c r="C300">
        <v>0</v>
      </c>
      <c r="D300">
        <v>60.69559176533005</v>
      </c>
      <c r="E300">
        <v>66.666666666666657</v>
      </c>
      <c r="F300">
        <v>0</v>
      </c>
      <c r="G300">
        <v>100</v>
      </c>
      <c r="H300">
        <v>16.666666666666664</v>
      </c>
      <c r="I300">
        <v>33.333333333333329</v>
      </c>
      <c r="J300">
        <v>21.262277875772462</v>
      </c>
      <c r="K300">
        <f t="shared" si="16"/>
        <v>22.12227829917417</v>
      </c>
      <c r="L300">
        <f t="shared" si="17"/>
        <v>21.341254973261201</v>
      </c>
      <c r="M300">
        <f t="shared" si="18"/>
        <v>24.269230576717554</v>
      </c>
      <c r="O300">
        <f t="shared" si="19"/>
        <v>39.770450250458133</v>
      </c>
    </row>
    <row r="301" spans="1:15" x14ac:dyDescent="0.45">
      <c r="A301">
        <v>398</v>
      </c>
      <c r="B301">
        <v>0</v>
      </c>
      <c r="C301">
        <v>0</v>
      </c>
      <c r="D301">
        <v>57.549783438550072</v>
      </c>
      <c r="E301">
        <v>66.666666666666657</v>
      </c>
      <c r="F301">
        <v>100</v>
      </c>
      <c r="G301">
        <v>100</v>
      </c>
      <c r="H301">
        <v>66.666666666666657</v>
      </c>
      <c r="I301">
        <v>66.666666666666657</v>
      </c>
      <c r="J301">
        <v>31.69072614202733</v>
      </c>
      <c r="K301">
        <f t="shared" si="16"/>
        <v>43.645364889086665</v>
      </c>
      <c r="L301">
        <f t="shared" si="17"/>
        <v>42.041575270144683</v>
      </c>
      <c r="M301">
        <f t="shared" si="18"/>
        <v>38.176185333289368</v>
      </c>
      <c r="O301">
        <f t="shared" si="19"/>
        <v>61.293536840370635</v>
      </c>
    </row>
    <row r="302" spans="1:15" x14ac:dyDescent="0.45">
      <c r="A302">
        <v>399</v>
      </c>
      <c r="B302">
        <v>0</v>
      </c>
      <c r="C302">
        <v>0</v>
      </c>
      <c r="D302">
        <v>57.299807134676485</v>
      </c>
      <c r="E302">
        <v>66.666666666666657</v>
      </c>
      <c r="F302">
        <v>100</v>
      </c>
      <c r="G302">
        <v>100</v>
      </c>
      <c r="H302">
        <v>33.333333333333329</v>
      </c>
      <c r="I302">
        <v>0</v>
      </c>
      <c r="J302">
        <v>31.69072614202733</v>
      </c>
      <c r="K302">
        <f t="shared" si="16"/>
        <v>34.48091627154853</v>
      </c>
      <c r="L302">
        <f t="shared" si="17"/>
        <v>36.88304522594904</v>
      </c>
      <c r="M302">
        <f t="shared" si="18"/>
        <v>28.122333121520736</v>
      </c>
      <c r="O302">
        <f t="shared" si="19"/>
        <v>52.1290882228325</v>
      </c>
    </row>
    <row r="303" spans="1:15" x14ac:dyDescent="0.45">
      <c r="A303">
        <v>400</v>
      </c>
      <c r="B303">
        <v>0</v>
      </c>
      <c r="C303">
        <v>0</v>
      </c>
      <c r="D303">
        <v>61.87292359889048</v>
      </c>
      <c r="E303">
        <v>33.333333333333329</v>
      </c>
      <c r="F303">
        <v>100</v>
      </c>
      <c r="G303">
        <v>100</v>
      </c>
      <c r="H303">
        <v>83.333333333333343</v>
      </c>
      <c r="I303">
        <v>66.666666666666657</v>
      </c>
      <c r="J303">
        <v>20.248844751849649</v>
      </c>
      <c r="K303">
        <f t="shared" si="16"/>
        <v>38.257114539175646</v>
      </c>
      <c r="L303">
        <f t="shared" si="17"/>
        <v>36.277949971460629</v>
      </c>
      <c r="M303">
        <f t="shared" si="18"/>
        <v>32.26500889935258</v>
      </c>
      <c r="O303">
        <f t="shared" si="19"/>
        <v>55.905286490459602</v>
      </c>
    </row>
    <row r="304" spans="1:15" x14ac:dyDescent="0.45">
      <c r="A304">
        <v>401</v>
      </c>
      <c r="B304">
        <v>0</v>
      </c>
      <c r="C304">
        <v>0</v>
      </c>
      <c r="D304">
        <v>65.283907329719057</v>
      </c>
      <c r="E304">
        <v>0</v>
      </c>
      <c r="F304">
        <v>100</v>
      </c>
      <c r="G304">
        <v>100</v>
      </c>
      <c r="H304">
        <v>33.333333333333329</v>
      </c>
      <c r="I304">
        <v>33.333333333333329</v>
      </c>
      <c r="J304">
        <v>6.1158012159914836</v>
      </c>
      <c r="K304">
        <f t="shared" si="16"/>
        <v>20.441540297285538</v>
      </c>
      <c r="L304">
        <f t="shared" si="17"/>
        <v>19.543427582352205</v>
      </c>
      <c r="M304">
        <f t="shared" si="18"/>
        <v>12.72044512134417</v>
      </c>
      <c r="O304">
        <f t="shared" si="19"/>
        <v>38.089712248569498</v>
      </c>
    </row>
    <row r="305" spans="1:15" x14ac:dyDescent="0.45">
      <c r="A305">
        <v>402</v>
      </c>
      <c r="B305">
        <v>0</v>
      </c>
      <c r="C305">
        <v>1</v>
      </c>
      <c r="D305">
        <v>65.537030294298063</v>
      </c>
      <c r="E305">
        <v>0</v>
      </c>
      <c r="F305">
        <v>100</v>
      </c>
      <c r="G305">
        <v>100</v>
      </c>
      <c r="H305">
        <v>33.333333333333329</v>
      </c>
      <c r="I305">
        <v>33.333333333333329</v>
      </c>
      <c r="J305">
        <v>4.3160103047282741</v>
      </c>
      <c r="K305">
        <f t="shared" si="16"/>
        <v>19.939424234795123</v>
      </c>
      <c r="L305">
        <f t="shared" si="17"/>
        <v>19.006331372504942</v>
      </c>
      <c r="M305">
        <f t="shared" si="18"/>
        <v>12.169599031621649</v>
      </c>
      <c r="O305">
        <f t="shared" si="19"/>
        <v>37.587596186079082</v>
      </c>
    </row>
    <row r="306" spans="1:15" x14ac:dyDescent="0.45">
      <c r="A306">
        <v>404</v>
      </c>
      <c r="B306">
        <v>0</v>
      </c>
      <c r="C306">
        <v>0</v>
      </c>
      <c r="D306">
        <v>60.096697379366717</v>
      </c>
      <c r="E306">
        <v>33.333333333333329</v>
      </c>
      <c r="F306">
        <v>0</v>
      </c>
      <c r="G306">
        <v>75</v>
      </c>
      <c r="H306">
        <v>16.666666666666664</v>
      </c>
      <c r="I306">
        <v>66.666666666666657</v>
      </c>
      <c r="J306">
        <v>9.1213554617825832</v>
      </c>
      <c r="K306">
        <f t="shared" si="16"/>
        <v>13.531479066618276</v>
      </c>
      <c r="L306">
        <f t="shared" si="17"/>
        <v>9.8297916860860521</v>
      </c>
      <c r="M306">
        <f t="shared" si="18"/>
        <v>14.844700038153164</v>
      </c>
      <c r="O306">
        <f t="shared" si="19"/>
        <v>31.179651017902238</v>
      </c>
    </row>
    <row r="307" spans="1:15" x14ac:dyDescent="0.45">
      <c r="A307">
        <v>405</v>
      </c>
      <c r="B307">
        <v>0</v>
      </c>
      <c r="C307">
        <v>0</v>
      </c>
      <c r="D307">
        <v>58.58827881616746</v>
      </c>
      <c r="E307">
        <v>0</v>
      </c>
      <c r="F307">
        <v>0</v>
      </c>
      <c r="G307">
        <v>0</v>
      </c>
      <c r="H307">
        <v>33.333333333333329</v>
      </c>
      <c r="I307">
        <v>0</v>
      </c>
      <c r="J307">
        <v>8.8693364574920981</v>
      </c>
      <c r="K307">
        <f t="shared" si="16"/>
        <v>-3.2188020350183679</v>
      </c>
      <c r="L307">
        <f t="shared" si="17"/>
        <v>-3.4430413651425731</v>
      </c>
      <c r="M307">
        <f t="shared" si="18"/>
        <v>-3.5311846145423704</v>
      </c>
      <c r="O307">
        <f t="shared" si="19"/>
        <v>14.429369916265596</v>
      </c>
    </row>
    <row r="308" spans="1:15" x14ac:dyDescent="0.45">
      <c r="A308">
        <v>406</v>
      </c>
      <c r="B308">
        <v>0</v>
      </c>
      <c r="C308">
        <v>0</v>
      </c>
      <c r="D308">
        <v>27.335629584943526</v>
      </c>
      <c r="E308">
        <v>0</v>
      </c>
      <c r="F308">
        <v>0</v>
      </c>
      <c r="G308">
        <v>25</v>
      </c>
      <c r="H308">
        <v>16.666666666666664</v>
      </c>
      <c r="I308">
        <v>0</v>
      </c>
      <c r="J308">
        <v>6.6161221789273332</v>
      </c>
      <c r="K308">
        <f t="shared" si="16"/>
        <v>2.9218184483856984</v>
      </c>
      <c r="L308">
        <f t="shared" si="17"/>
        <v>3.1253682798082512</v>
      </c>
      <c r="M308">
        <f t="shared" si="18"/>
        <v>3.2053789699330713</v>
      </c>
      <c r="O308">
        <f t="shared" si="19"/>
        <v>20.569990399669663</v>
      </c>
    </row>
    <row r="309" spans="1:15" x14ac:dyDescent="0.45">
      <c r="A309">
        <v>407</v>
      </c>
      <c r="B309">
        <v>0</v>
      </c>
      <c r="C309">
        <v>1</v>
      </c>
      <c r="D309">
        <v>27.619608425413507</v>
      </c>
      <c r="E309">
        <v>0</v>
      </c>
      <c r="F309">
        <v>0</v>
      </c>
      <c r="G309">
        <v>25</v>
      </c>
      <c r="H309">
        <v>33.333333333333329</v>
      </c>
      <c r="I309">
        <v>33.333333333333329</v>
      </c>
      <c r="J309">
        <v>10.331446095032693</v>
      </c>
      <c r="K309">
        <f t="shared" si="16"/>
        <v>8.420290409658822</v>
      </c>
      <c r="L309">
        <f t="shared" si="17"/>
        <v>6.6847117702199075</v>
      </c>
      <c r="M309">
        <f t="shared" si="18"/>
        <v>9.2374739487190176</v>
      </c>
      <c r="O309">
        <f t="shared" si="19"/>
        <v>26.068462360942785</v>
      </c>
    </row>
    <row r="310" spans="1:15" x14ac:dyDescent="0.45">
      <c r="A310">
        <v>408</v>
      </c>
      <c r="B310">
        <v>0</v>
      </c>
      <c r="C310">
        <v>1</v>
      </c>
      <c r="D310">
        <v>27.940039326288396</v>
      </c>
      <c r="E310">
        <v>33.333333333333329</v>
      </c>
      <c r="F310">
        <v>0</v>
      </c>
      <c r="G310">
        <v>25</v>
      </c>
      <c r="H310">
        <v>16.666666666666664</v>
      </c>
      <c r="I310">
        <v>0</v>
      </c>
      <c r="J310">
        <v>7.7578791358682704</v>
      </c>
      <c r="K310">
        <f t="shared" si="16"/>
        <v>7.2558516649888682</v>
      </c>
      <c r="L310">
        <f t="shared" si="17"/>
        <v>7.7613339217839581</v>
      </c>
      <c r="M310">
        <f t="shared" si="18"/>
        <v>7.9600272045510092</v>
      </c>
      <c r="O310">
        <f t="shared" si="19"/>
        <v>24.904023616272831</v>
      </c>
    </row>
    <row r="311" spans="1:15" x14ac:dyDescent="0.45">
      <c r="A311">
        <v>409</v>
      </c>
      <c r="B311">
        <v>0</v>
      </c>
      <c r="C311">
        <v>1</v>
      </c>
      <c r="D311">
        <v>27.335629584943526</v>
      </c>
      <c r="E311">
        <v>66.666666666666657</v>
      </c>
      <c r="F311">
        <v>100</v>
      </c>
      <c r="G311">
        <v>25</v>
      </c>
      <c r="H311">
        <v>66.666666666666657</v>
      </c>
      <c r="I311">
        <v>33.333333333333329</v>
      </c>
      <c r="J311">
        <v>8.6970551762734551</v>
      </c>
      <c r="K311">
        <f t="shared" si="16"/>
        <v>30.069089099085829</v>
      </c>
      <c r="L311">
        <f t="shared" si="17"/>
        <v>29.841684017168355</v>
      </c>
      <c r="M311">
        <f t="shared" si="18"/>
        <v>23.282341079782334</v>
      </c>
      <c r="O311">
        <f t="shared" si="19"/>
        <v>47.717261050369792</v>
      </c>
    </row>
    <row r="312" spans="1:15" x14ac:dyDescent="0.45">
      <c r="A312">
        <v>410</v>
      </c>
      <c r="B312">
        <v>0</v>
      </c>
      <c r="C312">
        <v>0</v>
      </c>
      <c r="D312">
        <v>28.038954823602523</v>
      </c>
      <c r="E312">
        <v>0</v>
      </c>
      <c r="F312">
        <v>100</v>
      </c>
      <c r="G312">
        <v>25</v>
      </c>
      <c r="H312">
        <v>16.666666666666664</v>
      </c>
      <c r="I312">
        <v>66.666666666666657</v>
      </c>
      <c r="J312">
        <v>2.0906236061554093</v>
      </c>
      <c r="K312">
        <f t="shared" si="16"/>
        <v>14.835750330340694</v>
      </c>
      <c r="L312">
        <f t="shared" si="17"/>
        <v>11.224925609672455</v>
      </c>
      <c r="M312">
        <f t="shared" si="18"/>
        <v>6.5706169963850432</v>
      </c>
      <c r="O312">
        <f t="shared" si="19"/>
        <v>32.483922281624658</v>
      </c>
    </row>
    <row r="313" spans="1:15" x14ac:dyDescent="0.45">
      <c r="A313">
        <v>411</v>
      </c>
      <c r="B313">
        <v>0</v>
      </c>
      <c r="C313">
        <v>0</v>
      </c>
      <c r="D313">
        <v>27.907428171033171</v>
      </c>
      <c r="E313">
        <v>33.333333333333329</v>
      </c>
      <c r="F313">
        <v>100</v>
      </c>
      <c r="G313">
        <v>25</v>
      </c>
      <c r="H313">
        <v>16.666666666666664</v>
      </c>
      <c r="I313">
        <v>0</v>
      </c>
      <c r="J313">
        <v>2.0906236061554093</v>
      </c>
      <c r="K313">
        <f t="shared" si="16"/>
        <v>14.667583096323179</v>
      </c>
      <c r="L313">
        <f t="shared" si="17"/>
        <v>15.689407045816825</v>
      </c>
      <c r="M313">
        <f t="shared" si="18"/>
        <v>6.3861292450501246</v>
      </c>
      <c r="O313">
        <f t="shared" si="19"/>
        <v>32.315755047607141</v>
      </c>
    </row>
    <row r="314" spans="1:15" x14ac:dyDescent="0.45">
      <c r="A314">
        <v>412</v>
      </c>
      <c r="B314">
        <v>0</v>
      </c>
      <c r="C314">
        <v>0</v>
      </c>
      <c r="D314">
        <v>26.188073178535248</v>
      </c>
      <c r="E314">
        <v>66.666666666666657</v>
      </c>
      <c r="F314">
        <v>100</v>
      </c>
      <c r="G314">
        <v>25</v>
      </c>
      <c r="H314">
        <v>66.666666666666657</v>
      </c>
      <c r="I314">
        <v>66.666666666666657</v>
      </c>
      <c r="J314">
        <v>11.002255127825471</v>
      </c>
      <c r="K314">
        <f t="shared" si="16"/>
        <v>33.028456136161502</v>
      </c>
      <c r="L314">
        <f t="shared" si="17"/>
        <v>30.685034666349218</v>
      </c>
      <c r="M314">
        <f t="shared" si="18"/>
        <v>26.528912703764124</v>
      </c>
      <c r="O314">
        <f t="shared" si="19"/>
        <v>50.676628087445465</v>
      </c>
    </row>
    <row r="315" spans="1:15" x14ac:dyDescent="0.45">
      <c r="A315">
        <v>413</v>
      </c>
      <c r="B315">
        <v>0</v>
      </c>
      <c r="C315">
        <v>0</v>
      </c>
      <c r="D315">
        <v>33.409872206553239</v>
      </c>
      <c r="E315">
        <v>100</v>
      </c>
      <c r="F315">
        <v>100</v>
      </c>
      <c r="G315">
        <v>75</v>
      </c>
      <c r="H315">
        <v>50</v>
      </c>
      <c r="I315">
        <v>33.333333333333329</v>
      </c>
      <c r="J315">
        <v>1.8392538269218335</v>
      </c>
      <c r="K315">
        <f t="shared" si="16"/>
        <v>36.233502750032585</v>
      </c>
      <c r="L315">
        <f t="shared" si="17"/>
        <v>36.435544391665786</v>
      </c>
      <c r="M315">
        <f t="shared" si="18"/>
        <v>30.045006942758896</v>
      </c>
      <c r="O315">
        <f t="shared" si="19"/>
        <v>53.881674701316548</v>
      </c>
    </row>
    <row r="316" spans="1:15" x14ac:dyDescent="0.45">
      <c r="A316">
        <v>414</v>
      </c>
      <c r="B316">
        <v>0</v>
      </c>
      <c r="C316">
        <v>0</v>
      </c>
      <c r="D316">
        <v>35.198328863092598</v>
      </c>
      <c r="E316">
        <v>0</v>
      </c>
      <c r="F316">
        <v>100</v>
      </c>
      <c r="G316">
        <v>75</v>
      </c>
      <c r="H316">
        <v>83.333333333333343</v>
      </c>
      <c r="I316">
        <v>100</v>
      </c>
      <c r="J316">
        <v>11.22146867803078</v>
      </c>
      <c r="K316">
        <f t="shared" si="16"/>
        <v>35.059555336398873</v>
      </c>
      <c r="L316">
        <f t="shared" si="17"/>
        <v>30.535449271189751</v>
      </c>
      <c r="M316">
        <f t="shared" si="18"/>
        <v>28.757128719679063</v>
      </c>
      <c r="O316">
        <f t="shared" si="19"/>
        <v>52.707727287682836</v>
      </c>
    </row>
    <row r="317" spans="1:15" x14ac:dyDescent="0.45">
      <c r="A317">
        <v>415</v>
      </c>
      <c r="B317">
        <v>0</v>
      </c>
      <c r="C317">
        <v>1</v>
      </c>
      <c r="D317">
        <v>35.487990591215514</v>
      </c>
      <c r="E317">
        <v>0</v>
      </c>
      <c r="F317">
        <v>100</v>
      </c>
      <c r="G317">
        <v>25</v>
      </c>
      <c r="H317">
        <v>66.666666666666657</v>
      </c>
      <c r="I317">
        <v>66.666666666666657</v>
      </c>
      <c r="J317">
        <v>10.194038544907203</v>
      </c>
      <c r="K317">
        <f t="shared" si="16"/>
        <v>22.880759207874345</v>
      </c>
      <c r="L317">
        <f t="shared" si="17"/>
        <v>19.83039374562432</v>
      </c>
      <c r="M317">
        <f t="shared" si="18"/>
        <v>15.396388591885332</v>
      </c>
      <c r="O317">
        <f t="shared" si="19"/>
        <v>40.528931159158304</v>
      </c>
    </row>
    <row r="318" spans="1:15" x14ac:dyDescent="0.45">
      <c r="A318">
        <v>416</v>
      </c>
      <c r="B318">
        <v>0</v>
      </c>
      <c r="C318">
        <v>0</v>
      </c>
      <c r="D318">
        <v>36.498372032497969</v>
      </c>
      <c r="E318">
        <v>100</v>
      </c>
      <c r="F318">
        <v>100</v>
      </c>
      <c r="G318">
        <v>75</v>
      </c>
      <c r="H318">
        <v>33.333333333333329</v>
      </c>
      <c r="I318">
        <v>0</v>
      </c>
      <c r="J318">
        <v>18.822084552942176</v>
      </c>
      <c r="K318">
        <f t="shared" si="16"/>
        <v>35.400603668660999</v>
      </c>
      <c r="L318">
        <f t="shared" si="17"/>
        <v>37.866803070267807</v>
      </c>
      <c r="M318">
        <f t="shared" si="18"/>
        <v>29.131275563938928</v>
      </c>
      <c r="O318">
        <f t="shared" si="19"/>
        <v>53.048775619944962</v>
      </c>
    </row>
    <row r="319" spans="1:15" x14ac:dyDescent="0.45">
      <c r="A319">
        <v>417</v>
      </c>
      <c r="B319">
        <v>0</v>
      </c>
      <c r="C319">
        <v>0</v>
      </c>
      <c r="D319">
        <v>36.498372032497969</v>
      </c>
      <c r="E319">
        <v>100</v>
      </c>
      <c r="F319">
        <v>100</v>
      </c>
      <c r="G319">
        <v>75</v>
      </c>
      <c r="H319">
        <v>50</v>
      </c>
      <c r="I319">
        <v>0</v>
      </c>
      <c r="J319">
        <v>18.822084552942176</v>
      </c>
      <c r="K319">
        <f t="shared" si="16"/>
        <v>37.833943744117256</v>
      </c>
      <c r="L319">
        <f t="shared" si="17"/>
        <v>40.469662905730559</v>
      </c>
      <c r="M319">
        <f t="shared" si="18"/>
        <v>31.800769662339263</v>
      </c>
      <c r="O319">
        <f t="shared" si="19"/>
        <v>55.482115695401227</v>
      </c>
    </row>
    <row r="320" spans="1:15" x14ac:dyDescent="0.45">
      <c r="A320">
        <v>418</v>
      </c>
      <c r="B320">
        <v>0</v>
      </c>
      <c r="C320">
        <v>0</v>
      </c>
      <c r="D320">
        <v>42.470090657376417</v>
      </c>
      <c r="E320">
        <v>100</v>
      </c>
      <c r="F320">
        <v>0</v>
      </c>
      <c r="G320">
        <v>50</v>
      </c>
      <c r="H320">
        <v>16.666666666666664</v>
      </c>
      <c r="I320">
        <v>33.333333333333329</v>
      </c>
      <c r="J320">
        <v>7.3159706498949797</v>
      </c>
      <c r="K320">
        <f t="shared" si="16"/>
        <v>18.682326893741756</v>
      </c>
      <c r="L320">
        <f t="shared" si="17"/>
        <v>17.661657764693967</v>
      </c>
      <c r="M320">
        <f t="shared" si="18"/>
        <v>20.495434193627148</v>
      </c>
      <c r="O320">
        <f t="shared" si="19"/>
        <v>36.330498845025716</v>
      </c>
    </row>
    <row r="321" spans="1:15" x14ac:dyDescent="0.45">
      <c r="A321">
        <v>421</v>
      </c>
      <c r="B321">
        <v>0</v>
      </c>
      <c r="C321">
        <v>0</v>
      </c>
      <c r="D321">
        <v>35.622012574923403</v>
      </c>
      <c r="E321">
        <v>66.666666666666657</v>
      </c>
      <c r="F321">
        <v>100</v>
      </c>
      <c r="G321">
        <v>25</v>
      </c>
      <c r="H321">
        <v>33.333333333333329</v>
      </c>
      <c r="I321">
        <v>0</v>
      </c>
      <c r="J321">
        <v>3.2716410363338202</v>
      </c>
      <c r="K321">
        <f t="shared" si="16"/>
        <v>20.190119189812066</v>
      </c>
      <c r="L321">
        <f t="shared" si="17"/>
        <v>21.596673166414579</v>
      </c>
      <c r="M321">
        <f t="shared" si="18"/>
        <v>12.44462376395011</v>
      </c>
      <c r="O321">
        <f t="shared" si="19"/>
        <v>37.838291141096029</v>
      </c>
    </row>
    <row r="322" spans="1:15" x14ac:dyDescent="0.45">
      <c r="A322">
        <v>422</v>
      </c>
      <c r="B322">
        <v>0</v>
      </c>
      <c r="C322">
        <v>0</v>
      </c>
      <c r="D322">
        <v>41.548549697155138</v>
      </c>
      <c r="E322">
        <v>0</v>
      </c>
      <c r="F322">
        <v>0</v>
      </c>
      <c r="G322">
        <v>25</v>
      </c>
      <c r="H322">
        <v>16.666666666666664</v>
      </c>
      <c r="I322">
        <v>0</v>
      </c>
      <c r="J322">
        <v>11.744315850661685</v>
      </c>
      <c r="K322">
        <f t="shared" si="16"/>
        <v>1.7169070058895013</v>
      </c>
      <c r="L322">
        <f t="shared" si="17"/>
        <v>1.8365161252754421</v>
      </c>
      <c r="M322">
        <f t="shared" si="18"/>
        <v>1.8835316797488058</v>
      </c>
      <c r="O322">
        <f t="shared" si="19"/>
        <v>19.365078957173466</v>
      </c>
    </row>
    <row r="323" spans="1:15" x14ac:dyDescent="0.45">
      <c r="A323">
        <v>423</v>
      </c>
      <c r="B323">
        <v>1</v>
      </c>
      <c r="C323">
        <v>0</v>
      </c>
      <c r="D323">
        <v>37.063591318433048</v>
      </c>
      <c r="E323">
        <v>100</v>
      </c>
      <c r="F323">
        <v>100</v>
      </c>
      <c r="G323">
        <v>75</v>
      </c>
      <c r="H323">
        <v>50</v>
      </c>
      <c r="I323">
        <v>100</v>
      </c>
      <c r="J323">
        <v>33.16657920312376</v>
      </c>
      <c r="K323">
        <f t="shared" si="16"/>
        <v>47.89289344436154</v>
      </c>
      <c r="L323">
        <f t="shared" si="17"/>
        <v>44.262827804527817</v>
      </c>
      <c r="M323">
        <f t="shared" si="18"/>
        <v>42.835933687192238</v>
      </c>
      <c r="O323">
        <f t="shared" si="19"/>
        <v>65.541065395645504</v>
      </c>
    </row>
    <row r="324" spans="1:15" x14ac:dyDescent="0.45">
      <c r="A324">
        <v>424</v>
      </c>
      <c r="B324">
        <v>0</v>
      </c>
      <c r="C324">
        <v>0</v>
      </c>
      <c r="D324">
        <v>36.359203040175217</v>
      </c>
      <c r="E324">
        <v>100</v>
      </c>
      <c r="F324">
        <v>100</v>
      </c>
      <c r="G324">
        <v>100</v>
      </c>
      <c r="H324">
        <v>33.333333333333329</v>
      </c>
      <c r="I324">
        <v>0</v>
      </c>
      <c r="J324">
        <v>29.236893841643766</v>
      </c>
      <c r="K324">
        <f t="shared" si="16"/>
        <v>41.703376375654074</v>
      </c>
      <c r="L324">
        <f t="shared" si="17"/>
        <v>44.608661348341421</v>
      </c>
      <c r="M324">
        <f t="shared" si="18"/>
        <v>36.045728136591322</v>
      </c>
      <c r="O324">
        <f t="shared" si="19"/>
        <v>59.351548326938044</v>
      </c>
    </row>
    <row r="325" spans="1:15" x14ac:dyDescent="0.45">
      <c r="A325">
        <v>425</v>
      </c>
      <c r="B325">
        <v>0</v>
      </c>
      <c r="C325">
        <v>0</v>
      </c>
      <c r="D325">
        <v>37.395039312875994</v>
      </c>
      <c r="E325">
        <v>66.666666666666657</v>
      </c>
      <c r="F325">
        <v>0</v>
      </c>
      <c r="G325">
        <v>100</v>
      </c>
      <c r="H325">
        <v>16.666666666666664</v>
      </c>
      <c r="I325">
        <v>0</v>
      </c>
      <c r="J325">
        <v>33.328252567404554</v>
      </c>
      <c r="K325">
        <f t="shared" si="16"/>
        <v>27.13021018197254</v>
      </c>
      <c r="L325">
        <f t="shared" si="17"/>
        <v>29.020248802287917</v>
      </c>
      <c r="M325">
        <f t="shared" si="18"/>
        <v>29.763178891284497</v>
      </c>
      <c r="O325">
        <f t="shared" si="19"/>
        <v>44.7783821332565</v>
      </c>
    </row>
    <row r="326" spans="1:15" x14ac:dyDescent="0.45">
      <c r="A326">
        <v>426</v>
      </c>
      <c r="B326">
        <v>0</v>
      </c>
      <c r="C326">
        <v>0</v>
      </c>
      <c r="D326">
        <v>39.6144536759193</v>
      </c>
      <c r="E326">
        <v>66.666666666666657</v>
      </c>
      <c r="F326">
        <v>0</v>
      </c>
      <c r="G326">
        <v>75</v>
      </c>
      <c r="H326">
        <v>16.666666666666664</v>
      </c>
      <c r="I326">
        <v>0</v>
      </c>
      <c r="J326">
        <v>30.874529182935774</v>
      </c>
      <c r="K326">
        <f t="shared" si="16"/>
        <v>22.483744378252627</v>
      </c>
      <c r="L326">
        <f t="shared" si="17"/>
        <v>24.050084812741169</v>
      </c>
      <c r="M326">
        <f t="shared" si="18"/>
        <v>24.665776696433646</v>
      </c>
      <c r="O326">
        <f t="shared" si="19"/>
        <v>40.131916329536594</v>
      </c>
    </row>
    <row r="327" spans="1:15" x14ac:dyDescent="0.45">
      <c r="A327">
        <v>430</v>
      </c>
      <c r="B327">
        <v>0</v>
      </c>
      <c r="C327">
        <v>0</v>
      </c>
      <c r="D327">
        <v>45.273437810872011</v>
      </c>
      <c r="E327">
        <v>33.333333333333329</v>
      </c>
      <c r="F327">
        <v>0</v>
      </c>
      <c r="G327">
        <v>25</v>
      </c>
      <c r="H327">
        <v>33.333333333333329</v>
      </c>
      <c r="I327">
        <v>0</v>
      </c>
      <c r="J327">
        <v>2.4149776097969453</v>
      </c>
      <c r="K327">
        <f t="shared" si="16"/>
        <v>5.2721833357855861</v>
      </c>
      <c r="L327">
        <f t="shared" si="17"/>
        <v>5.6394724224230073</v>
      </c>
      <c r="M327">
        <f t="shared" si="18"/>
        <v>5.7838451939050408</v>
      </c>
      <c r="O327">
        <f t="shared" si="19"/>
        <v>22.920355287069548</v>
      </c>
    </row>
    <row r="328" spans="1:15" x14ac:dyDescent="0.45">
      <c r="A328">
        <v>431</v>
      </c>
      <c r="B328">
        <v>0</v>
      </c>
      <c r="C328">
        <v>0</v>
      </c>
      <c r="D328">
        <v>44.942063689206869</v>
      </c>
      <c r="E328">
        <v>66.666666666666657</v>
      </c>
      <c r="F328">
        <v>0</v>
      </c>
      <c r="G328">
        <v>25</v>
      </c>
      <c r="H328">
        <v>16.666666666666664</v>
      </c>
      <c r="I328">
        <v>0</v>
      </c>
      <c r="J328">
        <v>2.8242575335966071</v>
      </c>
      <c r="K328">
        <f t="shared" ref="K328:K391" si="20">D328*D$1+E328*E$1+F328*F$1+G328*G$1+H328*H$1+I328*I$1+J328*J$1</f>
        <v>7.1518549408504715</v>
      </c>
      <c r="L328">
        <f t="shared" ref="L328:L391" si="21">D328*D$2+E328*E$2+F328*F$2+G328*G$2+H328*H$2+J328*J$2</f>
        <v>7.6500922178356214</v>
      </c>
      <c r="M328">
        <f t="shared" ref="M328:M391" si="22">D328*D$3+E328*E$3+G328*G$3+H328*H$3+I328*I$3+J328*J$3</f>
        <v>7.8459376680572799</v>
      </c>
      <c r="O328">
        <f t="shared" ref="O328:O391" si="23">(K328-$P$3)/($P$2-$P$3)*100</f>
        <v>24.800026892134433</v>
      </c>
    </row>
    <row r="329" spans="1:15" x14ac:dyDescent="0.45">
      <c r="A329">
        <v>432</v>
      </c>
      <c r="B329">
        <v>0</v>
      </c>
      <c r="C329">
        <v>0</v>
      </c>
      <c r="D329">
        <v>46.990045469852099</v>
      </c>
      <c r="E329">
        <v>0</v>
      </c>
      <c r="F329">
        <v>100</v>
      </c>
      <c r="G329">
        <v>50</v>
      </c>
      <c r="H329">
        <v>33.333333333333329</v>
      </c>
      <c r="I329">
        <v>0</v>
      </c>
      <c r="J329">
        <v>4.0840708676729518</v>
      </c>
      <c r="K329">
        <f t="shared" si="20"/>
        <v>13.72047812617561</v>
      </c>
      <c r="L329">
        <f t="shared" si="21"/>
        <v>14.676321570576782</v>
      </c>
      <c r="M329">
        <f t="shared" si="22"/>
        <v>5.3471083725152857</v>
      </c>
      <c r="O329">
        <f t="shared" si="23"/>
        <v>31.368650077459577</v>
      </c>
    </row>
    <row r="330" spans="1:15" x14ac:dyDescent="0.45">
      <c r="A330">
        <v>433</v>
      </c>
      <c r="B330">
        <v>0</v>
      </c>
      <c r="C330">
        <v>0</v>
      </c>
      <c r="D330">
        <v>48.744732893433032</v>
      </c>
      <c r="E330">
        <v>66.666666666666657</v>
      </c>
      <c r="F330">
        <v>0</v>
      </c>
      <c r="G330">
        <v>75</v>
      </c>
      <c r="H330">
        <v>16.666666666666664</v>
      </c>
      <c r="I330">
        <v>0</v>
      </c>
      <c r="J330">
        <v>30.888114392671962</v>
      </c>
      <c r="K330">
        <f t="shared" si="20"/>
        <v>20.875869891897601</v>
      </c>
      <c r="L330">
        <f t="shared" si="21"/>
        <v>22.330197007821802</v>
      </c>
      <c r="M330">
        <f t="shared" si="22"/>
        <v>22.9018590691417</v>
      </c>
      <c r="O330">
        <f t="shared" si="23"/>
        <v>38.524041843181564</v>
      </c>
    </row>
    <row r="331" spans="1:15" x14ac:dyDescent="0.45">
      <c r="A331">
        <v>434</v>
      </c>
      <c r="B331">
        <v>0</v>
      </c>
      <c r="C331">
        <v>0</v>
      </c>
      <c r="D331">
        <v>52.826129837625579</v>
      </c>
      <c r="E331">
        <v>0</v>
      </c>
      <c r="F331">
        <v>100</v>
      </c>
      <c r="G331">
        <v>100</v>
      </c>
      <c r="H331">
        <v>50</v>
      </c>
      <c r="I331">
        <v>0</v>
      </c>
      <c r="J331">
        <v>17.290577026739182</v>
      </c>
      <c r="K331">
        <f t="shared" si="20"/>
        <v>25.742748810980633</v>
      </c>
      <c r="L331">
        <f t="shared" si="21"/>
        <v>27.536129294194193</v>
      </c>
      <c r="M331">
        <f t="shared" si="22"/>
        <v>18.536132367215551</v>
      </c>
      <c r="O331">
        <f t="shared" si="23"/>
        <v>43.390920762264599</v>
      </c>
    </row>
    <row r="332" spans="1:15" x14ac:dyDescent="0.45">
      <c r="A332">
        <v>435</v>
      </c>
      <c r="B332">
        <v>0</v>
      </c>
      <c r="C332">
        <v>0</v>
      </c>
      <c r="D332">
        <v>50.176252521062978</v>
      </c>
      <c r="E332">
        <v>0</v>
      </c>
      <c r="F332">
        <v>100</v>
      </c>
      <c r="G332">
        <v>25</v>
      </c>
      <c r="H332">
        <v>66.666666666666657</v>
      </c>
      <c r="I332">
        <v>66.666666666666657</v>
      </c>
      <c r="J332">
        <v>3.1458895022187523</v>
      </c>
      <c r="K332">
        <f t="shared" si="20"/>
        <v>18.497154219255155</v>
      </c>
      <c r="L332">
        <f t="shared" si="21"/>
        <v>15.141402891244212</v>
      </c>
      <c r="M332">
        <f t="shared" si="22"/>
        <v>10.587357678011516</v>
      </c>
      <c r="O332">
        <f t="shared" si="23"/>
        <v>36.145326170539121</v>
      </c>
    </row>
    <row r="333" spans="1:15" x14ac:dyDescent="0.45">
      <c r="A333">
        <v>436</v>
      </c>
      <c r="B333">
        <v>0</v>
      </c>
      <c r="C333">
        <v>0</v>
      </c>
      <c r="D333">
        <v>14.991139971407721</v>
      </c>
      <c r="E333">
        <v>0</v>
      </c>
      <c r="F333">
        <v>100</v>
      </c>
      <c r="G333">
        <v>75</v>
      </c>
      <c r="H333">
        <v>50</v>
      </c>
      <c r="I333">
        <v>66.666666666666657</v>
      </c>
      <c r="J333">
        <v>25.672288614965495</v>
      </c>
      <c r="K333">
        <f t="shared" si="20"/>
        <v>35.261029973893976</v>
      </c>
      <c r="L333">
        <f t="shared" si="21"/>
        <v>33.073141791428796</v>
      </c>
      <c r="M333">
        <f t="shared" si="22"/>
        <v>28.978156335668857</v>
      </c>
      <c r="O333">
        <f t="shared" si="23"/>
        <v>52.909201925177939</v>
      </c>
    </row>
    <row r="334" spans="1:15" x14ac:dyDescent="0.45">
      <c r="A334">
        <v>437</v>
      </c>
      <c r="B334">
        <v>1</v>
      </c>
      <c r="C334">
        <v>0</v>
      </c>
      <c r="D334">
        <v>15.290195552372118</v>
      </c>
      <c r="E334">
        <v>33.333333333333329</v>
      </c>
      <c r="F334">
        <v>0</v>
      </c>
      <c r="G334">
        <v>75</v>
      </c>
      <c r="H334">
        <v>16.666666666666664</v>
      </c>
      <c r="I334">
        <v>0</v>
      </c>
      <c r="J334">
        <v>29.270390176384712</v>
      </c>
      <c r="K334">
        <f t="shared" si="20"/>
        <v>22.218309295363177</v>
      </c>
      <c r="L334">
        <f t="shared" si="21"/>
        <v>23.766158072231569</v>
      </c>
      <c r="M334">
        <f t="shared" si="22"/>
        <v>24.374581316704848</v>
      </c>
      <c r="O334">
        <f t="shared" si="23"/>
        <v>39.86648124664714</v>
      </c>
    </row>
    <row r="335" spans="1:15" x14ac:dyDescent="0.45">
      <c r="A335">
        <v>438</v>
      </c>
      <c r="B335">
        <v>0</v>
      </c>
      <c r="C335">
        <v>0</v>
      </c>
      <c r="D335">
        <v>17.673841184751502</v>
      </c>
      <c r="E335">
        <v>100</v>
      </c>
      <c r="F335">
        <v>100</v>
      </c>
      <c r="G335">
        <v>100</v>
      </c>
      <c r="H335">
        <v>50</v>
      </c>
      <c r="I335">
        <v>0</v>
      </c>
      <c r="J335">
        <v>54.668655064416868</v>
      </c>
      <c r="K335">
        <f t="shared" si="20"/>
        <v>53.898213727235131</v>
      </c>
      <c r="L335">
        <f t="shared" si="21"/>
        <v>57.653057675262389</v>
      </c>
      <c r="M335">
        <f t="shared" si="22"/>
        <v>49.424066277384746</v>
      </c>
      <c r="O335">
        <f t="shared" si="23"/>
        <v>71.546385678519101</v>
      </c>
    </row>
    <row r="336" spans="1:15" x14ac:dyDescent="0.45">
      <c r="A336">
        <v>439</v>
      </c>
      <c r="B336">
        <v>0</v>
      </c>
      <c r="C336">
        <v>0</v>
      </c>
      <c r="D336">
        <v>17.276344997880365</v>
      </c>
      <c r="E336">
        <v>0</v>
      </c>
      <c r="F336">
        <v>100</v>
      </c>
      <c r="G336">
        <v>100</v>
      </c>
      <c r="H336">
        <v>83.333333333333343</v>
      </c>
      <c r="I336">
        <v>66.666666666666657</v>
      </c>
      <c r="J336">
        <v>56.927994370946131</v>
      </c>
      <c r="K336">
        <f t="shared" si="20"/>
        <v>51.299658876106335</v>
      </c>
      <c r="L336">
        <f t="shared" si="21"/>
        <v>50.229109182313479</v>
      </c>
      <c r="M336">
        <f t="shared" si="22"/>
        <v>46.573323420097438</v>
      </c>
      <c r="O336">
        <f t="shared" si="23"/>
        <v>68.947830827390305</v>
      </c>
    </row>
    <row r="337" spans="1:15" x14ac:dyDescent="0.45">
      <c r="A337">
        <v>440</v>
      </c>
      <c r="B337">
        <v>0</v>
      </c>
      <c r="C337">
        <v>0</v>
      </c>
      <c r="D337">
        <v>17.245629567693079</v>
      </c>
      <c r="E337">
        <v>100</v>
      </c>
      <c r="F337">
        <v>100</v>
      </c>
      <c r="G337">
        <v>100</v>
      </c>
      <c r="H337">
        <v>83.333333333333343</v>
      </c>
      <c r="I337">
        <v>33.333333333333329</v>
      </c>
      <c r="J337">
        <v>56.282614352666272</v>
      </c>
      <c r="K337">
        <f t="shared" si="20"/>
        <v>61.421620284920678</v>
      </c>
      <c r="L337">
        <f t="shared" si="21"/>
        <v>63.378403765804904</v>
      </c>
      <c r="M337">
        <f t="shared" si="22"/>
        <v>57.677614397592393</v>
      </c>
      <c r="O337">
        <f t="shared" si="23"/>
        <v>79.069792236204648</v>
      </c>
    </row>
    <row r="338" spans="1:15" x14ac:dyDescent="0.45">
      <c r="A338">
        <v>441</v>
      </c>
      <c r="B338">
        <v>0</v>
      </c>
      <c r="C338">
        <v>0</v>
      </c>
      <c r="D338">
        <v>19.247746661367845</v>
      </c>
      <c r="E338">
        <v>0</v>
      </c>
      <c r="F338">
        <v>0</v>
      </c>
      <c r="G338">
        <v>100</v>
      </c>
      <c r="H338">
        <v>16.666666666666664</v>
      </c>
      <c r="I338">
        <v>100</v>
      </c>
      <c r="J338">
        <v>43.139325645775173</v>
      </c>
      <c r="K338">
        <f t="shared" si="20"/>
        <v>31.038326624447492</v>
      </c>
      <c r="L338">
        <f t="shared" si="21"/>
        <v>26.234079804126949</v>
      </c>
      <c r="M338">
        <f t="shared" si="22"/>
        <v>34.050575414391538</v>
      </c>
      <c r="O338">
        <f t="shared" si="23"/>
        <v>48.686498575731456</v>
      </c>
    </row>
    <row r="339" spans="1:15" x14ac:dyDescent="0.45">
      <c r="A339">
        <v>442</v>
      </c>
      <c r="B339">
        <v>0</v>
      </c>
      <c r="C339">
        <v>0</v>
      </c>
      <c r="D339">
        <v>18.950616806280056</v>
      </c>
      <c r="E339">
        <v>100</v>
      </c>
      <c r="F339">
        <v>100</v>
      </c>
      <c r="G339">
        <v>100</v>
      </c>
      <c r="H339">
        <v>50</v>
      </c>
      <c r="I339">
        <v>0</v>
      </c>
      <c r="J339">
        <v>49.478604023667273</v>
      </c>
      <c r="K339">
        <f t="shared" si="20"/>
        <v>52.353755032079277</v>
      </c>
      <c r="L339">
        <f t="shared" si="21"/>
        <v>56.001003551919766</v>
      </c>
      <c r="M339">
        <f t="shared" si="22"/>
        <v>47.729718901312125</v>
      </c>
      <c r="O339">
        <f t="shared" si="23"/>
        <v>70.001926983363234</v>
      </c>
    </row>
    <row r="340" spans="1:15" x14ac:dyDescent="0.45">
      <c r="A340">
        <v>443</v>
      </c>
      <c r="B340">
        <v>0</v>
      </c>
      <c r="C340">
        <v>0</v>
      </c>
      <c r="D340">
        <v>18.710598160807219</v>
      </c>
      <c r="E340">
        <v>100</v>
      </c>
      <c r="F340">
        <v>100</v>
      </c>
      <c r="G340">
        <v>100</v>
      </c>
      <c r="H340">
        <v>33.333333333333329</v>
      </c>
      <c r="I340">
        <v>66.666666666666657</v>
      </c>
      <c r="J340">
        <v>49.478604023667273</v>
      </c>
      <c r="K340">
        <f t="shared" si="20"/>
        <v>54.304658574461897</v>
      </c>
      <c r="L340">
        <f t="shared" si="21"/>
        <v>53.443453572281555</v>
      </c>
      <c r="M340">
        <f t="shared" si="22"/>
        <v>49.869956324542912</v>
      </c>
      <c r="O340">
        <f t="shared" si="23"/>
        <v>71.952830525745867</v>
      </c>
    </row>
    <row r="341" spans="1:15" x14ac:dyDescent="0.45">
      <c r="A341">
        <v>444</v>
      </c>
      <c r="B341">
        <v>0</v>
      </c>
      <c r="C341">
        <v>0</v>
      </c>
      <c r="D341">
        <v>17.714091547214032</v>
      </c>
      <c r="E341">
        <v>0</v>
      </c>
      <c r="F341">
        <v>100</v>
      </c>
      <c r="G341">
        <v>100</v>
      </c>
      <c r="H341">
        <v>33.333333333333329</v>
      </c>
      <c r="I341">
        <v>33.333333333333329</v>
      </c>
      <c r="J341">
        <v>48.959423642915269</v>
      </c>
      <c r="K341">
        <f t="shared" si="20"/>
        <v>39.726107462549926</v>
      </c>
      <c r="L341">
        <f t="shared" si="21"/>
        <v>40.171463024269862</v>
      </c>
      <c r="M341">
        <f t="shared" si="22"/>
        <v>33.876566601086566</v>
      </c>
      <c r="O341">
        <f t="shared" si="23"/>
        <v>57.374279413833882</v>
      </c>
    </row>
    <row r="342" spans="1:15" x14ac:dyDescent="0.45">
      <c r="A342">
        <v>445</v>
      </c>
      <c r="B342">
        <v>0</v>
      </c>
      <c r="C342">
        <v>0</v>
      </c>
      <c r="D342">
        <v>19.279411893525179</v>
      </c>
      <c r="E342">
        <v>0</v>
      </c>
      <c r="F342">
        <v>0</v>
      </c>
      <c r="G342">
        <v>75</v>
      </c>
      <c r="H342">
        <v>16.666666666666664</v>
      </c>
      <c r="I342">
        <v>0</v>
      </c>
      <c r="J342">
        <v>31.621416351115361</v>
      </c>
      <c r="K342">
        <f t="shared" si="20"/>
        <v>17.961329495213533</v>
      </c>
      <c r="L342">
        <f t="shared" si="21"/>
        <v>19.212613808547779</v>
      </c>
      <c r="M342">
        <f t="shared" si="22"/>
        <v>19.704464480948491</v>
      </c>
      <c r="O342">
        <f t="shared" si="23"/>
        <v>35.609501446497497</v>
      </c>
    </row>
    <row r="343" spans="1:15" x14ac:dyDescent="0.45">
      <c r="A343">
        <v>446</v>
      </c>
      <c r="B343">
        <v>0</v>
      </c>
      <c r="C343">
        <v>0</v>
      </c>
      <c r="D343">
        <v>25.888686196232889</v>
      </c>
      <c r="E343">
        <v>33.333333333333329</v>
      </c>
      <c r="F343">
        <v>100</v>
      </c>
      <c r="G343">
        <v>75</v>
      </c>
      <c r="H343">
        <v>33.333333333333329</v>
      </c>
      <c r="I343">
        <v>0</v>
      </c>
      <c r="J343">
        <v>9.9584573321552128</v>
      </c>
      <c r="K343">
        <f t="shared" si="20"/>
        <v>26.719181494344141</v>
      </c>
      <c r="L343">
        <f t="shared" si="21"/>
        <v>28.580585611334094</v>
      </c>
      <c r="M343">
        <f t="shared" si="22"/>
        <v>19.607327187871821</v>
      </c>
      <c r="O343">
        <f t="shared" si="23"/>
        <v>44.367353445628105</v>
      </c>
    </row>
    <row r="344" spans="1:15" x14ac:dyDescent="0.45">
      <c r="A344">
        <v>447</v>
      </c>
      <c r="B344">
        <v>0</v>
      </c>
      <c r="C344">
        <v>0</v>
      </c>
      <c r="D344">
        <v>26.426426427230453</v>
      </c>
      <c r="E344">
        <v>66.666666666666657</v>
      </c>
      <c r="F344">
        <v>100</v>
      </c>
      <c r="G344">
        <v>75</v>
      </c>
      <c r="H344">
        <v>33.333333333333329</v>
      </c>
      <c r="I344">
        <v>0</v>
      </c>
      <c r="J344">
        <v>8.92419604183236</v>
      </c>
      <c r="K344">
        <f t="shared" si="20"/>
        <v>30.511912221875871</v>
      </c>
      <c r="L344">
        <f t="shared" si="21"/>
        <v>32.637538676378526</v>
      </c>
      <c r="M344">
        <f t="shared" si="22"/>
        <v>23.768139889758196</v>
      </c>
      <c r="O344">
        <f t="shared" si="23"/>
        <v>48.160084173159831</v>
      </c>
    </row>
    <row r="345" spans="1:15" x14ac:dyDescent="0.45">
      <c r="A345">
        <v>449</v>
      </c>
      <c r="B345">
        <v>1</v>
      </c>
      <c r="C345">
        <v>0</v>
      </c>
      <c r="D345">
        <v>26.259079129008335</v>
      </c>
      <c r="E345">
        <v>66.666666666666657</v>
      </c>
      <c r="F345">
        <v>100</v>
      </c>
      <c r="G345">
        <v>75</v>
      </c>
      <c r="H345">
        <v>50</v>
      </c>
      <c r="I345">
        <v>0</v>
      </c>
      <c r="J345">
        <v>10.458218376417065</v>
      </c>
      <c r="K345">
        <f t="shared" si="20"/>
        <v>33.364681359485225</v>
      </c>
      <c r="L345">
        <f t="shared" si="21"/>
        <v>35.68904729329013</v>
      </c>
      <c r="M345">
        <f t="shared" si="22"/>
        <v>26.897768359596661</v>
      </c>
      <c r="O345">
        <f t="shared" si="23"/>
        <v>51.012853310769188</v>
      </c>
    </row>
    <row r="346" spans="1:15" x14ac:dyDescent="0.45">
      <c r="A346">
        <v>450</v>
      </c>
      <c r="B346">
        <v>0</v>
      </c>
      <c r="C346">
        <v>1</v>
      </c>
      <c r="D346">
        <v>41.080655852422382</v>
      </c>
      <c r="E346">
        <v>33.333333333333329</v>
      </c>
      <c r="F346">
        <v>100</v>
      </c>
      <c r="G346">
        <v>25</v>
      </c>
      <c r="H346">
        <v>50</v>
      </c>
      <c r="I346">
        <v>66.666666666666657</v>
      </c>
      <c r="J346">
        <v>16.241069039125254</v>
      </c>
      <c r="K346">
        <f t="shared" si="20"/>
        <v>25.147867001769594</v>
      </c>
      <c r="L346">
        <f t="shared" si="21"/>
        <v>22.255440650869598</v>
      </c>
      <c r="M346">
        <f t="shared" si="22"/>
        <v>17.883517677245916</v>
      </c>
      <c r="O346">
        <f t="shared" si="23"/>
        <v>42.796038953053554</v>
      </c>
    </row>
    <row r="347" spans="1:15" x14ac:dyDescent="0.45">
      <c r="A347">
        <v>451</v>
      </c>
      <c r="B347">
        <v>0</v>
      </c>
      <c r="C347">
        <v>1</v>
      </c>
      <c r="D347">
        <v>41.434290435829602</v>
      </c>
      <c r="E347">
        <v>33.333333333333329</v>
      </c>
      <c r="F347">
        <v>0</v>
      </c>
      <c r="G347">
        <v>100</v>
      </c>
      <c r="H347">
        <v>16.666666666666664</v>
      </c>
      <c r="I347">
        <v>0</v>
      </c>
      <c r="J347">
        <v>6.3621894569751962</v>
      </c>
      <c r="K347">
        <f t="shared" si="20"/>
        <v>15.413011905432322</v>
      </c>
      <c r="L347">
        <f t="shared" si="21"/>
        <v>16.486766497131171</v>
      </c>
      <c r="M347">
        <f t="shared" si="22"/>
        <v>16.9088343775421</v>
      </c>
      <c r="O347">
        <f t="shared" si="23"/>
        <v>33.061183856716283</v>
      </c>
    </row>
    <row r="348" spans="1:15" x14ac:dyDescent="0.45">
      <c r="A348">
        <v>452</v>
      </c>
      <c r="B348">
        <v>0</v>
      </c>
      <c r="C348">
        <v>1</v>
      </c>
      <c r="D348">
        <v>60.656899096387754</v>
      </c>
      <c r="E348">
        <v>66.666666666666657</v>
      </c>
      <c r="F348">
        <v>0</v>
      </c>
      <c r="G348">
        <v>100</v>
      </c>
      <c r="H348">
        <v>83.333333333333343</v>
      </c>
      <c r="I348">
        <v>66.666666666666657</v>
      </c>
      <c r="J348">
        <v>19.155057992643322</v>
      </c>
      <c r="K348">
        <f t="shared" si="20"/>
        <v>33.497827228418515</v>
      </c>
      <c r="L348">
        <f t="shared" si="21"/>
        <v>31.187104712491035</v>
      </c>
      <c r="M348">
        <f t="shared" si="22"/>
        <v>36.74876890306026</v>
      </c>
      <c r="O348">
        <f t="shared" si="23"/>
        <v>51.145999179702486</v>
      </c>
    </row>
    <row r="349" spans="1:15" x14ac:dyDescent="0.45">
      <c r="A349">
        <v>453</v>
      </c>
      <c r="B349">
        <v>0</v>
      </c>
      <c r="C349">
        <v>0</v>
      </c>
      <c r="D349">
        <v>62.403900449836868</v>
      </c>
      <c r="E349">
        <v>0</v>
      </c>
      <c r="F349">
        <v>100</v>
      </c>
      <c r="G349">
        <v>75</v>
      </c>
      <c r="H349">
        <v>16.666666666666664</v>
      </c>
      <c r="I349">
        <v>33.333333333333329</v>
      </c>
      <c r="J349">
        <v>17.309818038335383</v>
      </c>
      <c r="K349">
        <f t="shared" si="20"/>
        <v>17.730471710658428</v>
      </c>
      <c r="L349">
        <f t="shared" si="21"/>
        <v>16.64349115074047</v>
      </c>
      <c r="M349">
        <f t="shared" si="22"/>
        <v>9.7462691459607811</v>
      </c>
      <c r="O349">
        <f t="shared" si="23"/>
        <v>35.378643661942391</v>
      </c>
    </row>
    <row r="350" spans="1:15" x14ac:dyDescent="0.45">
      <c r="A350">
        <v>454</v>
      </c>
      <c r="B350">
        <v>0</v>
      </c>
      <c r="C350">
        <v>0</v>
      </c>
      <c r="D350">
        <v>63.077338893656666</v>
      </c>
      <c r="E350">
        <v>0</v>
      </c>
      <c r="F350">
        <v>100</v>
      </c>
      <c r="G350">
        <v>75</v>
      </c>
      <c r="H350">
        <v>16.666666666666664</v>
      </c>
      <c r="I350">
        <v>100</v>
      </c>
      <c r="J350">
        <v>15.343707084358574</v>
      </c>
      <c r="K350">
        <f t="shared" si="20"/>
        <v>21.453789572396275</v>
      </c>
      <c r="L350">
        <f t="shared" si="21"/>
        <v>15.981831552467792</v>
      </c>
      <c r="M350">
        <f t="shared" si="22"/>
        <v>13.830932509964297</v>
      </c>
      <c r="O350">
        <f t="shared" si="23"/>
        <v>39.101961523680238</v>
      </c>
    </row>
    <row r="351" spans="1:15" x14ac:dyDescent="0.45">
      <c r="A351">
        <v>455</v>
      </c>
      <c r="B351">
        <v>0</v>
      </c>
      <c r="C351">
        <v>0</v>
      </c>
      <c r="D351">
        <v>63.304525429231425</v>
      </c>
      <c r="E351">
        <v>0</v>
      </c>
      <c r="F351">
        <v>100</v>
      </c>
      <c r="G351">
        <v>75</v>
      </c>
      <c r="H351">
        <v>16.666666666666664</v>
      </c>
      <c r="I351">
        <v>100</v>
      </c>
      <c r="J351">
        <v>20.220415725090177</v>
      </c>
      <c r="K351">
        <f t="shared" si="20"/>
        <v>22.653185659289573</v>
      </c>
      <c r="L351">
        <f t="shared" si="21"/>
        <v>17.264784121602787</v>
      </c>
      <c r="M351">
        <f t="shared" si="22"/>
        <v>15.14672918298205</v>
      </c>
      <c r="O351">
        <f t="shared" si="23"/>
        <v>40.301357610573532</v>
      </c>
    </row>
    <row r="352" spans="1:15" x14ac:dyDescent="0.45">
      <c r="A352">
        <v>456</v>
      </c>
      <c r="B352">
        <v>0</v>
      </c>
      <c r="C352">
        <v>0</v>
      </c>
      <c r="D352">
        <v>63.304525429231425</v>
      </c>
      <c r="E352">
        <v>0</v>
      </c>
      <c r="F352">
        <v>100</v>
      </c>
      <c r="G352">
        <v>75</v>
      </c>
      <c r="H352">
        <v>16.666666666666664</v>
      </c>
      <c r="I352">
        <v>33.333333333333329</v>
      </c>
      <c r="J352">
        <v>20.220415725090177</v>
      </c>
      <c r="K352">
        <f t="shared" si="20"/>
        <v>18.311300944718884</v>
      </c>
      <c r="L352">
        <f t="shared" si="21"/>
        <v>17.264784121602787</v>
      </c>
      <c r="M352">
        <f t="shared" si="22"/>
        <v>10.383467467782712</v>
      </c>
      <c r="O352">
        <f t="shared" si="23"/>
        <v>35.95947289600285</v>
      </c>
    </row>
    <row r="353" spans="1:15" x14ac:dyDescent="0.45">
      <c r="A353">
        <v>457</v>
      </c>
      <c r="B353">
        <v>0</v>
      </c>
      <c r="C353">
        <v>0</v>
      </c>
      <c r="D353">
        <v>63.920077775080422</v>
      </c>
      <c r="E353">
        <v>0</v>
      </c>
      <c r="F353">
        <v>100</v>
      </c>
      <c r="G353">
        <v>75</v>
      </c>
      <c r="H353">
        <v>16.666666666666664</v>
      </c>
      <c r="I353">
        <v>33.333333333333329</v>
      </c>
      <c r="J353">
        <v>10.745722800248824</v>
      </c>
      <c r="K353">
        <f t="shared" si="20"/>
        <v>15.794528567176894</v>
      </c>
      <c r="L353">
        <f t="shared" si="21"/>
        <v>14.572679634202759</v>
      </c>
      <c r="M353">
        <f t="shared" si="22"/>
        <v>7.6224440183145648</v>
      </c>
      <c r="O353">
        <f t="shared" si="23"/>
        <v>33.442700518460853</v>
      </c>
    </row>
    <row r="354" spans="1:15" x14ac:dyDescent="0.45">
      <c r="A354">
        <v>458</v>
      </c>
      <c r="B354">
        <v>0</v>
      </c>
      <c r="C354">
        <v>0</v>
      </c>
      <c r="D354">
        <v>63.077338893656666</v>
      </c>
      <c r="E354">
        <v>0</v>
      </c>
      <c r="F354">
        <v>100</v>
      </c>
      <c r="G354">
        <v>75</v>
      </c>
      <c r="H354">
        <v>16.666666666666664</v>
      </c>
      <c r="I354">
        <v>66.666666666666657</v>
      </c>
      <c r="J354">
        <v>18.743335855721956</v>
      </c>
      <c r="K354">
        <f t="shared" si="20"/>
        <v>20.146915050833456</v>
      </c>
      <c r="L354">
        <f t="shared" si="21"/>
        <v>16.9060950729688</v>
      </c>
      <c r="M354">
        <f t="shared" si="22"/>
        <v>12.397226692248886</v>
      </c>
      <c r="O354">
        <f t="shared" si="23"/>
        <v>37.79508700211742</v>
      </c>
    </row>
    <row r="355" spans="1:15" x14ac:dyDescent="0.45">
      <c r="A355">
        <v>459</v>
      </c>
      <c r="B355">
        <v>0</v>
      </c>
      <c r="C355">
        <v>0</v>
      </c>
      <c r="D355">
        <v>63.308917226889719</v>
      </c>
      <c r="E355">
        <v>0</v>
      </c>
      <c r="F355">
        <v>100</v>
      </c>
      <c r="G355">
        <v>75</v>
      </c>
      <c r="H355">
        <v>16.666666666666664</v>
      </c>
      <c r="I355">
        <v>66.666666666666657</v>
      </c>
      <c r="J355">
        <v>15.432656004334651</v>
      </c>
      <c r="K355">
        <f t="shared" si="20"/>
        <v>19.2645856060164</v>
      </c>
      <c r="L355">
        <f t="shared" si="21"/>
        <v>15.962297739942983</v>
      </c>
      <c r="M355">
        <f t="shared" si="22"/>
        <v>11.429267766350566</v>
      </c>
      <c r="O355">
        <f t="shared" si="23"/>
        <v>36.912757557300367</v>
      </c>
    </row>
    <row r="356" spans="1:15" x14ac:dyDescent="0.45">
      <c r="A356">
        <v>460</v>
      </c>
      <c r="B356">
        <v>0</v>
      </c>
      <c r="C356">
        <v>0</v>
      </c>
      <c r="D356">
        <v>64.61285881093697</v>
      </c>
      <c r="E356">
        <v>100</v>
      </c>
      <c r="F356">
        <v>100</v>
      </c>
      <c r="G356">
        <v>75</v>
      </c>
      <c r="H356">
        <v>33.333333333333329</v>
      </c>
      <c r="I356">
        <v>33.333333333333329</v>
      </c>
      <c r="J356">
        <v>15.522915824293921</v>
      </c>
      <c r="K356">
        <f t="shared" si="20"/>
        <v>31.771318682237339</v>
      </c>
      <c r="L356">
        <f t="shared" si="21"/>
        <v>31.662500210273141</v>
      </c>
      <c r="M356">
        <f t="shared" si="22"/>
        <v>25.149770902756586</v>
      </c>
      <c r="O356">
        <f t="shared" si="23"/>
        <v>49.419490633521306</v>
      </c>
    </row>
    <row r="357" spans="1:15" x14ac:dyDescent="0.45">
      <c r="A357">
        <v>461</v>
      </c>
      <c r="B357">
        <v>0</v>
      </c>
      <c r="C357">
        <v>1</v>
      </c>
      <c r="D357">
        <v>20.520291449959593</v>
      </c>
      <c r="E357">
        <v>66.666666666666657</v>
      </c>
      <c r="F357">
        <v>100</v>
      </c>
      <c r="G357">
        <v>75</v>
      </c>
      <c r="H357">
        <v>83.333333333333343</v>
      </c>
      <c r="I357">
        <v>0</v>
      </c>
      <c r="J357">
        <v>6.6614603485689923</v>
      </c>
      <c r="K357">
        <f t="shared" si="20"/>
        <v>38.279148295819084</v>
      </c>
      <c r="L357">
        <f t="shared" si="21"/>
        <v>40.945882838109974</v>
      </c>
      <c r="M357">
        <f t="shared" si="22"/>
        <v>32.289181017306227</v>
      </c>
      <c r="O357">
        <f t="shared" si="23"/>
        <v>55.927320247103054</v>
      </c>
    </row>
    <row r="358" spans="1:15" x14ac:dyDescent="0.45">
      <c r="A358">
        <v>462</v>
      </c>
      <c r="B358">
        <v>0</v>
      </c>
      <c r="C358">
        <v>0</v>
      </c>
      <c r="D358">
        <v>24.478260810066498</v>
      </c>
      <c r="E358">
        <v>66.666666666666657</v>
      </c>
      <c r="F358">
        <v>100</v>
      </c>
      <c r="G358">
        <v>75</v>
      </c>
      <c r="H358">
        <v>16.666666666666664</v>
      </c>
      <c r="I358">
        <v>33.333333333333329</v>
      </c>
      <c r="J358">
        <v>30.848978387096523</v>
      </c>
      <c r="K358">
        <f t="shared" si="20"/>
        <v>36.165850094880213</v>
      </c>
      <c r="L358">
        <f t="shared" si="21"/>
        <v>36.36317868305207</v>
      </c>
      <c r="M358">
        <f t="shared" si="22"/>
        <v>29.970788642780207</v>
      </c>
      <c r="O358">
        <f t="shared" si="23"/>
        <v>53.814022046164176</v>
      </c>
    </row>
    <row r="359" spans="1:15" x14ac:dyDescent="0.45">
      <c r="A359">
        <v>465</v>
      </c>
      <c r="B359">
        <v>0</v>
      </c>
      <c r="C359">
        <v>0</v>
      </c>
      <c r="D359">
        <v>26.719029900334306</v>
      </c>
      <c r="E359">
        <v>66.666666666666657</v>
      </c>
      <c r="F359">
        <v>0</v>
      </c>
      <c r="G359">
        <v>25</v>
      </c>
      <c r="H359">
        <v>66.666666666666657</v>
      </c>
      <c r="I359">
        <v>0</v>
      </c>
      <c r="J359">
        <v>22.636913883167168</v>
      </c>
      <c r="K359">
        <f t="shared" si="20"/>
        <v>22.70359823575302</v>
      </c>
      <c r="L359">
        <f t="shared" si="21"/>
        <v>24.28525489074682</v>
      </c>
      <c r="M359">
        <f t="shared" si="22"/>
        <v>24.906967223408305</v>
      </c>
      <c r="O359">
        <f t="shared" si="23"/>
        <v>40.351770187036983</v>
      </c>
    </row>
    <row r="360" spans="1:15" x14ac:dyDescent="0.45">
      <c r="A360">
        <v>467</v>
      </c>
      <c r="B360">
        <v>0</v>
      </c>
      <c r="C360">
        <v>0</v>
      </c>
      <c r="D360">
        <v>27.073032296468387</v>
      </c>
      <c r="E360">
        <v>66.666666666666657</v>
      </c>
      <c r="F360">
        <v>0</v>
      </c>
      <c r="G360">
        <v>75</v>
      </c>
      <c r="H360">
        <v>33.333333333333329</v>
      </c>
      <c r="I360">
        <v>0</v>
      </c>
      <c r="J360">
        <v>37.977620429628516</v>
      </c>
      <c r="K360">
        <f t="shared" si="20"/>
        <v>28.935775734971457</v>
      </c>
      <c r="L360">
        <f t="shared" si="21"/>
        <v>30.951599913297247</v>
      </c>
      <c r="M360">
        <f t="shared" si="22"/>
        <v>31.74397337070053</v>
      </c>
      <c r="O360">
        <f t="shared" si="23"/>
        <v>46.583947686255421</v>
      </c>
    </row>
    <row r="361" spans="1:15" x14ac:dyDescent="0.45">
      <c r="A361">
        <v>468</v>
      </c>
      <c r="B361">
        <v>0</v>
      </c>
      <c r="C361">
        <v>1</v>
      </c>
      <c r="D361">
        <v>26.242456899848836</v>
      </c>
      <c r="E361">
        <v>0</v>
      </c>
      <c r="F361">
        <v>0</v>
      </c>
      <c r="G361">
        <v>25</v>
      </c>
      <c r="H361">
        <v>16.666666666666664</v>
      </c>
      <c r="I361">
        <v>0</v>
      </c>
      <c r="J361">
        <v>0.5757237828751115</v>
      </c>
      <c r="K361">
        <f t="shared" si="20"/>
        <v>1.5794834725625677</v>
      </c>
      <c r="L361">
        <f t="shared" si="21"/>
        <v>1.6895189180408616</v>
      </c>
      <c r="M361">
        <f t="shared" si="22"/>
        <v>1.7327712846450569</v>
      </c>
      <c r="O361">
        <f t="shared" si="23"/>
        <v>19.227655423846532</v>
      </c>
    </row>
    <row r="362" spans="1:15" x14ac:dyDescent="0.45">
      <c r="A362">
        <v>469</v>
      </c>
      <c r="B362">
        <v>0</v>
      </c>
      <c r="C362">
        <v>1</v>
      </c>
      <c r="D362">
        <v>25.924965986583793</v>
      </c>
      <c r="E362">
        <v>0</v>
      </c>
      <c r="F362">
        <v>0</v>
      </c>
      <c r="G362">
        <v>25</v>
      </c>
      <c r="H362">
        <v>16.666666666666664</v>
      </c>
      <c r="I362">
        <v>0</v>
      </c>
      <c r="J362">
        <v>0.5757237828751115</v>
      </c>
      <c r="K362">
        <f t="shared" si="20"/>
        <v>1.6355148148652845</v>
      </c>
      <c r="L362">
        <f t="shared" si="21"/>
        <v>1.7494537096788374</v>
      </c>
      <c r="M362">
        <f t="shared" si="22"/>
        <v>1.79424043115328</v>
      </c>
      <c r="O362">
        <f t="shared" si="23"/>
        <v>19.283686766149248</v>
      </c>
    </row>
    <row r="363" spans="1:15" x14ac:dyDescent="0.45">
      <c r="A363">
        <v>470</v>
      </c>
      <c r="B363">
        <v>0</v>
      </c>
      <c r="C363">
        <v>1</v>
      </c>
      <c r="D363">
        <v>25.825719233093565</v>
      </c>
      <c r="E363">
        <v>0</v>
      </c>
      <c r="F363">
        <v>0</v>
      </c>
      <c r="G363">
        <v>25</v>
      </c>
      <c r="H363">
        <v>16.666666666666664</v>
      </c>
      <c r="I363">
        <v>0</v>
      </c>
      <c r="J363">
        <v>0.59814027853441132</v>
      </c>
      <c r="K363">
        <f t="shared" si="20"/>
        <v>1.6587275490369116</v>
      </c>
      <c r="L363">
        <f t="shared" si="21"/>
        <v>1.7742835696955361</v>
      </c>
      <c r="M363">
        <f t="shared" si="22"/>
        <v>1.8197059456138007</v>
      </c>
      <c r="O363">
        <f t="shared" si="23"/>
        <v>19.306899500320874</v>
      </c>
    </row>
    <row r="364" spans="1:15" x14ac:dyDescent="0.45">
      <c r="A364">
        <v>471</v>
      </c>
      <c r="B364">
        <v>0</v>
      </c>
      <c r="C364">
        <v>1</v>
      </c>
      <c r="D364">
        <v>26.456144715811426</v>
      </c>
      <c r="E364">
        <v>0</v>
      </c>
      <c r="F364">
        <v>0</v>
      </c>
      <c r="G364">
        <v>25</v>
      </c>
      <c r="H364">
        <v>16.666666666666664</v>
      </c>
      <c r="I364">
        <v>0</v>
      </c>
      <c r="J364">
        <v>1.5373163189395975</v>
      </c>
      <c r="K364">
        <f t="shared" si="20"/>
        <v>1.7861749826165103</v>
      </c>
      <c r="L364">
        <f t="shared" si="21"/>
        <v>1.9106096875871932</v>
      </c>
      <c r="M364">
        <f t="shared" si="22"/>
        <v>1.9595220671779896</v>
      </c>
      <c r="O364">
        <f t="shared" si="23"/>
        <v>19.434346933900475</v>
      </c>
    </row>
    <row r="365" spans="1:15" x14ac:dyDescent="0.45">
      <c r="A365">
        <v>472</v>
      </c>
      <c r="B365">
        <v>0</v>
      </c>
      <c r="C365">
        <v>1</v>
      </c>
      <c r="D365">
        <v>26.081688376522621</v>
      </c>
      <c r="E365">
        <v>0</v>
      </c>
      <c r="F365">
        <v>0</v>
      </c>
      <c r="G365">
        <v>25</v>
      </c>
      <c r="H365">
        <v>16.666666666666664</v>
      </c>
      <c r="I365">
        <v>0</v>
      </c>
      <c r="J365">
        <v>1.3528805565343269</v>
      </c>
      <c r="K365">
        <f t="shared" si="20"/>
        <v>1.8053825011969764</v>
      </c>
      <c r="L365">
        <f t="shared" si="21"/>
        <v>1.9311553068190732</v>
      </c>
      <c r="M365">
        <f t="shared" si="22"/>
        <v>1.9805936625594347</v>
      </c>
      <c r="O365">
        <f t="shared" si="23"/>
        <v>19.45355445248094</v>
      </c>
    </row>
    <row r="366" spans="1:15" x14ac:dyDescent="0.45">
      <c r="A366">
        <v>473</v>
      </c>
      <c r="B366">
        <v>0</v>
      </c>
      <c r="C366">
        <v>1</v>
      </c>
      <c r="D366">
        <v>26.081688376522621</v>
      </c>
      <c r="E366">
        <v>0</v>
      </c>
      <c r="F366">
        <v>0</v>
      </c>
      <c r="G366">
        <v>25</v>
      </c>
      <c r="H366">
        <v>16.666666666666664</v>
      </c>
      <c r="I366">
        <v>0</v>
      </c>
      <c r="J366">
        <v>1.3528805565343269</v>
      </c>
      <c r="K366">
        <f t="shared" si="20"/>
        <v>1.8053825011969764</v>
      </c>
      <c r="L366">
        <f t="shared" si="21"/>
        <v>1.9311553068190732</v>
      </c>
      <c r="M366">
        <f t="shared" si="22"/>
        <v>1.9805936625594347</v>
      </c>
      <c r="O366">
        <f t="shared" si="23"/>
        <v>19.45355445248094</v>
      </c>
    </row>
    <row r="367" spans="1:15" x14ac:dyDescent="0.45">
      <c r="A367">
        <v>474</v>
      </c>
      <c r="B367">
        <v>0</v>
      </c>
      <c r="C367">
        <v>0</v>
      </c>
      <c r="D367">
        <v>32.134259785390725</v>
      </c>
      <c r="E367">
        <v>66.666666666666657</v>
      </c>
      <c r="F367">
        <v>100</v>
      </c>
      <c r="G367">
        <v>100</v>
      </c>
      <c r="H367">
        <v>83.333333333333343</v>
      </c>
      <c r="I367">
        <v>0</v>
      </c>
      <c r="J367">
        <v>53.321397111365101</v>
      </c>
      <c r="K367">
        <f t="shared" si="20"/>
        <v>51.719962619033154</v>
      </c>
      <c r="L367">
        <f t="shared" si="21"/>
        <v>55.323057697750798</v>
      </c>
      <c r="M367">
        <f t="shared" si="22"/>
        <v>47.034417359491968</v>
      </c>
      <c r="O367">
        <f t="shared" si="23"/>
        <v>69.368134570317125</v>
      </c>
    </row>
    <row r="368" spans="1:15" x14ac:dyDescent="0.45">
      <c r="A368">
        <v>475</v>
      </c>
      <c r="B368">
        <v>0</v>
      </c>
      <c r="C368">
        <v>0</v>
      </c>
      <c r="D368">
        <v>19.703002409616584</v>
      </c>
      <c r="E368">
        <v>33.333333333333329</v>
      </c>
      <c r="F368">
        <v>100</v>
      </c>
      <c r="G368">
        <v>100</v>
      </c>
      <c r="H368">
        <v>16.666666666666664</v>
      </c>
      <c r="I368">
        <v>0</v>
      </c>
      <c r="J368">
        <v>45.489297351870633</v>
      </c>
      <c r="K368">
        <f t="shared" si="20"/>
        <v>38.039338189130291</v>
      </c>
      <c r="L368">
        <f t="shared" si="21"/>
        <v>40.689366249600951</v>
      </c>
      <c r="M368">
        <f t="shared" si="22"/>
        <v>32.026097500538654</v>
      </c>
      <c r="O368">
        <f t="shared" si="23"/>
        <v>55.687510140414254</v>
      </c>
    </row>
    <row r="369" spans="1:15" x14ac:dyDescent="0.45">
      <c r="A369">
        <v>476</v>
      </c>
      <c r="B369">
        <v>0</v>
      </c>
      <c r="C369">
        <v>1</v>
      </c>
      <c r="D369">
        <v>19.899872652029789</v>
      </c>
      <c r="E369">
        <v>33.333333333333329</v>
      </c>
      <c r="F369">
        <v>0</v>
      </c>
      <c r="G369">
        <v>100</v>
      </c>
      <c r="H369">
        <v>16.666666666666664</v>
      </c>
      <c r="I369">
        <v>33.333333333333329</v>
      </c>
      <c r="J369">
        <v>45.489297351870633</v>
      </c>
      <c r="K369">
        <f t="shared" si="20"/>
        <v>31.329140405053991</v>
      </c>
      <c r="L369">
        <f t="shared" si="21"/>
        <v>31.189517379223986</v>
      </c>
      <c r="M369">
        <f t="shared" si="22"/>
        <v>34.369612477436242</v>
      </c>
      <c r="O369">
        <f t="shared" si="23"/>
        <v>48.977312356337954</v>
      </c>
    </row>
    <row r="370" spans="1:15" x14ac:dyDescent="0.45">
      <c r="A370">
        <v>477</v>
      </c>
      <c r="B370">
        <v>0</v>
      </c>
      <c r="C370">
        <v>0</v>
      </c>
      <c r="D370">
        <v>19.899872652029789</v>
      </c>
      <c r="E370">
        <v>33.333333333333329</v>
      </c>
      <c r="F370">
        <v>0</v>
      </c>
      <c r="G370">
        <v>100</v>
      </c>
      <c r="H370">
        <v>33.333333333333329</v>
      </c>
      <c r="I370">
        <v>0</v>
      </c>
      <c r="J370">
        <v>45.489297351870633</v>
      </c>
      <c r="K370">
        <f t="shared" si="20"/>
        <v>31.591538123224908</v>
      </c>
      <c r="L370">
        <f t="shared" si="21"/>
        <v>33.792377214686738</v>
      </c>
      <c r="M370">
        <f t="shared" si="22"/>
        <v>34.65747571823691</v>
      </c>
      <c r="O370">
        <f t="shared" si="23"/>
        <v>49.239710074508871</v>
      </c>
    </row>
    <row r="371" spans="1:15" x14ac:dyDescent="0.45">
      <c r="A371">
        <v>478</v>
      </c>
      <c r="B371">
        <v>0</v>
      </c>
      <c r="C371">
        <v>0</v>
      </c>
      <c r="D371">
        <v>29.544556735718508</v>
      </c>
      <c r="E371">
        <v>33.333333333333329</v>
      </c>
      <c r="F371">
        <v>0</v>
      </c>
      <c r="G371">
        <v>100</v>
      </c>
      <c r="H371">
        <v>16.666666666666664</v>
      </c>
      <c r="I371">
        <v>0</v>
      </c>
      <c r="J371">
        <v>0.59814027853441132</v>
      </c>
      <c r="K371">
        <f t="shared" si="20"/>
        <v>16.046310977914263</v>
      </c>
      <c r="L371">
        <f t="shared" si="21"/>
        <v>17.164184641937737</v>
      </c>
      <c r="M371">
        <f t="shared" si="22"/>
        <v>17.603594700427077</v>
      </c>
      <c r="O371">
        <f t="shared" si="23"/>
        <v>33.69448292919823</v>
      </c>
    </row>
    <row r="372" spans="1:15" x14ac:dyDescent="0.45">
      <c r="A372">
        <v>479</v>
      </c>
      <c r="B372">
        <v>0</v>
      </c>
      <c r="C372">
        <v>0</v>
      </c>
      <c r="D372">
        <v>27.018948754734705</v>
      </c>
      <c r="E372">
        <v>66.666666666666657</v>
      </c>
      <c r="F372">
        <v>0</v>
      </c>
      <c r="G372">
        <v>75</v>
      </c>
      <c r="H372">
        <v>16.666666666666664</v>
      </c>
      <c r="I372">
        <v>0</v>
      </c>
      <c r="J372">
        <v>1.5373163189395975</v>
      </c>
      <c r="K372">
        <f t="shared" si="20"/>
        <v>17.250117776359467</v>
      </c>
      <c r="L372">
        <f t="shared" si="21"/>
        <v>18.451855196881649</v>
      </c>
      <c r="M372">
        <f t="shared" si="22"/>
        <v>18.924230141595785</v>
      </c>
      <c r="O372">
        <f t="shared" si="23"/>
        <v>34.89828972764343</v>
      </c>
    </row>
    <row r="373" spans="1:15" x14ac:dyDescent="0.45">
      <c r="A373">
        <v>480</v>
      </c>
      <c r="B373">
        <v>0</v>
      </c>
      <c r="C373">
        <v>0</v>
      </c>
      <c r="D373">
        <v>27.40678054892447</v>
      </c>
      <c r="E373">
        <v>66.666666666666657</v>
      </c>
      <c r="F373">
        <v>100</v>
      </c>
      <c r="G373">
        <v>75</v>
      </c>
      <c r="H373">
        <v>33.333333333333329</v>
      </c>
      <c r="I373">
        <v>0</v>
      </c>
      <c r="J373">
        <v>1.3528805565343269</v>
      </c>
      <c r="K373">
        <f t="shared" si="20"/>
        <v>28.414531592295319</v>
      </c>
      <c r="L373">
        <f t="shared" si="21"/>
        <v>30.394043056725302</v>
      </c>
      <c r="M373">
        <f t="shared" si="22"/>
        <v>21.467209876219243</v>
      </c>
      <c r="O373">
        <f t="shared" si="23"/>
        <v>46.062703543579282</v>
      </c>
    </row>
    <row r="374" spans="1:15" x14ac:dyDescent="0.45">
      <c r="A374">
        <v>481</v>
      </c>
      <c r="B374">
        <v>0</v>
      </c>
      <c r="C374">
        <v>0</v>
      </c>
      <c r="D374">
        <v>29.823987023138365</v>
      </c>
      <c r="E374">
        <v>0</v>
      </c>
      <c r="F374">
        <v>100</v>
      </c>
      <c r="G374">
        <v>100</v>
      </c>
      <c r="H374">
        <v>50</v>
      </c>
      <c r="I374">
        <v>0</v>
      </c>
      <c r="J374">
        <v>0</v>
      </c>
      <c r="K374">
        <f t="shared" si="20"/>
        <v>25.407540969834329</v>
      </c>
      <c r="L374">
        <f t="shared" si="21"/>
        <v>27.177569044004628</v>
      </c>
      <c r="M374">
        <f t="shared" si="22"/>
        <v>18.168392829818671</v>
      </c>
      <c r="O374">
        <f t="shared" si="23"/>
        <v>43.055712921118293</v>
      </c>
    </row>
    <row r="375" spans="1:15" x14ac:dyDescent="0.45">
      <c r="A375">
        <v>482</v>
      </c>
      <c r="B375">
        <v>0</v>
      </c>
      <c r="C375">
        <v>0</v>
      </c>
      <c r="D375">
        <v>29.564173886989781</v>
      </c>
      <c r="E375">
        <v>0</v>
      </c>
      <c r="F375">
        <v>0</v>
      </c>
      <c r="G375">
        <v>100</v>
      </c>
      <c r="H375">
        <v>16.666666666666664</v>
      </c>
      <c r="I375">
        <v>0</v>
      </c>
      <c r="J375">
        <v>0.41370451612914072</v>
      </c>
      <c r="K375">
        <f t="shared" si="20"/>
        <v>11.845466298520298</v>
      </c>
      <c r="L375">
        <f t="shared" si="21"/>
        <v>12.670686178118734</v>
      </c>
      <c r="M375">
        <f t="shared" si="22"/>
        <v>12.995060861261193</v>
      </c>
      <c r="O375">
        <f t="shared" si="23"/>
        <v>29.493638249804267</v>
      </c>
    </row>
    <row r="376" spans="1:15" x14ac:dyDescent="0.45">
      <c r="A376">
        <v>483</v>
      </c>
      <c r="B376">
        <v>0</v>
      </c>
      <c r="C376">
        <v>0</v>
      </c>
      <c r="D376">
        <v>32.053678780970351</v>
      </c>
      <c r="E376">
        <v>0</v>
      </c>
      <c r="F376">
        <v>100</v>
      </c>
      <c r="G376">
        <v>100</v>
      </c>
      <c r="H376">
        <v>16.666666666666664</v>
      </c>
      <c r="I376">
        <v>33.333333333333329</v>
      </c>
      <c r="J376">
        <v>0</v>
      </c>
      <c r="K376">
        <f t="shared" si="20"/>
        <v>22.318303340801357</v>
      </c>
      <c r="L376">
        <f t="shared" si="21"/>
        <v>21.55093618993234</v>
      </c>
      <c r="M376">
        <f t="shared" si="22"/>
        <v>14.779346759998985</v>
      </c>
      <c r="O376">
        <f t="shared" si="23"/>
        <v>39.96647529208532</v>
      </c>
    </row>
    <row r="377" spans="1:15" x14ac:dyDescent="0.45">
      <c r="A377">
        <v>484</v>
      </c>
      <c r="B377">
        <v>0</v>
      </c>
      <c r="C377">
        <v>0</v>
      </c>
      <c r="D377">
        <v>32.405579429348492</v>
      </c>
      <c r="E377">
        <v>33.333333333333329</v>
      </c>
      <c r="F377">
        <v>0</v>
      </c>
      <c r="G377">
        <v>25</v>
      </c>
      <c r="H377">
        <v>16.666666666666664</v>
      </c>
      <c r="I377">
        <v>33.333333333333329</v>
      </c>
      <c r="J377">
        <v>0</v>
      </c>
      <c r="K377">
        <f t="shared" si="20"/>
        <v>6.6669237623807325</v>
      </c>
      <c r="L377">
        <f t="shared" si="21"/>
        <v>4.8091960258024766</v>
      </c>
      <c r="M377">
        <f t="shared" si="22"/>
        <v>7.3139442438284199</v>
      </c>
      <c r="O377">
        <f t="shared" si="23"/>
        <v>24.315095713664697</v>
      </c>
    </row>
    <row r="378" spans="1:15" x14ac:dyDescent="0.45">
      <c r="A378">
        <v>489</v>
      </c>
      <c r="B378">
        <v>0</v>
      </c>
      <c r="C378">
        <v>0</v>
      </c>
      <c r="D378">
        <v>54.753780392997385</v>
      </c>
      <c r="E378">
        <v>100</v>
      </c>
      <c r="F378">
        <v>0</v>
      </c>
      <c r="G378">
        <v>50</v>
      </c>
      <c r="H378">
        <v>16.666666666666664</v>
      </c>
      <c r="I378">
        <v>0</v>
      </c>
      <c r="J378">
        <v>11.050888035983071</v>
      </c>
      <c r="K378">
        <f t="shared" si="20"/>
        <v>15.292824433705874</v>
      </c>
      <c r="L378">
        <f t="shared" si="21"/>
        <v>16.358206109687618</v>
      </c>
      <c r="M378">
        <f t="shared" si="22"/>
        <v>16.776982792261627</v>
      </c>
      <c r="O378">
        <f t="shared" si="23"/>
        <v>32.940996384989838</v>
      </c>
    </row>
    <row r="379" spans="1:15" x14ac:dyDescent="0.45">
      <c r="A379">
        <v>490</v>
      </c>
      <c r="B379">
        <v>0</v>
      </c>
      <c r="C379">
        <v>0</v>
      </c>
      <c r="D379">
        <v>57.861130613955083</v>
      </c>
      <c r="E379">
        <v>66.666666666666657</v>
      </c>
      <c r="F379">
        <v>0</v>
      </c>
      <c r="G379">
        <v>25</v>
      </c>
      <c r="H379">
        <v>83.333333333333343</v>
      </c>
      <c r="I379">
        <v>100</v>
      </c>
      <c r="J379">
        <v>1.1908612897883564</v>
      </c>
      <c r="K379">
        <f t="shared" si="20"/>
        <v>20.702910441548841</v>
      </c>
      <c r="L379">
        <f t="shared" si="21"/>
        <v>15.178642080234447</v>
      </c>
      <c r="M379">
        <f t="shared" si="22"/>
        <v>22.712114020093424</v>
      </c>
      <c r="O379">
        <f t="shared" si="23"/>
        <v>38.351082392832808</v>
      </c>
    </row>
    <row r="380" spans="1:15" x14ac:dyDescent="0.45">
      <c r="A380">
        <v>491</v>
      </c>
      <c r="B380">
        <v>0</v>
      </c>
      <c r="C380">
        <v>0</v>
      </c>
      <c r="D380">
        <v>58.218610230483577</v>
      </c>
      <c r="E380">
        <v>33.333333333333329</v>
      </c>
      <c r="F380">
        <v>100</v>
      </c>
      <c r="G380">
        <v>100</v>
      </c>
      <c r="H380">
        <v>16.666666666666664</v>
      </c>
      <c r="I380">
        <v>33.333333333333329</v>
      </c>
      <c r="J380">
        <v>21.58082965343014</v>
      </c>
      <c r="K380">
        <f t="shared" si="20"/>
        <v>27.336275795343667</v>
      </c>
      <c r="L380">
        <f t="shared" si="21"/>
        <v>26.918488012682634</v>
      </c>
      <c r="M380">
        <f t="shared" si="22"/>
        <v>20.284310077066142</v>
      </c>
      <c r="O380">
        <f t="shared" si="23"/>
        <v>44.98444774662763</v>
      </c>
    </row>
    <row r="381" spans="1:15" x14ac:dyDescent="0.45">
      <c r="A381">
        <v>492</v>
      </c>
      <c r="B381">
        <v>0</v>
      </c>
      <c r="C381">
        <v>0</v>
      </c>
      <c r="D381">
        <v>26.117539625967495</v>
      </c>
      <c r="E381">
        <v>100</v>
      </c>
      <c r="F381">
        <v>100</v>
      </c>
      <c r="G381">
        <v>75</v>
      </c>
      <c r="H381">
        <v>50</v>
      </c>
      <c r="I381">
        <v>33.333333333333329</v>
      </c>
      <c r="J381">
        <v>7.4719769950522155</v>
      </c>
      <c r="K381">
        <f t="shared" si="20"/>
        <v>38.952109197234357</v>
      </c>
      <c r="L381">
        <f t="shared" si="21"/>
        <v>39.343543812389889</v>
      </c>
      <c r="M381">
        <f t="shared" si="22"/>
        <v>33.027452323032122</v>
      </c>
      <c r="O381">
        <f t="shared" si="23"/>
        <v>56.60028114851832</v>
      </c>
    </row>
    <row r="382" spans="1:15" x14ac:dyDescent="0.45">
      <c r="A382">
        <v>493</v>
      </c>
      <c r="B382">
        <v>0</v>
      </c>
      <c r="C382">
        <v>0</v>
      </c>
      <c r="D382">
        <v>27.148469915525574</v>
      </c>
      <c r="E382">
        <v>66.666666666666657</v>
      </c>
      <c r="F382">
        <v>0</v>
      </c>
      <c r="G382">
        <v>75</v>
      </c>
      <c r="H382">
        <v>33.333333333333329</v>
      </c>
      <c r="I382">
        <v>0</v>
      </c>
      <c r="J382">
        <v>0.59814027853441132</v>
      </c>
      <c r="K382">
        <f t="shared" si="20"/>
        <v>19.4218937278517</v>
      </c>
      <c r="L382">
        <f t="shared" si="21"/>
        <v>20.77492892290126</v>
      </c>
      <c r="M382">
        <f t="shared" si="22"/>
        <v>21.306775493161258</v>
      </c>
      <c r="O382">
        <f t="shared" si="23"/>
        <v>37.070065679135666</v>
      </c>
    </row>
    <row r="383" spans="1:15" x14ac:dyDescent="0.45">
      <c r="A383">
        <v>494</v>
      </c>
      <c r="B383">
        <v>0</v>
      </c>
      <c r="C383">
        <v>0</v>
      </c>
      <c r="D383">
        <v>27.148469915525574</v>
      </c>
      <c r="E383">
        <v>66.666666666666657</v>
      </c>
      <c r="F383">
        <v>100</v>
      </c>
      <c r="G383">
        <v>75</v>
      </c>
      <c r="H383">
        <v>33.333333333333329</v>
      </c>
      <c r="I383">
        <v>0</v>
      </c>
      <c r="J383">
        <v>0.59814027853441132</v>
      </c>
      <c r="K383">
        <f t="shared" si="20"/>
        <v>28.268289870311357</v>
      </c>
      <c r="L383">
        <f t="shared" si="21"/>
        <v>30.237613337648902</v>
      </c>
      <c r="M383">
        <f t="shared" si="22"/>
        <v>21.306775493161258</v>
      </c>
      <c r="O383">
        <f t="shared" si="23"/>
        <v>45.91646182159532</v>
      </c>
    </row>
    <row r="384" spans="1:15" x14ac:dyDescent="0.45">
      <c r="A384">
        <v>495</v>
      </c>
      <c r="B384">
        <v>1</v>
      </c>
      <c r="C384">
        <v>0</v>
      </c>
      <c r="D384">
        <v>35.036658849765637</v>
      </c>
      <c r="E384">
        <v>100</v>
      </c>
      <c r="F384">
        <v>100</v>
      </c>
      <c r="G384">
        <v>75</v>
      </c>
      <c r="H384">
        <v>50</v>
      </c>
      <c r="I384">
        <v>66.666666666666657</v>
      </c>
      <c r="J384">
        <v>6.7698177194940792</v>
      </c>
      <c r="K384">
        <f t="shared" si="20"/>
        <v>39.370525499505398</v>
      </c>
      <c r="L384">
        <f t="shared" si="21"/>
        <v>37.46892722048446</v>
      </c>
      <c r="M384">
        <f t="shared" si="22"/>
        <v>33.486475646920617</v>
      </c>
      <c r="O384">
        <f t="shared" si="23"/>
        <v>57.018697450789361</v>
      </c>
    </row>
    <row r="385" spans="1:15" x14ac:dyDescent="0.45">
      <c r="A385">
        <v>496</v>
      </c>
      <c r="B385">
        <v>1</v>
      </c>
      <c r="C385">
        <v>0</v>
      </c>
      <c r="D385">
        <v>35.426121024947065</v>
      </c>
      <c r="E385">
        <v>100</v>
      </c>
      <c r="F385">
        <v>100</v>
      </c>
      <c r="G385">
        <v>25</v>
      </c>
      <c r="H385">
        <v>83.333333333333343</v>
      </c>
      <c r="I385">
        <v>0</v>
      </c>
      <c r="J385">
        <v>7.1880895023963172</v>
      </c>
      <c r="K385">
        <f t="shared" si="20"/>
        <v>32.670641618692471</v>
      </c>
      <c r="L385">
        <f t="shared" si="21"/>
        <v>34.946656953466494</v>
      </c>
      <c r="M385">
        <f t="shared" si="22"/>
        <v>26.136372527263543</v>
      </c>
      <c r="O385">
        <f t="shared" si="23"/>
        <v>50.318813569976442</v>
      </c>
    </row>
    <row r="386" spans="1:15" x14ac:dyDescent="0.45">
      <c r="A386">
        <v>497</v>
      </c>
      <c r="B386">
        <v>0</v>
      </c>
      <c r="C386">
        <v>0</v>
      </c>
      <c r="D386">
        <v>28.197330326275562</v>
      </c>
      <c r="E386">
        <v>100</v>
      </c>
      <c r="F386">
        <v>100</v>
      </c>
      <c r="G386">
        <v>75</v>
      </c>
      <c r="H386">
        <v>33.333333333333329</v>
      </c>
      <c r="I386">
        <v>33.333333333333329</v>
      </c>
      <c r="J386">
        <v>6.5726287958674341</v>
      </c>
      <c r="K386">
        <f t="shared" si="20"/>
        <v>35.923140933160468</v>
      </c>
      <c r="L386">
        <f t="shared" si="21"/>
        <v>36.103561075504665</v>
      </c>
      <c r="M386">
        <f t="shared" si="22"/>
        <v>29.704524719634541</v>
      </c>
      <c r="O386">
        <f t="shared" si="23"/>
        <v>53.571312884444431</v>
      </c>
    </row>
    <row r="387" spans="1:15" x14ac:dyDescent="0.45">
      <c r="A387">
        <v>498</v>
      </c>
      <c r="B387">
        <v>0</v>
      </c>
      <c r="C387">
        <v>0</v>
      </c>
      <c r="D387">
        <v>27.095804422828294</v>
      </c>
      <c r="E387">
        <v>100</v>
      </c>
      <c r="F387">
        <v>100</v>
      </c>
      <c r="G387">
        <v>75</v>
      </c>
      <c r="H387">
        <v>33.333333333333329</v>
      </c>
      <c r="I387">
        <v>0</v>
      </c>
      <c r="J387">
        <v>7.4763688428809729</v>
      </c>
      <c r="K387">
        <f t="shared" si="20"/>
        <v>34.176297166543364</v>
      </c>
      <c r="L387">
        <f t="shared" si="21"/>
        <v>36.55720469032893</v>
      </c>
      <c r="M387">
        <f t="shared" si="22"/>
        <v>27.788150936599958</v>
      </c>
      <c r="O387">
        <f t="shared" si="23"/>
        <v>51.824469117827334</v>
      </c>
    </row>
    <row r="388" spans="1:15" x14ac:dyDescent="0.45">
      <c r="A388">
        <v>499</v>
      </c>
      <c r="B388">
        <v>0</v>
      </c>
      <c r="C388">
        <v>0</v>
      </c>
      <c r="D388">
        <v>27.583517964456441</v>
      </c>
      <c r="E388">
        <v>0</v>
      </c>
      <c r="F388">
        <v>100</v>
      </c>
      <c r="G388">
        <v>50</v>
      </c>
      <c r="H388">
        <v>33.333333333333329</v>
      </c>
      <c r="I388">
        <v>33.333333333333329</v>
      </c>
      <c r="J388">
        <v>7.2230625197378266</v>
      </c>
      <c r="K388">
        <f t="shared" si="20"/>
        <v>20.114140738522384</v>
      </c>
      <c r="L388">
        <f t="shared" si="21"/>
        <v>19.193219582143666</v>
      </c>
      <c r="M388">
        <f t="shared" si="22"/>
        <v>12.361271654900833</v>
      </c>
      <c r="O388">
        <f t="shared" si="23"/>
        <v>37.76231268980635</v>
      </c>
    </row>
    <row r="389" spans="1:15" x14ac:dyDescent="0.45">
      <c r="A389">
        <v>500</v>
      </c>
      <c r="B389">
        <v>0</v>
      </c>
      <c r="C389">
        <v>0</v>
      </c>
      <c r="D389">
        <v>31.306922599568267</v>
      </c>
      <c r="E389">
        <v>66.666666666666657</v>
      </c>
      <c r="F389">
        <v>0</v>
      </c>
      <c r="G389">
        <v>75</v>
      </c>
      <c r="H389">
        <v>66.666666666666657</v>
      </c>
      <c r="I389">
        <v>0</v>
      </c>
      <c r="J389">
        <v>4.4626382591457752</v>
      </c>
      <c r="K389">
        <f t="shared" si="20"/>
        <v>24.53690447945457</v>
      </c>
      <c r="L389">
        <f t="shared" si="21"/>
        <v>26.246279260486464</v>
      </c>
      <c r="M389">
        <f t="shared" si="22"/>
        <v>26.918194608961521</v>
      </c>
      <c r="O389">
        <f t="shared" si="23"/>
        <v>42.185076430738533</v>
      </c>
    </row>
    <row r="390" spans="1:15" x14ac:dyDescent="0.45">
      <c r="A390">
        <v>501</v>
      </c>
      <c r="B390">
        <v>0</v>
      </c>
      <c r="C390">
        <v>0</v>
      </c>
      <c r="D390">
        <v>30.341855431272407</v>
      </c>
      <c r="E390">
        <v>66.666666666666657</v>
      </c>
      <c r="F390">
        <v>0</v>
      </c>
      <c r="G390">
        <v>75</v>
      </c>
      <c r="H390">
        <v>16.666666666666664</v>
      </c>
      <c r="I390">
        <v>0</v>
      </c>
      <c r="J390">
        <v>12.355223209186512</v>
      </c>
      <c r="K390">
        <f t="shared" si="20"/>
        <v>19.413222580717559</v>
      </c>
      <c r="L390">
        <f t="shared" si="21"/>
        <v>20.765653696297925</v>
      </c>
      <c r="M390">
        <f t="shared" si="22"/>
        <v>21.297262817011127</v>
      </c>
      <c r="O390">
        <f t="shared" si="23"/>
        <v>37.061394532001522</v>
      </c>
    </row>
    <row r="391" spans="1:15" x14ac:dyDescent="0.45">
      <c r="A391">
        <v>502</v>
      </c>
      <c r="B391">
        <v>0</v>
      </c>
      <c r="C391">
        <v>0</v>
      </c>
      <c r="D391">
        <v>29.673924824760334</v>
      </c>
      <c r="E391">
        <v>66.666666666666657</v>
      </c>
      <c r="F391">
        <v>100</v>
      </c>
      <c r="G391">
        <v>100</v>
      </c>
      <c r="H391">
        <v>33.333333333333329</v>
      </c>
      <c r="I391">
        <v>66.666666666666657</v>
      </c>
      <c r="J391">
        <v>23.437170193848537</v>
      </c>
      <c r="K391">
        <f t="shared" si="20"/>
        <v>41.600496264912593</v>
      </c>
      <c r="L391">
        <f t="shared" si="21"/>
        <v>39.854249929003188</v>
      </c>
      <c r="M391">
        <f t="shared" si="22"/>
        <v>35.932863580076081</v>
      </c>
      <c r="O391">
        <f t="shared" si="23"/>
        <v>59.248668216196556</v>
      </c>
    </row>
    <row r="392" spans="1:15" x14ac:dyDescent="0.45">
      <c r="A392">
        <v>503</v>
      </c>
      <c r="B392">
        <v>0</v>
      </c>
      <c r="C392">
        <v>0</v>
      </c>
      <c r="D392">
        <v>28.386843043395913</v>
      </c>
      <c r="E392">
        <v>100</v>
      </c>
      <c r="F392">
        <v>100</v>
      </c>
      <c r="G392">
        <v>100</v>
      </c>
      <c r="H392">
        <v>83.333333333333343</v>
      </c>
      <c r="I392">
        <v>33.333333333333329</v>
      </c>
      <c r="J392">
        <v>24.505430841623603</v>
      </c>
      <c r="K392">
        <f t="shared" ref="K392:K437" si="24">D392*D$1+E392*E$1+F392*F$1+G392*G$1+H392*H$1+I392*I$1+J392*J$1</f>
        <v>51.378740811845802</v>
      </c>
      <c r="L392">
        <f t="shared" ref="L392:L437" si="25">D392*D$2+E392*E$2+F392*F$2+G392*G$2+H392*H$2+J392*J$2</f>
        <v>52.635882456711485</v>
      </c>
      <c r="M392">
        <f t="shared" ref="M392:M437" si="26">D392*D$3+E392*E$3+G392*G$3+H392*H$3+I392*I$3+J392*J$3</f>
        <v>46.660080204681691</v>
      </c>
      <c r="O392">
        <f t="shared" ref="O392:O437" si="27">(K392-$P$3)/($P$2-$P$3)*100</f>
        <v>69.026912763129758</v>
      </c>
    </row>
    <row r="393" spans="1:15" x14ac:dyDescent="0.45">
      <c r="A393">
        <v>504</v>
      </c>
      <c r="B393">
        <v>0</v>
      </c>
      <c r="C393">
        <v>0</v>
      </c>
      <c r="D393">
        <v>28.566482806104698</v>
      </c>
      <c r="E393">
        <v>33.333333333333329</v>
      </c>
      <c r="F393">
        <v>100</v>
      </c>
      <c r="G393">
        <v>100</v>
      </c>
      <c r="H393">
        <v>50</v>
      </c>
      <c r="I393">
        <v>100</v>
      </c>
      <c r="J393">
        <v>24.094843258665037</v>
      </c>
      <c r="K393">
        <f t="shared" si="24"/>
        <v>42.416874243167172</v>
      </c>
      <c r="L393">
        <f t="shared" si="25"/>
        <v>38.405319197006492</v>
      </c>
      <c r="M393">
        <f t="shared" si="26"/>
        <v>36.828470493797724</v>
      </c>
      <c r="O393">
        <f t="shared" si="27"/>
        <v>60.065046194451135</v>
      </c>
    </row>
    <row r="394" spans="1:15" x14ac:dyDescent="0.45">
      <c r="A394">
        <v>505</v>
      </c>
      <c r="B394">
        <v>0</v>
      </c>
      <c r="C394">
        <v>0</v>
      </c>
      <c r="D394">
        <v>27.920088567852925</v>
      </c>
      <c r="E394">
        <v>33.333333333333329</v>
      </c>
      <c r="F394">
        <v>100</v>
      </c>
      <c r="G394">
        <v>100</v>
      </c>
      <c r="H394">
        <v>83.333333333333343</v>
      </c>
      <c r="I394">
        <v>66.666666666666657</v>
      </c>
      <c r="J394">
        <v>19.170407089056408</v>
      </c>
      <c r="K394">
        <f t="shared" si="24"/>
        <v>43.975067762032374</v>
      </c>
      <c r="L394">
        <f t="shared" si="25"/>
        <v>42.394247045981935</v>
      </c>
      <c r="M394">
        <f t="shared" si="26"/>
        <v>38.53788564901248</v>
      </c>
      <c r="O394">
        <f t="shared" si="27"/>
        <v>61.623239713316337</v>
      </c>
    </row>
    <row r="395" spans="1:15" x14ac:dyDescent="0.45">
      <c r="A395">
        <v>506</v>
      </c>
      <c r="B395">
        <v>0</v>
      </c>
      <c r="C395">
        <v>0</v>
      </c>
      <c r="D395">
        <v>28.531551072278265</v>
      </c>
      <c r="E395">
        <v>33.333333333333329</v>
      </c>
      <c r="F395">
        <v>100</v>
      </c>
      <c r="G395">
        <v>100</v>
      </c>
      <c r="H395">
        <v>83.333333333333343</v>
      </c>
      <c r="I395">
        <v>66.666666666666657</v>
      </c>
      <c r="J395">
        <v>20.93232582406231</v>
      </c>
      <c r="K395">
        <f t="shared" si="24"/>
        <v>44.314974499362549</v>
      </c>
      <c r="L395">
        <f t="shared" si="25"/>
        <v>42.757833543127823</v>
      </c>
      <c r="M395">
        <f t="shared" si="26"/>
        <v>38.910780107317592</v>
      </c>
      <c r="O395">
        <f t="shared" si="27"/>
        <v>61.963146450646512</v>
      </c>
    </row>
    <row r="396" spans="1:15" x14ac:dyDescent="0.45">
      <c r="A396">
        <v>507</v>
      </c>
      <c r="B396">
        <v>0</v>
      </c>
      <c r="C396">
        <v>0</v>
      </c>
      <c r="D396">
        <v>25.517516362110605</v>
      </c>
      <c r="E396">
        <v>66.666666666666657</v>
      </c>
      <c r="F396">
        <v>100</v>
      </c>
      <c r="G396">
        <v>100</v>
      </c>
      <c r="H396">
        <v>33.333333333333329</v>
      </c>
      <c r="I396">
        <v>0</v>
      </c>
      <c r="J396">
        <v>37.860705228538386</v>
      </c>
      <c r="K396">
        <f t="shared" si="24"/>
        <v>41.658104489673534</v>
      </c>
      <c r="L396">
        <f t="shared" si="25"/>
        <v>44.560235575518739</v>
      </c>
      <c r="M396">
        <f t="shared" si="26"/>
        <v>35.996062644427909</v>
      </c>
      <c r="O396">
        <f t="shared" si="27"/>
        <v>59.306276440957497</v>
      </c>
    </row>
    <row r="397" spans="1:15" x14ac:dyDescent="0.45">
      <c r="A397">
        <v>508</v>
      </c>
      <c r="B397">
        <v>0</v>
      </c>
      <c r="C397">
        <v>0</v>
      </c>
      <c r="D397">
        <v>26.35174737488321</v>
      </c>
      <c r="E397">
        <v>33.333333333333329</v>
      </c>
      <c r="F397">
        <v>100</v>
      </c>
      <c r="G397">
        <v>50</v>
      </c>
      <c r="H397">
        <v>33.333333333333329</v>
      </c>
      <c r="I397">
        <v>66.666666666666657</v>
      </c>
      <c r="J397">
        <v>5.8532020526017261</v>
      </c>
      <c r="K397">
        <f t="shared" si="24"/>
        <v>26.304802453496972</v>
      </c>
      <c r="L397">
        <f t="shared" si="25"/>
        <v>23.492974545082678</v>
      </c>
      <c r="M397">
        <f t="shared" si="26"/>
        <v>19.15273293892168</v>
      </c>
      <c r="O397">
        <f t="shared" si="27"/>
        <v>43.952974404780932</v>
      </c>
    </row>
    <row r="398" spans="1:15" x14ac:dyDescent="0.45">
      <c r="A398">
        <v>509</v>
      </c>
      <c r="B398">
        <v>0</v>
      </c>
      <c r="C398">
        <v>0</v>
      </c>
      <c r="D398">
        <v>32.213429684001589</v>
      </c>
      <c r="E398">
        <v>66.666666666666657</v>
      </c>
      <c r="F398">
        <v>0</v>
      </c>
      <c r="G398">
        <v>75</v>
      </c>
      <c r="H398">
        <v>100</v>
      </c>
      <c r="I398">
        <v>33.333333333333329</v>
      </c>
      <c r="J398">
        <v>8.3403104425946104</v>
      </c>
      <c r="K398">
        <f t="shared" si="24"/>
        <v>32.400114965396035</v>
      </c>
      <c r="L398">
        <f t="shared" si="25"/>
        <v>32.335101876858985</v>
      </c>
      <c r="M398">
        <f t="shared" si="26"/>
        <v>35.54452440084831</v>
      </c>
      <c r="O398">
        <f t="shared" si="27"/>
        <v>50.048286916679999</v>
      </c>
    </row>
    <row r="399" spans="1:15" x14ac:dyDescent="0.45">
      <c r="A399">
        <v>510</v>
      </c>
      <c r="B399">
        <v>0</v>
      </c>
      <c r="C399">
        <v>0</v>
      </c>
      <c r="D399">
        <v>31.699251426364139</v>
      </c>
      <c r="E399">
        <v>66.666666666666657</v>
      </c>
      <c r="F399">
        <v>100</v>
      </c>
      <c r="G399">
        <v>100</v>
      </c>
      <c r="H399">
        <v>50</v>
      </c>
      <c r="I399">
        <v>0</v>
      </c>
      <c r="J399">
        <v>12.957681764479418</v>
      </c>
      <c r="K399">
        <f t="shared" si="24"/>
        <v>36.670995662631611</v>
      </c>
      <c r="L399">
        <f t="shared" si="25"/>
        <v>39.225697509130619</v>
      </c>
      <c r="M399">
        <f t="shared" si="26"/>
        <v>30.524958249218209</v>
      </c>
      <c r="O399">
        <f t="shared" si="27"/>
        <v>54.319167613915575</v>
      </c>
    </row>
    <row r="400" spans="1:15" x14ac:dyDescent="0.45">
      <c r="A400">
        <v>511</v>
      </c>
      <c r="B400">
        <v>0</v>
      </c>
      <c r="C400">
        <v>0</v>
      </c>
      <c r="D400">
        <v>24.280234715229966</v>
      </c>
      <c r="E400">
        <v>66.666666666666657</v>
      </c>
      <c r="F400">
        <v>100</v>
      </c>
      <c r="G400">
        <v>100</v>
      </c>
      <c r="H400">
        <v>50</v>
      </c>
      <c r="I400">
        <v>0</v>
      </c>
      <c r="J400">
        <v>16.844758976685384</v>
      </c>
      <c r="K400">
        <f t="shared" si="24"/>
        <v>38.968276828085557</v>
      </c>
      <c r="L400">
        <f t="shared" si="25"/>
        <v>41.683019827797473</v>
      </c>
      <c r="M400">
        <f t="shared" si="26"/>
        <v>33.045189011618199</v>
      </c>
      <c r="O400">
        <f t="shared" si="27"/>
        <v>56.61644877936952</v>
      </c>
    </row>
    <row r="401" spans="1:15" x14ac:dyDescent="0.45">
      <c r="A401">
        <v>512</v>
      </c>
      <c r="B401">
        <v>0</v>
      </c>
      <c r="C401">
        <v>0</v>
      </c>
      <c r="D401">
        <v>23.832057126031369</v>
      </c>
      <c r="E401">
        <v>66.666666666666657</v>
      </c>
      <c r="F401">
        <v>100</v>
      </c>
      <c r="G401">
        <v>75</v>
      </c>
      <c r="H401">
        <v>66.666666666666657</v>
      </c>
      <c r="I401">
        <v>33.333333333333329</v>
      </c>
      <c r="J401">
        <v>11.287391418493833</v>
      </c>
      <c r="K401">
        <f t="shared" si="24"/>
        <v>38.608035864857428</v>
      </c>
      <c r="L401">
        <f t="shared" si="25"/>
        <v>38.975500452429273</v>
      </c>
      <c r="M401">
        <f t="shared" si="26"/>
        <v>32.649986904424352</v>
      </c>
      <c r="O401">
        <f t="shared" si="27"/>
        <v>56.256207816141391</v>
      </c>
    </row>
    <row r="402" spans="1:15" x14ac:dyDescent="0.45">
      <c r="A402">
        <v>513</v>
      </c>
      <c r="B402">
        <v>0</v>
      </c>
      <c r="C402">
        <v>0</v>
      </c>
      <c r="D402">
        <v>23.510771894274711</v>
      </c>
      <c r="E402">
        <v>100</v>
      </c>
      <c r="F402">
        <v>100</v>
      </c>
      <c r="G402">
        <v>100</v>
      </c>
      <c r="H402">
        <v>66.666666666666657</v>
      </c>
      <c r="I402">
        <v>0</v>
      </c>
      <c r="J402">
        <v>18.249237355897083</v>
      </c>
      <c r="K402">
        <f t="shared" si="24"/>
        <v>46.044888194511714</v>
      </c>
      <c r="L402">
        <f t="shared" si="25"/>
        <v>49.252626592851087</v>
      </c>
      <c r="M402">
        <f t="shared" si="26"/>
        <v>40.80858076679867</v>
      </c>
      <c r="O402">
        <f t="shared" si="27"/>
        <v>63.693060145795677</v>
      </c>
    </row>
    <row r="403" spans="1:15" x14ac:dyDescent="0.45">
      <c r="A403">
        <v>514</v>
      </c>
      <c r="B403">
        <v>0</v>
      </c>
      <c r="C403">
        <v>0</v>
      </c>
      <c r="D403">
        <v>21.586329001371148</v>
      </c>
      <c r="E403">
        <v>33.333333333333329</v>
      </c>
      <c r="F403">
        <v>100</v>
      </c>
      <c r="G403">
        <v>75</v>
      </c>
      <c r="H403">
        <v>33.333333333333329</v>
      </c>
      <c r="I403">
        <v>0</v>
      </c>
      <c r="J403">
        <v>12.9746503445631</v>
      </c>
      <c r="K403">
        <f t="shared" si="24"/>
        <v>28.245080641989482</v>
      </c>
      <c r="L403">
        <f t="shared" si="25"/>
        <v>30.212787227718596</v>
      </c>
      <c r="M403">
        <f t="shared" si="26"/>
        <v>21.281313824790853</v>
      </c>
      <c r="O403">
        <f t="shared" si="27"/>
        <v>45.893252593273445</v>
      </c>
    </row>
    <row r="404" spans="1:15" x14ac:dyDescent="0.45">
      <c r="A404">
        <v>516</v>
      </c>
      <c r="B404">
        <v>0</v>
      </c>
      <c r="C404">
        <v>0</v>
      </c>
      <c r="D404">
        <v>23.003906318304761</v>
      </c>
      <c r="E404">
        <v>0</v>
      </c>
      <c r="F404">
        <v>0</v>
      </c>
      <c r="G404">
        <v>25</v>
      </c>
      <c r="H404">
        <v>66.666666666666657</v>
      </c>
      <c r="I404">
        <v>0</v>
      </c>
      <c r="J404">
        <v>7.1393961386176983</v>
      </c>
      <c r="K404">
        <f t="shared" si="24"/>
        <v>11.119306754288866</v>
      </c>
      <c r="L404">
        <f t="shared" si="25"/>
        <v>11.893938393917825</v>
      </c>
      <c r="M404">
        <f t="shared" si="26"/>
        <v>12.198428020099682</v>
      </c>
      <c r="O404">
        <f t="shared" si="27"/>
        <v>28.767478705572831</v>
      </c>
    </row>
    <row r="405" spans="1:15" x14ac:dyDescent="0.45">
      <c r="A405">
        <v>517</v>
      </c>
      <c r="B405">
        <v>0</v>
      </c>
      <c r="C405">
        <v>0</v>
      </c>
      <c r="D405">
        <v>24.135322418146885</v>
      </c>
      <c r="E405">
        <v>66.666666666666657</v>
      </c>
      <c r="F405">
        <v>100</v>
      </c>
      <c r="G405">
        <v>25</v>
      </c>
      <c r="H405">
        <v>50</v>
      </c>
      <c r="I405">
        <v>33.333333333333329</v>
      </c>
      <c r="J405">
        <v>6.0133777709374456</v>
      </c>
      <c r="K405">
        <f t="shared" si="24"/>
        <v>27.518446929028975</v>
      </c>
      <c r="L405">
        <f t="shared" si="25"/>
        <v>27.113350182517774</v>
      </c>
      <c r="M405">
        <f t="shared" si="26"/>
        <v>20.484160797143012</v>
      </c>
      <c r="O405">
        <f t="shared" si="27"/>
        <v>45.166618880312939</v>
      </c>
    </row>
    <row r="406" spans="1:15" x14ac:dyDescent="0.45">
      <c r="A406">
        <v>518</v>
      </c>
      <c r="B406">
        <v>0</v>
      </c>
      <c r="C406">
        <v>0</v>
      </c>
      <c r="D406">
        <v>35.983011143752655</v>
      </c>
      <c r="E406">
        <v>100</v>
      </c>
      <c r="F406">
        <v>100</v>
      </c>
      <c r="G406">
        <v>100</v>
      </c>
      <c r="H406">
        <v>33.333333333333329</v>
      </c>
      <c r="I406">
        <v>0</v>
      </c>
      <c r="J406">
        <v>14.201605389299312</v>
      </c>
      <c r="K406">
        <f t="shared" si="24"/>
        <v>37.948318020191913</v>
      </c>
      <c r="L406">
        <f t="shared" si="25"/>
        <v>40.592005118562859</v>
      </c>
      <c r="M406">
        <f t="shared" si="26"/>
        <v>31.926243885227269</v>
      </c>
      <c r="O406">
        <f t="shared" si="27"/>
        <v>55.596489971475869</v>
      </c>
    </row>
    <row r="407" spans="1:15" x14ac:dyDescent="0.45">
      <c r="A407">
        <v>519</v>
      </c>
      <c r="B407">
        <v>0</v>
      </c>
      <c r="C407">
        <v>0</v>
      </c>
      <c r="D407">
        <v>57.201348634263418</v>
      </c>
      <c r="E407">
        <v>66.666666666666657</v>
      </c>
      <c r="F407">
        <v>0</v>
      </c>
      <c r="G407">
        <v>25</v>
      </c>
      <c r="H407">
        <v>16.666666666666664</v>
      </c>
      <c r="I407">
        <v>0</v>
      </c>
      <c r="J407">
        <v>5.341571388716674</v>
      </c>
      <c r="K407">
        <f t="shared" si="24"/>
        <v>5.6281292101874554</v>
      </c>
      <c r="L407">
        <f t="shared" si="25"/>
        <v>6.0202154305311417</v>
      </c>
      <c r="M407">
        <f t="shared" si="26"/>
        <v>6.1743353767815838</v>
      </c>
      <c r="O407">
        <f t="shared" si="27"/>
        <v>23.276301161471419</v>
      </c>
    </row>
    <row r="408" spans="1:15" x14ac:dyDescent="0.45">
      <c r="A408">
        <v>520</v>
      </c>
      <c r="B408">
        <v>0</v>
      </c>
      <c r="C408">
        <v>0</v>
      </c>
      <c r="D408">
        <v>50.319277869851156</v>
      </c>
      <c r="E408">
        <v>100</v>
      </c>
      <c r="F408">
        <v>100</v>
      </c>
      <c r="G408">
        <v>100</v>
      </c>
      <c r="H408">
        <v>66.666666666666657</v>
      </c>
      <c r="I408">
        <v>33.333333333333329</v>
      </c>
      <c r="J408">
        <v>21.567822374158421</v>
      </c>
      <c r="K408">
        <f t="shared" si="24"/>
        <v>44.328088641526705</v>
      </c>
      <c r="L408">
        <f t="shared" si="25"/>
        <v>45.094043347148975</v>
      </c>
      <c r="M408">
        <f t="shared" si="26"/>
        <v>38.925166968186694</v>
      </c>
      <c r="O408">
        <f t="shared" si="27"/>
        <v>61.976260592810675</v>
      </c>
    </row>
    <row r="409" spans="1:15" x14ac:dyDescent="0.45">
      <c r="A409">
        <v>521</v>
      </c>
      <c r="B409">
        <v>0</v>
      </c>
      <c r="C409">
        <v>0</v>
      </c>
      <c r="D409">
        <v>57.002341259169839</v>
      </c>
      <c r="E409">
        <v>100</v>
      </c>
      <c r="F409">
        <v>100</v>
      </c>
      <c r="G409">
        <v>100</v>
      </c>
      <c r="H409">
        <v>50</v>
      </c>
      <c r="I409">
        <v>33.333333333333329</v>
      </c>
      <c r="J409">
        <v>21.091728672993153</v>
      </c>
      <c r="K409">
        <f t="shared" si="24"/>
        <v>40.594303525435699</v>
      </c>
      <c r="L409">
        <f t="shared" si="25"/>
        <v>41.100142366785754</v>
      </c>
      <c r="M409">
        <f t="shared" si="26"/>
        <v>34.829020509812594</v>
      </c>
      <c r="O409">
        <f t="shared" si="27"/>
        <v>58.242475476719655</v>
      </c>
    </row>
    <row r="410" spans="1:15" x14ac:dyDescent="0.45">
      <c r="A410">
        <v>523</v>
      </c>
      <c r="B410">
        <v>0</v>
      </c>
      <c r="C410">
        <v>0</v>
      </c>
      <c r="D410">
        <v>56.955539003854042</v>
      </c>
      <c r="E410">
        <v>100</v>
      </c>
      <c r="F410">
        <v>100</v>
      </c>
      <c r="G410">
        <v>100</v>
      </c>
      <c r="H410">
        <v>33.333333333333329</v>
      </c>
      <c r="I410">
        <v>0</v>
      </c>
      <c r="J410">
        <v>20.592785761764524</v>
      </c>
      <c r="K410">
        <f t="shared" si="24"/>
        <v>35.871466835647375</v>
      </c>
      <c r="L410">
        <f t="shared" si="25"/>
        <v>38.370469137214009</v>
      </c>
      <c r="M410">
        <f t="shared" si="26"/>
        <v>29.647835685601553</v>
      </c>
      <c r="O410">
        <f t="shared" si="27"/>
        <v>53.519638786931331</v>
      </c>
    </row>
    <row r="411" spans="1:15" x14ac:dyDescent="0.45">
      <c r="A411">
        <v>524</v>
      </c>
      <c r="B411">
        <v>1</v>
      </c>
      <c r="C411">
        <v>0</v>
      </c>
      <c r="D411">
        <v>51.032111554159073</v>
      </c>
      <c r="E411">
        <v>100</v>
      </c>
      <c r="F411">
        <v>100</v>
      </c>
      <c r="G411">
        <v>100</v>
      </c>
      <c r="H411">
        <v>33.333333333333329</v>
      </c>
      <c r="I411">
        <v>66.666666666666657</v>
      </c>
      <c r="J411">
        <v>38.452508493116824</v>
      </c>
      <c r="K411">
        <f t="shared" si="24"/>
        <v>45.798050886553227</v>
      </c>
      <c r="L411">
        <f t="shared" si="25"/>
        <v>44.344229131676208</v>
      </c>
      <c r="M411">
        <f t="shared" si="26"/>
        <v>40.53778806358941</v>
      </c>
      <c r="O411">
        <f t="shared" si="27"/>
        <v>63.446222837837183</v>
      </c>
    </row>
    <row r="412" spans="1:15" x14ac:dyDescent="0.45">
      <c r="A412">
        <v>525</v>
      </c>
      <c r="B412">
        <v>0</v>
      </c>
      <c r="C412">
        <v>0</v>
      </c>
      <c r="D412">
        <v>49.360787417665684</v>
      </c>
      <c r="E412">
        <v>66.666666666666657</v>
      </c>
      <c r="F412">
        <v>0</v>
      </c>
      <c r="G412">
        <v>25</v>
      </c>
      <c r="H412">
        <v>50</v>
      </c>
      <c r="I412">
        <v>33.333333333333329</v>
      </c>
      <c r="J412">
        <v>22.761520163989506</v>
      </c>
      <c r="K412">
        <f t="shared" si="24"/>
        <v>18.477014817078008</v>
      </c>
      <c r="L412">
        <f t="shared" si="25"/>
        <v>17.442042527401941</v>
      </c>
      <c r="M412">
        <f t="shared" si="26"/>
        <v>20.270196717570116</v>
      </c>
      <c r="O412">
        <f t="shared" si="27"/>
        <v>36.125186768361971</v>
      </c>
    </row>
    <row r="413" spans="1:15" x14ac:dyDescent="0.45">
      <c r="A413">
        <v>528</v>
      </c>
      <c r="B413">
        <v>0</v>
      </c>
      <c r="C413">
        <v>1</v>
      </c>
      <c r="D413">
        <v>84.006459481282619</v>
      </c>
      <c r="E413">
        <v>66.666666666666657</v>
      </c>
      <c r="F413">
        <v>0</v>
      </c>
      <c r="G413">
        <v>100</v>
      </c>
      <c r="H413">
        <v>16.666666666666664</v>
      </c>
      <c r="I413">
        <v>0</v>
      </c>
      <c r="J413">
        <v>3.5177970884936274</v>
      </c>
      <c r="K413">
        <f t="shared" si="24"/>
        <v>11.327361758460013</v>
      </c>
      <c r="L413">
        <f t="shared" si="25"/>
        <v>12.116487646028657</v>
      </c>
      <c r="M413">
        <f t="shared" si="26"/>
        <v>12.426674622939769</v>
      </c>
      <c r="O413">
        <f t="shared" si="27"/>
        <v>28.975533709743978</v>
      </c>
    </row>
    <row r="414" spans="1:15" x14ac:dyDescent="0.45">
      <c r="A414">
        <v>529</v>
      </c>
      <c r="B414">
        <v>0</v>
      </c>
      <c r="C414">
        <v>1</v>
      </c>
      <c r="D414">
        <v>83.759786927930122</v>
      </c>
      <c r="E414">
        <v>66.666666666666657</v>
      </c>
      <c r="F414">
        <v>0</v>
      </c>
      <c r="G414">
        <v>100</v>
      </c>
      <c r="H414">
        <v>16.666666666666664</v>
      </c>
      <c r="I414">
        <v>0</v>
      </c>
      <c r="J414">
        <v>3.4210907648159847</v>
      </c>
      <c r="K414">
        <f t="shared" si="24"/>
        <v>11.3463155582509</v>
      </c>
      <c r="L414">
        <f t="shared" si="25"/>
        <v>12.136761871034324</v>
      </c>
      <c r="M414">
        <f t="shared" si="26"/>
        <v>12.44746787629321</v>
      </c>
      <c r="O414">
        <f t="shared" si="27"/>
        <v>28.99448750953486</v>
      </c>
    </row>
    <row r="415" spans="1:15" x14ac:dyDescent="0.45">
      <c r="A415">
        <v>530</v>
      </c>
      <c r="B415">
        <v>0</v>
      </c>
      <c r="C415">
        <v>1</v>
      </c>
      <c r="D415">
        <v>79.186430496444842</v>
      </c>
      <c r="E415">
        <v>66.666666666666657</v>
      </c>
      <c r="F415">
        <v>0</v>
      </c>
      <c r="G415">
        <v>50</v>
      </c>
      <c r="H415">
        <v>50</v>
      </c>
      <c r="I415">
        <v>0</v>
      </c>
      <c r="J415">
        <v>2.7611571292665191</v>
      </c>
      <c r="K415">
        <f t="shared" si="24"/>
        <v>9.5901206960512599</v>
      </c>
      <c r="L415">
        <f t="shared" si="25"/>
        <v>10.258220882796842</v>
      </c>
      <c r="M415">
        <f t="shared" si="26"/>
        <v>10.520835480119038</v>
      </c>
      <c r="O415">
        <f t="shared" si="27"/>
        <v>27.238292647335221</v>
      </c>
    </row>
    <row r="416" spans="1:15" x14ac:dyDescent="0.45">
      <c r="A416">
        <v>531</v>
      </c>
      <c r="B416">
        <v>0</v>
      </c>
      <c r="C416">
        <v>0</v>
      </c>
      <c r="D416">
        <v>78.441501804195298</v>
      </c>
      <c r="E416">
        <v>100</v>
      </c>
      <c r="F416">
        <v>100</v>
      </c>
      <c r="G416">
        <v>25</v>
      </c>
      <c r="H416">
        <v>33.333333333333329</v>
      </c>
      <c r="I416">
        <v>33.333333333333329</v>
      </c>
      <c r="J416">
        <v>3.2253402220559027</v>
      </c>
      <c r="K416">
        <f t="shared" si="24"/>
        <v>18.942941827344907</v>
      </c>
      <c r="L416">
        <f t="shared" si="25"/>
        <v>17.940428557991417</v>
      </c>
      <c r="M416">
        <f t="shared" si="26"/>
        <v>11.076408674597948</v>
      </c>
      <c r="O416">
        <f t="shared" si="27"/>
        <v>36.591113778628866</v>
      </c>
    </row>
    <row r="417" spans="1:15" x14ac:dyDescent="0.45">
      <c r="A417">
        <v>532</v>
      </c>
      <c r="B417">
        <v>0</v>
      </c>
      <c r="C417">
        <v>0</v>
      </c>
      <c r="D417">
        <v>73.766944104300762</v>
      </c>
      <c r="E417">
        <v>0</v>
      </c>
      <c r="F417">
        <v>100</v>
      </c>
      <c r="G417">
        <v>50</v>
      </c>
      <c r="H417">
        <v>33.333333333333329</v>
      </c>
      <c r="I417">
        <v>0</v>
      </c>
      <c r="J417">
        <v>7.7639944783784394</v>
      </c>
      <c r="K417">
        <f t="shared" si="24"/>
        <v>9.9301540835465119</v>
      </c>
      <c r="L417">
        <f t="shared" si="25"/>
        <v>10.62194285325006</v>
      </c>
      <c r="M417">
        <f t="shared" si="26"/>
        <v>1.1889359226878309</v>
      </c>
      <c r="O417">
        <f t="shared" si="27"/>
        <v>27.578326034830475</v>
      </c>
    </row>
    <row r="418" spans="1:15" x14ac:dyDescent="0.45">
      <c r="A418">
        <v>533</v>
      </c>
      <c r="B418">
        <v>0</v>
      </c>
      <c r="C418">
        <v>0</v>
      </c>
      <c r="D418">
        <v>73.462601206989774</v>
      </c>
      <c r="E418">
        <v>66.666666666666657</v>
      </c>
      <c r="F418">
        <v>100</v>
      </c>
      <c r="G418">
        <v>50</v>
      </c>
      <c r="H418">
        <v>50</v>
      </c>
      <c r="I418">
        <v>0</v>
      </c>
      <c r="J418">
        <v>7.9060038143349063</v>
      </c>
      <c r="K418">
        <f t="shared" si="24"/>
        <v>20.754309830876007</v>
      </c>
      <c r="L418">
        <f t="shared" si="25"/>
        <v>22.200168409016037</v>
      </c>
      <c r="M418">
        <f t="shared" si="26"/>
        <v>13.063568728480192</v>
      </c>
      <c r="O418">
        <f t="shared" si="27"/>
        <v>38.402481782159967</v>
      </c>
    </row>
    <row r="419" spans="1:15" x14ac:dyDescent="0.45">
      <c r="A419">
        <v>534</v>
      </c>
      <c r="B419">
        <v>0</v>
      </c>
      <c r="C419">
        <v>0</v>
      </c>
      <c r="D419">
        <v>73.495615720781856</v>
      </c>
      <c r="E419">
        <v>66.666666666666657</v>
      </c>
      <c r="F419">
        <v>0</v>
      </c>
      <c r="G419">
        <v>50</v>
      </c>
      <c r="H419">
        <v>16.666666666666664</v>
      </c>
      <c r="I419">
        <v>0</v>
      </c>
      <c r="J419">
        <v>7.9060038143349063</v>
      </c>
      <c r="K419">
        <f t="shared" si="24"/>
        <v>7.0354070793409225</v>
      </c>
      <c r="L419">
        <f t="shared" si="25"/>
        <v>7.5255319622815744</v>
      </c>
      <c r="M419">
        <f t="shared" si="26"/>
        <v>7.71818861965812</v>
      </c>
      <c r="O419">
        <f t="shared" si="27"/>
        <v>24.683579030624884</v>
      </c>
    </row>
    <row r="420" spans="1:15" x14ac:dyDescent="0.45">
      <c r="A420">
        <v>535</v>
      </c>
      <c r="B420">
        <v>0</v>
      </c>
      <c r="C420">
        <v>0</v>
      </c>
      <c r="D420">
        <v>73.199334526239312</v>
      </c>
      <c r="E420">
        <v>66.666666666666657</v>
      </c>
      <c r="F420">
        <v>0</v>
      </c>
      <c r="G420">
        <v>50</v>
      </c>
      <c r="H420">
        <v>16.666666666666664</v>
      </c>
      <c r="I420">
        <v>0</v>
      </c>
      <c r="J420">
        <v>7.9060038143349063</v>
      </c>
      <c r="K420">
        <f t="shared" si="24"/>
        <v>7.087695294013109</v>
      </c>
      <c r="L420">
        <f t="shared" si="25"/>
        <v>7.5814628595741649</v>
      </c>
      <c r="M420">
        <f t="shared" si="26"/>
        <v>7.7755513705087669</v>
      </c>
      <c r="O420">
        <f t="shared" si="27"/>
        <v>24.735867245297072</v>
      </c>
    </row>
    <row r="421" spans="1:15" x14ac:dyDescent="0.45">
      <c r="A421">
        <v>536</v>
      </c>
      <c r="B421">
        <v>0</v>
      </c>
      <c r="C421">
        <v>0</v>
      </c>
      <c r="D421">
        <v>75.490812796055636</v>
      </c>
      <c r="E421">
        <v>0</v>
      </c>
      <c r="F421">
        <v>100</v>
      </c>
      <c r="G421">
        <v>100</v>
      </c>
      <c r="H421">
        <v>33.333333333333329</v>
      </c>
      <c r="I421">
        <v>66.666666666666657</v>
      </c>
      <c r="J421">
        <v>29.709618989516215</v>
      </c>
      <c r="K421">
        <f t="shared" si="24"/>
        <v>26.807881373512298</v>
      </c>
      <c r="L421">
        <f t="shared" si="25"/>
        <v>24.031100690368945</v>
      </c>
      <c r="M421">
        <f t="shared" si="26"/>
        <v>19.704635330846379</v>
      </c>
      <c r="O421">
        <f t="shared" si="27"/>
        <v>44.456053324796258</v>
      </c>
    </row>
    <row r="422" spans="1:15" x14ac:dyDescent="0.45">
      <c r="A422">
        <v>537</v>
      </c>
      <c r="B422">
        <v>0</v>
      </c>
      <c r="C422">
        <v>0</v>
      </c>
      <c r="D422">
        <v>77.702211163528531</v>
      </c>
      <c r="E422">
        <v>100</v>
      </c>
      <c r="F422">
        <v>100</v>
      </c>
      <c r="G422">
        <v>100</v>
      </c>
      <c r="H422">
        <v>83.333333333333343</v>
      </c>
      <c r="I422">
        <v>0</v>
      </c>
      <c r="J422">
        <v>24.555813104789099</v>
      </c>
      <c r="K422">
        <f t="shared" si="24"/>
        <v>40.517342915849866</v>
      </c>
      <c r="L422">
        <f t="shared" si="25"/>
        <v>43.340002319882188</v>
      </c>
      <c r="M422">
        <f t="shared" si="26"/>
        <v>34.744590924662987</v>
      </c>
      <c r="O422">
        <f t="shared" si="27"/>
        <v>58.16551486713383</v>
      </c>
    </row>
    <row r="423" spans="1:15" x14ac:dyDescent="0.45">
      <c r="A423">
        <v>539</v>
      </c>
      <c r="B423">
        <v>0</v>
      </c>
      <c r="C423">
        <v>0</v>
      </c>
      <c r="D423">
        <v>76.219776982973002</v>
      </c>
      <c r="E423">
        <v>100</v>
      </c>
      <c r="F423">
        <v>100</v>
      </c>
      <c r="G423">
        <v>100</v>
      </c>
      <c r="H423">
        <v>33.333333333333329</v>
      </c>
      <c r="I423">
        <v>0</v>
      </c>
      <c r="J423">
        <v>22.403849521424725</v>
      </c>
      <c r="K423">
        <f t="shared" si="24"/>
        <v>32.931990645896832</v>
      </c>
      <c r="L423">
        <f t="shared" si="25"/>
        <v>35.226212981334868</v>
      </c>
      <c r="M423">
        <f t="shared" si="26"/>
        <v>26.423085302342422</v>
      </c>
      <c r="O423">
        <f t="shared" si="27"/>
        <v>50.580162597180802</v>
      </c>
    </row>
    <row r="424" spans="1:15" x14ac:dyDescent="0.45">
      <c r="A424">
        <v>540</v>
      </c>
      <c r="B424">
        <v>0</v>
      </c>
      <c r="C424">
        <v>0</v>
      </c>
      <c r="D424">
        <v>76.494736989315442</v>
      </c>
      <c r="E424">
        <v>100</v>
      </c>
      <c r="F424">
        <v>100</v>
      </c>
      <c r="G424">
        <v>100</v>
      </c>
      <c r="H424">
        <v>33.333333333333329</v>
      </c>
      <c r="I424">
        <v>0</v>
      </c>
      <c r="J424">
        <v>22.403849521424725</v>
      </c>
      <c r="K424">
        <f t="shared" si="24"/>
        <v>32.88346523118026</v>
      </c>
      <c r="L424">
        <f t="shared" si="25"/>
        <v>35.174307021194359</v>
      </c>
      <c r="M424">
        <f t="shared" si="26"/>
        <v>26.369850528660393</v>
      </c>
      <c r="O424">
        <f t="shared" si="27"/>
        <v>50.53163718246423</v>
      </c>
    </row>
    <row r="425" spans="1:15" x14ac:dyDescent="0.45">
      <c r="A425">
        <v>541</v>
      </c>
      <c r="B425">
        <v>0</v>
      </c>
      <c r="C425">
        <v>1</v>
      </c>
      <c r="D425">
        <v>90.809549148251619</v>
      </c>
      <c r="E425">
        <v>66.666666666666657</v>
      </c>
      <c r="F425">
        <v>100</v>
      </c>
      <c r="G425">
        <v>100</v>
      </c>
      <c r="H425">
        <v>50</v>
      </c>
      <c r="I425">
        <v>0</v>
      </c>
      <c r="J425">
        <v>4.4393452005155263</v>
      </c>
      <c r="K425">
        <f t="shared" si="24"/>
        <v>24.074042687616775</v>
      </c>
      <c r="L425">
        <f t="shared" si="25"/>
        <v>25.751171988183387</v>
      </c>
      <c r="M425">
        <f t="shared" si="26"/>
        <v>16.705479433326285</v>
      </c>
      <c r="O425">
        <f t="shared" si="27"/>
        <v>41.722214638900738</v>
      </c>
    </row>
    <row r="426" spans="1:15" x14ac:dyDescent="0.45">
      <c r="A426">
        <v>542</v>
      </c>
      <c r="B426">
        <v>0</v>
      </c>
      <c r="C426">
        <v>0</v>
      </c>
      <c r="D426">
        <v>94.77842424640653</v>
      </c>
      <c r="E426">
        <v>0</v>
      </c>
      <c r="F426">
        <v>100</v>
      </c>
      <c r="G426">
        <v>100</v>
      </c>
      <c r="H426">
        <v>33.333333333333329</v>
      </c>
      <c r="I426">
        <v>0</v>
      </c>
      <c r="J426">
        <v>1.8584117572039678</v>
      </c>
      <c r="K426">
        <f t="shared" si="24"/>
        <v>11.983273997491905</v>
      </c>
      <c r="L426">
        <f t="shared" si="25"/>
        <v>12.818094314075017</v>
      </c>
      <c r="M426">
        <f t="shared" si="26"/>
        <v>3.441309747812852</v>
      </c>
      <c r="O426">
        <f t="shared" si="27"/>
        <v>29.63144594877587</v>
      </c>
    </row>
    <row r="427" spans="1:15" x14ac:dyDescent="0.45">
      <c r="A427">
        <v>543</v>
      </c>
      <c r="B427">
        <v>0</v>
      </c>
      <c r="C427">
        <v>0</v>
      </c>
      <c r="D427">
        <v>100</v>
      </c>
      <c r="E427">
        <v>66.666666666666657</v>
      </c>
      <c r="F427">
        <v>100</v>
      </c>
      <c r="G427">
        <v>100</v>
      </c>
      <c r="H427">
        <v>33.333333333333329</v>
      </c>
      <c r="I427">
        <v>33.333333333333329</v>
      </c>
      <c r="J427">
        <v>3.1262057145359403</v>
      </c>
      <c r="K427">
        <f t="shared" si="24"/>
        <v>21.855943843295403</v>
      </c>
      <c r="L427">
        <f t="shared" si="25"/>
        <v>21.056366204527681</v>
      </c>
      <c r="M427">
        <f t="shared" si="26"/>
        <v>14.272115583238762</v>
      </c>
      <c r="O427">
        <f t="shared" si="27"/>
        <v>39.504115794579363</v>
      </c>
    </row>
    <row r="428" spans="1:15" x14ac:dyDescent="0.45">
      <c r="A428">
        <v>544</v>
      </c>
      <c r="B428">
        <v>0</v>
      </c>
      <c r="C428">
        <v>1</v>
      </c>
      <c r="D428">
        <v>100</v>
      </c>
      <c r="E428">
        <v>0</v>
      </c>
      <c r="F428">
        <v>100</v>
      </c>
      <c r="G428">
        <v>100</v>
      </c>
      <c r="H428">
        <v>16.666666666666664</v>
      </c>
      <c r="I428">
        <v>66.666666666666657</v>
      </c>
      <c r="J428">
        <v>3.5523033295884394</v>
      </c>
      <c r="K428">
        <f t="shared" si="24"/>
        <v>13.400834512993626</v>
      </c>
      <c r="L428">
        <f t="shared" si="25"/>
        <v>9.6900457193050631</v>
      </c>
      <c r="M428">
        <f t="shared" si="26"/>
        <v>4.9964435609719651</v>
      </c>
      <c r="O428">
        <f t="shared" si="27"/>
        <v>31.049006464277589</v>
      </c>
    </row>
    <row r="429" spans="1:15" x14ac:dyDescent="0.45">
      <c r="A429">
        <v>545</v>
      </c>
      <c r="B429">
        <v>0</v>
      </c>
      <c r="C429">
        <v>0</v>
      </c>
      <c r="D429">
        <v>99.259392261501333</v>
      </c>
      <c r="E429">
        <v>66.666666666666657</v>
      </c>
      <c r="F429">
        <v>100</v>
      </c>
      <c r="G429">
        <v>100</v>
      </c>
      <c r="H429">
        <v>100</v>
      </c>
      <c r="I429">
        <v>0</v>
      </c>
      <c r="J429">
        <v>0.41370451612914072</v>
      </c>
      <c r="K429">
        <f t="shared" si="24"/>
        <v>28.85964169919653</v>
      </c>
      <c r="L429">
        <f t="shared" si="25"/>
        <v>30.870161964763447</v>
      </c>
      <c r="M429">
        <f t="shared" si="26"/>
        <v>21.955517620581009</v>
      </c>
      <c r="O429">
        <f t="shared" si="27"/>
        <v>46.507813650480493</v>
      </c>
    </row>
    <row r="430" spans="1:15" x14ac:dyDescent="0.45">
      <c r="A430">
        <v>546</v>
      </c>
      <c r="B430">
        <v>0</v>
      </c>
      <c r="C430">
        <v>0</v>
      </c>
      <c r="D430">
        <v>99.492655993761076</v>
      </c>
      <c r="E430">
        <v>66.666666666666657</v>
      </c>
      <c r="F430">
        <v>100</v>
      </c>
      <c r="G430">
        <v>100</v>
      </c>
      <c r="H430">
        <v>100</v>
      </c>
      <c r="I430">
        <v>0</v>
      </c>
      <c r="J430">
        <v>0.41370451612914072</v>
      </c>
      <c r="K430">
        <f t="shared" si="24"/>
        <v>28.818474914627348</v>
      </c>
      <c r="L430">
        <f t="shared" si="25"/>
        <v>30.826127277137559</v>
      </c>
      <c r="M430">
        <f t="shared" si="26"/>
        <v>21.910355627168745</v>
      </c>
      <c r="O430">
        <f t="shared" si="27"/>
        <v>46.466646865911315</v>
      </c>
    </row>
    <row r="431" spans="1:15" x14ac:dyDescent="0.45">
      <c r="A431">
        <v>547</v>
      </c>
      <c r="B431">
        <v>1</v>
      </c>
      <c r="C431">
        <v>0</v>
      </c>
      <c r="D431">
        <v>100</v>
      </c>
      <c r="E431">
        <v>100</v>
      </c>
      <c r="F431">
        <v>100</v>
      </c>
      <c r="G431">
        <v>100</v>
      </c>
      <c r="H431">
        <v>33.333333333333329</v>
      </c>
      <c r="I431">
        <v>0</v>
      </c>
      <c r="J431">
        <v>7.6312508552252005</v>
      </c>
      <c r="K431">
        <f t="shared" si="24"/>
        <v>24.980533290617004</v>
      </c>
      <c r="L431">
        <f t="shared" si="25"/>
        <v>26.720813677634169</v>
      </c>
      <c r="M431">
        <f t="shared" si="26"/>
        <v>17.69994434161114</v>
      </c>
      <c r="O431">
        <f t="shared" si="27"/>
        <v>42.628705241900967</v>
      </c>
    </row>
    <row r="432" spans="1:15" x14ac:dyDescent="0.45">
      <c r="A432">
        <v>548</v>
      </c>
      <c r="B432">
        <v>1</v>
      </c>
      <c r="C432">
        <v>0</v>
      </c>
      <c r="D432">
        <v>73.694035421384697</v>
      </c>
      <c r="E432">
        <v>66.666666666666657</v>
      </c>
      <c r="F432">
        <v>100</v>
      </c>
      <c r="G432">
        <v>75</v>
      </c>
      <c r="H432">
        <v>33.333333333333329</v>
      </c>
      <c r="I432">
        <v>0</v>
      </c>
      <c r="J432">
        <v>0</v>
      </c>
      <c r="K432">
        <f t="shared" si="24"/>
        <v>19.901821901041494</v>
      </c>
      <c r="L432">
        <f t="shared" si="25"/>
        <v>21.288291513894013</v>
      </c>
      <c r="M432">
        <f t="shared" si="26"/>
        <v>12.128347416586887</v>
      </c>
      <c r="O432">
        <f t="shared" si="27"/>
        <v>37.549993852325457</v>
      </c>
    </row>
    <row r="433" spans="1:15" x14ac:dyDescent="0.45">
      <c r="A433">
        <v>549</v>
      </c>
      <c r="B433">
        <v>0</v>
      </c>
      <c r="C433">
        <v>0</v>
      </c>
      <c r="D433">
        <v>73.112570010377127</v>
      </c>
      <c r="E433">
        <v>0</v>
      </c>
      <c r="F433">
        <v>100</v>
      </c>
      <c r="G433">
        <v>75</v>
      </c>
      <c r="H433">
        <v>33.333333333333329</v>
      </c>
      <c r="I433">
        <v>0</v>
      </c>
      <c r="J433">
        <v>0</v>
      </c>
      <c r="K433">
        <f t="shared" si="24"/>
        <v>11.703429055121422</v>
      </c>
      <c r="L433">
        <f t="shared" si="25"/>
        <v>12.518753844569567</v>
      </c>
      <c r="M433">
        <f t="shared" si="26"/>
        <v>3.1343060414011594</v>
      </c>
      <c r="O433">
        <f t="shared" si="27"/>
        <v>29.351601006405385</v>
      </c>
    </row>
    <row r="434" spans="1:15" x14ac:dyDescent="0.45">
      <c r="A434">
        <v>550</v>
      </c>
      <c r="B434">
        <v>0</v>
      </c>
      <c r="C434">
        <v>1</v>
      </c>
      <c r="D434">
        <v>71.111313538459882</v>
      </c>
      <c r="E434">
        <v>66.666666666666657</v>
      </c>
      <c r="F434">
        <v>100</v>
      </c>
      <c r="G434">
        <v>100</v>
      </c>
      <c r="H434">
        <v>33.333333333333329</v>
      </c>
      <c r="I434">
        <v>0</v>
      </c>
      <c r="J434">
        <v>5.6334030310360133</v>
      </c>
      <c r="K434">
        <f t="shared" si="24"/>
        <v>25.420569230071688</v>
      </c>
      <c r="L434">
        <f t="shared" si="25"/>
        <v>27.191504924007511</v>
      </c>
      <c r="M434">
        <f t="shared" si="26"/>
        <v>18.182685473977553</v>
      </c>
      <c r="O434">
        <f t="shared" si="27"/>
        <v>43.068741181355648</v>
      </c>
    </row>
    <row r="435" spans="1:15" x14ac:dyDescent="0.45">
      <c r="A435">
        <v>551</v>
      </c>
      <c r="B435">
        <v>0</v>
      </c>
      <c r="C435">
        <v>0</v>
      </c>
      <c r="D435">
        <v>5.1724160898232334</v>
      </c>
      <c r="E435">
        <v>0</v>
      </c>
      <c r="F435">
        <v>100</v>
      </c>
      <c r="G435">
        <v>100</v>
      </c>
      <c r="H435">
        <v>33.333333333333329</v>
      </c>
      <c r="I435">
        <v>0</v>
      </c>
      <c r="J435">
        <v>63.487939838460676</v>
      </c>
      <c r="K435">
        <f t="shared" si="24"/>
        <v>43.461186955869266</v>
      </c>
      <c r="L435">
        <f t="shared" si="25"/>
        <v>46.48893061433612</v>
      </c>
      <c r="M435">
        <f t="shared" si="26"/>
        <v>37.97413305513124</v>
      </c>
      <c r="O435">
        <f t="shared" si="27"/>
        <v>61.109358907153236</v>
      </c>
    </row>
    <row r="436" spans="1:15" x14ac:dyDescent="0.45">
      <c r="A436">
        <v>552</v>
      </c>
      <c r="B436">
        <v>0</v>
      </c>
      <c r="C436">
        <v>0</v>
      </c>
      <c r="D436">
        <v>17.617915012503381</v>
      </c>
      <c r="E436">
        <v>66.666666666666657</v>
      </c>
      <c r="F436">
        <v>100</v>
      </c>
      <c r="G436">
        <v>75</v>
      </c>
      <c r="H436">
        <v>33.333333333333329</v>
      </c>
      <c r="I436">
        <v>33.333333333333329</v>
      </c>
      <c r="J436">
        <v>31.786076948224164</v>
      </c>
      <c r="K436">
        <f t="shared" si="24"/>
        <v>40.048093776690266</v>
      </c>
      <c r="L436">
        <f t="shared" si="25"/>
        <v>40.51588066366925</v>
      </c>
      <c r="M436">
        <f t="shared" si="26"/>
        <v>34.229801471145635</v>
      </c>
      <c r="O436">
        <f t="shared" si="27"/>
        <v>57.696265727974229</v>
      </c>
    </row>
    <row r="437" spans="1:15" x14ac:dyDescent="0.45">
      <c r="A437">
        <v>553</v>
      </c>
      <c r="B437">
        <v>0</v>
      </c>
      <c r="C437">
        <v>0</v>
      </c>
      <c r="D437">
        <v>41.93702237560678</v>
      </c>
      <c r="E437">
        <v>33.333333333333329</v>
      </c>
      <c r="F437">
        <v>0</v>
      </c>
      <c r="G437">
        <v>75</v>
      </c>
      <c r="H437">
        <v>16.666666666666664</v>
      </c>
      <c r="I437">
        <v>66.666666666666657</v>
      </c>
      <c r="J437">
        <v>0.98942829900425222</v>
      </c>
      <c r="K437">
        <f t="shared" si="24"/>
        <v>14.669475625538212</v>
      </c>
      <c r="L437">
        <f t="shared" si="25"/>
        <v>11.047067300778799</v>
      </c>
      <c r="M437">
        <f t="shared" si="26"/>
        <v>16.093138400171696</v>
      </c>
      <c r="O437">
        <f t="shared" si="27"/>
        <v>32.317647576822175</v>
      </c>
    </row>
  </sheetData>
  <sortState xmlns:xlrd2="http://schemas.microsoft.com/office/spreadsheetml/2017/richdata2" ref="AA7:AD47">
    <sortCondition descending="1" ref="AD7:AD4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D528-73D5-4D57-8C3A-EBB18C2E0D3B}">
  <dimension ref="A1:AF437"/>
  <sheetViews>
    <sheetView workbookViewId="0">
      <selection activeCell="K6" sqref="K6"/>
    </sheetView>
  </sheetViews>
  <sheetFormatPr defaultRowHeight="14.25" x14ac:dyDescent="0.45"/>
  <sheetData>
    <row r="1" spans="1:32" x14ac:dyDescent="0.45">
      <c r="A1" s="3" t="s">
        <v>39</v>
      </c>
      <c r="D1">
        <v>9.9821351743349135E-2</v>
      </c>
      <c r="E1">
        <v>-8.3162856302101046E-2</v>
      </c>
      <c r="F1">
        <v>-0.1320100469677844</v>
      </c>
      <c r="G1">
        <v>-5.3951594173368915E-2</v>
      </c>
      <c r="H1">
        <v>-9.1442744883771188E-2</v>
      </c>
      <c r="I1">
        <v>-0.10568820496679646</v>
      </c>
      <c r="J1">
        <v>-0.12726155152544014</v>
      </c>
      <c r="K1">
        <v>-6.2128676820712374E-2</v>
      </c>
      <c r="L1">
        <v>-0.24453297261667634</v>
      </c>
      <c r="Q1" t="s">
        <v>50</v>
      </c>
      <c r="R1" t="s">
        <v>51</v>
      </c>
    </row>
    <row r="2" spans="1:32" x14ac:dyDescent="0.45">
      <c r="A2" t="s">
        <v>40</v>
      </c>
      <c r="D2">
        <v>0.1064339523730878</v>
      </c>
      <c r="E2">
        <v>-8.8671925718111833E-2</v>
      </c>
      <c r="F2">
        <v>-0.14075496681174116</v>
      </c>
      <c r="G2">
        <v>-5.75255824972647E-2</v>
      </c>
      <c r="H2">
        <v>-9.7500310142536045E-2</v>
      </c>
      <c r="I2">
        <v>-0.1126894514788279</v>
      </c>
      <c r="J2">
        <v>-0.13569191037213563</v>
      </c>
      <c r="L2">
        <v>-0.26073190060629492</v>
      </c>
      <c r="P2" t="s">
        <v>33</v>
      </c>
      <c r="Q2">
        <f>MAX(M7:M437)</f>
        <v>2.4073829022724977</v>
      </c>
      <c r="R2">
        <f>100*D$1+0*E$1+0*F$1+0*G$1+0*H$1+0*I$1+0*J$1+0*K$1+0*L$1</f>
        <v>9.982135174334914</v>
      </c>
      <c r="S2">
        <f>(R2-$R$3)/($R$2-$R$3)*100</f>
        <v>100</v>
      </c>
      <c r="T2">
        <f>MAX(Q7:Q437)</f>
        <v>92.425247727937588</v>
      </c>
      <c r="V2">
        <f>CORREL(C7:C437,Q7:Q437)</f>
        <v>0.2894905830042902</v>
      </c>
      <c r="X2" t="s">
        <v>56</v>
      </c>
      <c r="Y2" t="s">
        <v>59</v>
      </c>
      <c r="AE2" t="s">
        <v>60</v>
      </c>
      <c r="AF2" t="s">
        <v>61</v>
      </c>
    </row>
    <row r="3" spans="1:32" x14ac:dyDescent="0.45">
      <c r="A3" t="s">
        <v>41</v>
      </c>
      <c r="D3">
        <v>0.10551400026526971</v>
      </c>
      <c r="E3">
        <v>-8.7905498058987397E-2</v>
      </c>
      <c r="F3">
        <v>-0.13953836416270651</v>
      </c>
      <c r="H3">
        <v>-9.665757515216257E-2</v>
      </c>
      <c r="I3">
        <v>-0.11171543053809072</v>
      </c>
      <c r="J3">
        <v>-0.13451906978717701</v>
      </c>
      <c r="K3">
        <v>-6.5671773704249356E-2</v>
      </c>
      <c r="L3">
        <v>-0.25847828833135672</v>
      </c>
      <c r="P3" t="s">
        <v>18</v>
      </c>
      <c r="Q3">
        <f>MIN(M7:M437)</f>
        <v>-72.855726935565528</v>
      </c>
      <c r="R3">
        <f>0*D$1+100*E$1+100*F$1+100*G$1+100*H$1+100*I$1+100*J$1+100*K$1+100*L$1</f>
        <v>-90.017864825665072</v>
      </c>
      <c r="S3">
        <f>(R3-$R$3)/($R$2-$R$3)*100</f>
        <v>0</v>
      </c>
      <c r="T3">
        <f>MIN(Q7:Q437)</f>
        <v>17.162137890099547</v>
      </c>
      <c r="X3">
        <f>AVERAGE(Y7:Y47)</f>
        <v>74.187259691514171</v>
      </c>
      <c r="Y3">
        <f>MIN(Y7:Y47)</f>
        <v>50.222301121471389</v>
      </c>
      <c r="AE3">
        <f>AVERAGE(AF7:AF47)</f>
        <v>52.701113673698323</v>
      </c>
      <c r="AF3">
        <f>MIN(AF7:AF47)</f>
        <v>19.588542405067361</v>
      </c>
    </row>
    <row r="6" spans="1:32" x14ac:dyDescent="0.45">
      <c r="A6" t="s">
        <v>21</v>
      </c>
      <c r="B6" t="s">
        <v>22</v>
      </c>
      <c r="C6" t="s">
        <v>23</v>
      </c>
      <c r="D6" t="s">
        <v>17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38</v>
      </c>
      <c r="M6" s="3" t="s">
        <v>47</v>
      </c>
      <c r="N6" t="s">
        <v>48</v>
      </c>
      <c r="O6" t="s">
        <v>49</v>
      </c>
      <c r="Q6" s="3" t="s">
        <v>52</v>
      </c>
      <c r="V6" t="s">
        <v>21</v>
      </c>
      <c r="W6" t="s">
        <v>22</v>
      </c>
      <c r="X6" t="s">
        <v>23</v>
      </c>
      <c r="Y6" t="s">
        <v>52</v>
      </c>
      <c r="AC6" t="s">
        <v>21</v>
      </c>
      <c r="AD6" t="s">
        <v>22</v>
      </c>
      <c r="AE6" t="s">
        <v>23</v>
      </c>
      <c r="AF6" t="s">
        <v>52</v>
      </c>
    </row>
    <row r="7" spans="1:32" x14ac:dyDescent="0.45">
      <c r="A7">
        <v>1</v>
      </c>
      <c r="B7">
        <v>0</v>
      </c>
      <c r="C7">
        <v>0</v>
      </c>
      <c r="D7">
        <v>13.290937888298563</v>
      </c>
      <c r="E7">
        <v>33.333333333333329</v>
      </c>
      <c r="F7">
        <v>100</v>
      </c>
      <c r="G7">
        <v>100</v>
      </c>
      <c r="H7">
        <v>75</v>
      </c>
      <c r="I7">
        <v>50</v>
      </c>
      <c r="J7">
        <v>32.623705408515534</v>
      </c>
      <c r="K7">
        <v>100</v>
      </c>
      <c r="L7">
        <v>65.763370650477285</v>
      </c>
      <c r="M7">
        <f>D7*D$1+E7*E$1+F7*F$1+G7*G$1+H7*H$1+I7*I$1+J7*J$1+K7*K$1+L7*L$1</f>
        <v>-58.630079616182485</v>
      </c>
      <c r="N7">
        <f>D7*D$2+E7*E$2+F7*F$2+G7*G$2+H7*H$2+I7*I$2+J7*J$2+L7*L$2</f>
        <v>-55.889556102880164</v>
      </c>
      <c r="O7">
        <f>D7*D$3+E7*E$3+F7*F$3+H7*H$3+I7*I$3+J7*J$3+K7*K$3+L7*L$3</f>
        <v>-56.270820679973966</v>
      </c>
      <c r="Q7">
        <f>(M7-$R$3)/($R$2-$R$3)*100</f>
        <v>31.387785209482594</v>
      </c>
      <c r="V7">
        <v>386</v>
      </c>
      <c r="W7">
        <v>0</v>
      </c>
      <c r="X7">
        <v>1</v>
      </c>
      <c r="Y7">
        <v>88.10190219744581</v>
      </c>
      <c r="AC7">
        <v>304</v>
      </c>
      <c r="AD7">
        <v>1</v>
      </c>
      <c r="AE7">
        <v>0</v>
      </c>
      <c r="AF7">
        <v>84.971980701652996</v>
      </c>
    </row>
    <row r="8" spans="1:32" x14ac:dyDescent="0.45">
      <c r="A8">
        <v>2</v>
      </c>
      <c r="B8">
        <v>0</v>
      </c>
      <c r="C8">
        <v>0</v>
      </c>
      <c r="D8">
        <v>18.089781861345379</v>
      </c>
      <c r="E8">
        <v>0</v>
      </c>
      <c r="F8">
        <v>100</v>
      </c>
      <c r="G8">
        <v>0</v>
      </c>
      <c r="H8">
        <v>25</v>
      </c>
      <c r="I8">
        <v>33.333333333333329</v>
      </c>
      <c r="J8">
        <v>100</v>
      </c>
      <c r="K8">
        <v>33.333333333333329</v>
      </c>
      <c r="L8">
        <v>1.1778156814207144</v>
      </c>
      <c r="M8">
        <f t="shared" ref="M8:M71" si="0">D8*D$1+E8*E$1+F8*F$1+G8*G$1+H8*H$1+I8*I$1+J8*J$1+K8*K$1+L8*L$1</f>
        <v>-32.289392822630894</v>
      </c>
      <c r="N8">
        <f t="shared" ref="N8:N71" si="1">D8*D$2+E8*E$2+F8*F$2+G8*G$2+H8*H$2+I8*I$2+J8*J$2+L8*L$2</f>
        <v>-32.22023766135608</v>
      </c>
      <c r="O8">
        <f t="shared" ref="O8:O71" si="2">D8*D$3+E8*E$3+F8*F$3+H8*H$3+I8*I$3+J8*J$3+K8*K$3+L8*L$3</f>
        <v>-34.130804115057209</v>
      </c>
      <c r="Q8">
        <f t="shared" ref="Q8:Q71" si="3">(M8-$R$3)/($R$2-$R$3)*100</f>
        <v>57.728472003034184</v>
      </c>
      <c r="V8">
        <v>470</v>
      </c>
      <c r="W8">
        <v>0</v>
      </c>
      <c r="X8">
        <v>1</v>
      </c>
      <c r="Y8">
        <v>87.852979268671618</v>
      </c>
      <c r="AC8">
        <v>548</v>
      </c>
      <c r="AD8">
        <v>1</v>
      </c>
      <c r="AE8">
        <v>0</v>
      </c>
      <c r="AF8">
        <v>75.211542836239971</v>
      </c>
    </row>
    <row r="9" spans="1:32" x14ac:dyDescent="0.45">
      <c r="A9">
        <v>3</v>
      </c>
      <c r="B9">
        <v>0</v>
      </c>
      <c r="C9">
        <v>0</v>
      </c>
      <c r="D9">
        <v>8.9853886751778074</v>
      </c>
      <c r="E9">
        <v>0</v>
      </c>
      <c r="F9">
        <v>0</v>
      </c>
      <c r="G9">
        <v>100</v>
      </c>
      <c r="H9">
        <v>75</v>
      </c>
      <c r="I9">
        <v>33.333333333333329</v>
      </c>
      <c r="J9">
        <v>5.4372842347525898</v>
      </c>
      <c r="K9">
        <v>33.333333333333329</v>
      </c>
      <c r="L9">
        <v>40.622931963986879</v>
      </c>
      <c r="M9">
        <f t="shared" si="0"/>
        <v>-27.575931237065866</v>
      </c>
      <c r="N9">
        <f t="shared" si="1"/>
        <v>-27.194535873623764</v>
      </c>
      <c r="O9">
        <f t="shared" si="2"/>
        <v>-23.44570497991382</v>
      </c>
      <c r="Q9">
        <f t="shared" si="3"/>
        <v>62.44193358859922</v>
      </c>
      <c r="V9">
        <v>469</v>
      </c>
      <c r="W9">
        <v>0</v>
      </c>
      <c r="X9">
        <v>1</v>
      </c>
      <c r="Y9">
        <v>86.99793192869069</v>
      </c>
      <c r="AC9">
        <v>437</v>
      </c>
      <c r="AD9">
        <v>1</v>
      </c>
      <c r="AE9">
        <v>0</v>
      </c>
      <c r="AF9">
        <v>70.8422393982285</v>
      </c>
    </row>
    <row r="10" spans="1:32" x14ac:dyDescent="0.45">
      <c r="A10">
        <v>5</v>
      </c>
      <c r="B10">
        <v>0</v>
      </c>
      <c r="C10">
        <v>0</v>
      </c>
      <c r="D10">
        <v>9.461206767672719</v>
      </c>
      <c r="E10">
        <v>66.666666666666657</v>
      </c>
      <c r="F10">
        <v>100</v>
      </c>
      <c r="G10">
        <v>100</v>
      </c>
      <c r="H10">
        <v>75</v>
      </c>
      <c r="I10">
        <v>50</v>
      </c>
      <c r="J10">
        <v>18.555811277330264</v>
      </c>
      <c r="K10">
        <v>66.666666666666657</v>
      </c>
      <c r="L10">
        <v>31.924690850558413</v>
      </c>
      <c r="M10">
        <f t="shared" si="0"/>
        <v>-49.648532874774901</v>
      </c>
      <c r="N10">
        <f t="shared" si="1"/>
        <v>-48.521177652030808</v>
      </c>
      <c r="O10">
        <f t="shared" si="2"/>
        <v>-46.777071009142112</v>
      </c>
      <c r="Q10">
        <f t="shared" si="3"/>
        <v>40.369331950890178</v>
      </c>
      <c r="V10">
        <v>468</v>
      </c>
      <c r="W10">
        <v>0</v>
      </c>
      <c r="X10">
        <v>1</v>
      </c>
      <c r="Y10">
        <v>86.798971891552583</v>
      </c>
      <c r="AC10">
        <v>370</v>
      </c>
      <c r="AD10">
        <v>1</v>
      </c>
      <c r="AE10">
        <v>0</v>
      </c>
      <c r="AF10">
        <v>70.771998485261761</v>
      </c>
    </row>
    <row r="11" spans="1:32" x14ac:dyDescent="0.45">
      <c r="A11">
        <v>6</v>
      </c>
      <c r="B11">
        <v>0</v>
      </c>
      <c r="C11">
        <v>0</v>
      </c>
      <c r="D11">
        <v>9.7329038537042472</v>
      </c>
      <c r="E11">
        <v>100</v>
      </c>
      <c r="F11">
        <v>100</v>
      </c>
      <c r="G11">
        <v>100</v>
      </c>
      <c r="H11">
        <v>100</v>
      </c>
      <c r="I11">
        <v>33.333333333333329</v>
      </c>
      <c r="J11">
        <v>37.16915995397008</v>
      </c>
      <c r="K11">
        <v>100</v>
      </c>
      <c r="L11">
        <v>34.768880884034381</v>
      </c>
      <c r="M11">
        <f t="shared" si="0"/>
        <v>-58.053323223036415</v>
      </c>
      <c r="N11">
        <f t="shared" si="1"/>
        <v>-55.274592856972475</v>
      </c>
      <c r="O11">
        <f t="shared" si="2"/>
        <v>-55.661172812492893</v>
      </c>
      <c r="Q11">
        <f t="shared" si="3"/>
        <v>31.96454160262866</v>
      </c>
      <c r="V11">
        <v>473</v>
      </c>
      <c r="W11">
        <v>0</v>
      </c>
      <c r="X11">
        <v>1</v>
      </c>
      <c r="Y11">
        <v>85.923060226169184</v>
      </c>
      <c r="AC11">
        <v>547</v>
      </c>
      <c r="AD11">
        <v>1</v>
      </c>
      <c r="AE11">
        <v>0</v>
      </c>
      <c r="AF11">
        <v>70.075805697419753</v>
      </c>
    </row>
    <row r="12" spans="1:32" x14ac:dyDescent="0.45">
      <c r="A12">
        <v>7</v>
      </c>
      <c r="B12">
        <v>0</v>
      </c>
      <c r="C12">
        <v>0</v>
      </c>
      <c r="D12">
        <v>10.591467184521047</v>
      </c>
      <c r="E12">
        <v>33.333333333333329</v>
      </c>
      <c r="F12">
        <v>0</v>
      </c>
      <c r="G12">
        <v>100</v>
      </c>
      <c r="H12">
        <v>100</v>
      </c>
      <c r="I12">
        <v>33.333333333333329</v>
      </c>
      <c r="J12">
        <v>26.294591484464902</v>
      </c>
      <c r="K12">
        <v>100</v>
      </c>
      <c r="L12">
        <v>40.986370178535907</v>
      </c>
      <c r="M12">
        <f t="shared" si="0"/>
        <v>-39.35889183767646</v>
      </c>
      <c r="N12">
        <f t="shared" si="1"/>
        <v>-35.341761003251065</v>
      </c>
      <c r="O12">
        <f t="shared" si="2"/>
        <v>-35.90062856314735</v>
      </c>
      <c r="Q12">
        <f t="shared" si="3"/>
        <v>50.658972987988612</v>
      </c>
      <c r="V12">
        <v>471</v>
      </c>
      <c r="W12">
        <v>0</v>
      </c>
      <c r="X12">
        <v>1</v>
      </c>
      <c r="Y12">
        <v>85.627983838121978</v>
      </c>
      <c r="AC12">
        <v>240</v>
      </c>
      <c r="AD12">
        <v>1</v>
      </c>
      <c r="AE12">
        <v>0</v>
      </c>
      <c r="AF12">
        <v>70.023524730375158</v>
      </c>
    </row>
    <row r="13" spans="1:32" x14ac:dyDescent="0.45">
      <c r="A13">
        <v>17</v>
      </c>
      <c r="B13">
        <v>0</v>
      </c>
      <c r="C13">
        <v>0</v>
      </c>
      <c r="D13">
        <v>24.152582138669441</v>
      </c>
      <c r="E13">
        <v>66.666666666666657</v>
      </c>
      <c r="F13">
        <v>0</v>
      </c>
      <c r="G13">
        <v>100</v>
      </c>
      <c r="H13">
        <v>75</v>
      </c>
      <c r="I13">
        <v>33.333333333333329</v>
      </c>
      <c r="J13">
        <v>3.9988492520138093</v>
      </c>
      <c r="K13">
        <v>0</v>
      </c>
      <c r="L13">
        <v>10.953040253915701</v>
      </c>
      <c r="M13">
        <f t="shared" si="0"/>
        <v>-22.096831724753173</v>
      </c>
      <c r="N13">
        <f t="shared" si="1"/>
        <v>-23.560621994334127</v>
      </c>
      <c r="O13">
        <f t="shared" si="2"/>
        <v>-17.654141378551149</v>
      </c>
      <c r="Q13">
        <f t="shared" si="3"/>
        <v>67.921033100911913</v>
      </c>
      <c r="V13">
        <v>345</v>
      </c>
      <c r="W13">
        <v>0</v>
      </c>
      <c r="X13">
        <v>1</v>
      </c>
      <c r="Y13">
        <v>85.431478808291089</v>
      </c>
      <c r="AC13">
        <v>216</v>
      </c>
      <c r="AD13">
        <v>1</v>
      </c>
      <c r="AE13">
        <v>0</v>
      </c>
      <c r="AF13">
        <v>66.911198127871486</v>
      </c>
    </row>
    <row r="14" spans="1:32" x14ac:dyDescent="0.45">
      <c r="A14">
        <v>20</v>
      </c>
      <c r="B14">
        <v>0</v>
      </c>
      <c r="C14">
        <v>0</v>
      </c>
      <c r="D14">
        <v>18.726008209733269</v>
      </c>
      <c r="E14">
        <v>33.333333333333329</v>
      </c>
      <c r="F14">
        <v>100</v>
      </c>
      <c r="G14">
        <v>100</v>
      </c>
      <c r="H14">
        <v>75</v>
      </c>
      <c r="I14">
        <v>50</v>
      </c>
      <c r="J14">
        <v>37.715765247410815</v>
      </c>
      <c r="K14">
        <v>66.666666666666657</v>
      </c>
      <c r="L14">
        <v>36.781193717488399</v>
      </c>
      <c r="M14">
        <f t="shared" si="0"/>
        <v>-49.57751321308492</v>
      </c>
      <c r="N14">
        <f t="shared" si="1"/>
        <v>-48.445453338967013</v>
      </c>
      <c r="O14">
        <f t="shared" si="2"/>
        <v>-46.702001212234698</v>
      </c>
      <c r="Q14">
        <f t="shared" si="3"/>
        <v>40.440351612580159</v>
      </c>
      <c r="V14">
        <v>394</v>
      </c>
      <c r="W14">
        <v>0</v>
      </c>
      <c r="X14">
        <v>1</v>
      </c>
      <c r="Y14">
        <v>85.274317913419083</v>
      </c>
      <c r="AC14">
        <v>449</v>
      </c>
      <c r="AD14">
        <v>1</v>
      </c>
      <c r="AE14">
        <v>0</v>
      </c>
      <c r="AF14">
        <v>65.634789174989265</v>
      </c>
    </row>
    <row r="15" spans="1:32" x14ac:dyDescent="0.45">
      <c r="A15">
        <v>21</v>
      </c>
      <c r="B15">
        <v>0</v>
      </c>
      <c r="C15">
        <v>1</v>
      </c>
      <c r="D15">
        <v>23.148184293417813</v>
      </c>
      <c r="E15">
        <v>0</v>
      </c>
      <c r="F15">
        <v>0</v>
      </c>
      <c r="G15">
        <v>100</v>
      </c>
      <c r="H15">
        <v>100</v>
      </c>
      <c r="I15">
        <v>50</v>
      </c>
      <c r="J15">
        <v>11.507479861910241</v>
      </c>
      <c r="K15">
        <v>100</v>
      </c>
      <c r="L15">
        <v>23.19034179429061</v>
      </c>
      <c r="M15">
        <f t="shared" si="0"/>
        <v>-30.861291745881029</v>
      </c>
      <c r="N15">
        <f t="shared" si="1"/>
        <v>-26.281242911078845</v>
      </c>
      <c r="O15">
        <f t="shared" si="2"/>
        <v>-26.918424228295727</v>
      </c>
      <c r="Q15">
        <f t="shared" si="3"/>
        <v>59.156573079784046</v>
      </c>
      <c r="V15">
        <v>472</v>
      </c>
      <c r="W15">
        <v>0</v>
      </c>
      <c r="X15">
        <v>1</v>
      </c>
      <c r="Y15">
        <v>84.187675432640461</v>
      </c>
      <c r="AC15">
        <v>496</v>
      </c>
      <c r="AD15">
        <v>1</v>
      </c>
      <c r="AE15">
        <v>0</v>
      </c>
      <c r="AF15">
        <v>64.04224395242754</v>
      </c>
    </row>
    <row r="16" spans="1:32" x14ac:dyDescent="0.45">
      <c r="A16">
        <v>22</v>
      </c>
      <c r="B16">
        <v>0</v>
      </c>
      <c r="C16">
        <v>0</v>
      </c>
      <c r="D16">
        <v>17.885559870006936</v>
      </c>
      <c r="E16">
        <v>100</v>
      </c>
      <c r="F16">
        <v>0</v>
      </c>
      <c r="G16">
        <v>100</v>
      </c>
      <c r="H16">
        <v>75</v>
      </c>
      <c r="I16">
        <v>66.666666666666657</v>
      </c>
      <c r="J16">
        <v>26.783659378596088</v>
      </c>
      <c r="K16">
        <v>0</v>
      </c>
      <c r="L16">
        <v>28.16230223535031</v>
      </c>
      <c r="M16">
        <f t="shared" si="0"/>
        <v>-36.125312011427432</v>
      </c>
      <c r="N16">
        <f t="shared" si="1"/>
        <v>-38.518409848556118</v>
      </c>
      <c r="O16">
        <f t="shared" si="2"/>
        <v>-32.482642965017604</v>
      </c>
      <c r="Q16">
        <f>(M16-$R$3)/($R$2-$R$3)*100</f>
        <v>53.892552814237646</v>
      </c>
      <c r="V16">
        <v>305</v>
      </c>
      <c r="W16">
        <v>0</v>
      </c>
      <c r="X16">
        <v>1</v>
      </c>
      <c r="Y16">
        <v>83.591557133539425</v>
      </c>
      <c r="AC16">
        <v>239</v>
      </c>
      <c r="AD16">
        <v>1</v>
      </c>
      <c r="AE16">
        <v>0</v>
      </c>
      <c r="AF16">
        <v>62.994525321740092</v>
      </c>
    </row>
    <row r="17" spans="1:32" x14ac:dyDescent="0.45">
      <c r="A17">
        <v>27</v>
      </c>
      <c r="B17">
        <v>1</v>
      </c>
      <c r="C17">
        <v>0</v>
      </c>
      <c r="D17">
        <v>14.867055899690262</v>
      </c>
      <c r="E17">
        <v>66.666666666666657</v>
      </c>
      <c r="F17">
        <v>100</v>
      </c>
      <c r="G17">
        <v>100</v>
      </c>
      <c r="H17">
        <v>100</v>
      </c>
      <c r="I17">
        <v>33.333333333333329</v>
      </c>
      <c r="J17">
        <v>7.8826237054085162</v>
      </c>
      <c r="K17">
        <v>33.333333333333329</v>
      </c>
      <c r="L17">
        <v>62.196514163773223</v>
      </c>
      <c r="M17">
        <f t="shared" si="0"/>
        <v>-53.606728883569318</v>
      </c>
      <c r="N17">
        <f t="shared" si="1"/>
        <v>-54.94972680777208</v>
      </c>
      <c r="O17">
        <f t="shared" si="2"/>
        <v>-50.960996466250023</v>
      </c>
      <c r="Q17">
        <f t="shared" si="3"/>
        <v>36.411135942095754</v>
      </c>
      <c r="V17">
        <v>408</v>
      </c>
      <c r="W17">
        <v>0</v>
      </c>
      <c r="X17">
        <v>1</v>
      </c>
      <c r="Y17">
        <v>81.324571289423332</v>
      </c>
      <c r="AC17">
        <v>155</v>
      </c>
      <c r="AD17">
        <v>1</v>
      </c>
      <c r="AE17">
        <v>0</v>
      </c>
      <c r="AF17">
        <v>60.829268868352329</v>
      </c>
    </row>
    <row r="18" spans="1:32" x14ac:dyDescent="0.45">
      <c r="A18">
        <v>29</v>
      </c>
      <c r="B18">
        <v>0</v>
      </c>
      <c r="C18">
        <v>0</v>
      </c>
      <c r="D18">
        <v>12.122567147717417</v>
      </c>
      <c r="E18">
        <v>66.666666666666657</v>
      </c>
      <c r="F18">
        <v>100</v>
      </c>
      <c r="G18">
        <v>100</v>
      </c>
      <c r="H18">
        <v>100</v>
      </c>
      <c r="I18">
        <v>33.333333333333329</v>
      </c>
      <c r="J18">
        <v>11.018411967779057</v>
      </c>
      <c r="K18">
        <v>66.666666666666657</v>
      </c>
      <c r="L18">
        <v>69.197898928747577</v>
      </c>
      <c r="M18">
        <f t="shared" si="0"/>
        <v>-58.062778063196227</v>
      </c>
      <c r="N18">
        <f t="shared" si="1"/>
        <v>-57.492819049379321</v>
      </c>
      <c r="O18">
        <f t="shared" si="2"/>
        <v>-55.671166846732135</v>
      </c>
      <c r="Q18">
        <f t="shared" si="3"/>
        <v>31.955086762468849</v>
      </c>
      <c r="V18">
        <v>530</v>
      </c>
      <c r="W18">
        <v>0</v>
      </c>
      <c r="X18">
        <v>1</v>
      </c>
      <c r="Y18">
        <v>81.261220645389116</v>
      </c>
      <c r="AC18">
        <v>191</v>
      </c>
      <c r="AD18">
        <v>1</v>
      </c>
      <c r="AE18">
        <v>0</v>
      </c>
      <c r="AF18">
        <v>59.907793587005067</v>
      </c>
    </row>
    <row r="19" spans="1:32" x14ac:dyDescent="0.45">
      <c r="A19">
        <v>30</v>
      </c>
      <c r="B19">
        <v>1</v>
      </c>
      <c r="C19">
        <v>0</v>
      </c>
      <c r="D19">
        <v>12.538083562620431</v>
      </c>
      <c r="E19">
        <v>66.666666666666657</v>
      </c>
      <c r="F19">
        <v>0</v>
      </c>
      <c r="G19">
        <v>100</v>
      </c>
      <c r="H19">
        <v>100</v>
      </c>
      <c r="I19">
        <v>66.666666666666657</v>
      </c>
      <c r="J19">
        <v>30.350978135788264</v>
      </c>
      <c r="K19">
        <v>66.666666666666657</v>
      </c>
      <c r="L19">
        <v>69.197898928747577</v>
      </c>
      <c r="M19">
        <f t="shared" si="0"/>
        <v>-50.803528487279586</v>
      </c>
      <c r="N19">
        <f t="shared" si="1"/>
        <v>-49.752685198918329</v>
      </c>
      <c r="O19">
        <f t="shared" si="2"/>
        <v>-47.997934133471858</v>
      </c>
      <c r="Q19">
        <f t="shared" si="3"/>
        <v>39.214336338385493</v>
      </c>
      <c r="V19">
        <v>529</v>
      </c>
      <c r="W19">
        <v>0</v>
      </c>
      <c r="X19">
        <v>1</v>
      </c>
      <c r="Y19">
        <v>80.923093721217214</v>
      </c>
      <c r="AC19">
        <v>495</v>
      </c>
      <c r="AD19">
        <v>1</v>
      </c>
      <c r="AE19">
        <v>0</v>
      </c>
      <c r="AF19">
        <v>59.728182333628631</v>
      </c>
    </row>
    <row r="20" spans="1:32" x14ac:dyDescent="0.45">
      <c r="A20">
        <v>31</v>
      </c>
      <c r="B20">
        <v>0</v>
      </c>
      <c r="C20">
        <v>0</v>
      </c>
      <c r="D20">
        <v>11.934284414358332</v>
      </c>
      <c r="E20">
        <v>33.333333333333329</v>
      </c>
      <c r="F20">
        <v>100</v>
      </c>
      <c r="G20">
        <v>100</v>
      </c>
      <c r="H20">
        <v>100</v>
      </c>
      <c r="I20">
        <v>33.333333333333329</v>
      </c>
      <c r="J20">
        <v>7.1921749136939006</v>
      </c>
      <c r="K20">
        <v>0</v>
      </c>
      <c r="L20">
        <v>83.80870635245526</v>
      </c>
      <c r="M20">
        <f t="shared" si="0"/>
        <v>-54.253457009674577</v>
      </c>
      <c r="N20">
        <f t="shared" si="1"/>
        <v>-57.847442041154345</v>
      </c>
      <c r="O20">
        <f t="shared" si="2"/>
        <v>-51.644606440245141</v>
      </c>
      <c r="Q20">
        <f t="shared" si="3"/>
        <v>35.764407815990502</v>
      </c>
      <c r="V20">
        <v>528</v>
      </c>
      <c r="W20">
        <v>0</v>
      </c>
      <c r="X20">
        <v>1</v>
      </c>
      <c r="Y20">
        <v>80.915191803386577</v>
      </c>
      <c r="AC20">
        <v>154</v>
      </c>
      <c r="AD20">
        <v>1</v>
      </c>
      <c r="AE20">
        <v>0</v>
      </c>
      <c r="AF20">
        <v>58.750474025354052</v>
      </c>
    </row>
    <row r="21" spans="1:32" x14ac:dyDescent="0.45">
      <c r="A21">
        <v>32</v>
      </c>
      <c r="B21">
        <v>0</v>
      </c>
      <c r="C21">
        <v>0</v>
      </c>
      <c r="D21">
        <v>10.848817442712273</v>
      </c>
      <c r="E21">
        <v>66.666666666666657</v>
      </c>
      <c r="F21">
        <v>0</v>
      </c>
      <c r="G21">
        <v>100</v>
      </c>
      <c r="H21">
        <v>75</v>
      </c>
      <c r="I21">
        <v>33.333333333333329</v>
      </c>
      <c r="J21">
        <v>6.9332566168009198</v>
      </c>
      <c r="K21">
        <v>0</v>
      </c>
      <c r="L21">
        <v>65.497118216726165</v>
      </c>
      <c r="M21">
        <f t="shared" si="0"/>
        <v>-37.136094256911335</v>
      </c>
      <c r="N21">
        <f t="shared" si="1"/>
        <v>-39.596150707565926</v>
      </c>
      <c r="O21">
        <f t="shared" si="2"/>
        <v>-33.551068469736592</v>
      </c>
      <c r="Q21">
        <f t="shared" si="3"/>
        <v>52.881770568753751</v>
      </c>
      <c r="V21">
        <v>389</v>
      </c>
      <c r="W21">
        <v>0</v>
      </c>
      <c r="X21">
        <v>1</v>
      </c>
      <c r="Y21">
        <v>80.655127876378714</v>
      </c>
      <c r="AC21">
        <v>231</v>
      </c>
      <c r="AD21">
        <v>1</v>
      </c>
      <c r="AE21">
        <v>0</v>
      </c>
      <c r="AF21">
        <v>58.71703189301072</v>
      </c>
    </row>
    <row r="22" spans="1:32" x14ac:dyDescent="0.45">
      <c r="A22">
        <v>33</v>
      </c>
      <c r="B22">
        <v>0</v>
      </c>
      <c r="C22">
        <v>0</v>
      </c>
      <c r="D22">
        <v>10.44959192687203</v>
      </c>
      <c r="E22">
        <v>66.666666666666657</v>
      </c>
      <c r="F22">
        <v>0</v>
      </c>
      <c r="G22">
        <v>100</v>
      </c>
      <c r="H22">
        <v>75</v>
      </c>
      <c r="I22">
        <v>33.333333333333329</v>
      </c>
      <c r="J22">
        <v>4.6892980437284235</v>
      </c>
      <c r="K22">
        <v>0</v>
      </c>
      <c r="L22">
        <v>52.645074016360063</v>
      </c>
      <c r="M22">
        <f t="shared" si="0"/>
        <v>-33.747627265468495</v>
      </c>
      <c r="N22">
        <f t="shared" si="1"/>
        <v>-35.98321692049128</v>
      </c>
      <c r="O22">
        <f t="shared" si="2"/>
        <v>-29.969362744560613</v>
      </c>
      <c r="Q22">
        <f t="shared" si="3"/>
        <v>56.270237560196591</v>
      </c>
      <c r="V22">
        <v>326</v>
      </c>
      <c r="W22">
        <v>0</v>
      </c>
      <c r="X22">
        <v>1</v>
      </c>
      <c r="Y22">
        <v>80.42775547253882</v>
      </c>
      <c r="AC22">
        <v>227</v>
      </c>
      <c r="AD22">
        <v>1</v>
      </c>
      <c r="AE22">
        <v>0</v>
      </c>
      <c r="AF22">
        <v>58.200963266757533</v>
      </c>
    </row>
    <row r="23" spans="1:32" x14ac:dyDescent="0.45">
      <c r="A23">
        <v>34</v>
      </c>
      <c r="B23">
        <v>1</v>
      </c>
      <c r="C23">
        <v>0</v>
      </c>
      <c r="D23">
        <v>14.187447406466545</v>
      </c>
      <c r="E23">
        <v>66.666666666666657</v>
      </c>
      <c r="F23">
        <v>100</v>
      </c>
      <c r="G23">
        <v>100</v>
      </c>
      <c r="H23">
        <v>75</v>
      </c>
      <c r="I23">
        <v>50</v>
      </c>
      <c r="J23">
        <v>18.613348676639816</v>
      </c>
      <c r="K23">
        <v>66.666666666666657</v>
      </c>
      <c r="L23">
        <v>39.278802591940881</v>
      </c>
      <c r="M23">
        <f t="shared" si="0"/>
        <v>-50.982398249328483</v>
      </c>
      <c r="N23">
        <f t="shared" si="1"/>
        <v>-49.943404072209553</v>
      </c>
      <c r="O23">
        <f t="shared" si="2"/>
        <v>-48.187004545669851</v>
      </c>
      <c r="Q23">
        <f t="shared" si="3"/>
        <v>39.035466576336589</v>
      </c>
      <c r="V23">
        <v>311</v>
      </c>
      <c r="W23">
        <v>0</v>
      </c>
      <c r="X23">
        <v>1</v>
      </c>
      <c r="Y23">
        <v>79.111759961176801</v>
      </c>
      <c r="AC23">
        <v>72</v>
      </c>
      <c r="AD23">
        <v>1</v>
      </c>
      <c r="AE23">
        <v>0</v>
      </c>
      <c r="AF23">
        <v>56.962336734727195</v>
      </c>
    </row>
    <row r="24" spans="1:32" x14ac:dyDescent="0.45">
      <c r="A24">
        <v>35</v>
      </c>
      <c r="B24">
        <v>0</v>
      </c>
      <c r="C24">
        <v>0</v>
      </c>
      <c r="D24">
        <v>14.521058270721435</v>
      </c>
      <c r="E24">
        <v>66.666666666666657</v>
      </c>
      <c r="F24">
        <v>100</v>
      </c>
      <c r="G24">
        <v>100</v>
      </c>
      <c r="H24">
        <v>75</v>
      </c>
      <c r="I24">
        <v>33.333333333333329</v>
      </c>
      <c r="J24">
        <v>4.0851553509781358</v>
      </c>
      <c r="K24">
        <v>0</v>
      </c>
      <c r="L24">
        <v>39.278802591940881</v>
      </c>
      <c r="M24">
        <f t="shared" si="0"/>
        <v>-43.196834467589618</v>
      </c>
      <c r="N24">
        <f t="shared" si="1"/>
        <v>-46.058380718110428</v>
      </c>
      <c r="O24">
        <f t="shared" si="2"/>
        <v>-39.957442787742615</v>
      </c>
      <c r="Q24">
        <f t="shared" si="3"/>
        <v>46.821030358075461</v>
      </c>
      <c r="V24">
        <v>451</v>
      </c>
      <c r="W24">
        <v>0</v>
      </c>
      <c r="X24">
        <v>1</v>
      </c>
      <c r="Y24">
        <v>77.714358276589039</v>
      </c>
      <c r="AC24">
        <v>187</v>
      </c>
      <c r="AD24">
        <v>1</v>
      </c>
      <c r="AE24">
        <v>0</v>
      </c>
      <c r="AF24">
        <v>56.550611693947573</v>
      </c>
    </row>
    <row r="25" spans="1:32" x14ac:dyDescent="0.45">
      <c r="A25">
        <v>36</v>
      </c>
      <c r="B25">
        <v>0</v>
      </c>
      <c r="C25">
        <v>0</v>
      </c>
      <c r="D25">
        <v>14.521058270721435</v>
      </c>
      <c r="E25">
        <v>66.666666666666657</v>
      </c>
      <c r="F25">
        <v>0</v>
      </c>
      <c r="G25">
        <v>100</v>
      </c>
      <c r="H25">
        <v>75</v>
      </c>
      <c r="I25">
        <v>83.333333333333343</v>
      </c>
      <c r="J25">
        <v>12.715765247410818</v>
      </c>
      <c r="K25">
        <v>0</v>
      </c>
      <c r="L25">
        <v>38.857279716695174</v>
      </c>
      <c r="M25">
        <f t="shared" si="0"/>
        <v>-36.275508583472082</v>
      </c>
      <c r="N25">
        <f t="shared" si="1"/>
        <v>-38.678556094989474</v>
      </c>
      <c r="O25">
        <f t="shared" si="2"/>
        <v>-32.641405002054611</v>
      </c>
      <c r="Q25">
        <f t="shared" si="3"/>
        <v>53.742356242193004</v>
      </c>
      <c r="V25">
        <v>407</v>
      </c>
      <c r="W25">
        <v>0</v>
      </c>
      <c r="X25">
        <v>1</v>
      </c>
      <c r="Y25">
        <v>77.03506951523174</v>
      </c>
      <c r="AC25">
        <v>81</v>
      </c>
      <c r="AD25">
        <v>1</v>
      </c>
      <c r="AE25">
        <v>0</v>
      </c>
      <c r="AF25">
        <v>55.302667867711143</v>
      </c>
    </row>
    <row r="26" spans="1:32" x14ac:dyDescent="0.45">
      <c r="A26">
        <v>42</v>
      </c>
      <c r="B26">
        <v>0</v>
      </c>
      <c r="C26">
        <v>0</v>
      </c>
      <c r="D26">
        <v>15.657557750703969</v>
      </c>
      <c r="E26">
        <v>66.666666666666657</v>
      </c>
      <c r="F26">
        <v>0</v>
      </c>
      <c r="G26">
        <v>100</v>
      </c>
      <c r="H26">
        <v>75</v>
      </c>
      <c r="I26">
        <v>33.333333333333329</v>
      </c>
      <c r="J26">
        <v>4.1714614499424627</v>
      </c>
      <c r="K26">
        <v>0</v>
      </c>
      <c r="L26">
        <v>44.268159841917125</v>
      </c>
      <c r="M26">
        <f t="shared" si="0"/>
        <v>-31.113428664307271</v>
      </c>
      <c r="N26">
        <f t="shared" si="1"/>
        <v>-33.174517543447152</v>
      </c>
      <c r="O26">
        <f t="shared" si="2"/>
        <v>-27.184940103036755</v>
      </c>
      <c r="Q26">
        <f t="shared" si="3"/>
        <v>58.904436161357808</v>
      </c>
      <c r="V26">
        <v>381</v>
      </c>
      <c r="W26">
        <v>0</v>
      </c>
      <c r="X26">
        <v>1</v>
      </c>
      <c r="Y26">
        <v>76.412391692986972</v>
      </c>
      <c r="AC26">
        <v>184</v>
      </c>
      <c r="AD26">
        <v>1</v>
      </c>
      <c r="AE26">
        <v>0</v>
      </c>
      <c r="AF26">
        <v>54.439432449265901</v>
      </c>
    </row>
    <row r="27" spans="1:32" x14ac:dyDescent="0.45">
      <c r="A27">
        <v>43</v>
      </c>
      <c r="B27">
        <v>1</v>
      </c>
      <c r="C27">
        <v>0</v>
      </c>
      <c r="D27">
        <v>17.662712131246909</v>
      </c>
      <c r="E27">
        <v>100</v>
      </c>
      <c r="F27">
        <v>0</v>
      </c>
      <c r="G27">
        <v>100</v>
      </c>
      <c r="H27">
        <v>75</v>
      </c>
      <c r="I27">
        <v>50</v>
      </c>
      <c r="J27">
        <v>37.715765247410815</v>
      </c>
      <c r="K27">
        <v>100</v>
      </c>
      <c r="L27">
        <v>23.445890454437077</v>
      </c>
      <c r="M27">
        <f t="shared" si="0"/>
        <v>-40.836873134669403</v>
      </c>
      <c r="N27">
        <f t="shared" si="1"/>
        <v>-36.917650211573097</v>
      </c>
      <c r="O27">
        <f t="shared" si="2"/>
        <v>-37.462896717599264</v>
      </c>
      <c r="Q27">
        <f t="shared" si="3"/>
        <v>49.180991690995675</v>
      </c>
      <c r="V27">
        <v>273</v>
      </c>
      <c r="W27">
        <v>0</v>
      </c>
      <c r="X27">
        <v>1</v>
      </c>
      <c r="Y27">
        <v>75.652826768131192</v>
      </c>
      <c r="AC27">
        <v>524</v>
      </c>
      <c r="AD27">
        <v>1</v>
      </c>
      <c r="AE27">
        <v>0</v>
      </c>
      <c r="AF27">
        <v>51.21501139187712</v>
      </c>
    </row>
    <row r="28" spans="1:32" x14ac:dyDescent="0.45">
      <c r="A28">
        <v>44</v>
      </c>
      <c r="B28">
        <v>0</v>
      </c>
      <c r="C28">
        <v>0</v>
      </c>
      <c r="D28">
        <v>26.197466732971897</v>
      </c>
      <c r="E28">
        <v>100</v>
      </c>
      <c r="F28">
        <v>0</v>
      </c>
      <c r="G28">
        <v>0</v>
      </c>
      <c r="H28">
        <v>100</v>
      </c>
      <c r="I28">
        <v>33.333333333333329</v>
      </c>
      <c r="J28">
        <v>39.672036823935557</v>
      </c>
      <c r="K28">
        <v>0</v>
      </c>
      <c r="L28">
        <v>17.882539253513613</v>
      </c>
      <c r="M28">
        <f t="shared" si="0"/>
        <v>-27.790029182594949</v>
      </c>
      <c r="N28">
        <f t="shared" si="1"/>
        <v>-29.630961621035169</v>
      </c>
      <c r="O28">
        <f t="shared" si="2"/>
        <v>-29.374849121290769</v>
      </c>
      <c r="Q28">
        <f t="shared" si="3"/>
        <v>62.227835643070129</v>
      </c>
      <c r="V28">
        <v>544</v>
      </c>
      <c r="W28">
        <v>0</v>
      </c>
      <c r="X28">
        <v>1</v>
      </c>
      <c r="Y28">
        <v>74.429301257143393</v>
      </c>
      <c r="AC28">
        <v>73</v>
      </c>
      <c r="AD28">
        <v>1</v>
      </c>
      <c r="AE28">
        <v>0</v>
      </c>
      <c r="AF28">
        <v>51.062383414323634</v>
      </c>
    </row>
    <row r="29" spans="1:32" x14ac:dyDescent="0.45">
      <c r="A29">
        <v>46</v>
      </c>
      <c r="B29">
        <v>0</v>
      </c>
      <c r="C29">
        <v>0</v>
      </c>
      <c r="D29">
        <v>26.056784458038333</v>
      </c>
      <c r="E29">
        <v>100</v>
      </c>
      <c r="F29">
        <v>0</v>
      </c>
      <c r="G29">
        <v>0</v>
      </c>
      <c r="H29">
        <v>100</v>
      </c>
      <c r="I29">
        <v>33.333333333333329</v>
      </c>
      <c r="J29">
        <v>2.3014959723820483</v>
      </c>
      <c r="K29">
        <v>0</v>
      </c>
      <c r="L29">
        <v>26.551584290021815</v>
      </c>
      <c r="M29">
        <f t="shared" si="0"/>
        <v>-25.1681066198568</v>
      </c>
      <c r="N29">
        <f t="shared" si="1"/>
        <v>-26.835351500608308</v>
      </c>
      <c r="O29">
        <f t="shared" si="2"/>
        <v>-26.603402600594833</v>
      </c>
      <c r="Q29">
        <f t="shared" si="3"/>
        <v>64.849758205808286</v>
      </c>
      <c r="V29">
        <v>402</v>
      </c>
      <c r="W29">
        <v>0</v>
      </c>
      <c r="X29">
        <v>1</v>
      </c>
      <c r="Y29">
        <v>73.402610310532594</v>
      </c>
      <c r="AC29">
        <v>74</v>
      </c>
      <c r="AD29">
        <v>1</v>
      </c>
      <c r="AE29">
        <v>0</v>
      </c>
      <c r="AF29">
        <v>49.474699234953455</v>
      </c>
    </row>
    <row r="30" spans="1:32" x14ac:dyDescent="0.45">
      <c r="A30">
        <v>48</v>
      </c>
      <c r="B30">
        <v>0</v>
      </c>
      <c r="C30">
        <v>0</v>
      </c>
      <c r="D30">
        <v>17.499456123814568</v>
      </c>
      <c r="E30">
        <v>100</v>
      </c>
      <c r="F30">
        <v>0</v>
      </c>
      <c r="G30">
        <v>0</v>
      </c>
      <c r="H30">
        <v>75</v>
      </c>
      <c r="I30">
        <v>16.666666666666664</v>
      </c>
      <c r="J30">
        <v>1.3233601841196778</v>
      </c>
      <c r="K30">
        <v>0</v>
      </c>
      <c r="L30">
        <v>18.017239682212018</v>
      </c>
      <c r="M30">
        <f t="shared" si="0"/>
        <v>-19.763364262316795</v>
      </c>
      <c r="N30">
        <f t="shared" si="1"/>
        <v>-21.072575495027415</v>
      </c>
      <c r="O30">
        <f t="shared" si="2"/>
        <v>-20.890436620997328</v>
      </c>
      <c r="Q30">
        <f t="shared" si="3"/>
        <v>70.254500563348287</v>
      </c>
      <c r="V30">
        <v>56</v>
      </c>
      <c r="W30">
        <v>0</v>
      </c>
      <c r="X30">
        <v>1</v>
      </c>
      <c r="Y30">
        <v>72.931981063310587</v>
      </c>
      <c r="AC30">
        <v>43</v>
      </c>
      <c r="AD30">
        <v>1</v>
      </c>
      <c r="AE30">
        <v>0</v>
      </c>
      <c r="AF30">
        <v>49.180991690995675</v>
      </c>
    </row>
    <row r="31" spans="1:32" x14ac:dyDescent="0.45">
      <c r="A31">
        <v>49</v>
      </c>
      <c r="B31">
        <v>0</v>
      </c>
      <c r="C31">
        <v>0</v>
      </c>
      <c r="D31">
        <v>17.829791909608527</v>
      </c>
      <c r="E31">
        <v>100</v>
      </c>
      <c r="F31">
        <v>0</v>
      </c>
      <c r="G31">
        <v>0</v>
      </c>
      <c r="H31">
        <v>75</v>
      </c>
      <c r="I31">
        <v>100</v>
      </c>
      <c r="J31">
        <v>100</v>
      </c>
      <c r="K31">
        <v>100</v>
      </c>
      <c r="L31">
        <v>17.11994585374925</v>
      </c>
      <c r="M31">
        <f t="shared" si="0"/>
        <v>-47.088932148721931</v>
      </c>
      <c r="N31">
        <f t="shared" si="1"/>
        <v>-43.583872815393306</v>
      </c>
      <c r="O31">
        <f t="shared" si="2"/>
        <v>-49.774336977585122</v>
      </c>
      <c r="Q31">
        <f t="shared" si="3"/>
        <v>42.928932676943148</v>
      </c>
      <c r="V31">
        <v>309</v>
      </c>
      <c r="W31">
        <v>0</v>
      </c>
      <c r="X31">
        <v>1</v>
      </c>
      <c r="Y31">
        <v>71.696731653423399</v>
      </c>
      <c r="AC31">
        <v>153</v>
      </c>
      <c r="AD31">
        <v>1</v>
      </c>
      <c r="AE31">
        <v>0</v>
      </c>
      <c r="AF31">
        <v>48.77741981493736</v>
      </c>
    </row>
    <row r="32" spans="1:32" x14ac:dyDescent="0.45">
      <c r="A32">
        <v>50</v>
      </c>
      <c r="B32">
        <v>0</v>
      </c>
      <c r="C32">
        <v>0</v>
      </c>
      <c r="D32">
        <v>24.736050542294375</v>
      </c>
      <c r="E32">
        <v>66.666666666666657</v>
      </c>
      <c r="F32">
        <v>100</v>
      </c>
      <c r="G32">
        <v>100</v>
      </c>
      <c r="H32">
        <v>50</v>
      </c>
      <c r="I32">
        <v>33.333333333333329</v>
      </c>
      <c r="J32">
        <v>14.787111622554661</v>
      </c>
      <c r="K32">
        <v>33.333333333333329</v>
      </c>
      <c r="L32">
        <v>3.4529414892420736</v>
      </c>
      <c r="M32">
        <f t="shared" si="0"/>
        <v>-34.56339065040595</v>
      </c>
      <c r="N32">
        <f t="shared" si="1"/>
        <v>-34.644874998668456</v>
      </c>
      <c r="O32">
        <f t="shared" si="2"/>
        <v>-30.831647781894056</v>
      </c>
      <c r="Q32">
        <f t="shared" si="3"/>
        <v>55.454474175259129</v>
      </c>
      <c r="V32">
        <v>324</v>
      </c>
      <c r="W32">
        <v>0</v>
      </c>
      <c r="X32">
        <v>1</v>
      </c>
      <c r="Y32">
        <v>71.673640551140522</v>
      </c>
      <c r="AC32">
        <v>172</v>
      </c>
      <c r="AD32">
        <v>1</v>
      </c>
      <c r="AE32">
        <v>0</v>
      </c>
      <c r="AF32">
        <v>47.130349656763123</v>
      </c>
    </row>
    <row r="33" spans="1:32" x14ac:dyDescent="0.45">
      <c r="A33">
        <v>53</v>
      </c>
      <c r="B33">
        <v>0</v>
      </c>
      <c r="C33">
        <v>0</v>
      </c>
      <c r="D33">
        <v>20.868657876176318</v>
      </c>
      <c r="E33">
        <v>33.333333333333329</v>
      </c>
      <c r="F33">
        <v>100</v>
      </c>
      <c r="G33">
        <v>0</v>
      </c>
      <c r="H33">
        <v>100</v>
      </c>
      <c r="I33">
        <v>100</v>
      </c>
      <c r="J33">
        <v>41.369390103567319</v>
      </c>
      <c r="K33">
        <v>0</v>
      </c>
      <c r="L33">
        <v>8.3698661674868546</v>
      </c>
      <c r="M33">
        <f t="shared" si="0"/>
        <v>-40.9144982782163</v>
      </c>
      <c r="N33">
        <f t="shared" si="1"/>
        <v>-43.624852649850034</v>
      </c>
      <c r="O33">
        <f t="shared" si="2"/>
        <v>-43.247785236175453</v>
      </c>
      <c r="Q33">
        <f t="shared" si="3"/>
        <v>49.103366547448779</v>
      </c>
      <c r="V33">
        <v>550</v>
      </c>
      <c r="W33">
        <v>0</v>
      </c>
      <c r="X33">
        <v>1</v>
      </c>
      <c r="Y33">
        <v>71.426250271303232</v>
      </c>
      <c r="AC33">
        <v>76</v>
      </c>
      <c r="AD33">
        <v>1</v>
      </c>
      <c r="AE33">
        <v>0</v>
      </c>
      <c r="AF33">
        <v>46.41313494499164</v>
      </c>
    </row>
    <row r="34" spans="1:32" x14ac:dyDescent="0.45">
      <c r="A34">
        <v>54</v>
      </c>
      <c r="B34">
        <v>0</v>
      </c>
      <c r="C34">
        <v>0</v>
      </c>
      <c r="D34">
        <v>19.835939231065034</v>
      </c>
      <c r="E34">
        <v>0</v>
      </c>
      <c r="F34">
        <v>0</v>
      </c>
      <c r="G34">
        <v>0</v>
      </c>
      <c r="H34">
        <v>100</v>
      </c>
      <c r="I34">
        <v>16.666666666666664</v>
      </c>
      <c r="J34">
        <v>19.073647871116226</v>
      </c>
      <c r="K34">
        <v>0</v>
      </c>
      <c r="L34">
        <v>8.2110308404551891</v>
      </c>
      <c r="M34">
        <f t="shared" si="0"/>
        <v>-13.360904105005092</v>
      </c>
      <c r="N34">
        <f t="shared" si="1"/>
        <v>-14.245988521872059</v>
      </c>
      <c r="O34">
        <f t="shared" si="2"/>
        <v>-14.12285462637686</v>
      </c>
      <c r="Q34">
        <f t="shared" si="3"/>
        <v>76.656960720659995</v>
      </c>
      <c r="V34">
        <v>541</v>
      </c>
      <c r="W34">
        <v>0</v>
      </c>
      <c r="X34">
        <v>1</v>
      </c>
      <c r="Y34">
        <v>70.513083413912497</v>
      </c>
      <c r="AC34">
        <v>125</v>
      </c>
      <c r="AD34">
        <v>1</v>
      </c>
      <c r="AE34">
        <v>0</v>
      </c>
      <c r="AF34">
        <v>46.114243859902025</v>
      </c>
    </row>
    <row r="35" spans="1:32" x14ac:dyDescent="0.45">
      <c r="A35">
        <v>55</v>
      </c>
      <c r="B35">
        <v>0</v>
      </c>
      <c r="C35">
        <v>1</v>
      </c>
      <c r="D35">
        <v>19.055205586978023</v>
      </c>
      <c r="E35">
        <v>66.666666666666657</v>
      </c>
      <c r="F35">
        <v>0</v>
      </c>
      <c r="G35">
        <v>100</v>
      </c>
      <c r="H35">
        <v>75</v>
      </c>
      <c r="I35">
        <v>33.333333333333329</v>
      </c>
      <c r="J35">
        <v>45.512082853855006</v>
      </c>
      <c r="K35">
        <v>0</v>
      </c>
      <c r="L35">
        <v>12.181796204796845</v>
      </c>
      <c r="M35">
        <f t="shared" si="0"/>
        <v>-28.189168604785603</v>
      </c>
      <c r="N35">
        <f t="shared" si="1"/>
        <v>-30.056541775077644</v>
      </c>
      <c r="O35">
        <f t="shared" si="2"/>
        <v>-24.093914272316681</v>
      </c>
      <c r="Q35">
        <f t="shared" si="3"/>
        <v>61.828696220879479</v>
      </c>
      <c r="V35">
        <v>450</v>
      </c>
      <c r="W35">
        <v>0</v>
      </c>
      <c r="X35">
        <v>1</v>
      </c>
      <c r="Y35">
        <v>67.244688663591717</v>
      </c>
      <c r="AC35">
        <v>126</v>
      </c>
      <c r="AD35">
        <v>1</v>
      </c>
      <c r="AE35">
        <v>0</v>
      </c>
      <c r="AF35">
        <v>43.910764504468375</v>
      </c>
    </row>
    <row r="36" spans="1:32" x14ac:dyDescent="0.45">
      <c r="A36">
        <v>56</v>
      </c>
      <c r="B36">
        <v>0</v>
      </c>
      <c r="C36">
        <v>1</v>
      </c>
      <c r="D36">
        <v>23.79280113757002</v>
      </c>
      <c r="E36">
        <v>0</v>
      </c>
      <c r="F36">
        <v>0</v>
      </c>
      <c r="G36">
        <v>100</v>
      </c>
      <c r="H36">
        <v>50</v>
      </c>
      <c r="I36">
        <v>50</v>
      </c>
      <c r="J36">
        <v>13.003452243958574</v>
      </c>
      <c r="K36">
        <v>33.333333333333329</v>
      </c>
      <c r="L36">
        <v>1.9768745983514751</v>
      </c>
      <c r="M36">
        <f t="shared" si="0"/>
        <v>-17.085883762354502</v>
      </c>
      <c r="N36">
        <f t="shared" si="1"/>
        <v>-16.009582015400252</v>
      </c>
      <c r="O36">
        <f t="shared" si="2"/>
        <v>-12.357427244753485</v>
      </c>
      <c r="Q36">
        <f t="shared" si="3"/>
        <v>72.931981063310587</v>
      </c>
      <c r="V36">
        <v>415</v>
      </c>
      <c r="W36">
        <v>0</v>
      </c>
      <c r="X36">
        <v>1</v>
      </c>
      <c r="Y36">
        <v>66.541085446368058</v>
      </c>
      <c r="AC36">
        <v>77</v>
      </c>
      <c r="AD36">
        <v>1</v>
      </c>
      <c r="AE36">
        <v>0</v>
      </c>
      <c r="AF36">
        <v>42.956169967562211</v>
      </c>
    </row>
    <row r="37" spans="1:32" x14ac:dyDescent="0.45">
      <c r="A37">
        <v>57</v>
      </c>
      <c r="B37">
        <v>0</v>
      </c>
      <c r="C37">
        <v>0</v>
      </c>
      <c r="D37">
        <v>19.42773647852276</v>
      </c>
      <c r="E37">
        <v>0</v>
      </c>
      <c r="F37">
        <v>100</v>
      </c>
      <c r="G37">
        <v>0</v>
      </c>
      <c r="H37">
        <v>100</v>
      </c>
      <c r="I37">
        <v>100</v>
      </c>
      <c r="J37">
        <v>39.182968929804375</v>
      </c>
      <c r="K37">
        <v>0</v>
      </c>
      <c r="L37">
        <v>11.659441203119876</v>
      </c>
      <c r="M37">
        <f t="shared" si="0"/>
        <v>-38.812400001063772</v>
      </c>
      <c r="N37">
        <f t="shared" si="1"/>
        <v>-41.383502237272502</v>
      </c>
      <c r="O37">
        <f t="shared" si="2"/>
        <v>-41.025807730367198</v>
      </c>
      <c r="Q37">
        <f t="shared" si="3"/>
        <v>51.205464824601307</v>
      </c>
      <c r="V37">
        <v>476</v>
      </c>
      <c r="W37">
        <v>0</v>
      </c>
      <c r="X37">
        <v>1</v>
      </c>
      <c r="Y37">
        <v>65.603634457000098</v>
      </c>
      <c r="AC37">
        <v>423</v>
      </c>
      <c r="AD37">
        <v>1</v>
      </c>
      <c r="AE37">
        <v>0</v>
      </c>
      <c r="AF37">
        <v>41.024503865964931</v>
      </c>
    </row>
    <row r="38" spans="1:32" x14ac:dyDescent="0.45">
      <c r="A38">
        <v>58</v>
      </c>
      <c r="B38">
        <v>0</v>
      </c>
      <c r="C38">
        <v>0</v>
      </c>
      <c r="D38">
        <v>17.306162052421538</v>
      </c>
      <c r="E38">
        <v>33.333333333333329</v>
      </c>
      <c r="F38">
        <v>0</v>
      </c>
      <c r="G38">
        <v>100</v>
      </c>
      <c r="H38">
        <v>75</v>
      </c>
      <c r="I38">
        <v>66.666666666666657</v>
      </c>
      <c r="J38">
        <v>8.8032220943613346</v>
      </c>
      <c r="K38">
        <v>0</v>
      </c>
      <c r="L38">
        <v>28.991709494284365</v>
      </c>
      <c r="M38">
        <f t="shared" si="0"/>
        <v>-28.553556941275289</v>
      </c>
      <c r="N38">
        <f t="shared" si="1"/>
        <v>-30.445068780311626</v>
      </c>
      <c r="O38">
        <f t="shared" si="2"/>
        <v>-24.479083080007122</v>
      </c>
      <c r="Q38">
        <f t="shared" si="3"/>
        <v>61.46430788438979</v>
      </c>
      <c r="V38">
        <v>409</v>
      </c>
      <c r="W38">
        <v>0</v>
      </c>
      <c r="X38">
        <v>1</v>
      </c>
      <c r="Y38">
        <v>65.038969837894783</v>
      </c>
      <c r="AC38">
        <v>30</v>
      </c>
      <c r="AD38">
        <v>1</v>
      </c>
      <c r="AE38">
        <v>0</v>
      </c>
      <c r="AF38">
        <v>39.214336338385493</v>
      </c>
    </row>
    <row r="39" spans="1:32" x14ac:dyDescent="0.45">
      <c r="A39">
        <v>59</v>
      </c>
      <c r="B39">
        <v>0</v>
      </c>
      <c r="C39">
        <v>0</v>
      </c>
      <c r="D39">
        <v>15.614116679291229</v>
      </c>
      <c r="E39">
        <v>33.333333333333329</v>
      </c>
      <c r="F39">
        <v>0</v>
      </c>
      <c r="G39">
        <v>0</v>
      </c>
      <c r="H39">
        <v>75</v>
      </c>
      <c r="I39">
        <v>33.333333333333329</v>
      </c>
      <c r="J39">
        <v>22.756041426927503</v>
      </c>
      <c r="K39">
        <v>33.333333333333329</v>
      </c>
      <c r="L39">
        <v>26.572003262416231</v>
      </c>
      <c r="M39">
        <f t="shared" si="0"/>
        <v>-23.059274987437927</v>
      </c>
      <c r="N39">
        <f t="shared" si="1"/>
        <v>-22.378676663517048</v>
      </c>
      <c r="O39">
        <f t="shared" si="2"/>
        <v>-24.374307747275743</v>
      </c>
      <c r="Q39">
        <f t="shared" si="3"/>
        <v>66.958589838227141</v>
      </c>
      <c r="V39">
        <v>179</v>
      </c>
      <c r="W39">
        <v>0</v>
      </c>
      <c r="X39">
        <v>1</v>
      </c>
      <c r="Y39">
        <v>62.85842694551134</v>
      </c>
      <c r="AC39">
        <v>34</v>
      </c>
      <c r="AD39">
        <v>1</v>
      </c>
      <c r="AE39">
        <v>0</v>
      </c>
      <c r="AF39">
        <v>39.035466576336589</v>
      </c>
    </row>
    <row r="40" spans="1:32" x14ac:dyDescent="0.45">
      <c r="A40">
        <v>61</v>
      </c>
      <c r="B40">
        <v>0</v>
      </c>
      <c r="C40">
        <v>0</v>
      </c>
      <c r="D40">
        <v>15.783350366190191</v>
      </c>
      <c r="E40">
        <v>100</v>
      </c>
      <c r="F40">
        <v>0</v>
      </c>
      <c r="G40">
        <v>100</v>
      </c>
      <c r="H40">
        <v>100</v>
      </c>
      <c r="I40">
        <v>33.333333333333329</v>
      </c>
      <c r="J40">
        <v>11.162255466052933</v>
      </c>
      <c r="K40">
        <v>33.333333333333329</v>
      </c>
      <c r="L40">
        <v>23.54373146675578</v>
      </c>
      <c r="M40">
        <f t="shared" si="0"/>
        <v>-34.051844818103554</v>
      </c>
      <c r="N40">
        <f t="shared" si="1"/>
        <v>-34.099442144864675</v>
      </c>
      <c r="O40">
        <f t="shared" si="2"/>
        <v>-30.290929326948369</v>
      </c>
      <c r="Q40">
        <f t="shared" si="3"/>
        <v>55.966020007561525</v>
      </c>
      <c r="V40">
        <v>174</v>
      </c>
      <c r="W40">
        <v>0</v>
      </c>
      <c r="X40">
        <v>1</v>
      </c>
      <c r="Y40">
        <v>62.806751910201555</v>
      </c>
      <c r="AC40">
        <v>27</v>
      </c>
      <c r="AD40">
        <v>1</v>
      </c>
      <c r="AE40">
        <v>0</v>
      </c>
      <c r="AF40">
        <v>36.411135942095754</v>
      </c>
    </row>
    <row r="41" spans="1:32" x14ac:dyDescent="0.45">
      <c r="A41">
        <v>65</v>
      </c>
      <c r="B41">
        <v>0</v>
      </c>
      <c r="C41">
        <v>0</v>
      </c>
      <c r="D41">
        <v>11.493744931436249</v>
      </c>
      <c r="E41">
        <v>100</v>
      </c>
      <c r="F41">
        <v>100</v>
      </c>
      <c r="G41">
        <v>100</v>
      </c>
      <c r="H41">
        <v>75</v>
      </c>
      <c r="I41">
        <v>83.333333333333343</v>
      </c>
      <c r="J41">
        <v>100</v>
      </c>
      <c r="K41">
        <v>100</v>
      </c>
      <c r="L41">
        <v>14.536664255765592</v>
      </c>
      <c r="M41">
        <f t="shared" si="0"/>
        <v>-63.92440142586694</v>
      </c>
      <c r="N41">
        <f t="shared" si="1"/>
        <v>-61.534596823111642</v>
      </c>
      <c r="O41">
        <f t="shared" si="2"/>
        <v>-61.867069008365185</v>
      </c>
      <c r="Q41">
        <f t="shared" si="3"/>
        <v>26.093463399798132</v>
      </c>
      <c r="V41">
        <v>461</v>
      </c>
      <c r="W41">
        <v>0</v>
      </c>
      <c r="X41">
        <v>1</v>
      </c>
      <c r="Y41">
        <v>62.107528150195179</v>
      </c>
      <c r="AC41">
        <v>133</v>
      </c>
      <c r="AD41">
        <v>1</v>
      </c>
      <c r="AE41">
        <v>0</v>
      </c>
      <c r="AF41">
        <v>35.596989946147566</v>
      </c>
    </row>
    <row r="42" spans="1:32" x14ac:dyDescent="0.45">
      <c r="A42">
        <v>69</v>
      </c>
      <c r="B42">
        <v>0</v>
      </c>
      <c r="C42">
        <v>0</v>
      </c>
      <c r="D42">
        <v>10.043031522121849</v>
      </c>
      <c r="E42">
        <v>0</v>
      </c>
      <c r="F42">
        <v>0</v>
      </c>
      <c r="G42">
        <v>0</v>
      </c>
      <c r="H42">
        <v>75</v>
      </c>
      <c r="I42">
        <v>16.666666666666664</v>
      </c>
      <c r="J42">
        <v>4.9482163406214035</v>
      </c>
      <c r="K42">
        <v>33.333333333333329</v>
      </c>
      <c r="L42">
        <v>5.1770497391806982</v>
      </c>
      <c r="M42">
        <f t="shared" si="0"/>
        <v>-11.583799911844515</v>
      </c>
      <c r="N42">
        <f t="shared" si="1"/>
        <v>-10.143016192853841</v>
      </c>
      <c r="O42">
        <f t="shared" si="2"/>
        <v>-12.244405085935229</v>
      </c>
      <c r="Q42">
        <f t="shared" si="3"/>
        <v>78.434064913820549</v>
      </c>
      <c r="V42">
        <v>55</v>
      </c>
      <c r="W42">
        <v>0</v>
      </c>
      <c r="X42">
        <v>1</v>
      </c>
      <c r="Y42">
        <v>61.828696220879479</v>
      </c>
      <c r="AC42">
        <v>85</v>
      </c>
      <c r="AD42">
        <v>1</v>
      </c>
      <c r="AE42">
        <v>0</v>
      </c>
      <c r="AF42">
        <v>33.884313106876995</v>
      </c>
    </row>
    <row r="43" spans="1:32" x14ac:dyDescent="0.45">
      <c r="A43">
        <v>72</v>
      </c>
      <c r="B43">
        <v>1</v>
      </c>
      <c r="C43">
        <v>0</v>
      </c>
      <c r="D43">
        <v>10.395129264910381</v>
      </c>
      <c r="E43">
        <v>100</v>
      </c>
      <c r="F43">
        <v>0</v>
      </c>
      <c r="G43">
        <v>100</v>
      </c>
      <c r="H43">
        <v>100</v>
      </c>
      <c r="I43">
        <v>33.333333333333329</v>
      </c>
      <c r="J43">
        <v>13.003452243958574</v>
      </c>
      <c r="K43">
        <v>0</v>
      </c>
      <c r="L43">
        <v>24.780644800690983</v>
      </c>
      <c r="M43">
        <f t="shared" si="0"/>
        <v>-33.055528090937884</v>
      </c>
      <c r="N43">
        <f t="shared" si="1"/>
        <v>-35.245270085541193</v>
      </c>
      <c r="O43">
        <f t="shared" si="2"/>
        <v>-29.237794285411976</v>
      </c>
      <c r="Q43">
        <f t="shared" si="3"/>
        <v>56.962336734727195</v>
      </c>
      <c r="V43">
        <v>452</v>
      </c>
      <c r="W43">
        <v>0</v>
      </c>
      <c r="X43">
        <v>1</v>
      </c>
      <c r="Y43">
        <v>61.629679007965201</v>
      </c>
      <c r="AC43">
        <v>131</v>
      </c>
      <c r="AD43">
        <v>1</v>
      </c>
      <c r="AE43">
        <v>0</v>
      </c>
      <c r="AF43">
        <v>27.660686348230158</v>
      </c>
    </row>
    <row r="44" spans="1:32" x14ac:dyDescent="0.45">
      <c r="A44">
        <v>73</v>
      </c>
      <c r="B44">
        <v>1</v>
      </c>
      <c r="C44">
        <v>0</v>
      </c>
      <c r="D44">
        <v>12.382191830258268</v>
      </c>
      <c r="E44">
        <v>66.666666666666657</v>
      </c>
      <c r="F44">
        <v>0</v>
      </c>
      <c r="G44">
        <v>100</v>
      </c>
      <c r="H44">
        <v>100</v>
      </c>
      <c r="I44">
        <v>83.333333333333343</v>
      </c>
      <c r="J44">
        <v>13.981588032220943</v>
      </c>
      <c r="K44">
        <v>33.333333333333329</v>
      </c>
      <c r="L44">
        <v>30.467217725744469</v>
      </c>
      <c r="M44">
        <f t="shared" si="0"/>
        <v>-38.955481411341452</v>
      </c>
      <c r="N44">
        <f t="shared" si="1"/>
        <v>-39.327916960167784</v>
      </c>
      <c r="O44">
        <f t="shared" si="2"/>
        <v>-35.474212299613221</v>
      </c>
      <c r="Q44">
        <f t="shared" si="3"/>
        <v>51.062383414323634</v>
      </c>
      <c r="V44">
        <v>207</v>
      </c>
      <c r="W44">
        <v>0</v>
      </c>
      <c r="X44">
        <v>1</v>
      </c>
      <c r="Y44">
        <v>60.399383757604866</v>
      </c>
      <c r="AC44">
        <v>177</v>
      </c>
      <c r="AD44">
        <v>1</v>
      </c>
      <c r="AE44">
        <v>0</v>
      </c>
      <c r="AF44">
        <v>25.823679118388114</v>
      </c>
    </row>
    <row r="45" spans="1:32" x14ac:dyDescent="0.45">
      <c r="A45">
        <v>74</v>
      </c>
      <c r="B45">
        <v>1</v>
      </c>
      <c r="C45">
        <v>0</v>
      </c>
      <c r="D45">
        <v>12.382191830258268</v>
      </c>
      <c r="E45">
        <v>66.666666666666657</v>
      </c>
      <c r="F45">
        <v>0</v>
      </c>
      <c r="G45">
        <v>100</v>
      </c>
      <c r="H45">
        <v>100</v>
      </c>
      <c r="I45">
        <v>83.333333333333343</v>
      </c>
      <c r="J45">
        <v>10.184119677790564</v>
      </c>
      <c r="K45">
        <v>66.666666666666657</v>
      </c>
      <c r="L45">
        <v>30.467217725744469</v>
      </c>
      <c r="M45">
        <f t="shared" si="0"/>
        <v>-40.543165590711624</v>
      </c>
      <c r="N45">
        <f t="shared" si="1"/>
        <v>-38.812631224577387</v>
      </c>
      <c r="O45">
        <f t="shared" si="2"/>
        <v>-37.152439512503982</v>
      </c>
      <c r="Q45">
        <f t="shared" si="3"/>
        <v>49.474699234953455</v>
      </c>
      <c r="V45">
        <v>21</v>
      </c>
      <c r="W45">
        <v>0</v>
      </c>
      <c r="X45">
        <v>1</v>
      </c>
      <c r="Y45">
        <v>59.156573079784046</v>
      </c>
      <c r="AC45">
        <v>170</v>
      </c>
      <c r="AD45">
        <v>1</v>
      </c>
      <c r="AE45">
        <v>0</v>
      </c>
      <c r="AF45">
        <v>19.588542405067361</v>
      </c>
    </row>
    <row r="46" spans="1:32" x14ac:dyDescent="0.45">
      <c r="A46">
        <v>75</v>
      </c>
      <c r="B46">
        <v>0</v>
      </c>
      <c r="C46">
        <v>0</v>
      </c>
      <c r="D46">
        <v>11.606238657731108</v>
      </c>
      <c r="E46">
        <v>33.333333333333329</v>
      </c>
      <c r="F46">
        <v>0</v>
      </c>
      <c r="G46">
        <v>100</v>
      </c>
      <c r="H46">
        <v>100</v>
      </c>
      <c r="I46">
        <v>100</v>
      </c>
      <c r="J46">
        <v>48.906789413118531</v>
      </c>
      <c r="K46">
        <v>100</v>
      </c>
      <c r="L46">
        <v>63.91121609911459</v>
      </c>
      <c r="M46">
        <f t="shared" si="0"/>
        <v>-54.787020420168993</v>
      </c>
      <c r="N46">
        <f t="shared" si="1"/>
        <v>-51.791915945821188</v>
      </c>
      <c r="O46">
        <f t="shared" si="2"/>
        <v>-52.2085980998772</v>
      </c>
      <c r="Q46">
        <f t="shared" si="3"/>
        <v>35.230844405496079</v>
      </c>
      <c r="V46">
        <v>250</v>
      </c>
      <c r="W46">
        <v>0</v>
      </c>
      <c r="X46">
        <v>1</v>
      </c>
      <c r="Y46">
        <v>58.945104571855303</v>
      </c>
    </row>
    <row r="47" spans="1:32" x14ac:dyDescent="0.45">
      <c r="A47">
        <v>76</v>
      </c>
      <c r="B47">
        <v>1</v>
      </c>
      <c r="C47">
        <v>0</v>
      </c>
      <c r="D47">
        <v>11.605626050182993</v>
      </c>
      <c r="E47">
        <v>100</v>
      </c>
      <c r="F47">
        <v>0</v>
      </c>
      <c r="G47">
        <v>100</v>
      </c>
      <c r="H47">
        <v>100</v>
      </c>
      <c r="I47">
        <v>66.666666666666657</v>
      </c>
      <c r="J47">
        <v>8.0264672036823939</v>
      </c>
      <c r="K47">
        <v>0</v>
      </c>
      <c r="L47">
        <v>56.59833304310029</v>
      </c>
      <c r="M47">
        <f t="shared" si="0"/>
        <v>-43.604729880673439</v>
      </c>
      <c r="N47">
        <f t="shared" si="1"/>
        <v>-46.493296897977302</v>
      </c>
      <c r="O47">
        <f t="shared" si="2"/>
        <v>-40.388599809488689</v>
      </c>
      <c r="Q47">
        <f t="shared" si="3"/>
        <v>46.41313494499164</v>
      </c>
      <c r="V47">
        <v>218</v>
      </c>
      <c r="W47">
        <v>0</v>
      </c>
      <c r="X47">
        <v>1</v>
      </c>
      <c r="Y47">
        <v>50.222301121471389</v>
      </c>
    </row>
    <row r="48" spans="1:32" x14ac:dyDescent="0.45">
      <c r="A48">
        <v>77</v>
      </c>
      <c r="B48">
        <v>1</v>
      </c>
      <c r="C48">
        <v>0</v>
      </c>
      <c r="D48">
        <v>14.214381022467199</v>
      </c>
      <c r="E48">
        <v>33.333333333333329</v>
      </c>
      <c r="F48">
        <v>0</v>
      </c>
      <c r="G48">
        <v>100</v>
      </c>
      <c r="H48">
        <v>100</v>
      </c>
      <c r="I48">
        <v>83.333333333333343</v>
      </c>
      <c r="J48">
        <v>17.174913693901036</v>
      </c>
      <c r="K48">
        <v>33.333333333333329</v>
      </c>
      <c r="L48">
        <v>74.039307683192092</v>
      </c>
      <c r="M48">
        <f t="shared" si="0"/>
        <v>-47.061694858102868</v>
      </c>
      <c r="N48">
        <f t="shared" si="1"/>
        <v>-47.971121253142847</v>
      </c>
      <c r="O48">
        <f t="shared" si="2"/>
        <v>-44.04270984882524</v>
      </c>
      <c r="Q48">
        <f t="shared" si="3"/>
        <v>42.956169967562211</v>
      </c>
    </row>
    <row r="49" spans="1:17" x14ac:dyDescent="0.45">
      <c r="A49">
        <v>79</v>
      </c>
      <c r="B49">
        <v>0</v>
      </c>
      <c r="C49">
        <v>0</v>
      </c>
      <c r="D49">
        <v>14.524207246067972</v>
      </c>
      <c r="E49">
        <v>66.666666666666657</v>
      </c>
      <c r="F49">
        <v>0</v>
      </c>
      <c r="G49">
        <v>0</v>
      </c>
      <c r="H49">
        <v>25</v>
      </c>
      <c r="I49">
        <v>66.666666666666657</v>
      </c>
      <c r="J49">
        <v>63.895281933256619</v>
      </c>
      <c r="K49">
        <v>0</v>
      </c>
      <c r="L49">
        <v>37.445014089063378</v>
      </c>
      <c r="M49">
        <f t="shared" si="0"/>
        <v>-30.714266691904719</v>
      </c>
      <c r="N49">
        <f t="shared" si="1"/>
        <v>-32.748913345368635</v>
      </c>
      <c r="O49">
        <f t="shared" si="2"/>
        <v>-32.465851115797221</v>
      </c>
      <c r="Q49">
        <f t="shared" si="3"/>
        <v>59.30359813376036</v>
      </c>
    </row>
    <row r="50" spans="1:17" x14ac:dyDescent="0.45">
      <c r="A50">
        <v>81</v>
      </c>
      <c r="B50">
        <v>1</v>
      </c>
      <c r="C50">
        <v>0</v>
      </c>
      <c r="D50">
        <v>12.820457087950784</v>
      </c>
      <c r="E50">
        <v>66.666666666666657</v>
      </c>
      <c r="F50">
        <v>0</v>
      </c>
      <c r="G50">
        <v>100</v>
      </c>
      <c r="H50">
        <v>75</v>
      </c>
      <c r="I50">
        <v>50</v>
      </c>
      <c r="J50">
        <v>19.303797468354432</v>
      </c>
      <c r="K50">
        <v>0</v>
      </c>
      <c r="L50">
        <v>42.760512148096403</v>
      </c>
      <c r="M50">
        <f t="shared" si="0"/>
        <v>-34.715196957953943</v>
      </c>
      <c r="N50">
        <f t="shared" si="1"/>
        <v>-37.014882638988233</v>
      </c>
      <c r="O50">
        <f t="shared" si="2"/>
        <v>-30.992111355018878</v>
      </c>
      <c r="Q50">
        <f t="shared" si="3"/>
        <v>55.302667867711143</v>
      </c>
    </row>
    <row r="51" spans="1:17" x14ac:dyDescent="0.45">
      <c r="A51">
        <v>85</v>
      </c>
      <c r="B51">
        <v>1</v>
      </c>
      <c r="C51">
        <v>0</v>
      </c>
      <c r="D51">
        <v>18.669770558623373</v>
      </c>
      <c r="E51">
        <v>100</v>
      </c>
      <c r="F51">
        <v>100</v>
      </c>
      <c r="G51">
        <v>100</v>
      </c>
      <c r="H51">
        <v>100</v>
      </c>
      <c r="I51">
        <v>50</v>
      </c>
      <c r="J51">
        <v>9.0046029919447648</v>
      </c>
      <c r="K51">
        <v>33.333333333333329</v>
      </c>
      <c r="L51">
        <v>54.958491634840989</v>
      </c>
      <c r="M51">
        <f t="shared" si="0"/>
        <v>-56.133551718788084</v>
      </c>
      <c r="N51">
        <f t="shared" si="1"/>
        <v>-57.64393738098066</v>
      </c>
      <c r="O51">
        <f t="shared" si="2"/>
        <v>-53.631919877416173</v>
      </c>
      <c r="Q51">
        <f t="shared" si="3"/>
        <v>33.884313106876995</v>
      </c>
    </row>
    <row r="52" spans="1:17" x14ac:dyDescent="0.45">
      <c r="A52">
        <v>87</v>
      </c>
      <c r="B52">
        <v>0</v>
      </c>
      <c r="C52">
        <v>0</v>
      </c>
      <c r="D52">
        <v>19.371386725345406</v>
      </c>
      <c r="E52">
        <v>100</v>
      </c>
      <c r="F52">
        <v>0</v>
      </c>
      <c r="G52">
        <v>0</v>
      </c>
      <c r="H52">
        <v>100</v>
      </c>
      <c r="I52">
        <v>33.333333333333329</v>
      </c>
      <c r="J52">
        <v>1.6973532796317605</v>
      </c>
      <c r="K52">
        <v>33.333333333333329</v>
      </c>
      <c r="L52">
        <v>47.123612642240246</v>
      </c>
      <c r="M52">
        <f t="shared" si="0"/>
        <v>-32.860063061800233</v>
      </c>
      <c r="N52">
        <f t="shared" si="1"/>
        <v>-32.82871157996874</v>
      </c>
      <c r="O52">
        <f t="shared" si="2"/>
        <v>-34.734018745148681</v>
      </c>
      <c r="Q52">
        <f t="shared" si="3"/>
        <v>57.157801763864846</v>
      </c>
    </row>
    <row r="53" spans="1:17" x14ac:dyDescent="0.45">
      <c r="A53">
        <v>90</v>
      </c>
      <c r="B53">
        <v>0</v>
      </c>
      <c r="C53">
        <v>0</v>
      </c>
      <c r="D53">
        <v>20.987006471376869</v>
      </c>
      <c r="E53">
        <v>0</v>
      </c>
      <c r="F53">
        <v>0</v>
      </c>
      <c r="G53">
        <v>100</v>
      </c>
      <c r="H53">
        <v>100</v>
      </c>
      <c r="I53">
        <v>33.333333333333329</v>
      </c>
      <c r="J53">
        <v>2.2439585730724971</v>
      </c>
      <c r="K53">
        <v>0</v>
      </c>
      <c r="L53">
        <v>25.98170111171013</v>
      </c>
      <c r="M53">
        <f t="shared" si="0"/>
        <v>-22.606374972307137</v>
      </c>
      <c r="N53">
        <f t="shared" si="1"/>
        <v>-24.103919603463133</v>
      </c>
      <c r="O53">
        <f t="shared" si="2"/>
        <v>-18.192743044613621</v>
      </c>
      <c r="Q53">
        <f t="shared" si="3"/>
        <v>67.411489853357949</v>
      </c>
    </row>
    <row r="54" spans="1:17" x14ac:dyDescent="0.45">
      <c r="A54">
        <v>92</v>
      </c>
      <c r="B54">
        <v>0</v>
      </c>
      <c r="C54">
        <v>0</v>
      </c>
      <c r="D54">
        <v>21.359947917243396</v>
      </c>
      <c r="E54">
        <v>33.333333333333329</v>
      </c>
      <c r="F54">
        <v>0</v>
      </c>
      <c r="G54">
        <v>100</v>
      </c>
      <c r="H54">
        <v>100</v>
      </c>
      <c r="I54">
        <v>33.333333333333329</v>
      </c>
      <c r="J54">
        <v>12.255466052934407</v>
      </c>
      <c r="K54">
        <v>33.333333333333329</v>
      </c>
      <c r="L54">
        <v>24.168384911839365</v>
      </c>
      <c r="M54">
        <f t="shared" si="0"/>
        <v>-28.242862931500802</v>
      </c>
      <c r="N54">
        <f t="shared" si="1"/>
        <v>-27.905648025101119</v>
      </c>
      <c r="O54">
        <f t="shared" si="2"/>
        <v>-24.150670698715693</v>
      </c>
      <c r="Q54">
        <f t="shared" si="3"/>
        <v>61.775001894164284</v>
      </c>
    </row>
    <row r="55" spans="1:17" x14ac:dyDescent="0.45">
      <c r="A55">
        <v>96</v>
      </c>
      <c r="B55">
        <v>0</v>
      </c>
      <c r="C55">
        <v>0</v>
      </c>
      <c r="D55">
        <v>13.026659636795756</v>
      </c>
      <c r="E55">
        <v>100</v>
      </c>
      <c r="F55">
        <v>0</v>
      </c>
      <c r="G55">
        <v>100</v>
      </c>
      <c r="H55">
        <v>100</v>
      </c>
      <c r="I55">
        <v>50</v>
      </c>
      <c r="J55">
        <v>7.5373993095512084</v>
      </c>
      <c r="K55">
        <v>33.333333333333329</v>
      </c>
      <c r="L55">
        <v>61.377236732301938</v>
      </c>
      <c r="M55">
        <f t="shared" si="0"/>
        <v>-44.878726184389734</v>
      </c>
      <c r="N55">
        <f t="shared" si="1"/>
        <v>-45.643543237095713</v>
      </c>
      <c r="O55">
        <f t="shared" si="2"/>
        <v>-41.735250039931287</v>
      </c>
      <c r="Q55">
        <f t="shared" si="3"/>
        <v>45.139138641275345</v>
      </c>
    </row>
    <row r="56" spans="1:17" x14ac:dyDescent="0.45">
      <c r="A56">
        <v>97</v>
      </c>
      <c r="B56">
        <v>0</v>
      </c>
      <c r="C56">
        <v>0</v>
      </c>
      <c r="D56">
        <v>13.189077534085353</v>
      </c>
      <c r="E56">
        <v>66.666666666666657</v>
      </c>
      <c r="F56">
        <v>0</v>
      </c>
      <c r="G56">
        <v>100</v>
      </c>
      <c r="H56">
        <v>100</v>
      </c>
      <c r="I56">
        <v>50</v>
      </c>
      <c r="J56">
        <v>5.7249712313003451</v>
      </c>
      <c r="K56">
        <v>33.333333333333329</v>
      </c>
      <c r="L56">
        <v>57.973763237359904</v>
      </c>
      <c r="M56">
        <f t="shared" si="0"/>
        <v>-41.027504300058204</v>
      </c>
      <c r="N56">
        <f t="shared" si="1"/>
        <v>-41.537199659731314</v>
      </c>
      <c r="O56">
        <f t="shared" si="2"/>
        <v>-37.664399266744439</v>
      </c>
      <c r="Q56">
        <f t="shared" si="3"/>
        <v>48.990360525606874</v>
      </c>
    </row>
    <row r="57" spans="1:17" x14ac:dyDescent="0.45">
      <c r="A57">
        <v>98</v>
      </c>
      <c r="B57">
        <v>0</v>
      </c>
      <c r="C57">
        <v>0</v>
      </c>
      <c r="D57">
        <v>14.361319844591661</v>
      </c>
      <c r="E57">
        <v>0</v>
      </c>
      <c r="F57">
        <v>0</v>
      </c>
      <c r="G57">
        <v>100</v>
      </c>
      <c r="H57">
        <v>100</v>
      </c>
      <c r="I57">
        <v>33.333333333333329</v>
      </c>
      <c r="J57">
        <v>10.443037974683545</v>
      </c>
      <c r="K57">
        <v>66.666666666666657</v>
      </c>
      <c r="L57">
        <v>58.211486235010256</v>
      </c>
      <c r="M57">
        <f t="shared" si="0"/>
        <v>-36.334344484394769</v>
      </c>
      <c r="N57">
        <f t="shared" si="1"/>
        <v>-34.324999496965354</v>
      </c>
      <c r="O57">
        <f t="shared" si="2"/>
        <v>-32.703596218233749</v>
      </c>
      <c r="Q57">
        <f t="shared" si="3"/>
        <v>53.683520341270309</v>
      </c>
    </row>
    <row r="58" spans="1:17" x14ac:dyDescent="0.45">
      <c r="A58">
        <v>100</v>
      </c>
      <c r="B58">
        <v>0</v>
      </c>
      <c r="C58">
        <v>0</v>
      </c>
      <c r="D58">
        <v>14.438552456000991</v>
      </c>
      <c r="E58">
        <v>66.666666666666657</v>
      </c>
      <c r="F58">
        <v>0</v>
      </c>
      <c r="G58">
        <v>100</v>
      </c>
      <c r="H58">
        <v>100</v>
      </c>
      <c r="I58">
        <v>100</v>
      </c>
      <c r="J58">
        <v>4.5742232451093212</v>
      </c>
      <c r="K58">
        <v>0</v>
      </c>
      <c r="L58">
        <v>54.721784637016512</v>
      </c>
      <c r="M58">
        <f t="shared" si="0"/>
        <v>-43.174572410534019</v>
      </c>
      <c r="N58">
        <f t="shared" si="1"/>
        <v>-46.034643925540493</v>
      </c>
      <c r="O58">
        <f t="shared" si="2"/>
        <v>-39.933911161962705</v>
      </c>
      <c r="Q58">
        <f t="shared" si="3"/>
        <v>46.84329241513106</v>
      </c>
    </row>
    <row r="59" spans="1:17" x14ac:dyDescent="0.45">
      <c r="A59">
        <v>103</v>
      </c>
      <c r="B59">
        <v>0</v>
      </c>
      <c r="C59">
        <v>0</v>
      </c>
      <c r="D59">
        <v>17.987658767751306</v>
      </c>
      <c r="E59">
        <v>66.666666666666657</v>
      </c>
      <c r="F59">
        <v>0</v>
      </c>
      <c r="G59">
        <v>0</v>
      </c>
      <c r="H59">
        <v>100</v>
      </c>
      <c r="I59">
        <v>33.333333333333329</v>
      </c>
      <c r="J59">
        <v>42.865362485615648</v>
      </c>
      <c r="K59">
        <v>0</v>
      </c>
      <c r="L59">
        <v>37.770391391085695</v>
      </c>
      <c r="M59">
        <f t="shared" si="0"/>
        <v>-31.107071281559378</v>
      </c>
      <c r="N59">
        <f t="shared" si="1"/>
        <v>-33.167739020007133</v>
      </c>
      <c r="O59">
        <f t="shared" si="2"/>
        <v>-32.881056709121424</v>
      </c>
      <c r="Q59">
        <f t="shared" si="3"/>
        <v>58.910793544105701</v>
      </c>
    </row>
    <row r="60" spans="1:17" x14ac:dyDescent="0.45">
      <c r="A60">
        <v>105</v>
      </c>
      <c r="B60">
        <v>0</v>
      </c>
      <c r="C60">
        <v>0</v>
      </c>
      <c r="D60">
        <v>9.5265545352612815</v>
      </c>
      <c r="E60">
        <v>100</v>
      </c>
      <c r="F60">
        <v>100</v>
      </c>
      <c r="G60">
        <v>100</v>
      </c>
      <c r="H60">
        <v>100</v>
      </c>
      <c r="I60">
        <v>50</v>
      </c>
      <c r="J60">
        <v>55.955120828538554</v>
      </c>
      <c r="K60">
        <v>100</v>
      </c>
      <c r="L60">
        <v>50.21386420913457</v>
      </c>
      <c r="M60">
        <f t="shared" si="0"/>
        <v>-66.002929586010197</v>
      </c>
      <c r="N60">
        <f t="shared" si="1"/>
        <v>-63.75081573158328</v>
      </c>
      <c r="O60">
        <f t="shared" si="2"/>
        <v>-64.064132231918833</v>
      </c>
      <c r="Q60">
        <f t="shared" si="3"/>
        <v>24.014935239654879</v>
      </c>
    </row>
    <row r="61" spans="1:17" x14ac:dyDescent="0.45">
      <c r="A61">
        <v>106</v>
      </c>
      <c r="B61">
        <v>0</v>
      </c>
      <c r="C61">
        <v>0</v>
      </c>
      <c r="D61">
        <v>9.1917312325988156</v>
      </c>
      <c r="E61">
        <v>100</v>
      </c>
      <c r="F61">
        <v>100</v>
      </c>
      <c r="G61">
        <v>100</v>
      </c>
      <c r="H61">
        <v>100</v>
      </c>
      <c r="I61">
        <v>33.333333333333329</v>
      </c>
      <c r="J61">
        <v>70.0517836593786</v>
      </c>
      <c r="K61">
        <v>100</v>
      </c>
      <c r="L61">
        <v>50.21386420913457</v>
      </c>
      <c r="M61">
        <f t="shared" si="0"/>
        <v>-66.068845201080904</v>
      </c>
      <c r="N61">
        <f t="shared" si="1"/>
        <v>-63.821097883773689</v>
      </c>
      <c r="O61">
        <f t="shared" si="2"/>
        <v>-64.133806906771341</v>
      </c>
      <c r="Q61">
        <f t="shared" si="3"/>
        <v>23.949019624584171</v>
      </c>
    </row>
    <row r="62" spans="1:17" x14ac:dyDescent="0.45">
      <c r="A62">
        <v>107</v>
      </c>
      <c r="B62">
        <v>0</v>
      </c>
      <c r="C62">
        <v>0</v>
      </c>
      <c r="D62">
        <v>8.1207667392079923</v>
      </c>
      <c r="E62">
        <v>33.333333333333329</v>
      </c>
      <c r="F62">
        <v>0</v>
      </c>
      <c r="G62">
        <v>0</v>
      </c>
      <c r="H62">
        <v>100</v>
      </c>
      <c r="I62">
        <v>50</v>
      </c>
      <c r="J62">
        <v>10.040276179516686</v>
      </c>
      <c r="K62">
        <v>0</v>
      </c>
      <c r="L62">
        <v>15.877460047443021</v>
      </c>
      <c r="M62">
        <f t="shared" si="0"/>
        <v>-21.550457661039776</v>
      </c>
      <c r="N62">
        <f t="shared" si="1"/>
        <v>-22.978053735544375</v>
      </c>
      <c r="O62">
        <f t="shared" si="2"/>
        <v>-22.779445035066228</v>
      </c>
      <c r="Q62">
        <f t="shared" si="3"/>
        <v>68.4674071646253</v>
      </c>
    </row>
    <row r="63" spans="1:17" x14ac:dyDescent="0.45">
      <c r="A63">
        <v>108</v>
      </c>
      <c r="B63">
        <v>0</v>
      </c>
      <c r="C63">
        <v>0</v>
      </c>
      <c r="D63">
        <v>6.9089301562132679</v>
      </c>
      <c r="E63">
        <v>100</v>
      </c>
      <c r="F63">
        <v>100</v>
      </c>
      <c r="G63">
        <v>100</v>
      </c>
      <c r="H63">
        <v>75</v>
      </c>
      <c r="I63">
        <v>50</v>
      </c>
      <c r="J63">
        <v>38.23360184119678</v>
      </c>
      <c r="K63">
        <v>0</v>
      </c>
      <c r="L63">
        <v>49.329379651912632</v>
      </c>
      <c r="M63">
        <f t="shared" si="0"/>
        <v>-55.293734445989912</v>
      </c>
      <c r="N63">
        <f t="shared" si="1"/>
        <v>-58.956631980760235</v>
      </c>
      <c r="O63">
        <f t="shared" si="2"/>
        <v>-52.744209198315829</v>
      </c>
      <c r="Q63">
        <f t="shared" si="3"/>
        <v>34.724130379675167</v>
      </c>
    </row>
    <row r="64" spans="1:17" x14ac:dyDescent="0.45">
      <c r="A64">
        <v>109</v>
      </c>
      <c r="B64">
        <v>0</v>
      </c>
      <c r="C64">
        <v>0</v>
      </c>
      <c r="D64">
        <v>7.3848941337760596</v>
      </c>
      <c r="E64">
        <v>100</v>
      </c>
      <c r="F64">
        <v>100</v>
      </c>
      <c r="G64">
        <v>100</v>
      </c>
      <c r="H64">
        <v>75</v>
      </c>
      <c r="I64">
        <v>33.333333333333329</v>
      </c>
      <c r="J64">
        <v>9.6950517836593786</v>
      </c>
      <c r="K64">
        <v>0</v>
      </c>
      <c r="L64">
        <v>49.329379651912632</v>
      </c>
      <c r="M64">
        <f t="shared" si="0"/>
        <v>-49.852892836979862</v>
      </c>
      <c r="N64">
        <f t="shared" si="1"/>
        <v>-53.155365352235812</v>
      </c>
      <c r="O64">
        <f t="shared" si="2"/>
        <v>-46.993085285944773</v>
      </c>
      <c r="Q64">
        <f t="shared" si="3"/>
        <v>40.164971988685217</v>
      </c>
    </row>
    <row r="65" spans="1:17" x14ac:dyDescent="0.45">
      <c r="A65">
        <v>110</v>
      </c>
      <c r="B65">
        <v>0</v>
      </c>
      <c r="C65">
        <v>0</v>
      </c>
      <c r="D65">
        <v>6.9089301562132679</v>
      </c>
      <c r="E65">
        <v>100</v>
      </c>
      <c r="F65">
        <v>100</v>
      </c>
      <c r="G65">
        <v>100</v>
      </c>
      <c r="H65">
        <v>75</v>
      </c>
      <c r="I65">
        <v>50</v>
      </c>
      <c r="J65">
        <v>8.4867663981588031</v>
      </c>
      <c r="K65">
        <v>0</v>
      </c>
      <c r="L65">
        <v>49.329379651912632</v>
      </c>
      <c r="M65">
        <f t="shared" si="0"/>
        <v>-51.508106014536949</v>
      </c>
      <c r="N65">
        <f t="shared" si="1"/>
        <v>-54.920227051968858</v>
      </c>
      <c r="O65">
        <f t="shared" si="2"/>
        <v>-48.742692565406131</v>
      </c>
      <c r="Q65">
        <f t="shared" si="3"/>
        <v>38.50975881112813</v>
      </c>
    </row>
    <row r="66" spans="1:17" x14ac:dyDescent="0.45">
      <c r="A66">
        <v>111</v>
      </c>
      <c r="B66">
        <v>0</v>
      </c>
      <c r="C66">
        <v>0</v>
      </c>
      <c r="D66">
        <v>7.3848941337760596</v>
      </c>
      <c r="E66">
        <v>66.666666666666657</v>
      </c>
      <c r="F66">
        <v>100</v>
      </c>
      <c r="G66">
        <v>100</v>
      </c>
      <c r="H66">
        <v>75</v>
      </c>
      <c r="I66">
        <v>50</v>
      </c>
      <c r="J66">
        <v>24.108170310701958</v>
      </c>
      <c r="K66">
        <v>0</v>
      </c>
      <c r="L66">
        <v>49.329379651912632</v>
      </c>
      <c r="M66">
        <f t="shared" si="0"/>
        <v>-50.676503535761277</v>
      </c>
      <c r="N66">
        <f t="shared" si="1"/>
        <v>-54.033535606966979</v>
      </c>
      <c r="O66">
        <f t="shared" si="2"/>
        <v>-47.863665156603467</v>
      </c>
      <c r="Q66">
        <f t="shared" si="3"/>
        <v>39.341361289903801</v>
      </c>
    </row>
    <row r="67" spans="1:17" x14ac:dyDescent="0.45">
      <c r="A67">
        <v>112</v>
      </c>
      <c r="B67">
        <v>0</v>
      </c>
      <c r="C67">
        <v>0</v>
      </c>
      <c r="D67">
        <v>6.9089301562132679</v>
      </c>
      <c r="E67">
        <v>100</v>
      </c>
      <c r="F67">
        <v>0</v>
      </c>
      <c r="G67">
        <v>100</v>
      </c>
      <c r="H67">
        <v>100</v>
      </c>
      <c r="I67">
        <v>50</v>
      </c>
      <c r="J67">
        <v>24.510932105868815</v>
      </c>
      <c r="K67">
        <v>100</v>
      </c>
      <c r="L67">
        <v>64.864657732843227</v>
      </c>
      <c r="M67">
        <f t="shared" si="0"/>
        <v>-52.644185541344605</v>
      </c>
      <c r="N67">
        <f t="shared" si="1"/>
        <v>-49.507130361845327</v>
      </c>
      <c r="O67">
        <f t="shared" si="2"/>
        <v>-49.943560850591794</v>
      </c>
      <c r="Q67">
        <f t="shared" si="3"/>
        <v>37.373679284320474</v>
      </c>
    </row>
    <row r="68" spans="1:17" x14ac:dyDescent="0.45">
      <c r="A68">
        <v>113</v>
      </c>
      <c r="B68">
        <v>0</v>
      </c>
      <c r="C68">
        <v>0</v>
      </c>
      <c r="D68">
        <v>6.9198596773709831</v>
      </c>
      <c r="E68">
        <v>100</v>
      </c>
      <c r="F68">
        <v>100</v>
      </c>
      <c r="G68">
        <v>100</v>
      </c>
      <c r="H68">
        <v>75</v>
      </c>
      <c r="I68">
        <v>66.666666666666657</v>
      </c>
      <c r="J68">
        <v>23.158803222094363</v>
      </c>
      <c r="K68">
        <v>0</v>
      </c>
      <c r="L68">
        <v>64.683369946652491</v>
      </c>
      <c r="M68">
        <f t="shared" si="0"/>
        <v>-58.89022815629378</v>
      </c>
      <c r="N68">
        <f t="shared" si="1"/>
        <v>-62.791373081609898</v>
      </c>
      <c r="O68">
        <f t="shared" si="2"/>
        <v>-56.545805066088946</v>
      </c>
      <c r="Q68">
        <f t="shared" si="3"/>
        <v>31.127636669371295</v>
      </c>
    </row>
    <row r="69" spans="1:17" x14ac:dyDescent="0.45">
      <c r="A69">
        <v>116</v>
      </c>
      <c r="B69">
        <v>0</v>
      </c>
      <c r="C69">
        <v>0</v>
      </c>
      <c r="D69">
        <v>5.9453434149573319</v>
      </c>
      <c r="E69">
        <v>100</v>
      </c>
      <c r="F69">
        <v>100</v>
      </c>
      <c r="G69">
        <v>100</v>
      </c>
      <c r="H69">
        <v>75</v>
      </c>
      <c r="I69">
        <v>50</v>
      </c>
      <c r="J69">
        <v>15.794016110471807</v>
      </c>
      <c r="K69">
        <v>0</v>
      </c>
      <c r="L69">
        <v>65.979663005996599</v>
      </c>
      <c r="M69">
        <f t="shared" si="0"/>
        <v>-56.605767764827981</v>
      </c>
      <c r="N69">
        <f t="shared" si="1"/>
        <v>-60.355580094868699</v>
      </c>
      <c r="O69">
        <f t="shared" si="2"/>
        <v>-54.131065632677291</v>
      </c>
      <c r="Q69">
        <f t="shared" si="3"/>
        <v>33.412097060837098</v>
      </c>
    </row>
    <row r="70" spans="1:17" x14ac:dyDescent="0.45">
      <c r="A70">
        <v>117</v>
      </c>
      <c r="B70">
        <v>0</v>
      </c>
      <c r="C70">
        <v>0</v>
      </c>
      <c r="D70">
        <v>6.0042402344057981</v>
      </c>
      <c r="E70">
        <v>100</v>
      </c>
      <c r="F70">
        <v>100</v>
      </c>
      <c r="G70">
        <v>100</v>
      </c>
      <c r="H70">
        <v>75</v>
      </c>
      <c r="I70">
        <v>50</v>
      </c>
      <c r="J70">
        <v>13.291139240506327</v>
      </c>
      <c r="K70">
        <v>0</v>
      </c>
      <c r="L70">
        <v>60.565091817773279</v>
      </c>
      <c r="M70">
        <f t="shared" si="0"/>
        <v>-54.957327422847449</v>
      </c>
      <c r="N70">
        <f t="shared" si="1"/>
        <v>-58.59793989280719</v>
      </c>
      <c r="O70">
        <f t="shared" si="2"/>
        <v>-52.388617432534531</v>
      </c>
      <c r="Q70">
        <f t="shared" si="3"/>
        <v>35.06053740281763</v>
      </c>
    </row>
    <row r="71" spans="1:17" x14ac:dyDescent="0.45">
      <c r="A71">
        <v>118</v>
      </c>
      <c r="B71">
        <v>0</v>
      </c>
      <c r="C71">
        <v>0</v>
      </c>
      <c r="D71">
        <v>6.1876167742384869</v>
      </c>
      <c r="E71">
        <v>100</v>
      </c>
      <c r="F71">
        <v>100</v>
      </c>
      <c r="G71">
        <v>100</v>
      </c>
      <c r="H71">
        <v>75</v>
      </c>
      <c r="I71">
        <v>50</v>
      </c>
      <c r="J71">
        <v>13.003452243958574</v>
      </c>
      <c r="K71">
        <v>0</v>
      </c>
      <c r="L71">
        <v>60.565091817773279</v>
      </c>
      <c r="M71">
        <f t="shared" si="0"/>
        <v>-54.902411035228965</v>
      </c>
      <c r="N71">
        <f t="shared" si="1"/>
        <v>-58.539385604749512</v>
      </c>
      <c r="O71">
        <f t="shared" si="2"/>
        <v>-52.330569253096513</v>
      </c>
      <c r="Q71">
        <f t="shared" si="3"/>
        <v>35.115453790436113</v>
      </c>
    </row>
    <row r="72" spans="1:17" x14ac:dyDescent="0.45">
      <c r="A72">
        <v>119</v>
      </c>
      <c r="B72">
        <v>0</v>
      </c>
      <c r="C72">
        <v>0</v>
      </c>
      <c r="D72">
        <v>6.0319571370129523</v>
      </c>
      <c r="E72">
        <v>100</v>
      </c>
      <c r="F72">
        <v>100</v>
      </c>
      <c r="G72">
        <v>100</v>
      </c>
      <c r="H72">
        <v>75</v>
      </c>
      <c r="I72">
        <v>33.333333333333329</v>
      </c>
      <c r="J72">
        <v>13.34867663981588</v>
      </c>
      <c r="K72">
        <v>0</v>
      </c>
      <c r="L72">
        <v>60.565091817773279</v>
      </c>
      <c r="M72">
        <f t="shared" ref="M72:M135" si="4">D72*D$1+E72*E$1+F72*F$1+G72*G$1+H72*H$1+I72*I$1+J72*J$1+K72*K$1+L72*L$1</f>
        <v>-53.200412900089987</v>
      </c>
      <c r="N72">
        <f t="shared" ref="N72:N135" si="5">D72*D$2+E72*E$2+F72*F$2+G72*G$2+H72*H$2+I72*I$2+J72*J$2+L72*L$2</f>
        <v>-56.724639708298199</v>
      </c>
      <c r="O72">
        <f t="shared" ref="O72:O135" si="6">D72*D$3+E72*E$3+F72*F$3+H72*H$3+I72*I$3+J72*J$3+K72*K$3+L72*L$3</f>
        <v>-50.531508946397068</v>
      </c>
      <c r="Q72">
        <f t="shared" ref="Q72:Q135" si="7">(M72-$R$3)/($R$2-$R$3)*100</f>
        <v>36.817451925575092</v>
      </c>
    </row>
    <row r="73" spans="1:17" x14ac:dyDescent="0.45">
      <c r="A73">
        <v>120</v>
      </c>
      <c r="B73">
        <v>0</v>
      </c>
      <c r="C73">
        <v>0</v>
      </c>
      <c r="D73">
        <v>6.0319571370129523</v>
      </c>
      <c r="E73">
        <v>100</v>
      </c>
      <c r="F73">
        <v>100</v>
      </c>
      <c r="G73">
        <v>100</v>
      </c>
      <c r="H73">
        <v>75</v>
      </c>
      <c r="I73">
        <v>33.333333333333329</v>
      </c>
      <c r="J73">
        <v>12.83084004602992</v>
      </c>
      <c r="K73">
        <v>0</v>
      </c>
      <c r="L73">
        <v>49.674389988029844</v>
      </c>
      <c r="M73">
        <f t="shared" si="4"/>
        <v>-50.471376519419096</v>
      </c>
      <c r="N73">
        <f t="shared" si="5"/>
        <v>-53.814820084621324</v>
      </c>
      <c r="O73">
        <f t="shared" si="6"/>
        <v>-47.64684008181996</v>
      </c>
      <c r="Q73">
        <f t="shared" si="7"/>
        <v>39.546488306245983</v>
      </c>
    </row>
    <row r="74" spans="1:17" x14ac:dyDescent="0.45">
      <c r="A74">
        <v>121</v>
      </c>
      <c r="B74">
        <v>0</v>
      </c>
      <c r="C74">
        <v>0</v>
      </c>
      <c r="D74">
        <v>6.1876167742384869</v>
      </c>
      <c r="E74">
        <v>100</v>
      </c>
      <c r="F74">
        <v>100</v>
      </c>
      <c r="G74">
        <v>100</v>
      </c>
      <c r="H74">
        <v>75</v>
      </c>
      <c r="I74">
        <v>50</v>
      </c>
      <c r="J74">
        <v>27.675489067894134</v>
      </c>
      <c r="K74">
        <v>0</v>
      </c>
      <c r="L74">
        <v>49.674389988029844</v>
      </c>
      <c r="M74">
        <f t="shared" si="4"/>
        <v>-54.106461513172356</v>
      </c>
      <c r="N74">
        <f t="shared" si="5"/>
        <v>-57.690708923434187</v>
      </c>
      <c r="O74">
        <f t="shared" si="6"/>
        <v>-51.489228030856268</v>
      </c>
      <c r="Q74">
        <f t="shared" si="7"/>
        <v>35.911403312492723</v>
      </c>
    </row>
    <row r="75" spans="1:17" x14ac:dyDescent="0.45">
      <c r="A75">
        <v>122</v>
      </c>
      <c r="B75">
        <v>0</v>
      </c>
      <c r="C75">
        <v>0</v>
      </c>
      <c r="D75">
        <v>6.5223177198641489</v>
      </c>
      <c r="E75">
        <v>100</v>
      </c>
      <c r="F75">
        <v>100</v>
      </c>
      <c r="G75">
        <v>100</v>
      </c>
      <c r="H75">
        <v>75</v>
      </c>
      <c r="I75">
        <v>66.666666666666657</v>
      </c>
      <c r="J75">
        <v>17.232451093210589</v>
      </c>
      <c r="K75">
        <v>0</v>
      </c>
      <c r="L75">
        <v>47.252146002722725</v>
      </c>
      <c r="M75">
        <f t="shared" si="4"/>
        <v>-53.913205557702838</v>
      </c>
      <c r="N75">
        <f t="shared" si="5"/>
        <v>-57.48465085268051</v>
      </c>
      <c r="O75">
        <f t="shared" si="6"/>
        <v>-51.284951004142549</v>
      </c>
      <c r="Q75">
        <f t="shared" si="7"/>
        <v>36.104659267962241</v>
      </c>
    </row>
    <row r="76" spans="1:17" x14ac:dyDescent="0.45">
      <c r="A76">
        <v>123</v>
      </c>
      <c r="B76">
        <v>0</v>
      </c>
      <c r="C76">
        <v>0</v>
      </c>
      <c r="D76">
        <v>12.740317652158078</v>
      </c>
      <c r="E76">
        <v>100</v>
      </c>
      <c r="F76">
        <v>0</v>
      </c>
      <c r="G76">
        <v>100</v>
      </c>
      <c r="H76">
        <v>100</v>
      </c>
      <c r="I76">
        <v>33.333333333333329</v>
      </c>
      <c r="J76">
        <v>35.35673187571922</v>
      </c>
      <c r="K76">
        <v>100</v>
      </c>
      <c r="L76">
        <v>76.677766068669996</v>
      </c>
      <c r="M76">
        <f t="shared" si="4"/>
        <v>-54.56956627962817</v>
      </c>
      <c r="N76">
        <f t="shared" si="5"/>
        <v>-51.560056696938638</v>
      </c>
      <c r="O76">
        <f t="shared" si="6"/>
        <v>-51.978742905151911</v>
      </c>
      <c r="Q76">
        <f t="shared" si="7"/>
        <v>35.448298546036902</v>
      </c>
    </row>
    <row r="77" spans="1:17" x14ac:dyDescent="0.45">
      <c r="A77">
        <v>124</v>
      </c>
      <c r="B77">
        <v>0</v>
      </c>
      <c r="C77">
        <v>0</v>
      </c>
      <c r="D77">
        <v>13.490934642705401</v>
      </c>
      <c r="E77">
        <v>33.333333333333329</v>
      </c>
      <c r="F77">
        <v>0</v>
      </c>
      <c r="G77">
        <v>100</v>
      </c>
      <c r="H77">
        <v>100</v>
      </c>
      <c r="I77">
        <v>50</v>
      </c>
      <c r="J77">
        <v>42.836593785960872</v>
      </c>
      <c r="K77">
        <v>100</v>
      </c>
      <c r="L77">
        <v>76.808945489481403</v>
      </c>
      <c r="M77">
        <f t="shared" si="4"/>
        <v>-51.695894865240625</v>
      </c>
      <c r="N77">
        <f t="shared" si="5"/>
        <v>-48.496020785651694</v>
      </c>
      <c r="O77">
        <f t="shared" si="6"/>
        <v>-48.941190707305751</v>
      </c>
      <c r="Q77">
        <f t="shared" si="7"/>
        <v>38.321969960424454</v>
      </c>
    </row>
    <row r="78" spans="1:17" x14ac:dyDescent="0.45">
      <c r="A78">
        <v>125</v>
      </c>
      <c r="B78">
        <v>1</v>
      </c>
      <c r="C78">
        <v>0</v>
      </c>
      <c r="D78">
        <v>14.686505620841658</v>
      </c>
      <c r="E78">
        <v>66.666666666666657</v>
      </c>
      <c r="F78">
        <v>0</v>
      </c>
      <c r="G78">
        <v>100</v>
      </c>
      <c r="H78">
        <v>100</v>
      </c>
      <c r="I78">
        <v>33.333333333333329</v>
      </c>
      <c r="J78">
        <v>13.780207134637514</v>
      </c>
      <c r="K78">
        <v>33.333333333333329</v>
      </c>
      <c r="L78">
        <v>73.357947157531129</v>
      </c>
      <c r="M78">
        <f t="shared" si="4"/>
        <v>-43.903620965763054</v>
      </c>
      <c r="N78">
        <f t="shared" si="5"/>
        <v>-44.603842806421312</v>
      </c>
      <c r="O78">
        <f t="shared" si="6"/>
        <v>-40.704536164593534</v>
      </c>
      <c r="Q78">
        <f t="shared" si="7"/>
        <v>46.114243859902025</v>
      </c>
    </row>
    <row r="79" spans="1:17" x14ac:dyDescent="0.45">
      <c r="A79">
        <v>126</v>
      </c>
      <c r="B79">
        <v>1</v>
      </c>
      <c r="C79">
        <v>0</v>
      </c>
      <c r="D79">
        <v>14.212765858602468</v>
      </c>
      <c r="E79">
        <v>66.666666666666657</v>
      </c>
      <c r="F79">
        <v>0</v>
      </c>
      <c r="G79">
        <v>100</v>
      </c>
      <c r="H79">
        <v>100</v>
      </c>
      <c r="I79">
        <v>50</v>
      </c>
      <c r="J79">
        <v>14.499424626006904</v>
      </c>
      <c r="K79">
        <v>33.333333333333329</v>
      </c>
      <c r="L79">
        <v>74.597825739679564</v>
      </c>
      <c r="M79">
        <f t="shared" si="4"/>
        <v>-46.107100321196704</v>
      </c>
      <c r="N79">
        <f t="shared" si="5"/>
        <v>-46.953290220981415</v>
      </c>
      <c r="O79">
        <f t="shared" si="6"/>
        <v>-43.033676345859732</v>
      </c>
      <c r="Q79">
        <f t="shared" si="7"/>
        <v>43.910764504468375</v>
      </c>
    </row>
    <row r="80" spans="1:17" x14ac:dyDescent="0.45">
      <c r="A80">
        <v>127</v>
      </c>
      <c r="B80">
        <v>0</v>
      </c>
      <c r="C80">
        <v>0</v>
      </c>
      <c r="D80">
        <v>14.212765858602468</v>
      </c>
      <c r="E80">
        <v>66.666666666666657</v>
      </c>
      <c r="F80">
        <v>100</v>
      </c>
      <c r="G80">
        <v>100</v>
      </c>
      <c r="H80">
        <v>100</v>
      </c>
      <c r="I80">
        <v>33.333333333333329</v>
      </c>
      <c r="J80">
        <v>12.341772151898734</v>
      </c>
      <c r="K80">
        <v>33.333333333333329</v>
      </c>
      <c r="L80">
        <v>74.597825739679564</v>
      </c>
      <c r="M80">
        <f t="shared" si="4"/>
        <v>-57.272048733687491</v>
      </c>
      <c r="N80">
        <f t="shared" si="5"/>
        <v>-58.857853391377503</v>
      </c>
      <c r="O80">
        <f t="shared" si="6"/>
        <v>-54.835343516087832</v>
      </c>
      <c r="Q80">
        <f t="shared" si="7"/>
        <v>32.745816091977588</v>
      </c>
    </row>
    <row r="81" spans="1:17" x14ac:dyDescent="0.45">
      <c r="A81">
        <v>129</v>
      </c>
      <c r="B81">
        <v>0</v>
      </c>
      <c r="C81">
        <v>0</v>
      </c>
      <c r="D81">
        <v>14.534280209457343</v>
      </c>
      <c r="E81">
        <v>66.666666666666657</v>
      </c>
      <c r="F81">
        <v>0</v>
      </c>
      <c r="G81">
        <v>100</v>
      </c>
      <c r="H81">
        <v>100</v>
      </c>
      <c r="I81">
        <v>66.666666666666657</v>
      </c>
      <c r="J81">
        <v>14.2692750287687</v>
      </c>
      <c r="K81">
        <v>33.333333333333329</v>
      </c>
      <c r="L81">
        <v>63.946405271044398</v>
      </c>
      <c r="M81">
        <f t="shared" si="4"/>
        <v>-45.202563702256462</v>
      </c>
      <c r="N81">
        <f t="shared" si="5"/>
        <v>-45.988833161057727</v>
      </c>
      <c r="O81">
        <f t="shared" si="6"/>
        <v>-42.077555482097083</v>
      </c>
      <c r="Q81">
        <f t="shared" si="7"/>
        <v>44.815301123408616</v>
      </c>
    </row>
    <row r="82" spans="1:17" x14ac:dyDescent="0.45">
      <c r="A82">
        <v>131</v>
      </c>
      <c r="B82">
        <v>1</v>
      </c>
      <c r="C82">
        <v>0</v>
      </c>
      <c r="D82">
        <v>14.911820827780966</v>
      </c>
      <c r="E82">
        <v>100</v>
      </c>
      <c r="F82">
        <v>100</v>
      </c>
      <c r="G82">
        <v>100</v>
      </c>
      <c r="H82">
        <v>100</v>
      </c>
      <c r="I82">
        <v>66.666666666666657</v>
      </c>
      <c r="J82">
        <v>18.757192174913694</v>
      </c>
      <c r="K82">
        <v>33.333333333333329</v>
      </c>
      <c r="L82">
        <v>66.596608951629094</v>
      </c>
      <c r="M82">
        <f t="shared" si="4"/>
        <v>-62.357178477434921</v>
      </c>
      <c r="N82">
        <f t="shared" si="5"/>
        <v>-64.279844253097593</v>
      </c>
      <c r="O82">
        <f t="shared" si="6"/>
        <v>-60.210469896967041</v>
      </c>
      <c r="Q82">
        <f t="shared" si="7"/>
        <v>27.660686348230158</v>
      </c>
    </row>
    <row r="83" spans="1:17" x14ac:dyDescent="0.45">
      <c r="A83">
        <v>133</v>
      </c>
      <c r="B83">
        <v>1</v>
      </c>
      <c r="C83">
        <v>0</v>
      </c>
      <c r="D83">
        <v>10.574568055491534</v>
      </c>
      <c r="E83">
        <v>100</v>
      </c>
      <c r="F83">
        <v>0</v>
      </c>
      <c r="G83">
        <v>100</v>
      </c>
      <c r="H83">
        <v>100</v>
      </c>
      <c r="I83">
        <v>50</v>
      </c>
      <c r="J83">
        <v>20.310701956271576</v>
      </c>
      <c r="K83">
        <v>66.666666666666657</v>
      </c>
      <c r="L83">
        <v>84.28159736719229</v>
      </c>
      <c r="M83">
        <f t="shared" si="4"/>
        <v>-54.420874879517513</v>
      </c>
      <c r="N83">
        <f t="shared" si="5"/>
        <v>-53.609660354076595</v>
      </c>
      <c r="O83">
        <f t="shared" si="6"/>
        <v>-51.821571877543938</v>
      </c>
      <c r="Q83">
        <f t="shared" si="7"/>
        <v>35.596989946147566</v>
      </c>
    </row>
    <row r="84" spans="1:17" x14ac:dyDescent="0.45">
      <c r="A84">
        <v>134</v>
      </c>
      <c r="B84">
        <v>0</v>
      </c>
      <c r="C84">
        <v>0</v>
      </c>
      <c r="D84">
        <v>11.793949019176821</v>
      </c>
      <c r="E84">
        <v>66.666666666666657</v>
      </c>
      <c r="F84">
        <v>100</v>
      </c>
      <c r="G84">
        <v>100</v>
      </c>
      <c r="H84">
        <v>100</v>
      </c>
      <c r="I84">
        <v>33.333333333333329</v>
      </c>
      <c r="J84">
        <v>7.5661680092059838</v>
      </c>
      <c r="K84">
        <v>66.666666666666657</v>
      </c>
      <c r="L84">
        <v>62.465013888640485</v>
      </c>
      <c r="M84">
        <f t="shared" si="4"/>
        <v>-56.009830853438444</v>
      </c>
      <c r="N84">
        <f t="shared" si="5"/>
        <v>-55.303875684741094</v>
      </c>
      <c r="O84">
        <f t="shared" si="6"/>
        <v>-53.501143413349808</v>
      </c>
      <c r="Q84">
        <f t="shared" si="7"/>
        <v>34.008033972226634</v>
      </c>
    </row>
    <row r="85" spans="1:17" x14ac:dyDescent="0.45">
      <c r="A85">
        <v>135</v>
      </c>
      <c r="B85">
        <v>0</v>
      </c>
      <c r="C85">
        <v>0</v>
      </c>
      <c r="D85">
        <v>11.833783517276657</v>
      </c>
      <c r="E85">
        <v>100</v>
      </c>
      <c r="F85">
        <v>100</v>
      </c>
      <c r="G85">
        <v>100</v>
      </c>
      <c r="H85">
        <v>100</v>
      </c>
      <c r="I85">
        <v>50</v>
      </c>
      <c r="J85">
        <v>3.5960874568469503</v>
      </c>
      <c r="K85">
        <v>0</v>
      </c>
      <c r="L85">
        <v>66.336143318776024</v>
      </c>
      <c r="M85">
        <f t="shared" si="4"/>
        <v>-56.838888200955353</v>
      </c>
      <c r="N85">
        <f t="shared" si="5"/>
        <v>-60.604143442916396</v>
      </c>
      <c r="O85">
        <f t="shared" si="6"/>
        <v>-54.377480546218294</v>
      </c>
      <c r="Q85">
        <f t="shared" si="7"/>
        <v>33.178976624709719</v>
      </c>
    </row>
    <row r="86" spans="1:17" x14ac:dyDescent="0.45">
      <c r="A86">
        <v>136</v>
      </c>
      <c r="B86">
        <v>0</v>
      </c>
      <c r="C86">
        <v>0</v>
      </c>
      <c r="D86">
        <v>15.270677632011104</v>
      </c>
      <c r="E86">
        <v>66.666666666666657</v>
      </c>
      <c r="F86">
        <v>0</v>
      </c>
      <c r="G86">
        <v>0</v>
      </c>
      <c r="H86">
        <v>75</v>
      </c>
      <c r="I86">
        <v>83.333333333333343</v>
      </c>
      <c r="J86">
        <v>32.479861910241659</v>
      </c>
      <c r="K86">
        <v>33.333333333333329</v>
      </c>
      <c r="L86">
        <v>47.148413013418349</v>
      </c>
      <c r="M86">
        <f t="shared" si="4"/>
        <v>-37.41914211944146</v>
      </c>
      <c r="N86">
        <f t="shared" si="5"/>
        <v>-37.689803869459396</v>
      </c>
      <c r="O86">
        <f t="shared" si="6"/>
        <v>-39.553094629175597</v>
      </c>
      <c r="Q86">
        <f t="shared" si="7"/>
        <v>52.598722706223619</v>
      </c>
    </row>
    <row r="87" spans="1:17" x14ac:dyDescent="0.45">
      <c r="A87">
        <v>139</v>
      </c>
      <c r="B87">
        <v>0</v>
      </c>
      <c r="C87">
        <v>0</v>
      </c>
      <c r="D87">
        <v>17.794838689854583</v>
      </c>
      <c r="E87">
        <v>100</v>
      </c>
      <c r="F87">
        <v>0</v>
      </c>
      <c r="G87">
        <v>100</v>
      </c>
      <c r="H87">
        <v>100</v>
      </c>
      <c r="I87">
        <v>33.333333333333329</v>
      </c>
      <c r="J87">
        <v>22.094361334867664</v>
      </c>
      <c r="K87">
        <v>0</v>
      </c>
      <c r="L87">
        <v>36.47098475847929</v>
      </c>
      <c r="M87">
        <f t="shared" si="4"/>
        <v>-36.332475870095259</v>
      </c>
      <c r="N87">
        <f t="shared" si="5"/>
        <v>-38.73929714252472</v>
      </c>
      <c r="O87">
        <f t="shared" si="6"/>
        <v>-32.701621039915167</v>
      </c>
      <c r="Q87">
        <f t="shared" si="7"/>
        <v>53.68538895556982</v>
      </c>
    </row>
    <row r="88" spans="1:17" x14ac:dyDescent="0.45">
      <c r="A88">
        <v>140</v>
      </c>
      <c r="B88">
        <v>0</v>
      </c>
      <c r="C88">
        <v>0</v>
      </c>
      <c r="D88">
        <v>18.249550762620771</v>
      </c>
      <c r="E88">
        <v>66.666666666666657</v>
      </c>
      <c r="F88">
        <v>0</v>
      </c>
      <c r="G88">
        <v>100</v>
      </c>
      <c r="H88">
        <v>75</v>
      </c>
      <c r="I88">
        <v>16.666666666666664</v>
      </c>
      <c r="J88">
        <v>44.99424626006904</v>
      </c>
      <c r="K88">
        <v>66.666666666666657</v>
      </c>
      <c r="L88">
        <v>36.47098475847929</v>
      </c>
      <c r="M88">
        <f t="shared" si="4"/>
        <v>-36.523638654776114</v>
      </c>
      <c r="N88">
        <f t="shared" si="5"/>
        <v>-34.526833336750173</v>
      </c>
      <c r="O88">
        <f t="shared" si="6"/>
        <v>-32.903685525731646</v>
      </c>
      <c r="Q88">
        <f t="shared" si="7"/>
        <v>53.494226170888972</v>
      </c>
    </row>
    <row r="89" spans="1:17" x14ac:dyDescent="0.45">
      <c r="A89">
        <v>141</v>
      </c>
      <c r="B89">
        <v>0</v>
      </c>
      <c r="C89">
        <v>0</v>
      </c>
      <c r="D89">
        <v>16.875925333706064</v>
      </c>
      <c r="E89">
        <v>100</v>
      </c>
      <c r="F89">
        <v>100</v>
      </c>
      <c r="G89">
        <v>100</v>
      </c>
      <c r="H89">
        <v>100</v>
      </c>
      <c r="I89">
        <v>50</v>
      </c>
      <c r="J89">
        <v>28.624856156501728</v>
      </c>
      <c r="K89">
        <v>0</v>
      </c>
      <c r="L89">
        <v>40.364288870594088</v>
      </c>
      <c r="M89">
        <f t="shared" si="4"/>
        <v>-53.16979995406556</v>
      </c>
      <c r="N89">
        <f t="shared" si="5"/>
        <v>-56.691998827542136</v>
      </c>
      <c r="O89">
        <f t="shared" si="6"/>
        <v>-50.499150194100793</v>
      </c>
      <c r="Q89">
        <f t="shared" si="7"/>
        <v>36.848064871599519</v>
      </c>
    </row>
    <row r="90" spans="1:17" x14ac:dyDescent="0.45">
      <c r="A90">
        <v>142</v>
      </c>
      <c r="B90">
        <v>0</v>
      </c>
      <c r="C90">
        <v>0</v>
      </c>
      <c r="D90">
        <v>17.030950579590577</v>
      </c>
      <c r="E90">
        <v>100</v>
      </c>
      <c r="F90">
        <v>0</v>
      </c>
      <c r="G90">
        <v>100</v>
      </c>
      <c r="H90">
        <v>100</v>
      </c>
      <c r="I90">
        <v>83.333333333333343</v>
      </c>
      <c r="J90">
        <v>17.433831990794015</v>
      </c>
      <c r="K90">
        <v>66.666666666666657</v>
      </c>
      <c r="L90">
        <v>36.769601968936499</v>
      </c>
      <c r="M90">
        <f t="shared" si="4"/>
        <v>-45.314965809120736</v>
      </c>
      <c r="N90">
        <f t="shared" si="5"/>
        <v>-43.900536250005828</v>
      </c>
      <c r="O90">
        <f t="shared" si="6"/>
        <v>-42.196367697383323</v>
      </c>
      <c r="Q90">
        <f t="shared" si="7"/>
        <v>44.702899016544343</v>
      </c>
    </row>
    <row r="91" spans="1:17" x14ac:dyDescent="0.45">
      <c r="A91">
        <v>143</v>
      </c>
      <c r="B91">
        <v>0</v>
      </c>
      <c r="C91">
        <v>0</v>
      </c>
      <c r="D91">
        <v>15.008328284929989</v>
      </c>
      <c r="E91">
        <v>100</v>
      </c>
      <c r="F91">
        <v>0</v>
      </c>
      <c r="G91">
        <v>100</v>
      </c>
      <c r="H91">
        <v>100</v>
      </c>
      <c r="I91">
        <v>66.666666666666657</v>
      </c>
      <c r="J91">
        <v>8.57307249712313</v>
      </c>
      <c r="K91">
        <v>0</v>
      </c>
      <c r="L91">
        <v>56.532300842314115</v>
      </c>
      <c r="M91">
        <f t="shared" si="4"/>
        <v>-43.318482331389504</v>
      </c>
      <c r="N91">
        <f t="shared" si="5"/>
        <v>-46.188087065658735</v>
      </c>
      <c r="O91">
        <f t="shared" si="6"/>
        <v>-40.086028030369384</v>
      </c>
      <c r="Q91">
        <f t="shared" si="7"/>
        <v>46.699382494275575</v>
      </c>
    </row>
    <row r="92" spans="1:17" x14ac:dyDescent="0.45">
      <c r="A92">
        <v>144</v>
      </c>
      <c r="B92">
        <v>0</v>
      </c>
      <c r="C92">
        <v>0</v>
      </c>
      <c r="D92">
        <v>18.055063692654809</v>
      </c>
      <c r="E92">
        <v>33.333333333333329</v>
      </c>
      <c r="F92">
        <v>0</v>
      </c>
      <c r="G92">
        <v>0</v>
      </c>
      <c r="H92">
        <v>75</v>
      </c>
      <c r="I92">
        <v>33.333333333333329</v>
      </c>
      <c r="J92">
        <v>13.377445339470656</v>
      </c>
      <c r="K92">
        <v>66.666666666666657</v>
      </c>
      <c r="L92">
        <v>34.525028341950055</v>
      </c>
      <c r="M92">
        <f t="shared" si="4"/>
        <v>-25.637814425827031</v>
      </c>
      <c r="N92">
        <f t="shared" si="5"/>
        <v>-22.919884750192203</v>
      </c>
      <c r="O92">
        <f t="shared" si="6"/>
        <v>-27.099897074955074</v>
      </c>
      <c r="Q92">
        <f t="shared" si="7"/>
        <v>64.380050399838055</v>
      </c>
    </row>
    <row r="93" spans="1:17" x14ac:dyDescent="0.45">
      <c r="A93">
        <v>145</v>
      </c>
      <c r="B93">
        <v>0</v>
      </c>
      <c r="C93">
        <v>0</v>
      </c>
      <c r="D93">
        <v>17.837929298620264</v>
      </c>
      <c r="E93">
        <v>66.666666666666657</v>
      </c>
      <c r="F93">
        <v>0</v>
      </c>
      <c r="G93">
        <v>100</v>
      </c>
      <c r="H93">
        <v>100</v>
      </c>
      <c r="I93">
        <v>100</v>
      </c>
      <c r="J93">
        <v>76.783659378596099</v>
      </c>
      <c r="K93">
        <v>66.666666666666657</v>
      </c>
      <c r="L93">
        <v>37.23535796007161</v>
      </c>
      <c r="M93">
        <f t="shared" si="4"/>
        <v>-51.890630788434031</v>
      </c>
      <c r="N93">
        <f t="shared" si="5"/>
        <v>-50.91180188613005</v>
      </c>
      <c r="O93">
        <f t="shared" si="6"/>
        <v>-49.147032101883489</v>
      </c>
      <c r="Q93">
        <f t="shared" si="7"/>
        <v>38.127234037231048</v>
      </c>
    </row>
    <row r="94" spans="1:17" x14ac:dyDescent="0.45">
      <c r="A94">
        <v>146</v>
      </c>
      <c r="B94">
        <v>0</v>
      </c>
      <c r="C94">
        <v>0</v>
      </c>
      <c r="D94">
        <v>18.012798857538261</v>
      </c>
      <c r="E94">
        <v>66.666666666666657</v>
      </c>
      <c r="F94">
        <v>0</v>
      </c>
      <c r="G94">
        <v>100</v>
      </c>
      <c r="H94">
        <v>100</v>
      </c>
      <c r="I94">
        <v>50</v>
      </c>
      <c r="J94">
        <v>8.8895281933256616</v>
      </c>
      <c r="K94">
        <v>33.333333333333329</v>
      </c>
      <c r="L94">
        <v>61.546417800135416</v>
      </c>
      <c r="M94">
        <f t="shared" si="4"/>
        <v>-41.822352186363922</v>
      </c>
      <c r="N94">
        <f t="shared" si="5"/>
        <v>-42.384701728150745</v>
      </c>
      <c r="O94">
        <f t="shared" si="6"/>
        <v>-38.504576028747657</v>
      </c>
      <c r="Q94">
        <f t="shared" si="7"/>
        <v>48.195512639301157</v>
      </c>
    </row>
    <row r="95" spans="1:17" x14ac:dyDescent="0.45">
      <c r="A95">
        <v>147</v>
      </c>
      <c r="B95">
        <v>0</v>
      </c>
      <c r="C95">
        <v>0</v>
      </c>
      <c r="D95">
        <v>19.929981302152235</v>
      </c>
      <c r="E95">
        <v>100</v>
      </c>
      <c r="F95">
        <v>0</v>
      </c>
      <c r="G95">
        <v>100</v>
      </c>
      <c r="H95">
        <v>100</v>
      </c>
      <c r="I95">
        <v>33.333333333333329</v>
      </c>
      <c r="J95">
        <v>5.1208285385500574</v>
      </c>
      <c r="K95">
        <v>33.333333333333329</v>
      </c>
      <c r="L95">
        <v>24.556154189018539</v>
      </c>
      <c r="M95">
        <f t="shared" si="4"/>
        <v>-33.116651886493017</v>
      </c>
      <c r="N95">
        <f t="shared" si="5"/>
        <v>-33.102297964743762</v>
      </c>
      <c r="O95">
        <f t="shared" si="6"/>
        <v>-29.302403871114659</v>
      </c>
      <c r="Q95">
        <f t="shared" si="7"/>
        <v>56.901212939172062</v>
      </c>
    </row>
    <row r="96" spans="1:17" x14ac:dyDescent="0.45">
      <c r="A96">
        <v>148</v>
      </c>
      <c r="B96">
        <v>0</v>
      </c>
      <c r="C96">
        <v>0</v>
      </c>
      <c r="D96">
        <v>20.211366496480668</v>
      </c>
      <c r="E96">
        <v>33.333333333333329</v>
      </c>
      <c r="F96">
        <v>0</v>
      </c>
      <c r="G96">
        <v>0</v>
      </c>
      <c r="H96">
        <v>100</v>
      </c>
      <c r="I96">
        <v>33.333333333333329</v>
      </c>
      <c r="J96">
        <v>33.601841196777904</v>
      </c>
      <c r="K96">
        <v>33.333333333333329</v>
      </c>
      <c r="L96">
        <v>24.594924369041745</v>
      </c>
      <c r="M96">
        <f t="shared" si="4"/>
        <v>-25.78323224582936</v>
      </c>
      <c r="N96">
        <f t="shared" si="5"/>
        <v>-25.283080701757072</v>
      </c>
      <c r="O96">
        <f t="shared" si="6"/>
        <v>-27.253607835532133</v>
      </c>
      <c r="Q96">
        <f t="shared" si="7"/>
        <v>64.234632579835719</v>
      </c>
    </row>
    <row r="97" spans="1:17" x14ac:dyDescent="0.45">
      <c r="A97">
        <v>149</v>
      </c>
      <c r="B97">
        <v>0</v>
      </c>
      <c r="C97">
        <v>0</v>
      </c>
      <c r="D97">
        <v>19.942400902715576</v>
      </c>
      <c r="E97">
        <v>33.333333333333329</v>
      </c>
      <c r="F97">
        <v>0</v>
      </c>
      <c r="G97">
        <v>0</v>
      </c>
      <c r="H97">
        <v>100</v>
      </c>
      <c r="I97">
        <v>33.333333333333329</v>
      </c>
      <c r="J97">
        <v>13.693901035673187</v>
      </c>
      <c r="K97">
        <v>0</v>
      </c>
      <c r="L97">
        <v>24.594924369041745</v>
      </c>
      <c r="M97">
        <f t="shared" si="4"/>
        <v>-21.205609508369893</v>
      </c>
      <c r="N97">
        <f t="shared" si="5"/>
        <v>-22.6103613409194</v>
      </c>
      <c r="O97">
        <f t="shared" si="6"/>
        <v>-22.414930755938446</v>
      </c>
      <c r="Q97">
        <f t="shared" si="7"/>
        <v>68.812255317295197</v>
      </c>
    </row>
    <row r="98" spans="1:17" x14ac:dyDescent="0.45">
      <c r="A98">
        <v>150</v>
      </c>
      <c r="B98">
        <v>0</v>
      </c>
      <c r="C98">
        <v>0</v>
      </c>
      <c r="D98">
        <v>20.462553335819724</v>
      </c>
      <c r="E98">
        <v>33.333333333333329</v>
      </c>
      <c r="F98">
        <v>0</v>
      </c>
      <c r="G98">
        <v>100</v>
      </c>
      <c r="H98">
        <v>75</v>
      </c>
      <c r="I98">
        <v>50</v>
      </c>
      <c r="J98">
        <v>25.604142692750287</v>
      </c>
      <c r="K98">
        <v>33.333333333333329</v>
      </c>
      <c r="L98">
        <v>24.594924369041745</v>
      </c>
      <c r="M98">
        <f t="shared" si="4"/>
        <v>-29.610919793753702</v>
      </c>
      <c r="N98">
        <f t="shared" si="5"/>
        <v>-29.364330925880434</v>
      </c>
      <c r="O98">
        <f t="shared" si="6"/>
        <v>-25.596745607596841</v>
      </c>
      <c r="Q98">
        <f t="shared" si="7"/>
        <v>60.406945031911377</v>
      </c>
    </row>
    <row r="99" spans="1:17" x14ac:dyDescent="0.45">
      <c r="A99">
        <v>151</v>
      </c>
      <c r="B99">
        <v>0</v>
      </c>
      <c r="C99">
        <v>0</v>
      </c>
      <c r="D99">
        <v>20.462553335819724</v>
      </c>
      <c r="E99">
        <v>0</v>
      </c>
      <c r="F99">
        <v>0</v>
      </c>
      <c r="G99">
        <v>100</v>
      </c>
      <c r="H99">
        <v>75</v>
      </c>
      <c r="I99">
        <v>33.333333333333329</v>
      </c>
      <c r="J99">
        <v>4.6029919447640966</v>
      </c>
      <c r="K99">
        <v>0</v>
      </c>
      <c r="L99">
        <v>30.444636470243534</v>
      </c>
      <c r="M99">
        <f t="shared" si="4"/>
        <v>-21.764207067930215</v>
      </c>
      <c r="N99">
        <f t="shared" si="5"/>
        <v>-23.205962833101442</v>
      </c>
      <c r="O99">
        <f t="shared" si="6"/>
        <v>-17.30254768125792</v>
      </c>
      <c r="Q99">
        <f t="shared" si="7"/>
        <v>68.253657757734871</v>
      </c>
    </row>
    <row r="100" spans="1:17" x14ac:dyDescent="0.45">
      <c r="A100">
        <v>152</v>
      </c>
      <c r="B100">
        <v>0</v>
      </c>
      <c r="C100">
        <v>0</v>
      </c>
      <c r="D100">
        <v>14.856394464613304</v>
      </c>
      <c r="E100">
        <v>66.666666666666657</v>
      </c>
      <c r="F100">
        <v>0</v>
      </c>
      <c r="G100">
        <v>0</v>
      </c>
      <c r="H100">
        <v>75</v>
      </c>
      <c r="I100">
        <v>33.333333333333329</v>
      </c>
      <c r="J100">
        <v>16.196777905638665</v>
      </c>
      <c r="K100">
        <v>66.666666666666657</v>
      </c>
      <c r="L100">
        <v>51.819397760966822</v>
      </c>
      <c r="M100">
        <f t="shared" si="4"/>
        <v>-33.317041322219879</v>
      </c>
      <c r="N100">
        <f t="shared" si="5"/>
        <v>-31.107817046022568</v>
      </c>
      <c r="O100">
        <f t="shared" si="6"/>
        <v>-35.217057728783296</v>
      </c>
      <c r="Q100">
        <f t="shared" si="7"/>
        <v>56.7008235034452</v>
      </c>
    </row>
    <row r="101" spans="1:17" x14ac:dyDescent="0.45">
      <c r="A101">
        <v>153</v>
      </c>
      <c r="B101">
        <v>1</v>
      </c>
      <c r="C101">
        <v>0</v>
      </c>
      <c r="D101">
        <v>15.320970316527601</v>
      </c>
      <c r="E101">
        <v>33.333333333333329</v>
      </c>
      <c r="F101">
        <v>0</v>
      </c>
      <c r="G101">
        <v>100</v>
      </c>
      <c r="H101">
        <v>100</v>
      </c>
      <c r="I101">
        <v>66.666666666666657</v>
      </c>
      <c r="J101">
        <v>16.225546605293438</v>
      </c>
      <c r="K101">
        <v>66.666666666666657</v>
      </c>
      <c r="L101">
        <v>49.913904766483697</v>
      </c>
      <c r="M101">
        <f t="shared" si="4"/>
        <v>-41.240445010727719</v>
      </c>
      <c r="N101">
        <f t="shared" si="5"/>
        <v>-39.556101467011487</v>
      </c>
      <c r="O101">
        <f t="shared" si="6"/>
        <v>-37.889483638070502</v>
      </c>
      <c r="Q101">
        <f t="shared" si="7"/>
        <v>48.77741981493736</v>
      </c>
    </row>
    <row r="102" spans="1:17" x14ac:dyDescent="0.45">
      <c r="A102">
        <v>154</v>
      </c>
      <c r="B102">
        <v>1</v>
      </c>
      <c r="C102">
        <v>0</v>
      </c>
      <c r="D102">
        <v>23.604199029690538</v>
      </c>
      <c r="E102">
        <v>66.666666666666657</v>
      </c>
      <c r="F102">
        <v>100</v>
      </c>
      <c r="G102">
        <v>0</v>
      </c>
      <c r="H102">
        <v>75</v>
      </c>
      <c r="I102">
        <v>33.333333333333329</v>
      </c>
      <c r="J102">
        <v>25.17261219792865</v>
      </c>
      <c r="K102">
        <v>0</v>
      </c>
      <c r="L102">
        <v>5.2906853722503566</v>
      </c>
      <c r="M102">
        <f t="shared" si="4"/>
        <v>-31.267390800311034</v>
      </c>
      <c r="N102">
        <f t="shared" si="5"/>
        <v>-33.338678801179022</v>
      </c>
      <c r="O102">
        <f t="shared" si="6"/>
        <v>-33.05051898796917</v>
      </c>
      <c r="Q102">
        <f t="shared" si="7"/>
        <v>58.750474025354052</v>
      </c>
    </row>
    <row r="103" spans="1:17" x14ac:dyDescent="0.45">
      <c r="A103">
        <v>155</v>
      </c>
      <c r="B103">
        <v>1</v>
      </c>
      <c r="C103">
        <v>0</v>
      </c>
      <c r="D103">
        <v>22.112831041366025</v>
      </c>
      <c r="E103">
        <v>0</v>
      </c>
      <c r="F103">
        <v>100</v>
      </c>
      <c r="G103">
        <v>100</v>
      </c>
      <c r="H103">
        <v>75</v>
      </c>
      <c r="I103">
        <v>33.333333333333329</v>
      </c>
      <c r="J103">
        <v>6.6743383199079398</v>
      </c>
      <c r="K103">
        <v>0</v>
      </c>
      <c r="L103">
        <v>6.4172607480581103</v>
      </c>
      <c r="M103">
        <f t="shared" si="4"/>
        <v>-29.188595957312749</v>
      </c>
      <c r="N103">
        <f t="shared" si="5"/>
        <v>-31.122175543619786</v>
      </c>
      <c r="O103">
        <f t="shared" si="6"/>
        <v>-25.150337333094292</v>
      </c>
      <c r="Q103">
        <f t="shared" si="7"/>
        <v>60.829268868352329</v>
      </c>
    </row>
    <row r="104" spans="1:17" x14ac:dyDescent="0.45">
      <c r="A104">
        <v>156</v>
      </c>
      <c r="B104">
        <v>0</v>
      </c>
      <c r="C104">
        <v>0</v>
      </c>
      <c r="D104">
        <v>19.286673786063293</v>
      </c>
      <c r="E104">
        <v>100</v>
      </c>
      <c r="F104">
        <v>100</v>
      </c>
      <c r="G104">
        <v>100</v>
      </c>
      <c r="H104">
        <v>75</v>
      </c>
      <c r="I104">
        <v>16.666666666666664</v>
      </c>
      <c r="J104">
        <v>18.181818181818183</v>
      </c>
      <c r="K104">
        <v>0</v>
      </c>
      <c r="L104">
        <v>19.525145049582008</v>
      </c>
      <c r="M104">
        <f t="shared" si="4"/>
        <v>-40.695291996548079</v>
      </c>
      <c r="N104">
        <f t="shared" si="5"/>
        <v>-43.391125190388806</v>
      </c>
      <c r="O104">
        <f t="shared" si="6"/>
        <v>-37.313241438599427</v>
      </c>
      <c r="Q104">
        <f t="shared" si="7"/>
        <v>49.322572829117</v>
      </c>
    </row>
    <row r="105" spans="1:17" x14ac:dyDescent="0.45">
      <c r="A105">
        <v>157</v>
      </c>
      <c r="B105">
        <v>0</v>
      </c>
      <c r="C105">
        <v>0</v>
      </c>
      <c r="D105">
        <v>17.475120874042315</v>
      </c>
      <c r="E105">
        <v>66.666666666666657</v>
      </c>
      <c r="F105">
        <v>100</v>
      </c>
      <c r="G105">
        <v>100</v>
      </c>
      <c r="H105">
        <v>75</v>
      </c>
      <c r="I105">
        <v>50</v>
      </c>
      <c r="J105">
        <v>22.842347525891828</v>
      </c>
      <c r="K105">
        <v>66.666666666666657</v>
      </c>
      <c r="L105">
        <v>32.569296923222694</v>
      </c>
      <c r="M105">
        <f t="shared" si="4"/>
        <v>-49.551711828699339</v>
      </c>
      <c r="N105">
        <f t="shared" si="5"/>
        <v>-48.417942758626296</v>
      </c>
      <c r="O105">
        <f t="shared" si="6"/>
        <v>-46.674728417072551</v>
      </c>
      <c r="Q105">
        <f t="shared" si="7"/>
        <v>40.466152996965739</v>
      </c>
    </row>
    <row r="106" spans="1:17" x14ac:dyDescent="0.45">
      <c r="A106">
        <v>164</v>
      </c>
      <c r="B106">
        <v>0</v>
      </c>
      <c r="C106">
        <v>0</v>
      </c>
      <c r="D106">
        <v>12.715984272616726</v>
      </c>
      <c r="E106">
        <v>100</v>
      </c>
      <c r="F106">
        <v>100</v>
      </c>
      <c r="G106">
        <v>100</v>
      </c>
      <c r="H106">
        <v>75</v>
      </c>
      <c r="I106">
        <v>16.666666666666664</v>
      </c>
      <c r="J106">
        <v>5.6674338319907935</v>
      </c>
      <c r="K106">
        <v>66.666666666666657</v>
      </c>
      <c r="L106">
        <v>15.073284991716111</v>
      </c>
      <c r="M106">
        <f t="shared" si="4"/>
        <v>-42.811872351345528</v>
      </c>
      <c r="N106">
        <f t="shared" si="5"/>
        <v>-41.231626991441466</v>
      </c>
      <c r="O106">
        <f t="shared" si="6"/>
        <v>-39.550526911268292</v>
      </c>
      <c r="Q106">
        <f t="shared" si="7"/>
        <v>47.205992474319551</v>
      </c>
    </row>
    <row r="107" spans="1:17" x14ac:dyDescent="0.45">
      <c r="A107">
        <v>165</v>
      </c>
      <c r="B107">
        <v>0</v>
      </c>
      <c r="C107">
        <v>0</v>
      </c>
      <c r="D107">
        <v>8.3610217478624911</v>
      </c>
      <c r="E107">
        <v>66.666666666666657</v>
      </c>
      <c r="F107">
        <v>100</v>
      </c>
      <c r="G107">
        <v>100</v>
      </c>
      <c r="H107">
        <v>100</v>
      </c>
      <c r="I107">
        <v>66.666666666666657</v>
      </c>
      <c r="J107">
        <v>87.658227848101262</v>
      </c>
      <c r="K107">
        <v>100</v>
      </c>
      <c r="L107">
        <v>65.395828388824455</v>
      </c>
      <c r="M107">
        <f t="shared" si="4"/>
        <v>-72.855726935565528</v>
      </c>
      <c r="N107">
        <f t="shared" si="5"/>
        <v>-71.057572191867251</v>
      </c>
      <c r="O107">
        <f t="shared" si="6"/>
        <v>-71.307733412735317</v>
      </c>
      <c r="Q107">
        <f t="shared" si="7"/>
        <v>17.162137890099547</v>
      </c>
    </row>
    <row r="108" spans="1:17" x14ac:dyDescent="0.45">
      <c r="A108">
        <v>166</v>
      </c>
      <c r="B108">
        <v>0</v>
      </c>
      <c r="C108">
        <v>0</v>
      </c>
      <c r="D108">
        <v>9.659359406269898</v>
      </c>
      <c r="E108">
        <v>66.666666666666657</v>
      </c>
      <c r="F108">
        <v>100</v>
      </c>
      <c r="G108">
        <v>100</v>
      </c>
      <c r="H108">
        <v>100</v>
      </c>
      <c r="I108">
        <v>83.333333333333343</v>
      </c>
      <c r="J108">
        <v>39.06789413118527</v>
      </c>
      <c r="K108">
        <v>100</v>
      </c>
      <c r="L108">
        <v>57.436622654059917</v>
      </c>
      <c r="M108">
        <f t="shared" si="4"/>
        <v>-66.357625702320647</v>
      </c>
      <c r="N108">
        <f t="shared" si="5"/>
        <v>-64.129008461805668</v>
      </c>
      <c r="O108">
        <f t="shared" si="6"/>
        <v>-64.439056087956132</v>
      </c>
      <c r="Q108">
        <f t="shared" si="7"/>
        <v>23.660239123344429</v>
      </c>
    </row>
    <row r="109" spans="1:17" x14ac:dyDescent="0.45">
      <c r="A109">
        <v>167</v>
      </c>
      <c r="B109">
        <v>0</v>
      </c>
      <c r="C109">
        <v>0</v>
      </c>
      <c r="D109">
        <v>9.9530468251713309</v>
      </c>
      <c r="E109">
        <v>66.666666666666657</v>
      </c>
      <c r="F109">
        <v>0</v>
      </c>
      <c r="G109">
        <v>100</v>
      </c>
      <c r="H109">
        <v>100</v>
      </c>
      <c r="I109">
        <v>83.333333333333343</v>
      </c>
      <c r="J109">
        <v>63.00345224395857</v>
      </c>
      <c r="K109">
        <v>100</v>
      </c>
      <c r="L109">
        <v>57.436622654059917</v>
      </c>
      <c r="M109">
        <f t="shared" si="4"/>
        <v>-56.173380992456316</v>
      </c>
      <c r="N109">
        <f t="shared" si="5"/>
        <v>-53.270115074021099</v>
      </c>
      <c r="O109">
        <f t="shared" si="6"/>
        <v>-53.674020549456785</v>
      </c>
      <c r="Q109">
        <f t="shared" si="7"/>
        <v>33.844483833208763</v>
      </c>
    </row>
    <row r="110" spans="1:17" x14ac:dyDescent="0.45">
      <c r="A110">
        <v>168</v>
      </c>
      <c r="B110">
        <v>0</v>
      </c>
      <c r="C110">
        <v>0</v>
      </c>
      <c r="D110">
        <v>10.428673210538591</v>
      </c>
      <c r="E110">
        <v>100</v>
      </c>
      <c r="F110">
        <v>0</v>
      </c>
      <c r="G110">
        <v>100</v>
      </c>
      <c r="H110">
        <v>75</v>
      </c>
      <c r="I110">
        <v>33.333333333333329</v>
      </c>
      <c r="J110">
        <v>19.562715765247411</v>
      </c>
      <c r="K110">
        <v>33.333333333333329</v>
      </c>
      <c r="L110">
        <v>52.182074507729325</v>
      </c>
      <c r="M110">
        <f t="shared" si="4"/>
        <v>-40.372362073664362</v>
      </c>
      <c r="N110">
        <f t="shared" si="5"/>
        <v>-40.838657961950233</v>
      </c>
      <c r="O110">
        <f t="shared" si="6"/>
        <v>-36.971895350074973</v>
      </c>
      <c r="Q110">
        <f t="shared" si="7"/>
        <v>49.645502752000716</v>
      </c>
    </row>
    <row r="111" spans="1:17" x14ac:dyDescent="0.45">
      <c r="A111">
        <v>170</v>
      </c>
      <c r="B111">
        <v>1</v>
      </c>
      <c r="C111">
        <v>0</v>
      </c>
      <c r="D111">
        <v>8.3320400014424827</v>
      </c>
      <c r="E111">
        <v>100</v>
      </c>
      <c r="F111">
        <v>100</v>
      </c>
      <c r="G111">
        <v>100</v>
      </c>
      <c r="H111">
        <v>75</v>
      </c>
      <c r="I111">
        <v>83.333333333333343</v>
      </c>
      <c r="J111">
        <v>100</v>
      </c>
      <c r="K111">
        <v>100</v>
      </c>
      <c r="L111">
        <v>39.847424062817879</v>
      </c>
      <c r="M111">
        <f t="shared" si="4"/>
        <v>-70.429322420597714</v>
      </c>
      <c r="N111">
        <f t="shared" si="5"/>
        <v>-68.470432085330515</v>
      </c>
      <c r="O111">
        <f t="shared" si="6"/>
        <v>-68.742955014480216</v>
      </c>
      <c r="Q111">
        <f t="shared" si="7"/>
        <v>19.588542405067361</v>
      </c>
    </row>
    <row r="112" spans="1:17" x14ac:dyDescent="0.45">
      <c r="A112">
        <v>171</v>
      </c>
      <c r="B112">
        <v>0</v>
      </c>
      <c r="C112">
        <v>0</v>
      </c>
      <c r="D112">
        <v>12.432907272697271</v>
      </c>
      <c r="E112">
        <v>66.666666666666657</v>
      </c>
      <c r="F112">
        <v>0</v>
      </c>
      <c r="G112">
        <v>100</v>
      </c>
      <c r="H112">
        <v>100</v>
      </c>
      <c r="I112">
        <v>83.333333333333343</v>
      </c>
      <c r="J112">
        <v>44.649021864211733</v>
      </c>
      <c r="K112">
        <v>0</v>
      </c>
      <c r="L112">
        <v>24.041474486909301</v>
      </c>
      <c r="M112">
        <f t="shared" si="4"/>
        <v>-39.210942148598228</v>
      </c>
      <c r="N112">
        <f t="shared" si="5"/>
        <v>-41.808445550586995</v>
      </c>
      <c r="O112">
        <f t="shared" si="6"/>
        <v>-35.744241545139573</v>
      </c>
      <c r="Q112">
        <f t="shared" si="7"/>
        <v>50.806922677066844</v>
      </c>
    </row>
    <row r="113" spans="1:17" x14ac:dyDescent="0.45">
      <c r="A113">
        <v>172</v>
      </c>
      <c r="B113">
        <v>1</v>
      </c>
      <c r="C113">
        <v>0</v>
      </c>
      <c r="D113">
        <v>14.68476427456914</v>
      </c>
      <c r="E113">
        <v>0</v>
      </c>
      <c r="F113">
        <v>100</v>
      </c>
      <c r="G113">
        <v>100</v>
      </c>
      <c r="H113">
        <v>100</v>
      </c>
      <c r="I113">
        <v>66.666666666666657</v>
      </c>
      <c r="J113">
        <v>12.83084004602992</v>
      </c>
      <c r="K113">
        <v>33.333333333333329</v>
      </c>
      <c r="L113">
        <v>23.977219459661367</v>
      </c>
      <c r="M113">
        <f t="shared" si="4"/>
        <v>-42.887515168901956</v>
      </c>
      <c r="N113">
        <f t="shared" si="5"/>
        <v>-43.520425740830049</v>
      </c>
      <c r="O113">
        <f t="shared" si="6"/>
        <v>-39.630483515064192</v>
      </c>
      <c r="Q113">
        <f t="shared" si="7"/>
        <v>47.130349656763123</v>
      </c>
    </row>
    <row r="114" spans="1:17" x14ac:dyDescent="0.45">
      <c r="A114">
        <v>173</v>
      </c>
      <c r="B114">
        <v>0</v>
      </c>
      <c r="C114">
        <v>0</v>
      </c>
      <c r="D114">
        <v>15.091523380565</v>
      </c>
      <c r="E114">
        <v>0</v>
      </c>
      <c r="F114">
        <v>0</v>
      </c>
      <c r="G114">
        <v>100</v>
      </c>
      <c r="H114">
        <v>100</v>
      </c>
      <c r="I114">
        <v>66.666666666666657</v>
      </c>
      <c r="J114">
        <v>17.088607594936708</v>
      </c>
      <c r="K114">
        <v>33.333333333333329</v>
      </c>
      <c r="L114">
        <v>23.977219459661367</v>
      </c>
      <c r="M114">
        <f t="shared" si="4"/>
        <v>-30.187757332637645</v>
      </c>
      <c r="N114">
        <f t="shared" si="5"/>
        <v>-29.979380692972697</v>
      </c>
      <c r="O114">
        <f t="shared" si="6"/>
        <v>-26.206479248424564</v>
      </c>
      <c r="Q114">
        <f t="shared" si="7"/>
        <v>59.830107493027441</v>
      </c>
    </row>
    <row r="115" spans="1:17" x14ac:dyDescent="0.45">
      <c r="A115">
        <v>174</v>
      </c>
      <c r="B115">
        <v>0</v>
      </c>
      <c r="C115">
        <v>1</v>
      </c>
      <c r="D115">
        <v>14.958686424036911</v>
      </c>
      <c r="E115">
        <v>0</v>
      </c>
      <c r="F115">
        <v>0</v>
      </c>
      <c r="G115">
        <v>100</v>
      </c>
      <c r="H115">
        <v>100</v>
      </c>
      <c r="I115">
        <v>66.666666666666657</v>
      </c>
      <c r="J115">
        <v>9.8676639815880325</v>
      </c>
      <c r="K115">
        <v>0</v>
      </c>
      <c r="L115">
        <v>23.977219459661367</v>
      </c>
      <c r="M115">
        <f t="shared" si="4"/>
        <v>-27.211112915463531</v>
      </c>
      <c r="N115">
        <f t="shared" si="5"/>
        <v>-29.013695421692443</v>
      </c>
      <c r="O115">
        <f t="shared" si="6"/>
        <v>-23.06008166576261</v>
      </c>
      <c r="Q115">
        <f t="shared" si="7"/>
        <v>62.806751910201555</v>
      </c>
    </row>
    <row r="116" spans="1:17" x14ac:dyDescent="0.45">
      <c r="A116">
        <v>175</v>
      </c>
      <c r="B116">
        <v>0</v>
      </c>
      <c r="C116">
        <v>0</v>
      </c>
      <c r="D116">
        <v>15.091523380565</v>
      </c>
      <c r="E116">
        <v>100</v>
      </c>
      <c r="F116">
        <v>0</v>
      </c>
      <c r="G116">
        <v>100</v>
      </c>
      <c r="H116">
        <v>100</v>
      </c>
      <c r="I116">
        <v>33.333333333333329</v>
      </c>
      <c r="J116">
        <v>12.37054085155351</v>
      </c>
      <c r="K116">
        <v>33.333333333333329</v>
      </c>
      <c r="L116">
        <v>14.692281941139511</v>
      </c>
      <c r="M116">
        <f t="shared" si="4"/>
        <v>-32.110200931360083</v>
      </c>
      <c r="N116">
        <f t="shared" si="5"/>
        <v>-32.029175319601812</v>
      </c>
      <c r="O116">
        <f t="shared" si="6"/>
        <v>-28.238556663155432</v>
      </c>
      <c r="Q116">
        <f t="shared" si="7"/>
        <v>57.907663894304996</v>
      </c>
    </row>
    <row r="117" spans="1:17" x14ac:dyDescent="0.45">
      <c r="A117">
        <v>176</v>
      </c>
      <c r="B117">
        <v>0</v>
      </c>
      <c r="C117">
        <v>0</v>
      </c>
      <c r="D117">
        <v>15.821848483982116</v>
      </c>
      <c r="E117">
        <v>100</v>
      </c>
      <c r="F117">
        <v>0</v>
      </c>
      <c r="G117">
        <v>100</v>
      </c>
      <c r="H117">
        <v>100</v>
      </c>
      <c r="I117">
        <v>100</v>
      </c>
      <c r="J117">
        <v>29.775604142692753</v>
      </c>
      <c r="K117">
        <v>100</v>
      </c>
      <c r="L117">
        <v>30.104127032070441</v>
      </c>
      <c r="M117">
        <f t="shared" si="4"/>
        <v>-49.208790663914073</v>
      </c>
      <c r="N117">
        <f t="shared" si="5"/>
        <v>-45.844159981447213</v>
      </c>
      <c r="O117">
        <f t="shared" si="6"/>
        <v>-46.312251018798591</v>
      </c>
      <c r="Q117">
        <f t="shared" si="7"/>
        <v>40.809074161750999</v>
      </c>
    </row>
    <row r="118" spans="1:17" x14ac:dyDescent="0.45">
      <c r="A118">
        <v>177</v>
      </c>
      <c r="B118">
        <v>1</v>
      </c>
      <c r="C118">
        <v>0</v>
      </c>
      <c r="D118">
        <v>11.37934620478884</v>
      </c>
      <c r="E118">
        <v>66.666666666666657</v>
      </c>
      <c r="F118">
        <v>100</v>
      </c>
      <c r="G118">
        <v>100</v>
      </c>
      <c r="H118">
        <v>75</v>
      </c>
      <c r="I118">
        <v>66.666666666666657</v>
      </c>
      <c r="J118">
        <v>73.30264672036823</v>
      </c>
      <c r="K118">
        <v>33.333333333333329</v>
      </c>
      <c r="L118">
        <v>64.964990525266003</v>
      </c>
      <c r="M118">
        <f t="shared" si="4"/>
        <v>-64.194185707276958</v>
      </c>
      <c r="N118">
        <f t="shared" si="5"/>
        <v>-66.238542834065811</v>
      </c>
      <c r="O118">
        <f t="shared" si="6"/>
        <v>-62.152238646354562</v>
      </c>
      <c r="Q118">
        <f t="shared" si="7"/>
        <v>25.823679118388114</v>
      </c>
    </row>
    <row r="119" spans="1:17" x14ac:dyDescent="0.45">
      <c r="A119">
        <v>178</v>
      </c>
      <c r="B119">
        <v>0</v>
      </c>
      <c r="C119">
        <v>0</v>
      </c>
      <c r="D119">
        <v>15.061587591213296</v>
      </c>
      <c r="E119">
        <v>100</v>
      </c>
      <c r="F119">
        <v>0</v>
      </c>
      <c r="G119">
        <v>100</v>
      </c>
      <c r="H119">
        <v>100</v>
      </c>
      <c r="I119">
        <v>66.666666666666657</v>
      </c>
      <c r="J119">
        <v>27.876869965477564</v>
      </c>
      <c r="K119">
        <v>66.666666666666657</v>
      </c>
      <c r="L119">
        <v>43.856825269735012</v>
      </c>
      <c r="M119">
        <f t="shared" si="4"/>
        <v>-46.812137198553692</v>
      </c>
      <c r="N119">
        <f t="shared" si="5"/>
        <v>-45.496886785980955</v>
      </c>
      <c r="O119">
        <f t="shared" si="6"/>
        <v>-43.778920323878971</v>
      </c>
      <c r="Q119">
        <f t="shared" si="7"/>
        <v>43.205727627111386</v>
      </c>
    </row>
    <row r="120" spans="1:17" x14ac:dyDescent="0.45">
      <c r="A120">
        <v>179</v>
      </c>
      <c r="B120">
        <v>0</v>
      </c>
      <c r="C120">
        <v>1</v>
      </c>
      <c r="D120">
        <v>13.923273270813421</v>
      </c>
      <c r="E120">
        <v>33.333333333333329</v>
      </c>
      <c r="F120">
        <v>0</v>
      </c>
      <c r="G120">
        <v>0</v>
      </c>
      <c r="H120">
        <v>100</v>
      </c>
      <c r="I120">
        <v>33.333333333333329</v>
      </c>
      <c r="J120">
        <v>3.1933256616800922</v>
      </c>
      <c r="K120">
        <v>0</v>
      </c>
      <c r="L120">
        <v>51.950378145583407</v>
      </c>
      <c r="M120">
        <f t="shared" si="4"/>
        <v>-27.159437880153739</v>
      </c>
      <c r="N120">
        <f t="shared" si="5"/>
        <v>-28.958597207222443</v>
      </c>
      <c r="O120">
        <f t="shared" si="6"/>
        <v>-28.708296227636012</v>
      </c>
      <c r="Q120">
        <f t="shared" si="7"/>
        <v>62.85842694551134</v>
      </c>
    </row>
    <row r="121" spans="1:17" x14ac:dyDescent="0.45">
      <c r="A121">
        <v>180</v>
      </c>
      <c r="B121">
        <v>0</v>
      </c>
      <c r="C121">
        <v>0</v>
      </c>
      <c r="D121">
        <v>13.895179567499538</v>
      </c>
      <c r="E121">
        <v>100</v>
      </c>
      <c r="F121">
        <v>100</v>
      </c>
      <c r="G121">
        <v>100</v>
      </c>
      <c r="H121">
        <v>100</v>
      </c>
      <c r="I121">
        <v>50</v>
      </c>
      <c r="J121">
        <v>27.445339470655927</v>
      </c>
      <c r="K121">
        <v>66.666666666666657</v>
      </c>
      <c r="L121">
        <v>52.033683062910121</v>
      </c>
      <c r="M121">
        <f t="shared" si="4"/>
        <v>-60.312698340690993</v>
      </c>
      <c r="N121">
        <f t="shared" si="5"/>
        <v>-59.891783834727228</v>
      </c>
      <c r="O121">
        <f t="shared" si="6"/>
        <v>-58.049396399932263</v>
      </c>
      <c r="Q121">
        <f t="shared" si="7"/>
        <v>29.705166484974082</v>
      </c>
    </row>
    <row r="122" spans="1:17" x14ac:dyDescent="0.45">
      <c r="A122">
        <v>181</v>
      </c>
      <c r="B122">
        <v>0</v>
      </c>
      <c r="C122">
        <v>0</v>
      </c>
      <c r="D122">
        <v>12.450826568440437</v>
      </c>
      <c r="E122">
        <v>0</v>
      </c>
      <c r="F122">
        <v>100</v>
      </c>
      <c r="G122">
        <v>100</v>
      </c>
      <c r="H122">
        <v>100</v>
      </c>
      <c r="I122">
        <v>66.666666666666657</v>
      </c>
      <c r="J122">
        <v>29.487917146144994</v>
      </c>
      <c r="K122">
        <v>100</v>
      </c>
      <c r="L122">
        <v>53.994201383098982</v>
      </c>
      <c r="M122">
        <f t="shared" si="4"/>
        <v>-56.712368932844406</v>
      </c>
      <c r="N122">
        <f t="shared" si="5"/>
        <v>-53.844807920541854</v>
      </c>
      <c r="O122">
        <f t="shared" si="6"/>
        <v>-54.243746091055407</v>
      </c>
      <c r="Q122">
        <f t="shared" si="7"/>
        <v>33.305495892820666</v>
      </c>
    </row>
    <row r="123" spans="1:17" x14ac:dyDescent="0.45">
      <c r="A123">
        <v>182</v>
      </c>
      <c r="B123">
        <v>0</v>
      </c>
      <c r="C123">
        <v>0</v>
      </c>
      <c r="D123">
        <v>11.307333626756135</v>
      </c>
      <c r="E123">
        <v>66.666666666666657</v>
      </c>
      <c r="F123">
        <v>100</v>
      </c>
      <c r="G123">
        <v>100</v>
      </c>
      <c r="H123">
        <v>100</v>
      </c>
      <c r="I123">
        <v>50</v>
      </c>
      <c r="J123">
        <v>47.12313003452244</v>
      </c>
      <c r="K123">
        <v>0</v>
      </c>
      <c r="L123">
        <v>50.699587365323453</v>
      </c>
      <c r="M123">
        <f t="shared" si="4"/>
        <v>-55.835009393546351</v>
      </c>
      <c r="N123">
        <f t="shared" si="5"/>
        <v>-59.533763335754188</v>
      </c>
      <c r="O123">
        <f t="shared" si="6"/>
        <v>-53.316352171363256</v>
      </c>
      <c r="Q123">
        <f t="shared" si="7"/>
        <v>34.182855432118728</v>
      </c>
    </row>
    <row r="124" spans="1:17" x14ac:dyDescent="0.45">
      <c r="A124">
        <v>183</v>
      </c>
      <c r="B124">
        <v>0</v>
      </c>
      <c r="C124">
        <v>0</v>
      </c>
      <c r="D124">
        <v>11.64480939958279</v>
      </c>
      <c r="E124">
        <v>100</v>
      </c>
      <c r="F124">
        <v>0</v>
      </c>
      <c r="G124">
        <v>100</v>
      </c>
      <c r="H124">
        <v>100</v>
      </c>
      <c r="I124">
        <v>66.666666666666657</v>
      </c>
      <c r="J124">
        <v>26.237054085155354</v>
      </c>
      <c r="K124">
        <v>66.666666666666657</v>
      </c>
      <c r="L124">
        <v>56.387770320641032</v>
      </c>
      <c r="M124">
        <f t="shared" si="4"/>
        <v>-50.008748346097867</v>
      </c>
      <c r="N124">
        <f t="shared" si="5"/>
        <v>-48.905255363354648</v>
      </c>
      <c r="O124">
        <f t="shared" si="6"/>
        <v>-47.157828979986327</v>
      </c>
      <c r="Q124">
        <f t="shared" si="7"/>
        <v>40.009116479567211</v>
      </c>
    </row>
    <row r="125" spans="1:17" x14ac:dyDescent="0.45">
      <c r="A125">
        <v>184</v>
      </c>
      <c r="B125">
        <v>1</v>
      </c>
      <c r="C125">
        <v>0</v>
      </c>
      <c r="D125">
        <v>11.787465495668368</v>
      </c>
      <c r="E125">
        <v>0</v>
      </c>
      <c r="F125">
        <v>0</v>
      </c>
      <c r="G125">
        <v>100</v>
      </c>
      <c r="H125">
        <v>100</v>
      </c>
      <c r="I125">
        <v>33.333333333333329</v>
      </c>
      <c r="J125">
        <v>9.0909090909090917</v>
      </c>
      <c r="K125">
        <v>66.666666666666657</v>
      </c>
      <c r="L125">
        <v>54.773243532247726</v>
      </c>
      <c r="M125">
        <f t="shared" si="4"/>
        <v>-35.578432376399178</v>
      </c>
      <c r="N125">
        <f t="shared" si="5"/>
        <v>-33.519012482208225</v>
      </c>
      <c r="O125">
        <f t="shared" si="6"/>
        <v>-31.904575678333252</v>
      </c>
      <c r="Q125">
        <f t="shared" si="7"/>
        <v>54.439432449265901</v>
      </c>
    </row>
    <row r="126" spans="1:17" x14ac:dyDescent="0.45">
      <c r="A126">
        <v>185</v>
      </c>
      <c r="B126">
        <v>0</v>
      </c>
      <c r="C126">
        <v>0</v>
      </c>
      <c r="D126">
        <v>12.407587419547179</v>
      </c>
      <c r="E126">
        <v>33.333333333333329</v>
      </c>
      <c r="F126">
        <v>100</v>
      </c>
      <c r="G126">
        <v>100</v>
      </c>
      <c r="H126">
        <v>100</v>
      </c>
      <c r="I126">
        <v>50</v>
      </c>
      <c r="J126">
        <v>14.47065592635213</v>
      </c>
      <c r="K126">
        <v>66.666666666666657</v>
      </c>
      <c r="L126">
        <v>54.773243532247726</v>
      </c>
      <c r="M126">
        <f t="shared" si="4"/>
        <v>-53.935735886432887</v>
      </c>
      <c r="N126">
        <f t="shared" si="5"/>
        <v>-53.092383643407956</v>
      </c>
      <c r="O126">
        <f t="shared" si="6"/>
        <v>-51.308766200691991</v>
      </c>
      <c r="Q126">
        <f t="shared" si="7"/>
        <v>36.082128939232192</v>
      </c>
    </row>
    <row r="127" spans="1:17" x14ac:dyDescent="0.45">
      <c r="A127">
        <v>186</v>
      </c>
      <c r="B127">
        <v>0</v>
      </c>
      <c r="C127">
        <v>0</v>
      </c>
      <c r="D127">
        <v>7.7328557219250564</v>
      </c>
      <c r="E127">
        <v>0</v>
      </c>
      <c r="F127">
        <v>0</v>
      </c>
      <c r="G127">
        <v>100</v>
      </c>
      <c r="H127">
        <v>75</v>
      </c>
      <c r="I127">
        <v>33.333333333333329</v>
      </c>
      <c r="J127">
        <v>22.612197928653625</v>
      </c>
      <c r="K127">
        <v>66.666666666666657</v>
      </c>
      <c r="L127">
        <v>70.239464429335811</v>
      </c>
      <c r="M127">
        <f t="shared" si="4"/>
        <v>-39.199841549937844</v>
      </c>
      <c r="N127">
        <f t="shared" si="5"/>
        <v>-37.380319554976438</v>
      </c>
      <c r="O127">
        <f t="shared" si="6"/>
        <v>-35.732507897482634</v>
      </c>
      <c r="Q127">
        <f t="shared" si="7"/>
        <v>50.818023275727228</v>
      </c>
    </row>
    <row r="128" spans="1:17" x14ac:dyDescent="0.45">
      <c r="A128">
        <v>187</v>
      </c>
      <c r="B128">
        <v>1</v>
      </c>
      <c r="C128">
        <v>0</v>
      </c>
      <c r="D128">
        <v>18.870194083563494</v>
      </c>
      <c r="E128">
        <v>100</v>
      </c>
      <c r="F128">
        <v>0</v>
      </c>
      <c r="G128">
        <v>0</v>
      </c>
      <c r="H128">
        <v>100</v>
      </c>
      <c r="I128">
        <v>50</v>
      </c>
      <c r="J128">
        <v>18.814729574223247</v>
      </c>
      <c r="K128">
        <v>33.333333333333329</v>
      </c>
      <c r="L128">
        <v>33.290330492408138</v>
      </c>
      <c r="M128">
        <f t="shared" si="4"/>
        <v>-33.467253131717513</v>
      </c>
      <c r="N128">
        <f t="shared" si="5"/>
        <v>-33.476124561803999</v>
      </c>
      <c r="O128">
        <f t="shared" si="6"/>
        <v>-35.375835872240337</v>
      </c>
      <c r="Q128">
        <f t="shared" si="7"/>
        <v>56.550611693947573</v>
      </c>
    </row>
    <row r="129" spans="1:17" x14ac:dyDescent="0.45">
      <c r="A129">
        <v>188</v>
      </c>
      <c r="B129">
        <v>0</v>
      </c>
      <c r="C129">
        <v>0</v>
      </c>
      <c r="D129">
        <v>18.239614325737726</v>
      </c>
      <c r="E129">
        <v>0</v>
      </c>
      <c r="F129">
        <v>0</v>
      </c>
      <c r="G129">
        <v>0</v>
      </c>
      <c r="H129">
        <v>100</v>
      </c>
      <c r="I129">
        <v>33.333333333333329</v>
      </c>
      <c r="J129">
        <v>11.047180667433832</v>
      </c>
      <c r="K129">
        <v>0</v>
      </c>
      <c r="L129">
        <v>40.300223448660006</v>
      </c>
      <c r="M129">
        <f t="shared" si="4"/>
        <v>-22.1071264854011</v>
      </c>
      <c r="N129">
        <f t="shared" si="5"/>
        <v>-23.571598724716527</v>
      </c>
      <c r="O129">
        <f t="shared" si="6"/>
        <v>-23.367859772549899</v>
      </c>
      <c r="Q129">
        <f t="shared" si="7"/>
        <v>67.91073834026399</v>
      </c>
    </row>
    <row r="130" spans="1:17" x14ac:dyDescent="0.45">
      <c r="A130">
        <v>189</v>
      </c>
      <c r="B130">
        <v>0</v>
      </c>
      <c r="C130">
        <v>0</v>
      </c>
      <c r="D130">
        <v>23.526472544642179</v>
      </c>
      <c r="E130">
        <v>66.666666666666657</v>
      </c>
      <c r="F130">
        <v>0</v>
      </c>
      <c r="G130">
        <v>100</v>
      </c>
      <c r="H130">
        <v>100</v>
      </c>
      <c r="I130">
        <v>66.666666666666657</v>
      </c>
      <c r="J130">
        <v>7.4223245109321061</v>
      </c>
      <c r="K130">
        <v>0</v>
      </c>
      <c r="L130">
        <v>33.44930590531186</v>
      </c>
      <c r="M130">
        <f t="shared" si="4"/>
        <v>-33.905095103991847</v>
      </c>
      <c r="N130">
        <f t="shared" si="5"/>
        <v>-36.151116113729813</v>
      </c>
      <c r="O130">
        <f t="shared" si="6"/>
        <v>-30.135810716517994</v>
      </c>
      <c r="Q130">
        <f t="shared" si="7"/>
        <v>56.112769721673232</v>
      </c>
    </row>
    <row r="131" spans="1:17" x14ac:dyDescent="0.45">
      <c r="A131">
        <v>190</v>
      </c>
      <c r="B131">
        <v>0</v>
      </c>
      <c r="C131">
        <v>0</v>
      </c>
      <c r="D131">
        <v>23.86594642427929</v>
      </c>
      <c r="E131">
        <v>0</v>
      </c>
      <c r="F131">
        <v>0</v>
      </c>
      <c r="G131">
        <v>0</v>
      </c>
      <c r="H131">
        <v>100</v>
      </c>
      <c r="I131">
        <v>16.666666666666664</v>
      </c>
      <c r="J131">
        <v>22.928653624856157</v>
      </c>
      <c r="K131">
        <v>100</v>
      </c>
      <c r="L131">
        <v>33.44930590531186</v>
      </c>
      <c r="M131">
        <f t="shared" si="4"/>
        <v>-25.833675460201448</v>
      </c>
      <c r="N131">
        <f t="shared" si="5"/>
        <v>-20.920575449111382</v>
      </c>
      <c r="O131">
        <f t="shared" si="6"/>
        <v>-27.306927743965375</v>
      </c>
      <c r="Q131">
        <f t="shared" si="7"/>
        <v>64.184189365463624</v>
      </c>
    </row>
    <row r="132" spans="1:17" x14ac:dyDescent="0.45">
      <c r="A132">
        <v>191</v>
      </c>
      <c r="B132">
        <v>1</v>
      </c>
      <c r="C132">
        <v>0</v>
      </c>
      <c r="D132">
        <v>24.132046514291002</v>
      </c>
      <c r="E132">
        <v>33.333333333333329</v>
      </c>
      <c r="F132">
        <v>0</v>
      </c>
      <c r="G132">
        <v>100</v>
      </c>
      <c r="H132">
        <v>100</v>
      </c>
      <c r="I132">
        <v>50</v>
      </c>
      <c r="J132">
        <v>6.7894131185270421</v>
      </c>
      <c r="K132">
        <v>0</v>
      </c>
      <c r="L132">
        <v>37.046104799600073</v>
      </c>
      <c r="M132">
        <f t="shared" si="4"/>
        <v>-30.110071238660019</v>
      </c>
      <c r="N132">
        <f t="shared" si="5"/>
        <v>-32.104693356642962</v>
      </c>
      <c r="O132">
        <f t="shared" si="6"/>
        <v>-26.124362843493103</v>
      </c>
      <c r="Q132">
        <f t="shared" si="7"/>
        <v>59.907793587005067</v>
      </c>
    </row>
    <row r="133" spans="1:17" x14ac:dyDescent="0.45">
      <c r="A133">
        <v>192</v>
      </c>
      <c r="B133">
        <v>0</v>
      </c>
      <c r="C133">
        <v>0</v>
      </c>
      <c r="D133">
        <v>20.571543604765449</v>
      </c>
      <c r="E133">
        <v>66.666666666666657</v>
      </c>
      <c r="F133">
        <v>100</v>
      </c>
      <c r="G133">
        <v>0</v>
      </c>
      <c r="H133">
        <v>75</v>
      </c>
      <c r="I133">
        <v>16.666666666666664</v>
      </c>
      <c r="J133">
        <v>4.9482163406214035</v>
      </c>
      <c r="K133">
        <v>0</v>
      </c>
      <c r="L133">
        <v>36.771861642118381</v>
      </c>
      <c r="M133">
        <f t="shared" si="4"/>
        <v>-34.933042100693712</v>
      </c>
      <c r="N133">
        <f t="shared" si="5"/>
        <v>-37.247158791756505</v>
      </c>
      <c r="O133">
        <f t="shared" si="6"/>
        <v>-36.925216390138281</v>
      </c>
      <c r="Q133">
        <f t="shared" si="7"/>
        <v>55.084822724971374</v>
      </c>
    </row>
    <row r="134" spans="1:17" x14ac:dyDescent="0.45">
      <c r="A134">
        <v>193</v>
      </c>
      <c r="B134">
        <v>0</v>
      </c>
      <c r="C134">
        <v>0</v>
      </c>
      <c r="D134">
        <v>20.571543604765449</v>
      </c>
      <c r="E134">
        <v>66.666666666666657</v>
      </c>
      <c r="F134">
        <v>100</v>
      </c>
      <c r="G134">
        <v>0</v>
      </c>
      <c r="H134">
        <v>75</v>
      </c>
      <c r="I134">
        <v>16.666666666666664</v>
      </c>
      <c r="J134">
        <v>5.8112773302646721</v>
      </c>
      <c r="K134">
        <v>0</v>
      </c>
      <c r="L134">
        <v>36.771861642118381</v>
      </c>
      <c r="M134">
        <f t="shared" si="4"/>
        <v>-35.042876581296795</v>
      </c>
      <c r="N134">
        <f t="shared" si="5"/>
        <v>-37.364269186208865</v>
      </c>
      <c r="O134">
        <f t="shared" si="6"/>
        <v>-37.041314551634692</v>
      </c>
      <c r="Q134">
        <f t="shared" si="7"/>
        <v>54.974988244368284</v>
      </c>
    </row>
    <row r="135" spans="1:17" x14ac:dyDescent="0.45">
      <c r="A135">
        <v>194</v>
      </c>
      <c r="B135">
        <v>0</v>
      </c>
      <c r="C135">
        <v>0</v>
      </c>
      <c r="D135">
        <v>21.006373912434132</v>
      </c>
      <c r="E135">
        <v>66.666666666666657</v>
      </c>
      <c r="F135">
        <v>100</v>
      </c>
      <c r="G135">
        <v>100</v>
      </c>
      <c r="H135">
        <v>75</v>
      </c>
      <c r="I135">
        <v>50</v>
      </c>
      <c r="J135">
        <v>7.7387802071346377</v>
      </c>
      <c r="K135">
        <v>33.333333333333329</v>
      </c>
      <c r="L135">
        <v>33.474969371649784</v>
      </c>
      <c r="M135">
        <f t="shared" si="4"/>
        <v>-45.427624848512444</v>
      </c>
      <c r="N135">
        <f t="shared" si="5"/>
        <v>-46.228803336809619</v>
      </c>
      <c r="O135">
        <f t="shared" si="6"/>
        <v>-42.315451497639046</v>
      </c>
      <c r="Q135">
        <f t="shared" si="7"/>
        <v>44.590239977152635</v>
      </c>
    </row>
    <row r="136" spans="1:17" x14ac:dyDescent="0.45">
      <c r="A136">
        <v>195</v>
      </c>
      <c r="B136">
        <v>0</v>
      </c>
      <c r="C136">
        <v>0</v>
      </c>
      <c r="D136">
        <v>19.747295315666683</v>
      </c>
      <c r="E136">
        <v>33.333333333333329</v>
      </c>
      <c r="F136">
        <v>100</v>
      </c>
      <c r="G136">
        <v>0</v>
      </c>
      <c r="H136">
        <v>75</v>
      </c>
      <c r="I136">
        <v>66.666666666666657</v>
      </c>
      <c r="J136">
        <v>65.189873417721529</v>
      </c>
      <c r="K136">
        <v>33.333333333333329</v>
      </c>
      <c r="L136">
        <v>31.413544831270848</v>
      </c>
      <c r="M136">
        <f t="shared" ref="M136:M199" si="8">D136*D$1+E136*E$1+F136*F$1+G136*G$1+H136*H$1+I136*I$1+J136*J$1+K136*K$1+L136*L$1</f>
        <v>-45.95475221949404</v>
      </c>
      <c r="N136">
        <f t="shared" ref="N136:N199" si="9">D136*D$2+E136*E$2+F136*F$2+G136*G$2+H136*H$2+I136*I$2+J136*J$2+L136*L$2</f>
        <v>-46.790849918204913</v>
      </c>
      <c r="O136">
        <f t="shared" ref="O136:O199" si="10">D136*D$3+E136*E$3+F136*F$3+H136*H$3+I136*I$3+J136*J$3+K136*K$3+L136*L$3</f>
        <v>-48.575476620924114</v>
      </c>
      <c r="Q136">
        <f t="shared" ref="Q136:Q199" si="11">(M136-$R$3)/($R$2-$R$3)*100</f>
        <v>44.063112606171039</v>
      </c>
    </row>
    <row r="137" spans="1:17" x14ac:dyDescent="0.45">
      <c r="A137">
        <v>196</v>
      </c>
      <c r="B137">
        <v>0</v>
      </c>
      <c r="C137">
        <v>0</v>
      </c>
      <c r="D137">
        <v>19.747295315666683</v>
      </c>
      <c r="E137">
        <v>66.666666666666657</v>
      </c>
      <c r="F137">
        <v>100</v>
      </c>
      <c r="G137">
        <v>0</v>
      </c>
      <c r="H137">
        <v>75</v>
      </c>
      <c r="I137">
        <v>33.333333333333329</v>
      </c>
      <c r="J137">
        <v>16.7433831990794</v>
      </c>
      <c r="K137">
        <v>0</v>
      </c>
      <c r="L137">
        <v>32.286366136450539</v>
      </c>
      <c r="M137">
        <f t="shared" si="8"/>
        <v>-37.18100944711275</v>
      </c>
      <c r="N137">
        <f t="shared" si="9"/>
        <v>-39.644041275377674</v>
      </c>
      <c r="O137">
        <f t="shared" si="10"/>
        <v>-39.3013816397957</v>
      </c>
      <c r="Q137">
        <f t="shared" si="11"/>
        <v>52.836855378552329</v>
      </c>
    </row>
    <row r="138" spans="1:17" x14ac:dyDescent="0.45">
      <c r="A138">
        <v>197</v>
      </c>
      <c r="B138">
        <v>0</v>
      </c>
      <c r="C138">
        <v>0</v>
      </c>
      <c r="D138">
        <v>21.406934447362801</v>
      </c>
      <c r="E138">
        <v>0</v>
      </c>
      <c r="F138">
        <v>0</v>
      </c>
      <c r="G138">
        <v>100</v>
      </c>
      <c r="H138">
        <v>75</v>
      </c>
      <c r="I138">
        <v>83.333333333333343</v>
      </c>
      <c r="J138">
        <v>60.414269275028765</v>
      </c>
      <c r="K138">
        <v>100</v>
      </c>
      <c r="L138">
        <v>16.901539632856952</v>
      </c>
      <c r="M138">
        <f t="shared" si="8"/>
        <v>-36.958111616810619</v>
      </c>
      <c r="N138">
        <f t="shared" si="9"/>
        <v>-32.78194265554059</v>
      </c>
      <c r="O138">
        <f t="shared" si="10"/>
        <v>-33.362935770601389</v>
      </c>
      <c r="Q138">
        <f t="shared" si="11"/>
        <v>53.059753208854467</v>
      </c>
    </row>
    <row r="139" spans="1:17" x14ac:dyDescent="0.45">
      <c r="A139">
        <v>198</v>
      </c>
      <c r="B139">
        <v>0</v>
      </c>
      <c r="C139">
        <v>0</v>
      </c>
      <c r="D139">
        <v>19.747295315666683</v>
      </c>
      <c r="E139">
        <v>66.666666666666657</v>
      </c>
      <c r="F139">
        <v>100</v>
      </c>
      <c r="G139">
        <v>0</v>
      </c>
      <c r="H139">
        <v>75</v>
      </c>
      <c r="I139">
        <v>66.666666666666657</v>
      </c>
      <c r="J139">
        <v>33.88952819332566</v>
      </c>
      <c r="K139">
        <v>66.666666666666657</v>
      </c>
      <c r="L139">
        <v>21.319065572151654</v>
      </c>
      <c r="M139">
        <f t="shared" si="8"/>
        <v>-44.34603980679951</v>
      </c>
      <c r="N139">
        <f t="shared" si="9"/>
        <v>-42.867424373808696</v>
      </c>
      <c r="O139">
        <f t="shared" si="10"/>
        <v>-46.875021968935251</v>
      </c>
      <c r="Q139">
        <f t="shared" si="11"/>
        <v>45.671825018865569</v>
      </c>
    </row>
    <row r="140" spans="1:17" x14ac:dyDescent="0.45">
      <c r="A140">
        <v>199</v>
      </c>
      <c r="B140">
        <v>0</v>
      </c>
      <c r="C140">
        <v>0</v>
      </c>
      <c r="D140">
        <v>18.873729028308635</v>
      </c>
      <c r="E140">
        <v>33.333333333333329</v>
      </c>
      <c r="F140">
        <v>0</v>
      </c>
      <c r="G140">
        <v>100</v>
      </c>
      <c r="H140">
        <v>75</v>
      </c>
      <c r="I140">
        <v>33.333333333333329</v>
      </c>
      <c r="J140">
        <v>14.873417721518987</v>
      </c>
      <c r="K140">
        <v>0</v>
      </c>
      <c r="L140">
        <v>35.049491226000754</v>
      </c>
      <c r="M140">
        <f t="shared" si="8"/>
        <v>-27.127970009128752</v>
      </c>
      <c r="N140">
        <f t="shared" si="9"/>
        <v>-28.925044767514287</v>
      </c>
      <c r="O140">
        <f t="shared" si="10"/>
        <v>-22.97219725538497</v>
      </c>
      <c r="Q140">
        <f t="shared" si="11"/>
        <v>62.889894816536327</v>
      </c>
    </row>
    <row r="141" spans="1:17" x14ac:dyDescent="0.45">
      <c r="A141">
        <v>201</v>
      </c>
      <c r="B141">
        <v>0</v>
      </c>
      <c r="C141">
        <v>0</v>
      </c>
      <c r="D141">
        <v>17.920006574288859</v>
      </c>
      <c r="E141">
        <v>66.666666666666657</v>
      </c>
      <c r="F141">
        <v>100</v>
      </c>
      <c r="G141">
        <v>0</v>
      </c>
      <c r="H141">
        <v>75</v>
      </c>
      <c r="I141">
        <v>33.333333333333329</v>
      </c>
      <c r="J141">
        <v>28.797468354430379</v>
      </c>
      <c r="K141">
        <v>0</v>
      </c>
      <c r="L141">
        <v>29.538158557726739</v>
      </c>
      <c r="M141">
        <f t="shared" si="8"/>
        <v>-38.225406089799222</v>
      </c>
      <c r="N141">
        <f t="shared" si="9"/>
        <v>-40.757623295506058</v>
      </c>
      <c r="O141">
        <f t="shared" si="10"/>
        <v>-40.40533851584361</v>
      </c>
      <c r="Q141">
        <f t="shared" si="11"/>
        <v>51.792458735865857</v>
      </c>
    </row>
    <row r="142" spans="1:17" x14ac:dyDescent="0.45">
      <c r="A142">
        <v>202</v>
      </c>
      <c r="B142">
        <v>0</v>
      </c>
      <c r="C142">
        <v>0</v>
      </c>
      <c r="D142">
        <v>17.920006574288859</v>
      </c>
      <c r="E142">
        <v>66.666666666666657</v>
      </c>
      <c r="F142">
        <v>100</v>
      </c>
      <c r="G142">
        <v>0</v>
      </c>
      <c r="H142">
        <v>75</v>
      </c>
      <c r="I142">
        <v>33.333333333333329</v>
      </c>
      <c r="J142">
        <v>28.768699654775602</v>
      </c>
      <c r="K142">
        <v>0</v>
      </c>
      <c r="L142">
        <v>29.538158557726739</v>
      </c>
      <c r="M142">
        <f t="shared" si="8"/>
        <v>-38.221744940445788</v>
      </c>
      <c r="N142">
        <f t="shared" si="9"/>
        <v>-40.753719615690976</v>
      </c>
      <c r="O142">
        <f t="shared" si="10"/>
        <v>-40.401468577127062</v>
      </c>
      <c r="Q142">
        <f t="shared" si="11"/>
        <v>51.796119885219291</v>
      </c>
    </row>
    <row r="143" spans="1:17" x14ac:dyDescent="0.45">
      <c r="A143">
        <v>204</v>
      </c>
      <c r="B143">
        <v>0</v>
      </c>
      <c r="C143">
        <v>0</v>
      </c>
      <c r="D143">
        <v>12.083272860114009</v>
      </c>
      <c r="E143">
        <v>0</v>
      </c>
      <c r="F143">
        <v>0</v>
      </c>
      <c r="G143">
        <v>100</v>
      </c>
      <c r="H143">
        <v>75</v>
      </c>
      <c r="I143">
        <v>33.333333333333329</v>
      </c>
      <c r="J143">
        <v>18.613348676639816</v>
      </c>
      <c r="K143">
        <v>0</v>
      </c>
      <c r="L143">
        <v>35.22652159977757</v>
      </c>
      <c r="M143">
        <f t="shared" si="8"/>
        <v>-25.552946492211653</v>
      </c>
      <c r="N143">
        <f t="shared" si="9"/>
        <v>-27.245684840421163</v>
      </c>
      <c r="O143">
        <f t="shared" si="10"/>
        <v>-21.307352721831862</v>
      </c>
      <c r="Q143">
        <f t="shared" si="11"/>
        <v>64.46491833345344</v>
      </c>
    </row>
    <row r="144" spans="1:17" x14ac:dyDescent="0.45">
      <c r="A144">
        <v>205</v>
      </c>
      <c r="B144">
        <v>0</v>
      </c>
      <c r="C144">
        <v>0</v>
      </c>
      <c r="D144">
        <v>12.507172842516326</v>
      </c>
      <c r="E144">
        <v>33.333333333333329</v>
      </c>
      <c r="F144">
        <v>0</v>
      </c>
      <c r="G144">
        <v>100</v>
      </c>
      <c r="H144">
        <v>75</v>
      </c>
      <c r="I144">
        <v>33.333333333333329</v>
      </c>
      <c r="J144">
        <v>38.204833141542004</v>
      </c>
      <c r="K144">
        <v>100</v>
      </c>
      <c r="L144">
        <v>38.108990395232595</v>
      </c>
      <c r="M144">
        <f t="shared" si="8"/>
        <v>-37.693696487822983</v>
      </c>
      <c r="N144">
        <f t="shared" si="9"/>
        <v>-33.566255868699514</v>
      </c>
      <c r="O144">
        <f t="shared" si="10"/>
        <v>-34.140469844420402</v>
      </c>
      <c r="Q144">
        <f t="shared" si="11"/>
        <v>52.324168337842089</v>
      </c>
    </row>
    <row r="145" spans="1:17" x14ac:dyDescent="0.45">
      <c r="A145">
        <v>207</v>
      </c>
      <c r="B145">
        <v>0</v>
      </c>
      <c r="C145">
        <v>1</v>
      </c>
      <c r="D145">
        <v>17.617915012503381</v>
      </c>
      <c r="E145">
        <v>66.666666666666657</v>
      </c>
      <c r="F145">
        <v>0</v>
      </c>
      <c r="G145">
        <v>100</v>
      </c>
      <c r="H145">
        <v>75</v>
      </c>
      <c r="I145">
        <v>33.333333333333329</v>
      </c>
      <c r="J145">
        <v>8.2566168009205985</v>
      </c>
      <c r="K145">
        <v>0</v>
      </c>
      <c r="L145">
        <v>36.828896035502254</v>
      </c>
      <c r="M145">
        <f t="shared" si="8"/>
        <v>-29.618481068060213</v>
      </c>
      <c r="N145">
        <f t="shared" si="9"/>
        <v>-31.580538114393558</v>
      </c>
      <c r="O145">
        <f t="shared" si="10"/>
        <v>-25.604738089017388</v>
      </c>
      <c r="Q145">
        <f t="shared" si="11"/>
        <v>60.399383757604866</v>
      </c>
    </row>
    <row r="146" spans="1:17" x14ac:dyDescent="0.45">
      <c r="A146">
        <v>208</v>
      </c>
      <c r="B146">
        <v>0</v>
      </c>
      <c r="C146">
        <v>0</v>
      </c>
      <c r="D146">
        <v>20.968596073594686</v>
      </c>
      <c r="E146">
        <v>33.333333333333329</v>
      </c>
      <c r="F146">
        <v>0</v>
      </c>
      <c r="G146">
        <v>100</v>
      </c>
      <c r="H146">
        <v>75</v>
      </c>
      <c r="I146">
        <v>50</v>
      </c>
      <c r="J146">
        <v>15.420023014959725</v>
      </c>
      <c r="K146">
        <v>0</v>
      </c>
      <c r="L146">
        <v>7.435413871523556</v>
      </c>
      <c r="M146">
        <f t="shared" si="8"/>
        <v>-21.997337047883779</v>
      </c>
      <c r="N146">
        <f t="shared" si="9"/>
        <v>-23.454536357199899</v>
      </c>
      <c r="O146">
        <f t="shared" si="10"/>
        <v>-17.548972682893915</v>
      </c>
      <c r="Q146">
        <f t="shared" si="11"/>
        <v>68.020527777781297</v>
      </c>
    </row>
    <row r="147" spans="1:17" x14ac:dyDescent="0.45">
      <c r="A147">
        <v>209</v>
      </c>
      <c r="B147">
        <v>0</v>
      </c>
      <c r="C147">
        <v>0</v>
      </c>
      <c r="D147">
        <v>19.606451610581001</v>
      </c>
      <c r="E147">
        <v>0</v>
      </c>
      <c r="F147">
        <v>100</v>
      </c>
      <c r="G147">
        <v>0</v>
      </c>
      <c r="H147">
        <v>75</v>
      </c>
      <c r="I147">
        <v>16.666666666666664</v>
      </c>
      <c r="J147">
        <v>98.820483314154188</v>
      </c>
      <c r="K147">
        <v>33.333333333333329</v>
      </c>
      <c r="L147">
        <v>35.031110274809365</v>
      </c>
      <c r="M147">
        <f t="shared" si="8"/>
        <v>-43.076803595821069</v>
      </c>
      <c r="N147">
        <f t="shared" si="9"/>
        <v>-43.722253456680704</v>
      </c>
      <c r="O147">
        <f t="shared" si="10"/>
        <v>-45.533403291538491</v>
      </c>
      <c r="Q147">
        <f t="shared" si="11"/>
        <v>46.94106122984401</v>
      </c>
    </row>
    <row r="148" spans="1:17" x14ac:dyDescent="0.45">
      <c r="A148">
        <v>210</v>
      </c>
      <c r="B148">
        <v>0</v>
      </c>
      <c r="C148">
        <v>0</v>
      </c>
      <c r="D148">
        <v>10.087306687144613</v>
      </c>
      <c r="E148">
        <v>100</v>
      </c>
      <c r="F148">
        <v>100</v>
      </c>
      <c r="G148">
        <v>100</v>
      </c>
      <c r="H148">
        <v>75</v>
      </c>
      <c r="I148">
        <v>83.333333333333343</v>
      </c>
      <c r="J148">
        <v>100</v>
      </c>
      <c r="K148">
        <v>66.666666666666657</v>
      </c>
      <c r="L148">
        <v>45.771122332010144</v>
      </c>
      <c r="M148">
        <f t="shared" si="8"/>
        <v>-69.631692979986965</v>
      </c>
      <c r="N148">
        <f t="shared" si="9"/>
        <v>-69.828109222847146</v>
      </c>
      <c r="O148">
        <f t="shared" si="10"/>
        <v>-67.89983807067668</v>
      </c>
      <c r="Q148">
        <f t="shared" si="11"/>
        <v>20.38617184567811</v>
      </c>
    </row>
    <row r="149" spans="1:17" x14ac:dyDescent="0.45">
      <c r="A149">
        <v>211</v>
      </c>
      <c r="B149">
        <v>0</v>
      </c>
      <c r="C149">
        <v>0</v>
      </c>
      <c r="D149">
        <v>9.4785391661857545</v>
      </c>
      <c r="E149">
        <v>100</v>
      </c>
      <c r="F149">
        <v>100</v>
      </c>
      <c r="G149">
        <v>100</v>
      </c>
      <c r="H149">
        <v>75</v>
      </c>
      <c r="I149">
        <v>50</v>
      </c>
      <c r="J149">
        <v>44.706559263521292</v>
      </c>
      <c r="K149">
        <v>0</v>
      </c>
      <c r="L149">
        <v>45.771122332010144</v>
      </c>
      <c r="M149">
        <f t="shared" si="8"/>
        <v>-54.9908799659149</v>
      </c>
      <c r="N149">
        <f t="shared" si="9"/>
        <v>-58.63371510230364</v>
      </c>
      <c r="O149">
        <f t="shared" si="10"/>
        <v>-52.424083422288135</v>
      </c>
      <c r="Q149">
        <f t="shared" si="11"/>
        <v>35.026984859750179</v>
      </c>
    </row>
    <row r="150" spans="1:17" x14ac:dyDescent="0.45">
      <c r="A150">
        <v>213</v>
      </c>
      <c r="B150">
        <v>0</v>
      </c>
      <c r="C150">
        <v>0</v>
      </c>
      <c r="D150">
        <v>10.114722725830379</v>
      </c>
      <c r="E150">
        <v>66.666666666666657</v>
      </c>
      <c r="F150">
        <v>0</v>
      </c>
      <c r="G150">
        <v>100</v>
      </c>
      <c r="H150">
        <v>100</v>
      </c>
      <c r="I150">
        <v>33.333333333333329</v>
      </c>
      <c r="J150">
        <v>79.056386651323365</v>
      </c>
      <c r="K150">
        <v>100</v>
      </c>
      <c r="L150">
        <v>52.595562708631149</v>
      </c>
      <c r="M150">
        <f t="shared" si="8"/>
        <v>-51.731954597314527</v>
      </c>
      <c r="N150">
        <f t="shared" si="9"/>
        <v>-48.534469271262338</v>
      </c>
      <c r="O150">
        <f t="shared" si="10"/>
        <v>-48.979306866956577</v>
      </c>
      <c r="Q150">
        <f t="shared" si="11"/>
        <v>38.285910228350552</v>
      </c>
    </row>
    <row r="151" spans="1:17" x14ac:dyDescent="0.45">
      <c r="A151">
        <v>214</v>
      </c>
      <c r="B151">
        <v>0</v>
      </c>
      <c r="C151">
        <v>0</v>
      </c>
      <c r="D151">
        <v>9.5170608655139528</v>
      </c>
      <c r="E151">
        <v>66.666666666666657</v>
      </c>
      <c r="F151">
        <v>0</v>
      </c>
      <c r="G151">
        <v>100</v>
      </c>
      <c r="H151">
        <v>100</v>
      </c>
      <c r="I151">
        <v>33.333333333333329</v>
      </c>
      <c r="J151">
        <v>59.781357882623709</v>
      </c>
      <c r="K151">
        <v>100</v>
      </c>
      <c r="L151">
        <v>49.662779719420897</v>
      </c>
      <c r="M151">
        <f t="shared" si="8"/>
        <v>-48.62148180290334</v>
      </c>
      <c r="N151">
        <f t="shared" si="9"/>
        <v>-45.217945226293139</v>
      </c>
      <c r="O151">
        <f t="shared" si="10"/>
        <v>-45.691448893459608</v>
      </c>
      <c r="Q151">
        <f t="shared" si="11"/>
        <v>41.396383022761739</v>
      </c>
    </row>
    <row r="152" spans="1:17" x14ac:dyDescent="0.45">
      <c r="A152">
        <v>215</v>
      </c>
      <c r="B152">
        <v>0</v>
      </c>
      <c r="C152">
        <v>0</v>
      </c>
      <c r="D152">
        <v>10.931122604164271</v>
      </c>
      <c r="E152">
        <v>100</v>
      </c>
      <c r="F152">
        <v>100</v>
      </c>
      <c r="G152">
        <v>100</v>
      </c>
      <c r="H152">
        <v>75</v>
      </c>
      <c r="I152">
        <v>33.333333333333329</v>
      </c>
      <c r="J152">
        <v>31.674338319907942</v>
      </c>
      <c r="K152">
        <v>0</v>
      </c>
      <c r="L152">
        <v>57.236907624797666</v>
      </c>
      <c r="M152">
        <f t="shared" si="8"/>
        <v>-54.229672944759272</v>
      </c>
      <c r="N152">
        <f t="shared" si="9"/>
        <v>-57.822082416302315</v>
      </c>
      <c r="O152">
        <f t="shared" si="10"/>
        <v>-51.619466008985157</v>
      </c>
      <c r="Q152">
        <f t="shared" si="11"/>
        <v>35.788191880905806</v>
      </c>
    </row>
    <row r="153" spans="1:17" x14ac:dyDescent="0.45">
      <c r="A153">
        <v>216</v>
      </c>
      <c r="B153">
        <v>1</v>
      </c>
      <c r="C153">
        <v>0</v>
      </c>
      <c r="D153">
        <v>13.46490647469995</v>
      </c>
      <c r="E153">
        <v>0</v>
      </c>
      <c r="F153">
        <v>0</v>
      </c>
      <c r="G153">
        <v>100</v>
      </c>
      <c r="H153">
        <v>100</v>
      </c>
      <c r="I153">
        <v>16.666666666666664</v>
      </c>
      <c r="J153">
        <v>13.34867663981588</v>
      </c>
      <c r="K153">
        <v>0</v>
      </c>
      <c r="L153">
        <v>26.381205387872772</v>
      </c>
      <c r="M153">
        <f t="shared" si="8"/>
        <v>-23.106666697793603</v>
      </c>
      <c r="N153">
        <f t="shared" si="9"/>
        <v>-24.637352829452524</v>
      </c>
      <c r="O153">
        <f t="shared" si="10"/>
        <v>-18.721565589427616</v>
      </c>
      <c r="Q153">
        <f t="shared" si="11"/>
        <v>66.911198127871486</v>
      </c>
    </row>
    <row r="154" spans="1:17" x14ac:dyDescent="0.45">
      <c r="A154">
        <v>217</v>
      </c>
      <c r="B154">
        <v>0</v>
      </c>
      <c r="C154">
        <v>0</v>
      </c>
      <c r="D154">
        <v>14.987480058995059</v>
      </c>
      <c r="E154">
        <v>33.333333333333329</v>
      </c>
      <c r="F154">
        <v>0</v>
      </c>
      <c r="G154">
        <v>100</v>
      </c>
      <c r="H154">
        <v>100</v>
      </c>
      <c r="I154">
        <v>66.666666666666657</v>
      </c>
      <c r="J154">
        <v>13.86651323360184</v>
      </c>
      <c r="K154">
        <v>0</v>
      </c>
      <c r="L154">
        <v>42.02521686352322</v>
      </c>
      <c r="M154">
        <f t="shared" si="8"/>
        <v>-34.90256412104246</v>
      </c>
      <c r="N154">
        <f t="shared" si="9"/>
        <v>-37.214661818133365</v>
      </c>
      <c r="O154">
        <f t="shared" si="10"/>
        <v>-31.190163761147936</v>
      </c>
      <c r="Q154">
        <f t="shared" si="11"/>
        <v>55.115300704622619</v>
      </c>
    </row>
    <row r="155" spans="1:17" x14ac:dyDescent="0.45">
      <c r="A155">
        <v>218</v>
      </c>
      <c r="B155">
        <v>0</v>
      </c>
      <c r="C155">
        <v>1</v>
      </c>
      <c r="D155">
        <v>16.022127536956635</v>
      </c>
      <c r="E155">
        <v>100</v>
      </c>
      <c r="F155">
        <v>0</v>
      </c>
      <c r="G155">
        <v>100</v>
      </c>
      <c r="H155">
        <v>75</v>
      </c>
      <c r="I155">
        <v>83.333333333333343</v>
      </c>
      <c r="J155">
        <v>35.184119677790562</v>
      </c>
      <c r="K155">
        <v>0</v>
      </c>
      <c r="L155">
        <v>30.835625417170746</v>
      </c>
      <c r="M155">
        <f t="shared" si="8"/>
        <v>-39.79556370419369</v>
      </c>
      <c r="N155">
        <f t="shared" si="9"/>
        <v>-42.431794981523495</v>
      </c>
      <c r="O155">
        <f t="shared" si="10"/>
        <v>-36.362203112428134</v>
      </c>
      <c r="Q155">
        <f t="shared" si="11"/>
        <v>50.222301121471389</v>
      </c>
    </row>
    <row r="156" spans="1:17" x14ac:dyDescent="0.45">
      <c r="A156">
        <v>219</v>
      </c>
      <c r="B156">
        <v>0</v>
      </c>
      <c r="C156">
        <v>0</v>
      </c>
      <c r="D156">
        <v>17.321437301310887</v>
      </c>
      <c r="E156">
        <v>100</v>
      </c>
      <c r="F156">
        <v>100</v>
      </c>
      <c r="G156">
        <v>100</v>
      </c>
      <c r="H156">
        <v>75</v>
      </c>
      <c r="I156">
        <v>50</v>
      </c>
      <c r="J156">
        <v>63.291139240506332</v>
      </c>
      <c r="K156">
        <v>100</v>
      </c>
      <c r="L156">
        <v>16.712100241458707</v>
      </c>
      <c r="M156">
        <f t="shared" si="8"/>
        <v>-55.680072383736089</v>
      </c>
      <c r="N156">
        <f t="shared" si="9"/>
        <v>-52.74412755683381</v>
      </c>
      <c r="O156">
        <f t="shared" si="10"/>
        <v>-53.152579357143587</v>
      </c>
      <c r="Q156">
        <f t="shared" si="11"/>
        <v>34.33779244192899</v>
      </c>
    </row>
    <row r="157" spans="1:17" x14ac:dyDescent="0.45">
      <c r="A157">
        <v>220</v>
      </c>
      <c r="B157">
        <v>0</v>
      </c>
      <c r="C157">
        <v>0</v>
      </c>
      <c r="D157">
        <v>18.385326876764491</v>
      </c>
      <c r="E157">
        <v>0</v>
      </c>
      <c r="F157">
        <v>100</v>
      </c>
      <c r="G157">
        <v>0</v>
      </c>
      <c r="H157">
        <v>75</v>
      </c>
      <c r="I157">
        <v>50</v>
      </c>
      <c r="J157">
        <v>100</v>
      </c>
      <c r="K157">
        <v>0</v>
      </c>
      <c r="L157">
        <v>30.79790232246388</v>
      </c>
      <c r="M157">
        <f t="shared" si="8"/>
        <v>-43.765630388133289</v>
      </c>
      <c r="N157">
        <f t="shared" si="9"/>
        <v>-46.664856155077103</v>
      </c>
      <c r="O157">
        <f t="shared" si="10"/>
        <v>-46.261512749859861</v>
      </c>
      <c r="Q157">
        <f t="shared" si="11"/>
        <v>46.25223443753179</v>
      </c>
    </row>
    <row r="158" spans="1:17" x14ac:dyDescent="0.45">
      <c r="A158">
        <v>221</v>
      </c>
      <c r="B158">
        <v>0</v>
      </c>
      <c r="C158">
        <v>0</v>
      </c>
      <c r="D158">
        <v>18.695858327356294</v>
      </c>
      <c r="E158">
        <v>33.333333333333329</v>
      </c>
      <c r="F158">
        <v>0</v>
      </c>
      <c r="G158">
        <v>100</v>
      </c>
      <c r="H158">
        <v>75</v>
      </c>
      <c r="I158">
        <v>50</v>
      </c>
      <c r="J158">
        <v>38.808975834292291</v>
      </c>
      <c r="K158">
        <v>66.666666666666657</v>
      </c>
      <c r="L158">
        <v>36.022776241286053</v>
      </c>
      <c r="M158">
        <f t="shared" si="8"/>
        <v>-36.333183713810634</v>
      </c>
      <c r="N158">
        <f t="shared" si="9"/>
        <v>-34.323761831887587</v>
      </c>
      <c r="O158">
        <f t="shared" si="10"/>
        <v>-32.702369250800594</v>
      </c>
      <c r="Q158">
        <f t="shared" si="11"/>
        <v>53.684681111854445</v>
      </c>
    </row>
    <row r="159" spans="1:17" x14ac:dyDescent="0.45">
      <c r="A159">
        <v>222</v>
      </c>
      <c r="B159">
        <v>0</v>
      </c>
      <c r="C159">
        <v>0</v>
      </c>
      <c r="D159">
        <v>17.748641113056063</v>
      </c>
      <c r="E159">
        <v>66.666666666666657</v>
      </c>
      <c r="F159">
        <v>0</v>
      </c>
      <c r="G159">
        <v>100</v>
      </c>
      <c r="H159">
        <v>100</v>
      </c>
      <c r="I159">
        <v>100</v>
      </c>
      <c r="J159">
        <v>95.799769850402754</v>
      </c>
      <c r="K159">
        <v>100</v>
      </c>
      <c r="L159">
        <v>20.55188613738779</v>
      </c>
      <c r="M159">
        <f t="shared" si="8"/>
        <v>-52.310860314089361</v>
      </c>
      <c r="N159">
        <f t="shared" si="9"/>
        <v>-49.151724221346974</v>
      </c>
      <c r="O159">
        <f t="shared" si="10"/>
        <v>-49.591226630479674</v>
      </c>
      <c r="Q159">
        <f t="shared" si="11"/>
        <v>37.707004511575718</v>
      </c>
    </row>
    <row r="160" spans="1:17" x14ac:dyDescent="0.45">
      <c r="A160">
        <v>223</v>
      </c>
      <c r="B160">
        <v>0</v>
      </c>
      <c r="C160">
        <v>0</v>
      </c>
      <c r="D160">
        <v>23.706333964100725</v>
      </c>
      <c r="E160">
        <v>66.666666666666657</v>
      </c>
      <c r="F160">
        <v>0</v>
      </c>
      <c r="G160">
        <v>100</v>
      </c>
      <c r="H160">
        <v>75</v>
      </c>
      <c r="I160">
        <v>83.333333333333343</v>
      </c>
      <c r="J160">
        <v>17.721518987341771</v>
      </c>
      <c r="K160">
        <v>66.666666666666657</v>
      </c>
      <c r="L160">
        <v>15.775358045297539</v>
      </c>
      <c r="M160">
        <f t="shared" si="8"/>
        <v>-34.493282803156866</v>
      </c>
      <c r="N160">
        <f t="shared" si="9"/>
        <v>-32.361977880101222</v>
      </c>
      <c r="O160">
        <f t="shared" si="10"/>
        <v>-30.757541798714655</v>
      </c>
      <c r="Q160">
        <f t="shared" si="11"/>
        <v>55.52458202250822</v>
      </c>
    </row>
    <row r="161" spans="1:17" x14ac:dyDescent="0.45">
      <c r="A161">
        <v>224</v>
      </c>
      <c r="B161">
        <v>0</v>
      </c>
      <c r="C161">
        <v>0</v>
      </c>
      <c r="D161">
        <v>25.111858664121627</v>
      </c>
      <c r="E161">
        <v>33.333333333333329</v>
      </c>
      <c r="F161">
        <v>100</v>
      </c>
      <c r="G161">
        <v>100</v>
      </c>
      <c r="H161">
        <v>100</v>
      </c>
      <c r="I161">
        <v>33.333333333333329</v>
      </c>
      <c r="J161">
        <v>12.11162255466053</v>
      </c>
      <c r="K161">
        <v>0</v>
      </c>
      <c r="L161">
        <v>12.016134071999286</v>
      </c>
      <c r="M161">
        <f t="shared" si="8"/>
        <v>-36.008459163264938</v>
      </c>
      <c r="N161">
        <f t="shared" si="9"/>
        <v>-38.393816159342578</v>
      </c>
      <c r="O161">
        <f t="shared" si="10"/>
        <v>-32.359126189932098</v>
      </c>
      <c r="Q161">
        <f t="shared" si="11"/>
        <v>54.009405662400148</v>
      </c>
    </row>
    <row r="162" spans="1:17" x14ac:dyDescent="0.45">
      <c r="A162">
        <v>225</v>
      </c>
      <c r="B162">
        <v>0</v>
      </c>
      <c r="C162">
        <v>0</v>
      </c>
      <c r="D162">
        <v>32.718394629960287</v>
      </c>
      <c r="E162">
        <v>66.666666666666657</v>
      </c>
      <c r="F162">
        <v>100</v>
      </c>
      <c r="G162">
        <v>100</v>
      </c>
      <c r="H162">
        <v>50</v>
      </c>
      <c r="I162">
        <v>100</v>
      </c>
      <c r="J162">
        <v>4.7180667433831998</v>
      </c>
      <c r="K162">
        <v>0</v>
      </c>
      <c r="L162">
        <v>10.782514976193848</v>
      </c>
      <c r="M162">
        <f t="shared" si="8"/>
        <v>-39.252426829664678</v>
      </c>
      <c r="N162">
        <f t="shared" si="9"/>
        <v>-41.852678357413652</v>
      </c>
      <c r="O162">
        <f t="shared" si="10"/>
        <v>-35.78809202975637</v>
      </c>
      <c r="Q162">
        <f t="shared" si="11"/>
        <v>50.765437996000394</v>
      </c>
    </row>
    <row r="163" spans="1:17" x14ac:dyDescent="0.45">
      <c r="A163">
        <v>226</v>
      </c>
      <c r="B163">
        <v>0</v>
      </c>
      <c r="C163">
        <v>0</v>
      </c>
      <c r="D163">
        <v>33.787388027463976</v>
      </c>
      <c r="E163">
        <v>33.333333333333329</v>
      </c>
      <c r="F163">
        <v>100</v>
      </c>
      <c r="G163">
        <v>100</v>
      </c>
      <c r="H163">
        <v>75</v>
      </c>
      <c r="I163">
        <v>33.333333333333329</v>
      </c>
      <c r="J163">
        <v>10.960874568469507</v>
      </c>
      <c r="K163">
        <v>66.666666666666657</v>
      </c>
      <c r="L163">
        <v>19.011996071598556</v>
      </c>
      <c r="M163">
        <f t="shared" si="8"/>
        <v>-38.562572217720813</v>
      </c>
      <c r="N163">
        <f t="shared" si="9"/>
        <v>-36.700834729641599</v>
      </c>
      <c r="O163">
        <f t="shared" si="10"/>
        <v>-35.058896136929846</v>
      </c>
      <c r="Q163">
        <f t="shared" si="11"/>
        <v>51.455292607944273</v>
      </c>
    </row>
    <row r="164" spans="1:17" x14ac:dyDescent="0.45">
      <c r="A164">
        <v>227</v>
      </c>
      <c r="B164">
        <v>1</v>
      </c>
      <c r="C164">
        <v>0</v>
      </c>
      <c r="D164">
        <v>33.407244924439382</v>
      </c>
      <c r="E164">
        <v>100</v>
      </c>
      <c r="F164">
        <v>0</v>
      </c>
      <c r="G164">
        <v>100</v>
      </c>
      <c r="H164">
        <v>100</v>
      </c>
      <c r="I164">
        <v>33.333333333333329</v>
      </c>
      <c r="J164">
        <v>28.193325661680092</v>
      </c>
      <c r="K164">
        <v>33.333333333333329</v>
      </c>
      <c r="L164">
        <v>12.734953123449253</v>
      </c>
      <c r="M164">
        <f t="shared" si="8"/>
        <v>-31.816901558907553</v>
      </c>
      <c r="N164">
        <f t="shared" si="9"/>
        <v>-31.71644652066778</v>
      </c>
      <c r="O164">
        <f t="shared" si="10"/>
        <v>-27.92853090691915</v>
      </c>
      <c r="Q164">
        <f t="shared" si="11"/>
        <v>58.200963266757533</v>
      </c>
    </row>
    <row r="165" spans="1:17" x14ac:dyDescent="0.45">
      <c r="A165">
        <v>230</v>
      </c>
      <c r="B165">
        <v>0</v>
      </c>
      <c r="C165">
        <v>0</v>
      </c>
      <c r="D165">
        <v>38.637266382443748</v>
      </c>
      <c r="E165">
        <v>33.333333333333329</v>
      </c>
      <c r="F165">
        <v>0</v>
      </c>
      <c r="G165">
        <v>100</v>
      </c>
      <c r="H165">
        <v>50</v>
      </c>
      <c r="I165">
        <v>33.333333333333329</v>
      </c>
      <c r="J165">
        <v>22.266973532796317</v>
      </c>
      <c r="K165">
        <v>33.333333333333329</v>
      </c>
      <c r="L165">
        <v>15.3475022415351</v>
      </c>
      <c r="M165">
        <f t="shared" si="8"/>
        <v>-21.063163718138966</v>
      </c>
      <c r="N165">
        <f t="shared" si="9"/>
        <v>-20.250334299308342</v>
      </c>
      <c r="O165">
        <f t="shared" si="10"/>
        <v>-16.561524975153681</v>
      </c>
      <c r="Q165">
        <f t="shared" si="11"/>
        <v>68.95470110752612</v>
      </c>
    </row>
    <row r="166" spans="1:17" x14ac:dyDescent="0.45">
      <c r="A166">
        <v>231</v>
      </c>
      <c r="B166">
        <v>1</v>
      </c>
      <c r="C166">
        <v>0</v>
      </c>
      <c r="D166">
        <v>38.497762057352617</v>
      </c>
      <c r="E166">
        <v>100</v>
      </c>
      <c r="F166">
        <v>0</v>
      </c>
      <c r="G166">
        <v>100</v>
      </c>
      <c r="H166">
        <v>100</v>
      </c>
      <c r="I166">
        <v>50</v>
      </c>
      <c r="J166">
        <v>17.663981588032222</v>
      </c>
      <c r="K166">
        <v>33.333333333333329</v>
      </c>
      <c r="L166">
        <v>10.978888328585894</v>
      </c>
      <c r="M166">
        <f t="shared" si="8"/>
        <v>-31.300832932654362</v>
      </c>
      <c r="N166">
        <f t="shared" si="9"/>
        <v>-31.166191263364706</v>
      </c>
      <c r="O166">
        <f t="shared" si="10"/>
        <v>-27.38303173047662</v>
      </c>
      <c r="Q166">
        <f t="shared" si="11"/>
        <v>58.71703189301072</v>
      </c>
    </row>
    <row r="167" spans="1:17" x14ac:dyDescent="0.45">
      <c r="A167">
        <v>234</v>
      </c>
      <c r="B167">
        <v>0</v>
      </c>
      <c r="C167">
        <v>0</v>
      </c>
      <c r="D167">
        <v>48.295789645486693</v>
      </c>
      <c r="E167">
        <v>66.666666666666657</v>
      </c>
      <c r="F167">
        <v>0</v>
      </c>
      <c r="G167">
        <v>0</v>
      </c>
      <c r="H167">
        <v>50</v>
      </c>
      <c r="I167">
        <v>16.666666666666664</v>
      </c>
      <c r="J167">
        <v>84.723820483314142</v>
      </c>
      <c r="K167">
        <v>66.666666666666657</v>
      </c>
      <c r="L167">
        <v>15.266060208149577</v>
      </c>
      <c r="M167">
        <f t="shared" si="8"/>
        <v>-25.713898457944531</v>
      </c>
      <c r="N167">
        <f t="shared" si="9"/>
        <v>-23.001008919614062</v>
      </c>
      <c r="O167">
        <f t="shared" si="10"/>
        <v>-27.180320055057258</v>
      </c>
      <c r="Q167">
        <f t="shared" si="11"/>
        <v>64.303966367720548</v>
      </c>
    </row>
    <row r="168" spans="1:17" x14ac:dyDescent="0.45">
      <c r="A168">
        <v>237</v>
      </c>
      <c r="B168">
        <v>0</v>
      </c>
      <c r="C168">
        <v>0</v>
      </c>
      <c r="D168">
        <v>59.515062270556783</v>
      </c>
      <c r="E168">
        <v>66.666666666666657</v>
      </c>
      <c r="F168">
        <v>0</v>
      </c>
      <c r="G168">
        <v>100</v>
      </c>
      <c r="H168">
        <v>100</v>
      </c>
      <c r="I168">
        <v>33.333333333333329</v>
      </c>
      <c r="J168">
        <v>1.3233601841196778</v>
      </c>
      <c r="K168">
        <v>0</v>
      </c>
      <c r="L168">
        <v>4.2675822508749999</v>
      </c>
      <c r="M168">
        <f t="shared" si="8"/>
        <v>-18.877667970428078</v>
      </c>
      <c r="N168">
        <f t="shared" si="9"/>
        <v>-20.128206827387277</v>
      </c>
      <c r="O168">
        <f t="shared" si="10"/>
        <v>-14.25139397736265</v>
      </c>
      <c r="Q168">
        <f t="shared" si="11"/>
        <v>71.140196855237008</v>
      </c>
    </row>
    <row r="169" spans="1:17" x14ac:dyDescent="0.45">
      <c r="A169">
        <v>238</v>
      </c>
      <c r="B169">
        <v>0</v>
      </c>
      <c r="C169">
        <v>0</v>
      </c>
      <c r="D169">
        <v>59.540671623176337</v>
      </c>
      <c r="E169">
        <v>33.333333333333329</v>
      </c>
      <c r="F169">
        <v>0</v>
      </c>
      <c r="G169">
        <v>100</v>
      </c>
      <c r="H169">
        <v>100</v>
      </c>
      <c r="I169">
        <v>33.333333333333329</v>
      </c>
      <c r="J169">
        <v>3.1070195627157653</v>
      </c>
      <c r="K169">
        <v>0</v>
      </c>
      <c r="L169">
        <v>6.2444568492264754</v>
      </c>
      <c r="M169">
        <f t="shared" si="8"/>
        <v>-16.813418682100615</v>
      </c>
      <c r="N169">
        <f t="shared" si="9"/>
        <v>-17.927212685323237</v>
      </c>
      <c r="O169">
        <f t="shared" si="10"/>
        <v>-12.069423926344191</v>
      </c>
      <c r="Q169">
        <f t="shared" si="11"/>
        <v>73.204446143564468</v>
      </c>
    </row>
    <row r="170" spans="1:17" x14ac:dyDescent="0.45">
      <c r="A170">
        <v>239</v>
      </c>
      <c r="B170">
        <v>1</v>
      </c>
      <c r="C170">
        <v>0</v>
      </c>
      <c r="D170">
        <v>68.155297418296797</v>
      </c>
      <c r="E170">
        <v>100</v>
      </c>
      <c r="F170">
        <v>0</v>
      </c>
      <c r="G170">
        <v>0</v>
      </c>
      <c r="H170">
        <v>25</v>
      </c>
      <c r="I170">
        <v>83.333333333333343</v>
      </c>
      <c r="J170">
        <v>100</v>
      </c>
      <c r="K170">
        <v>0</v>
      </c>
      <c r="L170">
        <v>6.9145423778566695</v>
      </c>
      <c r="M170">
        <f t="shared" si="8"/>
        <v>-27.023339503924994</v>
      </c>
      <c r="N170">
        <f t="shared" si="9"/>
        <v>-28.813483082432509</v>
      </c>
      <c r="O170">
        <f t="shared" si="10"/>
        <v>-28.564436383477382</v>
      </c>
      <c r="Q170">
        <f t="shared" si="11"/>
        <v>62.994525321740092</v>
      </c>
    </row>
    <row r="171" spans="1:17" x14ac:dyDescent="0.45">
      <c r="A171">
        <v>240</v>
      </c>
      <c r="B171">
        <v>1</v>
      </c>
      <c r="C171">
        <v>0</v>
      </c>
      <c r="D171">
        <v>77.039203047143317</v>
      </c>
      <c r="E171">
        <v>100</v>
      </c>
      <c r="F171">
        <v>0</v>
      </c>
      <c r="G171">
        <v>100</v>
      </c>
      <c r="H171">
        <v>50</v>
      </c>
      <c r="I171">
        <v>16.666666666666664</v>
      </c>
      <c r="J171">
        <v>19.533947065592635</v>
      </c>
      <c r="K171">
        <v>66.666666666666657</v>
      </c>
      <c r="L171">
        <v>4.1369182090865237</v>
      </c>
      <c r="M171">
        <f t="shared" si="8"/>
        <v>-19.994340095289921</v>
      </c>
      <c r="N171">
        <f t="shared" si="9"/>
        <v>-16.902562127077651</v>
      </c>
      <c r="O171">
        <f t="shared" si="10"/>
        <v>-15.431748088192872</v>
      </c>
      <c r="Q171">
        <f t="shared" si="11"/>
        <v>70.023524730375158</v>
      </c>
    </row>
    <row r="172" spans="1:17" x14ac:dyDescent="0.45">
      <c r="A172">
        <v>241</v>
      </c>
      <c r="B172">
        <v>0</v>
      </c>
      <c r="C172">
        <v>0</v>
      </c>
      <c r="D172">
        <v>75.027444908251013</v>
      </c>
      <c r="E172">
        <v>33.333333333333329</v>
      </c>
      <c r="F172">
        <v>0</v>
      </c>
      <c r="G172">
        <v>100</v>
      </c>
      <c r="H172">
        <v>100</v>
      </c>
      <c r="I172">
        <v>33.333333333333329</v>
      </c>
      <c r="J172">
        <v>3.4522439585730722</v>
      </c>
      <c r="K172">
        <v>0</v>
      </c>
      <c r="L172">
        <v>22.166598668985213</v>
      </c>
      <c r="M172">
        <f t="shared" si="8"/>
        <v>-19.204930500492804</v>
      </c>
      <c r="N172">
        <f t="shared" si="9"/>
        <v>-20.4771486512564</v>
      </c>
      <c r="O172">
        <f t="shared" si="10"/>
        <v>-14.597319754573565</v>
      </c>
      <c r="Q172">
        <f t="shared" si="11"/>
        <v>70.812934325172279</v>
      </c>
    </row>
    <row r="173" spans="1:17" x14ac:dyDescent="0.45">
      <c r="A173">
        <v>242</v>
      </c>
      <c r="B173">
        <v>0</v>
      </c>
      <c r="C173">
        <v>0</v>
      </c>
      <c r="D173">
        <v>75.304692993415017</v>
      </c>
      <c r="E173">
        <v>100</v>
      </c>
      <c r="F173">
        <v>0</v>
      </c>
      <c r="G173">
        <v>100</v>
      </c>
      <c r="H173">
        <v>100</v>
      </c>
      <c r="I173">
        <v>33.333333333333329</v>
      </c>
      <c r="J173">
        <v>6.2140391254315306</v>
      </c>
      <c r="K173">
        <v>33.333333333333329</v>
      </c>
      <c r="L173">
        <v>22.166598668985213</v>
      </c>
      <c r="M173">
        <f t="shared" si="8"/>
        <v>-27.143871873957167</v>
      </c>
      <c r="N173">
        <f t="shared" si="9"/>
        <v>-26.733855018552866</v>
      </c>
      <c r="O173">
        <f t="shared" si="10"/>
        <v>-22.989005977571356</v>
      </c>
      <c r="Q173">
        <f t="shared" si="11"/>
        <v>62.873992951707912</v>
      </c>
    </row>
    <row r="174" spans="1:17" x14ac:dyDescent="0.45">
      <c r="A174">
        <v>244</v>
      </c>
      <c r="B174">
        <v>0</v>
      </c>
      <c r="C174">
        <v>0</v>
      </c>
      <c r="D174">
        <v>75.913771728912721</v>
      </c>
      <c r="E174">
        <v>66.666666666666657</v>
      </c>
      <c r="F174">
        <v>0</v>
      </c>
      <c r="G174">
        <v>0</v>
      </c>
      <c r="H174">
        <v>25</v>
      </c>
      <c r="I174">
        <v>16.666666666666664</v>
      </c>
      <c r="J174">
        <v>24.510932105868815</v>
      </c>
      <c r="K174">
        <v>0</v>
      </c>
      <c r="L174">
        <v>0</v>
      </c>
      <c r="M174">
        <f t="shared" si="8"/>
        <v>-5.1332130642257692</v>
      </c>
      <c r="N174">
        <f t="shared" si="9"/>
        <v>-5.4732594305418178</v>
      </c>
      <c r="O174">
        <f t="shared" si="10"/>
        <v>-5.425951814527405</v>
      </c>
      <c r="Q174">
        <f t="shared" si="11"/>
        <v>84.884651761439315</v>
      </c>
    </row>
    <row r="175" spans="1:17" x14ac:dyDescent="0.45">
      <c r="A175">
        <v>245</v>
      </c>
      <c r="B175">
        <v>0</v>
      </c>
      <c r="C175">
        <v>0</v>
      </c>
      <c r="D175">
        <v>71.771662487088477</v>
      </c>
      <c r="E175">
        <v>0</v>
      </c>
      <c r="F175">
        <v>0</v>
      </c>
      <c r="G175">
        <v>0</v>
      </c>
      <c r="H175">
        <v>25</v>
      </c>
      <c r="I175">
        <v>16.666666666666664</v>
      </c>
      <c r="J175">
        <v>2.6179516685845798</v>
      </c>
      <c r="K175">
        <v>0</v>
      </c>
      <c r="L175">
        <v>1.5386807103882925</v>
      </c>
      <c r="M175">
        <f t="shared" si="8"/>
        <v>2.4073829022724977</v>
      </c>
      <c r="N175">
        <f t="shared" si="9"/>
        <v>2.5668584194596296</v>
      </c>
      <c r="O175">
        <f t="shared" si="10"/>
        <v>2.5446720140804979</v>
      </c>
      <c r="Q175">
        <f t="shared" si="11"/>
        <v>92.425247727937588</v>
      </c>
    </row>
    <row r="176" spans="1:17" x14ac:dyDescent="0.45">
      <c r="A176">
        <v>246</v>
      </c>
      <c r="B176">
        <v>0</v>
      </c>
      <c r="C176">
        <v>0</v>
      </c>
      <c r="D176">
        <v>82.329391620207787</v>
      </c>
      <c r="E176">
        <v>33.333333333333329</v>
      </c>
      <c r="F176">
        <v>0</v>
      </c>
      <c r="G176">
        <v>100</v>
      </c>
      <c r="H176">
        <v>100</v>
      </c>
      <c r="I176">
        <v>33.333333333333329</v>
      </c>
      <c r="J176">
        <v>8.3716915995396999</v>
      </c>
      <c r="K176">
        <v>0</v>
      </c>
      <c r="L176">
        <v>1.322091134168152</v>
      </c>
      <c r="M176">
        <f t="shared" si="8"/>
        <v>-14.004927458565431</v>
      </c>
      <c r="N176">
        <f t="shared" si="9"/>
        <v>-14.932674784308539</v>
      </c>
      <c r="O176">
        <f t="shared" si="10"/>
        <v>-9.1007690390911442</v>
      </c>
      <c r="Q176">
        <f t="shared" si="11"/>
        <v>76.012937367099653</v>
      </c>
    </row>
    <row r="177" spans="1:17" x14ac:dyDescent="0.45">
      <c r="A177">
        <v>248</v>
      </c>
      <c r="B177">
        <v>0</v>
      </c>
      <c r="C177">
        <v>0</v>
      </c>
      <c r="D177">
        <v>73.798746988182145</v>
      </c>
      <c r="E177">
        <v>33.333333333333329</v>
      </c>
      <c r="F177">
        <v>0</v>
      </c>
      <c r="G177">
        <v>0</v>
      </c>
      <c r="H177">
        <v>50</v>
      </c>
      <c r="I177">
        <v>16.666666666666664</v>
      </c>
      <c r="J177">
        <v>8.8032220943613346</v>
      </c>
      <c r="K177">
        <v>66.666666666666657</v>
      </c>
      <c r="L177">
        <v>0.61547228415531696</v>
      </c>
      <c r="M177">
        <f t="shared" si="8"/>
        <v>-7.1517386131194005</v>
      </c>
      <c r="N177">
        <f t="shared" si="9"/>
        <v>-3.2092108487429889</v>
      </c>
      <c r="O177">
        <f t="shared" si="10"/>
        <v>-7.5595905759921536</v>
      </c>
      <c r="Q177">
        <f t="shared" si="11"/>
        <v>82.86612621254568</v>
      </c>
    </row>
    <row r="178" spans="1:17" x14ac:dyDescent="0.45">
      <c r="A178">
        <v>249</v>
      </c>
      <c r="B178">
        <v>0</v>
      </c>
      <c r="C178">
        <v>0</v>
      </c>
      <c r="D178">
        <v>81.294214562955119</v>
      </c>
      <c r="E178">
        <v>33.333333333333329</v>
      </c>
      <c r="F178">
        <v>0</v>
      </c>
      <c r="G178">
        <v>100</v>
      </c>
      <c r="H178">
        <v>100</v>
      </c>
      <c r="I178">
        <v>33.333333333333329</v>
      </c>
      <c r="J178">
        <v>9.8388952819332562</v>
      </c>
      <c r="K178">
        <v>33.333333333333329</v>
      </c>
      <c r="L178">
        <v>0</v>
      </c>
      <c r="M178">
        <f t="shared" si="8"/>
        <v>-16.042639867654792</v>
      </c>
      <c r="N178">
        <f t="shared" si="9"/>
        <v>-14.8972291063005</v>
      </c>
      <c r="O178">
        <f t="shared" si="10"/>
        <v>-11.254688856025739</v>
      </c>
      <c r="Q178">
        <f t="shared" si="11"/>
        <v>73.975224958010287</v>
      </c>
    </row>
    <row r="179" spans="1:17" x14ac:dyDescent="0.45">
      <c r="A179">
        <v>250</v>
      </c>
      <c r="B179">
        <v>0</v>
      </c>
      <c r="C179">
        <v>1</v>
      </c>
      <c r="D179">
        <v>28.068117395499076</v>
      </c>
      <c r="E179">
        <v>100</v>
      </c>
      <c r="F179">
        <v>100</v>
      </c>
      <c r="G179">
        <v>0</v>
      </c>
      <c r="H179">
        <v>50</v>
      </c>
      <c r="I179">
        <v>33.333333333333329</v>
      </c>
      <c r="J179">
        <v>9.9827387802071339</v>
      </c>
      <c r="K179">
        <v>0</v>
      </c>
      <c r="L179">
        <v>12.234632731635775</v>
      </c>
      <c r="M179">
        <f t="shared" si="8"/>
        <v>-31.072760253809776</v>
      </c>
      <c r="N179">
        <f t="shared" si="9"/>
        <v>-33.13115508050327</v>
      </c>
      <c r="O179">
        <f t="shared" si="10"/>
        <v>-32.844788979544077</v>
      </c>
      <c r="Q179">
        <f t="shared" si="11"/>
        <v>58.945104571855303</v>
      </c>
    </row>
    <row r="180" spans="1:17" x14ac:dyDescent="0.45">
      <c r="A180">
        <v>253</v>
      </c>
      <c r="B180">
        <v>0</v>
      </c>
      <c r="C180">
        <v>0</v>
      </c>
      <c r="D180">
        <v>42.2919818668855</v>
      </c>
      <c r="E180">
        <v>33.333333333333329</v>
      </c>
      <c r="F180">
        <v>0</v>
      </c>
      <c r="G180">
        <v>100</v>
      </c>
      <c r="H180">
        <v>75</v>
      </c>
      <c r="I180">
        <v>33.333333333333329</v>
      </c>
      <c r="J180">
        <v>4.0276179516685851</v>
      </c>
      <c r="K180">
        <v>0</v>
      </c>
      <c r="L180">
        <v>11.674432604040552</v>
      </c>
      <c r="M180">
        <f t="shared" si="8"/>
        <v>-17.694102479152068</v>
      </c>
      <c r="N180">
        <f t="shared" si="9"/>
        <v>-18.866236808660354</v>
      </c>
      <c r="O180">
        <f t="shared" si="10"/>
        <v>-13.00033168077557</v>
      </c>
      <c r="Q180">
        <f t="shared" si="11"/>
        <v>72.323762346513021</v>
      </c>
    </row>
    <row r="181" spans="1:17" x14ac:dyDescent="0.45">
      <c r="A181">
        <v>255</v>
      </c>
      <c r="B181">
        <v>0</v>
      </c>
      <c r="C181">
        <v>0</v>
      </c>
      <c r="D181">
        <v>44.289163291572784</v>
      </c>
      <c r="E181">
        <v>0</v>
      </c>
      <c r="F181">
        <v>0</v>
      </c>
      <c r="G181">
        <v>100</v>
      </c>
      <c r="H181">
        <v>25</v>
      </c>
      <c r="I181">
        <v>33.333333333333329</v>
      </c>
      <c r="J181">
        <v>7.7675489067894139</v>
      </c>
      <c r="K181">
        <v>33.333333333333329</v>
      </c>
      <c r="L181">
        <v>30.904061660670667</v>
      </c>
      <c r="M181">
        <f t="shared" si="8"/>
        <v>-17.3996923409087</v>
      </c>
      <c r="N181">
        <f t="shared" si="9"/>
        <v>-16.344178639477011</v>
      </c>
      <c r="O181">
        <f t="shared" si="10"/>
        <v>-12.689131813591057</v>
      </c>
      <c r="Q181">
        <f t="shared" si="11"/>
        <v>72.618172484756386</v>
      </c>
    </row>
    <row r="182" spans="1:17" x14ac:dyDescent="0.45">
      <c r="A182">
        <v>256</v>
      </c>
      <c r="B182">
        <v>0</v>
      </c>
      <c r="C182">
        <v>0</v>
      </c>
      <c r="D182">
        <v>44.858777546591696</v>
      </c>
      <c r="E182">
        <v>66.666666666666657</v>
      </c>
      <c r="F182">
        <v>0</v>
      </c>
      <c r="G182">
        <v>100</v>
      </c>
      <c r="H182">
        <v>100</v>
      </c>
      <c r="I182">
        <v>16.666666666666664</v>
      </c>
      <c r="J182">
        <v>15.276179516685845</v>
      </c>
      <c r="K182">
        <v>0</v>
      </c>
      <c r="L182">
        <v>30.904061660670667</v>
      </c>
      <c r="M182">
        <f t="shared" si="8"/>
        <v>-26.868362966866485</v>
      </c>
      <c r="N182">
        <f t="shared" si="9"/>
        <v>-28.648240225306701</v>
      </c>
      <c r="O182">
        <f t="shared" si="10"/>
        <v>-22.697785247856206</v>
      </c>
      <c r="Q182">
        <f t="shared" si="11"/>
        <v>63.149501858798594</v>
      </c>
    </row>
    <row r="183" spans="1:17" x14ac:dyDescent="0.45">
      <c r="A183">
        <v>260</v>
      </c>
      <c r="B183">
        <v>0</v>
      </c>
      <c r="C183">
        <v>0</v>
      </c>
      <c r="D183">
        <v>46.821863309530343</v>
      </c>
      <c r="E183">
        <v>66.666666666666657</v>
      </c>
      <c r="F183">
        <v>0</v>
      </c>
      <c r="G183">
        <v>0</v>
      </c>
      <c r="H183">
        <v>100</v>
      </c>
      <c r="I183">
        <v>50</v>
      </c>
      <c r="J183">
        <v>20.598388952819331</v>
      </c>
      <c r="K183">
        <v>66.666666666666657</v>
      </c>
      <c r="L183">
        <v>5.48004208349065</v>
      </c>
      <c r="M183">
        <f t="shared" si="8"/>
        <v>-23.402399176005588</v>
      </c>
      <c r="N183">
        <f t="shared" si="9"/>
        <v>-20.536385868657355</v>
      </c>
      <c r="O183">
        <f t="shared" si="10"/>
        <v>-24.736999747446553</v>
      </c>
      <c r="Q183">
        <f t="shared" si="11"/>
        <v>66.615465649659484</v>
      </c>
    </row>
    <row r="184" spans="1:17" x14ac:dyDescent="0.45">
      <c r="A184">
        <v>261</v>
      </c>
      <c r="B184">
        <v>0</v>
      </c>
      <c r="C184">
        <v>0</v>
      </c>
      <c r="D184">
        <v>46.821863309530343</v>
      </c>
      <c r="E184">
        <v>0</v>
      </c>
      <c r="F184">
        <v>0</v>
      </c>
      <c r="G184">
        <v>100</v>
      </c>
      <c r="H184">
        <v>100</v>
      </c>
      <c r="I184">
        <v>16.666666666666664</v>
      </c>
      <c r="J184">
        <v>2.9344073647871118</v>
      </c>
      <c r="K184">
        <v>0</v>
      </c>
      <c r="L184">
        <v>5.48004208349065</v>
      </c>
      <c r="M184">
        <f t="shared" si="8"/>
        <v>-13.340570516585249</v>
      </c>
      <c r="N184">
        <f t="shared" si="9"/>
        <v>-14.224307948090452</v>
      </c>
      <c r="O184">
        <f t="shared" si="10"/>
        <v>-8.3985249066678307</v>
      </c>
      <c r="Q184">
        <f t="shared" si="11"/>
        <v>76.677294309079841</v>
      </c>
    </row>
    <row r="185" spans="1:17" x14ac:dyDescent="0.45">
      <c r="A185">
        <v>262</v>
      </c>
      <c r="B185">
        <v>0</v>
      </c>
      <c r="C185">
        <v>0</v>
      </c>
      <c r="D185">
        <v>44.785120387695514</v>
      </c>
      <c r="E185">
        <v>33.333333333333329</v>
      </c>
      <c r="F185">
        <v>0</v>
      </c>
      <c r="G185">
        <v>100</v>
      </c>
      <c r="H185">
        <v>100</v>
      </c>
      <c r="I185">
        <v>16.666666666666664</v>
      </c>
      <c r="J185">
        <v>6.6455696202531636</v>
      </c>
      <c r="K185">
        <v>0</v>
      </c>
      <c r="L185">
        <v>6.5447966491212917</v>
      </c>
      <c r="M185">
        <f t="shared" si="8"/>
        <v>-17.048632023900634</v>
      </c>
      <c r="N185">
        <f t="shared" si="9"/>
        <v>-18.178007582220896</v>
      </c>
      <c r="O185">
        <f t="shared" si="10"/>
        <v>-12.31805110054729</v>
      </c>
      <c r="Q185">
        <f t="shared" si="11"/>
        <v>72.969232801764448</v>
      </c>
    </row>
    <row r="186" spans="1:17" x14ac:dyDescent="0.45">
      <c r="A186">
        <v>263</v>
      </c>
      <c r="B186">
        <v>0</v>
      </c>
      <c r="C186">
        <v>0</v>
      </c>
      <c r="D186">
        <v>48.768539820777583</v>
      </c>
      <c r="E186">
        <v>0</v>
      </c>
      <c r="F186">
        <v>0</v>
      </c>
      <c r="G186">
        <v>100</v>
      </c>
      <c r="H186">
        <v>100</v>
      </c>
      <c r="I186">
        <v>33.333333333333329</v>
      </c>
      <c r="J186">
        <v>32.65247410817031</v>
      </c>
      <c r="K186">
        <v>66.666666666666657</v>
      </c>
      <c r="L186">
        <v>11.807532798819759</v>
      </c>
      <c r="M186">
        <f t="shared" si="8"/>
        <v>-24.37887990257633</v>
      </c>
      <c r="N186">
        <f t="shared" si="9"/>
        <v>-21.577552926906421</v>
      </c>
      <c r="O186">
        <f t="shared" si="10"/>
        <v>-20.066331033719131</v>
      </c>
      <c r="Q186">
        <f t="shared" si="11"/>
        <v>65.638984923088756</v>
      </c>
    </row>
    <row r="187" spans="1:17" x14ac:dyDescent="0.45">
      <c r="A187">
        <v>264</v>
      </c>
      <c r="B187">
        <v>0</v>
      </c>
      <c r="C187">
        <v>0</v>
      </c>
      <c r="D187">
        <v>50.012994587454799</v>
      </c>
      <c r="E187">
        <v>0</v>
      </c>
      <c r="F187">
        <v>0</v>
      </c>
      <c r="G187">
        <v>100</v>
      </c>
      <c r="H187">
        <v>100</v>
      </c>
      <c r="I187">
        <v>16.666666666666664</v>
      </c>
      <c r="J187">
        <v>3.5385500575373992</v>
      </c>
      <c r="K187">
        <v>0</v>
      </c>
      <c r="L187">
        <v>4.3163677764801758</v>
      </c>
      <c r="M187">
        <f t="shared" si="8"/>
        <v>-12.814354877803586</v>
      </c>
      <c r="N187">
        <f t="shared" si="9"/>
        <v>-13.663233496002666</v>
      </c>
      <c r="O187">
        <f t="shared" si="10"/>
        <v>-7.8423000501586433</v>
      </c>
      <c r="Q187">
        <f t="shared" si="11"/>
        <v>77.203509947861505</v>
      </c>
    </row>
    <row r="188" spans="1:17" x14ac:dyDescent="0.45">
      <c r="A188">
        <v>265</v>
      </c>
      <c r="B188">
        <v>0</v>
      </c>
      <c r="C188">
        <v>0</v>
      </c>
      <c r="D188">
        <v>49.880452034751684</v>
      </c>
      <c r="E188">
        <v>0</v>
      </c>
      <c r="F188">
        <v>0</v>
      </c>
      <c r="G188">
        <v>100</v>
      </c>
      <c r="H188">
        <v>100</v>
      </c>
      <c r="I188">
        <v>16.666666666666664</v>
      </c>
      <c r="J188">
        <v>4.6317606444188728</v>
      </c>
      <c r="K188">
        <v>0</v>
      </c>
      <c r="L188">
        <v>4.3163677764801758</v>
      </c>
      <c r="M188">
        <f t="shared" si="8"/>
        <v>-12.966709130008496</v>
      </c>
      <c r="N188">
        <f t="shared" si="9"/>
        <v>-13.82568035671747</v>
      </c>
      <c r="O188">
        <f t="shared" si="10"/>
        <v>-8.0033428163285087</v>
      </c>
      <c r="Q188">
        <f t="shared" si="11"/>
        <v>77.051155695656576</v>
      </c>
    </row>
    <row r="189" spans="1:17" x14ac:dyDescent="0.45">
      <c r="A189">
        <v>266</v>
      </c>
      <c r="B189">
        <v>0</v>
      </c>
      <c r="C189">
        <v>0</v>
      </c>
      <c r="D189">
        <v>54.779723541994365</v>
      </c>
      <c r="E189">
        <v>0</v>
      </c>
      <c r="F189">
        <v>0</v>
      </c>
      <c r="G189">
        <v>100</v>
      </c>
      <c r="H189">
        <v>100</v>
      </c>
      <c r="I189">
        <v>16.666666666666664</v>
      </c>
      <c r="J189">
        <v>3.1357882623705411</v>
      </c>
      <c r="K189">
        <v>0</v>
      </c>
      <c r="L189">
        <v>10.540107619600503</v>
      </c>
      <c r="M189">
        <f t="shared" si="8"/>
        <v>-13.809187063850239</v>
      </c>
      <c r="N189">
        <f t="shared" si="9"/>
        <v>-14.723967694244569</v>
      </c>
      <c r="O189">
        <f t="shared" si="10"/>
        <v>-8.893865889622635</v>
      </c>
      <c r="Q189">
        <f t="shared" si="11"/>
        <v>76.20867776181484</v>
      </c>
    </row>
    <row r="190" spans="1:17" x14ac:dyDescent="0.45">
      <c r="A190">
        <v>269</v>
      </c>
      <c r="B190">
        <v>0</v>
      </c>
      <c r="C190">
        <v>0</v>
      </c>
      <c r="D190">
        <v>57.243590639893185</v>
      </c>
      <c r="E190">
        <v>0</v>
      </c>
      <c r="F190">
        <v>0</v>
      </c>
      <c r="G190">
        <v>100</v>
      </c>
      <c r="H190">
        <v>100</v>
      </c>
      <c r="I190">
        <v>16.666666666666664</v>
      </c>
      <c r="J190">
        <v>28.337169159953966</v>
      </c>
      <c r="K190">
        <v>66.666666666666657</v>
      </c>
      <c r="L190">
        <v>3.7056201715663595</v>
      </c>
      <c r="M190">
        <f t="shared" si="8"/>
        <v>-19.241061609300413</v>
      </c>
      <c r="N190">
        <f t="shared" si="9"/>
        <v>-16.09938319690632</v>
      </c>
      <c r="O190">
        <f t="shared" si="10"/>
        <v>-14.635511361456553</v>
      </c>
      <c r="Q190">
        <f t="shared" si="11"/>
        <v>70.776803216364669</v>
      </c>
    </row>
    <row r="191" spans="1:17" x14ac:dyDescent="0.45">
      <c r="A191">
        <v>271</v>
      </c>
      <c r="B191">
        <v>0</v>
      </c>
      <c r="C191">
        <v>0</v>
      </c>
      <c r="D191">
        <v>67.975371533547019</v>
      </c>
      <c r="E191">
        <v>66.666666666666657</v>
      </c>
      <c r="F191">
        <v>0</v>
      </c>
      <c r="G191">
        <v>0</v>
      </c>
      <c r="H191">
        <v>50</v>
      </c>
      <c r="I191">
        <v>66.666666666666657</v>
      </c>
      <c r="J191">
        <v>1.093210586881473</v>
      </c>
      <c r="K191">
        <v>33.333333333333329</v>
      </c>
      <c r="L191">
        <v>0</v>
      </c>
      <c r="M191">
        <f t="shared" si="8"/>
        <v>-12.586894093167672</v>
      </c>
      <c r="N191">
        <f t="shared" si="9"/>
        <v>-11.212559696884615</v>
      </c>
      <c r="O191">
        <f t="shared" si="10"/>
        <v>-13.304704088761282</v>
      </c>
      <c r="Q191">
        <f t="shared" si="11"/>
        <v>77.4309707324974</v>
      </c>
    </row>
    <row r="192" spans="1:17" x14ac:dyDescent="0.45">
      <c r="A192">
        <v>273</v>
      </c>
      <c r="B192">
        <v>0</v>
      </c>
      <c r="C192">
        <v>1</v>
      </c>
      <c r="D192">
        <v>36.101242414896305</v>
      </c>
      <c r="E192">
        <v>66.666666666666657</v>
      </c>
      <c r="F192">
        <v>0</v>
      </c>
      <c r="G192">
        <v>0</v>
      </c>
      <c r="H192">
        <v>25</v>
      </c>
      <c r="I192">
        <v>16.666666666666664</v>
      </c>
      <c r="J192">
        <v>30.408515535097813</v>
      </c>
      <c r="K192">
        <v>33.333333333333329</v>
      </c>
      <c r="L192">
        <v>9.9626359722133042</v>
      </c>
      <c r="M192">
        <f t="shared" si="8"/>
        <v>-14.365038057533901</v>
      </c>
      <c r="N192">
        <f t="shared" si="9"/>
        <v>-13.108495653576956</v>
      </c>
      <c r="O192">
        <f t="shared" si="10"/>
        <v>-15.184252696860822</v>
      </c>
      <c r="Q192">
        <f t="shared" si="11"/>
        <v>75.652826768131192</v>
      </c>
    </row>
    <row r="193" spans="1:17" x14ac:dyDescent="0.45">
      <c r="A193">
        <v>274</v>
      </c>
      <c r="B193">
        <v>0</v>
      </c>
      <c r="C193">
        <v>0</v>
      </c>
      <c r="D193">
        <v>34.794562704722551</v>
      </c>
      <c r="E193">
        <v>33.333333333333329</v>
      </c>
      <c r="F193">
        <v>0</v>
      </c>
      <c r="G193">
        <v>0</v>
      </c>
      <c r="H193">
        <v>75</v>
      </c>
      <c r="I193">
        <v>16.666666666666664</v>
      </c>
      <c r="J193">
        <v>3.4234752589182968</v>
      </c>
      <c r="K193">
        <v>0</v>
      </c>
      <c r="L193">
        <v>6.5072864607233143</v>
      </c>
      <c r="M193">
        <f t="shared" si="8"/>
        <v>-9.9454537515965082</v>
      </c>
      <c r="N193">
        <f t="shared" si="9"/>
        <v>-10.604283877539237</v>
      </c>
      <c r="O193">
        <f t="shared" si="10"/>
        <v>-10.512626722209257</v>
      </c>
      <c r="Q193">
        <f t="shared" si="11"/>
        <v>80.072411074068583</v>
      </c>
    </row>
    <row r="194" spans="1:17" x14ac:dyDescent="0.45">
      <c r="A194">
        <v>275</v>
      </c>
      <c r="B194">
        <v>0</v>
      </c>
      <c r="C194">
        <v>0</v>
      </c>
      <c r="D194">
        <v>40.340947132814023</v>
      </c>
      <c r="E194">
        <v>100</v>
      </c>
      <c r="F194">
        <v>0</v>
      </c>
      <c r="G194">
        <v>100</v>
      </c>
      <c r="H194">
        <v>0</v>
      </c>
      <c r="I194">
        <v>16.666666666666664</v>
      </c>
      <c r="J194">
        <v>16.254315304948218</v>
      </c>
      <c r="K194">
        <v>33.333333333333329</v>
      </c>
      <c r="L194">
        <v>9.7836947133187167</v>
      </c>
      <c r="M194">
        <f t="shared" si="8"/>
        <v>-17.977968487059506</v>
      </c>
      <c r="N194">
        <f t="shared" si="9"/>
        <v>-16.960762313440419</v>
      </c>
      <c r="O194">
        <f t="shared" si="10"/>
        <v>-13.300386103106534</v>
      </c>
      <c r="Q194">
        <f t="shared" si="11"/>
        <v>72.039896338605573</v>
      </c>
    </row>
    <row r="195" spans="1:17" x14ac:dyDescent="0.45">
      <c r="A195">
        <v>276</v>
      </c>
      <c r="B195">
        <v>0</v>
      </c>
      <c r="C195">
        <v>0</v>
      </c>
      <c r="D195">
        <v>30.643840384935807</v>
      </c>
      <c r="E195">
        <v>0</v>
      </c>
      <c r="F195">
        <v>0</v>
      </c>
      <c r="G195">
        <v>0</v>
      </c>
      <c r="H195">
        <v>50</v>
      </c>
      <c r="I195">
        <v>16.666666666666664</v>
      </c>
      <c r="J195">
        <v>1.2658227848101267</v>
      </c>
      <c r="K195">
        <v>0</v>
      </c>
      <c r="L195">
        <v>21.478208631746313</v>
      </c>
      <c r="M195">
        <f t="shared" si="8"/>
        <v>-8.6879185318900483</v>
      </c>
      <c r="N195">
        <f t="shared" si="9"/>
        <v>-9.2634440537523801</v>
      </c>
      <c r="O195">
        <f t="shared" si="10"/>
        <v>-9.1833763244902702</v>
      </c>
      <c r="Q195">
        <f t="shared" si="11"/>
        <v>81.329946293775038</v>
      </c>
    </row>
    <row r="196" spans="1:17" x14ac:dyDescent="0.45">
      <c r="A196">
        <v>277</v>
      </c>
      <c r="B196">
        <v>0</v>
      </c>
      <c r="C196">
        <v>0</v>
      </c>
      <c r="D196">
        <v>36.466070520601704</v>
      </c>
      <c r="E196">
        <v>66.666666666666657</v>
      </c>
      <c r="F196">
        <v>0</v>
      </c>
      <c r="G196">
        <v>0</v>
      </c>
      <c r="H196">
        <v>25</v>
      </c>
      <c r="I196">
        <v>33.333333333333329</v>
      </c>
      <c r="J196">
        <v>49.021864211737629</v>
      </c>
      <c r="K196">
        <v>66.666666666666657</v>
      </c>
      <c r="L196">
        <v>5.3326393804564178</v>
      </c>
      <c r="M196">
        <f t="shared" si="8"/>
        <v>-19.397623201557899</v>
      </c>
      <c r="N196">
        <f t="shared" si="9"/>
        <v>-16.266316110183553</v>
      </c>
      <c r="O196">
        <f t="shared" si="10"/>
        <v>-20.503837945383768</v>
      </c>
      <c r="Q196">
        <f t="shared" si="11"/>
        <v>70.620241624107166</v>
      </c>
    </row>
    <row r="197" spans="1:17" x14ac:dyDescent="0.45">
      <c r="A197">
        <v>278</v>
      </c>
      <c r="B197">
        <v>0</v>
      </c>
      <c r="C197">
        <v>0</v>
      </c>
      <c r="D197">
        <v>36.004693455082112</v>
      </c>
      <c r="E197">
        <v>66.666666666666657</v>
      </c>
      <c r="F197">
        <v>0</v>
      </c>
      <c r="G197">
        <v>0</v>
      </c>
      <c r="H197">
        <v>25</v>
      </c>
      <c r="I197">
        <v>66.666666666666657</v>
      </c>
      <c r="J197">
        <v>50</v>
      </c>
      <c r="K197">
        <v>66.666666666666657</v>
      </c>
      <c r="L197">
        <v>5.8840134875290824</v>
      </c>
      <c r="M197">
        <f t="shared" si="8"/>
        <v>-23.225926876904499</v>
      </c>
      <c r="N197">
        <f t="shared" si="9"/>
        <v>-20.348223276690192</v>
      </c>
      <c r="O197">
        <f t="shared" si="10"/>
        <v>-24.550463521589389</v>
      </c>
      <c r="Q197">
        <f t="shared" si="11"/>
        <v>66.791937948760577</v>
      </c>
    </row>
    <row r="198" spans="1:17" x14ac:dyDescent="0.45">
      <c r="A198">
        <v>279</v>
      </c>
      <c r="B198">
        <v>0</v>
      </c>
      <c r="C198">
        <v>0</v>
      </c>
      <c r="D198">
        <v>15.228538324498977</v>
      </c>
      <c r="E198">
        <v>33.333333333333329</v>
      </c>
      <c r="F198">
        <v>0</v>
      </c>
      <c r="G198">
        <v>0</v>
      </c>
      <c r="H198">
        <v>75</v>
      </c>
      <c r="I198">
        <v>33.333333333333329</v>
      </c>
      <c r="J198">
        <v>17.577675489067897</v>
      </c>
      <c r="K198">
        <v>0</v>
      </c>
      <c r="L198">
        <v>25.020802502301095</v>
      </c>
      <c r="M198">
        <f t="shared" si="8"/>
        <v>-19.98848142937781</v>
      </c>
      <c r="N198">
        <f t="shared" si="9"/>
        <v>-21.312605402646184</v>
      </c>
      <c r="O198">
        <f t="shared" si="10"/>
        <v>-21.128391852119265</v>
      </c>
      <c r="Q198">
        <f t="shared" si="11"/>
        <v>70.029383396287272</v>
      </c>
    </row>
    <row r="199" spans="1:17" x14ac:dyDescent="0.45">
      <c r="A199">
        <v>280</v>
      </c>
      <c r="B199">
        <v>0</v>
      </c>
      <c r="C199">
        <v>0</v>
      </c>
      <c r="D199">
        <v>15.667118176928316</v>
      </c>
      <c r="E199">
        <v>66.666666666666657</v>
      </c>
      <c r="F199">
        <v>100</v>
      </c>
      <c r="G199">
        <v>100</v>
      </c>
      <c r="H199">
        <v>75</v>
      </c>
      <c r="I199">
        <v>100</v>
      </c>
      <c r="J199">
        <v>90.161104718066738</v>
      </c>
      <c r="K199">
        <v>100</v>
      </c>
      <c r="L199">
        <v>25.020802502301095</v>
      </c>
      <c r="M199">
        <f t="shared" si="8"/>
        <v>-63.808788951756647</v>
      </c>
      <c r="N199">
        <f t="shared" si="9"/>
        <v>-61.411325675723987</v>
      </c>
      <c r="O199">
        <f t="shared" si="10"/>
        <v>-61.744863343836563</v>
      </c>
      <c r="Q199">
        <f t="shared" si="11"/>
        <v>26.209075873908429</v>
      </c>
    </row>
    <row r="200" spans="1:17" x14ac:dyDescent="0.45">
      <c r="A200">
        <v>281</v>
      </c>
      <c r="B200">
        <v>0</v>
      </c>
      <c r="C200">
        <v>0</v>
      </c>
      <c r="D200">
        <v>15.667118176928316</v>
      </c>
      <c r="E200">
        <v>66.666666666666657</v>
      </c>
      <c r="F200">
        <v>0</v>
      </c>
      <c r="G200">
        <v>100</v>
      </c>
      <c r="H200">
        <v>75</v>
      </c>
      <c r="I200">
        <v>33.333333333333329</v>
      </c>
      <c r="J200">
        <v>7.2784810126582276</v>
      </c>
      <c r="K200">
        <v>0</v>
      </c>
      <c r="L200">
        <v>25.020802502301095</v>
      </c>
      <c r="M200">
        <f t="shared" ref="M200:M263" si="12">D200*D$1+E200*E$1+F200*F$1+G200*G$1+H200*H$1+I200*I$1+J200*J$1+K200*K$1+L200*L$1</f>
        <v>-26.8012649545377</v>
      </c>
      <c r="N200">
        <f t="shared" ref="N200:N263" si="13">D200*D$2+E200*E$2+F200*F$2+G200*G$2+H200*H$2+I200*I$2+J200*J$2+L200*L$2</f>
        <v>-28.576697348719613</v>
      </c>
      <c r="O200">
        <f t="shared" ref="O200:O263" si="14">D200*D$3+E200*E$3+F200*F$3+H200*H$3+I200*I$3+J200*J$3+K200*K$3+L200*L$3</f>
        <v>-22.626860745562745</v>
      </c>
      <c r="Q200">
        <f t="shared" ref="Q200:Q263" si="15">(M200-$R$3)/($R$2-$R$3)*100</f>
        <v>63.216599871127379</v>
      </c>
    </row>
    <row r="201" spans="1:17" x14ac:dyDescent="0.45">
      <c r="A201">
        <v>282</v>
      </c>
      <c r="B201">
        <v>0</v>
      </c>
      <c r="C201">
        <v>0</v>
      </c>
      <c r="D201">
        <v>15.667118176928316</v>
      </c>
      <c r="E201">
        <v>66.666666666666657</v>
      </c>
      <c r="F201">
        <v>100</v>
      </c>
      <c r="G201">
        <v>100</v>
      </c>
      <c r="H201">
        <v>75</v>
      </c>
      <c r="I201">
        <v>33.333333333333329</v>
      </c>
      <c r="J201">
        <v>13.176064441887227</v>
      </c>
      <c r="K201">
        <v>33.333333333333329</v>
      </c>
      <c r="L201">
        <v>22.068833155543096</v>
      </c>
      <c r="M201">
        <f t="shared" si="12"/>
        <v>-42.101907323358255</v>
      </c>
      <c r="N201">
        <f t="shared" si="13"/>
        <v>-42.682775813673125</v>
      </c>
      <c r="O201">
        <f t="shared" si="14"/>
        <v>-38.800073738243888</v>
      </c>
      <c r="Q201">
        <f t="shared" si="15"/>
        <v>47.915957502306824</v>
      </c>
    </row>
    <row r="202" spans="1:17" x14ac:dyDescent="0.45">
      <c r="A202">
        <v>283</v>
      </c>
      <c r="B202">
        <v>0</v>
      </c>
      <c r="C202">
        <v>0</v>
      </c>
      <c r="D202">
        <v>16.203623111502679</v>
      </c>
      <c r="E202">
        <v>66.666666666666657</v>
      </c>
      <c r="F202">
        <v>100</v>
      </c>
      <c r="G202">
        <v>100</v>
      </c>
      <c r="H202">
        <v>75</v>
      </c>
      <c r="I202">
        <v>33.333333333333329</v>
      </c>
      <c r="J202">
        <v>22.49712313003452</v>
      </c>
      <c r="K202">
        <v>33.333333333333329</v>
      </c>
      <c r="L202">
        <v>18.672898219518029</v>
      </c>
      <c r="M202">
        <f t="shared" si="12"/>
        <v>-42.404147001366347</v>
      </c>
      <c r="N202">
        <f t="shared" si="13"/>
        <v>-43.005037162899079</v>
      </c>
      <c r="O202">
        <f t="shared" si="14"/>
        <v>-39.119549651047734</v>
      </c>
      <c r="Q202">
        <f t="shared" si="15"/>
        <v>47.613717824298732</v>
      </c>
    </row>
    <row r="203" spans="1:17" x14ac:dyDescent="0.45">
      <c r="A203">
        <v>284</v>
      </c>
      <c r="B203">
        <v>0</v>
      </c>
      <c r="C203">
        <v>0</v>
      </c>
      <c r="D203">
        <v>15.907097546251547</v>
      </c>
      <c r="E203">
        <v>66.666666666666657</v>
      </c>
      <c r="F203">
        <v>100</v>
      </c>
      <c r="G203">
        <v>100</v>
      </c>
      <c r="H203">
        <v>75</v>
      </c>
      <c r="I203">
        <v>50</v>
      </c>
      <c r="J203">
        <v>9.8388952819332562</v>
      </c>
      <c r="K203">
        <v>0</v>
      </c>
      <c r="L203">
        <v>22.068833155543096</v>
      </c>
      <c r="M203">
        <f t="shared" si="12"/>
        <v>-41.343773122079504</v>
      </c>
      <c r="N203">
        <f t="shared" si="13"/>
        <v>-44.082564527006056</v>
      </c>
      <c r="O203">
        <f t="shared" si="14"/>
        <v>-37.998704382712532</v>
      </c>
      <c r="Q203">
        <f t="shared" si="15"/>
        <v>48.674091703585574</v>
      </c>
    </row>
    <row r="204" spans="1:17" x14ac:dyDescent="0.45">
      <c r="A204">
        <v>285</v>
      </c>
      <c r="B204">
        <v>0</v>
      </c>
      <c r="C204">
        <v>0</v>
      </c>
      <c r="D204">
        <v>15.667118176928316</v>
      </c>
      <c r="E204">
        <v>66.666666666666657</v>
      </c>
      <c r="F204">
        <v>100</v>
      </c>
      <c r="G204">
        <v>100</v>
      </c>
      <c r="H204">
        <v>75</v>
      </c>
      <c r="I204">
        <v>33.333333333333329</v>
      </c>
      <c r="J204">
        <v>5.8688147295742237</v>
      </c>
      <c r="K204">
        <v>0</v>
      </c>
      <c r="L204">
        <v>22.068833155543096</v>
      </c>
      <c r="M204">
        <f t="shared" si="12"/>
        <v>-39.101019493561729</v>
      </c>
      <c r="N204">
        <f t="shared" si="13"/>
        <v>-41.691241140643136</v>
      </c>
      <c r="O204">
        <f t="shared" si="14"/>
        <v>-35.628050180765946</v>
      </c>
      <c r="Q204">
        <f t="shared" si="15"/>
        <v>50.916845332103343</v>
      </c>
    </row>
    <row r="205" spans="1:17" x14ac:dyDescent="0.45">
      <c r="A205">
        <v>286</v>
      </c>
      <c r="B205">
        <v>0</v>
      </c>
      <c r="C205">
        <v>0</v>
      </c>
      <c r="D205">
        <v>16.203623111502679</v>
      </c>
      <c r="E205">
        <v>66.666666666666657</v>
      </c>
      <c r="F205">
        <v>100</v>
      </c>
      <c r="G205">
        <v>100</v>
      </c>
      <c r="H205">
        <v>75</v>
      </c>
      <c r="I205">
        <v>16.666666666666664</v>
      </c>
      <c r="J205">
        <v>8.9470655926352123</v>
      </c>
      <c r="K205">
        <v>0</v>
      </c>
      <c r="L205">
        <v>18.672898219518029</v>
      </c>
      <c r="M205">
        <f t="shared" si="12"/>
        <v>-36.847319679094241</v>
      </c>
      <c r="N205">
        <f t="shared" si="13"/>
        <v>-39.288246445349877</v>
      </c>
      <c r="O205">
        <f t="shared" si="14"/>
        <v>-33.245825549777564</v>
      </c>
      <c r="Q205">
        <f t="shared" si="15"/>
        <v>53.170545146570838</v>
      </c>
    </row>
    <row r="206" spans="1:17" x14ac:dyDescent="0.45">
      <c r="A206">
        <v>287</v>
      </c>
      <c r="B206">
        <v>0</v>
      </c>
      <c r="C206">
        <v>0</v>
      </c>
      <c r="D206">
        <v>17.667065670964284</v>
      </c>
      <c r="E206">
        <v>66.666666666666657</v>
      </c>
      <c r="F206">
        <v>0</v>
      </c>
      <c r="G206">
        <v>100</v>
      </c>
      <c r="H206">
        <v>75</v>
      </c>
      <c r="I206">
        <v>33.333333333333329</v>
      </c>
      <c r="J206">
        <v>16.7433831990794</v>
      </c>
      <c r="K206">
        <v>0</v>
      </c>
      <c r="L206">
        <v>18.672898219518029</v>
      </c>
      <c r="M206">
        <f t="shared" si="12"/>
        <v>-26.253873725392729</v>
      </c>
      <c r="N206">
        <f t="shared" si="13"/>
        <v>-27.993044543034738</v>
      </c>
      <c r="O206">
        <f t="shared" si="14"/>
        <v>-22.048252689385443</v>
      </c>
      <c r="Q206">
        <f t="shared" si="15"/>
        <v>63.763991100272357</v>
      </c>
    </row>
    <row r="207" spans="1:17" x14ac:dyDescent="0.45">
      <c r="A207">
        <v>288</v>
      </c>
      <c r="B207">
        <v>0</v>
      </c>
      <c r="C207">
        <v>0</v>
      </c>
      <c r="D207">
        <v>16.53288410008475</v>
      </c>
      <c r="E207">
        <v>66.666666666666657</v>
      </c>
      <c r="F207">
        <v>0</v>
      </c>
      <c r="G207">
        <v>100</v>
      </c>
      <c r="H207">
        <v>75</v>
      </c>
      <c r="I207">
        <v>16.666666666666664</v>
      </c>
      <c r="J207">
        <v>3.5673187571921749</v>
      </c>
      <c r="K207">
        <v>33.333333333333329</v>
      </c>
      <c r="L207">
        <v>18.672898219518029</v>
      </c>
      <c r="M207">
        <f t="shared" si="12"/>
        <v>-24.999768670290372</v>
      </c>
      <c r="N207">
        <f t="shared" si="13"/>
        <v>-24.44771709037899</v>
      </c>
      <c r="O207">
        <f t="shared" si="14"/>
        <v>-20.72262807295099</v>
      </c>
      <c r="Q207">
        <f t="shared" si="15"/>
        <v>65.018096155374721</v>
      </c>
    </row>
    <row r="208" spans="1:17" x14ac:dyDescent="0.45">
      <c r="A208">
        <v>289</v>
      </c>
      <c r="B208">
        <v>0</v>
      </c>
      <c r="C208">
        <v>0</v>
      </c>
      <c r="D208">
        <v>17.667065670964284</v>
      </c>
      <c r="E208">
        <v>66.666666666666657</v>
      </c>
      <c r="F208">
        <v>0</v>
      </c>
      <c r="G208">
        <v>100</v>
      </c>
      <c r="H208">
        <v>75</v>
      </c>
      <c r="I208">
        <v>16.666666666666664</v>
      </c>
      <c r="J208">
        <v>12.859608745684694</v>
      </c>
      <c r="K208">
        <v>0</v>
      </c>
      <c r="L208">
        <v>5.1175358467728334</v>
      </c>
      <c r="M208">
        <f t="shared" si="12"/>
        <v>-20.683415423995282</v>
      </c>
      <c r="N208">
        <f t="shared" si="13"/>
        <v>-22.053574848499071</v>
      </c>
      <c r="O208">
        <f t="shared" si="14"/>
        <v>-16.16012025653162</v>
      </c>
      <c r="Q208">
        <f t="shared" si="15"/>
        <v>69.334449401669801</v>
      </c>
    </row>
    <row r="209" spans="1:17" x14ac:dyDescent="0.45">
      <c r="A209">
        <v>290</v>
      </c>
      <c r="B209">
        <v>0</v>
      </c>
      <c r="C209">
        <v>0</v>
      </c>
      <c r="D209">
        <v>16.203623111502679</v>
      </c>
      <c r="E209">
        <v>66.666666666666657</v>
      </c>
      <c r="F209">
        <v>100</v>
      </c>
      <c r="G209">
        <v>100</v>
      </c>
      <c r="H209">
        <v>75</v>
      </c>
      <c r="I209">
        <v>33.333333333333329</v>
      </c>
      <c r="J209">
        <v>30.75373993095512</v>
      </c>
      <c r="K209">
        <v>66.666666666666657</v>
      </c>
      <c r="L209">
        <v>18.672898219518029</v>
      </c>
      <c r="M209">
        <f t="shared" si="12"/>
        <v>-45.525852759826265</v>
      </c>
      <c r="N209">
        <f t="shared" si="13"/>
        <v>-44.125393269826667</v>
      </c>
      <c r="O209">
        <f t="shared" si="14"/>
        <v>-42.41928118617173</v>
      </c>
      <c r="Q209">
        <f t="shared" si="15"/>
        <v>44.492012065838814</v>
      </c>
    </row>
    <row r="210" spans="1:17" x14ac:dyDescent="0.45">
      <c r="A210">
        <v>291</v>
      </c>
      <c r="B210">
        <v>0</v>
      </c>
      <c r="C210">
        <v>0</v>
      </c>
      <c r="D210">
        <v>16.248333545381673</v>
      </c>
      <c r="E210">
        <v>66.666666666666657</v>
      </c>
      <c r="F210">
        <v>0</v>
      </c>
      <c r="G210">
        <v>100</v>
      </c>
      <c r="H210">
        <v>75</v>
      </c>
      <c r="I210">
        <v>33.333333333333329</v>
      </c>
      <c r="J210">
        <v>1.8124280782508631</v>
      </c>
      <c r="K210">
        <v>0</v>
      </c>
      <c r="L210">
        <v>12.270701498030167</v>
      </c>
      <c r="M210">
        <f t="shared" si="12"/>
        <v>-22.929808773914573</v>
      </c>
      <c r="N210">
        <f t="shared" si="13"/>
        <v>-24.448779067244399</v>
      </c>
      <c r="O210">
        <f t="shared" si="14"/>
        <v>-18.534621747241768</v>
      </c>
      <c r="Q210">
        <f t="shared" si="15"/>
        <v>67.088056051750513</v>
      </c>
    </row>
    <row r="211" spans="1:17" x14ac:dyDescent="0.45">
      <c r="A211">
        <v>292</v>
      </c>
      <c r="B211">
        <v>0</v>
      </c>
      <c r="C211">
        <v>0</v>
      </c>
      <c r="D211">
        <v>17.92106845634952</v>
      </c>
      <c r="E211">
        <v>66.666666666666657</v>
      </c>
      <c r="F211">
        <v>100</v>
      </c>
      <c r="G211">
        <v>100</v>
      </c>
      <c r="H211">
        <v>75</v>
      </c>
      <c r="I211">
        <v>100</v>
      </c>
      <c r="J211">
        <v>74.539700805523594</v>
      </c>
      <c r="K211">
        <v>100</v>
      </c>
      <c r="L211">
        <v>12.270701498030167</v>
      </c>
      <c r="M211">
        <f t="shared" si="12"/>
        <v>-58.477972389449462</v>
      </c>
      <c r="N211">
        <f t="shared" si="13"/>
        <v>-55.727372631679245</v>
      </c>
      <c r="O211">
        <f t="shared" si="14"/>
        <v>-56.110039026734867</v>
      </c>
      <c r="Q211">
        <f t="shared" si="15"/>
        <v>31.539892436215617</v>
      </c>
    </row>
    <row r="212" spans="1:17" x14ac:dyDescent="0.45">
      <c r="A212">
        <v>293</v>
      </c>
      <c r="B212">
        <v>0</v>
      </c>
      <c r="C212">
        <v>0</v>
      </c>
      <c r="D212">
        <v>15.636289038237702</v>
      </c>
      <c r="E212">
        <v>66.666666666666657</v>
      </c>
      <c r="F212">
        <v>100</v>
      </c>
      <c r="G212">
        <v>100</v>
      </c>
      <c r="H212">
        <v>75</v>
      </c>
      <c r="I212">
        <v>33.333333333333329</v>
      </c>
      <c r="J212">
        <v>4.6605293440736482</v>
      </c>
      <c r="K212">
        <v>33.333333333333329</v>
      </c>
      <c r="L212">
        <v>14.42230259232625</v>
      </c>
      <c r="M212">
        <f t="shared" si="12"/>
        <v>-39.151455672210652</v>
      </c>
      <c r="N212">
        <f t="shared" si="13"/>
        <v>-39.536873408697275</v>
      </c>
      <c r="O212">
        <f t="shared" si="14"/>
        <v>-35.681362652240232</v>
      </c>
      <c r="Q212">
        <f t="shared" si="15"/>
        <v>50.866409153454427</v>
      </c>
    </row>
    <row r="213" spans="1:17" x14ac:dyDescent="0.45">
      <c r="A213">
        <v>294</v>
      </c>
      <c r="B213">
        <v>0</v>
      </c>
      <c r="C213">
        <v>0</v>
      </c>
      <c r="D213">
        <v>15.636289038237702</v>
      </c>
      <c r="E213">
        <v>66.666666666666657</v>
      </c>
      <c r="F213">
        <v>100</v>
      </c>
      <c r="G213">
        <v>100</v>
      </c>
      <c r="H213">
        <v>75</v>
      </c>
      <c r="I213">
        <v>16.666666666666664</v>
      </c>
      <c r="J213">
        <v>3.3659378596087453</v>
      </c>
      <c r="K213">
        <v>0</v>
      </c>
      <c r="L213">
        <v>14.42230259232625</v>
      </c>
      <c r="M213">
        <f t="shared" si="12"/>
        <v>-35.154277974502342</v>
      </c>
      <c r="N213">
        <f t="shared" si="13"/>
        <v>-37.483050292371601</v>
      </c>
      <c r="O213">
        <f t="shared" si="14"/>
        <v>-31.456232444219122</v>
      </c>
      <c r="Q213">
        <f t="shared" si="15"/>
        <v>54.863586851162736</v>
      </c>
    </row>
    <row r="214" spans="1:17" x14ac:dyDescent="0.45">
      <c r="A214">
        <v>295</v>
      </c>
      <c r="B214">
        <v>0</v>
      </c>
      <c r="C214">
        <v>0</v>
      </c>
      <c r="D214">
        <v>16.248333545381673</v>
      </c>
      <c r="E214">
        <v>66.666666666666657</v>
      </c>
      <c r="F214">
        <v>100</v>
      </c>
      <c r="G214">
        <v>100</v>
      </c>
      <c r="H214">
        <v>75</v>
      </c>
      <c r="I214">
        <v>33.333333333333329</v>
      </c>
      <c r="J214">
        <v>5.0632911392405067</v>
      </c>
      <c r="K214">
        <v>66.666666666666657</v>
      </c>
      <c r="L214">
        <v>12.270701498030167</v>
      </c>
      <c r="M214">
        <f t="shared" si="12"/>
        <v>-40.686435135678792</v>
      </c>
      <c r="N214">
        <f t="shared" si="13"/>
        <v>-38.96539156752241</v>
      </c>
      <c r="O214">
        <f t="shared" si="14"/>
        <v>-37.303879485432198</v>
      </c>
      <c r="Q214">
        <f t="shared" si="15"/>
        <v>49.331429689986287</v>
      </c>
    </row>
    <row r="215" spans="1:17" x14ac:dyDescent="0.45">
      <c r="A215">
        <v>297</v>
      </c>
      <c r="B215">
        <v>0</v>
      </c>
      <c r="C215">
        <v>0</v>
      </c>
      <c r="D215">
        <v>21.593358203288517</v>
      </c>
      <c r="E215">
        <v>66.666666666666657</v>
      </c>
      <c r="F215">
        <v>100</v>
      </c>
      <c r="G215">
        <v>0</v>
      </c>
      <c r="H215">
        <v>100</v>
      </c>
      <c r="I215">
        <v>50</v>
      </c>
      <c r="J215">
        <v>14.672036823935558</v>
      </c>
      <c r="K215">
        <v>0</v>
      </c>
      <c r="L215">
        <v>2.8721853500276717</v>
      </c>
      <c r="M215">
        <f t="shared" si="12"/>
        <v>-33.587931840905625</v>
      </c>
      <c r="N215">
        <f t="shared" si="13"/>
        <v>-35.812942576222476</v>
      </c>
      <c r="O215">
        <f t="shared" si="14"/>
        <v>-35.503396690951988</v>
      </c>
      <c r="Q215">
        <f t="shared" si="15"/>
        <v>56.429932984759454</v>
      </c>
    </row>
    <row r="216" spans="1:17" x14ac:dyDescent="0.45">
      <c r="A216">
        <v>298</v>
      </c>
      <c r="B216">
        <v>0</v>
      </c>
      <c r="C216">
        <v>0</v>
      </c>
      <c r="D216">
        <v>21.175507815169823</v>
      </c>
      <c r="E216">
        <v>66.666666666666657</v>
      </c>
      <c r="F216">
        <v>100</v>
      </c>
      <c r="G216">
        <v>0</v>
      </c>
      <c r="H216">
        <v>100</v>
      </c>
      <c r="I216">
        <v>50</v>
      </c>
      <c r="J216">
        <v>49.942462600690455</v>
      </c>
      <c r="K216">
        <v>33.333333333333329</v>
      </c>
      <c r="L216">
        <v>2.8721853500276717</v>
      </c>
      <c r="M216">
        <f t="shared" si="12"/>
        <v>-40.189167232810568</v>
      </c>
      <c r="N216">
        <f t="shared" si="13"/>
        <v>-40.643327497817062</v>
      </c>
      <c r="O216">
        <f t="shared" si="14"/>
        <v>-42.481089746876499</v>
      </c>
      <c r="Q216">
        <f t="shared" si="15"/>
        <v>49.82869759285451</v>
      </c>
    </row>
    <row r="217" spans="1:17" x14ac:dyDescent="0.45">
      <c r="A217">
        <v>299</v>
      </c>
      <c r="B217">
        <v>0</v>
      </c>
      <c r="C217">
        <v>0</v>
      </c>
      <c r="D217">
        <v>27.992546938726786</v>
      </c>
      <c r="E217">
        <v>33.333333333333329</v>
      </c>
      <c r="F217">
        <v>0</v>
      </c>
      <c r="G217">
        <v>0</v>
      </c>
      <c r="H217">
        <v>25</v>
      </c>
      <c r="I217">
        <v>16.666666666666664</v>
      </c>
      <c r="J217">
        <v>10.960874568469507</v>
      </c>
      <c r="K217">
        <v>0</v>
      </c>
      <c r="L217">
        <v>10.097223556718841</v>
      </c>
      <c r="M217">
        <f t="shared" si="12"/>
        <v>-7.8893820359401534</v>
      </c>
      <c r="N217">
        <f t="shared" si="13"/>
        <v>-8.4120090261379961</v>
      </c>
      <c r="O217">
        <f t="shared" si="14"/>
        <v>-8.3393005974642787</v>
      </c>
      <c r="Q217">
        <f t="shared" si="15"/>
        <v>82.128482789724927</v>
      </c>
    </row>
    <row r="218" spans="1:17" x14ac:dyDescent="0.45">
      <c r="A218">
        <v>300</v>
      </c>
      <c r="B218">
        <v>0</v>
      </c>
      <c r="C218">
        <v>0</v>
      </c>
      <c r="D218">
        <v>27.155751683946161</v>
      </c>
      <c r="E218">
        <v>33.333333333333329</v>
      </c>
      <c r="F218">
        <v>0</v>
      </c>
      <c r="G218">
        <v>100</v>
      </c>
      <c r="H218">
        <v>25</v>
      </c>
      <c r="I218">
        <v>33.333333333333329</v>
      </c>
      <c r="J218">
        <v>25.143843498273878</v>
      </c>
      <c r="K218">
        <v>100</v>
      </c>
      <c r="L218">
        <v>15.818240680960463</v>
      </c>
      <c r="M218">
        <f t="shared" si="12"/>
        <v>-24.54633320661857</v>
      </c>
      <c r="N218">
        <f t="shared" si="13"/>
        <v>-19.547954043843419</v>
      </c>
      <c r="O218">
        <f t="shared" si="14"/>
        <v>-20.243333925971697</v>
      </c>
      <c r="Q218">
        <f t="shared" si="15"/>
        <v>65.471531619046502</v>
      </c>
    </row>
    <row r="219" spans="1:17" x14ac:dyDescent="0.45">
      <c r="A219">
        <v>301</v>
      </c>
      <c r="B219">
        <v>0</v>
      </c>
      <c r="C219">
        <v>0</v>
      </c>
      <c r="D219">
        <v>27.414405032046641</v>
      </c>
      <c r="E219">
        <v>100</v>
      </c>
      <c r="F219">
        <v>0</v>
      </c>
      <c r="G219">
        <v>100</v>
      </c>
      <c r="H219">
        <v>75</v>
      </c>
      <c r="I219">
        <v>83.333333333333343</v>
      </c>
      <c r="J219">
        <v>20.512082853855006</v>
      </c>
      <c r="K219">
        <v>0</v>
      </c>
      <c r="L219">
        <v>15.077411432045828</v>
      </c>
      <c r="M219">
        <f t="shared" si="12"/>
        <v>-32.937782086033764</v>
      </c>
      <c r="N219">
        <f t="shared" si="13"/>
        <v>-35.119724072997627</v>
      </c>
      <c r="O219">
        <f t="shared" si="14"/>
        <v>-29.113333418315825</v>
      </c>
      <c r="Q219">
        <f t="shared" si="15"/>
        <v>57.080082739631322</v>
      </c>
    </row>
    <row r="220" spans="1:17" x14ac:dyDescent="0.45">
      <c r="A220">
        <v>302</v>
      </c>
      <c r="B220">
        <v>0</v>
      </c>
      <c r="C220">
        <v>0</v>
      </c>
      <c r="D220">
        <v>28.021893314063711</v>
      </c>
      <c r="E220">
        <v>66.666666666666657</v>
      </c>
      <c r="F220">
        <v>0</v>
      </c>
      <c r="G220">
        <v>100</v>
      </c>
      <c r="H220">
        <v>75</v>
      </c>
      <c r="I220">
        <v>66.666666666666657</v>
      </c>
      <c r="J220">
        <v>25.20138089758343</v>
      </c>
      <c r="K220">
        <v>66.666666666666657</v>
      </c>
      <c r="L220">
        <v>25.41891848854808</v>
      </c>
      <c r="M220">
        <f t="shared" si="12"/>
        <v>-35.611095086225006</v>
      </c>
      <c r="N220">
        <f t="shared" si="13"/>
        <v>-33.553838912037754</v>
      </c>
      <c r="O220">
        <f t="shared" si="14"/>
        <v>-31.939101089109982</v>
      </c>
      <c r="Q220">
        <f t="shared" si="15"/>
        <v>54.406769739440072</v>
      </c>
    </row>
    <row r="221" spans="1:17" x14ac:dyDescent="0.45">
      <c r="A221">
        <v>303</v>
      </c>
      <c r="B221">
        <v>0</v>
      </c>
      <c r="C221">
        <v>0</v>
      </c>
      <c r="D221">
        <v>19.185715494275538</v>
      </c>
      <c r="E221">
        <v>66.666666666666657</v>
      </c>
      <c r="F221">
        <v>0</v>
      </c>
      <c r="G221">
        <v>0</v>
      </c>
      <c r="H221">
        <v>25</v>
      </c>
      <c r="I221">
        <v>16.666666666666664</v>
      </c>
      <c r="J221">
        <v>11.507479861910241</v>
      </c>
      <c r="K221">
        <v>100</v>
      </c>
      <c r="L221">
        <v>7.0742335653350512</v>
      </c>
      <c r="M221">
        <f t="shared" si="12"/>
        <v>-17.083795856374127</v>
      </c>
      <c r="N221">
        <f t="shared" si="13"/>
        <v>-11.59106575244412</v>
      </c>
      <c r="O221">
        <f t="shared" si="14"/>
        <v>-18.058056808886832</v>
      </c>
      <c r="Q221">
        <f t="shared" si="15"/>
        <v>72.934068969290962</v>
      </c>
    </row>
    <row r="222" spans="1:17" x14ac:dyDescent="0.45">
      <c r="A222">
        <v>304</v>
      </c>
      <c r="B222">
        <v>1</v>
      </c>
      <c r="C222">
        <v>0</v>
      </c>
      <c r="D222">
        <v>21.686006987975396</v>
      </c>
      <c r="E222">
        <v>0</v>
      </c>
      <c r="F222">
        <v>0</v>
      </c>
      <c r="G222">
        <v>0</v>
      </c>
      <c r="H222">
        <v>25</v>
      </c>
      <c r="I222">
        <v>16.666666666666664</v>
      </c>
      <c r="J222">
        <v>11.881472957422325</v>
      </c>
      <c r="K222">
        <v>0</v>
      </c>
      <c r="L222">
        <v>6.7517163430236522</v>
      </c>
      <c r="M222">
        <f t="shared" si="12"/>
        <v>-5.0458841240120949</v>
      </c>
      <c r="N222">
        <f t="shared" si="13"/>
        <v>-5.380145441388553</v>
      </c>
      <c r="O222">
        <f t="shared" si="14"/>
        <v>-5.3336426476012502</v>
      </c>
      <c r="Q222">
        <f t="shared" si="15"/>
        <v>84.971980701652996</v>
      </c>
    </row>
    <row r="223" spans="1:17" x14ac:dyDescent="0.45">
      <c r="A223">
        <v>305</v>
      </c>
      <c r="B223">
        <v>0</v>
      </c>
      <c r="C223">
        <v>1</v>
      </c>
      <c r="D223">
        <v>24.196273186033984</v>
      </c>
      <c r="E223">
        <v>0</v>
      </c>
      <c r="F223">
        <v>0</v>
      </c>
      <c r="G223">
        <v>0</v>
      </c>
      <c r="H223">
        <v>25</v>
      </c>
      <c r="I223">
        <v>16.666666666666664</v>
      </c>
      <c r="J223">
        <v>11.363636363636363</v>
      </c>
      <c r="K223">
        <v>0</v>
      </c>
      <c r="L223">
        <v>13.69107672229357</v>
      </c>
      <c r="M223">
        <f t="shared" si="12"/>
        <v>-6.4263076921256577</v>
      </c>
      <c r="N223">
        <f t="shared" si="13"/>
        <v>-6.8520142724282618</v>
      </c>
      <c r="O223">
        <f t="shared" si="14"/>
        <v>-6.7927895153636735</v>
      </c>
      <c r="Q223">
        <f t="shared" si="15"/>
        <v>83.591557133539425</v>
      </c>
    </row>
    <row r="224" spans="1:17" x14ac:dyDescent="0.45">
      <c r="A224">
        <v>306</v>
      </c>
      <c r="B224">
        <v>0</v>
      </c>
      <c r="C224">
        <v>0</v>
      </c>
      <c r="D224">
        <v>26.583145758497256</v>
      </c>
      <c r="E224">
        <v>0</v>
      </c>
      <c r="F224">
        <v>100</v>
      </c>
      <c r="G224">
        <v>100</v>
      </c>
      <c r="H224">
        <v>75</v>
      </c>
      <c r="I224">
        <v>50</v>
      </c>
      <c r="J224">
        <v>13.463751438434981</v>
      </c>
      <c r="K224">
        <v>0</v>
      </c>
      <c r="L224">
        <v>18.666866829771504</v>
      </c>
      <c r="M224">
        <f t="shared" si="12"/>
        <v>-34.363297018266088</v>
      </c>
      <c r="N224">
        <f t="shared" si="13"/>
        <v>-36.639671316293196</v>
      </c>
      <c r="O224">
        <f t="shared" si="14"/>
        <v>-30.62014313698635</v>
      </c>
      <c r="Q224">
        <f t="shared" si="15"/>
        <v>55.65456780739899</v>
      </c>
    </row>
    <row r="225" spans="1:17" x14ac:dyDescent="0.45">
      <c r="A225">
        <v>307</v>
      </c>
      <c r="B225">
        <v>0</v>
      </c>
      <c r="C225">
        <v>0</v>
      </c>
      <c r="D225">
        <v>25.853062087139612</v>
      </c>
      <c r="E225">
        <v>66.666666666666657</v>
      </c>
      <c r="F225">
        <v>100</v>
      </c>
      <c r="G225">
        <v>100</v>
      </c>
      <c r="H225">
        <v>75</v>
      </c>
      <c r="I225">
        <v>83.333333333333343</v>
      </c>
      <c r="J225">
        <v>42.894131185270425</v>
      </c>
      <c r="K225">
        <v>33.333333333333329</v>
      </c>
      <c r="L225">
        <v>18.666866829771504</v>
      </c>
      <c r="M225">
        <f t="shared" si="12"/>
        <v>-49.319617225515628</v>
      </c>
      <c r="N225">
        <f t="shared" si="13"/>
        <v>-50.378618221659401</v>
      </c>
      <c r="O225">
        <f t="shared" si="14"/>
        <v>-46.429397838051166</v>
      </c>
      <c r="Q225">
        <f t="shared" si="15"/>
        <v>40.69824760014945</v>
      </c>
    </row>
    <row r="226" spans="1:17" x14ac:dyDescent="0.45">
      <c r="A226">
        <v>308</v>
      </c>
      <c r="B226">
        <v>0</v>
      </c>
      <c r="C226">
        <v>0</v>
      </c>
      <c r="D226">
        <v>24.193009345060755</v>
      </c>
      <c r="E226">
        <v>66.666666666666657</v>
      </c>
      <c r="F226">
        <v>0</v>
      </c>
      <c r="G226">
        <v>100</v>
      </c>
      <c r="H226">
        <v>75</v>
      </c>
      <c r="I226">
        <v>83.333333333333343</v>
      </c>
      <c r="J226">
        <v>13.319907940161105</v>
      </c>
      <c r="K226">
        <v>0</v>
      </c>
      <c r="L226">
        <v>2.7943408709183393</v>
      </c>
      <c r="M226">
        <f t="shared" si="12"/>
        <v>-26.568347852406927</v>
      </c>
      <c r="N226">
        <f t="shared" si="13"/>
        <v>-28.328350804397086</v>
      </c>
      <c r="O226">
        <f t="shared" si="14"/>
        <v>-22.380660761823798</v>
      </c>
      <c r="Q226">
        <f t="shared" si="15"/>
        <v>63.449516973258149</v>
      </c>
    </row>
    <row r="227" spans="1:17" x14ac:dyDescent="0.45">
      <c r="A227">
        <v>309</v>
      </c>
      <c r="B227">
        <v>0</v>
      </c>
      <c r="C227">
        <v>1</v>
      </c>
      <c r="D227">
        <v>39.205225725069539</v>
      </c>
      <c r="E227">
        <v>0</v>
      </c>
      <c r="F227">
        <v>0</v>
      </c>
      <c r="G227">
        <v>100</v>
      </c>
      <c r="H227">
        <v>100</v>
      </c>
      <c r="I227">
        <v>33.333333333333329</v>
      </c>
      <c r="J227">
        <v>4.1426927502876865</v>
      </c>
      <c r="K227">
        <v>0</v>
      </c>
      <c r="L227">
        <v>14.906260625500503</v>
      </c>
      <c r="M227">
        <f t="shared" si="12"/>
        <v>-18.321133172241684</v>
      </c>
      <c r="N227">
        <f t="shared" si="13"/>
        <v>-19.534804742866989</v>
      </c>
      <c r="O227">
        <f t="shared" si="14"/>
        <v>-13.663120909347585</v>
      </c>
      <c r="Q227">
        <f t="shared" si="15"/>
        <v>71.696731653423399</v>
      </c>
    </row>
    <row r="228" spans="1:17" x14ac:dyDescent="0.45">
      <c r="A228">
        <v>311</v>
      </c>
      <c r="B228">
        <v>0</v>
      </c>
      <c r="C228">
        <v>1</v>
      </c>
      <c r="D228">
        <v>30.754023998984565</v>
      </c>
      <c r="E228">
        <v>0</v>
      </c>
      <c r="F228">
        <v>0</v>
      </c>
      <c r="G228">
        <v>100</v>
      </c>
      <c r="H228">
        <v>25</v>
      </c>
      <c r="I228">
        <v>16.666666666666664</v>
      </c>
      <c r="J228">
        <v>12.054085155350979</v>
      </c>
      <c r="K228">
        <v>0</v>
      </c>
      <c r="L228">
        <v>12.265394634592154</v>
      </c>
      <c r="M228">
        <f t="shared" si="12"/>
        <v>-10.906104864488267</v>
      </c>
      <c r="N228">
        <f t="shared" si="13"/>
        <v>-11.62857269962972</v>
      </c>
      <c r="O228">
        <f t="shared" si="14"/>
        <v>-5.8252256578098267</v>
      </c>
      <c r="Q228">
        <f t="shared" si="15"/>
        <v>79.111759961176801</v>
      </c>
    </row>
    <row r="229" spans="1:17" x14ac:dyDescent="0.45">
      <c r="A229">
        <v>313</v>
      </c>
      <c r="B229">
        <v>0</v>
      </c>
      <c r="C229">
        <v>0</v>
      </c>
      <c r="D229">
        <v>37.494637716244789</v>
      </c>
      <c r="E229">
        <v>0</v>
      </c>
      <c r="F229">
        <v>0</v>
      </c>
      <c r="G229">
        <v>100</v>
      </c>
      <c r="H229">
        <v>100</v>
      </c>
      <c r="I229">
        <v>50</v>
      </c>
      <c r="J229">
        <v>18.555811277330264</v>
      </c>
      <c r="K229">
        <v>33.333333333333329</v>
      </c>
      <c r="L229">
        <v>18.483841763002207</v>
      </c>
      <c r="M229">
        <f t="shared" si="12"/>
        <v>-25.033384732764368</v>
      </c>
      <c r="N229">
        <f t="shared" si="13"/>
        <v>-24.483560027083826</v>
      </c>
      <c r="O229">
        <f t="shared" si="14"/>
        <v>-20.758161204519062</v>
      </c>
      <c r="Q229">
        <f t="shared" si="15"/>
        <v>64.984480092900711</v>
      </c>
    </row>
    <row r="230" spans="1:17" x14ac:dyDescent="0.45">
      <c r="A230">
        <v>314</v>
      </c>
      <c r="B230">
        <v>0</v>
      </c>
      <c r="C230">
        <v>0</v>
      </c>
      <c r="D230">
        <v>37.800771950349372</v>
      </c>
      <c r="E230">
        <v>66.666666666666657</v>
      </c>
      <c r="F230">
        <v>0</v>
      </c>
      <c r="G230">
        <v>100</v>
      </c>
      <c r="H230">
        <v>100</v>
      </c>
      <c r="I230">
        <v>50</v>
      </c>
      <c r="J230">
        <v>18.555811277330264</v>
      </c>
      <c r="K230">
        <v>33.333333333333329</v>
      </c>
      <c r="L230">
        <v>18.483841763002207</v>
      </c>
      <c r="M230">
        <f t="shared" si="12"/>
        <v>-30.547016419841206</v>
      </c>
      <c r="N230">
        <f t="shared" si="13"/>
        <v>-30.362438665132153</v>
      </c>
      <c r="O230">
        <f t="shared" si="14"/>
        <v>-26.586226294126369</v>
      </c>
      <c r="Q230">
        <f t="shared" si="15"/>
        <v>59.470848405823872</v>
      </c>
    </row>
    <row r="231" spans="1:17" x14ac:dyDescent="0.45">
      <c r="A231">
        <v>315</v>
      </c>
      <c r="B231">
        <v>0</v>
      </c>
      <c r="C231">
        <v>0</v>
      </c>
      <c r="D231">
        <v>37.764204897175908</v>
      </c>
      <c r="E231">
        <v>66.666666666666657</v>
      </c>
      <c r="F231">
        <v>0</v>
      </c>
      <c r="G231">
        <v>100</v>
      </c>
      <c r="H231">
        <v>100</v>
      </c>
      <c r="I231">
        <v>50</v>
      </c>
      <c r="J231">
        <v>18.555811277330264</v>
      </c>
      <c r="K231">
        <v>33.333333333333329</v>
      </c>
      <c r="L231">
        <v>18.483841763002207</v>
      </c>
      <c r="M231">
        <f t="shared" si="12"/>
        <v>-30.550666592518255</v>
      </c>
      <c r="N231">
        <f t="shared" si="13"/>
        <v>-30.366330641128044</v>
      </c>
      <c r="O231">
        <f t="shared" si="14"/>
        <v>-26.590084630184613</v>
      </c>
      <c r="Q231">
        <f t="shared" si="15"/>
        <v>59.467198233146824</v>
      </c>
    </row>
    <row r="232" spans="1:17" x14ac:dyDescent="0.45">
      <c r="A232">
        <v>316</v>
      </c>
      <c r="B232">
        <v>0</v>
      </c>
      <c r="C232">
        <v>0</v>
      </c>
      <c r="D232">
        <v>40.671317355363058</v>
      </c>
      <c r="E232">
        <v>66.666666666666657</v>
      </c>
      <c r="F232">
        <v>0</v>
      </c>
      <c r="G232">
        <v>100</v>
      </c>
      <c r="H232">
        <v>75</v>
      </c>
      <c r="I232">
        <v>33.333333333333329</v>
      </c>
      <c r="J232">
        <v>14.844649021864212</v>
      </c>
      <c r="K232">
        <v>0</v>
      </c>
      <c r="L232">
        <v>16.324974087336955</v>
      </c>
      <c r="M232">
        <f t="shared" si="12"/>
        <v>-23.141777501564373</v>
      </c>
      <c r="N232">
        <f t="shared" si="13"/>
        <v>-24.674789525620763</v>
      </c>
      <c r="O232">
        <f t="shared" si="14"/>
        <v>-18.758678704945304</v>
      </c>
      <c r="Q232">
        <f t="shared" si="15"/>
        <v>66.876087324100709</v>
      </c>
    </row>
    <row r="233" spans="1:17" x14ac:dyDescent="0.45">
      <c r="A233">
        <v>317</v>
      </c>
      <c r="B233">
        <v>0</v>
      </c>
      <c r="C233">
        <v>0</v>
      </c>
      <c r="D233">
        <v>44.285813676826393</v>
      </c>
      <c r="E233">
        <v>0</v>
      </c>
      <c r="F233">
        <v>0</v>
      </c>
      <c r="G233">
        <v>100</v>
      </c>
      <c r="H233">
        <v>100</v>
      </c>
      <c r="I233">
        <v>83.333333333333343</v>
      </c>
      <c r="J233">
        <v>21.921749136939013</v>
      </c>
      <c r="K233">
        <v>0</v>
      </c>
      <c r="L233">
        <v>11.370188196638491</v>
      </c>
      <c r="M233">
        <f t="shared" si="12"/>
        <v>-24.496296261592203</v>
      </c>
      <c r="N233">
        <f t="shared" si="13"/>
        <v>-26.11903750138374</v>
      </c>
      <c r="O233">
        <f t="shared" si="14"/>
        <v>-20.190443455760875</v>
      </c>
      <c r="Q233">
        <f t="shared" si="15"/>
        <v>65.521568564072879</v>
      </c>
    </row>
    <row r="234" spans="1:17" x14ac:dyDescent="0.45">
      <c r="A234">
        <v>318</v>
      </c>
      <c r="B234">
        <v>0</v>
      </c>
      <c r="C234">
        <v>0</v>
      </c>
      <c r="D234">
        <v>51.658638597760145</v>
      </c>
      <c r="E234">
        <v>100</v>
      </c>
      <c r="F234">
        <v>0</v>
      </c>
      <c r="G234">
        <v>100</v>
      </c>
      <c r="H234">
        <v>75</v>
      </c>
      <c r="I234">
        <v>66.666666666666657</v>
      </c>
      <c r="J234">
        <v>100</v>
      </c>
      <c r="K234">
        <v>100</v>
      </c>
      <c r="L234">
        <v>11.426640109125609</v>
      </c>
      <c r="M234">
        <f t="shared" si="12"/>
        <v>-44.192109218420704</v>
      </c>
      <c r="N234">
        <f t="shared" si="13"/>
        <v>-40.495151731053831</v>
      </c>
      <c r="O234">
        <f t="shared" si="14"/>
        <v>-41.009476430737294</v>
      </c>
      <c r="Q234">
        <f t="shared" si="15"/>
        <v>45.825755607244375</v>
      </c>
    </row>
    <row r="235" spans="1:17" x14ac:dyDescent="0.45">
      <c r="A235">
        <v>319</v>
      </c>
      <c r="B235">
        <v>0</v>
      </c>
      <c r="C235">
        <v>0</v>
      </c>
      <c r="D235">
        <v>59.6566865274078</v>
      </c>
      <c r="E235">
        <v>100</v>
      </c>
      <c r="F235">
        <v>0</v>
      </c>
      <c r="G235">
        <v>100</v>
      </c>
      <c r="H235">
        <v>100</v>
      </c>
      <c r="I235">
        <v>33.333333333333329</v>
      </c>
      <c r="J235">
        <v>30.235903337169162</v>
      </c>
      <c r="K235">
        <v>66.666666666666657</v>
      </c>
      <c r="L235">
        <v>18.689456496498348</v>
      </c>
      <c r="M235">
        <f t="shared" si="12"/>
        <v>-32.983616723976567</v>
      </c>
      <c r="N235">
        <f t="shared" si="13"/>
        <v>-30.752304951769563</v>
      </c>
      <c r="O235">
        <f t="shared" si="14"/>
        <v>-29.161781930739199</v>
      </c>
      <c r="Q235">
        <f t="shared" si="15"/>
        <v>57.034248101688512</v>
      </c>
    </row>
    <row r="236" spans="1:17" x14ac:dyDescent="0.45">
      <c r="A236">
        <v>320</v>
      </c>
      <c r="B236">
        <v>0</v>
      </c>
      <c r="C236">
        <v>0</v>
      </c>
      <c r="D236">
        <v>58.614428213809212</v>
      </c>
      <c r="E236">
        <v>100</v>
      </c>
      <c r="F236">
        <v>0</v>
      </c>
      <c r="G236">
        <v>100</v>
      </c>
      <c r="H236">
        <v>75</v>
      </c>
      <c r="I236">
        <v>50</v>
      </c>
      <c r="J236">
        <v>13.924050632911392</v>
      </c>
      <c r="K236">
        <v>33.333333333333329</v>
      </c>
      <c r="L236">
        <v>19.835918147530517</v>
      </c>
      <c r="M236">
        <f t="shared" si="12"/>
        <v>-28.696577916487275</v>
      </c>
      <c r="N236">
        <f t="shared" si="13"/>
        <v>-28.389419064659528</v>
      </c>
      <c r="O236">
        <f t="shared" si="14"/>
        <v>-24.63026030765333</v>
      </c>
      <c r="Q236">
        <f t="shared" si="15"/>
        <v>61.321286909177807</v>
      </c>
    </row>
    <row r="237" spans="1:17" x14ac:dyDescent="0.45">
      <c r="A237">
        <v>324</v>
      </c>
      <c r="B237">
        <v>0</v>
      </c>
      <c r="C237">
        <v>1</v>
      </c>
      <c r="D237">
        <v>62.502191441639013</v>
      </c>
      <c r="E237">
        <v>33.333333333333329</v>
      </c>
      <c r="F237">
        <v>0</v>
      </c>
      <c r="G237">
        <v>100</v>
      </c>
      <c r="H237">
        <v>100</v>
      </c>
      <c r="I237">
        <v>33.333333333333329</v>
      </c>
      <c r="J237">
        <v>11.478711162255467</v>
      </c>
      <c r="K237">
        <v>33.333333333333329</v>
      </c>
      <c r="L237">
        <v>0.88762567043303997</v>
      </c>
      <c r="M237">
        <f t="shared" si="12"/>
        <v>-18.34422427452456</v>
      </c>
      <c r="N237">
        <f t="shared" si="13"/>
        <v>-17.351280477727052</v>
      </c>
      <c r="O237">
        <f t="shared" si="14"/>
        <v>-13.68752885944893</v>
      </c>
      <c r="Q237">
        <f t="shared" si="15"/>
        <v>71.673640551140522</v>
      </c>
    </row>
    <row r="238" spans="1:17" x14ac:dyDescent="0.45">
      <c r="A238">
        <v>325</v>
      </c>
      <c r="B238">
        <v>0</v>
      </c>
      <c r="C238">
        <v>0</v>
      </c>
      <c r="D238">
        <v>59.513108337701759</v>
      </c>
      <c r="E238">
        <v>0</v>
      </c>
      <c r="F238">
        <v>0</v>
      </c>
      <c r="G238">
        <v>100</v>
      </c>
      <c r="H238">
        <v>25</v>
      </c>
      <c r="I238">
        <v>33.333333333333329</v>
      </c>
      <c r="J238">
        <v>21.202531645569618</v>
      </c>
      <c r="K238">
        <v>0</v>
      </c>
      <c r="L238">
        <v>3.1471037871616385</v>
      </c>
      <c r="M238">
        <f t="shared" si="12"/>
        <v>-8.7313270019635496</v>
      </c>
      <c r="N238">
        <f t="shared" si="13"/>
        <v>-9.3097280897396963</v>
      </c>
      <c r="O238">
        <f t="shared" si="14"/>
        <v>-3.5264237686776783</v>
      </c>
      <c r="Q238">
        <f t="shared" si="15"/>
        <v>81.286537823701536</v>
      </c>
    </row>
    <row r="239" spans="1:17" x14ac:dyDescent="0.45">
      <c r="A239">
        <v>326</v>
      </c>
      <c r="B239">
        <v>0</v>
      </c>
      <c r="C239">
        <v>1</v>
      </c>
      <c r="D239">
        <v>61.104672583147988</v>
      </c>
      <c r="E239">
        <v>0</v>
      </c>
      <c r="F239">
        <v>0</v>
      </c>
      <c r="G239">
        <v>100</v>
      </c>
      <c r="H239">
        <v>25</v>
      </c>
      <c r="I239">
        <v>16.666666666666664</v>
      </c>
      <c r="J239">
        <v>13.434982738780207</v>
      </c>
      <c r="K239">
        <v>66.666666666666657</v>
      </c>
      <c r="L239">
        <v>1.6165251894976249</v>
      </c>
      <c r="M239">
        <f t="shared" si="12"/>
        <v>-9.5901093531262713</v>
      </c>
      <c r="N239">
        <f t="shared" si="13"/>
        <v>-5.8091098751265262</v>
      </c>
      <c r="O239">
        <f t="shared" si="14"/>
        <v>-4.4341810735613985</v>
      </c>
      <c r="Q239">
        <f t="shared" si="15"/>
        <v>80.42775547253882</v>
      </c>
    </row>
    <row r="240" spans="1:17" x14ac:dyDescent="0.45">
      <c r="A240">
        <v>327</v>
      </c>
      <c r="B240">
        <v>0</v>
      </c>
      <c r="C240">
        <v>0</v>
      </c>
      <c r="D240">
        <v>60.231277875504752</v>
      </c>
      <c r="E240">
        <v>0</v>
      </c>
      <c r="F240">
        <v>0</v>
      </c>
      <c r="G240">
        <v>100</v>
      </c>
      <c r="H240">
        <v>25</v>
      </c>
      <c r="I240">
        <v>16.666666666666664</v>
      </c>
      <c r="J240">
        <v>13.032220943613348</v>
      </c>
      <c r="K240">
        <v>66.666666666666657</v>
      </c>
      <c r="L240">
        <v>1.9242613315752832</v>
      </c>
      <c r="M240">
        <f t="shared" si="12"/>
        <v>-9.7012883361044384</v>
      </c>
      <c r="N240">
        <f t="shared" si="13"/>
        <v>-5.9276538376407872</v>
      </c>
      <c r="O240">
        <f t="shared" si="14"/>
        <v>-4.5517004122056202</v>
      </c>
      <c r="Q240">
        <f t="shared" si="15"/>
        <v>80.316576489560646</v>
      </c>
    </row>
    <row r="241" spans="1:17" x14ac:dyDescent="0.45">
      <c r="A241">
        <v>328</v>
      </c>
      <c r="B241">
        <v>0</v>
      </c>
      <c r="C241">
        <v>0</v>
      </c>
      <c r="D241">
        <v>60.169903884911925</v>
      </c>
      <c r="E241">
        <v>0</v>
      </c>
      <c r="F241">
        <v>0</v>
      </c>
      <c r="G241">
        <v>100</v>
      </c>
      <c r="H241">
        <v>25</v>
      </c>
      <c r="I241">
        <v>16.666666666666664</v>
      </c>
      <c r="J241">
        <v>13.089758342922901</v>
      </c>
      <c r="K241">
        <v>66.666666666666657</v>
      </c>
      <c r="L241">
        <v>1.9242613315752832</v>
      </c>
      <c r="M241">
        <f t="shared" si="12"/>
        <v>-9.7147370695141699</v>
      </c>
      <c r="N241">
        <f t="shared" si="13"/>
        <v>-5.9419934736626479</v>
      </c>
      <c r="O241">
        <f t="shared" si="14"/>
        <v>-4.5659161048984069</v>
      </c>
      <c r="Q241">
        <f t="shared" si="15"/>
        <v>80.303127756150914</v>
      </c>
    </row>
    <row r="242" spans="1:17" x14ac:dyDescent="0.45">
      <c r="A242">
        <v>329</v>
      </c>
      <c r="B242">
        <v>0</v>
      </c>
      <c r="C242">
        <v>0</v>
      </c>
      <c r="D242">
        <v>59.881129399762358</v>
      </c>
      <c r="E242">
        <v>0</v>
      </c>
      <c r="F242">
        <v>0</v>
      </c>
      <c r="G242">
        <v>100</v>
      </c>
      <c r="H242">
        <v>25</v>
      </c>
      <c r="I242">
        <v>16.666666666666664</v>
      </c>
      <c r="J242">
        <v>13.032220943613348</v>
      </c>
      <c r="K242">
        <v>66.666666666666657</v>
      </c>
      <c r="L242">
        <v>1.9242613315752832</v>
      </c>
      <c r="M242">
        <f t="shared" si="12"/>
        <v>-9.736240630263918</v>
      </c>
      <c r="N242">
        <f t="shared" si="13"/>
        <v>-5.964921523831463</v>
      </c>
      <c r="O242">
        <f t="shared" si="14"/>
        <v>-4.5886459785679863</v>
      </c>
      <c r="Q242">
        <f t="shared" si="15"/>
        <v>80.281624195401164</v>
      </c>
    </row>
    <row r="243" spans="1:17" x14ac:dyDescent="0.45">
      <c r="A243">
        <v>330</v>
      </c>
      <c r="B243">
        <v>0</v>
      </c>
      <c r="C243">
        <v>0</v>
      </c>
      <c r="D243">
        <v>51.6844934412212</v>
      </c>
      <c r="E243">
        <v>0</v>
      </c>
      <c r="F243">
        <v>0</v>
      </c>
      <c r="G243">
        <v>100</v>
      </c>
      <c r="H243">
        <v>50</v>
      </c>
      <c r="I243">
        <v>16.666666666666664</v>
      </c>
      <c r="J243">
        <v>3.5097813578826234</v>
      </c>
      <c r="K243">
        <v>0</v>
      </c>
      <c r="L243">
        <v>2.9816354821709838</v>
      </c>
      <c r="M243">
        <f t="shared" si="12"/>
        <v>-7.7453191536662667</v>
      </c>
      <c r="N243">
        <f t="shared" si="13"/>
        <v>-8.2584027917715073</v>
      </c>
      <c r="O243">
        <f t="shared" si="14"/>
        <v>-2.484185504520636</v>
      </c>
      <c r="Q243">
        <f t="shared" si="15"/>
        <v>82.272545671998813</v>
      </c>
    </row>
    <row r="244" spans="1:17" x14ac:dyDescent="0.45">
      <c r="A244">
        <v>331</v>
      </c>
      <c r="B244">
        <v>0</v>
      </c>
      <c r="C244">
        <v>0</v>
      </c>
      <c r="D244">
        <v>53.639218580181961</v>
      </c>
      <c r="E244">
        <v>0</v>
      </c>
      <c r="F244">
        <v>0</v>
      </c>
      <c r="G244">
        <v>100</v>
      </c>
      <c r="H244">
        <v>75</v>
      </c>
      <c r="I244">
        <v>16.666666666666664</v>
      </c>
      <c r="J244">
        <v>2.2727272727272729</v>
      </c>
      <c r="K244">
        <v>0</v>
      </c>
      <c r="L244">
        <v>0.30773614207765848</v>
      </c>
      <c r="M244">
        <f t="shared" si="12"/>
        <v>-9.024978493794233</v>
      </c>
      <c r="N244">
        <f t="shared" si="13"/>
        <v>-9.622832333971445</v>
      </c>
      <c r="O244">
        <f t="shared" si="14"/>
        <v>-3.8368217250846737</v>
      </c>
      <c r="Q244">
        <f t="shared" si="15"/>
        <v>80.992886331870849</v>
      </c>
    </row>
    <row r="245" spans="1:17" x14ac:dyDescent="0.45">
      <c r="A245">
        <v>332</v>
      </c>
      <c r="B245">
        <v>0</v>
      </c>
      <c r="C245">
        <v>0</v>
      </c>
      <c r="D245">
        <v>58.413167516571384</v>
      </c>
      <c r="E245">
        <v>0</v>
      </c>
      <c r="F245">
        <v>0</v>
      </c>
      <c r="G245">
        <v>100</v>
      </c>
      <c r="H245">
        <v>100</v>
      </c>
      <c r="I245">
        <v>16.666666666666664</v>
      </c>
      <c r="J245">
        <v>60.903337169159954</v>
      </c>
      <c r="K245">
        <v>0</v>
      </c>
      <c r="L245">
        <v>0</v>
      </c>
      <c r="M245">
        <f t="shared" si="12"/>
        <v>-18.220675828603405</v>
      </c>
      <c r="N245">
        <f t="shared" si="13"/>
        <v>-19.427692667728856</v>
      </c>
      <c r="O245">
        <f t="shared" si="14"/>
        <v>-13.556934647609211</v>
      </c>
      <c r="Q245">
        <f t="shared" si="15"/>
        <v>71.797188997061681</v>
      </c>
    </row>
    <row r="246" spans="1:17" x14ac:dyDescent="0.45">
      <c r="A246">
        <v>333</v>
      </c>
      <c r="B246">
        <v>0</v>
      </c>
      <c r="C246">
        <v>0</v>
      </c>
      <c r="D246">
        <v>58.134073490619542</v>
      </c>
      <c r="E246">
        <v>0</v>
      </c>
      <c r="F246">
        <v>0</v>
      </c>
      <c r="G246">
        <v>100</v>
      </c>
      <c r="H246">
        <v>100</v>
      </c>
      <c r="I246">
        <v>16.666666666666664</v>
      </c>
      <c r="J246">
        <v>34.953970080552359</v>
      </c>
      <c r="K246">
        <v>0</v>
      </c>
      <c r="L246">
        <v>0</v>
      </c>
      <c r="M246">
        <f t="shared" si="12"/>
        <v>-14.946178654738016</v>
      </c>
      <c r="N246">
        <f t="shared" si="13"/>
        <v>-15.936278554793642</v>
      </c>
      <c r="O246">
        <f t="shared" si="14"/>
        <v>-10.095698252412049</v>
      </c>
      <c r="Q246">
        <f t="shared" si="15"/>
        <v>75.071686170927066</v>
      </c>
    </row>
    <row r="247" spans="1:17" x14ac:dyDescent="0.45">
      <c r="A247">
        <v>334</v>
      </c>
      <c r="B247">
        <v>0</v>
      </c>
      <c r="C247">
        <v>0</v>
      </c>
      <c r="D247">
        <v>58.59574275166446</v>
      </c>
      <c r="E247">
        <v>0</v>
      </c>
      <c r="F247">
        <v>0</v>
      </c>
      <c r="G247">
        <v>100</v>
      </c>
      <c r="H247">
        <v>100</v>
      </c>
      <c r="I247">
        <v>16.666666666666664</v>
      </c>
      <c r="J247">
        <v>64.298043728423465</v>
      </c>
      <c r="K247">
        <v>0</v>
      </c>
      <c r="L247">
        <v>0</v>
      </c>
      <c r="M247">
        <f t="shared" si="12"/>
        <v>-18.634466545547017</v>
      </c>
      <c r="N247">
        <f t="shared" si="13"/>
        <v>-19.86889468203174</v>
      </c>
      <c r="O247">
        <f t="shared" si="14"/>
        <v>-13.994323172757724</v>
      </c>
      <c r="Q247">
        <f t="shared" si="15"/>
        <v>71.383398280118072</v>
      </c>
    </row>
    <row r="248" spans="1:17" x14ac:dyDescent="0.45">
      <c r="A248">
        <v>335</v>
      </c>
      <c r="B248">
        <v>0</v>
      </c>
      <c r="C248">
        <v>0</v>
      </c>
      <c r="D248">
        <v>57.88422707529206</v>
      </c>
      <c r="E248">
        <v>0</v>
      </c>
      <c r="F248">
        <v>0</v>
      </c>
      <c r="G248">
        <v>100</v>
      </c>
      <c r="H248">
        <v>100</v>
      </c>
      <c r="I248">
        <v>16.666666666666664</v>
      </c>
      <c r="J248">
        <v>39.672036823935557</v>
      </c>
      <c r="K248">
        <v>0</v>
      </c>
      <c r="L248">
        <v>0</v>
      </c>
      <c r="M248">
        <f t="shared" si="12"/>
        <v>-15.571547155607764</v>
      </c>
      <c r="N248">
        <f t="shared" si="13"/>
        <v>-16.603074185936098</v>
      </c>
      <c r="O248">
        <f t="shared" si="14"/>
        <v>-10.756730496658914</v>
      </c>
      <c r="Q248">
        <f t="shared" si="15"/>
        <v>74.446317670057326</v>
      </c>
    </row>
    <row r="249" spans="1:17" x14ac:dyDescent="0.45">
      <c r="A249">
        <v>338</v>
      </c>
      <c r="B249">
        <v>0</v>
      </c>
      <c r="C249">
        <v>0</v>
      </c>
      <c r="D249">
        <v>46.379174126021262</v>
      </c>
      <c r="E249">
        <v>66.666666666666657</v>
      </c>
      <c r="F249">
        <v>0</v>
      </c>
      <c r="G249">
        <v>0</v>
      </c>
      <c r="H249">
        <v>100</v>
      </c>
      <c r="I249">
        <v>66.666666666666657</v>
      </c>
      <c r="J249">
        <v>28.682393555811274</v>
      </c>
      <c r="K249">
        <v>0</v>
      </c>
      <c r="L249">
        <v>37.420217320081711</v>
      </c>
      <c r="M249">
        <f t="shared" si="12"/>
        <v>-29.905356268254792</v>
      </c>
      <c r="N249">
        <f t="shared" si="13"/>
        <v>-31.886417175949791</v>
      </c>
      <c r="O249">
        <f t="shared" si="14"/>
        <v>-31.610809852931691</v>
      </c>
      <c r="Q249">
        <f t="shared" si="15"/>
        <v>60.112508557410294</v>
      </c>
    </row>
    <row r="250" spans="1:17" x14ac:dyDescent="0.45">
      <c r="A250">
        <v>339</v>
      </c>
      <c r="B250">
        <v>0</v>
      </c>
      <c r="C250">
        <v>0</v>
      </c>
      <c r="D250">
        <v>33.756682639737022</v>
      </c>
      <c r="E250">
        <v>100</v>
      </c>
      <c r="F250">
        <v>0</v>
      </c>
      <c r="G250">
        <v>0</v>
      </c>
      <c r="H250">
        <v>25</v>
      </c>
      <c r="I250">
        <v>50</v>
      </c>
      <c r="J250">
        <v>28.135788262370543</v>
      </c>
      <c r="K250">
        <v>0</v>
      </c>
      <c r="L250">
        <v>10.312205171500377</v>
      </c>
      <c r="M250">
        <f t="shared" si="12"/>
        <v>-18.619405061655005</v>
      </c>
      <c r="N250">
        <f t="shared" si="13"/>
        <v>-19.852835459919095</v>
      </c>
      <c r="O250">
        <f t="shared" si="14"/>
        <v>-19.681239297037742</v>
      </c>
      <c r="Q250">
        <f t="shared" si="15"/>
        <v>71.398459764010084</v>
      </c>
    </row>
    <row r="251" spans="1:17" x14ac:dyDescent="0.45">
      <c r="A251">
        <v>340</v>
      </c>
      <c r="B251">
        <v>0</v>
      </c>
      <c r="C251">
        <v>0</v>
      </c>
      <c r="D251">
        <v>54.235152926302156</v>
      </c>
      <c r="E251">
        <v>0</v>
      </c>
      <c r="F251">
        <v>0</v>
      </c>
      <c r="G251">
        <v>0</v>
      </c>
      <c r="H251">
        <v>25</v>
      </c>
      <c r="I251">
        <v>66.666666666666657</v>
      </c>
      <c r="J251">
        <v>23.878020713463751</v>
      </c>
      <c r="K251">
        <v>0</v>
      </c>
      <c r="L251">
        <v>0</v>
      </c>
      <c r="M251">
        <f t="shared" si="12"/>
        <v>-6.9568766394552979</v>
      </c>
      <c r="N251">
        <f t="shared" si="13"/>
        <v>-7.4177304151620707</v>
      </c>
      <c r="O251">
        <f t="shared" si="14"/>
        <v>-7.3536159424914107</v>
      </c>
      <c r="Q251">
        <f t="shared" si="15"/>
        <v>83.060988186209784</v>
      </c>
    </row>
    <row r="252" spans="1:17" x14ac:dyDescent="0.45">
      <c r="A252">
        <v>341</v>
      </c>
      <c r="B252">
        <v>0</v>
      </c>
      <c r="C252">
        <v>0</v>
      </c>
      <c r="D252">
        <v>49.975426345730007</v>
      </c>
      <c r="E252">
        <v>66.666666666666657</v>
      </c>
      <c r="F252">
        <v>100</v>
      </c>
      <c r="G252">
        <v>100</v>
      </c>
      <c r="H252">
        <v>75</v>
      </c>
      <c r="I252">
        <v>33.333333333333329</v>
      </c>
      <c r="J252">
        <v>3.0782508630609899</v>
      </c>
      <c r="K252">
        <v>0</v>
      </c>
      <c r="L252">
        <v>6.1048131686966407</v>
      </c>
      <c r="M252">
        <f t="shared" si="12"/>
        <v>-31.417457046545653</v>
      </c>
      <c r="N252">
        <f t="shared" si="13"/>
        <v>-33.498686088453688</v>
      </c>
      <c r="O252">
        <f t="shared" si="14"/>
        <v>-27.50630672694934</v>
      </c>
      <c r="Q252">
        <f t="shared" si="15"/>
        <v>58.600407779119436</v>
      </c>
    </row>
    <row r="253" spans="1:17" x14ac:dyDescent="0.45">
      <c r="A253">
        <v>342</v>
      </c>
      <c r="B253">
        <v>0</v>
      </c>
      <c r="C253">
        <v>0</v>
      </c>
      <c r="D253">
        <v>50.742767991883817</v>
      </c>
      <c r="E253">
        <v>0</v>
      </c>
      <c r="F253">
        <v>0</v>
      </c>
      <c r="G253">
        <v>100</v>
      </c>
      <c r="H253">
        <v>100</v>
      </c>
      <c r="I253">
        <v>50</v>
      </c>
      <c r="J253">
        <v>3.4234752589182968</v>
      </c>
      <c r="K253">
        <v>0</v>
      </c>
      <c r="L253">
        <v>13.777366200335743</v>
      </c>
      <c r="M253">
        <f t="shared" si="12"/>
        <v>-18.563329546760365</v>
      </c>
      <c r="N253">
        <f t="shared" si="13"/>
        <v>-19.793045258951494</v>
      </c>
      <c r="O253">
        <f t="shared" si="14"/>
        <v>-13.91912934721082</v>
      </c>
      <c r="Q253">
        <f t="shared" si="15"/>
        <v>71.4545352789047</v>
      </c>
    </row>
    <row r="254" spans="1:17" x14ac:dyDescent="0.45">
      <c r="A254">
        <v>343</v>
      </c>
      <c r="B254">
        <v>0</v>
      </c>
      <c r="C254">
        <v>0</v>
      </c>
      <c r="D254">
        <v>49.621139859069871</v>
      </c>
      <c r="E254">
        <v>66.666666666666657</v>
      </c>
      <c r="F254">
        <v>0</v>
      </c>
      <c r="G254">
        <v>0</v>
      </c>
      <c r="H254">
        <v>75</v>
      </c>
      <c r="I254">
        <v>16.666666666666664</v>
      </c>
      <c r="J254">
        <v>5.6962025316455698</v>
      </c>
      <c r="K254">
        <v>0</v>
      </c>
      <c r="L254">
        <v>14.851306501560686</v>
      </c>
      <c r="M254">
        <f t="shared" si="12"/>
        <v>-13.567158811473075</v>
      </c>
      <c r="N254">
        <f t="shared" si="13"/>
        <v>-14.465906437443676</v>
      </c>
      <c r="O254">
        <f t="shared" si="14"/>
        <v>-14.340871701610727</v>
      </c>
      <c r="Q254">
        <f t="shared" si="15"/>
        <v>76.450706014192008</v>
      </c>
    </row>
    <row r="255" spans="1:17" x14ac:dyDescent="0.45">
      <c r="A255">
        <v>344</v>
      </c>
      <c r="B255">
        <v>0</v>
      </c>
      <c r="C255">
        <v>0</v>
      </c>
      <c r="D255">
        <v>49.134704533343196</v>
      </c>
      <c r="E255">
        <v>100</v>
      </c>
      <c r="F255">
        <v>0</v>
      </c>
      <c r="G255">
        <v>100</v>
      </c>
      <c r="H255">
        <v>25</v>
      </c>
      <c r="I255">
        <v>16.666666666666664</v>
      </c>
      <c r="J255">
        <v>3.6823935558112773</v>
      </c>
      <c r="K255">
        <v>0</v>
      </c>
      <c r="L255">
        <v>18.760299456638101</v>
      </c>
      <c r="M255">
        <f t="shared" si="12"/>
        <v>-17.910430038943392</v>
      </c>
      <c r="N255">
        <f t="shared" si="13"/>
        <v>-19.096894847183162</v>
      </c>
      <c r="O255">
        <f t="shared" si="14"/>
        <v>-13.22899604769272</v>
      </c>
      <c r="Q255">
        <f t="shared" si="15"/>
        <v>72.107434786721697</v>
      </c>
    </row>
    <row r="256" spans="1:17" x14ac:dyDescent="0.45">
      <c r="A256">
        <v>345</v>
      </c>
      <c r="B256">
        <v>0</v>
      </c>
      <c r="C256">
        <v>1</v>
      </c>
      <c r="D256">
        <v>49.544971952679688</v>
      </c>
      <c r="E256">
        <v>0</v>
      </c>
      <c r="F256">
        <v>0</v>
      </c>
      <c r="G256">
        <v>0</v>
      </c>
      <c r="H256">
        <v>25</v>
      </c>
      <c r="I256">
        <v>16.666666666666664</v>
      </c>
      <c r="J256">
        <v>7.0483314154200229</v>
      </c>
      <c r="K256">
        <v>0</v>
      </c>
      <c r="L256">
        <v>18.760299456638101</v>
      </c>
      <c r="M256">
        <f t="shared" si="12"/>
        <v>-4.586386017374001</v>
      </c>
      <c r="N256">
        <f t="shared" si="13"/>
        <v>-4.8902081810398279</v>
      </c>
      <c r="O256">
        <f t="shared" si="14"/>
        <v>-4.8479401150372876</v>
      </c>
      <c r="Q256">
        <f t="shared" si="15"/>
        <v>85.431478808291089</v>
      </c>
    </row>
    <row r="257" spans="1:17" x14ac:dyDescent="0.45">
      <c r="A257">
        <v>346</v>
      </c>
      <c r="B257">
        <v>0</v>
      </c>
      <c r="C257">
        <v>0</v>
      </c>
      <c r="D257">
        <v>45.839225385980939</v>
      </c>
      <c r="E257">
        <v>33.333333333333329</v>
      </c>
      <c r="F257">
        <v>100</v>
      </c>
      <c r="G257">
        <v>100</v>
      </c>
      <c r="H257">
        <v>75</v>
      </c>
      <c r="I257">
        <v>33.333333333333329</v>
      </c>
      <c r="J257">
        <v>14.959723820483314</v>
      </c>
      <c r="K257">
        <v>33.333333333333329</v>
      </c>
      <c r="L257">
        <v>1.2767339783897882</v>
      </c>
      <c r="M257">
        <f t="shared" si="12"/>
        <v>-31.46062902791833</v>
      </c>
      <c r="N257">
        <f t="shared" si="13"/>
        <v>-31.336572947199841</v>
      </c>
      <c r="O257">
        <f t="shared" si="14"/>
        <v>-27.551940735850767</v>
      </c>
      <c r="Q257">
        <f t="shared" si="15"/>
        <v>58.557235797746756</v>
      </c>
    </row>
    <row r="258" spans="1:17" x14ac:dyDescent="0.45">
      <c r="A258">
        <v>347</v>
      </c>
      <c r="B258">
        <v>0</v>
      </c>
      <c r="C258">
        <v>0</v>
      </c>
      <c r="D258">
        <v>55.13469760769415</v>
      </c>
      <c r="E258">
        <v>100</v>
      </c>
      <c r="F258">
        <v>100</v>
      </c>
      <c r="G258">
        <v>0</v>
      </c>
      <c r="H258">
        <v>50</v>
      </c>
      <c r="I258">
        <v>16.666666666666664</v>
      </c>
      <c r="J258">
        <v>4.8619102416570765</v>
      </c>
      <c r="K258">
        <v>0</v>
      </c>
      <c r="L258">
        <v>0.1767627760784064</v>
      </c>
      <c r="M258">
        <f t="shared" si="12"/>
        <v>-23.009236178609353</v>
      </c>
      <c r="N258">
        <f t="shared" si="13"/>
        <v>-24.53346808878899</v>
      </c>
      <c r="O258">
        <f t="shared" si="14"/>
        <v>-24.321415306973126</v>
      </c>
      <c r="Q258">
        <f t="shared" si="15"/>
        <v>67.00862864705573</v>
      </c>
    </row>
    <row r="259" spans="1:17" x14ac:dyDescent="0.45">
      <c r="A259">
        <v>348</v>
      </c>
      <c r="B259">
        <v>0</v>
      </c>
      <c r="C259">
        <v>0</v>
      </c>
      <c r="D259">
        <v>54.614716602133626</v>
      </c>
      <c r="E259">
        <v>100</v>
      </c>
      <c r="F259">
        <v>100</v>
      </c>
      <c r="G259">
        <v>0</v>
      </c>
      <c r="H259">
        <v>50</v>
      </c>
      <c r="I259">
        <v>16.666666666666664</v>
      </c>
      <c r="J259">
        <v>4.8331415420023012</v>
      </c>
      <c r="K259">
        <v>0</v>
      </c>
      <c r="L259">
        <v>0.59754483510857614</v>
      </c>
      <c r="M259">
        <f t="shared" si="12"/>
        <v>-23.160375323830252</v>
      </c>
      <c r="N259">
        <f t="shared" si="13"/>
        <v>-24.69461934854661</v>
      </c>
      <c r="O259">
        <f t="shared" si="14"/>
        <v>-24.481173670593893</v>
      </c>
      <c r="Q259">
        <f t="shared" si="15"/>
        <v>66.857489501834834</v>
      </c>
    </row>
    <row r="260" spans="1:17" x14ac:dyDescent="0.45">
      <c r="A260">
        <v>349</v>
      </c>
      <c r="B260">
        <v>0</v>
      </c>
      <c r="C260">
        <v>0</v>
      </c>
      <c r="D260">
        <v>54.27397452091499</v>
      </c>
      <c r="E260">
        <v>100</v>
      </c>
      <c r="F260">
        <v>100</v>
      </c>
      <c r="G260">
        <v>0</v>
      </c>
      <c r="H260">
        <v>50</v>
      </c>
      <c r="I260">
        <v>16.666666666666664</v>
      </c>
      <c r="J260">
        <v>10.788262370540853</v>
      </c>
      <c r="K260">
        <v>0</v>
      </c>
      <c r="L260">
        <v>1.467624374451632</v>
      </c>
      <c r="M260">
        <f t="shared" si="12"/>
        <v>-24.165009711303121</v>
      </c>
      <c r="N260">
        <f t="shared" si="13"/>
        <v>-25.765805088683397</v>
      </c>
      <c r="O260">
        <f t="shared" si="14"/>
        <v>-25.543100715008762</v>
      </c>
      <c r="Q260">
        <f t="shared" si="15"/>
        <v>65.852855114361958</v>
      </c>
    </row>
    <row r="261" spans="1:17" x14ac:dyDescent="0.45">
      <c r="A261">
        <v>350</v>
      </c>
      <c r="B261">
        <v>0</v>
      </c>
      <c r="C261">
        <v>0</v>
      </c>
      <c r="D261">
        <v>53.910947261615803</v>
      </c>
      <c r="E261">
        <v>100</v>
      </c>
      <c r="F261">
        <v>0</v>
      </c>
      <c r="G261">
        <v>0</v>
      </c>
      <c r="H261">
        <v>50</v>
      </c>
      <c r="I261">
        <v>16.666666666666664</v>
      </c>
      <c r="J261">
        <v>8.0264672036823939</v>
      </c>
      <c r="K261">
        <v>0</v>
      </c>
      <c r="L261">
        <v>1.467624374451632</v>
      </c>
      <c r="M261">
        <f t="shared" si="12"/>
        <v>-10.648772548337741</v>
      </c>
      <c r="N261">
        <f t="shared" si="13"/>
        <v>-11.354193571288107</v>
      </c>
      <c r="O261">
        <f t="shared" si="14"/>
        <v>-11.256054640283585</v>
      </c>
      <c r="Q261">
        <f t="shared" si="15"/>
        <v>79.36909227732734</v>
      </c>
    </row>
    <row r="262" spans="1:17" x14ac:dyDescent="0.45">
      <c r="A262">
        <v>351</v>
      </c>
      <c r="B262">
        <v>0</v>
      </c>
      <c r="C262">
        <v>0</v>
      </c>
      <c r="D262">
        <v>50.416504793538628</v>
      </c>
      <c r="E262">
        <v>33.333333333333329</v>
      </c>
      <c r="F262">
        <v>0</v>
      </c>
      <c r="G262">
        <v>0</v>
      </c>
      <c r="H262">
        <v>25</v>
      </c>
      <c r="I262">
        <v>16.666666666666664</v>
      </c>
      <c r="J262">
        <v>0.2589182968929804</v>
      </c>
      <c r="K262">
        <v>0</v>
      </c>
      <c r="L262">
        <v>3.2609123400276632</v>
      </c>
      <c r="M262">
        <f t="shared" si="12"/>
        <v>-2.6173411884084801</v>
      </c>
      <c r="N262">
        <f t="shared" si="13"/>
        <v>-2.7907252559295253</v>
      </c>
      <c r="O262">
        <f t="shared" si="14"/>
        <v>-2.766603878076956</v>
      </c>
      <c r="Q262">
        <f t="shared" si="15"/>
        <v>87.400523637256612</v>
      </c>
    </row>
    <row r="263" spans="1:17" x14ac:dyDescent="0.45">
      <c r="A263">
        <v>352</v>
      </c>
      <c r="B263">
        <v>0</v>
      </c>
      <c r="C263">
        <v>0</v>
      </c>
      <c r="D263">
        <v>56.850701390489931</v>
      </c>
      <c r="E263">
        <v>66.666666666666657</v>
      </c>
      <c r="F263">
        <v>0</v>
      </c>
      <c r="G263">
        <v>0</v>
      </c>
      <c r="H263">
        <v>50</v>
      </c>
      <c r="I263">
        <v>16.666666666666664</v>
      </c>
      <c r="J263">
        <v>3.0494821634062141</v>
      </c>
      <c r="K263">
        <v>0</v>
      </c>
      <c r="L263">
        <v>0</v>
      </c>
      <c r="M263">
        <f t="shared" si="12"/>
        <v>-6.5909657182165962</v>
      </c>
      <c r="N263">
        <f t="shared" si="13"/>
        <v>-7.0275799625410231</v>
      </c>
      <c r="O263">
        <f t="shared" si="14"/>
        <v>-6.9668377195325348</v>
      </c>
      <c r="Q263">
        <f t="shared" si="15"/>
        <v>83.426899107448492</v>
      </c>
    </row>
    <row r="264" spans="1:17" x14ac:dyDescent="0.45">
      <c r="A264">
        <v>353</v>
      </c>
      <c r="B264">
        <v>0</v>
      </c>
      <c r="C264">
        <v>0</v>
      </c>
      <c r="D264">
        <v>54.088305422870434</v>
      </c>
      <c r="E264">
        <v>0</v>
      </c>
      <c r="F264">
        <v>0</v>
      </c>
      <c r="G264">
        <v>0</v>
      </c>
      <c r="H264">
        <v>25</v>
      </c>
      <c r="I264">
        <v>16.666666666666664</v>
      </c>
      <c r="J264">
        <v>0.54660529344073649</v>
      </c>
      <c r="K264">
        <v>0</v>
      </c>
      <c r="L264">
        <v>0</v>
      </c>
      <c r="M264">
        <f t="shared" ref="M264:M327" si="16">D264*D$1+E264*E$1+F264*F$1+G264*G$1+H264*H$1+I264*I$1+J264*J$1+K264*K$1+L264*L$1</f>
        <v>1.2820672182285406</v>
      </c>
      <c r="N264">
        <f t="shared" ref="N264:N327" si="17">D264*D$2+E264*E$2+F264*F$2+G264*G$2+H264*H$2+I264*I$2+J264*J$2+L264*L$2</f>
        <v>1.3669969286217907</v>
      </c>
      <c r="O264">
        <f t="shared" ref="O264:O327" si="18">D264*D$3+E264*E$3+F264*F$3+H264*H$3+I264*I$3+J264*J$3+K264*K$3+L264*L$3</f>
        <v>1.3551814160167692</v>
      </c>
      <c r="Q264">
        <f t="shared" ref="Q264:Q327" si="19">(M264-$R$3)/($R$2-$R$3)*100</f>
        <v>91.299932043893634</v>
      </c>
    </row>
    <row r="265" spans="1:17" x14ac:dyDescent="0.45">
      <c r="A265">
        <v>355</v>
      </c>
      <c r="B265">
        <v>0</v>
      </c>
      <c r="C265">
        <v>0</v>
      </c>
      <c r="D265">
        <v>32.744216940079191</v>
      </c>
      <c r="E265">
        <v>66.666666666666657</v>
      </c>
      <c r="F265">
        <v>0</v>
      </c>
      <c r="G265">
        <v>100</v>
      </c>
      <c r="H265">
        <v>25</v>
      </c>
      <c r="I265">
        <v>66.666666666666657</v>
      </c>
      <c r="J265">
        <v>28.365937859608749</v>
      </c>
      <c r="K265">
        <v>66.666666666666657</v>
      </c>
      <c r="L265">
        <v>13.904892815289282</v>
      </c>
      <c r="M265">
        <f t="shared" si="16"/>
        <v>-28.154736618529306</v>
      </c>
      <c r="N265">
        <f t="shared" si="17"/>
        <v>-25.603538819249525</v>
      </c>
      <c r="O265">
        <f t="shared" si="18"/>
        <v>-24.057518686166716</v>
      </c>
      <c r="Q265">
        <f t="shared" si="19"/>
        <v>61.863128207135773</v>
      </c>
    </row>
    <row r="266" spans="1:17" x14ac:dyDescent="0.45">
      <c r="A266">
        <v>356</v>
      </c>
      <c r="B266">
        <v>0</v>
      </c>
      <c r="C266">
        <v>0</v>
      </c>
      <c r="D266">
        <v>33.339323492538796</v>
      </c>
      <c r="E266">
        <v>66.666666666666657</v>
      </c>
      <c r="F266">
        <v>0</v>
      </c>
      <c r="G266">
        <v>100</v>
      </c>
      <c r="H266">
        <v>25</v>
      </c>
      <c r="I266">
        <v>16.666666666666664</v>
      </c>
      <c r="J266">
        <v>8.6018411967779063</v>
      </c>
      <c r="K266">
        <v>0</v>
      </c>
      <c r="L266">
        <v>13.904892815289282</v>
      </c>
      <c r="M266">
        <f t="shared" si="16"/>
        <v>-16.153800635833523</v>
      </c>
      <c r="N266">
        <f t="shared" si="17"/>
        <v>-17.223898669887671</v>
      </c>
      <c r="O266">
        <f t="shared" si="18"/>
        <v>-11.372188941110284</v>
      </c>
      <c r="Q266">
        <f t="shared" si="19"/>
        <v>73.864064189831552</v>
      </c>
    </row>
    <row r="267" spans="1:17" x14ac:dyDescent="0.45">
      <c r="A267">
        <v>357</v>
      </c>
      <c r="B267">
        <v>0</v>
      </c>
      <c r="C267">
        <v>0</v>
      </c>
      <c r="D267">
        <v>33.02112848161903</v>
      </c>
      <c r="E267">
        <v>66.666666666666657</v>
      </c>
      <c r="F267">
        <v>0</v>
      </c>
      <c r="G267">
        <v>100</v>
      </c>
      <c r="H267">
        <v>25</v>
      </c>
      <c r="I267">
        <v>33.333333333333329</v>
      </c>
      <c r="J267">
        <v>5.5235903337169159</v>
      </c>
      <c r="K267">
        <v>0</v>
      </c>
      <c r="L267">
        <v>13.904892815289282</v>
      </c>
      <c r="M267">
        <f t="shared" si="16"/>
        <v>-17.555290393903796</v>
      </c>
      <c r="N267">
        <f t="shared" si="17"/>
        <v>-18.718229206958966</v>
      </c>
      <c r="O267">
        <f t="shared" si="18"/>
        <v>-12.853603369207853</v>
      </c>
      <c r="Q267">
        <f t="shared" si="19"/>
        <v>72.462574431761297</v>
      </c>
    </row>
    <row r="268" spans="1:17" x14ac:dyDescent="0.45">
      <c r="A268">
        <v>358</v>
      </c>
      <c r="B268">
        <v>0</v>
      </c>
      <c r="C268">
        <v>0</v>
      </c>
      <c r="D268">
        <v>33.02112848161903</v>
      </c>
      <c r="E268">
        <v>66.666666666666657</v>
      </c>
      <c r="F268">
        <v>0</v>
      </c>
      <c r="G268">
        <v>100</v>
      </c>
      <c r="H268">
        <v>25</v>
      </c>
      <c r="I268">
        <v>33.333333333333329</v>
      </c>
      <c r="J268">
        <v>5.6674338319907935</v>
      </c>
      <c r="K268">
        <v>0</v>
      </c>
      <c r="L268">
        <v>13.904892815289282</v>
      </c>
      <c r="M268">
        <f t="shared" si="16"/>
        <v>-17.573596140670979</v>
      </c>
      <c r="N268">
        <f t="shared" si="17"/>
        <v>-18.737747606034361</v>
      </c>
      <c r="O268">
        <f t="shared" si="18"/>
        <v>-12.872953062790588</v>
      </c>
      <c r="Q268">
        <f t="shared" si="19"/>
        <v>72.4442686849941</v>
      </c>
    </row>
    <row r="269" spans="1:17" x14ac:dyDescent="0.45">
      <c r="A269">
        <v>359</v>
      </c>
      <c r="B269">
        <v>0</v>
      </c>
      <c r="C269">
        <v>0</v>
      </c>
      <c r="D269">
        <v>33.259224751467222</v>
      </c>
      <c r="E269">
        <v>66.666666666666657</v>
      </c>
      <c r="F269">
        <v>0</v>
      </c>
      <c r="G269">
        <v>100</v>
      </c>
      <c r="H269">
        <v>25</v>
      </c>
      <c r="I269">
        <v>66.666666666666657</v>
      </c>
      <c r="J269">
        <v>16.858457997698505</v>
      </c>
      <c r="K269">
        <v>0</v>
      </c>
      <c r="L269">
        <v>13.904892815289282</v>
      </c>
      <c r="M269">
        <f t="shared" si="16"/>
        <v>-22.49695631321622</v>
      </c>
      <c r="N269">
        <f t="shared" si="17"/>
        <v>-23.987252576349004</v>
      </c>
      <c r="O269">
        <f t="shared" si="18"/>
        <v>-18.077084418250511</v>
      </c>
      <c r="Q269">
        <f t="shared" si="19"/>
        <v>67.520908512448869</v>
      </c>
    </row>
    <row r="270" spans="1:17" x14ac:dyDescent="0.45">
      <c r="A270">
        <v>360</v>
      </c>
      <c r="B270">
        <v>0</v>
      </c>
      <c r="C270">
        <v>0</v>
      </c>
      <c r="D270">
        <v>41.93702237560678</v>
      </c>
      <c r="E270">
        <v>0</v>
      </c>
      <c r="F270">
        <v>100</v>
      </c>
      <c r="G270">
        <v>0</v>
      </c>
      <c r="H270">
        <v>75</v>
      </c>
      <c r="I270">
        <v>50</v>
      </c>
      <c r="J270">
        <v>40.794016110471809</v>
      </c>
      <c r="K270">
        <v>66.666666666666657</v>
      </c>
      <c r="L270">
        <v>1.2767339783897882</v>
      </c>
      <c r="M270">
        <f t="shared" si="16"/>
        <v>-30.803035675973259</v>
      </c>
      <c r="N270">
        <f t="shared" si="17"/>
        <v>-28.427272728147067</v>
      </c>
      <c r="O270">
        <f t="shared" si="18"/>
        <v>-32.559682449925397</v>
      </c>
      <c r="Q270">
        <f t="shared" si="19"/>
        <v>59.214829149691816</v>
      </c>
    </row>
    <row r="271" spans="1:17" x14ac:dyDescent="0.45">
      <c r="A271">
        <v>361</v>
      </c>
      <c r="B271">
        <v>0</v>
      </c>
      <c r="C271">
        <v>0</v>
      </c>
      <c r="D271">
        <v>41.788766609290391</v>
      </c>
      <c r="E271">
        <v>33.333333333333329</v>
      </c>
      <c r="F271">
        <v>100</v>
      </c>
      <c r="G271">
        <v>100</v>
      </c>
      <c r="H271">
        <v>75</v>
      </c>
      <c r="I271">
        <v>33.333333333333329</v>
      </c>
      <c r="J271">
        <v>37.428078250863059</v>
      </c>
      <c r="K271">
        <v>0</v>
      </c>
      <c r="L271">
        <v>1.8583876445854224</v>
      </c>
      <c r="M271">
        <f t="shared" si="16"/>
        <v>-32.795586549226378</v>
      </c>
      <c r="N271">
        <f t="shared" si="17"/>
        <v>-34.968108885185551</v>
      </c>
      <c r="O271">
        <f t="shared" si="18"/>
        <v>-28.963028702477168</v>
      </c>
      <c r="Q271">
        <f t="shared" si="19"/>
        <v>57.222278276438701</v>
      </c>
    </row>
    <row r="272" spans="1:17" x14ac:dyDescent="0.45">
      <c r="A272">
        <v>362</v>
      </c>
      <c r="B272">
        <v>0</v>
      </c>
      <c r="C272">
        <v>0</v>
      </c>
      <c r="D272">
        <v>28.848429288113238</v>
      </c>
      <c r="E272">
        <v>66.666666666666657</v>
      </c>
      <c r="F272">
        <v>0</v>
      </c>
      <c r="G272">
        <v>100</v>
      </c>
      <c r="H272">
        <v>100</v>
      </c>
      <c r="I272">
        <v>50</v>
      </c>
      <c r="J272">
        <v>12.917146144994247</v>
      </c>
      <c r="K272">
        <v>33.333333333333329</v>
      </c>
      <c r="L272">
        <v>23.467868688361271</v>
      </c>
      <c r="M272">
        <f t="shared" si="16"/>
        <v>-31.941825012041392</v>
      </c>
      <c r="N272">
        <f t="shared" si="17"/>
        <v>-31.849645446838554</v>
      </c>
      <c r="O272">
        <f t="shared" si="18"/>
        <v>-28.060578540385311</v>
      </c>
      <c r="Q272">
        <f t="shared" si="19"/>
        <v>58.076039813623694</v>
      </c>
    </row>
    <row r="273" spans="1:17" x14ac:dyDescent="0.45">
      <c r="A273">
        <v>363</v>
      </c>
      <c r="B273">
        <v>0</v>
      </c>
      <c r="C273">
        <v>0</v>
      </c>
      <c r="D273">
        <v>27.86347530654627</v>
      </c>
      <c r="E273">
        <v>66.666666666666657</v>
      </c>
      <c r="F273">
        <v>0</v>
      </c>
      <c r="G273">
        <v>100</v>
      </c>
      <c r="H273">
        <v>25</v>
      </c>
      <c r="I273">
        <v>33.333333333333329</v>
      </c>
      <c r="J273">
        <v>5.3797468354430382</v>
      </c>
      <c r="K273">
        <v>0</v>
      </c>
      <c r="L273">
        <v>20.955829105254047</v>
      </c>
      <c r="M273">
        <f t="shared" si="16"/>
        <v>-19.776014969611641</v>
      </c>
      <c r="N273">
        <f t="shared" si="17"/>
        <v>-21.086064240212586</v>
      </c>
      <c r="O273">
        <f t="shared" si="18"/>
        <v>-15.200972237471454</v>
      </c>
      <c r="Q273">
        <f t="shared" si="19"/>
        <v>70.241849856053435</v>
      </c>
    </row>
    <row r="274" spans="1:17" x14ac:dyDescent="0.45">
      <c r="A274">
        <v>364</v>
      </c>
      <c r="B274">
        <v>0</v>
      </c>
      <c r="C274">
        <v>0</v>
      </c>
      <c r="D274">
        <v>30.522067697602022</v>
      </c>
      <c r="E274">
        <v>0</v>
      </c>
      <c r="F274">
        <v>0</v>
      </c>
      <c r="G274">
        <v>0</v>
      </c>
      <c r="H274">
        <v>25</v>
      </c>
      <c r="I274">
        <v>16.666666666666664</v>
      </c>
      <c r="J274">
        <v>34.349827387802073</v>
      </c>
      <c r="K274">
        <v>0</v>
      </c>
      <c r="L274">
        <v>11.949679743103021</v>
      </c>
      <c r="M274">
        <f t="shared" si="16"/>
        <v>-8.2942876866985848</v>
      </c>
      <c r="N274">
        <f t="shared" si="17"/>
        <v>-8.8437373888155584</v>
      </c>
      <c r="O274">
        <f t="shared" si="18"/>
        <v>-8.7672973556266012</v>
      </c>
      <c r="Q274">
        <f t="shared" si="19"/>
        <v>81.72357713896649</v>
      </c>
    </row>
    <row r="275" spans="1:17" x14ac:dyDescent="0.45">
      <c r="A275">
        <v>365</v>
      </c>
      <c r="B275">
        <v>0</v>
      </c>
      <c r="C275">
        <v>0</v>
      </c>
      <c r="D275">
        <v>26.571629883539867</v>
      </c>
      <c r="E275">
        <v>100</v>
      </c>
      <c r="F275">
        <v>100</v>
      </c>
      <c r="G275">
        <v>100</v>
      </c>
      <c r="H275">
        <v>75</v>
      </c>
      <c r="I275">
        <v>66.666666666666657</v>
      </c>
      <c r="J275">
        <v>96.547756041426922</v>
      </c>
      <c r="K275">
        <v>0</v>
      </c>
      <c r="L275">
        <v>14.447332995264812</v>
      </c>
      <c r="M275">
        <f t="shared" si="16"/>
        <v>-53.983786442575884</v>
      </c>
      <c r="N275">
        <f t="shared" si="17"/>
        <v>-57.559907322442051</v>
      </c>
      <c r="O275">
        <f t="shared" si="18"/>
        <v>-51.359557001508385</v>
      </c>
      <c r="Q275">
        <f t="shared" si="19"/>
        <v>36.034078383089188</v>
      </c>
    </row>
    <row r="276" spans="1:17" x14ac:dyDescent="0.45">
      <c r="A276">
        <v>366</v>
      </c>
      <c r="B276">
        <v>0</v>
      </c>
      <c r="C276">
        <v>0</v>
      </c>
      <c r="D276">
        <v>26.571629883539867</v>
      </c>
      <c r="E276">
        <v>66.666666666666657</v>
      </c>
      <c r="F276">
        <v>100</v>
      </c>
      <c r="G276">
        <v>100</v>
      </c>
      <c r="H276">
        <v>75</v>
      </c>
      <c r="I276">
        <v>50</v>
      </c>
      <c r="J276">
        <v>46.921749136939013</v>
      </c>
      <c r="K276">
        <v>0</v>
      </c>
      <c r="L276">
        <v>14.447332995264812</v>
      </c>
      <c r="M276">
        <f t="shared" si="16"/>
        <v>-43.134738515048582</v>
      </c>
      <c r="N276">
        <f t="shared" si="17"/>
        <v>-45.992171259513768</v>
      </c>
      <c r="O276">
        <f t="shared" si="18"/>
        <v>-39.891805604530227</v>
      </c>
      <c r="Q276">
        <f t="shared" si="19"/>
        <v>46.883126310616497</v>
      </c>
    </row>
    <row r="277" spans="1:17" x14ac:dyDescent="0.45">
      <c r="A277">
        <v>367</v>
      </c>
      <c r="B277">
        <v>0</v>
      </c>
      <c r="C277">
        <v>0</v>
      </c>
      <c r="D277">
        <v>26.571629883539867</v>
      </c>
      <c r="E277">
        <v>66.666666666666657</v>
      </c>
      <c r="F277">
        <v>100</v>
      </c>
      <c r="G277">
        <v>100</v>
      </c>
      <c r="H277">
        <v>75</v>
      </c>
      <c r="I277">
        <v>50</v>
      </c>
      <c r="J277">
        <v>45.339470655926348</v>
      </c>
      <c r="K277">
        <v>0</v>
      </c>
      <c r="L277">
        <v>17.097832769993943</v>
      </c>
      <c r="M277">
        <f t="shared" si="16"/>
        <v>-43.581509889443936</v>
      </c>
      <c r="N277">
        <f t="shared" si="17"/>
        <v>-46.468538713506113</v>
      </c>
      <c r="O277">
        <f t="shared" si="18"/>
        <v>-40.364055620114762</v>
      </c>
      <c r="Q277">
        <f t="shared" si="19"/>
        <v>46.436354936221143</v>
      </c>
    </row>
    <row r="278" spans="1:17" x14ac:dyDescent="0.45">
      <c r="A278">
        <v>369</v>
      </c>
      <c r="B278">
        <v>0</v>
      </c>
      <c r="C278">
        <v>0</v>
      </c>
      <c r="D278">
        <v>28.449994261661445</v>
      </c>
      <c r="E278">
        <v>100</v>
      </c>
      <c r="F278">
        <v>0</v>
      </c>
      <c r="G278">
        <v>100</v>
      </c>
      <c r="H278">
        <v>50</v>
      </c>
      <c r="I278">
        <v>33.333333333333329</v>
      </c>
      <c r="J278">
        <v>13.808975834292289</v>
      </c>
      <c r="K278">
        <v>0</v>
      </c>
      <c r="L278">
        <v>31.383500961388272</v>
      </c>
      <c r="M278">
        <f t="shared" si="16"/>
        <v>-28.398258043861805</v>
      </c>
      <c r="N278">
        <f t="shared" si="17"/>
        <v>-30.279482208278452</v>
      </c>
      <c r="O278">
        <f t="shared" si="18"/>
        <v>-24.314927740325761</v>
      </c>
      <c r="Q278">
        <f t="shared" si="19"/>
        <v>61.619606781803284</v>
      </c>
    </row>
    <row r="279" spans="1:17" x14ac:dyDescent="0.45">
      <c r="A279">
        <v>370</v>
      </c>
      <c r="B279">
        <v>1</v>
      </c>
      <c r="C279">
        <v>0</v>
      </c>
      <c r="D279">
        <v>61.646141991194447</v>
      </c>
      <c r="E279">
        <v>0</v>
      </c>
      <c r="F279">
        <v>100</v>
      </c>
      <c r="G279">
        <v>0</v>
      </c>
      <c r="H279">
        <v>25</v>
      </c>
      <c r="I279">
        <v>33.333333333333329</v>
      </c>
      <c r="J279">
        <v>12.543153049482164</v>
      </c>
      <c r="K279">
        <v>66.666666666666657</v>
      </c>
      <c r="L279">
        <v>2.663367504919087</v>
      </c>
      <c r="M279">
        <f t="shared" si="16"/>
        <v>-19.245866340403307</v>
      </c>
      <c r="N279">
        <f t="shared" si="17"/>
        <v>-16.104506214301296</v>
      </c>
      <c r="O279">
        <f t="shared" si="18"/>
        <v>-20.343426638499324</v>
      </c>
      <c r="Q279">
        <f t="shared" si="19"/>
        <v>70.771998485261761</v>
      </c>
    </row>
    <row r="280" spans="1:17" x14ac:dyDescent="0.45">
      <c r="A280">
        <v>371</v>
      </c>
      <c r="B280">
        <v>0</v>
      </c>
      <c r="C280">
        <v>0</v>
      </c>
      <c r="D280">
        <v>61.646141991194447</v>
      </c>
      <c r="E280">
        <v>66.666666666666657</v>
      </c>
      <c r="F280">
        <v>100</v>
      </c>
      <c r="G280">
        <v>0</v>
      </c>
      <c r="H280">
        <v>25</v>
      </c>
      <c r="I280">
        <v>33.333333333333329</v>
      </c>
      <c r="J280">
        <v>2.4453394706559264</v>
      </c>
      <c r="K280">
        <v>0</v>
      </c>
      <c r="L280">
        <v>2.663367504919087</v>
      </c>
      <c r="M280">
        <f t="shared" si="16"/>
        <v>-19.363081549439801</v>
      </c>
      <c r="N280">
        <f t="shared" si="17"/>
        <v>-20.645776313749458</v>
      </c>
      <c r="O280">
        <f t="shared" si="18"/>
        <v>-20.467326439307165</v>
      </c>
      <c r="Q280">
        <f t="shared" si="19"/>
        <v>70.654783276225288</v>
      </c>
    </row>
    <row r="281" spans="1:17" x14ac:dyDescent="0.45">
      <c r="A281">
        <v>372</v>
      </c>
      <c r="B281">
        <v>0</v>
      </c>
      <c r="C281">
        <v>0</v>
      </c>
      <c r="D281">
        <v>62.390027612487145</v>
      </c>
      <c r="E281">
        <v>0</v>
      </c>
      <c r="F281">
        <v>100</v>
      </c>
      <c r="G281">
        <v>0</v>
      </c>
      <c r="H281">
        <v>25</v>
      </c>
      <c r="I281">
        <v>33.333333333333329</v>
      </c>
      <c r="J281">
        <v>7.9976985040276185</v>
      </c>
      <c r="K281">
        <v>0</v>
      </c>
      <c r="L281">
        <v>2.663367504919087</v>
      </c>
      <c r="M281">
        <f t="shared" si="16"/>
        <v>-14.451237286253029</v>
      </c>
      <c r="N281">
        <f t="shared" si="17"/>
        <v>-15.408550116731167</v>
      </c>
      <c r="O281">
        <f t="shared" si="18"/>
        <v>-15.275367726692519</v>
      </c>
      <c r="Q281">
        <f t="shared" si="19"/>
        <v>75.566627539412039</v>
      </c>
    </row>
    <row r="282" spans="1:17" x14ac:dyDescent="0.45">
      <c r="A282">
        <v>373</v>
      </c>
      <c r="B282">
        <v>0</v>
      </c>
      <c r="C282">
        <v>0</v>
      </c>
      <c r="D282">
        <v>62.743892709313201</v>
      </c>
      <c r="E282">
        <v>33.333333333333329</v>
      </c>
      <c r="F282">
        <v>100</v>
      </c>
      <c r="G282">
        <v>0</v>
      </c>
      <c r="H282">
        <v>25</v>
      </c>
      <c r="I282">
        <v>33.333333333333329</v>
      </c>
      <c r="J282">
        <v>7.7675489067894139</v>
      </c>
      <c r="K282">
        <v>0</v>
      </c>
      <c r="L282">
        <v>2.1788685867630222</v>
      </c>
      <c r="M282">
        <f t="shared" si="16"/>
        <v>-17.04024404850934</v>
      </c>
      <c r="N282">
        <f t="shared" si="17"/>
        <v>-18.169063950846322</v>
      </c>
      <c r="O282">
        <f t="shared" si="18"/>
        <v>-18.012021312609306</v>
      </c>
      <c r="Q282">
        <f t="shared" si="19"/>
        <v>72.977620777155749</v>
      </c>
    </row>
    <row r="283" spans="1:17" x14ac:dyDescent="0.45">
      <c r="A283">
        <v>374</v>
      </c>
      <c r="B283">
        <v>0</v>
      </c>
      <c r="C283">
        <v>0</v>
      </c>
      <c r="D283">
        <v>62.390027612487145</v>
      </c>
      <c r="E283">
        <v>100</v>
      </c>
      <c r="F283">
        <v>100</v>
      </c>
      <c r="G283">
        <v>0</v>
      </c>
      <c r="H283">
        <v>25</v>
      </c>
      <c r="I283">
        <v>33.333333333333329</v>
      </c>
      <c r="J283">
        <v>20.627157652474107</v>
      </c>
      <c r="K283">
        <v>33.333333333333329</v>
      </c>
      <c r="L283">
        <v>2.663367504919087</v>
      </c>
      <c r="M283">
        <f t="shared" si="16"/>
        <v>-26.44572337664534</v>
      </c>
      <c r="N283">
        <f t="shared" si="17"/>
        <v>-25.9894581273619</v>
      </c>
      <c r="O283">
        <f t="shared" si="18"/>
        <v>-27.953879752630414</v>
      </c>
      <c r="Q283">
        <f t="shared" si="19"/>
        <v>63.572141449019739</v>
      </c>
    </row>
    <row r="284" spans="1:17" x14ac:dyDescent="0.45">
      <c r="A284">
        <v>375</v>
      </c>
      <c r="B284">
        <v>0</v>
      </c>
      <c r="C284">
        <v>0</v>
      </c>
      <c r="D284">
        <v>62.390897744534669</v>
      </c>
      <c r="E284">
        <v>100</v>
      </c>
      <c r="F284">
        <v>100</v>
      </c>
      <c r="G284">
        <v>0</v>
      </c>
      <c r="H284">
        <v>25</v>
      </c>
      <c r="I284">
        <v>66.666666666666657</v>
      </c>
      <c r="J284">
        <v>27.4741081703107</v>
      </c>
      <c r="K284">
        <v>66.666666666666657</v>
      </c>
      <c r="L284">
        <v>3.3207201944270444</v>
      </c>
      <c r="M284">
        <f t="shared" si="16"/>
        <v>-33.071630531812538</v>
      </c>
      <c r="N284">
        <f t="shared" si="17"/>
        <v>-30.846149177156061</v>
      </c>
      <c r="O284">
        <f t="shared" si="18"/>
        <v>-34.957651562147554</v>
      </c>
      <c r="Q284">
        <f t="shared" si="19"/>
        <v>56.946234293852541</v>
      </c>
    </row>
    <row r="285" spans="1:17" x14ac:dyDescent="0.45">
      <c r="A285">
        <v>376</v>
      </c>
      <c r="B285">
        <v>0</v>
      </c>
      <c r="C285">
        <v>0</v>
      </c>
      <c r="D285">
        <v>41.052612550562131</v>
      </c>
      <c r="E285">
        <v>66.666666666666657</v>
      </c>
      <c r="F285">
        <v>100</v>
      </c>
      <c r="G285">
        <v>100</v>
      </c>
      <c r="H285">
        <v>100</v>
      </c>
      <c r="I285">
        <v>50</v>
      </c>
      <c r="J285">
        <v>14.2692750287687</v>
      </c>
      <c r="K285">
        <v>66.666666666666657</v>
      </c>
      <c r="L285">
        <v>6.3556566364728972</v>
      </c>
      <c r="M285">
        <f t="shared" si="16"/>
        <v>-41.983121471178698</v>
      </c>
      <c r="N285">
        <f t="shared" si="17"/>
        <v>-40.347976047346634</v>
      </c>
      <c r="O285">
        <f t="shared" si="18"/>
        <v>-38.674513723081894</v>
      </c>
      <c r="Q285">
        <f t="shared" si="19"/>
        <v>48.03474335448638</v>
      </c>
    </row>
    <row r="286" spans="1:17" x14ac:dyDescent="0.45">
      <c r="A286">
        <v>377</v>
      </c>
      <c r="B286">
        <v>0</v>
      </c>
      <c r="C286">
        <v>0</v>
      </c>
      <c r="D286">
        <v>49.299456668764925</v>
      </c>
      <c r="E286">
        <v>0</v>
      </c>
      <c r="F286">
        <v>0</v>
      </c>
      <c r="G286">
        <v>100</v>
      </c>
      <c r="H286">
        <v>100</v>
      </c>
      <c r="I286">
        <v>33.333333333333329</v>
      </c>
      <c r="J286">
        <v>25.287686996547755</v>
      </c>
      <c r="K286">
        <v>66.666666666666657</v>
      </c>
      <c r="L286">
        <v>6.0303881177320573</v>
      </c>
      <c r="M286">
        <f t="shared" si="16"/>
        <v>-21.975926468564271</v>
      </c>
      <c r="N286">
        <f t="shared" si="17"/>
        <v>-19.015417402955979</v>
      </c>
      <c r="O286">
        <f t="shared" si="18"/>
        <v>-17.526341093233551</v>
      </c>
      <c r="Q286">
        <f t="shared" si="19"/>
        <v>68.041938357100818</v>
      </c>
    </row>
    <row r="287" spans="1:17" x14ac:dyDescent="0.45">
      <c r="A287">
        <v>378</v>
      </c>
      <c r="B287">
        <v>0</v>
      </c>
      <c r="C287">
        <v>0</v>
      </c>
      <c r="D287">
        <v>50.036924183869758</v>
      </c>
      <c r="E287">
        <v>33.333333333333329</v>
      </c>
      <c r="F287">
        <v>0</v>
      </c>
      <c r="G287">
        <v>0</v>
      </c>
      <c r="H287">
        <v>75</v>
      </c>
      <c r="I287">
        <v>50</v>
      </c>
      <c r="J287">
        <v>5.8400460299194474</v>
      </c>
      <c r="K287">
        <v>0</v>
      </c>
      <c r="L287">
        <v>1.4210094311372261</v>
      </c>
      <c r="M287">
        <f t="shared" si="16"/>
        <v>-11.010654894639195</v>
      </c>
      <c r="N287">
        <f t="shared" si="17"/>
        <v>-11.74004857864105</v>
      </c>
      <c r="O287">
        <f t="shared" si="18"/>
        <v>-11.638574545261651</v>
      </c>
      <c r="Q287">
        <f t="shared" si="19"/>
        <v>79.007209931025884</v>
      </c>
    </row>
    <row r="288" spans="1:17" x14ac:dyDescent="0.45">
      <c r="A288">
        <v>379</v>
      </c>
      <c r="B288">
        <v>0</v>
      </c>
      <c r="C288">
        <v>0</v>
      </c>
      <c r="D288">
        <v>48.849986797412939</v>
      </c>
      <c r="E288">
        <v>33.333333333333329</v>
      </c>
      <c r="F288">
        <v>0</v>
      </c>
      <c r="G288">
        <v>0</v>
      </c>
      <c r="H288">
        <v>75</v>
      </c>
      <c r="I288">
        <v>16.666666666666664</v>
      </c>
      <c r="J288">
        <v>2.905638665132336</v>
      </c>
      <c r="K288">
        <v>0</v>
      </c>
      <c r="L288">
        <v>6.8559261758117369</v>
      </c>
      <c r="M288">
        <f t="shared" si="16"/>
        <v>-8.5617755368790718</v>
      </c>
      <c r="N288">
        <f t="shared" si="17"/>
        <v>-9.1289447979447029</v>
      </c>
      <c r="O288">
        <f t="shared" si="18"/>
        <v>-9.0500396006671853</v>
      </c>
      <c r="Q288">
        <f t="shared" si="19"/>
        <v>81.456089288786018</v>
      </c>
    </row>
    <row r="289" spans="1:17" x14ac:dyDescent="0.45">
      <c r="A289">
        <v>380</v>
      </c>
      <c r="B289">
        <v>0</v>
      </c>
      <c r="C289">
        <v>0</v>
      </c>
      <c r="D289">
        <v>49.878369857803264</v>
      </c>
      <c r="E289">
        <v>0</v>
      </c>
      <c r="F289">
        <v>100</v>
      </c>
      <c r="G289">
        <v>0</v>
      </c>
      <c r="H289">
        <v>100</v>
      </c>
      <c r="I289">
        <v>100</v>
      </c>
      <c r="J289">
        <v>100</v>
      </c>
      <c r="K289">
        <v>100</v>
      </c>
      <c r="L289">
        <v>0.48449891815606488</v>
      </c>
      <c r="M289">
        <f t="shared" si="16"/>
        <v>-46.992672175176082</v>
      </c>
      <c r="N289">
        <f t="shared" si="17"/>
        <v>-43.481236162403903</v>
      </c>
      <c r="O289">
        <f t="shared" si="18"/>
        <v>-49.672587455094515</v>
      </c>
      <c r="Q289">
        <f t="shared" si="19"/>
        <v>43.025192650488997</v>
      </c>
    </row>
    <row r="290" spans="1:17" x14ac:dyDescent="0.45">
      <c r="A290">
        <v>381</v>
      </c>
      <c r="B290">
        <v>0</v>
      </c>
      <c r="C290">
        <v>1</v>
      </c>
      <c r="D290">
        <v>51.479710679459799</v>
      </c>
      <c r="E290">
        <v>66.666666666666657</v>
      </c>
      <c r="F290">
        <v>0</v>
      </c>
      <c r="G290">
        <v>0</v>
      </c>
      <c r="H290">
        <v>75</v>
      </c>
      <c r="I290">
        <v>33.333333333333329</v>
      </c>
      <c r="J290">
        <v>16.829689298043728</v>
      </c>
      <c r="K290">
        <v>0</v>
      </c>
      <c r="L290">
        <v>2.7691096585851986</v>
      </c>
      <c r="M290">
        <f t="shared" si="16"/>
        <v>-13.605473132678114</v>
      </c>
      <c r="N290">
        <f t="shared" si="17"/>
        <v>-14.506758865978497</v>
      </c>
      <c r="O290">
        <f t="shared" si="18"/>
        <v>-14.381371025925493</v>
      </c>
      <c r="Q290">
        <f t="shared" si="19"/>
        <v>76.412391692986972</v>
      </c>
    </row>
    <row r="291" spans="1:17" x14ac:dyDescent="0.45">
      <c r="A291">
        <v>386</v>
      </c>
      <c r="B291">
        <v>0</v>
      </c>
      <c r="C291">
        <v>1</v>
      </c>
      <c r="D291">
        <v>91.052364934808978</v>
      </c>
      <c r="E291">
        <v>66.666666666666657</v>
      </c>
      <c r="F291">
        <v>0</v>
      </c>
      <c r="G291">
        <v>0</v>
      </c>
      <c r="H291">
        <v>25</v>
      </c>
      <c r="I291">
        <v>16.666666666666664</v>
      </c>
      <c r="J291">
        <v>11.104718066743382</v>
      </c>
      <c r="K291">
        <v>0</v>
      </c>
      <c r="L291">
        <v>0</v>
      </c>
      <c r="M291">
        <f t="shared" si="16"/>
        <v>-1.9159626282192819</v>
      </c>
      <c r="N291">
        <f t="shared" si="17"/>
        <v>-2.0428843284432308</v>
      </c>
      <c r="O291">
        <f t="shared" si="18"/>
        <v>-2.0252268450737114</v>
      </c>
      <c r="Q291">
        <f t="shared" si="19"/>
        <v>88.10190219744581</v>
      </c>
    </row>
    <row r="292" spans="1:17" x14ac:dyDescent="0.45">
      <c r="A292">
        <v>387</v>
      </c>
      <c r="B292">
        <v>0</v>
      </c>
      <c r="C292">
        <v>0</v>
      </c>
      <c r="D292">
        <v>91.237031617585984</v>
      </c>
      <c r="E292">
        <v>33.333333333333329</v>
      </c>
      <c r="F292">
        <v>0</v>
      </c>
      <c r="G292">
        <v>0</v>
      </c>
      <c r="H292">
        <v>25</v>
      </c>
      <c r="I292">
        <v>16.666666666666664</v>
      </c>
      <c r="J292">
        <v>18.268124280782509</v>
      </c>
      <c r="K292">
        <v>0</v>
      </c>
      <c r="L292">
        <v>0</v>
      </c>
      <c r="M292">
        <f t="shared" si="16"/>
        <v>-3.7059929258085322E-2</v>
      </c>
      <c r="N292">
        <f t="shared" si="17"/>
        <v>-3.9514940207848515E-2</v>
      </c>
      <c r="O292">
        <f t="shared" si="18"/>
        <v>-3.9173396445505215E-2</v>
      </c>
      <c r="Q292">
        <f t="shared" si="19"/>
        <v>89.980804896406994</v>
      </c>
    </row>
    <row r="293" spans="1:17" x14ac:dyDescent="0.45">
      <c r="A293">
        <v>389</v>
      </c>
      <c r="B293">
        <v>0</v>
      </c>
      <c r="C293">
        <v>1</v>
      </c>
      <c r="D293">
        <v>83.509126613085371</v>
      </c>
      <c r="E293">
        <v>0</v>
      </c>
      <c r="F293">
        <v>0</v>
      </c>
      <c r="G293">
        <v>100</v>
      </c>
      <c r="H293">
        <v>100</v>
      </c>
      <c r="I293">
        <v>16.666666666666664</v>
      </c>
      <c r="J293">
        <v>1.2082853855005753</v>
      </c>
      <c r="K293">
        <v>0</v>
      </c>
      <c r="L293">
        <v>5.0874881046120892</v>
      </c>
      <c r="M293">
        <f t="shared" si="16"/>
        <v>-9.3627369492863703</v>
      </c>
      <c r="N293">
        <f t="shared" si="17"/>
        <v>-9.9829653790326507</v>
      </c>
      <c r="O293">
        <f t="shared" si="18"/>
        <v>-4.1938419931934865</v>
      </c>
      <c r="Q293">
        <f t="shared" si="19"/>
        <v>80.655127876378714</v>
      </c>
    </row>
    <row r="294" spans="1:17" x14ac:dyDescent="0.45">
      <c r="A294">
        <v>390</v>
      </c>
      <c r="B294">
        <v>0</v>
      </c>
      <c r="C294">
        <v>0</v>
      </c>
      <c r="D294">
        <v>81.597941296335904</v>
      </c>
      <c r="E294">
        <v>0</v>
      </c>
      <c r="F294">
        <v>100</v>
      </c>
      <c r="G294">
        <v>100</v>
      </c>
      <c r="H294">
        <v>50</v>
      </c>
      <c r="I294">
        <v>33.333333333333329</v>
      </c>
      <c r="J294">
        <v>9.6375143843498261</v>
      </c>
      <c r="K294">
        <v>0</v>
      </c>
      <c r="L294">
        <v>2.7138353158982698</v>
      </c>
      <c r="M294">
        <f t="shared" si="16"/>
        <v>-20.436131974578895</v>
      </c>
      <c r="N294">
        <f t="shared" si="17"/>
        <v>-21.789910267543426</v>
      </c>
      <c r="O294">
        <f t="shared" si="18"/>
        <v>-15.898734636204603</v>
      </c>
      <c r="Q294">
        <f t="shared" si="19"/>
        <v>69.581732851086187</v>
      </c>
    </row>
    <row r="295" spans="1:17" x14ac:dyDescent="0.45">
      <c r="A295">
        <v>391</v>
      </c>
      <c r="B295">
        <v>0</v>
      </c>
      <c r="C295">
        <v>0</v>
      </c>
      <c r="D295">
        <v>69.881788219481095</v>
      </c>
      <c r="E295">
        <v>0</v>
      </c>
      <c r="F295">
        <v>100</v>
      </c>
      <c r="G295">
        <v>100</v>
      </c>
      <c r="H295">
        <v>100</v>
      </c>
      <c r="I295">
        <v>33.333333333333329</v>
      </c>
      <c r="J295">
        <v>9.7813578826237055</v>
      </c>
      <c r="K295">
        <v>66.666666666666657</v>
      </c>
      <c r="L295">
        <v>11.288609734856447</v>
      </c>
      <c r="M295">
        <f t="shared" si="16"/>
        <v>-32.434824069131054</v>
      </c>
      <c r="N295">
        <f t="shared" si="17"/>
        <v>-30.167157883848596</v>
      </c>
      <c r="O295">
        <f t="shared" si="18"/>
        <v>-28.581692527844432</v>
      </c>
      <c r="Q295">
        <f t="shared" si="19"/>
        <v>57.583040756534018</v>
      </c>
    </row>
    <row r="296" spans="1:17" x14ac:dyDescent="0.45">
      <c r="A296">
        <v>392</v>
      </c>
      <c r="B296">
        <v>0</v>
      </c>
      <c r="C296">
        <v>0</v>
      </c>
      <c r="D296">
        <v>68.607980502918181</v>
      </c>
      <c r="E296">
        <v>66.666666666666657</v>
      </c>
      <c r="F296">
        <v>0</v>
      </c>
      <c r="G296">
        <v>0</v>
      </c>
      <c r="H296">
        <v>25</v>
      </c>
      <c r="I296">
        <v>33.333333333333329</v>
      </c>
      <c r="J296">
        <v>35.471806674338318</v>
      </c>
      <c r="K296">
        <v>0</v>
      </c>
      <c r="L296">
        <v>1.7906268896652944</v>
      </c>
      <c r="M296">
        <f t="shared" si="16"/>
        <v>-9.4567223225755601</v>
      </c>
      <c r="N296">
        <f t="shared" si="17"/>
        <v>-10.083176752348331</v>
      </c>
      <c r="O296">
        <f t="shared" si="18"/>
        <v>-9.9960237386717381</v>
      </c>
      <c r="Q296">
        <f t="shared" si="19"/>
        <v>80.561142503089528</v>
      </c>
    </row>
    <row r="297" spans="1:17" x14ac:dyDescent="0.45">
      <c r="A297">
        <v>393</v>
      </c>
      <c r="B297">
        <v>0</v>
      </c>
      <c r="C297">
        <v>0</v>
      </c>
      <c r="D297">
        <v>68.018769491218507</v>
      </c>
      <c r="E297">
        <v>66.666666666666657</v>
      </c>
      <c r="F297">
        <v>0</v>
      </c>
      <c r="G297">
        <v>0</v>
      </c>
      <c r="H297">
        <v>25</v>
      </c>
      <c r="I297">
        <v>33.333333333333329</v>
      </c>
      <c r="J297">
        <v>20.368239355581128</v>
      </c>
      <c r="K297">
        <v>0</v>
      </c>
      <c r="L297">
        <v>2.0208998705903767</v>
      </c>
      <c r="M297">
        <f t="shared" si="16"/>
        <v>-7.6497440882104302</v>
      </c>
      <c r="N297">
        <f t="shared" si="17"/>
        <v>-8.1564964181638278</v>
      </c>
      <c r="O297">
        <f t="shared" si="18"/>
        <v>-8.0859964892877692</v>
      </c>
      <c r="Q297">
        <f t="shared" si="19"/>
        <v>82.36812073745466</v>
      </c>
    </row>
    <row r="298" spans="1:17" x14ac:dyDescent="0.45">
      <c r="A298">
        <v>394</v>
      </c>
      <c r="B298">
        <v>0</v>
      </c>
      <c r="C298">
        <v>1</v>
      </c>
      <c r="D298">
        <v>67.600388399129926</v>
      </c>
      <c r="E298">
        <v>66.666666666666657</v>
      </c>
      <c r="F298">
        <v>0</v>
      </c>
      <c r="G298">
        <v>0</v>
      </c>
      <c r="H298">
        <v>25</v>
      </c>
      <c r="I298">
        <v>16.666666666666664</v>
      </c>
      <c r="J298">
        <v>3.3659378596087453</v>
      </c>
      <c r="K298">
        <v>0</v>
      </c>
      <c r="L298">
        <v>6.0172885705798773</v>
      </c>
      <c r="M298">
        <f t="shared" si="16"/>
        <v>-4.7435469122459999</v>
      </c>
      <c r="N298">
        <f t="shared" si="17"/>
        <v>-5.057780097344124</v>
      </c>
      <c r="O298">
        <f t="shared" si="18"/>
        <v>-5.0140636388486044</v>
      </c>
      <c r="Q298">
        <f t="shared" si="19"/>
        <v>85.274317913419083</v>
      </c>
    </row>
    <row r="299" spans="1:17" x14ac:dyDescent="0.45">
      <c r="A299">
        <v>395</v>
      </c>
      <c r="B299">
        <v>0</v>
      </c>
      <c r="C299">
        <v>0</v>
      </c>
      <c r="D299">
        <v>66.780089317623066</v>
      </c>
      <c r="E299">
        <v>33.333333333333329</v>
      </c>
      <c r="F299">
        <v>0</v>
      </c>
      <c r="G299">
        <v>0</v>
      </c>
      <c r="H299">
        <v>50</v>
      </c>
      <c r="I299">
        <v>16.666666666666664</v>
      </c>
      <c r="J299">
        <v>5.092059838895282</v>
      </c>
      <c r="K299">
        <v>0</v>
      </c>
      <c r="L299">
        <v>0.61547228415531696</v>
      </c>
      <c r="M299">
        <f t="shared" si="16"/>
        <v>-3.2381504545776822</v>
      </c>
      <c r="N299">
        <f t="shared" si="17"/>
        <v>-3.4526596288291285</v>
      </c>
      <c r="O299">
        <f t="shared" si="18"/>
        <v>-3.4228168819208298</v>
      </c>
      <c r="Q299">
        <f t="shared" si="19"/>
        <v>86.779714371087408</v>
      </c>
    </row>
    <row r="300" spans="1:17" x14ac:dyDescent="0.45">
      <c r="A300">
        <v>397</v>
      </c>
      <c r="B300">
        <v>0</v>
      </c>
      <c r="C300">
        <v>0</v>
      </c>
      <c r="D300">
        <v>60.69559176533005</v>
      </c>
      <c r="E300">
        <v>66.666666666666657</v>
      </c>
      <c r="F300">
        <v>0</v>
      </c>
      <c r="G300">
        <v>0</v>
      </c>
      <c r="H300">
        <v>100</v>
      </c>
      <c r="I300">
        <v>16.666666666666664</v>
      </c>
      <c r="J300">
        <v>2.3878020713463752</v>
      </c>
      <c r="K300">
        <v>33.333333333333329</v>
      </c>
      <c r="L300">
        <v>23.225751706809017</v>
      </c>
      <c r="M300">
        <f t="shared" si="16"/>
        <v>-18.445512372901188</v>
      </c>
      <c r="N300">
        <f t="shared" si="17"/>
        <v>-17.45927834041175</v>
      </c>
      <c r="O300">
        <f t="shared" si="18"/>
        <v>-19.497429792489324</v>
      </c>
      <c r="Q300">
        <f t="shared" si="19"/>
        <v>71.572352452763894</v>
      </c>
    </row>
    <row r="301" spans="1:17" x14ac:dyDescent="0.45">
      <c r="A301">
        <v>398</v>
      </c>
      <c r="B301">
        <v>0</v>
      </c>
      <c r="C301">
        <v>0</v>
      </c>
      <c r="D301">
        <v>57.549783438550072</v>
      </c>
      <c r="E301">
        <v>66.666666666666657</v>
      </c>
      <c r="F301">
        <v>0</v>
      </c>
      <c r="G301">
        <v>100</v>
      </c>
      <c r="H301">
        <v>100</v>
      </c>
      <c r="I301">
        <v>66.666666666666657</v>
      </c>
      <c r="J301">
        <v>21.087456846950516</v>
      </c>
      <c r="K301">
        <v>66.666666666666657</v>
      </c>
      <c r="L301">
        <v>30.428955978644215</v>
      </c>
      <c r="M301">
        <f t="shared" si="16"/>
        <v>-35.651224804796797</v>
      </c>
      <c r="N301">
        <f t="shared" si="17"/>
        <v>-33.59662699775911</v>
      </c>
      <c r="O301">
        <f t="shared" si="18"/>
        <v>-31.981519339935879</v>
      </c>
      <c r="Q301">
        <f t="shared" si="19"/>
        <v>54.366640020868282</v>
      </c>
    </row>
    <row r="302" spans="1:17" x14ac:dyDescent="0.45">
      <c r="A302">
        <v>399</v>
      </c>
      <c r="B302">
        <v>0</v>
      </c>
      <c r="C302">
        <v>0</v>
      </c>
      <c r="D302">
        <v>57.299807134676485</v>
      </c>
      <c r="E302">
        <v>66.666666666666657</v>
      </c>
      <c r="F302">
        <v>0</v>
      </c>
      <c r="G302">
        <v>100</v>
      </c>
      <c r="H302">
        <v>100</v>
      </c>
      <c r="I302">
        <v>33.333333333333329</v>
      </c>
      <c r="J302">
        <v>12.83084004602992</v>
      </c>
      <c r="K302">
        <v>0</v>
      </c>
      <c r="L302">
        <v>30.428955978644215</v>
      </c>
      <c r="M302">
        <f t="shared" si="16"/>
        <v>-26.960575959309725</v>
      </c>
      <c r="N302">
        <f t="shared" si="17"/>
        <v>-28.746561807558138</v>
      </c>
      <c r="O302">
        <f t="shared" si="18"/>
        <v>-22.795256996527112</v>
      </c>
      <c r="Q302">
        <f t="shared" si="19"/>
        <v>63.057288866355357</v>
      </c>
    </row>
    <row r="303" spans="1:17" x14ac:dyDescent="0.45">
      <c r="A303">
        <v>400</v>
      </c>
      <c r="B303">
        <v>0</v>
      </c>
      <c r="C303">
        <v>0</v>
      </c>
      <c r="D303">
        <v>61.87292359889048</v>
      </c>
      <c r="E303">
        <v>33.333333333333329</v>
      </c>
      <c r="F303">
        <v>0</v>
      </c>
      <c r="G303">
        <v>100</v>
      </c>
      <c r="H303">
        <v>100</v>
      </c>
      <c r="I303">
        <v>83.333333333333343</v>
      </c>
      <c r="J303">
        <v>52.790563866513232</v>
      </c>
      <c r="K303">
        <v>66.666666666666657</v>
      </c>
      <c r="L303">
        <v>20.382197713987274</v>
      </c>
      <c r="M303">
        <f t="shared" si="16"/>
        <v>-35.786880906794472</v>
      </c>
      <c r="N303">
        <f t="shared" si="17"/>
        <v>-33.741269550148715</v>
      </c>
      <c r="O303">
        <f t="shared" si="18"/>
        <v>-32.124911687686989</v>
      </c>
      <c r="Q303">
        <f t="shared" si="19"/>
        <v>54.230983918870614</v>
      </c>
    </row>
    <row r="304" spans="1:17" x14ac:dyDescent="0.45">
      <c r="A304">
        <v>401</v>
      </c>
      <c r="B304">
        <v>0</v>
      </c>
      <c r="C304">
        <v>0</v>
      </c>
      <c r="D304">
        <v>65.283907329719057</v>
      </c>
      <c r="E304">
        <v>0</v>
      </c>
      <c r="F304">
        <v>0</v>
      </c>
      <c r="G304">
        <v>100</v>
      </c>
      <c r="H304">
        <v>100</v>
      </c>
      <c r="I304">
        <v>33.333333333333329</v>
      </c>
      <c r="J304">
        <v>15.851553509781358</v>
      </c>
      <c r="K304">
        <v>33.333333333333329</v>
      </c>
      <c r="L304">
        <v>5.3992930506503978</v>
      </c>
      <c r="M304">
        <f t="shared" si="16"/>
        <v>-16.95420056200496</v>
      </c>
      <c r="N304">
        <f t="shared" si="17"/>
        <v>-15.869175546948744</v>
      </c>
      <c r="O304">
        <f t="shared" si="18"/>
        <v>-12.218234366737391</v>
      </c>
      <c r="Q304">
        <f t="shared" si="19"/>
        <v>73.063664263660115</v>
      </c>
    </row>
    <row r="305" spans="1:17" x14ac:dyDescent="0.45">
      <c r="A305">
        <v>402</v>
      </c>
      <c r="B305">
        <v>0</v>
      </c>
      <c r="C305">
        <v>1</v>
      </c>
      <c r="D305">
        <v>65.537030294298063</v>
      </c>
      <c r="E305">
        <v>0</v>
      </c>
      <c r="F305">
        <v>0</v>
      </c>
      <c r="G305">
        <v>100</v>
      </c>
      <c r="H305">
        <v>100</v>
      </c>
      <c r="I305">
        <v>33.333333333333329</v>
      </c>
      <c r="J305">
        <v>16.254315304948218</v>
      </c>
      <c r="K305">
        <v>33.333333333333329</v>
      </c>
      <c r="L305">
        <v>3.9069173704549875</v>
      </c>
      <c r="M305">
        <f t="shared" si="16"/>
        <v>-16.615254515132484</v>
      </c>
      <c r="N305">
        <f t="shared" si="17"/>
        <v>-15.507776239287347</v>
      </c>
      <c r="O305">
        <f t="shared" si="18"/>
        <v>-11.859958780853063</v>
      </c>
      <c r="Q305">
        <f t="shared" si="19"/>
        <v>73.402610310532594</v>
      </c>
    </row>
    <row r="306" spans="1:17" x14ac:dyDescent="0.45">
      <c r="A306">
        <v>404</v>
      </c>
      <c r="B306">
        <v>0</v>
      </c>
      <c r="C306">
        <v>0</v>
      </c>
      <c r="D306">
        <v>60.096697379366717</v>
      </c>
      <c r="E306">
        <v>33.333333333333329</v>
      </c>
      <c r="F306">
        <v>0</v>
      </c>
      <c r="G306">
        <v>0</v>
      </c>
      <c r="H306">
        <v>75</v>
      </c>
      <c r="I306">
        <v>16.666666666666664</v>
      </c>
      <c r="J306">
        <v>31.271576524741079</v>
      </c>
      <c r="K306">
        <v>66.666666666666657</v>
      </c>
      <c r="L306">
        <v>8.390697881473514</v>
      </c>
      <c r="M306">
        <f t="shared" si="16"/>
        <v>-15.566221021931181</v>
      </c>
      <c r="N306">
        <f t="shared" si="17"/>
        <v>-12.18110518099269</v>
      </c>
      <c r="O306">
        <f t="shared" si="18"/>
        <v>-16.453937162263745</v>
      </c>
      <c r="Q306">
        <f t="shared" si="19"/>
        <v>74.451643803733901</v>
      </c>
    </row>
    <row r="307" spans="1:17" x14ac:dyDescent="0.45">
      <c r="A307">
        <v>405</v>
      </c>
      <c r="B307">
        <v>0</v>
      </c>
      <c r="C307">
        <v>0</v>
      </c>
      <c r="D307">
        <v>58.58827881616746</v>
      </c>
      <c r="E307">
        <v>0</v>
      </c>
      <c r="F307">
        <v>0</v>
      </c>
      <c r="G307">
        <v>0</v>
      </c>
      <c r="H307">
        <v>0</v>
      </c>
      <c r="I307">
        <v>33.333333333333329</v>
      </c>
      <c r="J307">
        <v>4.6605293440736482</v>
      </c>
      <c r="K307">
        <v>0</v>
      </c>
      <c r="L307">
        <v>8.391333264281057</v>
      </c>
      <c r="M307">
        <f t="shared" si="16"/>
        <v>-0.31964284040231816</v>
      </c>
      <c r="N307">
        <f t="shared" si="17"/>
        <v>-0.3408173728126811</v>
      </c>
      <c r="O307">
        <f t="shared" si="18"/>
        <v>-0.33787154910220751</v>
      </c>
      <c r="Q307">
        <f t="shared" si="19"/>
        <v>89.698221985262762</v>
      </c>
    </row>
    <row r="308" spans="1:17" x14ac:dyDescent="0.45">
      <c r="A308">
        <v>406</v>
      </c>
      <c r="B308">
        <v>0</v>
      </c>
      <c r="C308">
        <v>0</v>
      </c>
      <c r="D308">
        <v>27.335629584943526</v>
      </c>
      <c r="E308">
        <v>0</v>
      </c>
      <c r="F308">
        <v>0</v>
      </c>
      <c r="G308">
        <v>0</v>
      </c>
      <c r="H308">
        <v>25</v>
      </c>
      <c r="I308">
        <v>16.666666666666664</v>
      </c>
      <c r="J308">
        <v>11.219792865362486</v>
      </c>
      <c r="K308">
        <v>0</v>
      </c>
      <c r="L308">
        <v>7.5474840019538361</v>
      </c>
      <c r="M308">
        <f t="shared" si="16"/>
        <v>-4.5923161555643457</v>
      </c>
      <c r="N308">
        <f t="shared" si="17"/>
        <v>-4.8965311573840049</v>
      </c>
      <c r="O308">
        <f t="shared" si="18"/>
        <v>-4.8542084393152223</v>
      </c>
      <c r="Q308">
        <f t="shared" si="19"/>
        <v>85.425548670100738</v>
      </c>
    </row>
    <row r="309" spans="1:17" x14ac:dyDescent="0.45">
      <c r="A309">
        <v>407</v>
      </c>
      <c r="B309">
        <v>0</v>
      </c>
      <c r="C309">
        <v>1</v>
      </c>
      <c r="D309">
        <v>27.619608425413507</v>
      </c>
      <c r="E309">
        <v>0</v>
      </c>
      <c r="F309">
        <v>0</v>
      </c>
      <c r="G309">
        <v>0</v>
      </c>
      <c r="H309">
        <v>25</v>
      </c>
      <c r="I309">
        <v>33.333333333333329</v>
      </c>
      <c r="J309">
        <v>39.585730724971228</v>
      </c>
      <c r="K309">
        <v>33.333333333333329</v>
      </c>
      <c r="L309">
        <v>11.540839404500085</v>
      </c>
      <c r="M309">
        <f t="shared" si="16"/>
        <v>-12.982795310433339</v>
      </c>
      <c r="N309">
        <f t="shared" si="17"/>
        <v>-11.634687133219488</v>
      </c>
      <c r="O309">
        <f t="shared" si="18"/>
        <v>-13.723182905307397</v>
      </c>
      <c r="Q309">
        <f t="shared" si="19"/>
        <v>77.03506951523174</v>
      </c>
    </row>
    <row r="310" spans="1:17" x14ac:dyDescent="0.45">
      <c r="A310">
        <v>408</v>
      </c>
      <c r="B310">
        <v>0</v>
      </c>
      <c r="C310">
        <v>1</v>
      </c>
      <c r="D310">
        <v>27.940039326288396</v>
      </c>
      <c r="E310">
        <v>33.333333333333329</v>
      </c>
      <c r="F310">
        <v>0</v>
      </c>
      <c r="G310">
        <v>0</v>
      </c>
      <c r="H310">
        <v>25</v>
      </c>
      <c r="I310">
        <v>16.666666666666664</v>
      </c>
      <c r="J310">
        <v>19.82163406214039</v>
      </c>
      <c r="K310">
        <v>0</v>
      </c>
      <c r="L310">
        <v>8.7519494291155535</v>
      </c>
      <c r="M310">
        <f t="shared" si="16"/>
        <v>-8.6932935362417609</v>
      </c>
      <c r="N310">
        <f t="shared" si="17"/>
        <v>-9.2691751217772484</v>
      </c>
      <c r="O310">
        <f t="shared" si="18"/>
        <v>-9.1890578565541805</v>
      </c>
      <c r="Q310">
        <f t="shared" si="19"/>
        <v>81.324571289423332</v>
      </c>
    </row>
    <row r="311" spans="1:17" x14ac:dyDescent="0.45">
      <c r="A311">
        <v>409</v>
      </c>
      <c r="B311">
        <v>0</v>
      </c>
      <c r="C311">
        <v>1</v>
      </c>
      <c r="D311">
        <v>27.335629584943526</v>
      </c>
      <c r="E311">
        <v>66.666666666666657</v>
      </c>
      <c r="F311">
        <v>0</v>
      </c>
      <c r="G311">
        <v>100</v>
      </c>
      <c r="H311">
        <v>25</v>
      </c>
      <c r="I311">
        <v>66.666666666666657</v>
      </c>
      <c r="J311">
        <v>23.331415420023017</v>
      </c>
      <c r="K311">
        <v>33.333333333333329</v>
      </c>
      <c r="L311">
        <v>9.7987917445370147</v>
      </c>
      <c r="M311">
        <f t="shared" si="16"/>
        <v>-24.978894987770293</v>
      </c>
      <c r="N311">
        <f t="shared" si="17"/>
        <v>-24.425460644314171</v>
      </c>
      <c r="O311">
        <f t="shared" si="18"/>
        <v>-20.70056399843692</v>
      </c>
      <c r="Q311">
        <f t="shared" si="19"/>
        <v>65.038969837894783</v>
      </c>
    </row>
    <row r="312" spans="1:17" x14ac:dyDescent="0.45">
      <c r="A312">
        <v>410</v>
      </c>
      <c r="B312">
        <v>0</v>
      </c>
      <c r="C312">
        <v>0</v>
      </c>
      <c r="D312">
        <v>28.038954823602523</v>
      </c>
      <c r="E312">
        <v>0</v>
      </c>
      <c r="F312">
        <v>0</v>
      </c>
      <c r="G312">
        <v>100</v>
      </c>
      <c r="H312">
        <v>25</v>
      </c>
      <c r="I312">
        <v>16.666666666666664</v>
      </c>
      <c r="J312">
        <v>12.485615650172614</v>
      </c>
      <c r="K312">
        <v>66.666666666666657</v>
      </c>
      <c r="L312">
        <v>2.3693657038904048</v>
      </c>
      <c r="M312">
        <f t="shared" si="16"/>
        <v>-12.954050396475509</v>
      </c>
      <c r="N312">
        <f t="shared" si="17"/>
        <v>-9.3958930086014032</v>
      </c>
      <c r="O312">
        <f t="shared" si="18"/>
        <v>-7.9899621759141013</v>
      </c>
      <c r="Q312">
        <f t="shared" si="19"/>
        <v>77.063814429189563</v>
      </c>
    </row>
    <row r="313" spans="1:17" x14ac:dyDescent="0.45">
      <c r="A313">
        <v>411</v>
      </c>
      <c r="B313">
        <v>0</v>
      </c>
      <c r="C313">
        <v>0</v>
      </c>
      <c r="D313">
        <v>27.907428171033171</v>
      </c>
      <c r="E313">
        <v>33.333333333333329</v>
      </c>
      <c r="F313">
        <v>0</v>
      </c>
      <c r="G313">
        <v>100</v>
      </c>
      <c r="H313">
        <v>25</v>
      </c>
      <c r="I313">
        <v>16.666666666666664</v>
      </c>
      <c r="J313">
        <v>7.7963176064441893</v>
      </c>
      <c r="K313">
        <v>0</v>
      </c>
      <c r="L313">
        <v>2.3693657038904048</v>
      </c>
      <c r="M313">
        <f t="shared" si="16"/>
        <v>-11.000595642137712</v>
      </c>
      <c r="N313">
        <f t="shared" si="17"/>
        <v>-11.729322957489327</v>
      </c>
      <c r="O313">
        <f t="shared" si="18"/>
        <v>-5.9251050900539735</v>
      </c>
      <c r="Q313">
        <f t="shared" si="19"/>
        <v>79.017269183527375</v>
      </c>
    </row>
    <row r="314" spans="1:17" x14ac:dyDescent="0.45">
      <c r="A314">
        <v>412</v>
      </c>
      <c r="B314">
        <v>0</v>
      </c>
      <c r="C314">
        <v>0</v>
      </c>
      <c r="D314">
        <v>26.188073178535248</v>
      </c>
      <c r="E314">
        <v>66.666666666666657</v>
      </c>
      <c r="F314">
        <v>0</v>
      </c>
      <c r="G314">
        <v>100</v>
      </c>
      <c r="H314">
        <v>25</v>
      </c>
      <c r="I314">
        <v>66.666666666666657</v>
      </c>
      <c r="J314">
        <v>39.06789413118527</v>
      </c>
      <c r="K314">
        <v>66.666666666666657</v>
      </c>
      <c r="L314">
        <v>12.693939493701386</v>
      </c>
      <c r="M314">
        <f t="shared" si="16"/>
        <v>-29.875009295080666</v>
      </c>
      <c r="N314">
        <f t="shared" si="17"/>
        <v>-27.437769842242975</v>
      </c>
      <c r="O314">
        <f t="shared" si="18"/>
        <v>-25.875895701503719</v>
      </c>
      <c r="Q314">
        <f t="shared" si="19"/>
        <v>60.142855530584413</v>
      </c>
    </row>
    <row r="315" spans="1:17" x14ac:dyDescent="0.45">
      <c r="A315">
        <v>413</v>
      </c>
      <c r="B315">
        <v>0</v>
      </c>
      <c r="C315">
        <v>0</v>
      </c>
      <c r="D315">
        <v>33.409872206553239</v>
      </c>
      <c r="E315">
        <v>100</v>
      </c>
      <c r="F315">
        <v>0</v>
      </c>
      <c r="G315">
        <v>100</v>
      </c>
      <c r="H315">
        <v>75</v>
      </c>
      <c r="I315">
        <v>50</v>
      </c>
      <c r="J315">
        <v>96.087456846950516</v>
      </c>
      <c r="K315">
        <v>33.333333333333329</v>
      </c>
      <c r="L315">
        <v>2.6386519126996744</v>
      </c>
      <c r="M315">
        <f t="shared" si="16"/>
        <v>-37.463474687352537</v>
      </c>
      <c r="N315">
        <f t="shared" si="17"/>
        <v>-37.737073219545501</v>
      </c>
      <c r="O315">
        <f t="shared" si="18"/>
        <v>-33.897118870989722</v>
      </c>
      <c r="Q315">
        <f t="shared" si="19"/>
        <v>52.554390138312549</v>
      </c>
    </row>
    <row r="316" spans="1:17" x14ac:dyDescent="0.45">
      <c r="A316">
        <v>414</v>
      </c>
      <c r="B316">
        <v>0</v>
      </c>
      <c r="C316">
        <v>0</v>
      </c>
      <c r="D316">
        <v>35.198328863092598</v>
      </c>
      <c r="E316">
        <v>0</v>
      </c>
      <c r="F316">
        <v>0</v>
      </c>
      <c r="G316">
        <v>100</v>
      </c>
      <c r="H316">
        <v>75</v>
      </c>
      <c r="I316">
        <v>83.333333333333343</v>
      </c>
      <c r="J316">
        <v>36.133486766398157</v>
      </c>
      <c r="K316">
        <v>100</v>
      </c>
      <c r="L316">
        <v>11.87745333067271</v>
      </c>
      <c r="M316">
        <f t="shared" si="16"/>
        <v>-31.262871171350856</v>
      </c>
      <c r="N316">
        <f t="shared" si="17"/>
        <v>-26.709424704833364</v>
      </c>
      <c r="O316">
        <f t="shared" si="18"/>
        <v>-27.342905071978294</v>
      </c>
      <c r="Q316">
        <f t="shared" si="19"/>
        <v>58.754993654314227</v>
      </c>
    </row>
    <row r="317" spans="1:17" x14ac:dyDescent="0.45">
      <c r="A317">
        <v>415</v>
      </c>
      <c r="B317">
        <v>0</v>
      </c>
      <c r="C317">
        <v>1</v>
      </c>
      <c r="D317">
        <v>35.487990591215514</v>
      </c>
      <c r="E317">
        <v>0</v>
      </c>
      <c r="F317">
        <v>0</v>
      </c>
      <c r="G317">
        <v>100</v>
      </c>
      <c r="H317">
        <v>25</v>
      </c>
      <c r="I317">
        <v>66.666666666666657</v>
      </c>
      <c r="J317">
        <v>42.951668584579977</v>
      </c>
      <c r="K317">
        <v>66.666666666666657</v>
      </c>
      <c r="L317">
        <v>10.976525573491484</v>
      </c>
      <c r="M317">
        <f t="shared" si="16"/>
        <v>-23.476779379297032</v>
      </c>
      <c r="N317">
        <f t="shared" si="17"/>
        <v>-20.615693340218911</v>
      </c>
      <c r="O317">
        <f t="shared" si="18"/>
        <v>-19.112785192170918</v>
      </c>
      <c r="Q317">
        <f t="shared" si="19"/>
        <v>66.541085446368058</v>
      </c>
    </row>
    <row r="318" spans="1:17" x14ac:dyDescent="0.45">
      <c r="A318">
        <v>416</v>
      </c>
      <c r="B318">
        <v>0</v>
      </c>
      <c r="C318">
        <v>0</v>
      </c>
      <c r="D318">
        <v>36.498372032497969</v>
      </c>
      <c r="E318">
        <v>100</v>
      </c>
      <c r="F318">
        <v>0</v>
      </c>
      <c r="G318">
        <v>100</v>
      </c>
      <c r="H318">
        <v>75</v>
      </c>
      <c r="I318">
        <v>33.333333333333329</v>
      </c>
      <c r="J318">
        <v>5.4372842347525898</v>
      </c>
      <c r="K318">
        <v>0</v>
      </c>
      <c r="L318">
        <v>19.271065550849606</v>
      </c>
      <c r="M318">
        <f t="shared" si="16"/>
        <v>-25.853642419113633</v>
      </c>
      <c r="N318">
        <f t="shared" si="17"/>
        <v>-27.56630017375138</v>
      </c>
      <c r="O318">
        <f t="shared" si="18"/>
        <v>-21.625196845927434</v>
      </c>
      <c r="Q318">
        <f t="shared" si="19"/>
        <v>64.164222406551445</v>
      </c>
    </row>
    <row r="319" spans="1:17" x14ac:dyDescent="0.45">
      <c r="A319">
        <v>417</v>
      </c>
      <c r="B319">
        <v>0</v>
      </c>
      <c r="C319">
        <v>0</v>
      </c>
      <c r="D319">
        <v>36.498372032497969</v>
      </c>
      <c r="E319">
        <v>100</v>
      </c>
      <c r="F319">
        <v>0</v>
      </c>
      <c r="G319">
        <v>100</v>
      </c>
      <c r="H319">
        <v>75</v>
      </c>
      <c r="I319">
        <v>50</v>
      </c>
      <c r="J319">
        <v>6.4729574223245114</v>
      </c>
      <c r="K319">
        <v>0</v>
      </c>
      <c r="L319">
        <v>19.271065550849606</v>
      </c>
      <c r="M319">
        <f t="shared" si="16"/>
        <v>-27.746913878617278</v>
      </c>
      <c r="N319">
        <f t="shared" si="17"/>
        <v>-29.584990171741339</v>
      </c>
      <c r="O319">
        <f t="shared" si="18"/>
        <v>-23.626438482024643</v>
      </c>
      <c r="Q319">
        <f t="shared" si="19"/>
        <v>62.270950947047801</v>
      </c>
    </row>
    <row r="320" spans="1:17" x14ac:dyDescent="0.45">
      <c r="A320">
        <v>418</v>
      </c>
      <c r="B320">
        <v>0</v>
      </c>
      <c r="C320">
        <v>0</v>
      </c>
      <c r="D320">
        <v>42.470090657376417</v>
      </c>
      <c r="E320">
        <v>100</v>
      </c>
      <c r="F320">
        <v>0</v>
      </c>
      <c r="G320">
        <v>0</v>
      </c>
      <c r="H320">
        <v>50</v>
      </c>
      <c r="I320">
        <v>16.666666666666664</v>
      </c>
      <c r="J320">
        <v>1.4959723820483315</v>
      </c>
      <c r="K320">
        <v>33.333333333333329</v>
      </c>
      <c r="L320">
        <v>8.8980976064557069</v>
      </c>
      <c r="M320">
        <f t="shared" si="16"/>
        <v>-14.84768501783908</v>
      </c>
      <c r="N320">
        <f t="shared" si="17"/>
        <v>-13.623115248372805</v>
      </c>
      <c r="O320">
        <f t="shared" si="18"/>
        <v>-15.694424224377375</v>
      </c>
      <c r="Q320">
        <f t="shared" si="19"/>
        <v>75.170179807826003</v>
      </c>
    </row>
    <row r="321" spans="1:17" x14ac:dyDescent="0.45">
      <c r="A321">
        <v>421</v>
      </c>
      <c r="B321">
        <v>0</v>
      </c>
      <c r="C321">
        <v>0</v>
      </c>
      <c r="D321">
        <v>35.622012574923403</v>
      </c>
      <c r="E321">
        <v>66.666666666666657</v>
      </c>
      <c r="F321">
        <v>0</v>
      </c>
      <c r="G321">
        <v>100</v>
      </c>
      <c r="H321">
        <v>25</v>
      </c>
      <c r="I321">
        <v>33.333333333333329</v>
      </c>
      <c r="J321">
        <v>1.9275028768699656</v>
      </c>
      <c r="K321">
        <v>0</v>
      </c>
      <c r="L321">
        <v>3.7555669761189132</v>
      </c>
      <c r="M321">
        <f t="shared" si="16"/>
        <v>-14.35617814129529</v>
      </c>
      <c r="N321">
        <f t="shared" si="17"/>
        <v>-15.307193840439984</v>
      </c>
      <c r="O321">
        <f t="shared" si="18"/>
        <v>-9.4720509741026451</v>
      </c>
      <c r="Q321">
        <f t="shared" si="19"/>
        <v>75.661686684369784</v>
      </c>
    </row>
    <row r="322" spans="1:17" x14ac:dyDescent="0.45">
      <c r="A322">
        <v>422</v>
      </c>
      <c r="B322">
        <v>0</v>
      </c>
      <c r="C322">
        <v>0</v>
      </c>
      <c r="D322">
        <v>41.548549697155138</v>
      </c>
      <c r="E322">
        <v>0</v>
      </c>
      <c r="F322">
        <v>0</v>
      </c>
      <c r="G322">
        <v>0</v>
      </c>
      <c r="H322">
        <v>25</v>
      </c>
      <c r="I322">
        <v>16.666666666666664</v>
      </c>
      <c r="J322">
        <v>21.518987341772153</v>
      </c>
      <c r="K322">
        <v>0</v>
      </c>
      <c r="L322">
        <v>11.595940478303234</v>
      </c>
      <c r="M322">
        <f t="shared" si="16"/>
        <v>-5.4742358229442392</v>
      </c>
      <c r="N322">
        <f t="shared" si="17"/>
        <v>-5.8368730204769896</v>
      </c>
      <c r="O322">
        <f t="shared" si="18"/>
        <v>-5.7864225437397181</v>
      </c>
      <c r="Q322">
        <f t="shared" si="19"/>
        <v>84.543629002720849</v>
      </c>
    </row>
    <row r="323" spans="1:17" x14ac:dyDescent="0.45">
      <c r="A323">
        <v>423</v>
      </c>
      <c r="B323">
        <v>1</v>
      </c>
      <c r="C323">
        <v>0</v>
      </c>
      <c r="D323">
        <v>37.063591318433048</v>
      </c>
      <c r="E323">
        <v>100</v>
      </c>
      <c r="F323">
        <v>0</v>
      </c>
      <c r="G323">
        <v>100</v>
      </c>
      <c r="H323">
        <v>75</v>
      </c>
      <c r="I323">
        <v>50</v>
      </c>
      <c r="J323">
        <v>100</v>
      </c>
      <c r="K323">
        <v>100</v>
      </c>
      <c r="L323">
        <v>32.306541994106254</v>
      </c>
      <c r="M323">
        <f t="shared" si="16"/>
        <v>-48.993360959700141</v>
      </c>
      <c r="N323">
        <f t="shared" si="17"/>
        <v>-45.614459276361522</v>
      </c>
      <c r="O323">
        <f t="shared" si="18"/>
        <v>-46.084535710694794</v>
      </c>
      <c r="Q323">
        <f t="shared" si="19"/>
        <v>41.024503865964931</v>
      </c>
    </row>
    <row r="324" spans="1:17" x14ac:dyDescent="0.45">
      <c r="A324">
        <v>424</v>
      </c>
      <c r="B324">
        <v>0</v>
      </c>
      <c r="C324">
        <v>0</v>
      </c>
      <c r="D324">
        <v>36.359203040175217</v>
      </c>
      <c r="E324">
        <v>100</v>
      </c>
      <c r="F324">
        <v>0</v>
      </c>
      <c r="G324">
        <v>100</v>
      </c>
      <c r="H324">
        <v>100</v>
      </c>
      <c r="I324">
        <v>33.333333333333329</v>
      </c>
      <c r="J324">
        <v>51.121979286536245</v>
      </c>
      <c r="K324">
        <v>0</v>
      </c>
      <c r="L324">
        <v>28.943412772151692</v>
      </c>
      <c r="M324">
        <f t="shared" si="16"/>
        <v>-36.332716069604565</v>
      </c>
      <c r="N324">
        <f t="shared" si="17"/>
        <v>-38.739553253894556</v>
      </c>
      <c r="O324">
        <f t="shared" si="18"/>
        <v>-32.701874937609858</v>
      </c>
      <c r="Q324">
        <f t="shared" si="19"/>
        <v>53.685148756060521</v>
      </c>
    </row>
    <row r="325" spans="1:17" x14ac:dyDescent="0.45">
      <c r="A325">
        <v>425</v>
      </c>
      <c r="B325">
        <v>0</v>
      </c>
      <c r="C325">
        <v>0</v>
      </c>
      <c r="D325">
        <v>37.395039312875994</v>
      </c>
      <c r="E325">
        <v>66.666666666666657</v>
      </c>
      <c r="F325">
        <v>0</v>
      </c>
      <c r="G325">
        <v>0</v>
      </c>
      <c r="H325">
        <v>100</v>
      </c>
      <c r="I325">
        <v>16.666666666666664</v>
      </c>
      <c r="J325">
        <v>1.2658227848101267</v>
      </c>
      <c r="K325">
        <v>0</v>
      </c>
      <c r="L325">
        <v>32.366362656294754</v>
      </c>
      <c r="M325">
        <f t="shared" si="16"/>
        <v>-20.792845063274495</v>
      </c>
      <c r="N325">
        <f t="shared" si="17"/>
        <v>-22.170253583176937</v>
      </c>
      <c r="O325">
        <f t="shared" si="18"/>
        <v>-21.978627029244109</v>
      </c>
      <c r="Q325">
        <f t="shared" si="19"/>
        <v>69.225019762390588</v>
      </c>
    </row>
    <row r="326" spans="1:17" x14ac:dyDescent="0.45">
      <c r="A326">
        <v>426</v>
      </c>
      <c r="B326">
        <v>0</v>
      </c>
      <c r="C326">
        <v>0</v>
      </c>
      <c r="D326">
        <v>39.6144536759193</v>
      </c>
      <c r="E326">
        <v>66.666666666666657</v>
      </c>
      <c r="F326">
        <v>0</v>
      </c>
      <c r="G326">
        <v>0</v>
      </c>
      <c r="H326">
        <v>75</v>
      </c>
      <c r="I326">
        <v>16.666666666666664</v>
      </c>
      <c r="J326">
        <v>1.5247410817031071</v>
      </c>
      <c r="K326">
        <v>0</v>
      </c>
      <c r="L326">
        <v>29.010195170703657</v>
      </c>
      <c r="M326">
        <f t="shared" si="16"/>
        <v>-17.497488231712527</v>
      </c>
      <c r="N326">
        <f t="shared" si="17"/>
        <v>-18.656597978065726</v>
      </c>
      <c r="O326">
        <f t="shared" si="18"/>
        <v>-18.495341384169134</v>
      </c>
      <c r="Q326">
        <f t="shared" si="19"/>
        <v>72.520376593952562</v>
      </c>
    </row>
    <row r="327" spans="1:17" x14ac:dyDescent="0.45">
      <c r="A327">
        <v>430</v>
      </c>
      <c r="B327">
        <v>0</v>
      </c>
      <c r="C327">
        <v>0</v>
      </c>
      <c r="D327">
        <v>45.273437810872011</v>
      </c>
      <c r="E327">
        <v>33.333333333333329</v>
      </c>
      <c r="F327">
        <v>0</v>
      </c>
      <c r="G327">
        <v>0</v>
      </c>
      <c r="H327">
        <v>25</v>
      </c>
      <c r="I327">
        <v>33.333333333333329</v>
      </c>
      <c r="J327">
        <v>27.819332566168008</v>
      </c>
      <c r="K327">
        <v>0</v>
      </c>
      <c r="L327">
        <v>3.2999136069341457</v>
      </c>
      <c r="M327">
        <f t="shared" si="16"/>
        <v>-8.4091173458290687</v>
      </c>
      <c r="N327">
        <f t="shared" si="17"/>
        <v>-8.9661738641533706</v>
      </c>
      <c r="O327">
        <f t="shared" si="18"/>
        <v>-8.8886755625167115</v>
      </c>
      <c r="Q327">
        <f t="shared" si="19"/>
        <v>81.608747479836012</v>
      </c>
    </row>
    <row r="328" spans="1:17" x14ac:dyDescent="0.45">
      <c r="A328">
        <v>431</v>
      </c>
      <c r="B328">
        <v>0</v>
      </c>
      <c r="C328">
        <v>0</v>
      </c>
      <c r="D328">
        <v>44.942063689206869</v>
      </c>
      <c r="E328">
        <v>66.666666666666657</v>
      </c>
      <c r="F328">
        <v>0</v>
      </c>
      <c r="G328">
        <v>0</v>
      </c>
      <c r="H328">
        <v>25</v>
      </c>
      <c r="I328">
        <v>16.666666666666664</v>
      </c>
      <c r="J328">
        <v>5.7825086306098967</v>
      </c>
      <c r="K328">
        <v>0</v>
      </c>
      <c r="L328">
        <v>3.6530069047901681</v>
      </c>
      <c r="M328">
        <f t="shared" ref="M328:M391" si="20">D328*D$1+E328*E$1+F328*F$1+G328*G$1+H328*H$1+I328*I$1+J328*J$1+K328*K$1+L328*L$1</f>
        <v>-6.7347232348802191</v>
      </c>
      <c r="N328">
        <f t="shared" ref="N328:N391" si="21">D328*D$2+E328*E$2+F328*F$2+G328*G$2+H328*H$2+I328*I$2+J328*J$2+L328*L$2</f>
        <v>-7.1808606025506769</v>
      </c>
      <c r="O328">
        <f t="shared" ref="O328:O391" si="22">D328*D$3+E328*E$3+F328*F$3+H328*H$3+I328*I$3+J328*J$3+K328*K$3+L328*L$3</f>
        <v>-7.118793492385417</v>
      </c>
      <c r="Q328">
        <f t="shared" ref="Q328:Q391" si="23">(M328-$R$3)/($R$2-$R$3)*100</f>
        <v>83.283141590784865</v>
      </c>
    </row>
    <row r="329" spans="1:17" x14ac:dyDescent="0.45">
      <c r="A329">
        <v>432</v>
      </c>
      <c r="B329">
        <v>0</v>
      </c>
      <c r="C329">
        <v>0</v>
      </c>
      <c r="D329">
        <v>46.990045469852099</v>
      </c>
      <c r="E329">
        <v>0</v>
      </c>
      <c r="F329">
        <v>0</v>
      </c>
      <c r="G329">
        <v>100</v>
      </c>
      <c r="H329">
        <v>50</v>
      </c>
      <c r="I329">
        <v>33.333333333333329</v>
      </c>
      <c r="J329">
        <v>27.704257767548906</v>
      </c>
      <c r="K329">
        <v>0</v>
      </c>
      <c r="L329">
        <v>4.7104881287916402</v>
      </c>
      <c r="M329">
        <f t="shared" si="20"/>
        <v>-13.47718346177124</v>
      </c>
      <c r="N329">
        <f t="shared" si="21"/>
        <v>-14.369970729124089</v>
      </c>
      <c r="O329">
        <f t="shared" si="22"/>
        <v>-8.5429286648102316</v>
      </c>
      <c r="Q329">
        <f t="shared" si="23"/>
        <v>76.540681363893853</v>
      </c>
    </row>
    <row r="330" spans="1:17" x14ac:dyDescent="0.45">
      <c r="A330">
        <v>433</v>
      </c>
      <c r="B330">
        <v>0</v>
      </c>
      <c r="C330">
        <v>0</v>
      </c>
      <c r="D330">
        <v>48.744732893433032</v>
      </c>
      <c r="E330">
        <v>66.666666666666657</v>
      </c>
      <c r="F330">
        <v>0</v>
      </c>
      <c r="G330">
        <v>0</v>
      </c>
      <c r="H330">
        <v>75</v>
      </c>
      <c r="I330">
        <v>16.666666666666664</v>
      </c>
      <c r="J330">
        <v>1.8411967779056386</v>
      </c>
      <c r="K330">
        <v>0</v>
      </c>
      <c r="L330">
        <v>30.464451886459493</v>
      </c>
      <c r="M330">
        <f t="shared" si="20"/>
        <v>-16.981977778965437</v>
      </c>
      <c r="N330">
        <f t="shared" si="21"/>
        <v>-18.106937870110233</v>
      </c>
      <c r="O330">
        <f t="shared" si="22"/>
        <v>-17.95043221295537</v>
      </c>
      <c r="Q330">
        <f t="shared" si="23"/>
        <v>73.035887046699642</v>
      </c>
    </row>
    <row r="331" spans="1:17" x14ac:dyDescent="0.45">
      <c r="A331">
        <v>434</v>
      </c>
      <c r="B331">
        <v>0</v>
      </c>
      <c r="C331">
        <v>0</v>
      </c>
      <c r="D331">
        <v>52.826129837625579</v>
      </c>
      <c r="E331">
        <v>0</v>
      </c>
      <c r="F331">
        <v>0</v>
      </c>
      <c r="G331">
        <v>100</v>
      </c>
      <c r="H331">
        <v>100</v>
      </c>
      <c r="I331">
        <v>50</v>
      </c>
      <c r="J331">
        <v>22.583429228998849</v>
      </c>
      <c r="K331">
        <v>0</v>
      </c>
      <c r="L331">
        <v>16.721933324252177</v>
      </c>
      <c r="M331">
        <f t="shared" si="20"/>
        <v>-21.513734772416992</v>
      </c>
      <c r="N331">
        <f t="shared" si="21"/>
        <v>-22.938898163009863</v>
      </c>
      <c r="O331">
        <f t="shared" si="22"/>
        <v>-17.037791360153641</v>
      </c>
      <c r="Q331">
        <f t="shared" si="23"/>
        <v>68.50413005324809</v>
      </c>
    </row>
    <row r="332" spans="1:17" x14ac:dyDescent="0.45">
      <c r="A332">
        <v>435</v>
      </c>
      <c r="B332">
        <v>0</v>
      </c>
      <c r="C332">
        <v>0</v>
      </c>
      <c r="D332">
        <v>50.176252521062978</v>
      </c>
      <c r="E332">
        <v>0</v>
      </c>
      <c r="F332">
        <v>0</v>
      </c>
      <c r="G332">
        <v>100</v>
      </c>
      <c r="H332">
        <v>25</v>
      </c>
      <c r="I332">
        <v>66.666666666666657</v>
      </c>
      <c r="J332">
        <v>39.441887226697354</v>
      </c>
      <c r="K332">
        <v>66.666666666666657</v>
      </c>
      <c r="L332">
        <v>3.3692117580407048</v>
      </c>
      <c r="M332">
        <f t="shared" si="20"/>
        <v>-19.703677936659986</v>
      </c>
      <c r="N332">
        <f t="shared" si="21"/>
        <v>-16.592645242483481</v>
      </c>
      <c r="O332">
        <f t="shared" si="22"/>
        <v>-15.124509941772697</v>
      </c>
      <c r="Q332">
        <f t="shared" si="23"/>
        <v>70.314186889005086</v>
      </c>
    </row>
    <row r="333" spans="1:17" x14ac:dyDescent="0.45">
      <c r="A333">
        <v>436</v>
      </c>
      <c r="B333">
        <v>0</v>
      </c>
      <c r="C333">
        <v>0</v>
      </c>
      <c r="D333">
        <v>14.991139971407721</v>
      </c>
      <c r="E333">
        <v>0</v>
      </c>
      <c r="F333">
        <v>0</v>
      </c>
      <c r="G333">
        <v>100</v>
      </c>
      <c r="H333">
        <v>75</v>
      </c>
      <c r="I333">
        <v>50</v>
      </c>
      <c r="J333">
        <v>48.158803222094363</v>
      </c>
      <c r="K333">
        <v>66.666666666666657</v>
      </c>
      <c r="L333">
        <v>26.674541898711873</v>
      </c>
      <c r="M333">
        <f t="shared" si="20"/>
        <v>-32.834820505219568</v>
      </c>
      <c r="N333">
        <f t="shared" si="21"/>
        <v>-30.593651824118105</v>
      </c>
      <c r="O333">
        <f t="shared" si="22"/>
        <v>-29.004500106848816</v>
      </c>
      <c r="Q333">
        <f t="shared" si="23"/>
        <v>57.183044320445511</v>
      </c>
    </row>
    <row r="334" spans="1:17" x14ac:dyDescent="0.45">
      <c r="A334">
        <v>437</v>
      </c>
      <c r="B334">
        <v>1</v>
      </c>
      <c r="C334">
        <v>0</v>
      </c>
      <c r="D334">
        <v>15.290195552372118</v>
      </c>
      <c r="E334">
        <v>33.333333333333329</v>
      </c>
      <c r="F334">
        <v>0</v>
      </c>
      <c r="G334">
        <v>0</v>
      </c>
      <c r="H334">
        <v>75</v>
      </c>
      <c r="I334">
        <v>16.666666666666664</v>
      </c>
      <c r="J334">
        <v>15.161104718066742</v>
      </c>
      <c r="K334">
        <v>0</v>
      </c>
      <c r="L334">
        <v>30.182909357874955</v>
      </c>
      <c r="M334">
        <f t="shared" si="20"/>
        <v>-19.175625427436589</v>
      </c>
      <c r="N334">
        <f t="shared" si="21"/>
        <v>-20.44590228266409</v>
      </c>
      <c r="O334">
        <f t="shared" si="22"/>
        <v>-20.269180001081924</v>
      </c>
      <c r="Q334">
        <f t="shared" si="23"/>
        <v>70.8422393982285</v>
      </c>
    </row>
    <row r="335" spans="1:17" x14ac:dyDescent="0.45">
      <c r="A335">
        <v>438</v>
      </c>
      <c r="B335">
        <v>0</v>
      </c>
      <c r="C335">
        <v>0</v>
      </c>
      <c r="D335">
        <v>17.673841184751502</v>
      </c>
      <c r="E335">
        <v>100</v>
      </c>
      <c r="F335">
        <v>0</v>
      </c>
      <c r="G335">
        <v>100</v>
      </c>
      <c r="H335">
        <v>100</v>
      </c>
      <c r="I335">
        <v>50</v>
      </c>
      <c r="J335">
        <v>4.9769850402761797</v>
      </c>
      <c r="K335">
        <v>0</v>
      </c>
      <c r="L335">
        <v>56.494700101198418</v>
      </c>
      <c r="M335">
        <f t="shared" si="20"/>
        <v>-40.82409885768292</v>
      </c>
      <c r="N335">
        <f t="shared" si="21"/>
        <v>-43.528464778402011</v>
      </c>
      <c r="O335">
        <f t="shared" si="22"/>
        <v>-37.449393944477066</v>
      </c>
      <c r="Q335">
        <f t="shared" si="23"/>
        <v>49.193765967982159</v>
      </c>
    </row>
    <row r="336" spans="1:17" x14ac:dyDescent="0.45">
      <c r="A336">
        <v>439</v>
      </c>
      <c r="B336">
        <v>0</v>
      </c>
      <c r="C336">
        <v>0</v>
      </c>
      <c r="D336">
        <v>17.276344997880365</v>
      </c>
      <c r="E336">
        <v>0</v>
      </c>
      <c r="F336">
        <v>0</v>
      </c>
      <c r="G336">
        <v>100</v>
      </c>
      <c r="H336">
        <v>100</v>
      </c>
      <c r="I336">
        <v>83.333333333333343</v>
      </c>
      <c r="J336">
        <v>49.741081703107021</v>
      </c>
      <c r="K336">
        <v>66.666666666666657</v>
      </c>
      <c r="L336">
        <v>59.298213131712544</v>
      </c>
      <c r="M336">
        <f t="shared" si="20"/>
        <v>-46.594643556834328</v>
      </c>
      <c r="N336">
        <f t="shared" si="21"/>
        <v>-45.264985419189941</v>
      </c>
      <c r="O336">
        <f t="shared" si="22"/>
        <v>-43.549023375287497</v>
      </c>
      <c r="Q336">
        <f t="shared" si="23"/>
        <v>43.423221268830751</v>
      </c>
    </row>
    <row r="337" spans="1:17" x14ac:dyDescent="0.45">
      <c r="A337">
        <v>440</v>
      </c>
      <c r="B337">
        <v>0</v>
      </c>
      <c r="C337">
        <v>0</v>
      </c>
      <c r="D337">
        <v>17.245629567693079</v>
      </c>
      <c r="E337">
        <v>100</v>
      </c>
      <c r="F337">
        <v>0</v>
      </c>
      <c r="G337">
        <v>100</v>
      </c>
      <c r="H337">
        <v>100</v>
      </c>
      <c r="I337">
        <v>83.333333333333343</v>
      </c>
      <c r="J337">
        <v>20.339470655926352</v>
      </c>
      <c r="K337">
        <v>33.333333333333329</v>
      </c>
      <c r="L337">
        <v>58.84116377712823</v>
      </c>
      <c r="M337">
        <f t="shared" si="20"/>
        <v>-48.989581072260592</v>
      </c>
      <c r="N337">
        <f t="shared" si="21"/>
        <v>-50.026719037732718</v>
      </c>
      <c r="O337">
        <f t="shared" si="22"/>
        <v>-46.080540262453155</v>
      </c>
      <c r="Q337">
        <f t="shared" si="23"/>
        <v>41.028283753404487</v>
      </c>
    </row>
    <row r="338" spans="1:17" x14ac:dyDescent="0.45">
      <c r="A338">
        <v>441</v>
      </c>
      <c r="B338">
        <v>0</v>
      </c>
      <c r="C338">
        <v>0</v>
      </c>
      <c r="D338">
        <v>19.247746661367845</v>
      </c>
      <c r="E338">
        <v>0</v>
      </c>
      <c r="F338">
        <v>0</v>
      </c>
      <c r="G338">
        <v>0</v>
      </c>
      <c r="H338">
        <v>100</v>
      </c>
      <c r="I338">
        <v>16.666666666666664</v>
      </c>
      <c r="J338">
        <v>47.986191024165706</v>
      </c>
      <c r="K338">
        <v>100</v>
      </c>
      <c r="L338">
        <v>43.990996432449521</v>
      </c>
      <c r="M338">
        <f t="shared" si="20"/>
        <v>-32.06132241100498</v>
      </c>
      <c r="N338">
        <f t="shared" si="21"/>
        <v>-27.560768828404026</v>
      </c>
      <c r="O338">
        <f t="shared" si="22"/>
        <v>-33.88972722066022</v>
      </c>
      <c r="Q338">
        <f t="shared" si="23"/>
        <v>57.956542414660092</v>
      </c>
    </row>
    <row r="339" spans="1:17" x14ac:dyDescent="0.45">
      <c r="A339">
        <v>442</v>
      </c>
      <c r="B339">
        <v>0</v>
      </c>
      <c r="C339">
        <v>0</v>
      </c>
      <c r="D339">
        <v>18.950616806280056</v>
      </c>
      <c r="E339">
        <v>100</v>
      </c>
      <c r="F339">
        <v>0</v>
      </c>
      <c r="G339">
        <v>100</v>
      </c>
      <c r="H339">
        <v>100</v>
      </c>
      <c r="I339">
        <v>50</v>
      </c>
      <c r="J339">
        <v>6.2140391254315306</v>
      </c>
      <c r="K339">
        <v>0</v>
      </c>
      <c r="L339">
        <v>50.100837502185129</v>
      </c>
      <c r="M339">
        <f t="shared" si="20"/>
        <v>-39.290568583627433</v>
      </c>
      <c r="N339">
        <f t="shared" si="21"/>
        <v>-41.893346787101265</v>
      </c>
      <c r="O339">
        <f t="shared" si="22"/>
        <v>-35.828408945601097</v>
      </c>
      <c r="Q339">
        <f t="shared" si="23"/>
        <v>50.727296242037646</v>
      </c>
    </row>
    <row r="340" spans="1:17" x14ac:dyDescent="0.45">
      <c r="A340">
        <v>443</v>
      </c>
      <c r="B340">
        <v>0</v>
      </c>
      <c r="C340">
        <v>0</v>
      </c>
      <c r="D340">
        <v>18.710598160807219</v>
      </c>
      <c r="E340">
        <v>100</v>
      </c>
      <c r="F340">
        <v>0</v>
      </c>
      <c r="G340">
        <v>100</v>
      </c>
      <c r="H340">
        <v>100</v>
      </c>
      <c r="I340">
        <v>33.333333333333329</v>
      </c>
      <c r="J340">
        <v>12.485615650172614</v>
      </c>
      <c r="K340">
        <v>66.666666666666657</v>
      </c>
      <c r="L340">
        <v>50.100837502185129</v>
      </c>
      <c r="M340">
        <f t="shared" si="20"/>
        <v>-42.493099833578761</v>
      </c>
      <c r="N340">
        <f t="shared" si="21"/>
        <v>-40.891737595222203</v>
      </c>
      <c r="O340">
        <f t="shared" si="22"/>
        <v>-39.213575317878906</v>
      </c>
      <c r="Q340">
        <f t="shared" si="23"/>
        <v>47.524764992086318</v>
      </c>
    </row>
    <row r="341" spans="1:17" x14ac:dyDescent="0.45">
      <c r="A341">
        <v>444</v>
      </c>
      <c r="B341">
        <v>0</v>
      </c>
      <c r="C341">
        <v>0</v>
      </c>
      <c r="D341">
        <v>17.714091547214032</v>
      </c>
      <c r="E341">
        <v>0</v>
      </c>
      <c r="F341">
        <v>0</v>
      </c>
      <c r="G341">
        <v>100</v>
      </c>
      <c r="H341">
        <v>100</v>
      </c>
      <c r="I341">
        <v>33.333333333333329</v>
      </c>
      <c r="J341">
        <v>50.287686996547755</v>
      </c>
      <c r="K341">
        <v>33.333333333333329</v>
      </c>
      <c r="L341">
        <v>50.452958242594143</v>
      </c>
      <c r="M341">
        <f t="shared" si="20"/>
        <v>-37.102186328322254</v>
      </c>
      <c r="N341">
        <f t="shared" si="21"/>
        <v>-37.351851547764817</v>
      </c>
      <c r="O341">
        <f t="shared" si="22"/>
        <v>-33.515226827405975</v>
      </c>
      <c r="Q341">
        <f t="shared" si="23"/>
        <v>52.915678497342824</v>
      </c>
    </row>
    <row r="342" spans="1:17" x14ac:dyDescent="0.45">
      <c r="A342">
        <v>445</v>
      </c>
      <c r="B342">
        <v>0</v>
      </c>
      <c r="C342">
        <v>0</v>
      </c>
      <c r="D342">
        <v>19.279411893525179</v>
      </c>
      <c r="E342">
        <v>0</v>
      </c>
      <c r="F342">
        <v>0</v>
      </c>
      <c r="G342">
        <v>0</v>
      </c>
      <c r="H342">
        <v>75</v>
      </c>
      <c r="I342">
        <v>16.666666666666664</v>
      </c>
      <c r="J342">
        <v>1.4096662830840045</v>
      </c>
      <c r="K342">
        <v>0</v>
      </c>
      <c r="L342">
        <v>33.040691331227528</v>
      </c>
      <c r="M342">
        <f t="shared" si="20"/>
        <v>-14.954113779887781</v>
      </c>
      <c r="N342">
        <f t="shared" si="21"/>
        <v>-15.944739337156475</v>
      </c>
      <c r="O342">
        <f t="shared" si="22"/>
        <v>-15.806922444757241</v>
      </c>
      <c r="Q342">
        <f t="shared" si="23"/>
        <v>75.063751045777309</v>
      </c>
    </row>
    <row r="343" spans="1:17" x14ac:dyDescent="0.45">
      <c r="A343">
        <v>446</v>
      </c>
      <c r="B343">
        <v>0</v>
      </c>
      <c r="C343">
        <v>0</v>
      </c>
      <c r="D343">
        <v>25.888686196232889</v>
      </c>
      <c r="E343">
        <v>33.333333333333329</v>
      </c>
      <c r="F343">
        <v>0</v>
      </c>
      <c r="G343">
        <v>100</v>
      </c>
      <c r="H343">
        <v>75</v>
      </c>
      <c r="I343">
        <v>33.333333333333329</v>
      </c>
      <c r="J343">
        <v>6.1852704257767552</v>
      </c>
      <c r="K343">
        <v>0</v>
      </c>
      <c r="L343">
        <v>11.525389052285627</v>
      </c>
      <c r="M343">
        <f t="shared" si="20"/>
        <v>-19.569641764790166</v>
      </c>
      <c r="N343">
        <f t="shared" si="21"/>
        <v>-20.866019976440999</v>
      </c>
      <c r="O343">
        <f t="shared" si="22"/>
        <v>-14.982829906116699</v>
      </c>
      <c r="Q343">
        <f t="shared" si="23"/>
        <v>70.448223060874909</v>
      </c>
    </row>
    <row r="344" spans="1:17" x14ac:dyDescent="0.45">
      <c r="A344">
        <v>447</v>
      </c>
      <c r="B344">
        <v>0</v>
      </c>
      <c r="C344">
        <v>0</v>
      </c>
      <c r="D344">
        <v>26.426426427230453</v>
      </c>
      <c r="E344">
        <v>66.666666666666657</v>
      </c>
      <c r="F344">
        <v>0</v>
      </c>
      <c r="G344">
        <v>100</v>
      </c>
      <c r="H344">
        <v>75</v>
      </c>
      <c r="I344">
        <v>33.333333333333329</v>
      </c>
      <c r="J344">
        <v>15.304948216340621</v>
      </c>
      <c r="K344">
        <v>0</v>
      </c>
      <c r="L344">
        <v>9.9867083418973337</v>
      </c>
      <c r="M344">
        <f t="shared" si="20"/>
        <v>-23.072385195135311</v>
      </c>
      <c r="N344">
        <f t="shared" si="21"/>
        <v>-24.60080037091047</v>
      </c>
      <c r="O344">
        <f t="shared" si="22"/>
        <v>-18.685329068709276</v>
      </c>
      <c r="Q344">
        <f t="shared" si="23"/>
        <v>66.945479630529775</v>
      </c>
    </row>
    <row r="345" spans="1:17" x14ac:dyDescent="0.45">
      <c r="A345">
        <v>449</v>
      </c>
      <c r="B345">
        <v>1</v>
      </c>
      <c r="C345">
        <v>0</v>
      </c>
      <c r="D345">
        <v>26.259079129008335</v>
      </c>
      <c r="E345">
        <v>66.666666666666657</v>
      </c>
      <c r="F345">
        <v>0</v>
      </c>
      <c r="G345">
        <v>100</v>
      </c>
      <c r="H345">
        <v>75</v>
      </c>
      <c r="I345">
        <v>50</v>
      </c>
      <c r="J345">
        <v>7.7387802071346377</v>
      </c>
      <c r="K345">
        <v>0</v>
      </c>
      <c r="L345">
        <v>12.012602084953903</v>
      </c>
      <c r="M345">
        <f t="shared" si="20"/>
        <v>-24.383075650675824</v>
      </c>
      <c r="N345">
        <f t="shared" si="21"/>
        <v>-25.998316664614183</v>
      </c>
      <c r="O345">
        <f t="shared" si="22"/>
        <v>-20.070766058474373</v>
      </c>
      <c r="Q345">
        <f t="shared" si="23"/>
        <v>65.634789174989265</v>
      </c>
    </row>
    <row r="346" spans="1:17" x14ac:dyDescent="0.45">
      <c r="A346">
        <v>450</v>
      </c>
      <c r="B346">
        <v>0</v>
      </c>
      <c r="C346">
        <v>1</v>
      </c>
      <c r="D346">
        <v>41.080655852422382</v>
      </c>
      <c r="E346">
        <v>33.333333333333329</v>
      </c>
      <c r="F346">
        <v>0</v>
      </c>
      <c r="G346">
        <v>100</v>
      </c>
      <c r="H346">
        <v>25</v>
      </c>
      <c r="I346">
        <v>50</v>
      </c>
      <c r="J346">
        <v>24.453394706559266</v>
      </c>
      <c r="K346">
        <v>66.666666666666657</v>
      </c>
      <c r="L346">
        <v>15.876306912368831</v>
      </c>
      <c r="M346">
        <f t="shared" si="20"/>
        <v>-22.773176162073348</v>
      </c>
      <c r="N346">
        <f t="shared" si="21"/>
        <v>-19.865480384737406</v>
      </c>
      <c r="O346">
        <f t="shared" si="22"/>
        <v>-18.369056633578932</v>
      </c>
      <c r="Q346">
        <f t="shared" si="23"/>
        <v>67.244688663591717</v>
      </c>
    </row>
    <row r="347" spans="1:17" x14ac:dyDescent="0.45">
      <c r="A347">
        <v>451</v>
      </c>
      <c r="B347">
        <v>0</v>
      </c>
      <c r="C347">
        <v>1</v>
      </c>
      <c r="D347">
        <v>41.434290435829602</v>
      </c>
      <c r="E347">
        <v>33.333333333333329</v>
      </c>
      <c r="F347">
        <v>0</v>
      </c>
      <c r="G347">
        <v>0</v>
      </c>
      <c r="H347">
        <v>100</v>
      </c>
      <c r="I347">
        <v>16.666666666666664</v>
      </c>
      <c r="J347">
        <v>9.2059838895281931</v>
      </c>
      <c r="K347">
        <v>0</v>
      </c>
      <c r="L347">
        <v>6.5027052898631368</v>
      </c>
      <c r="M347">
        <f t="shared" si="20"/>
        <v>-12.303506549076044</v>
      </c>
      <c r="N347">
        <f t="shared" si="21"/>
        <v>-13.118544351445161</v>
      </c>
      <c r="O347">
        <f t="shared" si="22"/>
        <v>-13.005155416255448</v>
      </c>
      <c r="Q347">
        <f t="shared" si="23"/>
        <v>77.714358276589039</v>
      </c>
    </row>
    <row r="348" spans="1:17" x14ac:dyDescent="0.45">
      <c r="A348">
        <v>452</v>
      </c>
      <c r="B348">
        <v>0</v>
      </c>
      <c r="C348">
        <v>1</v>
      </c>
      <c r="D348">
        <v>60.656899096387754</v>
      </c>
      <c r="E348">
        <v>66.666666666666657</v>
      </c>
      <c r="F348">
        <v>0</v>
      </c>
      <c r="G348">
        <v>0</v>
      </c>
      <c r="H348">
        <v>100</v>
      </c>
      <c r="I348">
        <v>83.333333333333343</v>
      </c>
      <c r="J348">
        <v>17.951668584579977</v>
      </c>
      <c r="K348">
        <v>66.666666666666657</v>
      </c>
      <c r="L348">
        <v>18.487303052334468</v>
      </c>
      <c r="M348">
        <f t="shared" si="20"/>
        <v>-28.388185817699878</v>
      </c>
      <c r="N348">
        <f t="shared" si="21"/>
        <v>-25.852452709034758</v>
      </c>
      <c r="O348">
        <f t="shared" si="22"/>
        <v>-30.007117651548768</v>
      </c>
      <c r="Q348">
        <f t="shared" si="23"/>
        <v>61.629679007965201</v>
      </c>
    </row>
    <row r="349" spans="1:17" x14ac:dyDescent="0.45">
      <c r="A349">
        <v>453</v>
      </c>
      <c r="B349">
        <v>0</v>
      </c>
      <c r="C349">
        <v>0</v>
      </c>
      <c r="D349">
        <v>62.403900449836868</v>
      </c>
      <c r="E349">
        <v>0</v>
      </c>
      <c r="F349">
        <v>0</v>
      </c>
      <c r="G349">
        <v>100</v>
      </c>
      <c r="H349">
        <v>75</v>
      </c>
      <c r="I349">
        <v>16.666666666666664</v>
      </c>
      <c r="J349">
        <v>28.711162255466053</v>
      </c>
      <c r="K349">
        <v>33.333333333333329</v>
      </c>
      <c r="L349">
        <v>16.746540023686006</v>
      </c>
      <c r="M349">
        <f t="shared" si="20"/>
        <v>-17.605457831228655</v>
      </c>
      <c r="N349">
        <f t="shared" si="21"/>
        <v>-16.563574931094539</v>
      </c>
      <c r="O349">
        <f t="shared" si="22"/>
        <v>-12.906631773479649</v>
      </c>
      <c r="Q349">
        <f t="shared" si="23"/>
        <v>72.412406994436424</v>
      </c>
    </row>
    <row r="350" spans="1:17" x14ac:dyDescent="0.45">
      <c r="A350">
        <v>454</v>
      </c>
      <c r="B350">
        <v>0</v>
      </c>
      <c r="C350">
        <v>0</v>
      </c>
      <c r="D350">
        <v>63.077338893656666</v>
      </c>
      <c r="E350">
        <v>0</v>
      </c>
      <c r="F350">
        <v>0</v>
      </c>
      <c r="G350">
        <v>100</v>
      </c>
      <c r="H350">
        <v>75</v>
      </c>
      <c r="I350">
        <v>16.666666666666664</v>
      </c>
      <c r="J350">
        <v>100</v>
      </c>
      <c r="K350">
        <v>100</v>
      </c>
      <c r="L350">
        <v>14.637208029877776</v>
      </c>
      <c r="M350">
        <f t="shared" si="20"/>
        <v>-30.23667295863148</v>
      </c>
      <c r="N350">
        <f t="shared" si="21"/>
        <v>-25.615246657848552</v>
      </c>
      <c r="O350">
        <f t="shared" si="22"/>
        <v>-26.258184452611339</v>
      </c>
      <c r="Q350">
        <f t="shared" si="23"/>
        <v>59.781191867033598</v>
      </c>
    </row>
    <row r="351" spans="1:17" x14ac:dyDescent="0.45">
      <c r="A351">
        <v>455</v>
      </c>
      <c r="B351">
        <v>0</v>
      </c>
      <c r="C351">
        <v>0</v>
      </c>
      <c r="D351">
        <v>63.304525429231425</v>
      </c>
      <c r="E351">
        <v>0</v>
      </c>
      <c r="F351">
        <v>0</v>
      </c>
      <c r="G351">
        <v>100</v>
      </c>
      <c r="H351">
        <v>75</v>
      </c>
      <c r="I351">
        <v>16.666666666666664</v>
      </c>
      <c r="J351">
        <v>82.738780207134639</v>
      </c>
      <c r="K351">
        <v>100</v>
      </c>
      <c r="L351">
        <v>19.503254601940146</v>
      </c>
      <c r="M351">
        <f t="shared" si="20"/>
        <v>-29.207214112648437</v>
      </c>
      <c r="N351">
        <f t="shared" si="21"/>
        <v>-24.517591979066729</v>
      </c>
      <c r="O351">
        <f t="shared" si="22"/>
        <v>-25.170017251395528</v>
      </c>
      <c r="Q351">
        <f t="shared" si="23"/>
        <v>60.810650713016642</v>
      </c>
    </row>
    <row r="352" spans="1:17" x14ac:dyDescent="0.45">
      <c r="A352">
        <v>456</v>
      </c>
      <c r="B352">
        <v>0</v>
      </c>
      <c r="C352">
        <v>0</v>
      </c>
      <c r="D352">
        <v>63.304525429231425</v>
      </c>
      <c r="E352">
        <v>0</v>
      </c>
      <c r="F352">
        <v>0</v>
      </c>
      <c r="G352">
        <v>100</v>
      </c>
      <c r="H352">
        <v>75</v>
      </c>
      <c r="I352">
        <v>16.666666666666664</v>
      </c>
      <c r="J352">
        <v>84.292289988492513</v>
      </c>
      <c r="K352">
        <v>33.333333333333329</v>
      </c>
      <c r="L352">
        <v>19.503254601940146</v>
      </c>
      <c r="M352">
        <f t="shared" si="20"/>
        <v>-25.263004389686493</v>
      </c>
      <c r="N352">
        <f t="shared" si="21"/>
        <v>-24.728390689080975</v>
      </c>
      <c r="O352">
        <f t="shared" si="22"/>
        <v>-21.000875695139115</v>
      </c>
      <c r="Q352">
        <f t="shared" si="23"/>
        <v>64.754860435978571</v>
      </c>
    </row>
    <row r="353" spans="1:17" x14ac:dyDescent="0.45">
      <c r="A353">
        <v>457</v>
      </c>
      <c r="B353">
        <v>0</v>
      </c>
      <c r="C353">
        <v>0</v>
      </c>
      <c r="D353">
        <v>63.920077775080422</v>
      </c>
      <c r="E353">
        <v>0</v>
      </c>
      <c r="F353">
        <v>0</v>
      </c>
      <c r="G353">
        <v>100</v>
      </c>
      <c r="H353">
        <v>75</v>
      </c>
      <c r="I353">
        <v>16.666666666666664</v>
      </c>
      <c r="J353">
        <v>83.975834292289989</v>
      </c>
      <c r="K353">
        <v>33.333333333333329</v>
      </c>
      <c r="L353">
        <v>10.779588354867865</v>
      </c>
      <c r="M353">
        <f t="shared" si="20"/>
        <v>-23.02806244005491</v>
      </c>
      <c r="N353">
        <f t="shared" si="21"/>
        <v>-22.345396461199734</v>
      </c>
      <c r="O353">
        <f t="shared" si="22"/>
        <v>-18.638478659356629</v>
      </c>
      <c r="Q353">
        <f t="shared" si="23"/>
        <v>66.989802385610176</v>
      </c>
    </row>
    <row r="354" spans="1:17" x14ac:dyDescent="0.45">
      <c r="A354">
        <v>458</v>
      </c>
      <c r="B354">
        <v>0</v>
      </c>
      <c r="C354">
        <v>0</v>
      </c>
      <c r="D354">
        <v>63.077338893656666</v>
      </c>
      <c r="E354">
        <v>0</v>
      </c>
      <c r="F354">
        <v>0</v>
      </c>
      <c r="G354">
        <v>100</v>
      </c>
      <c r="H354">
        <v>75</v>
      </c>
      <c r="I354">
        <v>16.666666666666664</v>
      </c>
      <c r="J354">
        <v>39.06789413118527</v>
      </c>
      <c r="K354">
        <v>66.666666666666657</v>
      </c>
      <c r="L354">
        <v>18.312650440805921</v>
      </c>
      <c r="M354">
        <f t="shared" si="20"/>
        <v>-21.310169592455658</v>
      </c>
      <c r="N354">
        <f t="shared" si="21"/>
        <v>-18.305557894882142</v>
      </c>
      <c r="O354">
        <f t="shared" si="22"/>
        <v>-16.822617190726799</v>
      </c>
      <c r="Q354">
        <f t="shared" si="23"/>
        <v>68.707695233209435</v>
      </c>
    </row>
    <row r="355" spans="1:17" x14ac:dyDescent="0.45">
      <c r="A355">
        <v>459</v>
      </c>
      <c r="B355">
        <v>0</v>
      </c>
      <c r="C355">
        <v>0</v>
      </c>
      <c r="D355">
        <v>63.308917226889719</v>
      </c>
      <c r="E355">
        <v>0</v>
      </c>
      <c r="F355">
        <v>0</v>
      </c>
      <c r="G355">
        <v>100</v>
      </c>
      <c r="H355">
        <v>75</v>
      </c>
      <c r="I355">
        <v>16.666666666666664</v>
      </c>
      <c r="J355">
        <v>30.868814729574222</v>
      </c>
      <c r="K355">
        <v>66.666666666666657</v>
      </c>
      <c r="L355">
        <v>15.996331637852972</v>
      </c>
      <c r="M355">
        <f t="shared" si="20"/>
        <v>-19.677209242054577</v>
      </c>
      <c r="N355">
        <f t="shared" si="21"/>
        <v>-16.564423146390723</v>
      </c>
      <c r="O355">
        <f t="shared" si="22"/>
        <v>-15.096531780779676</v>
      </c>
      <c r="Q355">
        <f t="shared" si="23"/>
        <v>70.340655583610513</v>
      </c>
    </row>
    <row r="356" spans="1:17" x14ac:dyDescent="0.45">
      <c r="A356">
        <v>460</v>
      </c>
      <c r="B356">
        <v>0</v>
      </c>
      <c r="C356">
        <v>0</v>
      </c>
      <c r="D356">
        <v>64.61285881093697</v>
      </c>
      <c r="E356">
        <v>100</v>
      </c>
      <c r="F356">
        <v>0</v>
      </c>
      <c r="G356">
        <v>100</v>
      </c>
      <c r="H356">
        <v>75</v>
      </c>
      <c r="I356">
        <v>33.333333333333329</v>
      </c>
      <c r="J356">
        <v>38.319907940161102</v>
      </c>
      <c r="K356">
        <v>33.333333333333329</v>
      </c>
      <c r="L356">
        <v>15.657511177295419</v>
      </c>
      <c r="M356">
        <f t="shared" si="20"/>
        <v>-28.419232757643389</v>
      </c>
      <c r="N356">
        <f t="shared" si="21"/>
        <v>-28.093701355855178</v>
      </c>
      <c r="O356">
        <f t="shared" si="22"/>
        <v>-24.337098607749031</v>
      </c>
      <c r="Q356">
        <f t="shared" si="23"/>
        <v>61.598632068021701</v>
      </c>
    </row>
    <row r="357" spans="1:17" x14ac:dyDescent="0.45">
      <c r="A357">
        <v>461</v>
      </c>
      <c r="B357">
        <v>0</v>
      </c>
      <c r="C357">
        <v>1</v>
      </c>
      <c r="D357">
        <v>20.520291449959593</v>
      </c>
      <c r="E357">
        <v>66.666666666666657</v>
      </c>
      <c r="F357">
        <v>0</v>
      </c>
      <c r="G357">
        <v>100</v>
      </c>
      <c r="H357">
        <v>75</v>
      </c>
      <c r="I357">
        <v>83.333333333333343</v>
      </c>
      <c r="J357">
        <v>13.434982738780207</v>
      </c>
      <c r="K357">
        <v>0</v>
      </c>
      <c r="L357">
        <v>6.7231712061805498</v>
      </c>
      <c r="M357">
        <f t="shared" si="20"/>
        <v>-27.9103366754699</v>
      </c>
      <c r="N357">
        <f t="shared" si="21"/>
        <v>-29.759238805656963</v>
      </c>
      <c r="O357">
        <f t="shared" si="22"/>
        <v>-23.799181013850838</v>
      </c>
      <c r="Q357">
        <f t="shared" si="23"/>
        <v>62.107528150195179</v>
      </c>
    </row>
    <row r="358" spans="1:17" x14ac:dyDescent="0.45">
      <c r="A358">
        <v>462</v>
      </c>
      <c r="B358">
        <v>0</v>
      </c>
      <c r="C358">
        <v>0</v>
      </c>
      <c r="D358">
        <v>24.478260810066498</v>
      </c>
      <c r="E358">
        <v>66.666666666666657</v>
      </c>
      <c r="F358">
        <v>0</v>
      </c>
      <c r="G358">
        <v>100</v>
      </c>
      <c r="H358">
        <v>75</v>
      </c>
      <c r="I358">
        <v>16.666666666666664</v>
      </c>
      <c r="J358">
        <v>14.211737629459147</v>
      </c>
      <c r="K358">
        <v>33.333333333333329</v>
      </c>
      <c r="L358">
        <v>34.194035543348875</v>
      </c>
      <c r="M358">
        <f t="shared" si="20"/>
        <v>-29.356705535949239</v>
      </c>
      <c r="N358">
        <f t="shared" si="21"/>
        <v>-29.09327640963539</v>
      </c>
      <c r="O358">
        <f t="shared" si="22"/>
        <v>-25.328033926208462</v>
      </c>
      <c r="Q358">
        <f t="shared" si="23"/>
        <v>60.66115928971584</v>
      </c>
    </row>
    <row r="359" spans="1:17" x14ac:dyDescent="0.45">
      <c r="A359">
        <v>465</v>
      </c>
      <c r="B359">
        <v>0</v>
      </c>
      <c r="C359">
        <v>0</v>
      </c>
      <c r="D359">
        <v>26.719029900334306</v>
      </c>
      <c r="E359">
        <v>66.666666666666657</v>
      </c>
      <c r="F359">
        <v>0</v>
      </c>
      <c r="G359">
        <v>0</v>
      </c>
      <c r="H359">
        <v>25</v>
      </c>
      <c r="I359">
        <v>66.666666666666657</v>
      </c>
      <c r="J359">
        <v>51.985040276179518</v>
      </c>
      <c r="K359">
        <v>0</v>
      </c>
      <c r="L359">
        <v>24.834571110755885</v>
      </c>
      <c r="M359">
        <f t="shared" si="20"/>
        <v>-24.897578070464249</v>
      </c>
      <c r="N359">
        <f t="shared" si="21"/>
        <v>-26.546901963122203</v>
      </c>
      <c r="O359">
        <f t="shared" si="22"/>
        <v>-26.317446250236454</v>
      </c>
      <c r="Q359">
        <f t="shared" si="23"/>
        <v>65.120286755200823</v>
      </c>
    </row>
    <row r="360" spans="1:17" x14ac:dyDescent="0.45">
      <c r="A360">
        <v>467</v>
      </c>
      <c r="B360">
        <v>0</v>
      </c>
      <c r="C360">
        <v>0</v>
      </c>
      <c r="D360">
        <v>27.073032296468387</v>
      </c>
      <c r="E360">
        <v>66.666666666666657</v>
      </c>
      <c r="F360">
        <v>0</v>
      </c>
      <c r="G360">
        <v>0</v>
      </c>
      <c r="H360">
        <v>75</v>
      </c>
      <c r="I360">
        <v>33.333333333333329</v>
      </c>
      <c r="J360">
        <v>5.178365937859609</v>
      </c>
      <c r="K360">
        <v>0</v>
      </c>
      <c r="L360">
        <v>39.258445661281023</v>
      </c>
      <c r="M360">
        <f t="shared" si="20"/>
        <v>-23.481861073839781</v>
      </c>
      <c r="N360">
        <f t="shared" si="21"/>
        <v>-25.03740171331679</v>
      </c>
      <c r="O360">
        <f t="shared" si="22"/>
        <v>-24.820993227425792</v>
      </c>
      <c r="Q360">
        <f t="shared" si="23"/>
        <v>66.536003751825305</v>
      </c>
    </row>
    <row r="361" spans="1:17" x14ac:dyDescent="0.45">
      <c r="A361">
        <v>468</v>
      </c>
      <c r="B361">
        <v>0</v>
      </c>
      <c r="C361">
        <v>1</v>
      </c>
      <c r="D361">
        <v>26.242456899848836</v>
      </c>
      <c r="E361">
        <v>0</v>
      </c>
      <c r="F361">
        <v>0</v>
      </c>
      <c r="G361">
        <v>0</v>
      </c>
      <c r="H361">
        <v>25</v>
      </c>
      <c r="I361">
        <v>16.666666666666664</v>
      </c>
      <c r="J361">
        <v>12.802071346375143</v>
      </c>
      <c r="K361">
        <v>0</v>
      </c>
      <c r="L361">
        <v>0.66126169423447134</v>
      </c>
      <c r="M361">
        <f t="shared" si="20"/>
        <v>-3.2188929341125068</v>
      </c>
      <c r="N361">
        <f t="shared" si="21"/>
        <v>-3.4321264064251262</v>
      </c>
      <c r="O361">
        <f t="shared" si="22"/>
        <v>-3.4024611365418731</v>
      </c>
      <c r="Q361">
        <f t="shared" si="23"/>
        <v>86.798971891552583</v>
      </c>
    </row>
    <row r="362" spans="1:17" x14ac:dyDescent="0.45">
      <c r="A362">
        <v>469</v>
      </c>
      <c r="B362">
        <v>0</v>
      </c>
      <c r="C362">
        <v>1</v>
      </c>
      <c r="D362">
        <v>25.924965986583793</v>
      </c>
      <c r="E362">
        <v>0</v>
      </c>
      <c r="F362">
        <v>0</v>
      </c>
      <c r="G362">
        <v>0</v>
      </c>
      <c r="H362">
        <v>25</v>
      </c>
      <c r="I362">
        <v>16.666666666666664</v>
      </c>
      <c r="J362">
        <v>10.989643268124281</v>
      </c>
      <c r="K362">
        <v>0</v>
      </c>
      <c r="L362">
        <v>0.66126169423447134</v>
      </c>
      <c r="M362">
        <f t="shared" si="20"/>
        <v>-3.0199328969743764</v>
      </c>
      <c r="N362">
        <f t="shared" si="21"/>
        <v>-3.2199863908165081</v>
      </c>
      <c r="O362">
        <f t="shared" si="22"/>
        <v>-3.1921547337058751</v>
      </c>
      <c r="Q362">
        <f t="shared" si="23"/>
        <v>86.99793192869069</v>
      </c>
    </row>
    <row r="363" spans="1:17" x14ac:dyDescent="0.45">
      <c r="A363">
        <v>470</v>
      </c>
      <c r="B363">
        <v>0</v>
      </c>
      <c r="C363">
        <v>1</v>
      </c>
      <c r="D363">
        <v>25.825719233093565</v>
      </c>
      <c r="E363">
        <v>0</v>
      </c>
      <c r="F363">
        <v>0</v>
      </c>
      <c r="G363">
        <v>0</v>
      </c>
      <c r="H363">
        <v>25</v>
      </c>
      <c r="I363">
        <v>16.666666666666664</v>
      </c>
      <c r="J363">
        <v>3.9413118527042581</v>
      </c>
      <c r="K363">
        <v>0</v>
      </c>
      <c r="L363">
        <v>0.79223506023372336</v>
      </c>
      <c r="M363">
        <f t="shared" si="20"/>
        <v>-2.164885556993466</v>
      </c>
      <c r="N363">
        <f t="shared" si="21"/>
        <v>-2.3082969950021774</v>
      </c>
      <c r="O363">
        <f t="shared" si="22"/>
        <v>-2.2883454415864146</v>
      </c>
      <c r="Q363">
        <f t="shared" si="23"/>
        <v>87.852979268671618</v>
      </c>
    </row>
    <row r="364" spans="1:17" x14ac:dyDescent="0.45">
      <c r="A364">
        <v>471</v>
      </c>
      <c r="B364">
        <v>0</v>
      </c>
      <c r="C364">
        <v>1</v>
      </c>
      <c r="D364">
        <v>26.456144715811426</v>
      </c>
      <c r="E364">
        <v>0</v>
      </c>
      <c r="F364">
        <v>0</v>
      </c>
      <c r="G364">
        <v>0</v>
      </c>
      <c r="H364">
        <v>25</v>
      </c>
      <c r="I364">
        <v>16.666666666666664</v>
      </c>
      <c r="J364">
        <v>19.907940161104719</v>
      </c>
      <c r="K364">
        <v>0</v>
      </c>
      <c r="L364">
        <v>1.8390773756551857</v>
      </c>
      <c r="M364">
        <f t="shared" si="20"/>
        <v>-4.3898809875431066</v>
      </c>
      <c r="N364">
        <f t="shared" si="21"/>
        <v>-4.6806858031034153</v>
      </c>
      <c r="O364">
        <f t="shared" si="22"/>
        <v>-4.6402287245623004</v>
      </c>
      <c r="Q364">
        <f t="shared" si="23"/>
        <v>85.627983838121978</v>
      </c>
    </row>
    <row r="365" spans="1:17" x14ac:dyDescent="0.45">
      <c r="A365">
        <v>472</v>
      </c>
      <c r="B365">
        <v>0</v>
      </c>
      <c r="C365">
        <v>1</v>
      </c>
      <c r="D365">
        <v>26.081688376522621</v>
      </c>
      <c r="E365">
        <v>0</v>
      </c>
      <c r="F365">
        <v>0</v>
      </c>
      <c r="G365">
        <v>0</v>
      </c>
      <c r="H365">
        <v>25</v>
      </c>
      <c r="I365">
        <v>16.666666666666664</v>
      </c>
      <c r="J365">
        <v>31.271576524741079</v>
      </c>
      <c r="K365">
        <v>0</v>
      </c>
      <c r="L365">
        <v>1.6623145995767792</v>
      </c>
      <c r="M365">
        <f t="shared" si="20"/>
        <v>-5.830189393024626</v>
      </c>
      <c r="N365">
        <f t="shared" si="21"/>
        <v>-6.2164065036777991</v>
      </c>
      <c r="O365">
        <f t="shared" si="22"/>
        <v>-6.1626755640800086</v>
      </c>
      <c r="Q365">
        <f t="shared" si="23"/>
        <v>84.187675432640461</v>
      </c>
    </row>
    <row r="366" spans="1:17" x14ac:dyDescent="0.45">
      <c r="A366">
        <v>473</v>
      </c>
      <c r="B366">
        <v>0</v>
      </c>
      <c r="C366">
        <v>1</v>
      </c>
      <c r="D366">
        <v>26.081688376522621</v>
      </c>
      <c r="E366">
        <v>0</v>
      </c>
      <c r="F366">
        <v>0</v>
      </c>
      <c r="G366">
        <v>0</v>
      </c>
      <c r="H366">
        <v>25</v>
      </c>
      <c r="I366">
        <v>16.666666666666664</v>
      </c>
      <c r="J366">
        <v>17.635212888377445</v>
      </c>
      <c r="K366">
        <v>0</v>
      </c>
      <c r="L366">
        <v>1.6623145995767792</v>
      </c>
      <c r="M366">
        <f t="shared" si="20"/>
        <v>-4.0948045994958981</v>
      </c>
      <c r="N366">
        <f t="shared" si="21"/>
        <v>-4.3660622713304953</v>
      </c>
      <c r="O366">
        <f t="shared" si="22"/>
        <v>-4.3283246124366856</v>
      </c>
      <c r="Q366">
        <f t="shared" si="23"/>
        <v>85.923060226169184</v>
      </c>
    </row>
    <row r="367" spans="1:17" x14ac:dyDescent="0.45">
      <c r="A367">
        <v>474</v>
      </c>
      <c r="B367">
        <v>0</v>
      </c>
      <c r="C367">
        <v>0</v>
      </c>
      <c r="D367">
        <v>32.134259785390725</v>
      </c>
      <c r="E367">
        <v>66.666666666666657</v>
      </c>
      <c r="F367">
        <v>0</v>
      </c>
      <c r="G367">
        <v>100</v>
      </c>
      <c r="H367">
        <v>100</v>
      </c>
      <c r="I367">
        <v>83.333333333333343</v>
      </c>
      <c r="J367">
        <v>11.104718066743382</v>
      </c>
      <c r="K367">
        <v>0</v>
      </c>
      <c r="L367">
        <v>53.95225577323928</v>
      </c>
      <c r="M367">
        <f t="shared" si="20"/>
        <v>-40.28959862473593</v>
      </c>
      <c r="N367">
        <f t="shared" si="21"/>
        <v>-42.958556924587818</v>
      </c>
      <c r="O367">
        <f t="shared" si="22"/>
        <v>-36.88441203693931</v>
      </c>
      <c r="Q367">
        <f t="shared" si="23"/>
        <v>49.728266200929149</v>
      </c>
    </row>
    <row r="368" spans="1:17" x14ac:dyDescent="0.45">
      <c r="A368">
        <v>475</v>
      </c>
      <c r="B368">
        <v>0</v>
      </c>
      <c r="C368">
        <v>0</v>
      </c>
      <c r="D368">
        <v>19.703002409616584</v>
      </c>
      <c r="E368">
        <v>33.333333333333329</v>
      </c>
      <c r="F368">
        <v>0</v>
      </c>
      <c r="G368">
        <v>100</v>
      </c>
      <c r="H368">
        <v>100</v>
      </c>
      <c r="I368">
        <v>16.666666666666664</v>
      </c>
      <c r="J368">
        <v>15.046029919447641</v>
      </c>
      <c r="K368">
        <v>0</v>
      </c>
      <c r="L368">
        <v>41.92809457073816</v>
      </c>
      <c r="M368">
        <f t="shared" si="20"/>
        <v>-29.273801578016421</v>
      </c>
      <c r="N368">
        <f t="shared" si="21"/>
        <v>-31.213025555340835</v>
      </c>
      <c r="O368">
        <f t="shared" si="22"/>
        <v>-25.240402091069566</v>
      </c>
      <c r="Q368">
        <f t="shared" si="23"/>
        <v>60.744063247648661</v>
      </c>
    </row>
    <row r="369" spans="1:17" x14ac:dyDescent="0.45">
      <c r="A369">
        <v>476</v>
      </c>
      <c r="B369">
        <v>0</v>
      </c>
      <c r="C369">
        <v>1</v>
      </c>
      <c r="D369">
        <v>19.899872652029789</v>
      </c>
      <c r="E369">
        <v>33.333333333333329</v>
      </c>
      <c r="F369">
        <v>0</v>
      </c>
      <c r="G369">
        <v>0</v>
      </c>
      <c r="H369">
        <v>100</v>
      </c>
      <c r="I369">
        <v>16.666666666666664</v>
      </c>
      <c r="J369">
        <v>3.1357882623705411</v>
      </c>
      <c r="K369">
        <v>33.333333333333329</v>
      </c>
      <c r="L369">
        <v>41.92809457073816</v>
      </c>
      <c r="M369">
        <f t="shared" si="20"/>
        <v>-24.414230368664988</v>
      </c>
      <c r="N369">
        <f t="shared" si="21"/>
        <v>-23.823390184167092</v>
      </c>
      <c r="O369">
        <f t="shared" si="22"/>
        <v>-25.806534019083838</v>
      </c>
      <c r="Q369">
        <f t="shared" si="23"/>
        <v>65.603634457000098</v>
      </c>
    </row>
    <row r="370" spans="1:17" x14ac:dyDescent="0.45">
      <c r="A370">
        <v>477</v>
      </c>
      <c r="B370">
        <v>0</v>
      </c>
      <c r="C370">
        <v>0</v>
      </c>
      <c r="D370">
        <v>19.899872652029789</v>
      </c>
      <c r="E370">
        <v>33.333333333333329</v>
      </c>
      <c r="F370">
        <v>0</v>
      </c>
      <c r="G370">
        <v>0</v>
      </c>
      <c r="H370">
        <v>100</v>
      </c>
      <c r="I370">
        <v>33.333333333333329</v>
      </c>
      <c r="J370">
        <v>4.4303797468354427</v>
      </c>
      <c r="K370">
        <v>0</v>
      </c>
      <c r="L370">
        <v>41.92809457073816</v>
      </c>
      <c r="M370">
        <f t="shared" si="20"/>
        <v>-24.269496278325811</v>
      </c>
      <c r="N370">
        <f t="shared" si="21"/>
        <v>-25.87721330049277</v>
      </c>
      <c r="O370">
        <f t="shared" si="22"/>
        <v>-25.653545980154988</v>
      </c>
      <c r="Q370">
        <f t="shared" si="23"/>
        <v>65.748368547339268</v>
      </c>
    </row>
    <row r="371" spans="1:17" x14ac:dyDescent="0.45">
      <c r="A371">
        <v>478</v>
      </c>
      <c r="B371">
        <v>0</v>
      </c>
      <c r="C371">
        <v>0</v>
      </c>
      <c r="D371">
        <v>29.544556735718508</v>
      </c>
      <c r="E371">
        <v>33.333333333333329</v>
      </c>
      <c r="F371">
        <v>0</v>
      </c>
      <c r="G371">
        <v>0</v>
      </c>
      <c r="H371">
        <v>100</v>
      </c>
      <c r="I371">
        <v>16.666666666666664</v>
      </c>
      <c r="J371">
        <v>20.943613348676639</v>
      </c>
      <c r="K371">
        <v>0</v>
      </c>
      <c r="L371">
        <v>0.79223506023372336</v>
      </c>
      <c r="M371">
        <f t="shared" si="20"/>
        <v>-13.587706514801214</v>
      </c>
      <c r="N371">
        <f t="shared" si="21"/>
        <v>-14.48781531003665</v>
      </c>
      <c r="O371">
        <f t="shared" si="22"/>
        <v>-14.36259120687239</v>
      </c>
      <c r="Q371">
        <f t="shared" si="23"/>
        <v>76.430158310863874</v>
      </c>
    </row>
    <row r="372" spans="1:17" x14ac:dyDescent="0.45">
      <c r="A372">
        <v>479</v>
      </c>
      <c r="B372">
        <v>0</v>
      </c>
      <c r="C372">
        <v>0</v>
      </c>
      <c r="D372">
        <v>27.018948754734705</v>
      </c>
      <c r="E372">
        <v>66.666666666666657</v>
      </c>
      <c r="F372">
        <v>0</v>
      </c>
      <c r="G372">
        <v>0</v>
      </c>
      <c r="H372">
        <v>75</v>
      </c>
      <c r="I372">
        <v>16.666666666666664</v>
      </c>
      <c r="J372">
        <v>7.0483314154200229</v>
      </c>
      <c r="K372">
        <v>0</v>
      </c>
      <c r="L372">
        <v>1.8390773756551857</v>
      </c>
      <c r="M372">
        <f t="shared" si="20"/>
        <v>-12.813495030953842</v>
      </c>
      <c r="N372">
        <f t="shared" si="21"/>
        <v>-13.662316689156684</v>
      </c>
      <c r="O372">
        <f t="shared" si="22"/>
        <v>-13.544227707627458</v>
      </c>
      <c r="Q372">
        <f t="shared" si="23"/>
        <v>77.204369794711241</v>
      </c>
    </row>
    <row r="373" spans="1:17" x14ac:dyDescent="0.45">
      <c r="A373">
        <v>480</v>
      </c>
      <c r="B373">
        <v>0</v>
      </c>
      <c r="C373">
        <v>0</v>
      </c>
      <c r="D373">
        <v>27.40678054892447</v>
      </c>
      <c r="E373">
        <v>66.666666666666657</v>
      </c>
      <c r="F373">
        <v>0</v>
      </c>
      <c r="G373">
        <v>100</v>
      </c>
      <c r="H373">
        <v>75</v>
      </c>
      <c r="I373">
        <v>33.333333333333329</v>
      </c>
      <c r="J373">
        <v>2.9344073647871118</v>
      </c>
      <c r="K373">
        <v>0</v>
      </c>
      <c r="L373">
        <v>1.6623145995767792</v>
      </c>
      <c r="M373">
        <f t="shared" si="20"/>
        <v>-19.36464195250181</v>
      </c>
      <c r="N373">
        <f t="shared" si="21"/>
        <v>-20.647440084699102</v>
      </c>
      <c r="O373">
        <f t="shared" si="22"/>
        <v>-14.766139289626269</v>
      </c>
      <c r="Q373">
        <f t="shared" si="23"/>
        <v>70.653222873163273</v>
      </c>
    </row>
    <row r="374" spans="1:17" x14ac:dyDescent="0.45">
      <c r="A374">
        <v>481</v>
      </c>
      <c r="B374">
        <v>0</v>
      </c>
      <c r="C374">
        <v>0</v>
      </c>
      <c r="D374">
        <v>29.823987023138365</v>
      </c>
      <c r="E374">
        <v>0</v>
      </c>
      <c r="F374">
        <v>0</v>
      </c>
      <c r="G374">
        <v>100</v>
      </c>
      <c r="H374">
        <v>100</v>
      </c>
      <c r="I374">
        <v>50</v>
      </c>
      <c r="J374">
        <v>20.655926352128883</v>
      </c>
      <c r="K374">
        <v>0</v>
      </c>
      <c r="L374">
        <v>0</v>
      </c>
      <c r="M374">
        <f t="shared" si="20"/>
        <v>-19.475478690795203</v>
      </c>
      <c r="N374">
        <f t="shared" si="21"/>
        <v>-20.765619130751681</v>
      </c>
      <c r="O374">
        <f t="shared" si="22"/>
        <v>-14.883296865930784</v>
      </c>
      <c r="Q374">
        <f t="shared" si="23"/>
        <v>70.542386134869886</v>
      </c>
    </row>
    <row r="375" spans="1:17" x14ac:dyDescent="0.45">
      <c r="A375">
        <v>482</v>
      </c>
      <c r="B375">
        <v>0</v>
      </c>
      <c r="C375">
        <v>0</v>
      </c>
      <c r="D375">
        <v>29.564173886989781</v>
      </c>
      <c r="E375">
        <v>0</v>
      </c>
      <c r="F375">
        <v>0</v>
      </c>
      <c r="G375">
        <v>0</v>
      </c>
      <c r="H375">
        <v>100</v>
      </c>
      <c r="I375">
        <v>16.666666666666664</v>
      </c>
      <c r="J375">
        <v>14.930955120828537</v>
      </c>
      <c r="K375">
        <v>0</v>
      </c>
      <c r="L375">
        <v>0.61547228415531696</v>
      </c>
      <c r="M375">
        <f t="shared" si="20"/>
        <v>-10.005248552223344</v>
      </c>
      <c r="N375">
        <f t="shared" si="21"/>
        <v>-10.668039745907338</v>
      </c>
      <c r="O375">
        <f t="shared" si="22"/>
        <v>-10.575831522575248</v>
      </c>
      <c r="Q375">
        <f t="shared" si="23"/>
        <v>80.012616273441736</v>
      </c>
    </row>
    <row r="376" spans="1:17" x14ac:dyDescent="0.45">
      <c r="A376">
        <v>483</v>
      </c>
      <c r="B376">
        <v>0</v>
      </c>
      <c r="C376">
        <v>0</v>
      </c>
      <c r="D376">
        <v>32.053678780970351</v>
      </c>
      <c r="E376">
        <v>0</v>
      </c>
      <c r="F376">
        <v>0</v>
      </c>
      <c r="G376">
        <v>100</v>
      </c>
      <c r="H376">
        <v>100</v>
      </c>
      <c r="I376">
        <v>16.666666666666664</v>
      </c>
      <c r="J376">
        <v>18.066743383199078</v>
      </c>
      <c r="K376">
        <v>33.333333333333329</v>
      </c>
      <c r="L376">
        <v>0</v>
      </c>
      <c r="M376">
        <f t="shared" si="20"/>
        <v>-17.471420132212025</v>
      </c>
      <c r="N376">
        <f t="shared" si="21"/>
        <v>-16.420657991740576</v>
      </c>
      <c r="O376">
        <f t="shared" si="22"/>
        <v>-12.764950123586146</v>
      </c>
      <c r="Q376">
        <f t="shared" si="23"/>
        <v>72.546444693453054</v>
      </c>
    </row>
    <row r="377" spans="1:17" x14ac:dyDescent="0.45">
      <c r="A377">
        <v>484</v>
      </c>
      <c r="B377">
        <v>0</v>
      </c>
      <c r="C377">
        <v>0</v>
      </c>
      <c r="D377">
        <v>32.405579429348492</v>
      </c>
      <c r="E377">
        <v>33.333333333333329</v>
      </c>
      <c r="F377">
        <v>0</v>
      </c>
      <c r="G377">
        <v>0</v>
      </c>
      <c r="H377">
        <v>25</v>
      </c>
      <c r="I377">
        <v>16.666666666666664</v>
      </c>
      <c r="J377">
        <v>14.556962025316455</v>
      </c>
      <c r="K377">
        <v>33.333333333333329</v>
      </c>
      <c r="L377">
        <v>0</v>
      </c>
      <c r="M377">
        <f t="shared" si="20"/>
        <v>-7.5083626391426508</v>
      </c>
      <c r="N377">
        <f t="shared" si="21"/>
        <v>-5.7976042243051582</v>
      </c>
      <c r="O377">
        <f t="shared" si="22"/>
        <v>-7.9365522872818008</v>
      </c>
      <c r="Q377">
        <f t="shared" si="23"/>
        <v>82.509502186522425</v>
      </c>
    </row>
    <row r="378" spans="1:17" x14ac:dyDescent="0.45">
      <c r="A378">
        <v>489</v>
      </c>
      <c r="B378">
        <v>0</v>
      </c>
      <c r="C378">
        <v>0</v>
      </c>
      <c r="D378">
        <v>54.753780392997385</v>
      </c>
      <c r="E378">
        <v>100</v>
      </c>
      <c r="F378">
        <v>0</v>
      </c>
      <c r="G378">
        <v>0</v>
      </c>
      <c r="H378">
        <v>50</v>
      </c>
      <c r="I378">
        <v>16.666666666666664</v>
      </c>
      <c r="J378">
        <v>2.5604142692750287</v>
      </c>
      <c r="K378">
        <v>0</v>
      </c>
      <c r="L378">
        <v>10.380268898011035</v>
      </c>
      <c r="M378">
        <f t="shared" si="20"/>
        <v>-12.048456887938006</v>
      </c>
      <c r="N378">
        <f t="shared" si="21"/>
        <v>-12.846599091115156</v>
      </c>
      <c r="O378">
        <f t="shared" si="22"/>
        <v>-12.735560689846938</v>
      </c>
      <c r="Q378">
        <f t="shared" si="23"/>
        <v>77.96940793772707</v>
      </c>
    </row>
    <row r="379" spans="1:17" x14ac:dyDescent="0.45">
      <c r="A379">
        <v>490</v>
      </c>
      <c r="B379">
        <v>0</v>
      </c>
      <c r="C379">
        <v>0</v>
      </c>
      <c r="D379">
        <v>57.861130613955083</v>
      </c>
      <c r="E379">
        <v>66.666666666666657</v>
      </c>
      <c r="F379">
        <v>0</v>
      </c>
      <c r="G379">
        <v>0</v>
      </c>
      <c r="H379">
        <v>25</v>
      </c>
      <c r="I379">
        <v>83.333333333333343</v>
      </c>
      <c r="J379">
        <v>40.794016110471809</v>
      </c>
      <c r="K379">
        <v>100</v>
      </c>
      <c r="L379">
        <v>1.6165251894976249</v>
      </c>
      <c r="M379">
        <f t="shared" si="20"/>
        <v>-22.661504359991849</v>
      </c>
      <c r="N379">
        <f t="shared" si="21"/>
        <v>-17.538265934138408</v>
      </c>
      <c r="O379">
        <f t="shared" si="22"/>
        <v>-23.953852911142373</v>
      </c>
      <c r="Q379">
        <f t="shared" si="23"/>
        <v>67.35636046567322</v>
      </c>
    </row>
    <row r="380" spans="1:17" x14ac:dyDescent="0.45">
      <c r="A380">
        <v>491</v>
      </c>
      <c r="B380">
        <v>0</v>
      </c>
      <c r="C380">
        <v>0</v>
      </c>
      <c r="D380">
        <v>58.218610230483577</v>
      </c>
      <c r="E380">
        <v>33.333333333333329</v>
      </c>
      <c r="F380">
        <v>0</v>
      </c>
      <c r="G380">
        <v>100</v>
      </c>
      <c r="H380">
        <v>100</v>
      </c>
      <c r="I380">
        <v>16.666666666666664</v>
      </c>
      <c r="J380">
        <v>11.536248561565017</v>
      </c>
      <c r="K380">
        <v>33.333333333333329</v>
      </c>
      <c r="L380">
        <v>19.581298491283128</v>
      </c>
      <c r="M380">
        <f t="shared" si="20"/>
        <v>-21.588888741257477</v>
      </c>
      <c r="N380">
        <f t="shared" si="21"/>
        <v>-20.810885635216934</v>
      </c>
      <c r="O380">
        <f t="shared" si="22"/>
        <v>-17.117231236990406</v>
      </c>
      <c r="Q380">
        <f t="shared" si="23"/>
        <v>68.428976084407594</v>
      </c>
    </row>
    <row r="381" spans="1:17" x14ac:dyDescent="0.45">
      <c r="A381">
        <v>492</v>
      </c>
      <c r="B381">
        <v>0</v>
      </c>
      <c r="C381">
        <v>0</v>
      </c>
      <c r="D381">
        <v>26.117539625967495</v>
      </c>
      <c r="E381">
        <v>100</v>
      </c>
      <c r="F381">
        <v>0</v>
      </c>
      <c r="G381">
        <v>100</v>
      </c>
      <c r="H381">
        <v>75</v>
      </c>
      <c r="I381">
        <v>50</v>
      </c>
      <c r="J381">
        <v>16.657077100115075</v>
      </c>
      <c r="K381">
        <v>33.333333333333329</v>
      </c>
      <c r="L381">
        <v>7.2456613818028615</v>
      </c>
      <c r="M381">
        <f t="shared" si="20"/>
        <v>-29.209537538424481</v>
      </c>
      <c r="N381">
        <f t="shared" si="21"/>
        <v>-28.936359363674452</v>
      </c>
      <c r="O381">
        <f t="shared" si="22"/>
        <v>-25.172473178345708</v>
      </c>
      <c r="Q381">
        <f t="shared" si="23"/>
        <v>60.808327287240594</v>
      </c>
    </row>
    <row r="382" spans="1:17" x14ac:dyDescent="0.45">
      <c r="A382">
        <v>493</v>
      </c>
      <c r="B382">
        <v>0</v>
      </c>
      <c r="C382">
        <v>0</v>
      </c>
      <c r="D382">
        <v>27.148469915525574</v>
      </c>
      <c r="E382">
        <v>66.666666666666657</v>
      </c>
      <c r="F382">
        <v>0</v>
      </c>
      <c r="G382">
        <v>0</v>
      </c>
      <c r="H382">
        <v>75</v>
      </c>
      <c r="I382">
        <v>33.333333333333329</v>
      </c>
      <c r="J382">
        <v>30.264672036823935</v>
      </c>
      <c r="K382">
        <v>0</v>
      </c>
      <c r="L382">
        <v>0.79223506023372336</v>
      </c>
      <c r="M382">
        <f t="shared" si="20"/>
        <v>-17.2605962013563</v>
      </c>
      <c r="N382">
        <f t="shared" si="21"/>
        <v>-18.404013188978475</v>
      </c>
      <c r="O382">
        <f t="shared" si="22"/>
        <v>-18.244939788545455</v>
      </c>
      <c r="Q382">
        <f t="shared" si="23"/>
        <v>72.757268624308793</v>
      </c>
    </row>
    <row r="383" spans="1:17" x14ac:dyDescent="0.45">
      <c r="A383">
        <v>494</v>
      </c>
      <c r="B383">
        <v>0</v>
      </c>
      <c r="C383">
        <v>0</v>
      </c>
      <c r="D383">
        <v>27.148469915525574</v>
      </c>
      <c r="E383">
        <v>66.666666666666657</v>
      </c>
      <c r="F383">
        <v>0</v>
      </c>
      <c r="G383">
        <v>100</v>
      </c>
      <c r="H383">
        <v>75</v>
      </c>
      <c r="I383">
        <v>33.333333333333329</v>
      </c>
      <c r="J383">
        <v>51.294591484464902</v>
      </c>
      <c r="K383">
        <v>0</v>
      </c>
      <c r="L383">
        <v>0.79223506023372336</v>
      </c>
      <c r="M383">
        <f t="shared" si="20"/>
        <v>-25.332055796055009</v>
      </c>
      <c r="N383">
        <f t="shared" si="21"/>
        <v>-27.010161383527475</v>
      </c>
      <c r="O383">
        <f t="shared" si="22"/>
        <v>-21.073864990341381</v>
      </c>
      <c r="Q383">
        <f t="shared" si="23"/>
        <v>64.68580902961007</v>
      </c>
    </row>
    <row r="384" spans="1:17" x14ac:dyDescent="0.45">
      <c r="A384">
        <v>495</v>
      </c>
      <c r="B384">
        <v>1</v>
      </c>
      <c r="C384">
        <v>0</v>
      </c>
      <c r="D384">
        <v>35.036658849765637</v>
      </c>
      <c r="E384">
        <v>100</v>
      </c>
      <c r="F384">
        <v>0</v>
      </c>
      <c r="G384">
        <v>100</v>
      </c>
      <c r="H384">
        <v>75</v>
      </c>
      <c r="I384">
        <v>50</v>
      </c>
      <c r="J384">
        <v>16.081703107019564</v>
      </c>
      <c r="K384">
        <v>66.666666666666657</v>
      </c>
      <c r="L384">
        <v>7.1341450665524855</v>
      </c>
      <c r="M384">
        <f t="shared" si="20"/>
        <v>-30.289682492036444</v>
      </c>
      <c r="N384">
        <f t="shared" si="21"/>
        <v>-27.879912795873416</v>
      </c>
      <c r="O384">
        <f t="shared" si="22"/>
        <v>-26.314217033056995</v>
      </c>
      <c r="Q384">
        <f t="shared" si="23"/>
        <v>59.728182333628631</v>
      </c>
    </row>
    <row r="385" spans="1:17" x14ac:dyDescent="0.45">
      <c r="A385">
        <v>496</v>
      </c>
      <c r="B385">
        <v>1</v>
      </c>
      <c r="C385">
        <v>0</v>
      </c>
      <c r="D385">
        <v>35.426121024947065</v>
      </c>
      <c r="E385">
        <v>100</v>
      </c>
      <c r="F385">
        <v>0</v>
      </c>
      <c r="G385">
        <v>100</v>
      </c>
      <c r="H385">
        <v>25</v>
      </c>
      <c r="I385">
        <v>83.333333333333343</v>
      </c>
      <c r="J385">
        <v>23.130034522439587</v>
      </c>
      <c r="K385">
        <v>0</v>
      </c>
      <c r="L385">
        <v>7.2116082277050602</v>
      </c>
      <c r="M385">
        <f t="shared" si="20"/>
        <v>-25.975620873237538</v>
      </c>
      <c r="N385">
        <f t="shared" si="21"/>
        <v>-27.696359011365065</v>
      </c>
      <c r="O385">
        <f t="shared" si="22"/>
        <v>-21.754131531904026</v>
      </c>
      <c r="Q385">
        <f t="shared" si="23"/>
        <v>64.04224395242754</v>
      </c>
    </row>
    <row r="386" spans="1:17" x14ac:dyDescent="0.45">
      <c r="A386">
        <v>497</v>
      </c>
      <c r="B386">
        <v>0</v>
      </c>
      <c r="C386">
        <v>0</v>
      </c>
      <c r="D386">
        <v>28.197330326275562</v>
      </c>
      <c r="E386">
        <v>100</v>
      </c>
      <c r="F386">
        <v>100</v>
      </c>
      <c r="G386">
        <v>100</v>
      </c>
      <c r="H386">
        <v>75</v>
      </c>
      <c r="I386">
        <v>33.333333333333329</v>
      </c>
      <c r="J386">
        <v>13.60759493670886</v>
      </c>
      <c r="K386">
        <v>33.333333333333329</v>
      </c>
      <c r="L386">
        <v>8.1277618973169758</v>
      </c>
      <c r="M386">
        <f t="shared" si="20"/>
        <v>-40.269085463116113</v>
      </c>
      <c r="N386">
        <f t="shared" si="21"/>
        <v>-40.728539859396307</v>
      </c>
      <c r="O386">
        <f t="shared" si="22"/>
        <v>-36.862729043243128</v>
      </c>
      <c r="Q386">
        <f t="shared" si="23"/>
        <v>49.748779362548966</v>
      </c>
    </row>
    <row r="387" spans="1:17" x14ac:dyDescent="0.45">
      <c r="A387">
        <v>498</v>
      </c>
      <c r="B387">
        <v>0</v>
      </c>
      <c r="C387">
        <v>0</v>
      </c>
      <c r="D387">
        <v>27.095804422828294</v>
      </c>
      <c r="E387">
        <v>100</v>
      </c>
      <c r="F387">
        <v>100</v>
      </c>
      <c r="G387">
        <v>100</v>
      </c>
      <c r="H387">
        <v>75</v>
      </c>
      <c r="I387">
        <v>33.333333333333329</v>
      </c>
      <c r="J387">
        <v>21.777905638665132</v>
      </c>
      <c r="K387">
        <v>0</v>
      </c>
      <c r="L387">
        <v>8.8535561251923287</v>
      </c>
      <c r="M387">
        <f t="shared" si="20"/>
        <v>-39.525332410181043</v>
      </c>
      <c r="N387">
        <f t="shared" si="21"/>
        <v>-42.143662390906904</v>
      </c>
      <c r="O387">
        <f t="shared" si="22"/>
        <v>-36.076560969438063</v>
      </c>
      <c r="Q387">
        <f t="shared" si="23"/>
        <v>50.492532415484035</v>
      </c>
    </row>
    <row r="388" spans="1:17" x14ac:dyDescent="0.45">
      <c r="A388">
        <v>499</v>
      </c>
      <c r="B388">
        <v>0</v>
      </c>
      <c r="C388">
        <v>0</v>
      </c>
      <c r="D388">
        <v>27.583517964456441</v>
      </c>
      <c r="E388">
        <v>0</v>
      </c>
      <c r="F388">
        <v>0</v>
      </c>
      <c r="G388">
        <v>100</v>
      </c>
      <c r="H388">
        <v>50</v>
      </c>
      <c r="I388">
        <v>33.333333333333329</v>
      </c>
      <c r="J388">
        <v>56.041426927502883</v>
      </c>
      <c r="K388">
        <v>33.333333333333329</v>
      </c>
      <c r="L388">
        <v>8.1935423597736339</v>
      </c>
      <c r="M388">
        <f t="shared" si="20"/>
        <v>-21.943278882049789</v>
      </c>
      <c r="N388">
        <f t="shared" si="21"/>
        <v>-21.188752120771646</v>
      </c>
      <c r="O388">
        <f t="shared" si="22"/>
        <v>-17.491831668225895</v>
      </c>
      <c r="Q388">
        <f t="shared" si="23"/>
        <v>68.07458594361529</v>
      </c>
    </row>
    <row r="389" spans="1:17" x14ac:dyDescent="0.45">
      <c r="A389">
        <v>500</v>
      </c>
      <c r="B389">
        <v>0</v>
      </c>
      <c r="C389">
        <v>0</v>
      </c>
      <c r="D389">
        <v>31.306922599568267</v>
      </c>
      <c r="E389">
        <v>66.666666666666657</v>
      </c>
      <c r="F389">
        <v>0</v>
      </c>
      <c r="G389">
        <v>0</v>
      </c>
      <c r="H389">
        <v>75</v>
      </c>
      <c r="I389">
        <v>66.666666666666657</v>
      </c>
      <c r="J389">
        <v>86.248561565017255</v>
      </c>
      <c r="K389">
        <v>0</v>
      </c>
      <c r="L389">
        <v>6.1157215746466882</v>
      </c>
      <c r="M389">
        <f t="shared" si="20"/>
        <v>-28.794798622675195</v>
      </c>
      <c r="N389">
        <f t="shared" si="21"/>
        <v>-30.702291360251621</v>
      </c>
      <c r="O389">
        <f t="shared" si="22"/>
        <v>-30.436918920142457</v>
      </c>
      <c r="Q389">
        <f t="shared" si="23"/>
        <v>61.223066202989884</v>
      </c>
    </row>
    <row r="390" spans="1:17" x14ac:dyDescent="0.45">
      <c r="A390">
        <v>501</v>
      </c>
      <c r="B390">
        <v>0</v>
      </c>
      <c r="C390">
        <v>0</v>
      </c>
      <c r="D390">
        <v>30.341855431272407</v>
      </c>
      <c r="E390">
        <v>66.666666666666657</v>
      </c>
      <c r="F390">
        <v>0</v>
      </c>
      <c r="G390">
        <v>0</v>
      </c>
      <c r="H390">
        <v>75</v>
      </c>
      <c r="I390">
        <v>16.666666666666664</v>
      </c>
      <c r="J390">
        <v>1.2082853855005753</v>
      </c>
      <c r="K390">
        <v>0</v>
      </c>
      <c r="L390">
        <v>14.442191588687535</v>
      </c>
      <c r="M390">
        <f t="shared" si="20"/>
        <v>-14.820461658777598</v>
      </c>
      <c r="N390">
        <f t="shared" si="21"/>
        <v>-15.802233518067013</v>
      </c>
      <c r="O390">
        <f t="shared" si="22"/>
        <v>-15.665648361647927</v>
      </c>
      <c r="Q390">
        <f t="shared" si="23"/>
        <v>75.197403166887483</v>
      </c>
    </row>
    <row r="391" spans="1:17" x14ac:dyDescent="0.45">
      <c r="A391">
        <v>502</v>
      </c>
      <c r="B391">
        <v>0</v>
      </c>
      <c r="C391">
        <v>0</v>
      </c>
      <c r="D391">
        <v>29.673924824760334</v>
      </c>
      <c r="E391">
        <v>66.666666666666657</v>
      </c>
      <c r="F391">
        <v>0</v>
      </c>
      <c r="G391">
        <v>100</v>
      </c>
      <c r="H391">
        <v>100</v>
      </c>
      <c r="I391">
        <v>33.333333333333329</v>
      </c>
      <c r="J391">
        <v>16.714614499424627</v>
      </c>
      <c r="K391">
        <v>66.666666666666657</v>
      </c>
      <c r="L391">
        <v>22.733044941838322</v>
      </c>
      <c r="M391">
        <f t="shared" si="20"/>
        <v>-32.472491822525967</v>
      </c>
      <c r="N391">
        <f t="shared" si="21"/>
        <v>-30.207320913108546</v>
      </c>
      <c r="O391">
        <f t="shared" si="22"/>
        <v>-28.621508411643745</v>
      </c>
      <c r="Q391">
        <f t="shared" si="23"/>
        <v>57.545373003139112</v>
      </c>
    </row>
    <row r="392" spans="1:17" x14ac:dyDescent="0.45">
      <c r="A392">
        <v>503</v>
      </c>
      <c r="B392">
        <v>0</v>
      </c>
      <c r="C392">
        <v>0</v>
      </c>
      <c r="D392">
        <v>28.386843043395913</v>
      </c>
      <c r="E392">
        <v>100</v>
      </c>
      <c r="F392">
        <v>0</v>
      </c>
      <c r="G392">
        <v>100</v>
      </c>
      <c r="H392">
        <v>100</v>
      </c>
      <c r="I392">
        <v>83.333333333333343</v>
      </c>
      <c r="J392">
        <v>38.808975834292291</v>
      </c>
      <c r="K392">
        <v>33.333333333333329</v>
      </c>
      <c r="L392">
        <v>24.079655260642685</v>
      </c>
      <c r="M392">
        <f t="shared" ref="M392:M437" si="24">D392*D$1+E392*E$1+F392*F$1+G392*G$1+H392*H$1+I392*I$1+J392*J$1+K392*K$1+L392*L$1</f>
        <v>-41.727572957784588</v>
      </c>
      <c r="N392">
        <f t="shared" ref="N392:N437" si="25">D392*D$2+E392*E$2+F392*F$2+G392*G$2+H392*H$2+I392*I$2+J392*J$2+L392*L$2</f>
        <v>-42.283643911116705</v>
      </c>
      <c r="O392">
        <f t="shared" ref="O392:O437" si="26">D392*D$3+E392*E$3+F392*F$3+H392*H$3+I392*I$3+J392*J$3+K392*K$3+L392*L$3</f>
        <v>-38.404391695688588</v>
      </c>
      <c r="Q392">
        <f t="shared" ref="Q392:Q437" si="27">(M392-$R$3)/($R$2-$R$3)*100</f>
        <v>48.290291867880491</v>
      </c>
    </row>
    <row r="393" spans="1:17" x14ac:dyDescent="0.45">
      <c r="A393">
        <v>504</v>
      </c>
      <c r="B393">
        <v>0</v>
      </c>
      <c r="C393">
        <v>0</v>
      </c>
      <c r="D393">
        <v>28.566482806104698</v>
      </c>
      <c r="E393">
        <v>33.333333333333329</v>
      </c>
      <c r="F393">
        <v>100</v>
      </c>
      <c r="G393">
        <v>100</v>
      </c>
      <c r="H393">
        <v>100</v>
      </c>
      <c r="I393">
        <v>50</v>
      </c>
      <c r="J393">
        <v>100</v>
      </c>
      <c r="K393">
        <v>100</v>
      </c>
      <c r="L393">
        <v>23.476596644569909</v>
      </c>
      <c r="M393">
        <f t="shared" si="24"/>
        <v>-57.625223931678413</v>
      </c>
      <c r="N393">
        <f t="shared" si="25"/>
        <v>-54.818134406034048</v>
      </c>
      <c r="O393">
        <f t="shared" si="26"/>
        <v>-55.208659718319943</v>
      </c>
      <c r="Q393">
        <f t="shared" si="27"/>
        <v>32.392640893986666</v>
      </c>
    </row>
    <row r="394" spans="1:17" x14ac:dyDescent="0.45">
      <c r="A394">
        <v>505</v>
      </c>
      <c r="B394">
        <v>0</v>
      </c>
      <c r="C394">
        <v>0</v>
      </c>
      <c r="D394">
        <v>27.920088567852925</v>
      </c>
      <c r="E394">
        <v>33.333333333333329</v>
      </c>
      <c r="F394">
        <v>0</v>
      </c>
      <c r="G394">
        <v>100</v>
      </c>
      <c r="H394">
        <v>100</v>
      </c>
      <c r="I394">
        <v>83.333333333333343</v>
      </c>
      <c r="J394">
        <v>57.738780207134631</v>
      </c>
      <c r="K394">
        <v>66.666666666666657</v>
      </c>
      <c r="L394">
        <v>19.209205561223957</v>
      </c>
      <c r="M394">
        <f t="shared" si="24"/>
        <v>-39.518981225931341</v>
      </c>
      <c r="N394">
        <f t="shared" si="25"/>
        <v>-37.720600431580756</v>
      </c>
      <c r="O394">
        <f t="shared" si="26"/>
        <v>-36.069847587532266</v>
      </c>
      <c r="Q394">
        <f t="shared" si="27"/>
        <v>50.498883599733738</v>
      </c>
    </row>
    <row r="395" spans="1:17" x14ac:dyDescent="0.45">
      <c r="A395">
        <v>506</v>
      </c>
      <c r="B395">
        <v>0</v>
      </c>
      <c r="C395">
        <v>0</v>
      </c>
      <c r="D395">
        <v>28.531551072278265</v>
      </c>
      <c r="E395">
        <v>33.333333333333329</v>
      </c>
      <c r="F395">
        <v>0</v>
      </c>
      <c r="G395">
        <v>100</v>
      </c>
      <c r="H395">
        <v>100</v>
      </c>
      <c r="I395">
        <v>83.333333333333343</v>
      </c>
      <c r="J395">
        <v>46.720368239355579</v>
      </c>
      <c r="K395">
        <v>66.666666666666657</v>
      </c>
      <c r="L395">
        <v>20.556611718324902</v>
      </c>
      <c r="M395">
        <f t="shared" si="24"/>
        <v>-38.385209242751102</v>
      </c>
      <c r="N395">
        <f t="shared" si="25"/>
        <v>-36.511722459561241</v>
      </c>
      <c r="O395">
        <f t="shared" si="26"/>
        <v>-34.871418441415173</v>
      </c>
      <c r="Q395">
        <f t="shared" si="27"/>
        <v>51.632655582913976</v>
      </c>
    </row>
    <row r="396" spans="1:17" x14ac:dyDescent="0.45">
      <c r="A396">
        <v>507</v>
      </c>
      <c r="B396">
        <v>0</v>
      </c>
      <c r="C396">
        <v>0</v>
      </c>
      <c r="D396">
        <v>25.517516362110605</v>
      </c>
      <c r="E396">
        <v>66.666666666666657</v>
      </c>
      <c r="F396">
        <v>0</v>
      </c>
      <c r="G396">
        <v>100</v>
      </c>
      <c r="H396">
        <v>100</v>
      </c>
      <c r="I396">
        <v>33.333333333333329</v>
      </c>
      <c r="J396">
        <v>11.65132336018412</v>
      </c>
      <c r="K396">
        <v>0</v>
      </c>
      <c r="L396">
        <v>37.003959902011864</v>
      </c>
      <c r="M396">
        <f t="shared" si="24"/>
        <v>-31.590825316583942</v>
      </c>
      <c r="N396">
        <f t="shared" si="25"/>
        <v>-33.683539026968312</v>
      </c>
      <c r="O396">
        <f t="shared" si="26"/>
        <v>-27.689561906040105</v>
      </c>
      <c r="Q396">
        <f t="shared" si="27"/>
        <v>58.427039509081133</v>
      </c>
    </row>
    <row r="397" spans="1:17" x14ac:dyDescent="0.45">
      <c r="A397">
        <v>508</v>
      </c>
      <c r="B397">
        <v>0</v>
      </c>
      <c r="C397">
        <v>0</v>
      </c>
      <c r="D397">
        <v>26.35174737488321</v>
      </c>
      <c r="E397">
        <v>33.333333333333329</v>
      </c>
      <c r="F397">
        <v>0</v>
      </c>
      <c r="G397">
        <v>100</v>
      </c>
      <c r="H397">
        <v>50</v>
      </c>
      <c r="I397">
        <v>33.333333333333329</v>
      </c>
      <c r="J397">
        <v>68.843498273878026</v>
      </c>
      <c r="K397">
        <v>66.666666666666657</v>
      </c>
      <c r="L397">
        <v>5.7368358720991655</v>
      </c>
      <c r="M397">
        <f t="shared" si="24"/>
        <v>-27.937752713433831</v>
      </c>
      <c r="N397">
        <f t="shared" si="25"/>
        <v>-25.372180956254084</v>
      </c>
      <c r="O397">
        <f t="shared" si="26"/>
        <v>-23.828160543645591</v>
      </c>
      <c r="Q397">
        <f t="shared" si="27"/>
        <v>62.080112112231248</v>
      </c>
    </row>
    <row r="398" spans="1:17" x14ac:dyDescent="0.45">
      <c r="A398">
        <v>509</v>
      </c>
      <c r="B398">
        <v>0</v>
      </c>
      <c r="C398">
        <v>0</v>
      </c>
      <c r="D398">
        <v>32.213429684001589</v>
      </c>
      <c r="E398">
        <v>66.666666666666657</v>
      </c>
      <c r="F398">
        <v>0</v>
      </c>
      <c r="G398">
        <v>0</v>
      </c>
      <c r="H398">
        <v>75</v>
      </c>
      <c r="I398">
        <v>100</v>
      </c>
      <c r="J398">
        <v>100</v>
      </c>
      <c r="K398">
        <v>33.333333333333329</v>
      </c>
      <c r="L398">
        <v>7.7667573654747226</v>
      </c>
      <c r="M398">
        <f t="shared" si="24"/>
        <v>-36.451968000495945</v>
      </c>
      <c r="N398">
        <f t="shared" si="25"/>
        <v>-36.658559929014672</v>
      </c>
      <c r="O398">
        <f t="shared" si="26"/>
        <v>-38.530764151169642</v>
      </c>
      <c r="Q398">
        <f t="shared" si="27"/>
        <v>53.565896825169133</v>
      </c>
    </row>
    <row r="399" spans="1:17" x14ac:dyDescent="0.45">
      <c r="A399">
        <v>510</v>
      </c>
      <c r="B399">
        <v>0</v>
      </c>
      <c r="C399">
        <v>0</v>
      </c>
      <c r="D399">
        <v>31.699251426364139</v>
      </c>
      <c r="E399">
        <v>66.666666666666657</v>
      </c>
      <c r="F399">
        <v>0</v>
      </c>
      <c r="G399">
        <v>100</v>
      </c>
      <c r="H399">
        <v>100</v>
      </c>
      <c r="I399">
        <v>50</v>
      </c>
      <c r="J399">
        <v>6.61680092059839</v>
      </c>
      <c r="K399">
        <v>0</v>
      </c>
      <c r="L399">
        <v>12.581235471069926</v>
      </c>
      <c r="M399">
        <f t="shared" si="24"/>
        <v>-26.122363707783357</v>
      </c>
      <c r="N399">
        <f t="shared" si="25"/>
        <v>-27.852822729701579</v>
      </c>
      <c r="O399">
        <f t="shared" si="26"/>
        <v>-21.909242870438117</v>
      </c>
      <c r="Q399">
        <f t="shared" si="27"/>
        <v>63.895501117881729</v>
      </c>
    </row>
    <row r="400" spans="1:17" x14ac:dyDescent="0.45">
      <c r="A400">
        <v>511</v>
      </c>
      <c r="B400">
        <v>0</v>
      </c>
      <c r="C400">
        <v>0</v>
      </c>
      <c r="D400">
        <v>24.280234715229966</v>
      </c>
      <c r="E400">
        <v>66.666666666666657</v>
      </c>
      <c r="F400">
        <v>0</v>
      </c>
      <c r="G400">
        <v>100</v>
      </c>
      <c r="H400">
        <v>100</v>
      </c>
      <c r="I400">
        <v>50</v>
      </c>
      <c r="J400">
        <v>7.3935558112773307</v>
      </c>
      <c r="K400">
        <v>0</v>
      </c>
      <c r="L400">
        <v>17.062654914383369</v>
      </c>
      <c r="M400">
        <f t="shared" si="24"/>
        <v>-28.057645835053652</v>
      </c>
      <c r="N400">
        <f t="shared" si="25"/>
        <v>-29.916306364865822</v>
      </c>
      <c r="O400">
        <f t="shared" si="26"/>
        <v>-23.954890974014059</v>
      </c>
      <c r="Q400">
        <f t="shared" si="27"/>
        <v>61.960218990611438</v>
      </c>
    </row>
    <row r="401" spans="1:17" x14ac:dyDescent="0.45">
      <c r="A401">
        <v>512</v>
      </c>
      <c r="B401">
        <v>0</v>
      </c>
      <c r="C401">
        <v>0</v>
      </c>
      <c r="D401">
        <v>23.832057126031369</v>
      </c>
      <c r="E401">
        <v>66.666666666666657</v>
      </c>
      <c r="F401">
        <v>0</v>
      </c>
      <c r="G401">
        <v>100</v>
      </c>
      <c r="H401">
        <v>75</v>
      </c>
      <c r="I401">
        <v>66.666666666666657</v>
      </c>
      <c r="J401">
        <v>25.086306098964329</v>
      </c>
      <c r="K401">
        <v>33.333333333333329</v>
      </c>
      <c r="L401">
        <v>11.997678567474914</v>
      </c>
      <c r="M401">
        <f t="shared" si="24"/>
        <v>-30.661794012558477</v>
      </c>
      <c r="N401">
        <f t="shared" si="25"/>
        <v>-30.484819624951026</v>
      </c>
      <c r="O401">
        <f t="shared" si="26"/>
        <v>-26.707549465340829</v>
      </c>
      <c r="Q401">
        <f t="shared" si="27"/>
        <v>59.356070813106612</v>
      </c>
    </row>
    <row r="402" spans="1:17" x14ac:dyDescent="0.45">
      <c r="A402">
        <v>513</v>
      </c>
      <c r="B402">
        <v>0</v>
      </c>
      <c r="C402">
        <v>0</v>
      </c>
      <c r="D402">
        <v>23.510771894274711</v>
      </c>
      <c r="E402">
        <v>100</v>
      </c>
      <c r="F402">
        <v>0</v>
      </c>
      <c r="G402">
        <v>100</v>
      </c>
      <c r="H402">
        <v>100</v>
      </c>
      <c r="I402">
        <v>66.666666666666657</v>
      </c>
      <c r="J402">
        <v>7.9401611047180669</v>
      </c>
      <c r="K402">
        <v>0</v>
      </c>
      <c r="L402">
        <v>18.431251816202717</v>
      </c>
      <c r="M402">
        <f t="shared" si="24"/>
        <v>-33.072248853238776</v>
      </c>
      <c r="N402">
        <f t="shared" si="25"/>
        <v>-35.263098503883498</v>
      </c>
      <c r="O402">
        <f t="shared" si="26"/>
        <v>-29.255468605455135</v>
      </c>
      <c r="Q402">
        <f t="shared" si="27"/>
        <v>56.945615972426303</v>
      </c>
    </row>
    <row r="403" spans="1:17" x14ac:dyDescent="0.45">
      <c r="A403">
        <v>514</v>
      </c>
      <c r="B403">
        <v>0</v>
      </c>
      <c r="C403">
        <v>0</v>
      </c>
      <c r="D403">
        <v>21.586329001371148</v>
      </c>
      <c r="E403">
        <v>33.333333333333329</v>
      </c>
      <c r="F403">
        <v>0</v>
      </c>
      <c r="G403">
        <v>100</v>
      </c>
      <c r="H403">
        <v>75</v>
      </c>
      <c r="I403">
        <v>33.333333333333329</v>
      </c>
      <c r="J403">
        <v>10.960874568469507</v>
      </c>
      <c r="K403">
        <v>0</v>
      </c>
      <c r="L403">
        <v>13.76551472641937</v>
      </c>
      <c r="M403">
        <f t="shared" si="24"/>
        <v>-21.15464425846525</v>
      </c>
      <c r="N403">
        <f t="shared" si="25"/>
        <v>-22.556019931127839</v>
      </c>
      <c r="O403">
        <f t="shared" si="26"/>
        <v>-16.658222501160662</v>
      </c>
      <c r="Q403">
        <f t="shared" si="27"/>
        <v>68.863220567199818</v>
      </c>
    </row>
    <row r="404" spans="1:17" x14ac:dyDescent="0.45">
      <c r="A404">
        <v>516</v>
      </c>
      <c r="B404">
        <v>0</v>
      </c>
      <c r="C404">
        <v>0</v>
      </c>
      <c r="D404">
        <v>23.003906318304761</v>
      </c>
      <c r="E404">
        <v>0</v>
      </c>
      <c r="F404">
        <v>0</v>
      </c>
      <c r="G404">
        <v>0</v>
      </c>
      <c r="H404">
        <v>25</v>
      </c>
      <c r="I404">
        <v>66.666666666666657</v>
      </c>
      <c r="J404">
        <v>15.333716915995396</v>
      </c>
      <c r="K404">
        <v>0</v>
      </c>
      <c r="L404">
        <v>7.9965093399731773</v>
      </c>
      <c r="M404">
        <f t="shared" si="24"/>
        <v>-10.942470733985608</v>
      </c>
      <c r="N404">
        <f t="shared" si="25"/>
        <v>-11.667347602538646</v>
      </c>
      <c r="O404">
        <f t="shared" si="26"/>
        <v>-11.566501953379838</v>
      </c>
      <c r="Q404">
        <f t="shared" si="27"/>
        <v>79.075394091679485</v>
      </c>
    </row>
    <row r="405" spans="1:17" x14ac:dyDescent="0.45">
      <c r="A405">
        <v>517</v>
      </c>
      <c r="B405">
        <v>0</v>
      </c>
      <c r="C405">
        <v>0</v>
      </c>
      <c r="D405">
        <v>24.135322418146885</v>
      </c>
      <c r="E405">
        <v>66.666666666666657</v>
      </c>
      <c r="F405">
        <v>0</v>
      </c>
      <c r="G405">
        <v>100</v>
      </c>
      <c r="H405">
        <v>25</v>
      </c>
      <c r="I405">
        <v>50</v>
      </c>
      <c r="J405">
        <v>12.37054085155351</v>
      </c>
      <c r="K405">
        <v>33.333333333333329</v>
      </c>
      <c r="L405">
        <v>6.3975302815655368</v>
      </c>
      <c r="M405">
        <f t="shared" si="24"/>
        <v>-21.310265412527794</v>
      </c>
      <c r="N405">
        <f t="shared" si="25"/>
        <v>-20.513805084992637</v>
      </c>
      <c r="O405">
        <f t="shared" si="26"/>
        <v>-16.822718475261016</v>
      </c>
      <c r="Q405">
        <f t="shared" si="27"/>
        <v>68.707599413137288</v>
      </c>
    </row>
    <row r="406" spans="1:17" x14ac:dyDescent="0.45">
      <c r="A406">
        <v>518</v>
      </c>
      <c r="B406">
        <v>0</v>
      </c>
      <c r="C406">
        <v>0</v>
      </c>
      <c r="D406">
        <v>35.983011143752655</v>
      </c>
      <c r="E406">
        <v>100</v>
      </c>
      <c r="F406">
        <v>0</v>
      </c>
      <c r="G406">
        <v>100</v>
      </c>
      <c r="H406">
        <v>100</v>
      </c>
      <c r="I406">
        <v>33.333333333333329</v>
      </c>
      <c r="J406">
        <v>11.737629459148447</v>
      </c>
      <c r="K406">
        <v>0</v>
      </c>
      <c r="L406">
        <v>14.028189304716136</v>
      </c>
      <c r="M406">
        <f t="shared" si="24"/>
        <v>-27.710890656632259</v>
      </c>
      <c r="N406">
        <f t="shared" si="25"/>
        <v>-29.546580614806707</v>
      </c>
      <c r="O406">
        <f t="shared" si="26"/>
        <v>-23.588360914573386</v>
      </c>
      <c r="Q406">
        <f t="shared" si="27"/>
        <v>62.306974169032827</v>
      </c>
    </row>
    <row r="407" spans="1:17" x14ac:dyDescent="0.45">
      <c r="A407">
        <v>519</v>
      </c>
      <c r="B407">
        <v>0</v>
      </c>
      <c r="C407">
        <v>0</v>
      </c>
      <c r="D407">
        <v>57.201348634263418</v>
      </c>
      <c r="E407">
        <v>66.666666666666657</v>
      </c>
      <c r="F407">
        <v>0</v>
      </c>
      <c r="G407">
        <v>0</v>
      </c>
      <c r="H407">
        <v>25</v>
      </c>
      <c r="I407">
        <v>16.666666666666664</v>
      </c>
      <c r="J407">
        <v>3.5673187571921749</v>
      </c>
      <c r="K407">
        <v>0</v>
      </c>
      <c r="L407">
        <v>5.2614928788852531</v>
      </c>
      <c r="M407">
        <f t="shared" si="24"/>
        <v>-5.6224041967009031</v>
      </c>
      <c r="N407">
        <f t="shared" si="25"/>
        <v>-5.9948567119437346</v>
      </c>
      <c r="O407">
        <f t="shared" si="26"/>
        <v>-5.9430407176556681</v>
      </c>
      <c r="Q407">
        <f t="shared" si="27"/>
        <v>84.395460628964187</v>
      </c>
    </row>
    <row r="408" spans="1:17" x14ac:dyDescent="0.45">
      <c r="A408">
        <v>520</v>
      </c>
      <c r="B408">
        <v>0</v>
      </c>
      <c r="C408">
        <v>0</v>
      </c>
      <c r="D408">
        <v>50.319277869851156</v>
      </c>
      <c r="E408">
        <v>100</v>
      </c>
      <c r="F408">
        <v>100</v>
      </c>
      <c r="G408">
        <v>100</v>
      </c>
      <c r="H408">
        <v>100</v>
      </c>
      <c r="I408">
        <v>66.666666666666657</v>
      </c>
      <c r="J408">
        <v>49.913693901035671</v>
      </c>
      <c r="K408">
        <v>33.333333333333329</v>
      </c>
      <c r="L408">
        <v>19.801664295310857</v>
      </c>
      <c r="M408">
        <f t="shared" si="24"/>
        <v>-51.344876083229899</v>
      </c>
      <c r="N408">
        <f t="shared" si="25"/>
        <v>-52.538039037351744</v>
      </c>
      <c r="O408">
        <f t="shared" si="26"/>
        <v>-48.570153897932315</v>
      </c>
      <c r="Q408">
        <f t="shared" si="27"/>
        <v>38.67298874243518</v>
      </c>
    </row>
    <row r="409" spans="1:17" x14ac:dyDescent="0.45">
      <c r="A409">
        <v>521</v>
      </c>
      <c r="B409">
        <v>0</v>
      </c>
      <c r="C409">
        <v>0</v>
      </c>
      <c r="D409">
        <v>57.002341259169839</v>
      </c>
      <c r="E409">
        <v>100</v>
      </c>
      <c r="F409">
        <v>0</v>
      </c>
      <c r="G409">
        <v>100</v>
      </c>
      <c r="H409">
        <v>100</v>
      </c>
      <c r="I409">
        <v>50</v>
      </c>
      <c r="J409">
        <v>52.186421173762945</v>
      </c>
      <c r="K409">
        <v>33.333333333333329</v>
      </c>
      <c r="L409">
        <v>19.458075613517451</v>
      </c>
      <c r="M409">
        <f t="shared" si="24"/>
        <v>-35.920500919568312</v>
      </c>
      <c r="N409">
        <f t="shared" si="25"/>
        <v>-36.091886156405835</v>
      </c>
      <c r="O409">
        <f>D409*D$3+E409*E$3+F409*F$3+H409*H$3+I409*I$3+J409*J$3+K409*K$3+L409*L$3</f>
        <v>-32.266151831374003</v>
      </c>
      <c r="Q409">
        <f t="shared" si="27"/>
        <v>54.09736390609676</v>
      </c>
    </row>
    <row r="410" spans="1:17" x14ac:dyDescent="0.45">
      <c r="A410">
        <v>523</v>
      </c>
      <c r="B410">
        <v>0</v>
      </c>
      <c r="C410">
        <v>0</v>
      </c>
      <c r="D410">
        <v>56.955539003854042</v>
      </c>
      <c r="E410">
        <v>100</v>
      </c>
      <c r="F410">
        <v>0</v>
      </c>
      <c r="G410">
        <v>100</v>
      </c>
      <c r="H410">
        <v>100</v>
      </c>
      <c r="I410">
        <v>33.333333333333329</v>
      </c>
      <c r="J410">
        <v>16.484464902186421</v>
      </c>
      <c r="K410">
        <v>0</v>
      </c>
      <c r="L410">
        <v>19.254892968891603</v>
      </c>
      <c r="M410">
        <f t="shared" si="24"/>
        <v>-27.499575603466155</v>
      </c>
      <c r="N410">
        <f t="shared" si="25"/>
        <v>-29.321267133155757</v>
      </c>
      <c r="O410">
        <f t="shared" si="26"/>
        <v>-23.364994909340844</v>
      </c>
      <c r="Q410">
        <f t="shared" si="27"/>
        <v>62.518289222198931</v>
      </c>
    </row>
    <row r="411" spans="1:17" x14ac:dyDescent="0.45">
      <c r="A411">
        <v>524</v>
      </c>
      <c r="B411">
        <v>1</v>
      </c>
      <c r="C411">
        <v>0</v>
      </c>
      <c r="D411">
        <v>51.032111554159073</v>
      </c>
      <c r="E411">
        <v>100</v>
      </c>
      <c r="F411">
        <v>0</v>
      </c>
      <c r="G411">
        <v>100</v>
      </c>
      <c r="H411">
        <v>100</v>
      </c>
      <c r="I411">
        <v>33.333333333333329</v>
      </c>
      <c r="J411">
        <v>33.88952819332566</v>
      </c>
      <c r="K411">
        <v>66.666666666666657</v>
      </c>
      <c r="L411">
        <v>37.064704471449851</v>
      </c>
      <c r="M411">
        <f t="shared" si="24"/>
        <v>-38.802853433787959</v>
      </c>
      <c r="N411">
        <f t="shared" si="25"/>
        <v>-36.957033218846519</v>
      </c>
      <c r="O411">
        <f t="shared" si="26"/>
        <v>-35.312880197985585</v>
      </c>
      <c r="Q411">
        <f t="shared" si="27"/>
        <v>51.21501139187712</v>
      </c>
    </row>
    <row r="412" spans="1:17" x14ac:dyDescent="0.45">
      <c r="A412">
        <v>525</v>
      </c>
      <c r="B412">
        <v>0</v>
      </c>
      <c r="C412">
        <v>0</v>
      </c>
      <c r="D412">
        <v>49.360787417665684</v>
      </c>
      <c r="E412">
        <v>66.666666666666657</v>
      </c>
      <c r="F412">
        <v>0</v>
      </c>
      <c r="G412">
        <v>0</v>
      </c>
      <c r="H412">
        <v>25</v>
      </c>
      <c r="I412">
        <v>50</v>
      </c>
      <c r="J412">
        <v>23.849252013808975</v>
      </c>
      <c r="K412">
        <v>33.333333333333329</v>
      </c>
      <c r="L412">
        <v>22.962081797407933</v>
      </c>
      <c r="M412">
        <f t="shared" si="24"/>
        <v>-18.908443594836424</v>
      </c>
      <c r="N412">
        <f t="shared" si="25"/>
        <v>-17.952876140551265</v>
      </c>
      <c r="O412">
        <f t="shared" si="26"/>
        <v>-19.986761225304051</v>
      </c>
      <c r="Q412">
        <f t="shared" si="27"/>
        <v>71.109421230828644</v>
      </c>
    </row>
    <row r="413" spans="1:17" x14ac:dyDescent="0.45">
      <c r="A413">
        <v>528</v>
      </c>
      <c r="B413">
        <v>0</v>
      </c>
      <c r="C413">
        <v>1</v>
      </c>
      <c r="D413">
        <v>84.006459481282619</v>
      </c>
      <c r="E413">
        <v>66.666666666666657</v>
      </c>
      <c r="F413">
        <v>0</v>
      </c>
      <c r="G413">
        <v>0</v>
      </c>
      <c r="H413">
        <v>100</v>
      </c>
      <c r="I413">
        <v>16.666666666666664</v>
      </c>
      <c r="J413">
        <v>0.83429228998849247</v>
      </c>
      <c r="K413">
        <v>0</v>
      </c>
      <c r="L413">
        <v>3.8121772714371183</v>
      </c>
      <c r="M413">
        <f t="shared" si="24"/>
        <v>-9.1026730222785055</v>
      </c>
      <c r="N413">
        <f t="shared" si="25"/>
        <v>-9.7056736860461612</v>
      </c>
      <c r="O413">
        <f t="shared" si="26"/>
        <v>-9.6217835855078047</v>
      </c>
      <c r="Q413">
        <f t="shared" si="27"/>
        <v>80.915191803386577</v>
      </c>
    </row>
    <row r="414" spans="1:17" x14ac:dyDescent="0.45">
      <c r="A414">
        <v>529</v>
      </c>
      <c r="B414">
        <v>0</v>
      </c>
      <c r="C414">
        <v>1</v>
      </c>
      <c r="D414">
        <v>83.759786927930122</v>
      </c>
      <c r="E414">
        <v>66.666666666666657</v>
      </c>
      <c r="F414">
        <v>0</v>
      </c>
      <c r="G414">
        <v>0</v>
      </c>
      <c r="H414">
        <v>100</v>
      </c>
      <c r="I414">
        <v>16.666666666666664</v>
      </c>
      <c r="J414">
        <v>1.6973532796317605</v>
      </c>
      <c r="K414">
        <v>0</v>
      </c>
      <c r="L414">
        <v>3.2300079851277559</v>
      </c>
      <c r="M414">
        <f t="shared" si="24"/>
        <v>-9.0947711044478616</v>
      </c>
      <c r="N414">
        <f t="shared" si="25"/>
        <v>-9.6972483107997398</v>
      </c>
      <c r="O414">
        <f t="shared" si="26"/>
        <v>-9.6134310342197562</v>
      </c>
      <c r="Q414">
        <f t="shared" si="27"/>
        <v>80.923093721217214</v>
      </c>
    </row>
    <row r="415" spans="1:17" x14ac:dyDescent="0.45">
      <c r="A415">
        <v>530</v>
      </c>
      <c r="B415">
        <v>0</v>
      </c>
      <c r="C415">
        <v>1</v>
      </c>
      <c r="D415">
        <v>79.186430496444842</v>
      </c>
      <c r="E415">
        <v>66.666666666666657</v>
      </c>
      <c r="F415">
        <v>0</v>
      </c>
      <c r="G415">
        <v>0</v>
      </c>
      <c r="H415">
        <v>50</v>
      </c>
      <c r="I415">
        <v>50</v>
      </c>
      <c r="J415">
        <v>4.3153049482163404</v>
      </c>
      <c r="K415">
        <v>0</v>
      </c>
      <c r="L415">
        <v>2.9085255410234168</v>
      </c>
      <c r="M415">
        <f t="shared" si="24"/>
        <v>-8.7566441802759662</v>
      </c>
      <c r="N415">
        <f t="shared" si="25"/>
        <v>-9.3367223880903421</v>
      </c>
      <c r="O415">
        <f t="shared" si="26"/>
        <v>-9.2560212842646781</v>
      </c>
      <c r="Q415">
        <f t="shared" si="27"/>
        <v>81.261220645389116</v>
      </c>
    </row>
    <row r="416" spans="1:17" x14ac:dyDescent="0.45">
      <c r="A416">
        <v>531</v>
      </c>
      <c r="B416">
        <v>0</v>
      </c>
      <c r="C416">
        <v>0</v>
      </c>
      <c r="D416">
        <v>78.441501804195298</v>
      </c>
      <c r="E416">
        <v>100</v>
      </c>
      <c r="F416">
        <v>100</v>
      </c>
      <c r="G416">
        <v>100</v>
      </c>
      <c r="H416">
        <v>25</v>
      </c>
      <c r="I416">
        <v>33.333333333333329</v>
      </c>
      <c r="J416">
        <v>14.787111622554661</v>
      </c>
      <c r="K416">
        <v>33.333333333333329</v>
      </c>
      <c r="L416">
        <v>3.5155553087397675</v>
      </c>
      <c r="M416">
        <f t="shared" si="24"/>
        <v>-29.703777640840855</v>
      </c>
      <c r="N416">
        <f t="shared" si="25"/>
        <v>-29.463340080752953</v>
      </c>
      <c r="O416">
        <f t="shared" si="26"/>
        <v>-25.694898985917913</v>
      </c>
      <c r="Q416">
        <f t="shared" si="27"/>
        <v>60.314087184824231</v>
      </c>
    </row>
    <row r="417" spans="1:17" x14ac:dyDescent="0.45">
      <c r="A417">
        <v>532</v>
      </c>
      <c r="B417">
        <v>0</v>
      </c>
      <c r="C417">
        <v>0</v>
      </c>
      <c r="D417">
        <v>73.766944104300762</v>
      </c>
      <c r="E417">
        <v>0</v>
      </c>
      <c r="F417">
        <v>0</v>
      </c>
      <c r="G417">
        <v>100</v>
      </c>
      <c r="H417">
        <v>50</v>
      </c>
      <c r="I417">
        <v>33.333333333333329</v>
      </c>
      <c r="J417">
        <v>5.6674338319907935</v>
      </c>
      <c r="K417">
        <v>0</v>
      </c>
      <c r="L417">
        <v>8.8362110892875947</v>
      </c>
      <c r="M417">
        <f t="shared" si="24"/>
        <v>-9.0087121395768062</v>
      </c>
      <c r="N417">
        <f t="shared" si="25"/>
        <v>-9.6054884256810364</v>
      </c>
      <c r="O417">
        <f t="shared" si="26"/>
        <v>-3.8196277272752139</v>
      </c>
      <c r="Q417">
        <f t="shared" si="27"/>
        <v>81.009152686088285</v>
      </c>
    </row>
    <row r="418" spans="1:17" x14ac:dyDescent="0.45">
      <c r="A418">
        <v>533</v>
      </c>
      <c r="B418">
        <v>0</v>
      </c>
      <c r="C418">
        <v>0</v>
      </c>
      <c r="D418">
        <v>73.462601206989774</v>
      </c>
      <c r="E418">
        <v>66.666666666666657</v>
      </c>
      <c r="F418">
        <v>100</v>
      </c>
      <c r="G418">
        <v>100</v>
      </c>
      <c r="H418">
        <v>50</v>
      </c>
      <c r="I418">
        <v>50</v>
      </c>
      <c r="J418">
        <v>15.765247410817032</v>
      </c>
      <c r="K418">
        <v>0</v>
      </c>
      <c r="L418">
        <v>9.1264011002752667</v>
      </c>
      <c r="M418">
        <f t="shared" si="24"/>
        <v>-30.901781707744895</v>
      </c>
      <c r="N418">
        <f t="shared" si="25"/>
        <v>-32.948850171674955</v>
      </c>
      <c r="O418">
        <f t="shared" si="26"/>
        <v>-26.961223266499786</v>
      </c>
      <c r="Q418">
        <f t="shared" si="27"/>
        <v>59.116083117920184</v>
      </c>
    </row>
    <row r="419" spans="1:17" x14ac:dyDescent="0.45">
      <c r="A419">
        <v>534</v>
      </c>
      <c r="B419">
        <v>0</v>
      </c>
      <c r="C419">
        <v>0</v>
      </c>
      <c r="D419">
        <v>73.495615720781856</v>
      </c>
      <c r="E419">
        <v>66.666666666666657</v>
      </c>
      <c r="F419">
        <v>0</v>
      </c>
      <c r="G419">
        <v>0</v>
      </c>
      <c r="H419">
        <v>50</v>
      </c>
      <c r="I419">
        <v>16.666666666666664</v>
      </c>
      <c r="J419">
        <v>1.0644418872266974</v>
      </c>
      <c r="K419">
        <v>0</v>
      </c>
      <c r="L419">
        <v>9.1264011002752667</v>
      </c>
      <c r="M419">
        <f t="shared" si="24"/>
        <v>-6.908534555069938</v>
      </c>
      <c r="N419">
        <f t="shared" si="25"/>
        <v>-7.3661859407863268</v>
      </c>
      <c r="O419">
        <f t="shared" si="26"/>
        <v>-7.302516988053533</v>
      </c>
      <c r="Q419">
        <f t="shared" si="27"/>
        <v>83.109330270595152</v>
      </c>
    </row>
    <row r="420" spans="1:17" x14ac:dyDescent="0.45">
      <c r="A420">
        <v>535</v>
      </c>
      <c r="B420">
        <v>0</v>
      </c>
      <c r="C420">
        <v>0</v>
      </c>
      <c r="D420">
        <v>73.199334526239312</v>
      </c>
      <c r="E420">
        <v>66.666666666666657</v>
      </c>
      <c r="F420">
        <v>0</v>
      </c>
      <c r="G420">
        <v>0</v>
      </c>
      <c r="H420">
        <v>50</v>
      </c>
      <c r="I420">
        <v>16.666666666666664</v>
      </c>
      <c r="J420">
        <v>1.093210586881473</v>
      </c>
      <c r="K420">
        <v>0</v>
      </c>
      <c r="L420">
        <v>9.1264011002752667</v>
      </c>
      <c r="M420">
        <f t="shared" si="24"/>
        <v>-6.9417708937587443</v>
      </c>
      <c r="N420">
        <f t="shared" si="25"/>
        <v>-7.401623999150388</v>
      </c>
      <c r="O420">
        <f t="shared" si="26"/>
        <v>-7.3376487408096365</v>
      </c>
      <c r="Q420">
        <f t="shared" si="27"/>
        <v>83.076093931906343</v>
      </c>
    </row>
    <row r="421" spans="1:17" x14ac:dyDescent="0.45">
      <c r="A421">
        <v>536</v>
      </c>
      <c r="B421">
        <v>0</v>
      </c>
      <c r="C421">
        <v>0</v>
      </c>
      <c r="D421">
        <v>75.490812796055636</v>
      </c>
      <c r="E421">
        <v>0</v>
      </c>
      <c r="F421">
        <v>0</v>
      </c>
      <c r="G421">
        <v>100</v>
      </c>
      <c r="H421">
        <v>100</v>
      </c>
      <c r="I421">
        <v>33.333333333333329</v>
      </c>
      <c r="J421">
        <v>18.58457997698504</v>
      </c>
      <c r="K421">
        <v>66.666666666666657</v>
      </c>
      <c r="L421">
        <v>29.050352722076397</v>
      </c>
      <c r="M421">
        <f t="shared" si="24"/>
        <v>-24.137562470827035</v>
      </c>
      <c r="N421">
        <f>D421*D$2+E421*E$2+F421*F$2+G421*G$2+H421*H$2+I421*I$2+J421*J$2+L421*L$2</f>
        <v>-21.320249578584338</v>
      </c>
      <c r="O421">
        <f t="shared" si="26"/>
        <v>-19.811251663294694</v>
      </c>
      <c r="Q421">
        <f t="shared" si="27"/>
        <v>65.880302354838051</v>
      </c>
    </row>
    <row r="422" spans="1:17" x14ac:dyDescent="0.45">
      <c r="A422">
        <v>537</v>
      </c>
      <c r="B422">
        <v>0</v>
      </c>
      <c r="C422">
        <v>0</v>
      </c>
      <c r="D422">
        <v>77.702211163528531</v>
      </c>
      <c r="E422">
        <v>100</v>
      </c>
      <c r="F422">
        <v>0</v>
      </c>
      <c r="G422">
        <v>100</v>
      </c>
      <c r="H422">
        <v>100</v>
      </c>
      <c r="I422">
        <v>83.333333333333343</v>
      </c>
      <c r="J422">
        <v>18.58457997698504</v>
      </c>
      <c r="K422">
        <v>0</v>
      </c>
      <c r="L422">
        <v>24.413561653827053</v>
      </c>
      <c r="M422">
        <f t="shared" si="24"/>
        <v>-32.241753483723826</v>
      </c>
      <c r="N422">
        <f t="shared" si="25"/>
        <v>-34.377587507876441</v>
      </c>
      <c r="O422">
        <f t="shared" si="26"/>
        <v>-28.377611442544652</v>
      </c>
      <c r="Q422">
        <f t="shared" si="27"/>
        <v>57.776111341941252</v>
      </c>
    </row>
    <row r="423" spans="1:17" x14ac:dyDescent="0.45">
      <c r="A423">
        <v>539</v>
      </c>
      <c r="B423">
        <v>0</v>
      </c>
      <c r="C423">
        <v>0</v>
      </c>
      <c r="D423">
        <v>76.219776982973002</v>
      </c>
      <c r="E423">
        <v>100</v>
      </c>
      <c r="F423">
        <v>0</v>
      </c>
      <c r="G423">
        <v>100</v>
      </c>
      <c r="H423">
        <v>100</v>
      </c>
      <c r="I423">
        <v>33.333333333333329</v>
      </c>
      <c r="J423">
        <v>7.3360184119677792</v>
      </c>
      <c r="K423">
        <v>0</v>
      </c>
      <c r="L423">
        <v>21.225632426375178</v>
      </c>
      <c r="M423">
        <f t="shared" si="24"/>
        <v>-24.894258611483679</v>
      </c>
      <c r="N423">
        <f t="shared" si="25"/>
        <v>-26.543362608736867</v>
      </c>
      <c r="O423">
        <f t="shared" si="26"/>
        <v>-20.611100947957315</v>
      </c>
      <c r="Q423">
        <f t="shared" si="27"/>
        <v>65.123606214181407</v>
      </c>
    </row>
    <row r="424" spans="1:17" x14ac:dyDescent="0.45">
      <c r="A424">
        <v>540</v>
      </c>
      <c r="B424">
        <v>0</v>
      </c>
      <c r="C424">
        <v>0</v>
      </c>
      <c r="D424">
        <v>76.494736989315442</v>
      </c>
      <c r="E424">
        <v>100</v>
      </c>
      <c r="F424">
        <v>0</v>
      </c>
      <c r="G424">
        <v>100</v>
      </c>
      <c r="H424">
        <v>100</v>
      </c>
      <c r="I424">
        <v>33.333333333333329</v>
      </c>
      <c r="J424">
        <v>13.147295742232451</v>
      </c>
      <c r="K424">
        <v>0</v>
      </c>
      <c r="L424">
        <v>21.225632426375178</v>
      </c>
      <c r="M424">
        <f t="shared" si="24"/>
        <v>-25.606363901369313</v>
      </c>
      <c r="N424">
        <f t="shared" si="25"/>
        <v>-27.302640851163211</v>
      </c>
      <c r="O424">
        <f t="shared" si="26"/>
        <v>-21.363816438517674</v>
      </c>
      <c r="Q424">
        <f t="shared" si="27"/>
        <v>64.411500924295765</v>
      </c>
    </row>
    <row r="425" spans="1:17" x14ac:dyDescent="0.45">
      <c r="A425">
        <v>541</v>
      </c>
      <c r="B425">
        <v>0</v>
      </c>
      <c r="C425">
        <v>1</v>
      </c>
      <c r="D425">
        <v>90.809549148251619</v>
      </c>
      <c r="E425">
        <v>66.666666666666657</v>
      </c>
      <c r="F425">
        <v>0</v>
      </c>
      <c r="G425">
        <v>100</v>
      </c>
      <c r="H425">
        <v>100</v>
      </c>
      <c r="I425">
        <v>50</v>
      </c>
      <c r="J425">
        <v>16.196777905638665</v>
      </c>
      <c r="K425">
        <v>0</v>
      </c>
      <c r="L425">
        <v>4.662977293226394</v>
      </c>
      <c r="M425">
        <f t="shared" si="24"/>
        <v>-19.504781411752585</v>
      </c>
      <c r="N425">
        <f t="shared" si="25"/>
        <v>-20.796862991431894</v>
      </c>
      <c r="O425">
        <f t="shared" si="26"/>
        <v>-14.914270673166127</v>
      </c>
      <c r="Q425">
        <f t="shared" si="27"/>
        <v>70.513083413912497</v>
      </c>
    </row>
    <row r="426" spans="1:17" x14ac:dyDescent="0.45">
      <c r="A426">
        <v>542</v>
      </c>
      <c r="B426">
        <v>0</v>
      </c>
      <c r="C426">
        <v>0</v>
      </c>
      <c r="D426">
        <v>94.77842424640653</v>
      </c>
      <c r="E426">
        <v>0</v>
      </c>
      <c r="F426">
        <v>0</v>
      </c>
      <c r="G426">
        <v>100</v>
      </c>
      <c r="H426">
        <v>100</v>
      </c>
      <c r="I426">
        <v>33.333333333333329</v>
      </c>
      <c r="J426">
        <v>6.0989643268124283</v>
      </c>
      <c r="K426">
        <v>0</v>
      </c>
      <c r="L426">
        <v>1.888297257818591</v>
      </c>
      <c r="M426">
        <f t="shared" si="24"/>
        <v>-9.8393782514597365</v>
      </c>
      <c r="N426">
        <f t="shared" si="25"/>
        <v>-10.491181474773375</v>
      </c>
      <c r="O426">
        <f t="shared" si="26"/>
        <v>-4.6976653697118245</v>
      </c>
      <c r="Q426">
        <f t="shared" si="27"/>
        <v>80.178486574205337</v>
      </c>
    </row>
    <row r="427" spans="1:17" x14ac:dyDescent="0.45">
      <c r="A427">
        <v>543</v>
      </c>
      <c r="B427">
        <v>0</v>
      </c>
      <c r="C427">
        <v>0</v>
      </c>
      <c r="D427">
        <v>100</v>
      </c>
      <c r="E427">
        <v>66.666666666666657</v>
      </c>
      <c r="F427">
        <v>0</v>
      </c>
      <c r="G427">
        <v>100</v>
      </c>
      <c r="H427">
        <v>100</v>
      </c>
      <c r="I427">
        <v>33.333333333333329</v>
      </c>
      <c r="J427">
        <v>27.560414269275029</v>
      </c>
      <c r="K427">
        <v>33.333333333333329</v>
      </c>
      <c r="L427">
        <v>3.5411265966601415</v>
      </c>
      <c r="M427">
        <f t="shared" si="24"/>
        <v>-20.068688504787893</v>
      </c>
      <c r="N427">
        <f t="shared" si="25"/>
        <v>-19.189980721186444</v>
      </c>
      <c r="O427">
        <f t="shared" si="26"/>
        <v>-15.510336465954586</v>
      </c>
      <c r="Q427">
        <f t="shared" si="27"/>
        <v>69.949176320877186</v>
      </c>
    </row>
    <row r="428" spans="1:17" x14ac:dyDescent="0.45">
      <c r="A428">
        <v>544</v>
      </c>
      <c r="B428">
        <v>0</v>
      </c>
      <c r="C428">
        <v>1</v>
      </c>
      <c r="D428">
        <v>100</v>
      </c>
      <c r="E428">
        <v>0</v>
      </c>
      <c r="F428">
        <v>0</v>
      </c>
      <c r="G428">
        <v>100</v>
      </c>
      <c r="H428">
        <v>100</v>
      </c>
      <c r="I428">
        <v>16.666666666666664</v>
      </c>
      <c r="J428">
        <v>32.681242807825086</v>
      </c>
      <c r="K428">
        <v>66.666666666666657</v>
      </c>
      <c r="L428">
        <v>3.9619086556903111</v>
      </c>
      <c r="M428">
        <f t="shared" si="24"/>
        <v>-15.588563568521673</v>
      </c>
      <c r="N428">
        <f t="shared" si="25"/>
        <v>-12.204927795074497</v>
      </c>
      <c r="O428">
        <f t="shared" si="26"/>
        <v>-10.774717327786272</v>
      </c>
      <c r="Q428">
        <f t="shared" si="27"/>
        <v>74.429301257143393</v>
      </c>
    </row>
    <row r="429" spans="1:17" x14ac:dyDescent="0.45">
      <c r="A429">
        <v>545</v>
      </c>
      <c r="B429">
        <v>0</v>
      </c>
      <c r="C429">
        <v>0</v>
      </c>
      <c r="D429">
        <v>99.259392261501333</v>
      </c>
      <c r="E429">
        <v>66.666666666666657</v>
      </c>
      <c r="F429">
        <v>0</v>
      </c>
      <c r="G429">
        <v>100</v>
      </c>
      <c r="H429">
        <v>100</v>
      </c>
      <c r="I429">
        <v>100</v>
      </c>
      <c r="J429">
        <v>32.825086306098967</v>
      </c>
      <c r="K429">
        <v>0</v>
      </c>
      <c r="L429">
        <v>0.61547228415531696</v>
      </c>
      <c r="M429">
        <f>D429*D$1+E429*E$1+F429*F$1+G429*G$1+H429*H$1+I429*I$1+J429*J$1+K429*K$1+L429*L$1</f>
        <v>-25.072112793245644</v>
      </c>
      <c r="N429">
        <f t="shared" si="25"/>
        <v>-26.732998625284491</v>
      </c>
      <c r="O429">
        <f t="shared" si="26"/>
        <v>-20.799097862984684</v>
      </c>
      <c r="Q429">
        <f t="shared" si="27"/>
        <v>64.945752032419435</v>
      </c>
    </row>
    <row r="430" spans="1:17" x14ac:dyDescent="0.45">
      <c r="A430">
        <v>546</v>
      </c>
      <c r="B430">
        <v>0</v>
      </c>
      <c r="C430">
        <v>0</v>
      </c>
      <c r="D430">
        <v>99.492655993761076</v>
      </c>
      <c r="E430">
        <v>66.666666666666657</v>
      </c>
      <c r="F430">
        <v>0</v>
      </c>
      <c r="G430">
        <v>100</v>
      </c>
      <c r="H430">
        <v>100</v>
      </c>
      <c r="I430">
        <v>100</v>
      </c>
      <c r="J430">
        <v>33.112773302646723</v>
      </c>
      <c r="K430">
        <v>0</v>
      </c>
      <c r="L430">
        <v>0.61547228415531696</v>
      </c>
      <c r="M430">
        <f t="shared" si="24"/>
        <v>-25.085439585713136</v>
      </c>
      <c r="N430">
        <f t="shared" si="25"/>
        <v>-26.747208242465575</v>
      </c>
      <c r="O430">
        <f t="shared" si="26"/>
        <v>-20.813184660642619</v>
      </c>
      <c r="Q430">
        <f t="shared" si="27"/>
        <v>64.932425239951954</v>
      </c>
    </row>
    <row r="431" spans="1:17" x14ac:dyDescent="0.45">
      <c r="A431">
        <v>547</v>
      </c>
      <c r="B431">
        <v>1</v>
      </c>
      <c r="C431">
        <v>0</v>
      </c>
      <c r="D431">
        <v>100</v>
      </c>
      <c r="E431">
        <v>100</v>
      </c>
      <c r="F431">
        <v>0</v>
      </c>
      <c r="G431">
        <v>100</v>
      </c>
      <c r="H431">
        <v>100</v>
      </c>
      <c r="I431">
        <v>33.333333333333329</v>
      </c>
      <c r="J431">
        <v>12.456846950517837</v>
      </c>
      <c r="K431">
        <v>0</v>
      </c>
      <c r="L431">
        <v>8.0163297001719833</v>
      </c>
      <c r="M431">
        <f t="shared" si="24"/>
        <v>-19.942059128245333</v>
      </c>
      <c r="N431">
        <f t="shared" si="25"/>
        <v>-21.263107886318352</v>
      </c>
      <c r="O431">
        <f t="shared" si="26"/>
        <v>-15.376485623056215</v>
      </c>
      <c r="Q431">
        <f t="shared" si="27"/>
        <v>70.075805697419753</v>
      </c>
    </row>
    <row r="432" spans="1:17" x14ac:dyDescent="0.45">
      <c r="A432">
        <v>548</v>
      </c>
      <c r="B432">
        <v>1</v>
      </c>
      <c r="C432">
        <v>0</v>
      </c>
      <c r="D432">
        <v>73.694035421384697</v>
      </c>
      <c r="E432">
        <v>66.666666666666657</v>
      </c>
      <c r="F432">
        <v>0</v>
      </c>
      <c r="G432">
        <v>100</v>
      </c>
      <c r="H432">
        <v>75</v>
      </c>
      <c r="I432">
        <v>33.333333333333329</v>
      </c>
      <c r="J432">
        <v>6.61680092059839</v>
      </c>
      <c r="K432">
        <v>0</v>
      </c>
      <c r="L432">
        <v>0</v>
      </c>
      <c r="M432">
        <f t="shared" si="24"/>
        <v>-14.806321989425118</v>
      </c>
      <c r="N432">
        <f t="shared" si="25"/>
        <v>-15.787157175499519</v>
      </c>
      <c r="O432">
        <f t="shared" si="26"/>
        <v>-9.9478657900860927</v>
      </c>
      <c r="Q432">
        <f t="shared" si="27"/>
        <v>75.211542836239971</v>
      </c>
    </row>
    <row r="433" spans="1:17" x14ac:dyDescent="0.45">
      <c r="A433">
        <v>549</v>
      </c>
      <c r="B433">
        <v>0</v>
      </c>
      <c r="C433">
        <v>0</v>
      </c>
      <c r="D433">
        <v>73.112570010377127</v>
      </c>
      <c r="E433">
        <v>0</v>
      </c>
      <c r="F433">
        <v>0</v>
      </c>
      <c r="G433">
        <v>100</v>
      </c>
      <c r="H433">
        <v>75</v>
      </c>
      <c r="I433">
        <v>33.333333333333329</v>
      </c>
      <c r="J433">
        <v>6.5880322209436137</v>
      </c>
      <c r="K433">
        <v>0</v>
      </c>
      <c r="L433">
        <v>0</v>
      </c>
      <c r="M433">
        <f t="shared" si="24"/>
        <v>-9.3165130832503937</v>
      </c>
      <c r="N433">
        <f t="shared" si="25"/>
        <v>-9.9336794430054329</v>
      </c>
      <c r="O433">
        <f t="shared" si="26"/>
        <v>-4.144982055635019</v>
      </c>
      <c r="Q433">
        <f t="shared" si="27"/>
        <v>80.701351742414687</v>
      </c>
    </row>
    <row r="434" spans="1:17" x14ac:dyDescent="0.45">
      <c r="A434">
        <v>550</v>
      </c>
      <c r="B434">
        <v>0</v>
      </c>
      <c r="C434">
        <v>1</v>
      </c>
      <c r="D434">
        <v>71.111313538459882</v>
      </c>
      <c r="E434">
        <v>66.666666666666657</v>
      </c>
      <c r="F434">
        <v>0</v>
      </c>
      <c r="G434">
        <v>100</v>
      </c>
      <c r="H434">
        <v>100</v>
      </c>
      <c r="I434">
        <v>33.333333333333329</v>
      </c>
      <c r="J434">
        <v>5.5811277330264666</v>
      </c>
      <c r="K434">
        <v>0</v>
      </c>
      <c r="L434">
        <v>5.6156620325721036</v>
      </c>
      <c r="M434">
        <f t="shared" si="24"/>
        <v>-18.591614554361843</v>
      </c>
      <c r="N434">
        <f t="shared" si="25"/>
        <v>-19.823203988515374</v>
      </c>
      <c r="O434">
        <f t="shared" si="26"/>
        <v>-13.949027402561136</v>
      </c>
      <c r="Q434">
        <f t="shared" si="27"/>
        <v>71.426250271303232</v>
      </c>
    </row>
    <row r="435" spans="1:17" x14ac:dyDescent="0.45">
      <c r="A435">
        <v>551</v>
      </c>
      <c r="B435">
        <v>0</v>
      </c>
      <c r="C435">
        <v>0</v>
      </c>
      <c r="D435">
        <v>5.1724160898232334</v>
      </c>
      <c r="E435">
        <v>0</v>
      </c>
      <c r="F435">
        <v>100</v>
      </c>
      <c r="G435">
        <v>100</v>
      </c>
      <c r="H435">
        <v>100</v>
      </c>
      <c r="I435">
        <v>33.333333333333329</v>
      </c>
      <c r="J435">
        <v>60.932105868814737</v>
      </c>
      <c r="K435">
        <v>0</v>
      </c>
      <c r="L435">
        <v>64.23750517541815</v>
      </c>
      <c r="M435">
        <f t="shared" si="24"/>
        <v>-54.209563626788999</v>
      </c>
      <c r="N435">
        <f t="shared" si="25"/>
        <v>-57.800640969620581</v>
      </c>
      <c r="O435">
        <f t="shared" si="26"/>
        <v>-51.598209889481737</v>
      </c>
      <c r="Q435">
        <f t="shared" si="27"/>
        <v>35.80830119887608</v>
      </c>
    </row>
    <row r="436" spans="1:17" x14ac:dyDescent="0.45">
      <c r="A436">
        <v>552</v>
      </c>
      <c r="B436">
        <v>0</v>
      </c>
      <c r="C436">
        <v>0</v>
      </c>
      <c r="D436">
        <v>17.617915012503381</v>
      </c>
      <c r="E436">
        <v>66.666666666666657</v>
      </c>
      <c r="F436">
        <v>100</v>
      </c>
      <c r="G436">
        <v>100</v>
      </c>
      <c r="H436">
        <v>75</v>
      </c>
      <c r="I436">
        <v>33.333333333333329</v>
      </c>
      <c r="J436">
        <v>14.039125431530493</v>
      </c>
      <c r="K436">
        <v>33.333333333333329</v>
      </c>
      <c r="L436">
        <v>29.454527336477149</v>
      </c>
      <c r="M436">
        <f t="shared" si="24"/>
        <v>-43.82305637975908</v>
      </c>
      <c r="N436">
        <f t="shared" si="25"/>
        <v>-44.517941271730109</v>
      </c>
      <c r="O436">
        <f t="shared" si="26"/>
        <v>-40.619377111940636</v>
      </c>
      <c r="Q436">
        <f t="shared" si="27"/>
        <v>46.194808445905998</v>
      </c>
    </row>
    <row r="437" spans="1:17" x14ac:dyDescent="0.45">
      <c r="A437">
        <v>553</v>
      </c>
      <c r="B437">
        <v>0</v>
      </c>
      <c r="C437">
        <v>0</v>
      </c>
      <c r="D437">
        <v>41.93702237560678</v>
      </c>
      <c r="E437">
        <v>33.333333333333329</v>
      </c>
      <c r="F437">
        <v>0</v>
      </c>
      <c r="G437">
        <v>0</v>
      </c>
      <c r="H437">
        <v>75</v>
      </c>
      <c r="I437">
        <v>16.666666666666664</v>
      </c>
      <c r="J437">
        <v>33.601841196777904</v>
      </c>
      <c r="K437">
        <v>66.666666666666657</v>
      </c>
      <c r="L437">
        <v>1.2767339783897882</v>
      </c>
      <c r="M437">
        <f t="shared" si="24"/>
        <v>-15.935898685345936</v>
      </c>
      <c r="N437">
        <f t="shared" si="25"/>
        <v>-12.575271901179407</v>
      </c>
      <c r="O437">
        <f t="shared" si="26"/>
        <v>-16.844696938547859</v>
      </c>
      <c r="Q437">
        <f t="shared" si="27"/>
        <v>74.081966140319139</v>
      </c>
    </row>
  </sheetData>
  <sortState xmlns:xlrd2="http://schemas.microsoft.com/office/spreadsheetml/2017/richdata2" ref="AC7:AF45">
    <sortCondition descending="1" ref="AF7:AF4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6955-3025-4A18-BD20-11F2FCE0FFDE}">
  <dimension ref="G3:T29"/>
  <sheetViews>
    <sheetView topLeftCell="F16" workbookViewId="0">
      <selection activeCell="S27" sqref="S27"/>
    </sheetView>
  </sheetViews>
  <sheetFormatPr defaultRowHeight="14.25" x14ac:dyDescent="0.45"/>
  <sheetData>
    <row r="3" spans="7:20" x14ac:dyDescent="0.45">
      <c r="M3" t="s">
        <v>110</v>
      </c>
    </row>
    <row r="4" spans="7:20" x14ac:dyDescent="0.45">
      <c r="G4" s="69" t="s">
        <v>201</v>
      </c>
      <c r="H4" s="70" t="s">
        <v>197</v>
      </c>
      <c r="I4" s="70"/>
      <c r="N4" t="s">
        <v>50</v>
      </c>
      <c r="O4" t="s">
        <v>51</v>
      </c>
    </row>
    <row r="5" spans="7:20" x14ac:dyDescent="0.45">
      <c r="G5" s="69"/>
      <c r="H5" s="41" t="s">
        <v>198</v>
      </c>
      <c r="I5" s="41" t="s">
        <v>199</v>
      </c>
      <c r="M5" t="s">
        <v>33</v>
      </c>
      <c r="N5">
        <v>66.647988450539259</v>
      </c>
      <c r="O5">
        <v>82.351828048716044</v>
      </c>
      <c r="R5" s="41"/>
      <c r="S5" s="41" t="s">
        <v>206</v>
      </c>
      <c r="T5" s="41" t="s">
        <v>207</v>
      </c>
    </row>
    <row r="6" spans="7:20" x14ac:dyDescent="0.45">
      <c r="G6" s="41" t="s">
        <v>17</v>
      </c>
      <c r="H6" s="54">
        <v>-0.17648171951283964</v>
      </c>
      <c r="I6" s="54">
        <v>9.9821351743349135E-2</v>
      </c>
      <c r="M6" t="s">
        <v>18</v>
      </c>
      <c r="N6">
        <v>-6.3390446715692397</v>
      </c>
      <c r="O6">
        <v>-17.648171951283963</v>
      </c>
      <c r="R6" s="41" t="s">
        <v>18</v>
      </c>
      <c r="S6" s="54">
        <v>-17.648171951283963</v>
      </c>
      <c r="T6" s="54">
        <v>-90.017864825665072</v>
      </c>
    </row>
    <row r="7" spans="7:20" x14ac:dyDescent="0.45">
      <c r="G7" s="41" t="s">
        <v>10</v>
      </c>
      <c r="H7" s="54">
        <v>0.12451516292237895</v>
      </c>
      <c r="I7" s="54">
        <v>-8.3162856302101046E-2</v>
      </c>
      <c r="R7" s="41" t="s">
        <v>33</v>
      </c>
      <c r="S7" s="54">
        <v>82.351828048716044</v>
      </c>
      <c r="T7" s="54">
        <v>9.982135174334914</v>
      </c>
    </row>
    <row r="8" spans="7:20" x14ac:dyDescent="0.45">
      <c r="G8" s="41" t="s">
        <v>11</v>
      </c>
      <c r="H8" s="41"/>
      <c r="I8" s="54">
        <v>-0.1320100469677844</v>
      </c>
    </row>
    <row r="9" spans="7:20" x14ac:dyDescent="0.45">
      <c r="G9" s="41" t="s">
        <v>12</v>
      </c>
      <c r="H9" s="54">
        <v>8.846396142459656E-2</v>
      </c>
      <c r="I9" s="54">
        <v>-5.3951594173368915E-2</v>
      </c>
    </row>
    <row r="10" spans="7:20" x14ac:dyDescent="0.45">
      <c r="G10" s="41" t="s">
        <v>13</v>
      </c>
      <c r="H10" s="54">
        <v>0.14524513113577964</v>
      </c>
      <c r="I10" s="54">
        <v>-9.1442744883771188E-2</v>
      </c>
      <c r="M10" t="s">
        <v>109</v>
      </c>
    </row>
    <row r="11" spans="7:20" x14ac:dyDescent="0.45">
      <c r="G11" s="41" t="s">
        <v>14</v>
      </c>
      <c r="H11" s="54">
        <v>0.14600040452737567</v>
      </c>
      <c r="I11" s="54">
        <v>-0.10568820496679646</v>
      </c>
      <c r="N11" t="s">
        <v>50</v>
      </c>
      <c r="O11" t="s">
        <v>51</v>
      </c>
    </row>
    <row r="12" spans="7:20" x14ac:dyDescent="0.45">
      <c r="G12" s="41" t="s">
        <v>15</v>
      </c>
      <c r="H12" s="41"/>
      <c r="I12" s="54">
        <v>-0.12726155152544014</v>
      </c>
      <c r="M12" t="s">
        <v>33</v>
      </c>
      <c r="N12">
        <v>2.4073829022724977</v>
      </c>
      <c r="O12">
        <v>9.982135174334914</v>
      </c>
    </row>
    <row r="13" spans="7:20" x14ac:dyDescent="0.45">
      <c r="G13" s="41" t="s">
        <v>16</v>
      </c>
      <c r="H13" s="54">
        <v>6.5128270718560324E-2</v>
      </c>
      <c r="I13" s="54">
        <v>-6.2128676820712374E-2</v>
      </c>
      <c r="M13" t="s">
        <v>18</v>
      </c>
      <c r="N13">
        <v>-72.855726935565528</v>
      </c>
      <c r="O13">
        <v>-90.017864825665072</v>
      </c>
    </row>
    <row r="14" spans="7:20" x14ac:dyDescent="0.45">
      <c r="G14" s="41" t="s">
        <v>37</v>
      </c>
      <c r="H14" s="54">
        <v>0.25416534975846922</v>
      </c>
      <c r="I14" s="54"/>
    </row>
    <row r="15" spans="7:20" x14ac:dyDescent="0.45">
      <c r="G15" s="41" t="s">
        <v>38</v>
      </c>
      <c r="H15" s="54"/>
      <c r="I15" s="54">
        <v>-0.24453297261667634</v>
      </c>
    </row>
    <row r="19" spans="13:16" x14ac:dyDescent="0.45">
      <c r="M19" t="s">
        <v>54</v>
      </c>
      <c r="N19" t="s">
        <v>55</v>
      </c>
    </row>
    <row r="20" spans="13:16" x14ac:dyDescent="0.45">
      <c r="M20">
        <v>59.034686013887367</v>
      </c>
      <c r="N20">
        <v>20.149829638250239</v>
      </c>
    </row>
    <row r="22" spans="13:16" x14ac:dyDescent="0.45">
      <c r="M22" t="s">
        <v>56</v>
      </c>
      <c r="N22" t="s">
        <v>59</v>
      </c>
    </row>
    <row r="23" spans="13:16" x14ac:dyDescent="0.45">
      <c r="M23">
        <v>74.187259691514171</v>
      </c>
      <c r="N23">
        <v>50.222301121471389</v>
      </c>
    </row>
    <row r="27" spans="13:16" x14ac:dyDescent="0.45">
      <c r="M27" s="66" t="s">
        <v>214</v>
      </c>
      <c r="N27" s="66"/>
      <c r="O27" s="66" t="s">
        <v>215</v>
      </c>
      <c r="P27" s="66"/>
    </row>
    <row r="28" spans="13:16" x14ac:dyDescent="0.45">
      <c r="M28" s="41" t="s">
        <v>212</v>
      </c>
      <c r="N28" s="42">
        <v>59.034686013887367</v>
      </c>
      <c r="O28" s="41" t="s">
        <v>216</v>
      </c>
      <c r="P28" s="42">
        <v>74.187259691514171</v>
      </c>
    </row>
    <row r="29" spans="13:16" x14ac:dyDescent="0.45">
      <c r="M29" s="41" t="s">
        <v>213</v>
      </c>
      <c r="N29" s="42">
        <v>20.149829638250239</v>
      </c>
      <c r="O29" s="41" t="s">
        <v>217</v>
      </c>
      <c r="P29" s="42">
        <v>50.222301121471389</v>
      </c>
    </row>
  </sheetData>
  <mergeCells count="4">
    <mergeCell ref="G4:G5"/>
    <mergeCell ref="H4:I4"/>
    <mergeCell ref="M27:N27"/>
    <mergeCell ref="O27:P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9443-76CF-49D2-8B38-ADF66FED1E27}">
  <dimension ref="B3:H21"/>
  <sheetViews>
    <sheetView workbookViewId="0">
      <selection activeCell="B8" sqref="B8"/>
    </sheetView>
  </sheetViews>
  <sheetFormatPr defaultRowHeight="14.25" x14ac:dyDescent="0.45"/>
  <sheetData>
    <row r="3" spans="2:8" x14ac:dyDescent="0.45">
      <c r="B3" t="s">
        <v>84</v>
      </c>
    </row>
    <row r="4" spans="2:8" x14ac:dyDescent="0.45">
      <c r="B4" t="s">
        <v>88</v>
      </c>
      <c r="C4" t="s">
        <v>62</v>
      </c>
      <c r="D4" t="s">
        <v>73</v>
      </c>
      <c r="E4" t="s">
        <v>74</v>
      </c>
      <c r="F4" t="s">
        <v>87</v>
      </c>
      <c r="G4" t="s">
        <v>89</v>
      </c>
      <c r="H4" t="s">
        <v>108</v>
      </c>
    </row>
    <row r="5" spans="2:8" x14ac:dyDescent="0.45">
      <c r="B5" s="35" t="s">
        <v>85</v>
      </c>
      <c r="C5" s="35" t="s">
        <v>64</v>
      </c>
      <c r="D5" s="35" t="s">
        <v>67</v>
      </c>
      <c r="E5" s="35">
        <v>86</v>
      </c>
      <c r="F5" t="s">
        <v>112</v>
      </c>
      <c r="G5" t="s">
        <v>90</v>
      </c>
      <c r="H5" t="s">
        <v>110</v>
      </c>
    </row>
    <row r="6" spans="2:8" x14ac:dyDescent="0.45">
      <c r="B6" s="34" t="s">
        <v>85</v>
      </c>
      <c r="C6" s="34" t="s">
        <v>63</v>
      </c>
      <c r="D6" s="34" t="s">
        <v>69</v>
      </c>
      <c r="E6" s="34">
        <v>37</v>
      </c>
      <c r="F6" t="s">
        <v>113</v>
      </c>
      <c r="G6" t="s">
        <v>91</v>
      </c>
      <c r="H6" t="s">
        <v>110</v>
      </c>
    </row>
    <row r="7" spans="2:8" x14ac:dyDescent="0.45">
      <c r="B7" s="31" t="s">
        <v>85</v>
      </c>
      <c r="C7" s="31" t="s">
        <v>86</v>
      </c>
      <c r="D7" s="31" t="s">
        <v>68</v>
      </c>
      <c r="E7" s="31">
        <v>0</v>
      </c>
      <c r="F7" t="s">
        <v>114</v>
      </c>
      <c r="G7" t="s">
        <v>92</v>
      </c>
    </row>
    <row r="8" spans="2:8" x14ac:dyDescent="0.45">
      <c r="B8" s="33" t="s">
        <v>65</v>
      </c>
      <c r="C8" s="33" t="s">
        <v>64</v>
      </c>
      <c r="D8" s="33" t="s">
        <v>72</v>
      </c>
      <c r="E8" s="33">
        <v>23</v>
      </c>
      <c r="F8" t="s">
        <v>78</v>
      </c>
      <c r="G8" t="s">
        <v>102</v>
      </c>
      <c r="H8" t="s">
        <v>111</v>
      </c>
    </row>
    <row r="9" spans="2:8" x14ac:dyDescent="0.45">
      <c r="B9" s="32" t="s">
        <v>65</v>
      </c>
      <c r="C9" s="32" t="s">
        <v>63</v>
      </c>
      <c r="D9" s="32" t="s">
        <v>71</v>
      </c>
      <c r="E9" s="32">
        <v>198</v>
      </c>
      <c r="F9" t="s">
        <v>79</v>
      </c>
      <c r="G9" t="s">
        <v>103</v>
      </c>
      <c r="H9" t="s">
        <v>111</v>
      </c>
    </row>
    <row r="10" spans="2:8" x14ac:dyDescent="0.45">
      <c r="B10" s="36" t="s">
        <v>65</v>
      </c>
      <c r="C10" s="36" t="s">
        <v>86</v>
      </c>
      <c r="D10" s="36" t="s">
        <v>70</v>
      </c>
      <c r="E10" s="36">
        <v>69</v>
      </c>
      <c r="F10" t="s">
        <v>80</v>
      </c>
      <c r="G10" t="s">
        <v>104</v>
      </c>
      <c r="H10" t="s">
        <v>111</v>
      </c>
    </row>
    <row r="11" spans="2:8" x14ac:dyDescent="0.45">
      <c r="B11" s="31" t="s">
        <v>66</v>
      </c>
      <c r="C11" s="31" t="s">
        <v>64</v>
      </c>
      <c r="D11" s="31" t="s">
        <v>77</v>
      </c>
      <c r="E11" s="31">
        <v>0</v>
      </c>
      <c r="F11" t="s">
        <v>81</v>
      </c>
      <c r="G11" t="s">
        <v>105</v>
      </c>
    </row>
    <row r="12" spans="2:8" x14ac:dyDescent="0.45">
      <c r="B12" s="37" t="s">
        <v>66</v>
      </c>
      <c r="C12" s="37" t="s">
        <v>63</v>
      </c>
      <c r="D12" s="37" t="s">
        <v>76</v>
      </c>
      <c r="E12" s="37">
        <v>1</v>
      </c>
      <c r="F12" t="s">
        <v>82</v>
      </c>
      <c r="G12" t="s">
        <v>106</v>
      </c>
      <c r="H12" t="s">
        <v>109</v>
      </c>
    </row>
    <row r="13" spans="2:8" x14ac:dyDescent="0.45">
      <c r="B13" s="38" t="s">
        <v>66</v>
      </c>
      <c r="C13" s="38" t="s">
        <v>86</v>
      </c>
      <c r="D13" s="38" t="s">
        <v>75</v>
      </c>
      <c r="E13" s="38">
        <v>17</v>
      </c>
      <c r="F13" t="s">
        <v>83</v>
      </c>
      <c r="G13" t="s">
        <v>107</v>
      </c>
      <c r="H13" t="s">
        <v>109</v>
      </c>
    </row>
    <row r="14" spans="2:8" x14ac:dyDescent="0.45">
      <c r="E14">
        <f>SUM(E5:E13)</f>
        <v>431</v>
      </c>
    </row>
    <row r="18" spans="2:8" x14ac:dyDescent="0.45">
      <c r="B18" t="s">
        <v>93</v>
      </c>
      <c r="C18" t="s">
        <v>95</v>
      </c>
      <c r="D18" t="s">
        <v>89</v>
      </c>
      <c r="F18" t="s">
        <v>94</v>
      </c>
      <c r="G18" t="s">
        <v>95</v>
      </c>
      <c r="H18" t="s">
        <v>89</v>
      </c>
    </row>
    <row r="19" spans="2:8" x14ac:dyDescent="0.45">
      <c r="B19" t="s">
        <v>85</v>
      </c>
      <c r="C19">
        <f>SUM(E5:E7)</f>
        <v>123</v>
      </c>
      <c r="D19" t="s">
        <v>96</v>
      </c>
      <c r="F19" t="s">
        <v>86</v>
      </c>
      <c r="G19">
        <f>E7+E10+E13</f>
        <v>86</v>
      </c>
      <c r="H19" t="s">
        <v>99</v>
      </c>
    </row>
    <row r="20" spans="2:8" x14ac:dyDescent="0.45">
      <c r="B20" t="s">
        <v>65</v>
      </c>
      <c r="C20">
        <f>SUM(E8:E10)</f>
        <v>290</v>
      </c>
      <c r="D20" t="s">
        <v>97</v>
      </c>
      <c r="F20" t="s">
        <v>63</v>
      </c>
      <c r="G20">
        <f>E6+E9+E12</f>
        <v>236</v>
      </c>
      <c r="H20" t="s">
        <v>100</v>
      </c>
    </row>
    <row r="21" spans="2:8" x14ac:dyDescent="0.45">
      <c r="B21" t="s">
        <v>66</v>
      </c>
      <c r="C21">
        <f>SUM(E11:E13)</f>
        <v>18</v>
      </c>
      <c r="D21" t="s">
        <v>98</v>
      </c>
      <c r="F21" t="s">
        <v>64</v>
      </c>
      <c r="G21">
        <f>E5+E8+E11</f>
        <v>109</v>
      </c>
      <c r="H21" t="s">
        <v>101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99E4-1BE1-4EDE-9CFA-235F6EB37F8E}">
  <dimension ref="A1:U433"/>
  <sheetViews>
    <sheetView workbookViewId="0">
      <selection activeCell="B3" sqref="B3"/>
    </sheetView>
  </sheetViews>
  <sheetFormatPr defaultRowHeight="14.25" x14ac:dyDescent="0.45"/>
  <cols>
    <col min="2" max="2" width="14.46484375" customWidth="1"/>
    <col min="3" max="3" width="9.3984375" customWidth="1"/>
    <col min="5" max="5" width="13.06640625" customWidth="1"/>
    <col min="6" max="6" width="10.19921875" customWidth="1"/>
    <col min="7" max="7" width="13" customWidth="1"/>
    <col min="9" max="9" width="9.796875" customWidth="1"/>
    <col min="14" max="14" width="10.46484375" customWidth="1"/>
    <col min="15" max="15" width="10.33203125" customWidth="1"/>
    <col min="21" max="21" width="11.53125" customWidth="1"/>
  </cols>
  <sheetData>
    <row r="1" spans="1:21" x14ac:dyDescent="0.45">
      <c r="A1" t="s">
        <v>21</v>
      </c>
      <c r="B1" t="s">
        <v>22</v>
      </c>
      <c r="C1" t="s">
        <v>23</v>
      </c>
      <c r="D1" t="s">
        <v>0</v>
      </c>
      <c r="E1" t="s">
        <v>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9</v>
      </c>
      <c r="N1" t="s">
        <v>17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45">
      <c r="A2">
        <v>1</v>
      </c>
      <c r="B2">
        <v>0</v>
      </c>
      <c r="C2">
        <v>0</v>
      </c>
      <c r="D2">
        <v>4</v>
      </c>
      <c r="E2">
        <v>8</v>
      </c>
      <c r="F2">
        <v>1</v>
      </c>
      <c r="G2">
        <v>16</v>
      </c>
      <c r="H2">
        <v>20</v>
      </c>
      <c r="I2">
        <v>63</v>
      </c>
      <c r="J2">
        <v>22</v>
      </c>
      <c r="K2">
        <v>6</v>
      </c>
      <c r="L2">
        <v>11</v>
      </c>
      <c r="M2">
        <v>15</v>
      </c>
      <c r="N2">
        <v>2950.189483065632</v>
      </c>
      <c r="O2">
        <v>2</v>
      </c>
      <c r="P2">
        <v>1</v>
      </c>
      <c r="Q2">
        <v>1</v>
      </c>
      <c r="R2">
        <v>3</v>
      </c>
      <c r="S2">
        <v>3</v>
      </c>
      <c r="T2">
        <v>1134</v>
      </c>
      <c r="U2">
        <v>4</v>
      </c>
    </row>
    <row r="3" spans="1:21" x14ac:dyDescent="0.4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4015.3888797628342</v>
      </c>
      <c r="O3">
        <v>1</v>
      </c>
      <c r="P3">
        <v>1</v>
      </c>
      <c r="Q3">
        <v>0</v>
      </c>
      <c r="R3">
        <v>1</v>
      </c>
      <c r="S3">
        <v>2</v>
      </c>
      <c r="T3">
        <v>3997</v>
      </c>
      <c r="U3">
        <v>2</v>
      </c>
    </row>
    <row r="4" spans="1:21" x14ac:dyDescent="0.45">
      <c r="A4">
        <v>3</v>
      </c>
      <c r="B4">
        <v>0</v>
      </c>
      <c r="C4">
        <v>0</v>
      </c>
      <c r="D4">
        <v>4</v>
      </c>
      <c r="E4">
        <v>4</v>
      </c>
      <c r="F4">
        <v>0</v>
      </c>
      <c r="G4">
        <v>9</v>
      </c>
      <c r="H4">
        <v>9</v>
      </c>
      <c r="I4">
        <v>53</v>
      </c>
      <c r="J4">
        <v>12</v>
      </c>
      <c r="K4">
        <v>5</v>
      </c>
      <c r="L4">
        <v>2</v>
      </c>
      <c r="M4">
        <v>12</v>
      </c>
      <c r="N4">
        <v>1994.486724229218</v>
      </c>
      <c r="O4">
        <v>1</v>
      </c>
      <c r="P4">
        <v>0</v>
      </c>
      <c r="Q4">
        <v>1</v>
      </c>
      <c r="R4">
        <v>3</v>
      </c>
      <c r="S4">
        <v>2</v>
      </c>
      <c r="T4">
        <v>189</v>
      </c>
      <c r="U4">
        <v>2</v>
      </c>
    </row>
    <row r="5" spans="1:21" x14ac:dyDescent="0.45">
      <c r="A5">
        <v>5</v>
      </c>
      <c r="B5">
        <v>0</v>
      </c>
      <c r="C5">
        <v>0</v>
      </c>
      <c r="D5">
        <v>2</v>
      </c>
      <c r="E5">
        <v>7</v>
      </c>
      <c r="F5">
        <v>0</v>
      </c>
      <c r="G5">
        <v>6</v>
      </c>
      <c r="H5">
        <v>5</v>
      </c>
      <c r="I5">
        <v>55</v>
      </c>
      <c r="J5">
        <v>7</v>
      </c>
      <c r="K5">
        <v>1</v>
      </c>
      <c r="L5">
        <v>3</v>
      </c>
      <c r="M5">
        <v>9</v>
      </c>
      <c r="N5">
        <v>2100.1040662203131</v>
      </c>
      <c r="O5">
        <v>3</v>
      </c>
      <c r="P5">
        <v>1</v>
      </c>
      <c r="Q5">
        <v>1</v>
      </c>
      <c r="R5">
        <v>3</v>
      </c>
      <c r="S5">
        <v>3</v>
      </c>
      <c r="T5">
        <v>645</v>
      </c>
      <c r="U5">
        <v>3</v>
      </c>
    </row>
    <row r="6" spans="1:21" x14ac:dyDescent="0.45">
      <c r="A6">
        <v>6</v>
      </c>
      <c r="B6">
        <v>0</v>
      </c>
      <c r="C6">
        <v>0</v>
      </c>
      <c r="D6">
        <v>4</v>
      </c>
      <c r="E6">
        <v>6</v>
      </c>
      <c r="F6">
        <v>0</v>
      </c>
      <c r="G6">
        <v>5</v>
      </c>
      <c r="H6">
        <v>5</v>
      </c>
      <c r="I6">
        <v>54</v>
      </c>
      <c r="J6">
        <v>9</v>
      </c>
      <c r="K6">
        <v>1</v>
      </c>
      <c r="L6">
        <v>3</v>
      </c>
      <c r="M6">
        <v>9</v>
      </c>
      <c r="N6">
        <v>2160.4126684067319</v>
      </c>
      <c r="O6">
        <v>4</v>
      </c>
      <c r="P6">
        <v>1</v>
      </c>
      <c r="Q6">
        <v>1</v>
      </c>
      <c r="R6">
        <v>4</v>
      </c>
      <c r="S6">
        <v>2</v>
      </c>
      <c r="T6">
        <v>1292</v>
      </c>
      <c r="U6">
        <v>4</v>
      </c>
    </row>
    <row r="7" spans="1:21" x14ac:dyDescent="0.45">
      <c r="A7">
        <v>7</v>
      </c>
      <c r="B7">
        <v>0</v>
      </c>
      <c r="C7">
        <v>0</v>
      </c>
      <c r="D7">
        <v>4</v>
      </c>
      <c r="E7">
        <v>6</v>
      </c>
      <c r="F7">
        <v>0</v>
      </c>
      <c r="G7">
        <v>7</v>
      </c>
      <c r="H7">
        <v>9</v>
      </c>
      <c r="I7">
        <v>64</v>
      </c>
      <c r="J7">
        <v>13</v>
      </c>
      <c r="K7">
        <v>4</v>
      </c>
      <c r="L7">
        <v>3</v>
      </c>
      <c r="M7">
        <v>8</v>
      </c>
      <c r="N7">
        <v>2350.987970948137</v>
      </c>
      <c r="O7">
        <v>2</v>
      </c>
      <c r="P7">
        <v>0</v>
      </c>
      <c r="Q7">
        <v>1</v>
      </c>
      <c r="R7">
        <v>4</v>
      </c>
      <c r="S7">
        <v>2</v>
      </c>
      <c r="T7">
        <v>914</v>
      </c>
      <c r="U7">
        <v>4</v>
      </c>
    </row>
    <row r="8" spans="1:21" x14ac:dyDescent="0.45">
      <c r="A8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2</v>
      </c>
      <c r="I8">
        <v>36</v>
      </c>
      <c r="J8">
        <v>1</v>
      </c>
      <c r="K8">
        <v>0</v>
      </c>
      <c r="L8">
        <v>0</v>
      </c>
      <c r="M8">
        <v>7</v>
      </c>
      <c r="N8">
        <v>5361.1486573204556</v>
      </c>
      <c r="O8">
        <v>3</v>
      </c>
      <c r="P8">
        <v>0</v>
      </c>
      <c r="Q8">
        <v>1</v>
      </c>
      <c r="R8">
        <v>3</v>
      </c>
      <c r="S8">
        <v>2</v>
      </c>
      <c r="T8">
        <v>139</v>
      </c>
      <c r="U8">
        <v>1</v>
      </c>
    </row>
    <row r="9" spans="1:21" x14ac:dyDescent="0.45">
      <c r="A9">
        <v>20</v>
      </c>
      <c r="B9">
        <v>0</v>
      </c>
      <c r="C9">
        <v>0</v>
      </c>
      <c r="D9">
        <v>1</v>
      </c>
      <c r="E9">
        <v>1</v>
      </c>
      <c r="F9">
        <v>1</v>
      </c>
      <c r="G9">
        <v>9</v>
      </c>
      <c r="H9">
        <v>8</v>
      </c>
      <c r="I9">
        <v>19</v>
      </c>
      <c r="J9">
        <v>9</v>
      </c>
      <c r="K9">
        <v>13</v>
      </c>
      <c r="L9">
        <v>3</v>
      </c>
      <c r="M9">
        <v>16</v>
      </c>
      <c r="N9">
        <v>4156.6120423144939</v>
      </c>
      <c r="O9">
        <v>2</v>
      </c>
      <c r="P9">
        <v>1</v>
      </c>
      <c r="Q9">
        <v>1</v>
      </c>
      <c r="R9">
        <v>3</v>
      </c>
      <c r="S9">
        <v>3</v>
      </c>
      <c r="T9">
        <v>1311</v>
      </c>
      <c r="U9">
        <v>3</v>
      </c>
    </row>
    <row r="10" spans="1:21" x14ac:dyDescent="0.45">
      <c r="A10">
        <v>21</v>
      </c>
      <c r="B10">
        <v>0</v>
      </c>
      <c r="C10">
        <v>1</v>
      </c>
      <c r="D10">
        <v>1</v>
      </c>
      <c r="E10">
        <v>3</v>
      </c>
      <c r="F10">
        <v>0</v>
      </c>
      <c r="G10">
        <v>9</v>
      </c>
      <c r="H10">
        <v>11</v>
      </c>
      <c r="I10">
        <v>32</v>
      </c>
      <c r="J10">
        <v>7</v>
      </c>
      <c r="K10">
        <v>0</v>
      </c>
      <c r="L10">
        <v>0</v>
      </c>
      <c r="M10">
        <v>10</v>
      </c>
      <c r="N10">
        <v>5138.2024676099518</v>
      </c>
      <c r="O10">
        <v>1</v>
      </c>
      <c r="P10">
        <v>0</v>
      </c>
      <c r="Q10">
        <v>1</v>
      </c>
      <c r="R10">
        <v>4</v>
      </c>
      <c r="S10">
        <v>3</v>
      </c>
      <c r="T10">
        <v>400</v>
      </c>
      <c r="U10">
        <v>4</v>
      </c>
    </row>
    <row r="11" spans="1:21" x14ac:dyDescent="0.45">
      <c r="A11">
        <v>22</v>
      </c>
      <c r="B11">
        <v>0</v>
      </c>
      <c r="C11">
        <v>0</v>
      </c>
      <c r="D11">
        <v>4</v>
      </c>
      <c r="E11">
        <v>6</v>
      </c>
      <c r="F11">
        <v>0</v>
      </c>
      <c r="G11">
        <v>5</v>
      </c>
      <c r="H11">
        <v>5</v>
      </c>
      <c r="I11">
        <v>16</v>
      </c>
      <c r="J11">
        <v>3</v>
      </c>
      <c r="K11">
        <v>8</v>
      </c>
      <c r="L11">
        <v>0</v>
      </c>
      <c r="M11">
        <v>17</v>
      </c>
      <c r="N11">
        <v>3970.05772434544</v>
      </c>
      <c r="O11">
        <v>4</v>
      </c>
      <c r="P11">
        <v>0</v>
      </c>
      <c r="Q11">
        <v>1</v>
      </c>
      <c r="R11">
        <v>3</v>
      </c>
      <c r="S11">
        <v>4</v>
      </c>
      <c r="T11">
        <v>931</v>
      </c>
      <c r="U11">
        <v>1</v>
      </c>
    </row>
    <row r="12" spans="1:21" x14ac:dyDescent="0.45">
      <c r="A12">
        <v>27</v>
      </c>
      <c r="B12">
        <v>1</v>
      </c>
      <c r="C12">
        <v>0</v>
      </c>
      <c r="D12">
        <v>4</v>
      </c>
      <c r="E12">
        <v>6</v>
      </c>
      <c r="F12">
        <v>1</v>
      </c>
      <c r="G12">
        <v>20</v>
      </c>
      <c r="H12">
        <v>20</v>
      </c>
      <c r="I12">
        <v>45</v>
      </c>
      <c r="J12">
        <v>13</v>
      </c>
      <c r="K12">
        <v>5</v>
      </c>
      <c r="L12">
        <v>10</v>
      </c>
      <c r="M12">
        <v>17</v>
      </c>
      <c r="N12">
        <v>3300.0403980542478</v>
      </c>
      <c r="O12">
        <v>3</v>
      </c>
      <c r="P12">
        <v>1</v>
      </c>
      <c r="Q12">
        <v>1</v>
      </c>
      <c r="R12">
        <v>4</v>
      </c>
      <c r="S12">
        <v>2</v>
      </c>
      <c r="T12">
        <v>274</v>
      </c>
      <c r="U12">
        <v>2</v>
      </c>
    </row>
    <row r="13" spans="1:21" x14ac:dyDescent="0.45">
      <c r="A13">
        <v>29</v>
      </c>
      <c r="B13">
        <v>0</v>
      </c>
      <c r="C13">
        <v>0</v>
      </c>
      <c r="D13">
        <v>7</v>
      </c>
      <c r="E13">
        <v>5</v>
      </c>
      <c r="F13">
        <v>2</v>
      </c>
      <c r="G13">
        <v>14</v>
      </c>
      <c r="H13">
        <v>16</v>
      </c>
      <c r="I13">
        <v>50</v>
      </c>
      <c r="J13">
        <v>16</v>
      </c>
      <c r="K13">
        <v>13</v>
      </c>
      <c r="L13">
        <v>7</v>
      </c>
      <c r="M13">
        <v>20</v>
      </c>
      <c r="N13">
        <v>2690.8462297788351</v>
      </c>
      <c r="O13">
        <v>3</v>
      </c>
      <c r="P13">
        <v>1</v>
      </c>
      <c r="Q13">
        <v>1</v>
      </c>
      <c r="R13">
        <v>4</v>
      </c>
      <c r="S13">
        <v>2</v>
      </c>
      <c r="T13">
        <v>383</v>
      </c>
      <c r="U13">
        <v>3</v>
      </c>
    </row>
    <row r="14" spans="1:21" x14ac:dyDescent="0.45">
      <c r="A14">
        <v>30</v>
      </c>
      <c r="B14">
        <v>1</v>
      </c>
      <c r="C14">
        <v>0</v>
      </c>
      <c r="D14">
        <v>7</v>
      </c>
      <c r="E14">
        <v>5</v>
      </c>
      <c r="F14">
        <v>2</v>
      </c>
      <c r="G14">
        <v>14</v>
      </c>
      <c r="H14">
        <v>16</v>
      </c>
      <c r="I14">
        <v>50</v>
      </c>
      <c r="J14">
        <v>16</v>
      </c>
      <c r="K14">
        <v>13</v>
      </c>
      <c r="L14">
        <v>7</v>
      </c>
      <c r="M14">
        <v>20</v>
      </c>
      <c r="N14">
        <v>2783.078408394857</v>
      </c>
      <c r="O14">
        <v>3</v>
      </c>
      <c r="P14">
        <v>0</v>
      </c>
      <c r="Q14">
        <v>1</v>
      </c>
      <c r="R14">
        <v>4</v>
      </c>
      <c r="S14">
        <v>4</v>
      </c>
      <c r="T14">
        <v>1055</v>
      </c>
      <c r="U14">
        <v>3</v>
      </c>
    </row>
    <row r="15" spans="1:21" x14ac:dyDescent="0.45">
      <c r="A15">
        <v>31</v>
      </c>
      <c r="B15">
        <v>0</v>
      </c>
      <c r="C15">
        <v>0</v>
      </c>
      <c r="D15">
        <v>7</v>
      </c>
      <c r="E15">
        <v>5</v>
      </c>
      <c r="F15">
        <v>2</v>
      </c>
      <c r="G15">
        <v>22</v>
      </c>
      <c r="H15">
        <v>25</v>
      </c>
      <c r="I15">
        <v>76</v>
      </c>
      <c r="J15">
        <v>21</v>
      </c>
      <c r="K15">
        <v>11</v>
      </c>
      <c r="L15">
        <v>14</v>
      </c>
      <c r="M15">
        <v>24</v>
      </c>
      <c r="N15">
        <v>2649.0531114551191</v>
      </c>
      <c r="O15">
        <v>2</v>
      </c>
      <c r="P15">
        <v>1</v>
      </c>
      <c r="Q15">
        <v>1</v>
      </c>
      <c r="R15">
        <v>4</v>
      </c>
      <c r="S15">
        <v>2</v>
      </c>
      <c r="T15">
        <v>250</v>
      </c>
      <c r="U15">
        <v>1</v>
      </c>
    </row>
    <row r="16" spans="1:21" x14ac:dyDescent="0.45">
      <c r="A16">
        <v>32</v>
      </c>
      <c r="B16">
        <v>0</v>
      </c>
      <c r="C16">
        <v>0</v>
      </c>
      <c r="D16">
        <v>7</v>
      </c>
      <c r="E16">
        <v>3</v>
      </c>
      <c r="F16">
        <v>2</v>
      </c>
      <c r="G16">
        <v>18</v>
      </c>
      <c r="H16">
        <v>18</v>
      </c>
      <c r="I16">
        <v>70</v>
      </c>
      <c r="J16">
        <v>21</v>
      </c>
      <c r="K16">
        <v>6</v>
      </c>
      <c r="L16">
        <v>7</v>
      </c>
      <c r="M16">
        <v>19</v>
      </c>
      <c r="N16">
        <v>2408.112007758843</v>
      </c>
      <c r="O16">
        <v>3</v>
      </c>
      <c r="P16">
        <v>0</v>
      </c>
      <c r="Q16">
        <v>1</v>
      </c>
      <c r="R16">
        <v>3</v>
      </c>
      <c r="S16">
        <v>2</v>
      </c>
      <c r="T16">
        <v>241</v>
      </c>
      <c r="U16">
        <v>1</v>
      </c>
    </row>
    <row r="17" spans="1:21" x14ac:dyDescent="0.45">
      <c r="A17">
        <v>33</v>
      </c>
      <c r="B17">
        <v>0</v>
      </c>
      <c r="C17">
        <v>0</v>
      </c>
      <c r="D17">
        <v>5</v>
      </c>
      <c r="E17">
        <v>3</v>
      </c>
      <c r="F17">
        <v>1</v>
      </c>
      <c r="G17">
        <v>12</v>
      </c>
      <c r="H17">
        <v>15</v>
      </c>
      <c r="I17">
        <v>51</v>
      </c>
      <c r="J17">
        <v>19</v>
      </c>
      <c r="K17">
        <v>6</v>
      </c>
      <c r="L17">
        <v>4</v>
      </c>
      <c r="M17">
        <v>17</v>
      </c>
      <c r="N17">
        <v>2319.4959200077842</v>
      </c>
      <c r="O17">
        <v>3</v>
      </c>
      <c r="P17">
        <v>0</v>
      </c>
      <c r="Q17">
        <v>1</v>
      </c>
      <c r="R17">
        <v>3</v>
      </c>
      <c r="S17">
        <v>2</v>
      </c>
      <c r="T17">
        <v>163</v>
      </c>
      <c r="U17">
        <v>1</v>
      </c>
    </row>
    <row r="18" spans="1:21" x14ac:dyDescent="0.45">
      <c r="A18">
        <v>34</v>
      </c>
      <c r="B18">
        <v>1</v>
      </c>
      <c r="C18">
        <v>0</v>
      </c>
      <c r="D18">
        <v>0</v>
      </c>
      <c r="E18">
        <v>5</v>
      </c>
      <c r="F18">
        <v>1</v>
      </c>
      <c r="G18">
        <v>10</v>
      </c>
      <c r="H18">
        <v>11</v>
      </c>
      <c r="I18">
        <v>26</v>
      </c>
      <c r="J18">
        <v>4</v>
      </c>
      <c r="K18">
        <v>18</v>
      </c>
      <c r="L18">
        <v>4</v>
      </c>
      <c r="M18">
        <v>7</v>
      </c>
      <c r="N18">
        <v>3149.1877008133788</v>
      </c>
      <c r="O18">
        <v>3</v>
      </c>
      <c r="P18">
        <v>1</v>
      </c>
      <c r="Q18">
        <v>1</v>
      </c>
      <c r="R18">
        <v>3</v>
      </c>
      <c r="S18">
        <v>3</v>
      </c>
      <c r="T18">
        <v>647</v>
      </c>
      <c r="U18">
        <v>3</v>
      </c>
    </row>
    <row r="19" spans="1:21" x14ac:dyDescent="0.45">
      <c r="A19">
        <v>35</v>
      </c>
      <c r="B19">
        <v>0</v>
      </c>
      <c r="C19">
        <v>0</v>
      </c>
      <c r="D19">
        <v>0</v>
      </c>
      <c r="E19">
        <v>5</v>
      </c>
      <c r="F19">
        <v>1</v>
      </c>
      <c r="G19">
        <v>10</v>
      </c>
      <c r="H19">
        <v>11</v>
      </c>
      <c r="I19">
        <v>26</v>
      </c>
      <c r="J19">
        <v>4</v>
      </c>
      <c r="K19">
        <v>18</v>
      </c>
      <c r="L19">
        <v>4</v>
      </c>
      <c r="M19">
        <v>7</v>
      </c>
      <c r="N19">
        <v>3223.2393043520369</v>
      </c>
      <c r="O19">
        <v>3</v>
      </c>
      <c r="P19">
        <v>1</v>
      </c>
      <c r="Q19">
        <v>1</v>
      </c>
      <c r="R19">
        <v>3</v>
      </c>
      <c r="S19">
        <v>2</v>
      </c>
      <c r="T19">
        <v>142</v>
      </c>
      <c r="U19">
        <v>1</v>
      </c>
    </row>
    <row r="20" spans="1:21" x14ac:dyDescent="0.45">
      <c r="A20">
        <v>36</v>
      </c>
      <c r="B20">
        <v>0</v>
      </c>
      <c r="C20">
        <v>0</v>
      </c>
      <c r="D20">
        <v>0</v>
      </c>
      <c r="E20">
        <v>4</v>
      </c>
      <c r="F20">
        <v>1</v>
      </c>
      <c r="G20">
        <v>14</v>
      </c>
      <c r="H20">
        <v>14</v>
      </c>
      <c r="I20">
        <v>22</v>
      </c>
      <c r="J20">
        <v>2</v>
      </c>
      <c r="K20">
        <v>18</v>
      </c>
      <c r="L20">
        <v>4</v>
      </c>
      <c r="M20">
        <v>6</v>
      </c>
      <c r="N20">
        <v>3223.2393043520369</v>
      </c>
      <c r="O20">
        <v>3</v>
      </c>
      <c r="P20">
        <v>0</v>
      </c>
      <c r="Q20">
        <v>1</v>
      </c>
      <c r="R20">
        <v>3</v>
      </c>
      <c r="S20">
        <v>5</v>
      </c>
      <c r="T20">
        <v>442</v>
      </c>
      <c r="U20">
        <v>1</v>
      </c>
    </row>
    <row r="21" spans="1:21" x14ac:dyDescent="0.45">
      <c r="A21">
        <v>42</v>
      </c>
      <c r="B21">
        <v>0</v>
      </c>
      <c r="C21">
        <v>0</v>
      </c>
      <c r="D21">
        <v>2</v>
      </c>
      <c r="E21">
        <v>3</v>
      </c>
      <c r="F21">
        <v>1</v>
      </c>
      <c r="G21">
        <v>14</v>
      </c>
      <c r="H21">
        <v>11</v>
      </c>
      <c r="I21">
        <v>31</v>
      </c>
      <c r="J21">
        <v>10</v>
      </c>
      <c r="K21">
        <v>8</v>
      </c>
      <c r="L21">
        <v>7</v>
      </c>
      <c r="M21">
        <v>9</v>
      </c>
      <c r="N21">
        <v>3475.50809392376</v>
      </c>
      <c r="O21">
        <v>3</v>
      </c>
      <c r="P21">
        <v>0</v>
      </c>
      <c r="Q21">
        <v>1</v>
      </c>
      <c r="R21">
        <v>3</v>
      </c>
      <c r="S21">
        <v>2</v>
      </c>
      <c r="T21">
        <v>145</v>
      </c>
      <c r="U21">
        <v>1</v>
      </c>
    </row>
    <row r="22" spans="1:21" x14ac:dyDescent="0.45">
      <c r="A22">
        <v>43</v>
      </c>
      <c r="B22">
        <v>1</v>
      </c>
      <c r="C22">
        <v>0</v>
      </c>
      <c r="D22">
        <v>0</v>
      </c>
      <c r="E22">
        <v>4</v>
      </c>
      <c r="F22">
        <v>1</v>
      </c>
      <c r="G22">
        <v>12</v>
      </c>
      <c r="H22">
        <v>8</v>
      </c>
      <c r="I22">
        <v>13</v>
      </c>
      <c r="J22">
        <v>3</v>
      </c>
      <c r="K22">
        <v>9</v>
      </c>
      <c r="L22">
        <v>0</v>
      </c>
      <c r="M22">
        <v>3</v>
      </c>
      <c r="N22">
        <v>3920.592211772876</v>
      </c>
      <c r="O22">
        <v>4</v>
      </c>
      <c r="P22">
        <v>0</v>
      </c>
      <c r="Q22">
        <v>1</v>
      </c>
      <c r="R22">
        <v>3</v>
      </c>
      <c r="S22">
        <v>3</v>
      </c>
      <c r="T22">
        <v>1311</v>
      </c>
      <c r="U22">
        <v>4</v>
      </c>
    </row>
    <row r="23" spans="1:21" x14ac:dyDescent="0.45">
      <c r="A23">
        <v>44</v>
      </c>
      <c r="B23">
        <v>0</v>
      </c>
      <c r="C23">
        <v>0</v>
      </c>
      <c r="D23">
        <v>2</v>
      </c>
      <c r="E23">
        <v>5</v>
      </c>
      <c r="F23">
        <v>0</v>
      </c>
      <c r="G23">
        <v>8</v>
      </c>
      <c r="H23">
        <v>11</v>
      </c>
      <c r="I23">
        <v>11</v>
      </c>
      <c r="J23">
        <v>1</v>
      </c>
      <c r="K23">
        <v>0</v>
      </c>
      <c r="L23">
        <v>1</v>
      </c>
      <c r="M23">
        <v>6</v>
      </c>
      <c r="N23">
        <v>5815.0516907177716</v>
      </c>
      <c r="O23">
        <v>4</v>
      </c>
      <c r="P23">
        <v>0</v>
      </c>
      <c r="Q23">
        <v>0</v>
      </c>
      <c r="R23">
        <v>4</v>
      </c>
      <c r="S23">
        <v>2</v>
      </c>
      <c r="T23">
        <v>1379</v>
      </c>
      <c r="U23">
        <v>1</v>
      </c>
    </row>
    <row r="24" spans="1:21" x14ac:dyDescent="0.45">
      <c r="A24">
        <v>46</v>
      </c>
      <c r="B24">
        <v>0</v>
      </c>
      <c r="C24">
        <v>0</v>
      </c>
      <c r="D24">
        <v>3</v>
      </c>
      <c r="E24">
        <v>7</v>
      </c>
      <c r="F24">
        <v>1</v>
      </c>
      <c r="G24">
        <v>9</v>
      </c>
      <c r="H24">
        <v>15</v>
      </c>
      <c r="I24">
        <v>10</v>
      </c>
      <c r="J24">
        <v>1</v>
      </c>
      <c r="K24">
        <v>0</v>
      </c>
      <c r="L24">
        <v>2</v>
      </c>
      <c r="M24">
        <v>10</v>
      </c>
      <c r="N24">
        <v>5783.8244461507693</v>
      </c>
      <c r="O24">
        <v>4</v>
      </c>
      <c r="P24">
        <v>0</v>
      </c>
      <c r="Q24">
        <v>0</v>
      </c>
      <c r="R24">
        <v>4</v>
      </c>
      <c r="S24">
        <v>2</v>
      </c>
      <c r="T24">
        <v>80</v>
      </c>
      <c r="U24">
        <v>1</v>
      </c>
    </row>
    <row r="25" spans="1:21" x14ac:dyDescent="0.45">
      <c r="A25">
        <v>48</v>
      </c>
      <c r="B25">
        <v>0</v>
      </c>
      <c r="C25">
        <v>0</v>
      </c>
      <c r="D25">
        <v>0</v>
      </c>
      <c r="E25">
        <v>3</v>
      </c>
      <c r="F25">
        <v>1</v>
      </c>
      <c r="G25">
        <v>5</v>
      </c>
      <c r="H25">
        <v>9</v>
      </c>
      <c r="I25">
        <v>13</v>
      </c>
      <c r="J25">
        <v>1</v>
      </c>
      <c r="K25">
        <v>6</v>
      </c>
      <c r="L25">
        <v>0</v>
      </c>
      <c r="M25">
        <v>7</v>
      </c>
      <c r="N25">
        <v>3884.3542758031199</v>
      </c>
      <c r="O25">
        <v>4</v>
      </c>
      <c r="P25">
        <v>0</v>
      </c>
      <c r="Q25">
        <v>0</v>
      </c>
      <c r="R25">
        <v>3</v>
      </c>
      <c r="S25">
        <v>1</v>
      </c>
      <c r="T25">
        <v>46</v>
      </c>
      <c r="U25">
        <v>1</v>
      </c>
    </row>
    <row r="26" spans="1:21" x14ac:dyDescent="0.45">
      <c r="A26">
        <v>49</v>
      </c>
      <c r="B26">
        <v>0</v>
      </c>
      <c r="C26">
        <v>0</v>
      </c>
      <c r="D26">
        <v>0</v>
      </c>
      <c r="E26">
        <v>3</v>
      </c>
      <c r="F26">
        <v>0</v>
      </c>
      <c r="G26">
        <v>8</v>
      </c>
      <c r="H26">
        <v>9</v>
      </c>
      <c r="I26">
        <v>8</v>
      </c>
      <c r="J26">
        <v>1</v>
      </c>
      <c r="K26">
        <v>7</v>
      </c>
      <c r="L26">
        <v>0</v>
      </c>
      <c r="M26">
        <v>8</v>
      </c>
      <c r="N26">
        <v>3957.678910175805</v>
      </c>
      <c r="O26">
        <v>4</v>
      </c>
      <c r="P26">
        <v>0</v>
      </c>
      <c r="Q26">
        <v>0</v>
      </c>
      <c r="R26">
        <v>3</v>
      </c>
      <c r="S26">
        <v>6</v>
      </c>
      <c r="T26">
        <v>4330</v>
      </c>
      <c r="U26">
        <v>4</v>
      </c>
    </row>
    <row r="27" spans="1:21" x14ac:dyDescent="0.45">
      <c r="A27">
        <v>50</v>
      </c>
      <c r="B27">
        <v>0</v>
      </c>
      <c r="C27">
        <v>0</v>
      </c>
      <c r="D27">
        <v>0</v>
      </c>
      <c r="E27">
        <v>1</v>
      </c>
      <c r="F27">
        <v>0</v>
      </c>
      <c r="G27">
        <v>1</v>
      </c>
      <c r="H27">
        <v>2</v>
      </c>
      <c r="I27">
        <v>3</v>
      </c>
      <c r="J27">
        <v>0</v>
      </c>
      <c r="K27">
        <v>1</v>
      </c>
      <c r="L27">
        <v>0</v>
      </c>
      <c r="M27">
        <v>2</v>
      </c>
      <c r="N27">
        <v>5490.6611388730826</v>
      </c>
      <c r="O27">
        <v>3</v>
      </c>
      <c r="P27">
        <v>1</v>
      </c>
      <c r="Q27">
        <v>1</v>
      </c>
      <c r="R27">
        <v>2</v>
      </c>
      <c r="S27">
        <v>2</v>
      </c>
      <c r="T27">
        <v>514</v>
      </c>
      <c r="U27">
        <v>2</v>
      </c>
    </row>
    <row r="28" spans="1:21" x14ac:dyDescent="0.45">
      <c r="A28">
        <v>53</v>
      </c>
      <c r="B28">
        <v>0</v>
      </c>
      <c r="C28">
        <v>0</v>
      </c>
      <c r="D28">
        <v>2</v>
      </c>
      <c r="E28">
        <v>2</v>
      </c>
      <c r="F28">
        <v>0</v>
      </c>
      <c r="G28">
        <v>3</v>
      </c>
      <c r="H28">
        <v>3</v>
      </c>
      <c r="I28">
        <v>8</v>
      </c>
      <c r="J28">
        <v>0</v>
      </c>
      <c r="K28">
        <v>0</v>
      </c>
      <c r="L28">
        <v>0</v>
      </c>
      <c r="M28">
        <v>3</v>
      </c>
      <c r="N28">
        <v>4632.2159887748567</v>
      </c>
      <c r="O28">
        <v>2</v>
      </c>
      <c r="P28">
        <v>1</v>
      </c>
      <c r="Q28">
        <v>0</v>
      </c>
      <c r="R28">
        <v>4</v>
      </c>
      <c r="S28">
        <v>7</v>
      </c>
      <c r="T28">
        <v>1438</v>
      </c>
      <c r="U28">
        <v>1</v>
      </c>
    </row>
    <row r="29" spans="1:21" x14ac:dyDescent="0.45">
      <c r="A29">
        <v>54</v>
      </c>
      <c r="B29">
        <v>0</v>
      </c>
      <c r="C29">
        <v>0</v>
      </c>
      <c r="D29">
        <v>2</v>
      </c>
      <c r="E29">
        <v>2</v>
      </c>
      <c r="F29">
        <v>0</v>
      </c>
      <c r="G29">
        <v>2</v>
      </c>
      <c r="H29">
        <v>3</v>
      </c>
      <c r="I29">
        <v>6</v>
      </c>
      <c r="J29">
        <v>0</v>
      </c>
      <c r="K29">
        <v>0</v>
      </c>
      <c r="L29">
        <v>0</v>
      </c>
      <c r="M29">
        <v>5</v>
      </c>
      <c r="N29">
        <v>4402.9834311195054</v>
      </c>
      <c r="O29">
        <v>1</v>
      </c>
      <c r="P29">
        <v>0</v>
      </c>
      <c r="Q29">
        <v>0</v>
      </c>
      <c r="R29">
        <v>4</v>
      </c>
      <c r="S29">
        <v>1</v>
      </c>
      <c r="T29">
        <v>663</v>
      </c>
      <c r="U29">
        <v>1</v>
      </c>
    </row>
    <row r="30" spans="1:21" x14ac:dyDescent="0.45">
      <c r="A30">
        <v>55</v>
      </c>
      <c r="B30">
        <v>0</v>
      </c>
      <c r="C30">
        <v>1</v>
      </c>
      <c r="D30">
        <v>2</v>
      </c>
      <c r="E30">
        <v>6</v>
      </c>
      <c r="F30">
        <v>0</v>
      </c>
      <c r="G30">
        <v>4</v>
      </c>
      <c r="H30">
        <v>4</v>
      </c>
      <c r="I30">
        <v>4</v>
      </c>
      <c r="J30">
        <v>0</v>
      </c>
      <c r="K30">
        <v>0</v>
      </c>
      <c r="L30">
        <v>0</v>
      </c>
      <c r="M30">
        <v>7</v>
      </c>
      <c r="N30">
        <v>4229.6839841415112</v>
      </c>
      <c r="O30">
        <v>3</v>
      </c>
      <c r="P30">
        <v>0</v>
      </c>
      <c r="Q30">
        <v>1</v>
      </c>
      <c r="R30">
        <v>3</v>
      </c>
      <c r="S30">
        <v>2</v>
      </c>
      <c r="T30">
        <v>1582</v>
      </c>
      <c r="U30">
        <v>1</v>
      </c>
    </row>
    <row r="31" spans="1:21" x14ac:dyDescent="0.45">
      <c r="A31">
        <v>56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5281.2880685064174</v>
      </c>
      <c r="O31">
        <v>1</v>
      </c>
      <c r="P31">
        <v>0</v>
      </c>
      <c r="Q31">
        <v>1</v>
      </c>
      <c r="R31">
        <v>2</v>
      </c>
      <c r="S31">
        <v>3</v>
      </c>
      <c r="T31">
        <v>452</v>
      </c>
      <c r="U31">
        <v>2</v>
      </c>
    </row>
    <row r="32" spans="1:21" x14ac:dyDescent="0.45">
      <c r="A32">
        <v>57</v>
      </c>
      <c r="B32">
        <v>0</v>
      </c>
      <c r="C32">
        <v>0</v>
      </c>
      <c r="D32">
        <v>2</v>
      </c>
      <c r="E32">
        <v>2</v>
      </c>
      <c r="F32">
        <v>0</v>
      </c>
      <c r="G32">
        <v>6</v>
      </c>
      <c r="H32">
        <v>3</v>
      </c>
      <c r="I32">
        <v>7</v>
      </c>
      <c r="J32">
        <v>0</v>
      </c>
      <c r="K32">
        <v>1</v>
      </c>
      <c r="L32">
        <v>1</v>
      </c>
      <c r="M32">
        <v>4</v>
      </c>
      <c r="N32">
        <v>4312.3746661376972</v>
      </c>
      <c r="O32">
        <v>1</v>
      </c>
      <c r="P32">
        <v>1</v>
      </c>
      <c r="Q32">
        <v>0</v>
      </c>
      <c r="R32">
        <v>4</v>
      </c>
      <c r="S32">
        <v>6</v>
      </c>
      <c r="T32">
        <v>1362</v>
      </c>
      <c r="U32">
        <v>1</v>
      </c>
    </row>
    <row r="33" spans="1:21" x14ac:dyDescent="0.45">
      <c r="A33">
        <v>58</v>
      </c>
      <c r="B33">
        <v>0</v>
      </c>
      <c r="C33">
        <v>0</v>
      </c>
      <c r="D33">
        <v>2</v>
      </c>
      <c r="E33">
        <v>9</v>
      </c>
      <c r="F33">
        <v>1</v>
      </c>
      <c r="G33">
        <v>8</v>
      </c>
      <c r="H33">
        <v>5</v>
      </c>
      <c r="I33">
        <v>15</v>
      </c>
      <c r="J33">
        <v>1</v>
      </c>
      <c r="K33">
        <v>9</v>
      </c>
      <c r="L33">
        <v>1</v>
      </c>
      <c r="M33">
        <v>9</v>
      </c>
      <c r="N33">
        <v>3841.448790776009</v>
      </c>
      <c r="O33">
        <v>2</v>
      </c>
      <c r="P33">
        <v>0</v>
      </c>
      <c r="Q33">
        <v>1</v>
      </c>
      <c r="R33">
        <v>3</v>
      </c>
      <c r="S33">
        <v>4</v>
      </c>
      <c r="T33">
        <v>306</v>
      </c>
      <c r="U33">
        <v>1</v>
      </c>
    </row>
    <row r="34" spans="1:21" x14ac:dyDescent="0.45">
      <c r="A34">
        <v>59</v>
      </c>
      <c r="B34">
        <v>0</v>
      </c>
      <c r="C34">
        <v>0</v>
      </c>
      <c r="D34">
        <v>1</v>
      </c>
      <c r="E34">
        <v>6</v>
      </c>
      <c r="F34">
        <v>1</v>
      </c>
      <c r="G34">
        <v>6</v>
      </c>
      <c r="H34">
        <v>5</v>
      </c>
      <c r="I34">
        <v>20</v>
      </c>
      <c r="J34">
        <v>2</v>
      </c>
      <c r="K34">
        <v>11</v>
      </c>
      <c r="L34">
        <v>0</v>
      </c>
      <c r="M34">
        <v>9</v>
      </c>
      <c r="N34">
        <v>3465.8654793022738</v>
      </c>
      <c r="O34">
        <v>2</v>
      </c>
      <c r="P34">
        <v>0</v>
      </c>
      <c r="Q34">
        <v>0</v>
      </c>
      <c r="R34">
        <v>3</v>
      </c>
      <c r="S34">
        <v>2</v>
      </c>
      <c r="T34">
        <v>791</v>
      </c>
      <c r="U34">
        <v>2</v>
      </c>
    </row>
    <row r="35" spans="1:21" x14ac:dyDescent="0.45">
      <c r="A35">
        <v>61</v>
      </c>
      <c r="B35">
        <v>0</v>
      </c>
      <c r="C35">
        <v>0</v>
      </c>
      <c r="D35">
        <v>1</v>
      </c>
      <c r="E35">
        <v>9</v>
      </c>
      <c r="F35">
        <v>1</v>
      </c>
      <c r="G35">
        <v>4</v>
      </c>
      <c r="H35">
        <v>4</v>
      </c>
      <c r="I35">
        <v>10</v>
      </c>
      <c r="J35">
        <v>1</v>
      </c>
      <c r="K35">
        <v>8</v>
      </c>
      <c r="L35">
        <v>0</v>
      </c>
      <c r="M35">
        <v>11</v>
      </c>
      <c r="N35">
        <v>3503.4302807832369</v>
      </c>
      <c r="O35">
        <v>4</v>
      </c>
      <c r="P35">
        <v>0</v>
      </c>
      <c r="Q35">
        <v>1</v>
      </c>
      <c r="R35">
        <v>4</v>
      </c>
      <c r="S35">
        <v>2</v>
      </c>
      <c r="T35">
        <v>388</v>
      </c>
      <c r="U35">
        <v>2</v>
      </c>
    </row>
    <row r="36" spans="1:21" x14ac:dyDescent="0.45">
      <c r="A36">
        <v>65</v>
      </c>
      <c r="B36">
        <v>0</v>
      </c>
      <c r="C36">
        <v>0</v>
      </c>
      <c r="D36">
        <v>1</v>
      </c>
      <c r="E36">
        <v>0</v>
      </c>
      <c r="F36">
        <v>0</v>
      </c>
      <c r="G36">
        <v>3</v>
      </c>
      <c r="H36">
        <v>1</v>
      </c>
      <c r="I36">
        <v>15</v>
      </c>
      <c r="J36">
        <v>2</v>
      </c>
      <c r="K36">
        <v>2</v>
      </c>
      <c r="L36">
        <v>3</v>
      </c>
      <c r="M36">
        <v>9</v>
      </c>
      <c r="N36">
        <v>2551.2665624309038</v>
      </c>
      <c r="O36">
        <v>4</v>
      </c>
      <c r="P36">
        <v>1</v>
      </c>
      <c r="Q36">
        <v>1</v>
      </c>
      <c r="R36">
        <v>3</v>
      </c>
      <c r="S36">
        <v>5</v>
      </c>
      <c r="T36">
        <v>4782</v>
      </c>
      <c r="U36">
        <v>4</v>
      </c>
    </row>
    <row r="37" spans="1:21" x14ac:dyDescent="0.45">
      <c r="A37">
        <v>69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10</v>
      </c>
      <c r="J37">
        <v>2</v>
      </c>
      <c r="K37">
        <v>0</v>
      </c>
      <c r="L37">
        <v>0</v>
      </c>
      <c r="M37">
        <v>4</v>
      </c>
      <c r="N37">
        <v>2229.2517069653868</v>
      </c>
      <c r="O37">
        <v>1</v>
      </c>
      <c r="P37">
        <v>0</v>
      </c>
      <c r="Q37">
        <v>0</v>
      </c>
      <c r="R37">
        <v>3</v>
      </c>
      <c r="S37">
        <v>1</v>
      </c>
      <c r="T37">
        <v>172</v>
      </c>
      <c r="U37">
        <v>2</v>
      </c>
    </row>
    <row r="38" spans="1:21" x14ac:dyDescent="0.45">
      <c r="A38">
        <v>72</v>
      </c>
      <c r="B38">
        <v>1</v>
      </c>
      <c r="C38">
        <v>0</v>
      </c>
      <c r="D38">
        <v>1</v>
      </c>
      <c r="E38">
        <v>2</v>
      </c>
      <c r="F38">
        <v>3</v>
      </c>
      <c r="G38">
        <v>8</v>
      </c>
      <c r="H38">
        <v>3</v>
      </c>
      <c r="I38">
        <v>19</v>
      </c>
      <c r="J38">
        <v>3</v>
      </c>
      <c r="K38">
        <v>1</v>
      </c>
      <c r="L38">
        <v>1</v>
      </c>
      <c r="M38">
        <v>13</v>
      </c>
      <c r="N38">
        <v>2307.4068429321569</v>
      </c>
      <c r="O38">
        <v>4</v>
      </c>
      <c r="P38">
        <v>0</v>
      </c>
      <c r="Q38">
        <v>1</v>
      </c>
      <c r="R38">
        <v>4</v>
      </c>
      <c r="S38">
        <v>2</v>
      </c>
      <c r="T38">
        <v>452</v>
      </c>
      <c r="U38">
        <v>1</v>
      </c>
    </row>
    <row r="39" spans="1:21" x14ac:dyDescent="0.45">
      <c r="A39">
        <v>73</v>
      </c>
      <c r="B39">
        <v>1</v>
      </c>
      <c r="C39">
        <v>0</v>
      </c>
      <c r="D39">
        <v>0</v>
      </c>
      <c r="E39">
        <v>0</v>
      </c>
      <c r="F39">
        <v>3</v>
      </c>
      <c r="G39">
        <v>7</v>
      </c>
      <c r="H39">
        <v>5</v>
      </c>
      <c r="I39">
        <v>26</v>
      </c>
      <c r="J39">
        <v>3</v>
      </c>
      <c r="K39">
        <v>8</v>
      </c>
      <c r="L39">
        <v>3</v>
      </c>
      <c r="M39">
        <v>12</v>
      </c>
      <c r="N39">
        <v>2748.4751205624279</v>
      </c>
      <c r="O39">
        <v>3</v>
      </c>
      <c r="P39">
        <v>0</v>
      </c>
      <c r="Q39">
        <v>1</v>
      </c>
      <c r="R39">
        <v>4</v>
      </c>
      <c r="S39">
        <v>5</v>
      </c>
      <c r="T39">
        <v>486</v>
      </c>
      <c r="U39">
        <v>2</v>
      </c>
    </row>
    <row r="40" spans="1:21" x14ac:dyDescent="0.45">
      <c r="A40">
        <v>74</v>
      </c>
      <c r="B40">
        <v>1</v>
      </c>
      <c r="C40">
        <v>0</v>
      </c>
      <c r="D40">
        <v>0</v>
      </c>
      <c r="E40">
        <v>0</v>
      </c>
      <c r="F40">
        <v>3</v>
      </c>
      <c r="G40">
        <v>7</v>
      </c>
      <c r="H40">
        <v>5</v>
      </c>
      <c r="I40">
        <v>26</v>
      </c>
      <c r="J40">
        <v>3</v>
      </c>
      <c r="K40">
        <v>8</v>
      </c>
      <c r="L40">
        <v>3</v>
      </c>
      <c r="M40">
        <v>12</v>
      </c>
      <c r="N40">
        <v>2748.4751205624279</v>
      </c>
      <c r="O40">
        <v>3</v>
      </c>
      <c r="P40">
        <v>0</v>
      </c>
      <c r="Q40">
        <v>1</v>
      </c>
      <c r="R40">
        <v>4</v>
      </c>
      <c r="S40">
        <v>5</v>
      </c>
      <c r="T40">
        <v>354</v>
      </c>
      <c r="U40">
        <v>3</v>
      </c>
    </row>
    <row r="41" spans="1:21" x14ac:dyDescent="0.45">
      <c r="A41">
        <v>75</v>
      </c>
      <c r="B41">
        <v>0</v>
      </c>
      <c r="C41">
        <v>0</v>
      </c>
      <c r="D41">
        <v>5</v>
      </c>
      <c r="E41">
        <v>9</v>
      </c>
      <c r="F41">
        <v>3</v>
      </c>
      <c r="G41">
        <v>19</v>
      </c>
      <c r="H41">
        <v>14</v>
      </c>
      <c r="I41">
        <v>43</v>
      </c>
      <c r="J41">
        <v>22</v>
      </c>
      <c r="K41">
        <v>7</v>
      </c>
      <c r="L41">
        <v>6</v>
      </c>
      <c r="M41">
        <v>12</v>
      </c>
      <c r="N41">
        <v>2576.2367948565739</v>
      </c>
      <c r="O41">
        <v>2</v>
      </c>
      <c r="P41">
        <v>0</v>
      </c>
      <c r="Q41">
        <v>1</v>
      </c>
      <c r="R41">
        <v>4</v>
      </c>
      <c r="S41">
        <v>7</v>
      </c>
      <c r="T41">
        <v>1700</v>
      </c>
      <c r="U41">
        <v>4</v>
      </c>
    </row>
    <row r="42" spans="1:21" x14ac:dyDescent="0.45">
      <c r="A42">
        <v>76</v>
      </c>
      <c r="B42">
        <v>1</v>
      </c>
      <c r="C42">
        <v>0</v>
      </c>
      <c r="D42">
        <v>4</v>
      </c>
      <c r="E42">
        <v>10</v>
      </c>
      <c r="F42">
        <v>1</v>
      </c>
      <c r="G42">
        <v>22</v>
      </c>
      <c r="H42">
        <v>18</v>
      </c>
      <c r="I42">
        <v>73</v>
      </c>
      <c r="J42">
        <v>21</v>
      </c>
      <c r="K42">
        <v>5</v>
      </c>
      <c r="L42">
        <v>2</v>
      </c>
      <c r="M42">
        <v>12</v>
      </c>
      <c r="N42">
        <v>2576.1008143591189</v>
      </c>
      <c r="O42">
        <v>4</v>
      </c>
      <c r="P42">
        <v>0</v>
      </c>
      <c r="Q42">
        <v>1</v>
      </c>
      <c r="R42">
        <v>4</v>
      </c>
      <c r="S42">
        <v>4</v>
      </c>
      <c r="T42">
        <v>279</v>
      </c>
      <c r="U42">
        <v>1</v>
      </c>
    </row>
    <row r="43" spans="1:21" x14ac:dyDescent="0.45">
      <c r="A43">
        <v>77</v>
      </c>
      <c r="B43">
        <v>1</v>
      </c>
      <c r="C43">
        <v>0</v>
      </c>
      <c r="D43">
        <v>8</v>
      </c>
      <c r="E43">
        <v>13</v>
      </c>
      <c r="F43">
        <v>0</v>
      </c>
      <c r="G43">
        <v>12</v>
      </c>
      <c r="H43">
        <v>16</v>
      </c>
      <c r="I43">
        <v>62</v>
      </c>
      <c r="J43">
        <v>10</v>
      </c>
      <c r="K43">
        <v>22</v>
      </c>
      <c r="L43">
        <v>11</v>
      </c>
      <c r="M43">
        <v>20</v>
      </c>
      <c r="N43">
        <v>3155.166155557044</v>
      </c>
      <c r="O43">
        <v>2</v>
      </c>
      <c r="P43">
        <v>0</v>
      </c>
      <c r="Q43">
        <v>1</v>
      </c>
      <c r="R43">
        <v>4</v>
      </c>
      <c r="S43">
        <v>5</v>
      </c>
      <c r="T43">
        <v>597</v>
      </c>
      <c r="U43">
        <v>2</v>
      </c>
    </row>
    <row r="44" spans="1:21" x14ac:dyDescent="0.45">
      <c r="A44">
        <v>79</v>
      </c>
      <c r="B44">
        <v>0</v>
      </c>
      <c r="C44">
        <v>0</v>
      </c>
      <c r="D44">
        <v>3</v>
      </c>
      <c r="E44">
        <v>9</v>
      </c>
      <c r="F44">
        <v>1</v>
      </c>
      <c r="G44">
        <v>6</v>
      </c>
      <c r="H44">
        <v>9</v>
      </c>
      <c r="I44">
        <v>21</v>
      </c>
      <c r="J44">
        <v>3</v>
      </c>
      <c r="K44">
        <v>9</v>
      </c>
      <c r="L44">
        <v>3</v>
      </c>
      <c r="M44">
        <v>16</v>
      </c>
      <c r="N44">
        <v>3223.9382824097079</v>
      </c>
      <c r="O44">
        <v>3</v>
      </c>
      <c r="P44">
        <v>0</v>
      </c>
      <c r="Q44">
        <v>0</v>
      </c>
      <c r="R44">
        <v>1</v>
      </c>
      <c r="S44">
        <v>4</v>
      </c>
      <c r="T44">
        <v>2221</v>
      </c>
      <c r="U44">
        <v>1</v>
      </c>
    </row>
    <row r="45" spans="1:21" x14ac:dyDescent="0.45">
      <c r="A45">
        <v>81</v>
      </c>
      <c r="B45">
        <v>1</v>
      </c>
      <c r="C45">
        <v>0</v>
      </c>
      <c r="D45">
        <v>1</v>
      </c>
      <c r="E45">
        <v>2</v>
      </c>
      <c r="F45">
        <v>3</v>
      </c>
      <c r="G45">
        <v>9</v>
      </c>
      <c r="H45">
        <v>6</v>
      </c>
      <c r="I45">
        <v>34</v>
      </c>
      <c r="J45">
        <v>5</v>
      </c>
      <c r="K45">
        <v>16</v>
      </c>
      <c r="L45">
        <v>2</v>
      </c>
      <c r="M45">
        <v>17</v>
      </c>
      <c r="N45">
        <v>2845.7568598124358</v>
      </c>
      <c r="O45">
        <v>3</v>
      </c>
      <c r="P45">
        <v>0</v>
      </c>
      <c r="Q45">
        <v>1</v>
      </c>
      <c r="R45">
        <v>3</v>
      </c>
      <c r="S45">
        <v>3</v>
      </c>
      <c r="T45">
        <v>671</v>
      </c>
      <c r="U45">
        <v>1</v>
      </c>
    </row>
    <row r="46" spans="1:21" x14ac:dyDescent="0.45">
      <c r="A46">
        <v>85</v>
      </c>
      <c r="B46">
        <v>1</v>
      </c>
      <c r="C46">
        <v>0</v>
      </c>
      <c r="D46">
        <v>5</v>
      </c>
      <c r="E46">
        <v>9</v>
      </c>
      <c r="F46">
        <v>2</v>
      </c>
      <c r="G46">
        <v>10</v>
      </c>
      <c r="H46">
        <v>14</v>
      </c>
      <c r="I46">
        <v>35</v>
      </c>
      <c r="J46">
        <v>6</v>
      </c>
      <c r="K46">
        <v>9</v>
      </c>
      <c r="L46">
        <v>5</v>
      </c>
      <c r="M46">
        <v>25</v>
      </c>
      <c r="N46">
        <v>4144.1289708976301</v>
      </c>
      <c r="O46">
        <v>4</v>
      </c>
      <c r="P46">
        <v>1</v>
      </c>
      <c r="Q46">
        <v>1</v>
      </c>
      <c r="R46">
        <v>4</v>
      </c>
      <c r="S46">
        <v>3</v>
      </c>
      <c r="T46">
        <v>313</v>
      </c>
      <c r="U46">
        <v>2</v>
      </c>
    </row>
    <row r="47" spans="1:21" x14ac:dyDescent="0.45">
      <c r="A47">
        <v>87</v>
      </c>
      <c r="B47">
        <v>0</v>
      </c>
      <c r="C47">
        <v>0</v>
      </c>
      <c r="D47">
        <v>5</v>
      </c>
      <c r="E47">
        <v>9</v>
      </c>
      <c r="F47">
        <v>2</v>
      </c>
      <c r="G47">
        <v>8</v>
      </c>
      <c r="H47">
        <v>10</v>
      </c>
      <c r="I47">
        <v>27</v>
      </c>
      <c r="J47">
        <v>4</v>
      </c>
      <c r="K47">
        <v>7</v>
      </c>
      <c r="L47">
        <v>5</v>
      </c>
      <c r="M47">
        <v>19</v>
      </c>
      <c r="N47">
        <v>4299.8667114249192</v>
      </c>
      <c r="O47">
        <v>4</v>
      </c>
      <c r="P47">
        <v>0</v>
      </c>
      <c r="Q47">
        <v>0</v>
      </c>
      <c r="R47">
        <v>4</v>
      </c>
      <c r="S47">
        <v>2</v>
      </c>
      <c r="T47">
        <v>59</v>
      </c>
      <c r="U47">
        <v>2</v>
      </c>
    </row>
    <row r="48" spans="1:21" x14ac:dyDescent="0.45">
      <c r="A48">
        <v>90</v>
      </c>
      <c r="B48">
        <v>0</v>
      </c>
      <c r="C48">
        <v>0</v>
      </c>
      <c r="D48">
        <v>0</v>
      </c>
      <c r="E48">
        <v>7</v>
      </c>
      <c r="F48">
        <v>1</v>
      </c>
      <c r="G48">
        <v>7</v>
      </c>
      <c r="H48">
        <v>7</v>
      </c>
      <c r="I48">
        <v>10</v>
      </c>
      <c r="J48">
        <v>2</v>
      </c>
      <c r="K48">
        <v>7</v>
      </c>
      <c r="L48">
        <v>1</v>
      </c>
      <c r="M48">
        <v>17</v>
      </c>
      <c r="N48">
        <v>4658.4858264515233</v>
      </c>
      <c r="O48">
        <v>1</v>
      </c>
      <c r="P48">
        <v>0</v>
      </c>
      <c r="Q48">
        <v>1</v>
      </c>
      <c r="R48">
        <v>4</v>
      </c>
      <c r="S48">
        <v>2</v>
      </c>
      <c r="T48">
        <v>78</v>
      </c>
      <c r="U48">
        <v>1</v>
      </c>
    </row>
    <row r="49" spans="1:21" x14ac:dyDescent="0.45">
      <c r="A49">
        <v>92</v>
      </c>
      <c r="B49">
        <v>0</v>
      </c>
      <c r="C49">
        <v>0</v>
      </c>
      <c r="D49">
        <v>1</v>
      </c>
      <c r="E49">
        <v>4</v>
      </c>
      <c r="F49">
        <v>1</v>
      </c>
      <c r="G49">
        <v>5</v>
      </c>
      <c r="H49">
        <v>7</v>
      </c>
      <c r="I49">
        <v>8</v>
      </c>
      <c r="J49">
        <v>2</v>
      </c>
      <c r="K49">
        <v>7</v>
      </c>
      <c r="L49">
        <v>1</v>
      </c>
      <c r="M49">
        <v>17</v>
      </c>
      <c r="N49">
        <v>4741.267639190517</v>
      </c>
      <c r="O49">
        <v>2</v>
      </c>
      <c r="P49">
        <v>0</v>
      </c>
      <c r="Q49">
        <v>1</v>
      </c>
      <c r="R49">
        <v>4</v>
      </c>
      <c r="S49">
        <v>2</v>
      </c>
      <c r="T49">
        <v>426</v>
      </c>
      <c r="U49">
        <v>2</v>
      </c>
    </row>
    <row r="50" spans="1:21" x14ac:dyDescent="0.45">
      <c r="A50">
        <v>96</v>
      </c>
      <c r="B50">
        <v>0</v>
      </c>
      <c r="C50">
        <v>0</v>
      </c>
      <c r="D50">
        <v>3</v>
      </c>
      <c r="E50">
        <v>3</v>
      </c>
      <c r="F50">
        <v>2</v>
      </c>
      <c r="G50">
        <v>20</v>
      </c>
      <c r="H50">
        <v>20</v>
      </c>
      <c r="I50">
        <v>58</v>
      </c>
      <c r="J50">
        <v>14</v>
      </c>
      <c r="K50">
        <v>8</v>
      </c>
      <c r="L50">
        <v>8</v>
      </c>
      <c r="M50">
        <v>12</v>
      </c>
      <c r="N50">
        <v>2891.527639579554</v>
      </c>
      <c r="O50">
        <v>4</v>
      </c>
      <c r="P50">
        <v>0</v>
      </c>
      <c r="Q50">
        <v>1</v>
      </c>
      <c r="R50">
        <v>4</v>
      </c>
      <c r="S50">
        <v>3</v>
      </c>
      <c r="T50">
        <v>262</v>
      </c>
      <c r="U50">
        <v>2</v>
      </c>
    </row>
    <row r="51" spans="1:21" x14ac:dyDescent="0.45">
      <c r="A51">
        <v>97</v>
      </c>
      <c r="B51">
        <v>0</v>
      </c>
      <c r="C51">
        <v>0</v>
      </c>
      <c r="D51">
        <v>3</v>
      </c>
      <c r="E51">
        <v>3</v>
      </c>
      <c r="F51">
        <v>1</v>
      </c>
      <c r="G51">
        <v>22</v>
      </c>
      <c r="H51">
        <v>17</v>
      </c>
      <c r="I51">
        <v>81</v>
      </c>
      <c r="J51">
        <v>12</v>
      </c>
      <c r="K51">
        <v>9</v>
      </c>
      <c r="L51">
        <v>7</v>
      </c>
      <c r="M51">
        <v>14</v>
      </c>
      <c r="N51">
        <v>2927.5795402409258</v>
      </c>
      <c r="O51">
        <v>3</v>
      </c>
      <c r="P51">
        <v>0</v>
      </c>
      <c r="Q51">
        <v>1</v>
      </c>
      <c r="R51">
        <v>4</v>
      </c>
      <c r="S51">
        <v>3</v>
      </c>
      <c r="T51">
        <v>199</v>
      </c>
      <c r="U51">
        <v>2</v>
      </c>
    </row>
    <row r="52" spans="1:21" x14ac:dyDescent="0.45">
      <c r="A52">
        <v>98</v>
      </c>
      <c r="B52">
        <v>0</v>
      </c>
      <c r="C52">
        <v>0</v>
      </c>
      <c r="D52">
        <v>1</v>
      </c>
      <c r="E52">
        <v>8</v>
      </c>
      <c r="F52">
        <v>0</v>
      </c>
      <c r="G52">
        <v>25</v>
      </c>
      <c r="H52">
        <v>23</v>
      </c>
      <c r="I52">
        <v>89</v>
      </c>
      <c r="J52">
        <v>17</v>
      </c>
      <c r="K52">
        <v>9</v>
      </c>
      <c r="L52">
        <v>6</v>
      </c>
      <c r="M52">
        <v>10</v>
      </c>
      <c r="N52">
        <v>3187.782165904011</v>
      </c>
      <c r="O52">
        <v>1</v>
      </c>
      <c r="P52">
        <v>0</v>
      </c>
      <c r="Q52">
        <v>1</v>
      </c>
      <c r="R52">
        <v>4</v>
      </c>
      <c r="S52">
        <v>2</v>
      </c>
      <c r="T52">
        <v>363</v>
      </c>
      <c r="U52">
        <v>3</v>
      </c>
    </row>
    <row r="53" spans="1:21" x14ac:dyDescent="0.45">
      <c r="A53">
        <v>100</v>
      </c>
      <c r="B53">
        <v>0</v>
      </c>
      <c r="C53">
        <v>0</v>
      </c>
      <c r="D53">
        <v>5</v>
      </c>
      <c r="E53">
        <v>4</v>
      </c>
      <c r="F53">
        <v>1</v>
      </c>
      <c r="G53">
        <v>18</v>
      </c>
      <c r="H53">
        <v>18</v>
      </c>
      <c r="I53">
        <v>62</v>
      </c>
      <c r="J53">
        <v>7</v>
      </c>
      <c r="K53">
        <v>7</v>
      </c>
      <c r="L53">
        <v>7</v>
      </c>
      <c r="M53">
        <v>12</v>
      </c>
      <c r="N53">
        <v>3204.92548865854</v>
      </c>
      <c r="O53">
        <v>3</v>
      </c>
      <c r="P53">
        <v>0</v>
      </c>
      <c r="Q53">
        <v>1</v>
      </c>
      <c r="R53">
        <v>4</v>
      </c>
      <c r="S53">
        <v>6</v>
      </c>
      <c r="T53">
        <v>159</v>
      </c>
      <c r="U53">
        <v>1</v>
      </c>
    </row>
    <row r="54" spans="1:21" x14ac:dyDescent="0.45">
      <c r="A54">
        <v>103</v>
      </c>
      <c r="B54">
        <v>0</v>
      </c>
      <c r="C54">
        <v>0</v>
      </c>
      <c r="D54">
        <v>3</v>
      </c>
      <c r="E54">
        <v>8</v>
      </c>
      <c r="F54">
        <v>1</v>
      </c>
      <c r="G54">
        <v>9</v>
      </c>
      <c r="H54">
        <v>7</v>
      </c>
      <c r="I54">
        <v>29</v>
      </c>
      <c r="J54">
        <v>4</v>
      </c>
      <c r="K54">
        <v>13</v>
      </c>
      <c r="L54">
        <v>1</v>
      </c>
      <c r="M54">
        <v>9</v>
      </c>
      <c r="N54">
        <v>3992.7206166777569</v>
      </c>
      <c r="O54">
        <v>3</v>
      </c>
      <c r="P54">
        <v>0</v>
      </c>
      <c r="Q54">
        <v>0</v>
      </c>
      <c r="R54">
        <v>4</v>
      </c>
      <c r="S54">
        <v>2</v>
      </c>
      <c r="T54">
        <v>1490</v>
      </c>
      <c r="U54">
        <v>1</v>
      </c>
    </row>
    <row r="55" spans="1:21" x14ac:dyDescent="0.45">
      <c r="A55">
        <v>105</v>
      </c>
      <c r="B55">
        <v>0</v>
      </c>
      <c r="C55">
        <v>0</v>
      </c>
      <c r="D55">
        <v>4</v>
      </c>
      <c r="E55">
        <v>7</v>
      </c>
      <c r="F55">
        <v>0</v>
      </c>
      <c r="G55">
        <v>20</v>
      </c>
      <c r="H55">
        <v>9</v>
      </c>
      <c r="I55">
        <v>43</v>
      </c>
      <c r="J55">
        <v>15</v>
      </c>
      <c r="K55">
        <v>7</v>
      </c>
      <c r="L55">
        <v>3</v>
      </c>
      <c r="M55">
        <v>13</v>
      </c>
      <c r="N55">
        <v>2114.6093101919469</v>
      </c>
      <c r="O55">
        <v>4</v>
      </c>
      <c r="P55">
        <v>1</v>
      </c>
      <c r="Q55">
        <v>1</v>
      </c>
      <c r="R55">
        <v>4</v>
      </c>
      <c r="S55">
        <v>3</v>
      </c>
      <c r="T55">
        <v>1945</v>
      </c>
      <c r="U55">
        <v>4</v>
      </c>
    </row>
    <row r="56" spans="1:21" x14ac:dyDescent="0.45">
      <c r="A56">
        <v>106</v>
      </c>
      <c r="B56">
        <v>0</v>
      </c>
      <c r="C56">
        <v>0</v>
      </c>
      <c r="D56">
        <v>4</v>
      </c>
      <c r="E56">
        <v>7</v>
      </c>
      <c r="F56">
        <v>0</v>
      </c>
      <c r="G56">
        <v>20</v>
      </c>
      <c r="H56">
        <v>9</v>
      </c>
      <c r="I56">
        <v>43</v>
      </c>
      <c r="J56">
        <v>15</v>
      </c>
      <c r="K56">
        <v>7</v>
      </c>
      <c r="L56">
        <v>3</v>
      </c>
      <c r="M56">
        <v>13</v>
      </c>
      <c r="N56">
        <v>2040.288581699959</v>
      </c>
      <c r="O56">
        <v>4</v>
      </c>
      <c r="P56">
        <v>1</v>
      </c>
      <c r="Q56">
        <v>1</v>
      </c>
      <c r="R56">
        <v>4</v>
      </c>
      <c r="S56">
        <v>2</v>
      </c>
      <c r="T56">
        <v>2435</v>
      </c>
      <c r="U56">
        <v>4</v>
      </c>
    </row>
    <row r="57" spans="1:21" x14ac:dyDescent="0.45">
      <c r="A57">
        <v>107</v>
      </c>
      <c r="B57">
        <v>0</v>
      </c>
      <c r="C57">
        <v>0</v>
      </c>
      <c r="D57">
        <v>1</v>
      </c>
      <c r="E57">
        <v>2</v>
      </c>
      <c r="F57">
        <v>0</v>
      </c>
      <c r="G57">
        <v>7</v>
      </c>
      <c r="H57">
        <v>3</v>
      </c>
      <c r="I57">
        <v>10</v>
      </c>
      <c r="J57">
        <v>4</v>
      </c>
      <c r="K57">
        <v>4</v>
      </c>
      <c r="L57">
        <v>1</v>
      </c>
      <c r="M57">
        <v>4</v>
      </c>
      <c r="N57">
        <v>1802.566593101998</v>
      </c>
      <c r="O57">
        <v>2</v>
      </c>
      <c r="P57">
        <v>0</v>
      </c>
      <c r="Q57">
        <v>0</v>
      </c>
      <c r="R57">
        <v>4</v>
      </c>
      <c r="S57">
        <v>3</v>
      </c>
      <c r="T57">
        <v>349</v>
      </c>
      <c r="U57">
        <v>1</v>
      </c>
    </row>
    <row r="58" spans="1:21" x14ac:dyDescent="0.45">
      <c r="A58">
        <v>108</v>
      </c>
      <c r="B58">
        <v>0</v>
      </c>
      <c r="C58">
        <v>0</v>
      </c>
      <c r="D58">
        <v>5</v>
      </c>
      <c r="E58">
        <v>6</v>
      </c>
      <c r="F58">
        <v>0</v>
      </c>
      <c r="G58">
        <v>14</v>
      </c>
      <c r="H58">
        <v>10</v>
      </c>
      <c r="I58">
        <v>92</v>
      </c>
      <c r="J58">
        <v>31</v>
      </c>
      <c r="K58">
        <v>5</v>
      </c>
      <c r="L58">
        <v>3</v>
      </c>
      <c r="M58">
        <v>14</v>
      </c>
      <c r="N58">
        <v>1533.5752267746591</v>
      </c>
      <c r="O58">
        <v>4</v>
      </c>
      <c r="P58">
        <v>1</v>
      </c>
      <c r="Q58">
        <v>1</v>
      </c>
      <c r="R58">
        <v>3</v>
      </c>
      <c r="S58">
        <v>3</v>
      </c>
      <c r="T58">
        <v>1329</v>
      </c>
      <c r="U58">
        <v>1</v>
      </c>
    </row>
    <row r="59" spans="1:21" x14ac:dyDescent="0.45">
      <c r="A59">
        <v>109</v>
      </c>
      <c r="B59">
        <v>0</v>
      </c>
      <c r="C59">
        <v>0</v>
      </c>
      <c r="D59">
        <v>5</v>
      </c>
      <c r="E59">
        <v>6</v>
      </c>
      <c r="F59">
        <v>0</v>
      </c>
      <c r="G59">
        <v>14</v>
      </c>
      <c r="H59">
        <v>10</v>
      </c>
      <c r="I59">
        <v>92</v>
      </c>
      <c r="J59">
        <v>31</v>
      </c>
      <c r="K59">
        <v>5</v>
      </c>
      <c r="L59">
        <v>3</v>
      </c>
      <c r="M59">
        <v>14</v>
      </c>
      <c r="N59">
        <v>1639.2249508742721</v>
      </c>
      <c r="O59">
        <v>4</v>
      </c>
      <c r="P59">
        <v>1</v>
      </c>
      <c r="Q59">
        <v>1</v>
      </c>
      <c r="R59">
        <v>3</v>
      </c>
      <c r="S59">
        <v>2</v>
      </c>
      <c r="T59">
        <v>337</v>
      </c>
      <c r="U59">
        <v>1</v>
      </c>
    </row>
    <row r="60" spans="1:21" x14ac:dyDescent="0.45">
      <c r="A60">
        <v>110</v>
      </c>
      <c r="B60">
        <v>0</v>
      </c>
      <c r="C60">
        <v>0</v>
      </c>
      <c r="D60">
        <v>5</v>
      </c>
      <c r="E60">
        <v>6</v>
      </c>
      <c r="F60">
        <v>0</v>
      </c>
      <c r="G60">
        <v>14</v>
      </c>
      <c r="H60">
        <v>10</v>
      </c>
      <c r="I60">
        <v>92</v>
      </c>
      <c r="J60">
        <v>31</v>
      </c>
      <c r="K60">
        <v>5</v>
      </c>
      <c r="L60">
        <v>3</v>
      </c>
      <c r="M60">
        <v>14</v>
      </c>
      <c r="N60">
        <v>1533.5752267746591</v>
      </c>
      <c r="O60">
        <v>4</v>
      </c>
      <c r="P60">
        <v>1</v>
      </c>
      <c r="Q60">
        <v>1</v>
      </c>
      <c r="R60">
        <v>3</v>
      </c>
      <c r="S60">
        <v>3</v>
      </c>
      <c r="T60">
        <v>295</v>
      </c>
      <c r="U60">
        <v>1</v>
      </c>
    </row>
    <row r="61" spans="1:21" x14ac:dyDescent="0.45">
      <c r="A61">
        <v>111</v>
      </c>
      <c r="B61">
        <v>0</v>
      </c>
      <c r="C61">
        <v>0</v>
      </c>
      <c r="D61">
        <v>5</v>
      </c>
      <c r="E61">
        <v>6</v>
      </c>
      <c r="F61">
        <v>0</v>
      </c>
      <c r="G61">
        <v>14</v>
      </c>
      <c r="H61">
        <v>10</v>
      </c>
      <c r="I61">
        <v>92</v>
      </c>
      <c r="J61">
        <v>31</v>
      </c>
      <c r="K61">
        <v>5</v>
      </c>
      <c r="L61">
        <v>3</v>
      </c>
      <c r="M61">
        <v>14</v>
      </c>
      <c r="N61">
        <v>1639.2249508742721</v>
      </c>
      <c r="O61">
        <v>3</v>
      </c>
      <c r="P61">
        <v>1</v>
      </c>
      <c r="Q61">
        <v>1</v>
      </c>
      <c r="R61">
        <v>3</v>
      </c>
      <c r="S61">
        <v>3</v>
      </c>
      <c r="T61">
        <v>838</v>
      </c>
      <c r="U61">
        <v>1</v>
      </c>
    </row>
    <row r="62" spans="1:21" x14ac:dyDescent="0.45">
      <c r="A62">
        <v>112</v>
      </c>
      <c r="B62">
        <v>0</v>
      </c>
      <c r="C62">
        <v>0</v>
      </c>
      <c r="D62">
        <v>4</v>
      </c>
      <c r="E62">
        <v>4</v>
      </c>
      <c r="F62">
        <v>0</v>
      </c>
      <c r="G62">
        <v>16</v>
      </c>
      <c r="H62">
        <v>14</v>
      </c>
      <c r="I62">
        <v>115</v>
      </c>
      <c r="J62">
        <v>33</v>
      </c>
      <c r="K62">
        <v>18</v>
      </c>
      <c r="L62">
        <v>9</v>
      </c>
      <c r="M62">
        <v>14</v>
      </c>
      <c r="N62">
        <v>1533.5752267746591</v>
      </c>
      <c r="O62">
        <v>4</v>
      </c>
      <c r="P62">
        <v>0</v>
      </c>
      <c r="Q62">
        <v>1</v>
      </c>
      <c r="R62">
        <v>4</v>
      </c>
      <c r="S62">
        <v>3</v>
      </c>
      <c r="T62">
        <v>852</v>
      </c>
      <c r="U62">
        <v>4</v>
      </c>
    </row>
    <row r="63" spans="1:21" x14ac:dyDescent="0.45">
      <c r="A63">
        <v>113</v>
      </c>
      <c r="B63">
        <v>0</v>
      </c>
      <c r="C63">
        <v>0</v>
      </c>
      <c r="D63">
        <v>3</v>
      </c>
      <c r="E63">
        <v>2</v>
      </c>
      <c r="F63">
        <v>0</v>
      </c>
      <c r="G63">
        <v>14</v>
      </c>
      <c r="H63">
        <v>16</v>
      </c>
      <c r="I63">
        <v>126</v>
      </c>
      <c r="J63">
        <v>38</v>
      </c>
      <c r="K63">
        <v>18</v>
      </c>
      <c r="L63">
        <v>10</v>
      </c>
      <c r="M63">
        <v>19</v>
      </c>
      <c r="N63">
        <v>1536.001252586037</v>
      </c>
      <c r="O63">
        <v>4</v>
      </c>
      <c r="P63">
        <v>1</v>
      </c>
      <c r="Q63">
        <v>1</v>
      </c>
      <c r="R63">
        <v>3</v>
      </c>
      <c r="S63">
        <v>4</v>
      </c>
      <c r="T63">
        <v>805</v>
      </c>
      <c r="U63">
        <v>1</v>
      </c>
    </row>
    <row r="64" spans="1:21" x14ac:dyDescent="0.45">
      <c r="A64">
        <v>116</v>
      </c>
      <c r="B64">
        <v>0</v>
      </c>
      <c r="C64">
        <v>0</v>
      </c>
      <c r="D64">
        <v>2</v>
      </c>
      <c r="E64">
        <v>2</v>
      </c>
      <c r="F64">
        <v>0</v>
      </c>
      <c r="G64">
        <v>16</v>
      </c>
      <c r="H64">
        <v>17</v>
      </c>
      <c r="I64">
        <v>144</v>
      </c>
      <c r="J64">
        <v>45</v>
      </c>
      <c r="K64">
        <v>20</v>
      </c>
      <c r="L64">
        <v>11</v>
      </c>
      <c r="M64">
        <v>20</v>
      </c>
      <c r="N64">
        <v>1319.687877818079</v>
      </c>
      <c r="O64">
        <v>4</v>
      </c>
      <c r="P64">
        <v>1</v>
      </c>
      <c r="Q64">
        <v>1</v>
      </c>
      <c r="R64">
        <v>3</v>
      </c>
      <c r="S64">
        <v>3</v>
      </c>
      <c r="T64">
        <v>549</v>
      </c>
      <c r="U64">
        <v>1</v>
      </c>
    </row>
    <row r="65" spans="1:21" x14ac:dyDescent="0.45">
      <c r="A65">
        <v>117</v>
      </c>
      <c r="B65">
        <v>0</v>
      </c>
      <c r="C65">
        <v>0</v>
      </c>
      <c r="D65">
        <v>2</v>
      </c>
      <c r="E65">
        <v>2</v>
      </c>
      <c r="F65">
        <v>0</v>
      </c>
      <c r="G65">
        <v>13</v>
      </c>
      <c r="H65">
        <v>12</v>
      </c>
      <c r="I65">
        <v>126</v>
      </c>
      <c r="J65">
        <v>42</v>
      </c>
      <c r="K65">
        <v>17</v>
      </c>
      <c r="L65">
        <v>9</v>
      </c>
      <c r="M65">
        <v>21</v>
      </c>
      <c r="N65">
        <v>1332.761204831055</v>
      </c>
      <c r="O65">
        <v>4</v>
      </c>
      <c r="P65">
        <v>1</v>
      </c>
      <c r="Q65">
        <v>1</v>
      </c>
      <c r="R65">
        <v>3</v>
      </c>
      <c r="S65">
        <v>3</v>
      </c>
      <c r="T65">
        <v>462</v>
      </c>
      <c r="U65">
        <v>1</v>
      </c>
    </row>
    <row r="66" spans="1:21" x14ac:dyDescent="0.45">
      <c r="A66">
        <v>118</v>
      </c>
      <c r="B66">
        <v>0</v>
      </c>
      <c r="C66">
        <v>0</v>
      </c>
      <c r="D66">
        <v>2</v>
      </c>
      <c r="E66">
        <v>2</v>
      </c>
      <c r="F66">
        <v>0</v>
      </c>
      <c r="G66">
        <v>13</v>
      </c>
      <c r="H66">
        <v>12</v>
      </c>
      <c r="I66">
        <v>126</v>
      </c>
      <c r="J66">
        <v>42</v>
      </c>
      <c r="K66">
        <v>17</v>
      </c>
      <c r="L66">
        <v>9</v>
      </c>
      <c r="M66">
        <v>21</v>
      </c>
      <c r="N66">
        <v>1373.465295377717</v>
      </c>
      <c r="O66">
        <v>4</v>
      </c>
      <c r="P66">
        <v>1</v>
      </c>
      <c r="Q66">
        <v>1</v>
      </c>
      <c r="R66">
        <v>3</v>
      </c>
      <c r="S66">
        <v>3</v>
      </c>
      <c r="T66">
        <v>452</v>
      </c>
      <c r="U66">
        <v>1</v>
      </c>
    </row>
    <row r="67" spans="1:21" x14ac:dyDescent="0.45">
      <c r="A67">
        <v>119</v>
      </c>
      <c r="B67">
        <v>0</v>
      </c>
      <c r="C67">
        <v>0</v>
      </c>
      <c r="D67">
        <v>2</v>
      </c>
      <c r="E67">
        <v>2</v>
      </c>
      <c r="F67">
        <v>0</v>
      </c>
      <c r="G67">
        <v>13</v>
      </c>
      <c r="H67">
        <v>12</v>
      </c>
      <c r="I67">
        <v>126</v>
      </c>
      <c r="J67">
        <v>42</v>
      </c>
      <c r="K67">
        <v>17</v>
      </c>
      <c r="L67">
        <v>9</v>
      </c>
      <c r="M67">
        <v>21</v>
      </c>
      <c r="N67">
        <v>1338.9135257027649</v>
      </c>
      <c r="O67">
        <v>4</v>
      </c>
      <c r="P67">
        <v>1</v>
      </c>
      <c r="Q67">
        <v>1</v>
      </c>
      <c r="R67">
        <v>3</v>
      </c>
      <c r="S67">
        <v>2</v>
      </c>
      <c r="T67">
        <v>464</v>
      </c>
      <c r="U67">
        <v>1</v>
      </c>
    </row>
    <row r="68" spans="1:21" x14ac:dyDescent="0.45">
      <c r="A68">
        <v>120</v>
      </c>
      <c r="B68">
        <v>0</v>
      </c>
      <c r="C68">
        <v>0</v>
      </c>
      <c r="D68">
        <v>4</v>
      </c>
      <c r="E68">
        <v>2</v>
      </c>
      <c r="F68">
        <v>0</v>
      </c>
      <c r="G68">
        <v>12</v>
      </c>
      <c r="H68">
        <v>6</v>
      </c>
      <c r="I68">
        <v>89</v>
      </c>
      <c r="J68">
        <v>31</v>
      </c>
      <c r="K68">
        <v>7</v>
      </c>
      <c r="L68">
        <v>7</v>
      </c>
      <c r="M68">
        <v>14</v>
      </c>
      <c r="N68">
        <v>1338.9135257027649</v>
      </c>
      <c r="O68">
        <v>4</v>
      </c>
      <c r="P68">
        <v>1</v>
      </c>
      <c r="Q68">
        <v>1</v>
      </c>
      <c r="R68">
        <v>3</v>
      </c>
      <c r="S68">
        <v>2</v>
      </c>
      <c r="T68">
        <v>446</v>
      </c>
      <c r="U68">
        <v>1</v>
      </c>
    </row>
    <row r="69" spans="1:21" x14ac:dyDescent="0.45">
      <c r="A69">
        <v>121</v>
      </c>
      <c r="B69">
        <v>0</v>
      </c>
      <c r="C69">
        <v>0</v>
      </c>
      <c r="D69">
        <v>4</v>
      </c>
      <c r="E69">
        <v>2</v>
      </c>
      <c r="F69">
        <v>0</v>
      </c>
      <c r="G69">
        <v>12</v>
      </c>
      <c r="H69">
        <v>6</v>
      </c>
      <c r="I69">
        <v>89</v>
      </c>
      <c r="J69">
        <v>31</v>
      </c>
      <c r="K69">
        <v>7</v>
      </c>
      <c r="L69">
        <v>7</v>
      </c>
      <c r="M69">
        <v>14</v>
      </c>
      <c r="N69">
        <v>1373.465295377717</v>
      </c>
      <c r="O69">
        <v>4</v>
      </c>
      <c r="P69">
        <v>1</v>
      </c>
      <c r="Q69">
        <v>1</v>
      </c>
      <c r="R69">
        <v>3</v>
      </c>
      <c r="S69">
        <v>3</v>
      </c>
      <c r="T69">
        <v>962</v>
      </c>
      <c r="U69">
        <v>1</v>
      </c>
    </row>
    <row r="70" spans="1:21" x14ac:dyDescent="0.45">
      <c r="A70">
        <v>122</v>
      </c>
      <c r="B70">
        <v>0</v>
      </c>
      <c r="C70">
        <v>0</v>
      </c>
      <c r="D70">
        <v>3</v>
      </c>
      <c r="E70">
        <v>1</v>
      </c>
      <c r="F70">
        <v>0</v>
      </c>
      <c r="G70">
        <v>10</v>
      </c>
      <c r="H70">
        <v>7</v>
      </c>
      <c r="I70">
        <v>73</v>
      </c>
      <c r="J70">
        <v>28</v>
      </c>
      <c r="K70">
        <v>5</v>
      </c>
      <c r="L70">
        <v>8</v>
      </c>
      <c r="M70">
        <v>15</v>
      </c>
      <c r="N70">
        <v>1447.758864278245</v>
      </c>
      <c r="O70">
        <v>4</v>
      </c>
      <c r="P70">
        <v>1</v>
      </c>
      <c r="Q70">
        <v>1</v>
      </c>
      <c r="R70">
        <v>3</v>
      </c>
      <c r="S70">
        <v>4</v>
      </c>
      <c r="T70">
        <v>599</v>
      </c>
      <c r="U70">
        <v>1</v>
      </c>
    </row>
    <row r="71" spans="1:21" x14ac:dyDescent="0.45">
      <c r="A71">
        <v>123</v>
      </c>
      <c r="B71">
        <v>0</v>
      </c>
      <c r="C71">
        <v>0</v>
      </c>
      <c r="D71">
        <v>2</v>
      </c>
      <c r="E71">
        <v>11</v>
      </c>
      <c r="F71">
        <v>0</v>
      </c>
      <c r="G71">
        <v>29</v>
      </c>
      <c r="H71">
        <v>26</v>
      </c>
      <c r="I71">
        <v>126</v>
      </c>
      <c r="J71">
        <v>43</v>
      </c>
      <c r="K71">
        <v>20</v>
      </c>
      <c r="L71">
        <v>11</v>
      </c>
      <c r="M71">
        <v>19</v>
      </c>
      <c r="N71">
        <v>2827.9683092495288</v>
      </c>
      <c r="O71">
        <v>4</v>
      </c>
      <c r="P71">
        <v>0</v>
      </c>
      <c r="Q71">
        <v>1</v>
      </c>
      <c r="R71">
        <v>4</v>
      </c>
      <c r="S71">
        <v>2</v>
      </c>
      <c r="T71">
        <v>1229</v>
      </c>
      <c r="U71">
        <v>4</v>
      </c>
    </row>
    <row r="72" spans="1:21" x14ac:dyDescent="0.45">
      <c r="A72">
        <v>124</v>
      </c>
      <c r="B72">
        <v>0</v>
      </c>
      <c r="C72">
        <v>0</v>
      </c>
      <c r="D72">
        <v>4</v>
      </c>
      <c r="E72">
        <v>9</v>
      </c>
      <c r="F72">
        <v>1</v>
      </c>
      <c r="G72">
        <v>25</v>
      </c>
      <c r="H72">
        <v>24</v>
      </c>
      <c r="I72">
        <v>85</v>
      </c>
      <c r="J72">
        <v>33</v>
      </c>
      <c r="K72">
        <v>23</v>
      </c>
      <c r="L72">
        <v>8</v>
      </c>
      <c r="M72">
        <v>19</v>
      </c>
      <c r="N72">
        <v>2994.5827626413179</v>
      </c>
      <c r="O72">
        <v>2</v>
      </c>
      <c r="P72">
        <v>0</v>
      </c>
      <c r="Q72">
        <v>1</v>
      </c>
      <c r="R72">
        <v>4</v>
      </c>
      <c r="S72">
        <v>3</v>
      </c>
      <c r="T72">
        <v>1489</v>
      </c>
      <c r="U72">
        <v>4</v>
      </c>
    </row>
    <row r="73" spans="1:21" x14ac:dyDescent="0.45">
      <c r="A73">
        <v>125</v>
      </c>
      <c r="B73">
        <v>1</v>
      </c>
      <c r="C73">
        <v>0</v>
      </c>
      <c r="D73">
        <v>4</v>
      </c>
      <c r="E73">
        <v>6</v>
      </c>
      <c r="F73">
        <v>0</v>
      </c>
      <c r="G73">
        <v>21</v>
      </c>
      <c r="H73">
        <v>25</v>
      </c>
      <c r="I73">
        <v>74</v>
      </c>
      <c r="J73">
        <v>17</v>
      </c>
      <c r="K73">
        <v>18</v>
      </c>
      <c r="L73">
        <v>11</v>
      </c>
      <c r="M73">
        <v>13</v>
      </c>
      <c r="N73">
        <v>3259.9636526582231</v>
      </c>
      <c r="O73">
        <v>3</v>
      </c>
      <c r="P73">
        <v>0</v>
      </c>
      <c r="Q73">
        <v>1</v>
      </c>
      <c r="R73">
        <v>4</v>
      </c>
      <c r="S73">
        <v>2</v>
      </c>
      <c r="T73">
        <v>479</v>
      </c>
      <c r="U73">
        <v>2</v>
      </c>
    </row>
    <row r="74" spans="1:21" x14ac:dyDescent="0.45">
      <c r="A74">
        <v>126</v>
      </c>
      <c r="B74">
        <v>1</v>
      </c>
      <c r="C74">
        <v>0</v>
      </c>
      <c r="D74">
        <v>5</v>
      </c>
      <c r="E74">
        <v>5</v>
      </c>
      <c r="F74">
        <v>0</v>
      </c>
      <c r="G74">
        <v>25</v>
      </c>
      <c r="H74">
        <v>29</v>
      </c>
      <c r="I74">
        <v>90</v>
      </c>
      <c r="J74">
        <v>26</v>
      </c>
      <c r="K74">
        <v>19</v>
      </c>
      <c r="L74">
        <v>9</v>
      </c>
      <c r="M74">
        <v>15</v>
      </c>
      <c r="N74">
        <v>3154.80763763399</v>
      </c>
      <c r="O74">
        <v>3</v>
      </c>
      <c r="P74">
        <v>0</v>
      </c>
      <c r="Q74">
        <v>1</v>
      </c>
      <c r="R74">
        <v>4</v>
      </c>
      <c r="S74">
        <v>3</v>
      </c>
      <c r="T74">
        <v>504</v>
      </c>
      <c r="U74">
        <v>2</v>
      </c>
    </row>
    <row r="75" spans="1:21" x14ac:dyDescent="0.45">
      <c r="A75">
        <v>127</v>
      </c>
      <c r="B75">
        <v>0</v>
      </c>
      <c r="C75">
        <v>0</v>
      </c>
      <c r="D75">
        <v>5</v>
      </c>
      <c r="E75">
        <v>5</v>
      </c>
      <c r="F75">
        <v>0</v>
      </c>
      <c r="G75">
        <v>25</v>
      </c>
      <c r="H75">
        <v>29</v>
      </c>
      <c r="I75">
        <v>90</v>
      </c>
      <c r="J75">
        <v>26</v>
      </c>
      <c r="K75">
        <v>19</v>
      </c>
      <c r="L75">
        <v>9</v>
      </c>
      <c r="M75">
        <v>15</v>
      </c>
      <c r="N75">
        <v>3154.80763763399</v>
      </c>
      <c r="O75">
        <v>3</v>
      </c>
      <c r="P75">
        <v>1</v>
      </c>
      <c r="Q75">
        <v>1</v>
      </c>
      <c r="R75">
        <v>4</v>
      </c>
      <c r="S75">
        <v>2</v>
      </c>
      <c r="T75">
        <v>429</v>
      </c>
      <c r="U75">
        <v>2</v>
      </c>
    </row>
    <row r="76" spans="1:21" x14ac:dyDescent="0.45">
      <c r="A76">
        <v>129</v>
      </c>
      <c r="B76">
        <v>0</v>
      </c>
      <c r="C76">
        <v>0</v>
      </c>
      <c r="D76">
        <v>4</v>
      </c>
      <c r="E76">
        <v>6</v>
      </c>
      <c r="F76">
        <v>0</v>
      </c>
      <c r="G76">
        <v>18</v>
      </c>
      <c r="H76">
        <v>22</v>
      </c>
      <c r="I76">
        <v>51</v>
      </c>
      <c r="J76">
        <v>14</v>
      </c>
      <c r="K76">
        <v>19</v>
      </c>
      <c r="L76">
        <v>7</v>
      </c>
      <c r="M76">
        <v>8</v>
      </c>
      <c r="N76">
        <v>3226.1741780932462</v>
      </c>
      <c r="O76">
        <v>3</v>
      </c>
      <c r="P76">
        <v>0</v>
      </c>
      <c r="Q76">
        <v>1</v>
      </c>
      <c r="R76">
        <v>4</v>
      </c>
      <c r="S76">
        <v>4</v>
      </c>
      <c r="T76">
        <v>496</v>
      </c>
      <c r="U76">
        <v>2</v>
      </c>
    </row>
    <row r="77" spans="1:21" x14ac:dyDescent="0.45">
      <c r="A77">
        <v>131</v>
      </c>
      <c r="B77">
        <v>1</v>
      </c>
      <c r="C77">
        <v>0</v>
      </c>
      <c r="D77">
        <v>4</v>
      </c>
      <c r="E77">
        <v>8</v>
      </c>
      <c r="F77">
        <v>0</v>
      </c>
      <c r="G77">
        <v>16</v>
      </c>
      <c r="H77">
        <v>21</v>
      </c>
      <c r="I77">
        <v>69</v>
      </c>
      <c r="J77">
        <v>13</v>
      </c>
      <c r="K77">
        <v>25</v>
      </c>
      <c r="L77">
        <v>8</v>
      </c>
      <c r="M77">
        <v>13</v>
      </c>
      <c r="N77">
        <v>3309.9768691425411</v>
      </c>
      <c r="O77">
        <v>4</v>
      </c>
      <c r="P77">
        <v>1</v>
      </c>
      <c r="Q77">
        <v>1</v>
      </c>
      <c r="R77">
        <v>4</v>
      </c>
      <c r="S77">
        <v>4</v>
      </c>
      <c r="T77">
        <v>652</v>
      </c>
      <c r="U77">
        <v>2</v>
      </c>
    </row>
    <row r="78" spans="1:21" x14ac:dyDescent="0.45">
      <c r="A78">
        <v>133</v>
      </c>
      <c r="B78">
        <v>1</v>
      </c>
      <c r="C78">
        <v>0</v>
      </c>
      <c r="D78">
        <v>9</v>
      </c>
      <c r="E78">
        <v>9</v>
      </c>
      <c r="F78">
        <v>2</v>
      </c>
      <c r="G78">
        <v>19</v>
      </c>
      <c r="H78">
        <v>8</v>
      </c>
      <c r="I78">
        <v>147</v>
      </c>
      <c r="J78">
        <v>56</v>
      </c>
      <c r="K78">
        <v>17</v>
      </c>
      <c r="L78">
        <v>13</v>
      </c>
      <c r="M78">
        <v>18</v>
      </c>
      <c r="N78">
        <v>2347.236871277456</v>
      </c>
      <c r="O78">
        <v>4</v>
      </c>
      <c r="P78">
        <v>0</v>
      </c>
      <c r="Q78">
        <v>1</v>
      </c>
      <c r="R78">
        <v>4</v>
      </c>
      <c r="S78">
        <v>3</v>
      </c>
      <c r="T78">
        <v>706</v>
      </c>
      <c r="U78">
        <v>3</v>
      </c>
    </row>
    <row r="79" spans="1:21" x14ac:dyDescent="0.45">
      <c r="A79">
        <v>134</v>
      </c>
      <c r="B79">
        <v>0</v>
      </c>
      <c r="C79">
        <v>0</v>
      </c>
      <c r="D79">
        <v>6</v>
      </c>
      <c r="E79">
        <v>13</v>
      </c>
      <c r="F79">
        <v>1</v>
      </c>
      <c r="G79">
        <v>22</v>
      </c>
      <c r="H79">
        <v>12</v>
      </c>
      <c r="I79">
        <v>83</v>
      </c>
      <c r="J79">
        <v>32</v>
      </c>
      <c r="K79">
        <v>9</v>
      </c>
      <c r="L79">
        <v>5</v>
      </c>
      <c r="M79">
        <v>7</v>
      </c>
      <c r="N79">
        <v>2617.9028637866791</v>
      </c>
      <c r="O79">
        <v>3</v>
      </c>
      <c r="P79">
        <v>1</v>
      </c>
      <c r="Q79">
        <v>1</v>
      </c>
      <c r="R79">
        <v>4</v>
      </c>
      <c r="S79">
        <v>2</v>
      </c>
      <c r="T79">
        <v>263</v>
      </c>
      <c r="U79">
        <v>3</v>
      </c>
    </row>
    <row r="80" spans="1:21" x14ac:dyDescent="0.45">
      <c r="A80">
        <v>135</v>
      </c>
      <c r="B80">
        <v>0</v>
      </c>
      <c r="C80">
        <v>0</v>
      </c>
      <c r="D80">
        <v>7</v>
      </c>
      <c r="E80">
        <v>10</v>
      </c>
      <c r="F80">
        <v>0</v>
      </c>
      <c r="G80">
        <v>27</v>
      </c>
      <c r="H80">
        <v>17</v>
      </c>
      <c r="I80">
        <v>123</v>
      </c>
      <c r="J80">
        <v>42</v>
      </c>
      <c r="K80">
        <v>11</v>
      </c>
      <c r="L80">
        <v>5</v>
      </c>
      <c r="M80">
        <v>11</v>
      </c>
      <c r="N80">
        <v>2626.7449273298998</v>
      </c>
      <c r="O80">
        <v>4</v>
      </c>
      <c r="P80">
        <v>1</v>
      </c>
      <c r="Q80">
        <v>1</v>
      </c>
      <c r="R80">
        <v>4</v>
      </c>
      <c r="S80">
        <v>3</v>
      </c>
      <c r="T80">
        <v>125</v>
      </c>
      <c r="U80">
        <v>1</v>
      </c>
    </row>
    <row r="81" spans="1:21" x14ac:dyDescent="0.45">
      <c r="A81">
        <v>136</v>
      </c>
      <c r="B81">
        <v>0</v>
      </c>
      <c r="C81">
        <v>0</v>
      </c>
      <c r="D81">
        <v>3</v>
      </c>
      <c r="E81">
        <v>11</v>
      </c>
      <c r="F81">
        <v>0</v>
      </c>
      <c r="G81">
        <v>12</v>
      </c>
      <c r="H81">
        <v>9</v>
      </c>
      <c r="I81">
        <v>37</v>
      </c>
      <c r="J81">
        <v>15</v>
      </c>
      <c r="K81">
        <v>9</v>
      </c>
      <c r="L81">
        <v>4</v>
      </c>
      <c r="M81">
        <v>7</v>
      </c>
      <c r="N81">
        <v>3389.632313977505</v>
      </c>
      <c r="O81">
        <v>3</v>
      </c>
      <c r="P81">
        <v>0</v>
      </c>
      <c r="Q81">
        <v>0</v>
      </c>
      <c r="R81">
        <v>3</v>
      </c>
      <c r="S81">
        <v>5</v>
      </c>
      <c r="T81">
        <v>1129</v>
      </c>
      <c r="U81">
        <v>2</v>
      </c>
    </row>
    <row r="82" spans="1:21" x14ac:dyDescent="0.45">
      <c r="A82">
        <v>139</v>
      </c>
      <c r="B82">
        <v>0</v>
      </c>
      <c r="C82">
        <v>0</v>
      </c>
      <c r="D82">
        <v>3</v>
      </c>
      <c r="E82">
        <v>7</v>
      </c>
      <c r="F82">
        <v>2</v>
      </c>
      <c r="G82">
        <v>10</v>
      </c>
      <c r="H82">
        <v>6</v>
      </c>
      <c r="I82">
        <v>23</v>
      </c>
      <c r="J82">
        <v>4</v>
      </c>
      <c r="K82">
        <v>4</v>
      </c>
      <c r="L82">
        <v>4</v>
      </c>
      <c r="M82">
        <v>11</v>
      </c>
      <c r="N82">
        <v>3949.9203439870221</v>
      </c>
      <c r="O82">
        <v>4</v>
      </c>
      <c r="P82">
        <v>0</v>
      </c>
      <c r="Q82">
        <v>1</v>
      </c>
      <c r="R82">
        <v>4</v>
      </c>
      <c r="S82">
        <v>2</v>
      </c>
      <c r="T82">
        <v>768</v>
      </c>
      <c r="U82">
        <v>1</v>
      </c>
    </row>
    <row r="83" spans="1:21" x14ac:dyDescent="0.45">
      <c r="A83">
        <v>140</v>
      </c>
      <c r="B83">
        <v>0</v>
      </c>
      <c r="C83">
        <v>0</v>
      </c>
      <c r="D83">
        <v>3</v>
      </c>
      <c r="E83">
        <v>7</v>
      </c>
      <c r="F83">
        <v>2</v>
      </c>
      <c r="G83">
        <v>10</v>
      </c>
      <c r="H83">
        <v>6</v>
      </c>
      <c r="I83">
        <v>23</v>
      </c>
      <c r="J83">
        <v>4</v>
      </c>
      <c r="K83">
        <v>4</v>
      </c>
      <c r="L83">
        <v>4</v>
      </c>
      <c r="M83">
        <v>11</v>
      </c>
      <c r="N83">
        <v>4050.8527827789321</v>
      </c>
      <c r="O83">
        <v>3</v>
      </c>
      <c r="P83">
        <v>0</v>
      </c>
      <c r="Q83">
        <v>1</v>
      </c>
      <c r="R83">
        <v>3</v>
      </c>
      <c r="S83">
        <v>1</v>
      </c>
      <c r="T83">
        <v>1564</v>
      </c>
      <c r="U83">
        <v>3</v>
      </c>
    </row>
    <row r="84" spans="1:21" x14ac:dyDescent="0.45">
      <c r="A84">
        <v>141</v>
      </c>
      <c r="B84">
        <v>0</v>
      </c>
      <c r="C84">
        <v>0</v>
      </c>
      <c r="D84">
        <v>5</v>
      </c>
      <c r="E84">
        <v>9</v>
      </c>
      <c r="F84">
        <v>0</v>
      </c>
      <c r="G84">
        <v>13</v>
      </c>
      <c r="H84">
        <v>13</v>
      </c>
      <c r="I84">
        <v>27</v>
      </c>
      <c r="J84">
        <v>8</v>
      </c>
      <c r="K84">
        <v>3</v>
      </c>
      <c r="L84">
        <v>3</v>
      </c>
      <c r="M84">
        <v>11</v>
      </c>
      <c r="N84">
        <v>3745.949146322735</v>
      </c>
      <c r="O84">
        <v>4</v>
      </c>
      <c r="P84">
        <v>1</v>
      </c>
      <c r="Q84">
        <v>1</v>
      </c>
      <c r="R84">
        <v>4</v>
      </c>
      <c r="S84">
        <v>3</v>
      </c>
      <c r="T84">
        <v>995</v>
      </c>
      <c r="U84">
        <v>1</v>
      </c>
    </row>
    <row r="85" spans="1:21" x14ac:dyDescent="0.45">
      <c r="A85">
        <v>142</v>
      </c>
      <c r="B85">
        <v>0</v>
      </c>
      <c r="C85">
        <v>0</v>
      </c>
      <c r="D85">
        <v>3</v>
      </c>
      <c r="E85">
        <v>6</v>
      </c>
      <c r="F85">
        <v>1</v>
      </c>
      <c r="G85">
        <v>9</v>
      </c>
      <c r="H85">
        <v>11</v>
      </c>
      <c r="I85">
        <v>20</v>
      </c>
      <c r="J85">
        <v>5</v>
      </c>
      <c r="K85">
        <v>8</v>
      </c>
      <c r="L85">
        <v>3</v>
      </c>
      <c r="M85">
        <v>13</v>
      </c>
      <c r="N85">
        <v>3780.36010015172</v>
      </c>
      <c r="O85">
        <v>4</v>
      </c>
      <c r="P85">
        <v>0</v>
      </c>
      <c r="Q85">
        <v>1</v>
      </c>
      <c r="R85">
        <v>4</v>
      </c>
      <c r="S85">
        <v>5</v>
      </c>
      <c r="T85">
        <v>606</v>
      </c>
      <c r="U85">
        <v>3</v>
      </c>
    </row>
    <row r="86" spans="1:21" x14ac:dyDescent="0.45">
      <c r="A86">
        <v>143</v>
      </c>
      <c r="B86">
        <v>0</v>
      </c>
      <c r="C86">
        <v>0</v>
      </c>
      <c r="D86">
        <v>5</v>
      </c>
      <c r="E86">
        <v>12</v>
      </c>
      <c r="F86">
        <v>0</v>
      </c>
      <c r="G86">
        <v>21</v>
      </c>
      <c r="H86">
        <v>14</v>
      </c>
      <c r="I86">
        <v>49</v>
      </c>
      <c r="J86">
        <v>30</v>
      </c>
      <c r="K86">
        <v>6</v>
      </c>
      <c r="L86">
        <v>4</v>
      </c>
      <c r="M86">
        <v>12</v>
      </c>
      <c r="N86">
        <v>3331.39862940591</v>
      </c>
      <c r="O86">
        <v>4</v>
      </c>
      <c r="P86">
        <v>0</v>
      </c>
      <c r="Q86">
        <v>1</v>
      </c>
      <c r="R86">
        <v>4</v>
      </c>
      <c r="S86">
        <v>4</v>
      </c>
      <c r="T86">
        <v>298</v>
      </c>
      <c r="U86">
        <v>1</v>
      </c>
    </row>
    <row r="87" spans="1:21" x14ac:dyDescent="0.45">
      <c r="A87">
        <v>144</v>
      </c>
      <c r="B87">
        <v>0</v>
      </c>
      <c r="C87">
        <v>0</v>
      </c>
      <c r="D87">
        <v>4</v>
      </c>
      <c r="E87">
        <v>7</v>
      </c>
      <c r="F87">
        <v>1</v>
      </c>
      <c r="G87">
        <v>7</v>
      </c>
      <c r="H87">
        <v>12</v>
      </c>
      <c r="I87">
        <v>15</v>
      </c>
      <c r="J87">
        <v>3</v>
      </c>
      <c r="K87">
        <v>8</v>
      </c>
      <c r="L87">
        <v>2</v>
      </c>
      <c r="M87">
        <v>12</v>
      </c>
      <c r="N87">
        <v>4007.682487858588</v>
      </c>
      <c r="O87">
        <v>2</v>
      </c>
      <c r="P87">
        <v>0</v>
      </c>
      <c r="Q87">
        <v>0</v>
      </c>
      <c r="R87">
        <v>3</v>
      </c>
      <c r="S87">
        <v>2</v>
      </c>
      <c r="T87">
        <v>465</v>
      </c>
      <c r="U87">
        <v>3</v>
      </c>
    </row>
    <row r="88" spans="1:21" x14ac:dyDescent="0.45">
      <c r="A88">
        <v>145</v>
      </c>
      <c r="B88">
        <v>0</v>
      </c>
      <c r="C88">
        <v>0</v>
      </c>
      <c r="D88">
        <v>4</v>
      </c>
      <c r="E88">
        <v>9</v>
      </c>
      <c r="F88">
        <v>1</v>
      </c>
      <c r="G88">
        <v>10</v>
      </c>
      <c r="H88">
        <v>13</v>
      </c>
      <c r="I88">
        <v>18</v>
      </c>
      <c r="J88">
        <v>4</v>
      </c>
      <c r="K88">
        <v>7</v>
      </c>
      <c r="L88">
        <v>1</v>
      </c>
      <c r="M88">
        <v>14</v>
      </c>
      <c r="N88">
        <v>3959.48516641474</v>
      </c>
      <c r="O88">
        <v>3</v>
      </c>
      <c r="P88">
        <v>0</v>
      </c>
      <c r="Q88">
        <v>1</v>
      </c>
      <c r="R88">
        <v>4</v>
      </c>
      <c r="S88">
        <v>6</v>
      </c>
      <c r="T88">
        <v>2669</v>
      </c>
      <c r="U88">
        <v>3</v>
      </c>
    </row>
    <row r="89" spans="1:21" x14ac:dyDescent="0.45">
      <c r="A89">
        <v>146</v>
      </c>
      <c r="B89">
        <v>0</v>
      </c>
      <c r="C89">
        <v>0</v>
      </c>
      <c r="D89">
        <v>2</v>
      </c>
      <c r="E89">
        <v>7</v>
      </c>
      <c r="F89">
        <v>2</v>
      </c>
      <c r="G89">
        <v>15</v>
      </c>
      <c r="H89">
        <v>12</v>
      </c>
      <c r="I89">
        <v>41</v>
      </c>
      <c r="J89">
        <v>26</v>
      </c>
      <c r="K89">
        <v>12</v>
      </c>
      <c r="L89">
        <v>6</v>
      </c>
      <c r="M89">
        <v>26</v>
      </c>
      <c r="N89">
        <v>3998.3009624077681</v>
      </c>
      <c r="O89">
        <v>3</v>
      </c>
      <c r="P89">
        <v>0</v>
      </c>
      <c r="Q89">
        <v>1</v>
      </c>
      <c r="R89">
        <v>4</v>
      </c>
      <c r="S89">
        <v>3</v>
      </c>
      <c r="T89">
        <v>309</v>
      </c>
      <c r="U89">
        <v>2</v>
      </c>
    </row>
    <row r="90" spans="1:21" x14ac:dyDescent="0.45">
      <c r="A90">
        <v>147</v>
      </c>
      <c r="B90">
        <v>0</v>
      </c>
      <c r="C90">
        <v>0</v>
      </c>
      <c r="D90">
        <v>4</v>
      </c>
      <c r="E90">
        <v>2</v>
      </c>
      <c r="F90">
        <v>0</v>
      </c>
      <c r="G90">
        <v>5</v>
      </c>
      <c r="H90">
        <v>3</v>
      </c>
      <c r="I90">
        <v>11</v>
      </c>
      <c r="J90">
        <v>4</v>
      </c>
      <c r="K90">
        <v>6</v>
      </c>
      <c r="L90">
        <v>2</v>
      </c>
      <c r="M90">
        <v>13</v>
      </c>
      <c r="N90">
        <v>4423.857949638732</v>
      </c>
      <c r="O90">
        <v>4</v>
      </c>
      <c r="P90">
        <v>0</v>
      </c>
      <c r="Q90">
        <v>1</v>
      </c>
      <c r="R90">
        <v>4</v>
      </c>
      <c r="S90">
        <v>2</v>
      </c>
      <c r="T90">
        <v>178</v>
      </c>
      <c r="U90">
        <v>2</v>
      </c>
    </row>
    <row r="91" spans="1:21" x14ac:dyDescent="0.45">
      <c r="A91">
        <v>148</v>
      </c>
      <c r="B91">
        <v>0</v>
      </c>
      <c r="C91">
        <v>0</v>
      </c>
      <c r="D91">
        <v>1</v>
      </c>
      <c r="E91">
        <v>0</v>
      </c>
      <c r="F91">
        <v>0</v>
      </c>
      <c r="G91">
        <v>6</v>
      </c>
      <c r="H91">
        <v>2</v>
      </c>
      <c r="I91">
        <v>24</v>
      </c>
      <c r="J91">
        <v>6</v>
      </c>
      <c r="K91">
        <v>7</v>
      </c>
      <c r="L91">
        <v>2</v>
      </c>
      <c r="M91">
        <v>16</v>
      </c>
      <c r="N91">
        <v>4486.3170212238138</v>
      </c>
      <c r="O91">
        <v>2</v>
      </c>
      <c r="P91">
        <v>0</v>
      </c>
      <c r="Q91">
        <v>0</v>
      </c>
      <c r="R91">
        <v>4</v>
      </c>
      <c r="S91">
        <v>2</v>
      </c>
      <c r="T91">
        <v>1168</v>
      </c>
      <c r="U91">
        <v>2</v>
      </c>
    </row>
    <row r="92" spans="1:21" x14ac:dyDescent="0.45">
      <c r="A92">
        <v>149</v>
      </c>
      <c r="B92">
        <v>0</v>
      </c>
      <c r="C92">
        <v>0</v>
      </c>
      <c r="D92">
        <v>1</v>
      </c>
      <c r="E92">
        <v>0</v>
      </c>
      <c r="F92">
        <v>0</v>
      </c>
      <c r="G92">
        <v>6</v>
      </c>
      <c r="H92">
        <v>2</v>
      </c>
      <c r="I92">
        <v>24</v>
      </c>
      <c r="J92">
        <v>6</v>
      </c>
      <c r="K92">
        <v>7</v>
      </c>
      <c r="L92">
        <v>2</v>
      </c>
      <c r="M92">
        <v>16</v>
      </c>
      <c r="N92">
        <v>4426.6147283757764</v>
      </c>
      <c r="O92">
        <v>2</v>
      </c>
      <c r="P92">
        <v>0</v>
      </c>
      <c r="Q92">
        <v>0</v>
      </c>
      <c r="R92">
        <v>4</v>
      </c>
      <c r="S92">
        <v>2</v>
      </c>
      <c r="T92">
        <v>476</v>
      </c>
      <c r="U92">
        <v>1</v>
      </c>
    </row>
    <row r="93" spans="1:21" x14ac:dyDescent="0.45">
      <c r="A93">
        <v>150</v>
      </c>
      <c r="B93">
        <v>0</v>
      </c>
      <c r="C93">
        <v>0</v>
      </c>
      <c r="D93">
        <v>1</v>
      </c>
      <c r="E93">
        <v>0</v>
      </c>
      <c r="F93">
        <v>0</v>
      </c>
      <c r="G93">
        <v>6</v>
      </c>
      <c r="H93">
        <v>2</v>
      </c>
      <c r="I93">
        <v>24</v>
      </c>
      <c r="J93">
        <v>6</v>
      </c>
      <c r="K93">
        <v>7</v>
      </c>
      <c r="L93">
        <v>2</v>
      </c>
      <c r="M93">
        <v>16</v>
      </c>
      <c r="N93">
        <v>4542.0729639519041</v>
      </c>
      <c r="O93">
        <v>2</v>
      </c>
      <c r="P93">
        <v>0</v>
      </c>
      <c r="Q93">
        <v>1</v>
      </c>
      <c r="R93">
        <v>3</v>
      </c>
      <c r="S93">
        <v>3</v>
      </c>
      <c r="T93">
        <v>890</v>
      </c>
      <c r="U93">
        <v>2</v>
      </c>
    </row>
    <row r="94" spans="1:21" x14ac:dyDescent="0.45">
      <c r="A94">
        <v>151</v>
      </c>
      <c r="B94">
        <v>0</v>
      </c>
      <c r="C94">
        <v>0</v>
      </c>
      <c r="D94">
        <v>1</v>
      </c>
      <c r="E94">
        <v>1</v>
      </c>
      <c r="F94">
        <v>0</v>
      </c>
      <c r="G94">
        <v>8</v>
      </c>
      <c r="H94">
        <v>4</v>
      </c>
      <c r="I94">
        <v>26</v>
      </c>
      <c r="J94">
        <v>8</v>
      </c>
      <c r="K94">
        <v>8</v>
      </c>
      <c r="L94">
        <v>3</v>
      </c>
      <c r="M94">
        <v>17</v>
      </c>
      <c r="N94">
        <v>4542.0729639519041</v>
      </c>
      <c r="O94">
        <v>1</v>
      </c>
      <c r="P94">
        <v>0</v>
      </c>
      <c r="Q94">
        <v>1</v>
      </c>
      <c r="R94">
        <v>3</v>
      </c>
      <c r="S94">
        <v>2</v>
      </c>
      <c r="T94">
        <v>160</v>
      </c>
      <c r="U94">
        <v>1</v>
      </c>
    </row>
    <row r="95" spans="1:21" x14ac:dyDescent="0.45">
      <c r="A95">
        <v>152</v>
      </c>
      <c r="B95">
        <v>0</v>
      </c>
      <c r="C95">
        <v>0</v>
      </c>
      <c r="D95">
        <v>1</v>
      </c>
      <c r="E95">
        <v>4</v>
      </c>
      <c r="F95">
        <v>0</v>
      </c>
      <c r="G95">
        <v>10</v>
      </c>
      <c r="H95">
        <v>9</v>
      </c>
      <c r="I95">
        <v>93</v>
      </c>
      <c r="J95">
        <v>31</v>
      </c>
      <c r="K95">
        <v>21</v>
      </c>
      <c r="L95">
        <v>7</v>
      </c>
      <c r="M95">
        <v>5</v>
      </c>
      <c r="N95">
        <v>3297.6738793102149</v>
      </c>
      <c r="O95">
        <v>3</v>
      </c>
      <c r="P95">
        <v>0</v>
      </c>
      <c r="Q95">
        <v>0</v>
      </c>
      <c r="R95">
        <v>3</v>
      </c>
      <c r="S95">
        <v>2</v>
      </c>
      <c r="T95">
        <v>563</v>
      </c>
      <c r="U95">
        <v>3</v>
      </c>
    </row>
    <row r="96" spans="1:21" x14ac:dyDescent="0.45">
      <c r="A96">
        <v>153</v>
      </c>
      <c r="B96">
        <v>1</v>
      </c>
      <c r="C96">
        <v>0</v>
      </c>
      <c r="D96">
        <v>1</v>
      </c>
      <c r="E96">
        <v>4</v>
      </c>
      <c r="F96">
        <v>0</v>
      </c>
      <c r="G96">
        <v>12</v>
      </c>
      <c r="H96">
        <v>15</v>
      </c>
      <c r="I96">
        <v>67</v>
      </c>
      <c r="J96">
        <v>18</v>
      </c>
      <c r="K96">
        <v>16</v>
      </c>
      <c r="L96">
        <v>4</v>
      </c>
      <c r="M96">
        <v>7</v>
      </c>
      <c r="N96">
        <v>3400.795781159632</v>
      </c>
      <c r="O96">
        <v>2</v>
      </c>
      <c r="P96">
        <v>0</v>
      </c>
      <c r="Q96">
        <v>1</v>
      </c>
      <c r="R96">
        <v>4</v>
      </c>
      <c r="S96">
        <v>4</v>
      </c>
      <c r="T96">
        <v>564</v>
      </c>
      <c r="U96">
        <v>3</v>
      </c>
    </row>
    <row r="97" spans="1:21" x14ac:dyDescent="0.45">
      <c r="A97">
        <v>154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5</v>
      </c>
      <c r="K97">
        <v>1</v>
      </c>
      <c r="L97">
        <v>0</v>
      </c>
      <c r="M97">
        <v>3</v>
      </c>
      <c r="N97">
        <v>5239.4240586204087</v>
      </c>
      <c r="O97">
        <v>3</v>
      </c>
      <c r="P97">
        <v>1</v>
      </c>
      <c r="Q97">
        <v>0</v>
      </c>
      <c r="R97">
        <v>3</v>
      </c>
      <c r="S97">
        <v>2</v>
      </c>
      <c r="T97">
        <v>875</v>
      </c>
      <c r="U97">
        <v>1</v>
      </c>
    </row>
    <row r="98" spans="1:21" x14ac:dyDescent="0.45">
      <c r="A98">
        <v>155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7</v>
      </c>
      <c r="K98">
        <v>1</v>
      </c>
      <c r="L98">
        <v>0</v>
      </c>
      <c r="M98">
        <v>2</v>
      </c>
      <c r="N98">
        <v>4908.3851062520162</v>
      </c>
      <c r="O98">
        <v>1</v>
      </c>
      <c r="P98">
        <v>1</v>
      </c>
      <c r="Q98">
        <v>1</v>
      </c>
      <c r="R98">
        <v>3</v>
      </c>
      <c r="S98">
        <v>2</v>
      </c>
      <c r="T98">
        <v>232</v>
      </c>
      <c r="U98">
        <v>1</v>
      </c>
    </row>
    <row r="99" spans="1:21" x14ac:dyDescent="0.45">
      <c r="A99">
        <v>156</v>
      </c>
      <c r="B99">
        <v>0</v>
      </c>
      <c r="C99">
        <v>0</v>
      </c>
      <c r="D99">
        <v>0</v>
      </c>
      <c r="E99">
        <v>3</v>
      </c>
      <c r="F99">
        <v>5</v>
      </c>
      <c r="G99">
        <v>5</v>
      </c>
      <c r="H99">
        <v>8</v>
      </c>
      <c r="I99">
        <v>9</v>
      </c>
      <c r="J99">
        <v>2</v>
      </c>
      <c r="K99">
        <v>3</v>
      </c>
      <c r="L99">
        <v>0</v>
      </c>
      <c r="M99">
        <v>5</v>
      </c>
      <c r="N99">
        <v>4281.0629802924695</v>
      </c>
      <c r="O99">
        <v>4</v>
      </c>
      <c r="P99">
        <v>1</v>
      </c>
      <c r="Q99">
        <v>1</v>
      </c>
      <c r="R99">
        <v>3</v>
      </c>
      <c r="S99">
        <v>1</v>
      </c>
      <c r="T99">
        <v>632</v>
      </c>
      <c r="U99">
        <v>1</v>
      </c>
    </row>
    <row r="100" spans="1:21" x14ac:dyDescent="0.45">
      <c r="A100">
        <v>157</v>
      </c>
      <c r="B100">
        <v>0</v>
      </c>
      <c r="C100">
        <v>0</v>
      </c>
      <c r="D100">
        <v>1</v>
      </c>
      <c r="E100">
        <v>3</v>
      </c>
      <c r="F100">
        <v>5</v>
      </c>
      <c r="G100">
        <v>10</v>
      </c>
      <c r="H100">
        <v>17</v>
      </c>
      <c r="I100">
        <v>22</v>
      </c>
      <c r="J100">
        <v>9</v>
      </c>
      <c r="K100">
        <v>5</v>
      </c>
      <c r="L100">
        <v>0</v>
      </c>
      <c r="M100">
        <v>2</v>
      </c>
      <c r="N100">
        <v>3878.9525804111722</v>
      </c>
      <c r="O100">
        <v>3</v>
      </c>
      <c r="P100">
        <v>1</v>
      </c>
      <c r="Q100">
        <v>1</v>
      </c>
      <c r="R100">
        <v>3</v>
      </c>
      <c r="S100">
        <v>3</v>
      </c>
      <c r="T100">
        <v>794</v>
      </c>
      <c r="U100">
        <v>3</v>
      </c>
    </row>
    <row r="101" spans="1:21" x14ac:dyDescent="0.45">
      <c r="A101">
        <v>164</v>
      </c>
      <c r="B101">
        <v>0</v>
      </c>
      <c r="C101">
        <v>0</v>
      </c>
      <c r="D101">
        <v>1</v>
      </c>
      <c r="E101">
        <v>3</v>
      </c>
      <c r="F101">
        <v>0</v>
      </c>
      <c r="G101">
        <v>5</v>
      </c>
      <c r="H101">
        <v>5</v>
      </c>
      <c r="I101">
        <v>7</v>
      </c>
      <c r="J101">
        <v>7</v>
      </c>
      <c r="K101">
        <v>3</v>
      </c>
      <c r="L101">
        <v>0</v>
      </c>
      <c r="M101">
        <v>2</v>
      </c>
      <c r="N101">
        <v>2822.5670289927348</v>
      </c>
      <c r="O101">
        <v>4</v>
      </c>
      <c r="P101">
        <v>1</v>
      </c>
      <c r="Q101">
        <v>1</v>
      </c>
      <c r="R101">
        <v>3</v>
      </c>
      <c r="S101">
        <v>1</v>
      </c>
      <c r="T101">
        <v>197</v>
      </c>
      <c r="U101">
        <v>3</v>
      </c>
    </row>
    <row r="102" spans="1:21" x14ac:dyDescent="0.45">
      <c r="A102">
        <v>165</v>
      </c>
      <c r="B102">
        <v>0</v>
      </c>
      <c r="C102">
        <v>0</v>
      </c>
      <c r="D102">
        <v>6</v>
      </c>
      <c r="E102">
        <v>9</v>
      </c>
      <c r="F102">
        <v>3</v>
      </c>
      <c r="G102">
        <v>21</v>
      </c>
      <c r="H102">
        <v>16</v>
      </c>
      <c r="I102">
        <v>97</v>
      </c>
      <c r="J102">
        <v>45</v>
      </c>
      <c r="K102">
        <v>3</v>
      </c>
      <c r="L102">
        <v>3</v>
      </c>
      <c r="M102">
        <v>23</v>
      </c>
      <c r="N102">
        <v>1855.8959973730371</v>
      </c>
      <c r="O102">
        <v>3</v>
      </c>
      <c r="P102">
        <v>1</v>
      </c>
      <c r="Q102">
        <v>1</v>
      </c>
      <c r="R102">
        <v>4</v>
      </c>
      <c r="S102">
        <v>4</v>
      </c>
      <c r="T102">
        <v>3047</v>
      </c>
      <c r="U102">
        <v>4</v>
      </c>
    </row>
    <row r="103" spans="1:21" x14ac:dyDescent="0.45">
      <c r="A103">
        <v>166</v>
      </c>
      <c r="B103">
        <v>0</v>
      </c>
      <c r="C103">
        <v>0</v>
      </c>
      <c r="D103">
        <v>6</v>
      </c>
      <c r="E103">
        <v>11</v>
      </c>
      <c r="F103">
        <v>3</v>
      </c>
      <c r="G103">
        <v>15</v>
      </c>
      <c r="H103">
        <v>11</v>
      </c>
      <c r="I103">
        <v>48</v>
      </c>
      <c r="J103">
        <v>28</v>
      </c>
      <c r="K103">
        <v>4</v>
      </c>
      <c r="L103">
        <v>0</v>
      </c>
      <c r="M103">
        <v>20</v>
      </c>
      <c r="N103">
        <v>2144.088007409729</v>
      </c>
      <c r="O103">
        <v>3</v>
      </c>
      <c r="P103">
        <v>1</v>
      </c>
      <c r="Q103">
        <v>1</v>
      </c>
      <c r="R103">
        <v>4</v>
      </c>
      <c r="S103">
        <v>5</v>
      </c>
      <c r="T103">
        <v>1358</v>
      </c>
      <c r="U103">
        <v>4</v>
      </c>
    </row>
    <row r="104" spans="1:21" x14ac:dyDescent="0.45">
      <c r="A104">
        <v>167</v>
      </c>
      <c r="B104">
        <v>0</v>
      </c>
      <c r="C104">
        <v>0</v>
      </c>
      <c r="D104">
        <v>6</v>
      </c>
      <c r="E104">
        <v>11</v>
      </c>
      <c r="F104">
        <v>3</v>
      </c>
      <c r="G104">
        <v>15</v>
      </c>
      <c r="H104">
        <v>11</v>
      </c>
      <c r="I104">
        <v>48</v>
      </c>
      <c r="J104">
        <v>28</v>
      </c>
      <c r="K104">
        <v>4</v>
      </c>
      <c r="L104">
        <v>0</v>
      </c>
      <c r="M104">
        <v>20</v>
      </c>
      <c r="N104">
        <v>2209.27780378328</v>
      </c>
      <c r="O104">
        <v>3</v>
      </c>
      <c r="P104">
        <v>0</v>
      </c>
      <c r="Q104">
        <v>1</v>
      </c>
      <c r="R104">
        <v>4</v>
      </c>
      <c r="S104">
        <v>5</v>
      </c>
      <c r="T104">
        <v>2190</v>
      </c>
      <c r="U104">
        <v>4</v>
      </c>
    </row>
    <row r="105" spans="1:21" x14ac:dyDescent="0.45">
      <c r="A105">
        <v>168</v>
      </c>
      <c r="B105">
        <v>0</v>
      </c>
      <c r="C105">
        <v>0</v>
      </c>
      <c r="D105">
        <v>4</v>
      </c>
      <c r="E105">
        <v>12</v>
      </c>
      <c r="F105">
        <v>2</v>
      </c>
      <c r="G105">
        <v>15</v>
      </c>
      <c r="H105">
        <v>11</v>
      </c>
      <c r="I105">
        <v>44</v>
      </c>
      <c r="J105">
        <v>25</v>
      </c>
      <c r="K105">
        <v>5</v>
      </c>
      <c r="L105">
        <v>0</v>
      </c>
      <c r="M105">
        <v>19</v>
      </c>
      <c r="N105">
        <v>2314.8525925432509</v>
      </c>
      <c r="O105">
        <v>4</v>
      </c>
      <c r="P105">
        <v>0</v>
      </c>
      <c r="Q105">
        <v>1</v>
      </c>
      <c r="R105">
        <v>3</v>
      </c>
      <c r="S105">
        <v>2</v>
      </c>
      <c r="T105">
        <v>680</v>
      </c>
      <c r="U105">
        <v>2</v>
      </c>
    </row>
    <row r="106" spans="1:21" x14ac:dyDescent="0.45">
      <c r="A106">
        <v>170</v>
      </c>
      <c r="B106">
        <v>1</v>
      </c>
      <c r="C106">
        <v>0</v>
      </c>
      <c r="D106">
        <v>3</v>
      </c>
      <c r="E106">
        <v>6</v>
      </c>
      <c r="F106">
        <v>2</v>
      </c>
      <c r="G106">
        <v>11</v>
      </c>
      <c r="H106">
        <v>10</v>
      </c>
      <c r="I106">
        <v>44</v>
      </c>
      <c r="J106">
        <v>12</v>
      </c>
      <c r="K106">
        <v>2</v>
      </c>
      <c r="L106">
        <v>1</v>
      </c>
      <c r="M106">
        <v>7</v>
      </c>
      <c r="N106">
        <v>1849.462919120188</v>
      </c>
      <c r="O106">
        <v>4</v>
      </c>
      <c r="P106">
        <v>1</v>
      </c>
      <c r="Q106">
        <v>1</v>
      </c>
      <c r="R106">
        <v>3</v>
      </c>
      <c r="S106">
        <v>5</v>
      </c>
      <c r="T106">
        <v>4720</v>
      </c>
      <c r="U106">
        <v>4</v>
      </c>
    </row>
    <row r="107" spans="1:21" x14ac:dyDescent="0.45">
      <c r="A107">
        <v>171</v>
      </c>
      <c r="B107">
        <v>0</v>
      </c>
      <c r="C107">
        <v>0</v>
      </c>
      <c r="D107">
        <v>4</v>
      </c>
      <c r="E107">
        <v>5</v>
      </c>
      <c r="F107">
        <v>0</v>
      </c>
      <c r="G107">
        <v>6</v>
      </c>
      <c r="H107">
        <v>8</v>
      </c>
      <c r="I107">
        <v>12</v>
      </c>
      <c r="J107">
        <v>9</v>
      </c>
      <c r="K107">
        <v>3</v>
      </c>
      <c r="L107">
        <v>0</v>
      </c>
      <c r="M107">
        <v>3</v>
      </c>
      <c r="N107">
        <v>2759.7324273206132</v>
      </c>
      <c r="O107">
        <v>3</v>
      </c>
      <c r="P107">
        <v>0</v>
      </c>
      <c r="Q107">
        <v>1</v>
      </c>
      <c r="R107">
        <v>4</v>
      </c>
      <c r="S107">
        <v>5</v>
      </c>
      <c r="T107">
        <v>1552</v>
      </c>
      <c r="U107">
        <v>1</v>
      </c>
    </row>
    <row r="108" spans="1:21" x14ac:dyDescent="0.45">
      <c r="A108">
        <v>172</v>
      </c>
      <c r="B108">
        <v>1</v>
      </c>
      <c r="C108">
        <v>0</v>
      </c>
      <c r="D108">
        <v>3</v>
      </c>
      <c r="E108">
        <v>4</v>
      </c>
      <c r="F108">
        <v>0</v>
      </c>
      <c r="G108">
        <v>6</v>
      </c>
      <c r="H108">
        <v>10</v>
      </c>
      <c r="I108">
        <v>18</v>
      </c>
      <c r="J108">
        <v>9</v>
      </c>
      <c r="K108">
        <v>3</v>
      </c>
      <c r="L108">
        <v>0</v>
      </c>
      <c r="M108">
        <v>4</v>
      </c>
      <c r="N108">
        <v>3259.5771260261122</v>
      </c>
      <c r="O108">
        <v>1</v>
      </c>
      <c r="P108">
        <v>1</v>
      </c>
      <c r="Q108">
        <v>1</v>
      </c>
      <c r="R108">
        <v>4</v>
      </c>
      <c r="S108">
        <v>4</v>
      </c>
      <c r="T108">
        <v>446</v>
      </c>
      <c r="U108">
        <v>2</v>
      </c>
    </row>
    <row r="109" spans="1:21" x14ac:dyDescent="0.45">
      <c r="A109">
        <v>173</v>
      </c>
      <c r="B109">
        <v>0</v>
      </c>
      <c r="C109">
        <v>0</v>
      </c>
      <c r="D109">
        <v>3</v>
      </c>
      <c r="E109">
        <v>4</v>
      </c>
      <c r="F109">
        <v>0</v>
      </c>
      <c r="G109">
        <v>6</v>
      </c>
      <c r="H109">
        <v>10</v>
      </c>
      <c r="I109">
        <v>18</v>
      </c>
      <c r="J109">
        <v>9</v>
      </c>
      <c r="K109">
        <v>3</v>
      </c>
      <c r="L109">
        <v>0</v>
      </c>
      <c r="M109">
        <v>4</v>
      </c>
      <c r="N109">
        <v>3349.8654447840131</v>
      </c>
      <c r="O109">
        <v>1</v>
      </c>
      <c r="P109">
        <v>0</v>
      </c>
      <c r="Q109">
        <v>1</v>
      </c>
      <c r="R109">
        <v>4</v>
      </c>
      <c r="S109">
        <v>4</v>
      </c>
      <c r="T109">
        <v>594</v>
      </c>
      <c r="U109">
        <v>2</v>
      </c>
    </row>
    <row r="110" spans="1:21" x14ac:dyDescent="0.45">
      <c r="A110">
        <v>174</v>
      </c>
      <c r="B110">
        <v>0</v>
      </c>
      <c r="C110">
        <v>1</v>
      </c>
      <c r="D110">
        <v>3</v>
      </c>
      <c r="E110">
        <v>4</v>
      </c>
      <c r="F110">
        <v>0</v>
      </c>
      <c r="G110">
        <v>6</v>
      </c>
      <c r="H110">
        <v>10</v>
      </c>
      <c r="I110">
        <v>18</v>
      </c>
      <c r="J110">
        <v>9</v>
      </c>
      <c r="K110">
        <v>3</v>
      </c>
      <c r="L110">
        <v>0</v>
      </c>
      <c r="M110">
        <v>4</v>
      </c>
      <c r="N110">
        <v>3320.3796255434731</v>
      </c>
      <c r="O110">
        <v>1</v>
      </c>
      <c r="P110">
        <v>0</v>
      </c>
      <c r="Q110">
        <v>1</v>
      </c>
      <c r="R110">
        <v>4</v>
      </c>
      <c r="S110">
        <v>4</v>
      </c>
      <c r="T110">
        <v>343</v>
      </c>
      <c r="U110">
        <v>1</v>
      </c>
    </row>
    <row r="111" spans="1:21" x14ac:dyDescent="0.45">
      <c r="A111">
        <v>175</v>
      </c>
      <c r="B111">
        <v>0</v>
      </c>
      <c r="C111">
        <v>0</v>
      </c>
      <c r="D111">
        <v>3</v>
      </c>
      <c r="E111">
        <v>2</v>
      </c>
      <c r="F111">
        <v>0</v>
      </c>
      <c r="G111">
        <v>5</v>
      </c>
      <c r="H111">
        <v>7</v>
      </c>
      <c r="I111">
        <v>9</v>
      </c>
      <c r="J111">
        <v>3</v>
      </c>
      <c r="K111">
        <v>1</v>
      </c>
      <c r="L111">
        <v>0</v>
      </c>
      <c r="M111">
        <v>4</v>
      </c>
      <c r="N111">
        <v>3349.8654447840131</v>
      </c>
      <c r="O111">
        <v>4</v>
      </c>
      <c r="P111">
        <v>0</v>
      </c>
      <c r="Q111">
        <v>1</v>
      </c>
      <c r="R111">
        <v>4</v>
      </c>
      <c r="S111">
        <v>2</v>
      </c>
      <c r="T111">
        <v>430</v>
      </c>
      <c r="U111">
        <v>2</v>
      </c>
    </row>
    <row r="112" spans="1:21" x14ac:dyDescent="0.45">
      <c r="A112">
        <v>176</v>
      </c>
      <c r="B112">
        <v>0</v>
      </c>
      <c r="C112">
        <v>0</v>
      </c>
      <c r="D112">
        <v>3</v>
      </c>
      <c r="E112">
        <v>3</v>
      </c>
      <c r="F112">
        <v>3</v>
      </c>
      <c r="G112">
        <v>5</v>
      </c>
      <c r="H112">
        <v>6</v>
      </c>
      <c r="I112">
        <v>11</v>
      </c>
      <c r="J112">
        <v>9</v>
      </c>
      <c r="K112">
        <v>2</v>
      </c>
      <c r="L112">
        <v>0</v>
      </c>
      <c r="M112">
        <v>15</v>
      </c>
      <c r="N112">
        <v>3511.9757079895098</v>
      </c>
      <c r="O112">
        <v>4</v>
      </c>
      <c r="P112">
        <v>0</v>
      </c>
      <c r="Q112">
        <v>1</v>
      </c>
      <c r="R112">
        <v>4</v>
      </c>
      <c r="S112">
        <v>6</v>
      </c>
      <c r="T112">
        <v>1035</v>
      </c>
      <c r="U112">
        <v>4</v>
      </c>
    </row>
    <row r="113" spans="1:21" x14ac:dyDescent="0.45">
      <c r="A113">
        <v>177</v>
      </c>
      <c r="B113">
        <v>1</v>
      </c>
      <c r="C113">
        <v>0</v>
      </c>
      <c r="D113">
        <v>4</v>
      </c>
      <c r="E113">
        <v>12</v>
      </c>
      <c r="F113">
        <v>1</v>
      </c>
      <c r="G113">
        <v>23</v>
      </c>
      <c r="H113">
        <v>24</v>
      </c>
      <c r="I113">
        <v>44</v>
      </c>
      <c r="J113">
        <v>14</v>
      </c>
      <c r="K113">
        <v>5</v>
      </c>
      <c r="L113">
        <v>5</v>
      </c>
      <c r="M113">
        <v>28</v>
      </c>
      <c r="N113">
        <v>2525.8734770769788</v>
      </c>
      <c r="O113">
        <v>3</v>
      </c>
      <c r="P113">
        <v>1</v>
      </c>
      <c r="Q113">
        <v>1</v>
      </c>
      <c r="R113">
        <v>3</v>
      </c>
      <c r="S113">
        <v>4</v>
      </c>
      <c r="T113">
        <v>2548</v>
      </c>
      <c r="U113">
        <v>2</v>
      </c>
    </row>
    <row r="114" spans="1:21" x14ac:dyDescent="0.45">
      <c r="A114">
        <v>178</v>
      </c>
      <c r="B114">
        <v>0</v>
      </c>
      <c r="C114">
        <v>0</v>
      </c>
      <c r="D114">
        <v>5</v>
      </c>
      <c r="E114">
        <v>5</v>
      </c>
      <c r="F114">
        <v>3</v>
      </c>
      <c r="G114">
        <v>14</v>
      </c>
      <c r="H114">
        <v>14</v>
      </c>
      <c r="I114">
        <v>19</v>
      </c>
      <c r="J114">
        <v>8</v>
      </c>
      <c r="K114">
        <v>2</v>
      </c>
      <c r="L114">
        <v>1</v>
      </c>
      <c r="M114">
        <v>21</v>
      </c>
      <c r="N114">
        <v>3343.2205976216151</v>
      </c>
      <c r="O114">
        <v>4</v>
      </c>
      <c r="P114">
        <v>0</v>
      </c>
      <c r="Q114">
        <v>1</v>
      </c>
      <c r="R114">
        <v>4</v>
      </c>
      <c r="S114">
        <v>4</v>
      </c>
      <c r="T114">
        <v>969</v>
      </c>
      <c r="U114">
        <v>3</v>
      </c>
    </row>
    <row r="115" spans="1:21" x14ac:dyDescent="0.45">
      <c r="A115">
        <v>179</v>
      </c>
      <c r="B115">
        <v>0</v>
      </c>
      <c r="C115">
        <v>1</v>
      </c>
      <c r="D115">
        <v>3</v>
      </c>
      <c r="E115">
        <v>11</v>
      </c>
      <c r="F115">
        <v>1</v>
      </c>
      <c r="G115">
        <v>16</v>
      </c>
      <c r="H115">
        <v>15</v>
      </c>
      <c r="I115">
        <v>23</v>
      </c>
      <c r="J115">
        <v>11</v>
      </c>
      <c r="K115">
        <v>4</v>
      </c>
      <c r="L115">
        <v>5</v>
      </c>
      <c r="M115">
        <v>28</v>
      </c>
      <c r="N115">
        <v>3090.5489679224552</v>
      </c>
      <c r="O115">
        <v>2</v>
      </c>
      <c r="P115">
        <v>0</v>
      </c>
      <c r="Q115">
        <v>0</v>
      </c>
      <c r="R115">
        <v>4</v>
      </c>
      <c r="S115">
        <v>2</v>
      </c>
      <c r="T115">
        <v>111</v>
      </c>
      <c r="U115">
        <v>1</v>
      </c>
    </row>
    <row r="116" spans="1:21" x14ac:dyDescent="0.45">
      <c r="A116">
        <v>180</v>
      </c>
      <c r="B116">
        <v>0</v>
      </c>
      <c r="C116">
        <v>0</v>
      </c>
      <c r="D116">
        <v>2</v>
      </c>
      <c r="E116">
        <v>8</v>
      </c>
      <c r="F116">
        <v>1</v>
      </c>
      <c r="G116">
        <v>17</v>
      </c>
      <c r="H116">
        <v>18</v>
      </c>
      <c r="I116">
        <v>32</v>
      </c>
      <c r="J116">
        <v>10</v>
      </c>
      <c r="K116">
        <v>3</v>
      </c>
      <c r="L116">
        <v>6</v>
      </c>
      <c r="M116">
        <v>28</v>
      </c>
      <c r="N116">
        <v>3084.3130085978728</v>
      </c>
      <c r="O116">
        <v>4</v>
      </c>
      <c r="P116">
        <v>1</v>
      </c>
      <c r="Q116">
        <v>1</v>
      </c>
      <c r="R116">
        <v>4</v>
      </c>
      <c r="S116">
        <v>3</v>
      </c>
      <c r="T116">
        <v>954</v>
      </c>
      <c r="U116">
        <v>3</v>
      </c>
    </row>
    <row r="117" spans="1:21" x14ac:dyDescent="0.45">
      <c r="A117">
        <v>181</v>
      </c>
      <c r="B117">
        <v>0</v>
      </c>
      <c r="C117">
        <v>0</v>
      </c>
      <c r="D117">
        <v>2</v>
      </c>
      <c r="E117">
        <v>12</v>
      </c>
      <c r="F117">
        <v>0</v>
      </c>
      <c r="G117">
        <v>17</v>
      </c>
      <c r="H117">
        <v>13</v>
      </c>
      <c r="I117">
        <v>32</v>
      </c>
      <c r="J117">
        <v>17</v>
      </c>
      <c r="K117">
        <v>6</v>
      </c>
      <c r="L117">
        <v>6</v>
      </c>
      <c r="M117">
        <v>25</v>
      </c>
      <c r="N117">
        <v>2763.7099733967239</v>
      </c>
      <c r="O117">
        <v>1</v>
      </c>
      <c r="P117">
        <v>1</v>
      </c>
      <c r="Q117">
        <v>1</v>
      </c>
      <c r="R117">
        <v>4</v>
      </c>
      <c r="S117">
        <v>4</v>
      </c>
      <c r="T117">
        <v>1025</v>
      </c>
      <c r="U117">
        <v>4</v>
      </c>
    </row>
    <row r="118" spans="1:21" x14ac:dyDescent="0.45">
      <c r="A118">
        <v>182</v>
      </c>
      <c r="B118">
        <v>0</v>
      </c>
      <c r="C118">
        <v>0</v>
      </c>
      <c r="D118">
        <v>3</v>
      </c>
      <c r="E118">
        <v>12</v>
      </c>
      <c r="F118">
        <v>1</v>
      </c>
      <c r="G118">
        <v>16</v>
      </c>
      <c r="H118">
        <v>11</v>
      </c>
      <c r="I118">
        <v>41</v>
      </c>
      <c r="J118">
        <v>19</v>
      </c>
      <c r="K118">
        <v>6</v>
      </c>
      <c r="L118">
        <v>0</v>
      </c>
      <c r="M118">
        <v>24</v>
      </c>
      <c r="N118">
        <v>2509.888845131059</v>
      </c>
      <c r="O118">
        <v>3</v>
      </c>
      <c r="P118">
        <v>1</v>
      </c>
      <c r="Q118">
        <v>1</v>
      </c>
      <c r="R118">
        <v>4</v>
      </c>
      <c r="S118">
        <v>3</v>
      </c>
      <c r="T118">
        <v>1638</v>
      </c>
      <c r="U118">
        <v>1</v>
      </c>
    </row>
    <row r="119" spans="1:21" x14ac:dyDescent="0.45">
      <c r="A119">
        <v>183</v>
      </c>
      <c r="B119">
        <v>0</v>
      </c>
      <c r="C119">
        <v>0</v>
      </c>
      <c r="D119">
        <v>2</v>
      </c>
      <c r="E119">
        <v>12</v>
      </c>
      <c r="F119">
        <v>1</v>
      </c>
      <c r="G119">
        <v>15</v>
      </c>
      <c r="H119">
        <v>12</v>
      </c>
      <c r="I119">
        <v>40</v>
      </c>
      <c r="J119">
        <v>15</v>
      </c>
      <c r="K119">
        <v>4</v>
      </c>
      <c r="L119">
        <v>7</v>
      </c>
      <c r="M119">
        <v>25</v>
      </c>
      <c r="N119">
        <v>2584.7983424253921</v>
      </c>
      <c r="O119">
        <v>4</v>
      </c>
      <c r="P119">
        <v>0</v>
      </c>
      <c r="Q119">
        <v>1</v>
      </c>
      <c r="R119">
        <v>4</v>
      </c>
      <c r="S119">
        <v>4</v>
      </c>
      <c r="T119">
        <v>912</v>
      </c>
      <c r="U119">
        <v>3</v>
      </c>
    </row>
    <row r="120" spans="1:21" x14ac:dyDescent="0.45">
      <c r="A120">
        <v>184</v>
      </c>
      <c r="B120">
        <v>1</v>
      </c>
      <c r="C120">
        <v>0</v>
      </c>
      <c r="D120">
        <v>2</v>
      </c>
      <c r="E120">
        <v>10</v>
      </c>
      <c r="F120">
        <v>0</v>
      </c>
      <c r="G120">
        <v>18</v>
      </c>
      <c r="H120">
        <v>11</v>
      </c>
      <c r="I120">
        <v>35</v>
      </c>
      <c r="J120">
        <v>14</v>
      </c>
      <c r="K120">
        <v>7</v>
      </c>
      <c r="L120">
        <v>6</v>
      </c>
      <c r="M120">
        <v>26</v>
      </c>
      <c r="N120">
        <v>2616.4637160735078</v>
      </c>
      <c r="O120">
        <v>1</v>
      </c>
      <c r="P120">
        <v>0</v>
      </c>
      <c r="Q120">
        <v>1</v>
      </c>
      <c r="R120">
        <v>4</v>
      </c>
      <c r="S120">
        <v>2</v>
      </c>
      <c r="T120">
        <v>316</v>
      </c>
      <c r="U120">
        <v>3</v>
      </c>
    </row>
    <row r="121" spans="1:21" x14ac:dyDescent="0.45">
      <c r="A121">
        <v>185</v>
      </c>
      <c r="B121">
        <v>0</v>
      </c>
      <c r="C121">
        <v>0</v>
      </c>
      <c r="D121">
        <v>2</v>
      </c>
      <c r="E121">
        <v>10</v>
      </c>
      <c r="F121">
        <v>0</v>
      </c>
      <c r="G121">
        <v>18</v>
      </c>
      <c r="H121">
        <v>11</v>
      </c>
      <c r="I121">
        <v>35</v>
      </c>
      <c r="J121">
        <v>14</v>
      </c>
      <c r="K121">
        <v>7</v>
      </c>
      <c r="L121">
        <v>6</v>
      </c>
      <c r="M121">
        <v>26</v>
      </c>
      <c r="N121">
        <v>2754.112179516887</v>
      </c>
      <c r="O121">
        <v>2</v>
      </c>
      <c r="P121">
        <v>1</v>
      </c>
      <c r="Q121">
        <v>1</v>
      </c>
      <c r="R121">
        <v>4</v>
      </c>
      <c r="S121">
        <v>3</v>
      </c>
      <c r="T121">
        <v>503</v>
      </c>
      <c r="U121">
        <v>3</v>
      </c>
    </row>
    <row r="122" spans="1:21" x14ac:dyDescent="0.45">
      <c r="A122">
        <v>186</v>
      </c>
      <c r="B122">
        <v>0</v>
      </c>
      <c r="C122">
        <v>0</v>
      </c>
      <c r="D122">
        <v>2</v>
      </c>
      <c r="E122">
        <v>4</v>
      </c>
      <c r="F122">
        <v>0</v>
      </c>
      <c r="G122">
        <v>22</v>
      </c>
      <c r="H122">
        <v>22</v>
      </c>
      <c r="I122">
        <v>160</v>
      </c>
      <c r="J122">
        <v>38</v>
      </c>
      <c r="K122">
        <v>19</v>
      </c>
      <c r="L122">
        <v>11</v>
      </c>
      <c r="M122">
        <v>17</v>
      </c>
      <c r="N122">
        <v>1716.461984595705</v>
      </c>
      <c r="O122">
        <v>1</v>
      </c>
      <c r="P122">
        <v>0</v>
      </c>
      <c r="Q122">
        <v>1</v>
      </c>
      <c r="R122">
        <v>3</v>
      </c>
      <c r="S122">
        <v>2</v>
      </c>
      <c r="T122">
        <v>786</v>
      </c>
      <c r="U122">
        <v>3</v>
      </c>
    </row>
    <row r="123" spans="1:21" x14ac:dyDescent="0.45">
      <c r="A123">
        <v>187</v>
      </c>
      <c r="B123">
        <v>1</v>
      </c>
      <c r="C123">
        <v>0</v>
      </c>
      <c r="D123">
        <v>4</v>
      </c>
      <c r="E123">
        <v>4</v>
      </c>
      <c r="F123">
        <v>0</v>
      </c>
      <c r="G123">
        <v>5</v>
      </c>
      <c r="H123">
        <v>6</v>
      </c>
      <c r="I123">
        <v>23</v>
      </c>
      <c r="J123">
        <v>8</v>
      </c>
      <c r="K123">
        <v>11</v>
      </c>
      <c r="L123">
        <v>0</v>
      </c>
      <c r="M123">
        <v>16</v>
      </c>
      <c r="N123">
        <v>4188.6169807285887</v>
      </c>
      <c r="O123">
        <v>4</v>
      </c>
      <c r="P123">
        <v>0</v>
      </c>
      <c r="Q123">
        <v>0</v>
      </c>
      <c r="R123">
        <v>4</v>
      </c>
      <c r="S123">
        <v>3</v>
      </c>
      <c r="T123">
        <v>654</v>
      </c>
      <c r="U123">
        <v>2</v>
      </c>
    </row>
    <row r="124" spans="1:21" x14ac:dyDescent="0.45">
      <c r="A124">
        <v>188</v>
      </c>
      <c r="B124">
        <v>0</v>
      </c>
      <c r="C124">
        <v>0</v>
      </c>
      <c r="D124">
        <v>4</v>
      </c>
      <c r="E124">
        <v>4</v>
      </c>
      <c r="F124">
        <v>1</v>
      </c>
      <c r="G124">
        <v>6</v>
      </c>
      <c r="H124">
        <v>8</v>
      </c>
      <c r="I124">
        <v>16</v>
      </c>
      <c r="J124">
        <v>8</v>
      </c>
      <c r="K124">
        <v>16</v>
      </c>
      <c r="L124">
        <v>0</v>
      </c>
      <c r="M124">
        <v>21</v>
      </c>
      <c r="N124">
        <v>4048.647191884003</v>
      </c>
      <c r="O124">
        <v>1</v>
      </c>
      <c r="P124">
        <v>0</v>
      </c>
      <c r="Q124">
        <v>0</v>
      </c>
      <c r="R124">
        <v>4</v>
      </c>
      <c r="S124">
        <v>2</v>
      </c>
      <c r="T124">
        <v>384</v>
      </c>
      <c r="U124">
        <v>1</v>
      </c>
    </row>
    <row r="125" spans="1:21" x14ac:dyDescent="0.45">
      <c r="A125">
        <v>189</v>
      </c>
      <c r="B125">
        <v>0</v>
      </c>
      <c r="C125">
        <v>0</v>
      </c>
      <c r="D125">
        <v>4</v>
      </c>
      <c r="E125">
        <v>1</v>
      </c>
      <c r="F125">
        <v>0</v>
      </c>
      <c r="G125">
        <v>9</v>
      </c>
      <c r="H125">
        <v>10</v>
      </c>
      <c r="I125">
        <v>23</v>
      </c>
      <c r="J125">
        <v>6</v>
      </c>
      <c r="K125">
        <v>15</v>
      </c>
      <c r="L125">
        <v>1</v>
      </c>
      <c r="M125">
        <v>5</v>
      </c>
      <c r="N125">
        <v>5222.1711107342244</v>
      </c>
      <c r="O125">
        <v>3</v>
      </c>
      <c r="P125">
        <v>0</v>
      </c>
      <c r="Q125">
        <v>1</v>
      </c>
      <c r="R125">
        <v>4</v>
      </c>
      <c r="S125">
        <v>4</v>
      </c>
      <c r="T125">
        <v>258</v>
      </c>
      <c r="U125">
        <v>1</v>
      </c>
    </row>
    <row r="126" spans="1:21" x14ac:dyDescent="0.45">
      <c r="A126">
        <v>190</v>
      </c>
      <c r="B126">
        <v>0</v>
      </c>
      <c r="C126">
        <v>0</v>
      </c>
      <c r="D126">
        <v>4</v>
      </c>
      <c r="E126">
        <v>1</v>
      </c>
      <c r="F126">
        <v>0</v>
      </c>
      <c r="G126">
        <v>9</v>
      </c>
      <c r="H126">
        <v>10</v>
      </c>
      <c r="I126">
        <v>23</v>
      </c>
      <c r="J126">
        <v>6</v>
      </c>
      <c r="K126">
        <v>15</v>
      </c>
      <c r="L126">
        <v>1</v>
      </c>
      <c r="M126">
        <v>5</v>
      </c>
      <c r="N126">
        <v>5297.5241277972746</v>
      </c>
      <c r="O126">
        <v>1</v>
      </c>
      <c r="P126">
        <v>0</v>
      </c>
      <c r="Q126">
        <v>0</v>
      </c>
      <c r="R126">
        <v>4</v>
      </c>
      <c r="S126">
        <v>1</v>
      </c>
      <c r="T126">
        <v>797</v>
      </c>
      <c r="U126">
        <v>4</v>
      </c>
    </row>
    <row r="127" spans="1:21" x14ac:dyDescent="0.45">
      <c r="A127">
        <v>191</v>
      </c>
      <c r="B127">
        <v>1</v>
      </c>
      <c r="C127">
        <v>0</v>
      </c>
      <c r="D127">
        <v>4</v>
      </c>
      <c r="E127">
        <v>1</v>
      </c>
      <c r="F127">
        <v>0</v>
      </c>
      <c r="G127">
        <v>10</v>
      </c>
      <c r="H127">
        <v>11</v>
      </c>
      <c r="I127">
        <v>34</v>
      </c>
      <c r="J127">
        <v>9</v>
      </c>
      <c r="K127">
        <v>11</v>
      </c>
      <c r="L127">
        <v>1</v>
      </c>
      <c r="M127">
        <v>11</v>
      </c>
      <c r="N127">
        <v>5356.5903647771738</v>
      </c>
      <c r="O127">
        <v>2</v>
      </c>
      <c r="P127">
        <v>0</v>
      </c>
      <c r="Q127">
        <v>1</v>
      </c>
      <c r="R127">
        <v>4</v>
      </c>
      <c r="S127">
        <v>3</v>
      </c>
      <c r="T127">
        <v>236</v>
      </c>
      <c r="U127">
        <v>1</v>
      </c>
    </row>
    <row r="128" spans="1:21" x14ac:dyDescent="0.45">
      <c r="A128">
        <v>192</v>
      </c>
      <c r="B128">
        <v>0</v>
      </c>
      <c r="C128">
        <v>0</v>
      </c>
      <c r="D128">
        <v>4</v>
      </c>
      <c r="E128">
        <v>0</v>
      </c>
      <c r="F128">
        <v>1</v>
      </c>
      <c r="G128">
        <v>6</v>
      </c>
      <c r="H128">
        <v>9</v>
      </c>
      <c r="I128">
        <v>13</v>
      </c>
      <c r="J128">
        <v>8</v>
      </c>
      <c r="K128">
        <v>12</v>
      </c>
      <c r="L128">
        <v>2</v>
      </c>
      <c r="M128">
        <v>20</v>
      </c>
      <c r="N128">
        <v>4566.2655339497869</v>
      </c>
      <c r="O128">
        <v>3</v>
      </c>
      <c r="P128">
        <v>1</v>
      </c>
      <c r="Q128">
        <v>0</v>
      </c>
      <c r="R128">
        <v>3</v>
      </c>
      <c r="S128">
        <v>1</v>
      </c>
      <c r="T128">
        <v>172</v>
      </c>
      <c r="U128">
        <v>1</v>
      </c>
    </row>
    <row r="129" spans="1:21" x14ac:dyDescent="0.45">
      <c r="A129">
        <v>193</v>
      </c>
      <c r="B129">
        <v>0</v>
      </c>
      <c r="C129">
        <v>0</v>
      </c>
      <c r="D129">
        <v>4</v>
      </c>
      <c r="E129">
        <v>0</v>
      </c>
      <c r="F129">
        <v>1</v>
      </c>
      <c r="G129">
        <v>6</v>
      </c>
      <c r="H129">
        <v>9</v>
      </c>
      <c r="I129">
        <v>13</v>
      </c>
      <c r="J129">
        <v>8</v>
      </c>
      <c r="K129">
        <v>12</v>
      </c>
      <c r="L129">
        <v>2</v>
      </c>
      <c r="M129">
        <v>20</v>
      </c>
      <c r="N129">
        <v>4566.2655339497869</v>
      </c>
      <c r="O129">
        <v>3</v>
      </c>
      <c r="P129">
        <v>1</v>
      </c>
      <c r="Q129">
        <v>0</v>
      </c>
      <c r="R129">
        <v>3</v>
      </c>
      <c r="S129">
        <v>1</v>
      </c>
      <c r="T129">
        <v>202</v>
      </c>
      <c r="U129">
        <v>1</v>
      </c>
    </row>
    <row r="130" spans="1:21" x14ac:dyDescent="0.45">
      <c r="A130">
        <v>194</v>
      </c>
      <c r="B130">
        <v>0</v>
      </c>
      <c r="C130">
        <v>0</v>
      </c>
      <c r="D130">
        <v>3</v>
      </c>
      <c r="E130">
        <v>0</v>
      </c>
      <c r="F130">
        <v>1</v>
      </c>
      <c r="G130">
        <v>7</v>
      </c>
      <c r="H130">
        <v>9</v>
      </c>
      <c r="I130">
        <v>14</v>
      </c>
      <c r="J130">
        <v>6</v>
      </c>
      <c r="K130">
        <v>11</v>
      </c>
      <c r="L130">
        <v>2</v>
      </c>
      <c r="M130">
        <v>18</v>
      </c>
      <c r="N130">
        <v>4662.7848173430039</v>
      </c>
      <c r="O130">
        <v>3</v>
      </c>
      <c r="P130">
        <v>1</v>
      </c>
      <c r="Q130">
        <v>1</v>
      </c>
      <c r="R130">
        <v>3</v>
      </c>
      <c r="S130">
        <v>3</v>
      </c>
      <c r="T130">
        <v>269</v>
      </c>
      <c r="U130">
        <v>2</v>
      </c>
    </row>
    <row r="131" spans="1:21" x14ac:dyDescent="0.45">
      <c r="A131">
        <v>195</v>
      </c>
      <c r="B131">
        <v>0</v>
      </c>
      <c r="C131">
        <v>0</v>
      </c>
      <c r="D131">
        <v>3</v>
      </c>
      <c r="E131">
        <v>1</v>
      </c>
      <c r="F131">
        <v>1</v>
      </c>
      <c r="G131">
        <v>5</v>
      </c>
      <c r="H131">
        <v>4</v>
      </c>
      <c r="I131">
        <v>15</v>
      </c>
      <c r="J131">
        <v>4</v>
      </c>
      <c r="K131">
        <v>37</v>
      </c>
      <c r="L131">
        <v>1</v>
      </c>
      <c r="M131">
        <v>8</v>
      </c>
      <c r="N131">
        <v>4383.3071412185336</v>
      </c>
      <c r="O131">
        <v>2</v>
      </c>
      <c r="P131">
        <v>1</v>
      </c>
      <c r="Q131">
        <v>0</v>
      </c>
      <c r="R131">
        <v>3</v>
      </c>
      <c r="S131">
        <v>4</v>
      </c>
      <c r="T131">
        <v>2266</v>
      </c>
      <c r="U131">
        <v>2</v>
      </c>
    </row>
    <row r="132" spans="1:21" x14ac:dyDescent="0.45">
      <c r="A132">
        <v>196</v>
      </c>
      <c r="B132">
        <v>0</v>
      </c>
      <c r="C132">
        <v>0</v>
      </c>
      <c r="D132">
        <v>1</v>
      </c>
      <c r="E132">
        <v>2</v>
      </c>
      <c r="F132">
        <v>0</v>
      </c>
      <c r="G132">
        <v>10</v>
      </c>
      <c r="H132">
        <v>8</v>
      </c>
      <c r="I132">
        <v>19</v>
      </c>
      <c r="J132">
        <v>6</v>
      </c>
      <c r="K132">
        <v>28</v>
      </c>
      <c r="L132">
        <v>1</v>
      </c>
      <c r="M132">
        <v>8</v>
      </c>
      <c r="N132">
        <v>4383.3071412185336</v>
      </c>
      <c r="O132">
        <v>3</v>
      </c>
      <c r="P132">
        <v>1</v>
      </c>
      <c r="Q132">
        <v>0</v>
      </c>
      <c r="R132">
        <v>3</v>
      </c>
      <c r="S132">
        <v>2</v>
      </c>
      <c r="T132">
        <v>582</v>
      </c>
      <c r="U132">
        <v>1</v>
      </c>
    </row>
    <row r="133" spans="1:21" x14ac:dyDescent="0.45">
      <c r="A133">
        <v>197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4</v>
      </c>
      <c r="H133">
        <v>3</v>
      </c>
      <c r="I133">
        <v>13</v>
      </c>
      <c r="J133">
        <v>3</v>
      </c>
      <c r="K133">
        <v>9</v>
      </c>
      <c r="L133">
        <v>2</v>
      </c>
      <c r="M133">
        <v>3</v>
      </c>
      <c r="N133">
        <v>4751.6972392811203</v>
      </c>
      <c r="O133">
        <v>1</v>
      </c>
      <c r="P133">
        <v>0</v>
      </c>
      <c r="Q133">
        <v>1</v>
      </c>
      <c r="R133">
        <v>3</v>
      </c>
      <c r="S133">
        <v>5</v>
      </c>
      <c r="T133">
        <v>2100</v>
      </c>
      <c r="U133">
        <v>4</v>
      </c>
    </row>
    <row r="134" spans="1:21" x14ac:dyDescent="0.45">
      <c r="A134">
        <v>198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6</v>
      </c>
      <c r="H134">
        <v>2</v>
      </c>
      <c r="I134">
        <v>15</v>
      </c>
      <c r="J134">
        <v>3</v>
      </c>
      <c r="K134">
        <v>14</v>
      </c>
      <c r="L134">
        <v>1</v>
      </c>
      <c r="M134">
        <v>7</v>
      </c>
      <c r="N134">
        <v>4383.3071412185336</v>
      </c>
      <c r="O134">
        <v>3</v>
      </c>
      <c r="P134">
        <v>1</v>
      </c>
      <c r="Q134">
        <v>0</v>
      </c>
      <c r="R134">
        <v>3</v>
      </c>
      <c r="S134">
        <v>4</v>
      </c>
      <c r="T134">
        <v>1178</v>
      </c>
      <c r="U134">
        <v>3</v>
      </c>
    </row>
    <row r="135" spans="1:21" x14ac:dyDescent="0.45">
      <c r="A135">
        <v>199</v>
      </c>
      <c r="B135">
        <v>0</v>
      </c>
      <c r="C135">
        <v>0</v>
      </c>
      <c r="D135">
        <v>2</v>
      </c>
      <c r="E135">
        <v>1</v>
      </c>
      <c r="F135">
        <v>0</v>
      </c>
      <c r="G135">
        <v>9</v>
      </c>
      <c r="H135">
        <v>9</v>
      </c>
      <c r="I135">
        <v>23</v>
      </c>
      <c r="J135">
        <v>5</v>
      </c>
      <c r="K135">
        <v>20</v>
      </c>
      <c r="L135">
        <v>1</v>
      </c>
      <c r="M135">
        <v>15</v>
      </c>
      <c r="N135">
        <v>4189.4016324136674</v>
      </c>
      <c r="O135">
        <v>2</v>
      </c>
      <c r="P135">
        <v>0</v>
      </c>
      <c r="Q135">
        <v>1</v>
      </c>
      <c r="R135">
        <v>3</v>
      </c>
      <c r="S135">
        <v>2</v>
      </c>
      <c r="T135">
        <v>517</v>
      </c>
      <c r="U135">
        <v>1</v>
      </c>
    </row>
    <row r="136" spans="1:21" x14ac:dyDescent="0.45">
      <c r="A136">
        <v>201</v>
      </c>
      <c r="B136">
        <v>0</v>
      </c>
      <c r="C136">
        <v>0</v>
      </c>
      <c r="D136">
        <v>2</v>
      </c>
      <c r="E136">
        <v>1</v>
      </c>
      <c r="F136">
        <v>0</v>
      </c>
      <c r="G136">
        <v>10</v>
      </c>
      <c r="H136">
        <v>9</v>
      </c>
      <c r="I136">
        <v>23</v>
      </c>
      <c r="J136">
        <v>5</v>
      </c>
      <c r="K136">
        <v>9</v>
      </c>
      <c r="L136">
        <v>1</v>
      </c>
      <c r="M136">
        <v>16</v>
      </c>
      <c r="N136">
        <v>3977.7038592948979</v>
      </c>
      <c r="O136">
        <v>3</v>
      </c>
      <c r="P136">
        <v>1</v>
      </c>
      <c r="Q136">
        <v>0</v>
      </c>
      <c r="R136">
        <v>3</v>
      </c>
      <c r="S136">
        <v>2</v>
      </c>
      <c r="T136">
        <v>1001</v>
      </c>
      <c r="U136">
        <v>1</v>
      </c>
    </row>
    <row r="137" spans="1:21" x14ac:dyDescent="0.45">
      <c r="A137">
        <v>202</v>
      </c>
      <c r="B137">
        <v>0</v>
      </c>
      <c r="C137">
        <v>0</v>
      </c>
      <c r="D137">
        <v>2</v>
      </c>
      <c r="E137">
        <v>1</v>
      </c>
      <c r="F137">
        <v>0</v>
      </c>
      <c r="G137">
        <v>10</v>
      </c>
      <c r="H137">
        <v>9</v>
      </c>
      <c r="I137">
        <v>23</v>
      </c>
      <c r="J137">
        <v>5</v>
      </c>
      <c r="K137">
        <v>9</v>
      </c>
      <c r="L137">
        <v>1</v>
      </c>
      <c r="M137">
        <v>16</v>
      </c>
      <c r="N137">
        <v>3977.7038592948979</v>
      </c>
      <c r="O137">
        <v>3</v>
      </c>
      <c r="P137">
        <v>1</v>
      </c>
      <c r="Q137">
        <v>0</v>
      </c>
      <c r="R137">
        <v>3</v>
      </c>
      <c r="S137">
        <v>2</v>
      </c>
      <c r="T137">
        <v>1000</v>
      </c>
      <c r="U137">
        <v>1</v>
      </c>
    </row>
    <row r="138" spans="1:21" x14ac:dyDescent="0.45">
      <c r="A138">
        <v>204</v>
      </c>
      <c r="B138">
        <v>0</v>
      </c>
      <c r="C138">
        <v>0</v>
      </c>
      <c r="D138">
        <v>1</v>
      </c>
      <c r="E138">
        <v>8</v>
      </c>
      <c r="F138">
        <v>0</v>
      </c>
      <c r="G138">
        <v>9</v>
      </c>
      <c r="H138">
        <v>8</v>
      </c>
      <c r="I138">
        <v>31</v>
      </c>
      <c r="J138">
        <v>6</v>
      </c>
      <c r="K138">
        <v>8</v>
      </c>
      <c r="L138">
        <v>2</v>
      </c>
      <c r="M138">
        <v>18</v>
      </c>
      <c r="N138">
        <v>2682.1240767595068</v>
      </c>
      <c r="O138">
        <v>1</v>
      </c>
      <c r="P138">
        <v>0</v>
      </c>
      <c r="Q138">
        <v>1</v>
      </c>
      <c r="R138">
        <v>3</v>
      </c>
      <c r="S138">
        <v>2</v>
      </c>
      <c r="T138">
        <v>647</v>
      </c>
      <c r="U138">
        <v>1</v>
      </c>
    </row>
    <row r="139" spans="1:21" x14ac:dyDescent="0.45">
      <c r="A139">
        <v>205</v>
      </c>
      <c r="B139">
        <v>0</v>
      </c>
      <c r="C139">
        <v>0</v>
      </c>
      <c r="D139">
        <v>2</v>
      </c>
      <c r="E139">
        <v>10</v>
      </c>
      <c r="F139">
        <v>0</v>
      </c>
      <c r="G139">
        <v>8</v>
      </c>
      <c r="H139">
        <v>10</v>
      </c>
      <c r="I139">
        <v>33</v>
      </c>
      <c r="J139">
        <v>7</v>
      </c>
      <c r="K139">
        <v>5</v>
      </c>
      <c r="L139">
        <v>2</v>
      </c>
      <c r="M139">
        <v>22</v>
      </c>
      <c r="N139">
        <v>2776.2171558533491</v>
      </c>
      <c r="O139">
        <v>2</v>
      </c>
      <c r="P139">
        <v>0</v>
      </c>
      <c r="Q139">
        <v>1</v>
      </c>
      <c r="R139">
        <v>3</v>
      </c>
      <c r="S139">
        <v>2</v>
      </c>
      <c r="T139">
        <v>1328</v>
      </c>
      <c r="U139">
        <v>4</v>
      </c>
    </row>
    <row r="140" spans="1:21" x14ac:dyDescent="0.45">
      <c r="A140">
        <v>207</v>
      </c>
      <c r="B140">
        <v>0</v>
      </c>
      <c r="C140">
        <v>1</v>
      </c>
      <c r="D140">
        <v>2</v>
      </c>
      <c r="E140">
        <v>7</v>
      </c>
      <c r="F140">
        <v>1</v>
      </c>
      <c r="G140">
        <v>15</v>
      </c>
      <c r="H140">
        <v>20</v>
      </c>
      <c r="I140">
        <v>59</v>
      </c>
      <c r="J140">
        <v>2</v>
      </c>
      <c r="K140">
        <v>1</v>
      </c>
      <c r="L140">
        <v>1</v>
      </c>
      <c r="M140">
        <v>10</v>
      </c>
      <c r="N140">
        <v>3910.6485953253759</v>
      </c>
      <c r="O140">
        <v>3</v>
      </c>
      <c r="P140">
        <v>0</v>
      </c>
      <c r="Q140">
        <v>1</v>
      </c>
      <c r="R140">
        <v>3</v>
      </c>
      <c r="S140">
        <v>2</v>
      </c>
      <c r="T140">
        <v>287</v>
      </c>
      <c r="U140">
        <v>1</v>
      </c>
    </row>
    <row r="141" spans="1:21" x14ac:dyDescent="0.45">
      <c r="A141">
        <v>208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2</v>
      </c>
      <c r="H141">
        <v>1</v>
      </c>
      <c r="I141">
        <v>9</v>
      </c>
      <c r="J141">
        <v>0</v>
      </c>
      <c r="K141">
        <v>5</v>
      </c>
      <c r="L141">
        <v>0</v>
      </c>
      <c r="M141">
        <v>2</v>
      </c>
      <c r="N141">
        <v>4654.3992704558123</v>
      </c>
      <c r="O141">
        <v>2</v>
      </c>
      <c r="P141">
        <v>0</v>
      </c>
      <c r="Q141">
        <v>1</v>
      </c>
      <c r="R141">
        <v>3</v>
      </c>
      <c r="S141">
        <v>3</v>
      </c>
      <c r="T141">
        <v>536</v>
      </c>
      <c r="U141">
        <v>1</v>
      </c>
    </row>
    <row r="142" spans="1:21" x14ac:dyDescent="0.45">
      <c r="A142">
        <v>209</v>
      </c>
      <c r="B142">
        <v>0</v>
      </c>
      <c r="C142">
        <v>0</v>
      </c>
      <c r="D142">
        <v>0</v>
      </c>
      <c r="E142">
        <v>8</v>
      </c>
      <c r="F142">
        <v>0</v>
      </c>
      <c r="G142">
        <v>23</v>
      </c>
      <c r="H142">
        <v>20</v>
      </c>
      <c r="I142">
        <v>52</v>
      </c>
      <c r="J142">
        <v>1</v>
      </c>
      <c r="K142">
        <v>4</v>
      </c>
      <c r="L142">
        <v>1</v>
      </c>
      <c r="M142">
        <v>3</v>
      </c>
      <c r="N142">
        <v>4352.0440640006645</v>
      </c>
      <c r="O142">
        <v>1</v>
      </c>
      <c r="P142">
        <v>1</v>
      </c>
      <c r="Q142">
        <v>0</v>
      </c>
      <c r="R142">
        <v>3</v>
      </c>
      <c r="S142">
        <v>1</v>
      </c>
      <c r="T142">
        <v>3435</v>
      </c>
      <c r="U142">
        <v>2</v>
      </c>
    </row>
    <row r="143" spans="1:21" x14ac:dyDescent="0.45">
      <c r="A143">
        <v>210</v>
      </c>
      <c r="B143">
        <v>0</v>
      </c>
      <c r="C143">
        <v>0</v>
      </c>
      <c r="D143">
        <v>0</v>
      </c>
      <c r="E143">
        <v>2</v>
      </c>
      <c r="F143">
        <v>2</v>
      </c>
      <c r="G143">
        <v>10</v>
      </c>
      <c r="H143">
        <v>4</v>
      </c>
      <c r="I143">
        <v>65</v>
      </c>
      <c r="J143">
        <v>15</v>
      </c>
      <c r="K143">
        <v>11</v>
      </c>
      <c r="L143">
        <v>4</v>
      </c>
      <c r="M143">
        <v>11</v>
      </c>
      <c r="N143">
        <v>2239.07946534549</v>
      </c>
      <c r="O143">
        <v>4</v>
      </c>
      <c r="P143">
        <v>1</v>
      </c>
      <c r="Q143">
        <v>1</v>
      </c>
      <c r="R143">
        <v>3</v>
      </c>
      <c r="S143">
        <v>5</v>
      </c>
      <c r="T143">
        <v>5364</v>
      </c>
      <c r="U143">
        <v>3</v>
      </c>
    </row>
    <row r="144" spans="1:21" x14ac:dyDescent="0.45">
      <c r="A144">
        <v>211</v>
      </c>
      <c r="B144">
        <v>0</v>
      </c>
      <c r="C144">
        <v>0</v>
      </c>
      <c r="D144">
        <v>0</v>
      </c>
      <c r="E144">
        <v>2</v>
      </c>
      <c r="F144">
        <v>2</v>
      </c>
      <c r="G144">
        <v>10</v>
      </c>
      <c r="H144">
        <v>4</v>
      </c>
      <c r="I144">
        <v>65</v>
      </c>
      <c r="J144">
        <v>15</v>
      </c>
      <c r="K144">
        <v>11</v>
      </c>
      <c r="L144">
        <v>4</v>
      </c>
      <c r="M144">
        <v>11</v>
      </c>
      <c r="N144">
        <v>2103.9513387182519</v>
      </c>
      <c r="O144">
        <v>4</v>
      </c>
      <c r="P144">
        <v>1</v>
      </c>
      <c r="Q144">
        <v>1</v>
      </c>
      <c r="R144">
        <v>3</v>
      </c>
      <c r="S144">
        <v>3</v>
      </c>
      <c r="T144">
        <v>1554</v>
      </c>
      <c r="U144">
        <v>1</v>
      </c>
    </row>
    <row r="145" spans="1:21" x14ac:dyDescent="0.45">
      <c r="A145">
        <v>213</v>
      </c>
      <c r="B145">
        <v>0</v>
      </c>
      <c r="C145">
        <v>0</v>
      </c>
      <c r="D145">
        <v>5</v>
      </c>
      <c r="E145">
        <v>6</v>
      </c>
      <c r="F145">
        <v>2</v>
      </c>
      <c r="G145">
        <v>15</v>
      </c>
      <c r="H145">
        <v>12</v>
      </c>
      <c r="I145">
        <v>50</v>
      </c>
      <c r="J145">
        <v>23</v>
      </c>
      <c r="K145">
        <v>3</v>
      </c>
      <c r="L145">
        <v>4</v>
      </c>
      <c r="M145">
        <v>9</v>
      </c>
      <c r="N145">
        <v>2245.1650034525692</v>
      </c>
      <c r="O145">
        <v>3</v>
      </c>
      <c r="P145">
        <v>0</v>
      </c>
      <c r="Q145">
        <v>1</v>
      </c>
      <c r="R145">
        <v>4</v>
      </c>
      <c r="S145">
        <v>2</v>
      </c>
      <c r="T145">
        <v>2748</v>
      </c>
      <c r="U145">
        <v>4</v>
      </c>
    </row>
    <row r="146" spans="1:21" x14ac:dyDescent="0.45">
      <c r="A146">
        <v>214</v>
      </c>
      <c r="B146">
        <v>0</v>
      </c>
      <c r="C146">
        <v>0</v>
      </c>
      <c r="D146">
        <v>4</v>
      </c>
      <c r="E146">
        <v>5</v>
      </c>
      <c r="F146">
        <v>2</v>
      </c>
      <c r="G146">
        <v>15</v>
      </c>
      <c r="H146">
        <v>13</v>
      </c>
      <c r="I146">
        <v>51</v>
      </c>
      <c r="J146">
        <v>21</v>
      </c>
      <c r="K146">
        <v>4</v>
      </c>
      <c r="L146">
        <v>2</v>
      </c>
      <c r="M146">
        <v>10</v>
      </c>
      <c r="N146">
        <v>2112.5020003181321</v>
      </c>
      <c r="O146">
        <v>3</v>
      </c>
      <c r="P146">
        <v>0</v>
      </c>
      <c r="Q146">
        <v>1</v>
      </c>
      <c r="R146">
        <v>4</v>
      </c>
      <c r="S146">
        <v>2</v>
      </c>
      <c r="T146">
        <v>2078</v>
      </c>
      <c r="U146">
        <v>4</v>
      </c>
    </row>
    <row r="147" spans="1:21" x14ac:dyDescent="0.45">
      <c r="A147">
        <v>215</v>
      </c>
      <c r="B147">
        <v>0</v>
      </c>
      <c r="C147">
        <v>0</v>
      </c>
      <c r="D147">
        <v>4</v>
      </c>
      <c r="E147">
        <v>4</v>
      </c>
      <c r="F147">
        <v>3</v>
      </c>
      <c r="G147">
        <v>12</v>
      </c>
      <c r="H147">
        <v>12</v>
      </c>
      <c r="I147">
        <v>39</v>
      </c>
      <c r="J147">
        <v>15</v>
      </c>
      <c r="K147">
        <v>3</v>
      </c>
      <c r="L147">
        <v>8</v>
      </c>
      <c r="M147">
        <v>20</v>
      </c>
      <c r="N147">
        <v>2426.3812844463432</v>
      </c>
      <c r="O147">
        <v>4</v>
      </c>
      <c r="P147">
        <v>1</v>
      </c>
      <c r="Q147">
        <v>1</v>
      </c>
      <c r="R147">
        <v>3</v>
      </c>
      <c r="S147">
        <v>2</v>
      </c>
      <c r="T147">
        <v>1101</v>
      </c>
      <c r="U147">
        <v>1</v>
      </c>
    </row>
    <row r="148" spans="1:21" x14ac:dyDescent="0.45">
      <c r="A148">
        <v>216</v>
      </c>
      <c r="B148">
        <v>1</v>
      </c>
      <c r="C148">
        <v>0</v>
      </c>
      <c r="D148">
        <v>3</v>
      </c>
      <c r="E148">
        <v>2</v>
      </c>
      <c r="F148">
        <v>0</v>
      </c>
      <c r="G148">
        <v>10</v>
      </c>
      <c r="H148">
        <v>10</v>
      </c>
      <c r="I148">
        <v>19</v>
      </c>
      <c r="J148">
        <v>7</v>
      </c>
      <c r="K148">
        <v>4</v>
      </c>
      <c r="L148">
        <v>2</v>
      </c>
      <c r="M148">
        <v>4</v>
      </c>
      <c r="N148">
        <v>2988.8052901891479</v>
      </c>
      <c r="O148">
        <v>1</v>
      </c>
      <c r="P148">
        <v>0</v>
      </c>
      <c r="Q148">
        <v>1</v>
      </c>
      <c r="R148">
        <v>4</v>
      </c>
      <c r="S148">
        <v>1</v>
      </c>
      <c r="T148">
        <v>464</v>
      </c>
      <c r="U148">
        <v>1</v>
      </c>
    </row>
    <row r="149" spans="1:21" x14ac:dyDescent="0.45">
      <c r="A149">
        <v>217</v>
      </c>
      <c r="B149">
        <v>0</v>
      </c>
      <c r="C149">
        <v>0</v>
      </c>
      <c r="D149">
        <v>9</v>
      </c>
      <c r="E149">
        <v>6</v>
      </c>
      <c r="F149">
        <v>1</v>
      </c>
      <c r="G149">
        <v>16</v>
      </c>
      <c r="H149">
        <v>12</v>
      </c>
      <c r="I149">
        <v>27</v>
      </c>
      <c r="J149">
        <v>6</v>
      </c>
      <c r="K149">
        <v>2</v>
      </c>
      <c r="L149">
        <v>1</v>
      </c>
      <c r="M149">
        <v>9</v>
      </c>
      <c r="N149">
        <v>3326.770948695133</v>
      </c>
      <c r="O149">
        <v>2</v>
      </c>
      <c r="P149">
        <v>0</v>
      </c>
      <c r="Q149">
        <v>1</v>
      </c>
      <c r="R149">
        <v>4</v>
      </c>
      <c r="S149">
        <v>4</v>
      </c>
      <c r="T149">
        <v>482</v>
      </c>
      <c r="U149">
        <v>1</v>
      </c>
    </row>
    <row r="150" spans="1:21" x14ac:dyDescent="0.45">
      <c r="A150">
        <v>218</v>
      </c>
      <c r="B150">
        <v>0</v>
      </c>
      <c r="C150">
        <v>1</v>
      </c>
      <c r="D150">
        <v>2</v>
      </c>
      <c r="E150">
        <v>2</v>
      </c>
      <c r="F150">
        <v>3</v>
      </c>
      <c r="G150">
        <v>9</v>
      </c>
      <c r="H150">
        <v>4</v>
      </c>
      <c r="I150">
        <v>14</v>
      </c>
      <c r="J150">
        <v>2</v>
      </c>
      <c r="K150">
        <v>9</v>
      </c>
      <c r="L150">
        <v>1</v>
      </c>
      <c r="M150">
        <v>13</v>
      </c>
      <c r="N150">
        <v>3556.431649378264</v>
      </c>
      <c r="O150">
        <v>4</v>
      </c>
      <c r="P150">
        <v>0</v>
      </c>
      <c r="Q150">
        <v>1</v>
      </c>
      <c r="R150">
        <v>3</v>
      </c>
      <c r="S150">
        <v>5</v>
      </c>
      <c r="T150">
        <v>1223</v>
      </c>
      <c r="U150">
        <v>1</v>
      </c>
    </row>
    <row r="151" spans="1:21" x14ac:dyDescent="0.45">
      <c r="A151">
        <v>219</v>
      </c>
      <c r="B151">
        <v>0</v>
      </c>
      <c r="C151">
        <v>0</v>
      </c>
      <c r="D151">
        <v>2</v>
      </c>
      <c r="E151">
        <v>0</v>
      </c>
      <c r="F151">
        <v>1</v>
      </c>
      <c r="G151">
        <v>6</v>
      </c>
      <c r="H151">
        <v>2</v>
      </c>
      <c r="I151">
        <v>6</v>
      </c>
      <c r="J151">
        <v>2</v>
      </c>
      <c r="K151">
        <v>7</v>
      </c>
      <c r="L151">
        <v>0</v>
      </c>
      <c r="M151">
        <v>5</v>
      </c>
      <c r="N151">
        <v>3844.8394377719769</v>
      </c>
      <c r="O151">
        <v>4</v>
      </c>
      <c r="P151">
        <v>1</v>
      </c>
      <c r="Q151">
        <v>1</v>
      </c>
      <c r="R151">
        <v>3</v>
      </c>
      <c r="S151">
        <v>3</v>
      </c>
      <c r="T151">
        <v>2200</v>
      </c>
      <c r="U151">
        <v>4</v>
      </c>
    </row>
    <row r="152" spans="1:21" x14ac:dyDescent="0.45">
      <c r="A152">
        <v>220</v>
      </c>
      <c r="B152">
        <v>0</v>
      </c>
      <c r="C152">
        <v>0</v>
      </c>
      <c r="D152">
        <v>3</v>
      </c>
      <c r="E152">
        <v>2</v>
      </c>
      <c r="F152">
        <v>1</v>
      </c>
      <c r="G152">
        <v>6</v>
      </c>
      <c r="H152">
        <v>7</v>
      </c>
      <c r="I152">
        <v>13</v>
      </c>
      <c r="J152">
        <v>5</v>
      </c>
      <c r="K152">
        <v>10</v>
      </c>
      <c r="L152">
        <v>1</v>
      </c>
      <c r="M152">
        <v>17</v>
      </c>
      <c r="N152">
        <v>4080.9910068354138</v>
      </c>
      <c r="O152">
        <v>1</v>
      </c>
      <c r="P152">
        <v>1</v>
      </c>
      <c r="Q152">
        <v>0</v>
      </c>
      <c r="R152">
        <v>3</v>
      </c>
      <c r="S152">
        <v>3</v>
      </c>
      <c r="T152">
        <v>4354</v>
      </c>
      <c r="U152">
        <v>1</v>
      </c>
    </row>
    <row r="153" spans="1:21" x14ac:dyDescent="0.45">
      <c r="A153">
        <v>221</v>
      </c>
      <c r="B153">
        <v>0</v>
      </c>
      <c r="C153">
        <v>0</v>
      </c>
      <c r="D153">
        <v>2</v>
      </c>
      <c r="E153">
        <v>2</v>
      </c>
      <c r="F153">
        <v>1</v>
      </c>
      <c r="G153">
        <v>11</v>
      </c>
      <c r="H153">
        <v>9</v>
      </c>
      <c r="I153">
        <v>20</v>
      </c>
      <c r="J153">
        <v>5</v>
      </c>
      <c r="K153">
        <v>13</v>
      </c>
      <c r="L153">
        <v>2</v>
      </c>
      <c r="M153">
        <v>15</v>
      </c>
      <c r="N153">
        <v>4149.9196729232763</v>
      </c>
      <c r="O153">
        <v>2</v>
      </c>
      <c r="P153">
        <v>0</v>
      </c>
      <c r="Q153">
        <v>1</v>
      </c>
      <c r="R153">
        <v>3</v>
      </c>
      <c r="S153">
        <v>3</v>
      </c>
      <c r="T153">
        <v>1349</v>
      </c>
      <c r="U153">
        <v>3</v>
      </c>
    </row>
    <row r="154" spans="1:21" x14ac:dyDescent="0.45">
      <c r="A154">
        <v>222</v>
      </c>
      <c r="B154">
        <v>0</v>
      </c>
      <c r="C154">
        <v>0</v>
      </c>
      <c r="D154">
        <v>3</v>
      </c>
      <c r="E154">
        <v>2</v>
      </c>
      <c r="F154">
        <v>1</v>
      </c>
      <c r="G154">
        <v>6</v>
      </c>
      <c r="H154">
        <v>6</v>
      </c>
      <c r="I154">
        <v>7</v>
      </c>
      <c r="J154">
        <v>4</v>
      </c>
      <c r="K154">
        <v>6</v>
      </c>
      <c r="L154">
        <v>0</v>
      </c>
      <c r="M154">
        <v>3</v>
      </c>
      <c r="N154">
        <v>3939.6658678650542</v>
      </c>
      <c r="O154">
        <v>3</v>
      </c>
      <c r="P154">
        <v>0</v>
      </c>
      <c r="Q154">
        <v>1</v>
      </c>
      <c r="R154">
        <v>4</v>
      </c>
      <c r="S154">
        <v>6</v>
      </c>
      <c r="T154">
        <v>3330</v>
      </c>
      <c r="U154">
        <v>4</v>
      </c>
    </row>
    <row r="155" spans="1:21" x14ac:dyDescent="0.45">
      <c r="A155">
        <v>223</v>
      </c>
      <c r="B155">
        <v>0</v>
      </c>
      <c r="C155">
        <v>0</v>
      </c>
      <c r="D155">
        <v>0</v>
      </c>
      <c r="E155">
        <v>2</v>
      </c>
      <c r="F155">
        <v>0</v>
      </c>
      <c r="G155">
        <v>9</v>
      </c>
      <c r="H155">
        <v>5</v>
      </c>
      <c r="I155">
        <v>14</v>
      </c>
      <c r="J155">
        <v>0</v>
      </c>
      <c r="K155">
        <v>9</v>
      </c>
      <c r="L155">
        <v>0</v>
      </c>
      <c r="M155">
        <v>2</v>
      </c>
      <c r="N155">
        <v>5262.0949500114384</v>
      </c>
      <c r="O155">
        <v>3</v>
      </c>
      <c r="P155">
        <v>0</v>
      </c>
      <c r="Q155">
        <v>1</v>
      </c>
      <c r="R155">
        <v>3</v>
      </c>
      <c r="S155">
        <v>5</v>
      </c>
      <c r="T155">
        <v>616</v>
      </c>
      <c r="U155">
        <v>3</v>
      </c>
    </row>
    <row r="156" spans="1:21" x14ac:dyDescent="0.45">
      <c r="A156">
        <v>224</v>
      </c>
      <c r="B156">
        <v>0</v>
      </c>
      <c r="C156">
        <v>0</v>
      </c>
      <c r="D156">
        <v>1</v>
      </c>
      <c r="E156">
        <v>3</v>
      </c>
      <c r="F156">
        <v>0</v>
      </c>
      <c r="G156">
        <v>7</v>
      </c>
      <c r="H156">
        <v>4</v>
      </c>
      <c r="I156">
        <v>4</v>
      </c>
      <c r="J156">
        <v>0</v>
      </c>
      <c r="K156">
        <v>0</v>
      </c>
      <c r="L156">
        <v>0</v>
      </c>
      <c r="M156">
        <v>13</v>
      </c>
      <c r="N156">
        <v>5574.079267675078</v>
      </c>
      <c r="O156">
        <v>2</v>
      </c>
      <c r="P156">
        <v>1</v>
      </c>
      <c r="Q156">
        <v>1</v>
      </c>
      <c r="R156">
        <v>4</v>
      </c>
      <c r="S156">
        <v>2</v>
      </c>
      <c r="T156">
        <v>421</v>
      </c>
      <c r="U156">
        <v>1</v>
      </c>
    </row>
    <row r="157" spans="1:21" x14ac:dyDescent="0.45">
      <c r="A157">
        <v>225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2</v>
      </c>
      <c r="H157">
        <v>4</v>
      </c>
      <c r="I157">
        <v>11</v>
      </c>
      <c r="J157">
        <v>2</v>
      </c>
      <c r="K157">
        <v>1</v>
      </c>
      <c r="L157">
        <v>0</v>
      </c>
      <c r="M157">
        <v>14</v>
      </c>
      <c r="N157">
        <v>7262.5020560122848</v>
      </c>
      <c r="O157">
        <v>3</v>
      </c>
      <c r="P157">
        <v>1</v>
      </c>
      <c r="Q157">
        <v>1</v>
      </c>
      <c r="R157">
        <v>2</v>
      </c>
      <c r="S157">
        <v>6</v>
      </c>
      <c r="T157">
        <v>164</v>
      </c>
      <c r="U157">
        <v>1</v>
      </c>
    </row>
    <row r="158" spans="1:21" x14ac:dyDescent="0.45">
      <c r="A158">
        <v>226</v>
      </c>
      <c r="B158">
        <v>0</v>
      </c>
      <c r="C158">
        <v>0</v>
      </c>
      <c r="D158">
        <v>4</v>
      </c>
      <c r="E158">
        <v>2</v>
      </c>
      <c r="F158">
        <v>0</v>
      </c>
      <c r="G158">
        <v>4</v>
      </c>
      <c r="H158">
        <v>6</v>
      </c>
      <c r="I158">
        <v>3</v>
      </c>
      <c r="J158">
        <v>1</v>
      </c>
      <c r="K158">
        <v>3</v>
      </c>
      <c r="L158">
        <v>0</v>
      </c>
      <c r="M158">
        <v>19</v>
      </c>
      <c r="N158">
        <v>7499.7865204561786</v>
      </c>
      <c r="O158">
        <v>2</v>
      </c>
      <c r="P158">
        <v>1</v>
      </c>
      <c r="Q158">
        <v>1</v>
      </c>
      <c r="R158">
        <v>3</v>
      </c>
      <c r="S158">
        <v>2</v>
      </c>
      <c r="T158">
        <v>381</v>
      </c>
      <c r="U158">
        <v>3</v>
      </c>
    </row>
    <row r="159" spans="1:21" x14ac:dyDescent="0.45">
      <c r="A159">
        <v>227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2</v>
      </c>
      <c r="H159">
        <v>5</v>
      </c>
      <c r="I159">
        <v>7</v>
      </c>
      <c r="J159">
        <v>3</v>
      </c>
      <c r="K159">
        <v>1</v>
      </c>
      <c r="L159">
        <v>0</v>
      </c>
      <c r="M159">
        <v>8</v>
      </c>
      <c r="N159">
        <v>7415.4061558778103</v>
      </c>
      <c r="O159">
        <v>4</v>
      </c>
      <c r="P159">
        <v>0</v>
      </c>
      <c r="Q159">
        <v>1</v>
      </c>
      <c r="R159">
        <v>4</v>
      </c>
      <c r="S159">
        <v>2</v>
      </c>
      <c r="T159">
        <v>980</v>
      </c>
      <c r="U159">
        <v>2</v>
      </c>
    </row>
    <row r="160" spans="1:21" x14ac:dyDescent="0.45">
      <c r="A160">
        <v>230</v>
      </c>
      <c r="B160">
        <v>0</v>
      </c>
      <c r="C160">
        <v>0</v>
      </c>
      <c r="D160">
        <v>2</v>
      </c>
      <c r="E160">
        <v>3</v>
      </c>
      <c r="F160">
        <v>0</v>
      </c>
      <c r="G160">
        <v>2</v>
      </c>
      <c r="H160">
        <v>4</v>
      </c>
      <c r="I160">
        <v>3</v>
      </c>
      <c r="J160">
        <v>0</v>
      </c>
      <c r="K160">
        <v>4</v>
      </c>
      <c r="L160">
        <v>1</v>
      </c>
      <c r="M160">
        <v>14</v>
      </c>
      <c r="N160">
        <v>8576.3140189110381</v>
      </c>
      <c r="O160">
        <v>2</v>
      </c>
      <c r="P160">
        <v>0</v>
      </c>
      <c r="Q160">
        <v>1</v>
      </c>
      <c r="R160">
        <v>2</v>
      </c>
      <c r="S160">
        <v>2</v>
      </c>
      <c r="T160">
        <v>774</v>
      </c>
      <c r="U160">
        <v>2</v>
      </c>
    </row>
    <row r="161" spans="1:21" x14ac:dyDescent="0.45">
      <c r="A161">
        <v>231</v>
      </c>
      <c r="B161">
        <v>1</v>
      </c>
      <c r="C161">
        <v>0</v>
      </c>
      <c r="D161">
        <v>1</v>
      </c>
      <c r="E161">
        <v>2</v>
      </c>
      <c r="F161">
        <v>0</v>
      </c>
      <c r="G161">
        <v>4</v>
      </c>
      <c r="H161">
        <v>6</v>
      </c>
      <c r="I161">
        <v>4</v>
      </c>
      <c r="J161">
        <v>0</v>
      </c>
      <c r="K161">
        <v>1</v>
      </c>
      <c r="L161">
        <v>2</v>
      </c>
      <c r="M161">
        <v>4</v>
      </c>
      <c r="N161">
        <v>8545.3482438705614</v>
      </c>
      <c r="O161">
        <v>4</v>
      </c>
      <c r="P161">
        <v>0</v>
      </c>
      <c r="Q161">
        <v>1</v>
      </c>
      <c r="R161">
        <v>4</v>
      </c>
      <c r="S161">
        <v>3</v>
      </c>
      <c r="T161">
        <v>614</v>
      </c>
      <c r="U161">
        <v>2</v>
      </c>
    </row>
    <row r="162" spans="1:21" x14ac:dyDescent="0.45">
      <c r="A162">
        <v>234</v>
      </c>
      <c r="B162">
        <v>0</v>
      </c>
      <c r="C162">
        <v>0</v>
      </c>
      <c r="D162">
        <v>0</v>
      </c>
      <c r="E162">
        <v>3</v>
      </c>
      <c r="F162">
        <v>0</v>
      </c>
      <c r="G162">
        <v>10</v>
      </c>
      <c r="H162">
        <v>16</v>
      </c>
      <c r="I162">
        <v>4</v>
      </c>
      <c r="J162">
        <v>0</v>
      </c>
      <c r="K162">
        <v>1</v>
      </c>
      <c r="L162">
        <v>1</v>
      </c>
      <c r="M162">
        <v>7</v>
      </c>
      <c r="N162">
        <v>10720.216427608681</v>
      </c>
      <c r="O162">
        <v>3</v>
      </c>
      <c r="P162">
        <v>0</v>
      </c>
      <c r="Q162">
        <v>0</v>
      </c>
      <c r="R162">
        <v>2</v>
      </c>
      <c r="S162">
        <v>1</v>
      </c>
      <c r="T162">
        <v>2945</v>
      </c>
      <c r="U162">
        <v>3</v>
      </c>
    </row>
    <row r="163" spans="1:21" x14ac:dyDescent="0.45">
      <c r="A163">
        <v>237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2</v>
      </c>
      <c r="J163">
        <v>1</v>
      </c>
      <c r="K163">
        <v>0</v>
      </c>
      <c r="L163">
        <v>0</v>
      </c>
      <c r="M163">
        <v>2</v>
      </c>
      <c r="N163">
        <v>13210.55837219549</v>
      </c>
      <c r="O163">
        <v>3</v>
      </c>
      <c r="P163">
        <v>0</v>
      </c>
      <c r="Q163">
        <v>1</v>
      </c>
      <c r="R163">
        <v>4</v>
      </c>
      <c r="S163">
        <v>2</v>
      </c>
      <c r="T163">
        <v>46</v>
      </c>
      <c r="U163">
        <v>1</v>
      </c>
    </row>
    <row r="164" spans="1:21" x14ac:dyDescent="0.45">
      <c r="A164">
        <v>238</v>
      </c>
      <c r="B164">
        <v>0</v>
      </c>
      <c r="C164">
        <v>0</v>
      </c>
      <c r="D164">
        <v>2</v>
      </c>
      <c r="E164">
        <v>2</v>
      </c>
      <c r="F164">
        <v>0</v>
      </c>
      <c r="G164">
        <v>1</v>
      </c>
      <c r="H164">
        <v>1</v>
      </c>
      <c r="I164">
        <v>2</v>
      </c>
      <c r="J164">
        <v>1</v>
      </c>
      <c r="K164">
        <v>0</v>
      </c>
      <c r="L164">
        <v>0</v>
      </c>
      <c r="M164">
        <v>2</v>
      </c>
      <c r="N164">
        <v>13216.242880196451</v>
      </c>
      <c r="O164">
        <v>2</v>
      </c>
      <c r="P164">
        <v>0</v>
      </c>
      <c r="Q164">
        <v>1</v>
      </c>
      <c r="R164">
        <v>4</v>
      </c>
      <c r="S164">
        <v>2</v>
      </c>
      <c r="T164">
        <v>108</v>
      </c>
      <c r="U164">
        <v>1</v>
      </c>
    </row>
    <row r="165" spans="1:21" x14ac:dyDescent="0.45">
      <c r="A165">
        <v>239</v>
      </c>
      <c r="B165">
        <v>1</v>
      </c>
      <c r="C165">
        <v>0</v>
      </c>
      <c r="D165">
        <v>1</v>
      </c>
      <c r="E165">
        <v>2</v>
      </c>
      <c r="F165">
        <v>0</v>
      </c>
      <c r="G165">
        <v>0</v>
      </c>
      <c r="H165">
        <v>2</v>
      </c>
      <c r="I165">
        <v>5</v>
      </c>
      <c r="J165">
        <v>1</v>
      </c>
      <c r="K165">
        <v>1</v>
      </c>
      <c r="L165">
        <v>0</v>
      </c>
      <c r="M165">
        <v>5</v>
      </c>
      <c r="N165">
        <v>15128.43136793934</v>
      </c>
      <c r="O165">
        <v>4</v>
      </c>
      <c r="P165">
        <v>0</v>
      </c>
      <c r="Q165">
        <v>0</v>
      </c>
      <c r="R165">
        <v>1</v>
      </c>
      <c r="S165">
        <v>5</v>
      </c>
      <c r="T165">
        <v>6124</v>
      </c>
      <c r="U165">
        <v>1</v>
      </c>
    </row>
    <row r="166" spans="1:21" x14ac:dyDescent="0.45">
      <c r="A166">
        <v>240</v>
      </c>
      <c r="B166">
        <v>1</v>
      </c>
      <c r="C166">
        <v>0</v>
      </c>
      <c r="D166">
        <v>0</v>
      </c>
      <c r="E166">
        <v>2</v>
      </c>
      <c r="F166">
        <v>0</v>
      </c>
      <c r="G166">
        <v>2</v>
      </c>
      <c r="H166">
        <v>2</v>
      </c>
      <c r="I166">
        <v>3</v>
      </c>
      <c r="J166">
        <v>0</v>
      </c>
      <c r="K166">
        <v>0</v>
      </c>
      <c r="L166">
        <v>0</v>
      </c>
      <c r="M166">
        <v>3</v>
      </c>
      <c r="N166">
        <v>17100.391900374401</v>
      </c>
      <c r="O166">
        <v>4</v>
      </c>
      <c r="P166">
        <v>0</v>
      </c>
      <c r="Q166">
        <v>1</v>
      </c>
      <c r="R166">
        <v>2</v>
      </c>
      <c r="S166">
        <v>1</v>
      </c>
      <c r="T166">
        <v>679</v>
      </c>
      <c r="U166">
        <v>3</v>
      </c>
    </row>
    <row r="167" spans="1:21" x14ac:dyDescent="0.45">
      <c r="A167">
        <v>241</v>
      </c>
      <c r="B167">
        <v>0</v>
      </c>
      <c r="C167">
        <v>0</v>
      </c>
      <c r="D167">
        <v>1</v>
      </c>
      <c r="E167">
        <v>6</v>
      </c>
      <c r="F167">
        <v>1</v>
      </c>
      <c r="G167">
        <v>18</v>
      </c>
      <c r="H167">
        <v>17</v>
      </c>
      <c r="I167">
        <v>7</v>
      </c>
      <c r="J167">
        <v>0</v>
      </c>
      <c r="K167">
        <v>0</v>
      </c>
      <c r="L167">
        <v>0</v>
      </c>
      <c r="M167">
        <v>4</v>
      </c>
      <c r="N167">
        <v>16653.841946284479</v>
      </c>
      <c r="O167">
        <v>2</v>
      </c>
      <c r="P167">
        <v>0</v>
      </c>
      <c r="Q167">
        <v>1</v>
      </c>
      <c r="R167">
        <v>4</v>
      </c>
      <c r="S167">
        <v>2</v>
      </c>
      <c r="T167">
        <v>120</v>
      </c>
      <c r="U167">
        <v>1</v>
      </c>
    </row>
    <row r="168" spans="1:21" x14ac:dyDescent="0.45">
      <c r="A168">
        <v>242</v>
      </c>
      <c r="B168">
        <v>0</v>
      </c>
      <c r="C168">
        <v>0</v>
      </c>
      <c r="D168">
        <v>1</v>
      </c>
      <c r="E168">
        <v>6</v>
      </c>
      <c r="F168">
        <v>1</v>
      </c>
      <c r="G168">
        <v>18</v>
      </c>
      <c r="H168">
        <v>17</v>
      </c>
      <c r="I168">
        <v>7</v>
      </c>
      <c r="J168">
        <v>0</v>
      </c>
      <c r="K168">
        <v>0</v>
      </c>
      <c r="L168">
        <v>0</v>
      </c>
      <c r="M168">
        <v>4</v>
      </c>
      <c r="N168">
        <v>16715.382703748332</v>
      </c>
      <c r="O168">
        <v>4</v>
      </c>
      <c r="P168">
        <v>0</v>
      </c>
      <c r="Q168">
        <v>1</v>
      </c>
      <c r="R168">
        <v>4</v>
      </c>
      <c r="S168">
        <v>2</v>
      </c>
      <c r="T168">
        <v>216</v>
      </c>
      <c r="U168">
        <v>2</v>
      </c>
    </row>
    <row r="169" spans="1:21" x14ac:dyDescent="0.45">
      <c r="A169">
        <v>244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16850.579910666758</v>
      </c>
      <c r="O169">
        <v>3</v>
      </c>
      <c r="P169">
        <v>0</v>
      </c>
      <c r="Q169">
        <v>0</v>
      </c>
      <c r="R169">
        <v>1</v>
      </c>
      <c r="S169">
        <v>1</v>
      </c>
      <c r="T169">
        <v>852</v>
      </c>
      <c r="U169">
        <v>1</v>
      </c>
    </row>
    <row r="170" spans="1:21" x14ac:dyDescent="0.45">
      <c r="A170">
        <v>245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15931.155922259029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91</v>
      </c>
      <c r="U170">
        <v>1</v>
      </c>
    </row>
    <row r="171" spans="1:21" x14ac:dyDescent="0.45">
      <c r="A171">
        <v>246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18274.655057937522</v>
      </c>
      <c r="O171">
        <v>2</v>
      </c>
      <c r="P171">
        <v>0</v>
      </c>
      <c r="Q171">
        <v>1</v>
      </c>
      <c r="R171">
        <v>4</v>
      </c>
      <c r="S171">
        <v>2</v>
      </c>
      <c r="T171">
        <v>291</v>
      </c>
      <c r="U171">
        <v>1</v>
      </c>
    </row>
    <row r="172" spans="1:21" x14ac:dyDescent="0.45">
      <c r="A172">
        <v>248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16381.10786896679</v>
      </c>
      <c r="O172">
        <v>2</v>
      </c>
      <c r="P172">
        <v>0</v>
      </c>
      <c r="Q172">
        <v>0</v>
      </c>
      <c r="R172">
        <v>2</v>
      </c>
      <c r="S172">
        <v>1</v>
      </c>
      <c r="T172">
        <v>306</v>
      </c>
      <c r="U172">
        <v>3</v>
      </c>
    </row>
    <row r="173" spans="1:21" x14ac:dyDescent="0.45">
      <c r="A173">
        <v>249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18044.876806539149</v>
      </c>
      <c r="O173">
        <v>2</v>
      </c>
      <c r="P173">
        <v>0</v>
      </c>
      <c r="Q173">
        <v>1</v>
      </c>
      <c r="R173">
        <v>4</v>
      </c>
      <c r="S173">
        <v>2</v>
      </c>
      <c r="T173">
        <v>342</v>
      </c>
      <c r="U173">
        <v>2</v>
      </c>
    </row>
    <row r="174" spans="1:21" x14ac:dyDescent="0.45">
      <c r="A174">
        <v>250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4</v>
      </c>
      <c r="I174">
        <v>16</v>
      </c>
      <c r="J174">
        <v>0</v>
      </c>
      <c r="K174">
        <v>4</v>
      </c>
      <c r="L174">
        <v>1</v>
      </c>
      <c r="M174">
        <v>12</v>
      </c>
      <c r="N174">
        <v>6230.2800182789297</v>
      </c>
      <c r="O174">
        <v>4</v>
      </c>
      <c r="P174">
        <v>1</v>
      </c>
      <c r="Q174">
        <v>0</v>
      </c>
      <c r="R174">
        <v>2</v>
      </c>
      <c r="S174">
        <v>2</v>
      </c>
      <c r="T174">
        <v>347</v>
      </c>
      <c r="U174">
        <v>1</v>
      </c>
    </row>
    <row r="175" spans="1:21" x14ac:dyDescent="0.45">
      <c r="A175">
        <v>253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5</v>
      </c>
      <c r="J175">
        <v>2</v>
      </c>
      <c r="K175">
        <v>4</v>
      </c>
      <c r="L175">
        <v>0</v>
      </c>
      <c r="M175">
        <v>8</v>
      </c>
      <c r="N175">
        <v>9387.5512149925744</v>
      </c>
      <c r="O175">
        <v>2</v>
      </c>
      <c r="P175">
        <v>0</v>
      </c>
      <c r="Q175">
        <v>1</v>
      </c>
      <c r="R175">
        <v>3</v>
      </c>
      <c r="S175">
        <v>2</v>
      </c>
      <c r="T175">
        <v>140</v>
      </c>
      <c r="U175">
        <v>1</v>
      </c>
    </row>
    <row r="176" spans="1:21" x14ac:dyDescent="0.45">
      <c r="A176">
        <v>255</v>
      </c>
      <c r="B176">
        <v>0</v>
      </c>
      <c r="C176">
        <v>0</v>
      </c>
      <c r="D176">
        <v>2</v>
      </c>
      <c r="E176">
        <v>2</v>
      </c>
      <c r="F176">
        <v>2</v>
      </c>
      <c r="G176">
        <v>10</v>
      </c>
      <c r="H176">
        <v>12</v>
      </c>
      <c r="I176">
        <v>18</v>
      </c>
      <c r="J176">
        <v>3</v>
      </c>
      <c r="K176">
        <v>8</v>
      </c>
      <c r="L176">
        <v>0</v>
      </c>
      <c r="M176">
        <v>14</v>
      </c>
      <c r="N176">
        <v>9830.8655758304103</v>
      </c>
      <c r="O176">
        <v>1</v>
      </c>
      <c r="P176">
        <v>0</v>
      </c>
      <c r="Q176">
        <v>1</v>
      </c>
      <c r="R176">
        <v>1</v>
      </c>
      <c r="S176">
        <v>2</v>
      </c>
      <c r="T176">
        <v>270</v>
      </c>
      <c r="U176">
        <v>2</v>
      </c>
    </row>
    <row r="177" spans="1:21" x14ac:dyDescent="0.45">
      <c r="A177">
        <v>256</v>
      </c>
      <c r="B177">
        <v>0</v>
      </c>
      <c r="C177">
        <v>0</v>
      </c>
      <c r="D177">
        <v>2</v>
      </c>
      <c r="E177">
        <v>2</v>
      </c>
      <c r="F177">
        <v>2</v>
      </c>
      <c r="G177">
        <v>10</v>
      </c>
      <c r="H177">
        <v>12</v>
      </c>
      <c r="I177">
        <v>18</v>
      </c>
      <c r="J177">
        <v>3</v>
      </c>
      <c r="K177">
        <v>8</v>
      </c>
      <c r="L177">
        <v>0</v>
      </c>
      <c r="M177">
        <v>14</v>
      </c>
      <c r="N177">
        <v>9957.3028520169592</v>
      </c>
      <c r="O177">
        <v>3</v>
      </c>
      <c r="P177">
        <v>0</v>
      </c>
      <c r="Q177">
        <v>1</v>
      </c>
      <c r="R177">
        <v>4</v>
      </c>
      <c r="S177">
        <v>1</v>
      </c>
      <c r="T177">
        <v>531</v>
      </c>
      <c r="U177">
        <v>1</v>
      </c>
    </row>
    <row r="178" spans="1:21" x14ac:dyDescent="0.45">
      <c r="A178">
        <v>260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2</v>
      </c>
      <c r="H178">
        <v>1</v>
      </c>
      <c r="I178">
        <v>1</v>
      </c>
      <c r="J178">
        <v>0</v>
      </c>
      <c r="K178">
        <v>2</v>
      </c>
      <c r="L178">
        <v>0</v>
      </c>
      <c r="M178">
        <v>7</v>
      </c>
      <c r="N178">
        <v>10393.04899881645</v>
      </c>
      <c r="O178">
        <v>3</v>
      </c>
      <c r="P178">
        <v>0</v>
      </c>
      <c r="Q178">
        <v>0</v>
      </c>
      <c r="R178">
        <v>4</v>
      </c>
      <c r="S178">
        <v>3</v>
      </c>
      <c r="T178">
        <v>716</v>
      </c>
      <c r="U178">
        <v>3</v>
      </c>
    </row>
    <row r="179" spans="1:21" x14ac:dyDescent="0.45">
      <c r="A179">
        <v>261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2</v>
      </c>
      <c r="H179">
        <v>1</v>
      </c>
      <c r="I179">
        <v>1</v>
      </c>
      <c r="J179">
        <v>0</v>
      </c>
      <c r="K179">
        <v>2</v>
      </c>
      <c r="L179">
        <v>0</v>
      </c>
      <c r="M179">
        <v>7</v>
      </c>
      <c r="N179">
        <v>10393.04899881645</v>
      </c>
      <c r="O179">
        <v>1</v>
      </c>
      <c r="P179">
        <v>0</v>
      </c>
      <c r="Q179">
        <v>1</v>
      </c>
      <c r="R179">
        <v>4</v>
      </c>
      <c r="S179">
        <v>1</v>
      </c>
      <c r="T179">
        <v>102</v>
      </c>
      <c r="U179">
        <v>1</v>
      </c>
    </row>
    <row r="180" spans="1:21" x14ac:dyDescent="0.45">
      <c r="A180">
        <v>262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4</v>
      </c>
      <c r="H180">
        <v>8</v>
      </c>
      <c r="I180">
        <v>3</v>
      </c>
      <c r="J180">
        <v>0</v>
      </c>
      <c r="K180">
        <v>0</v>
      </c>
      <c r="L180">
        <v>0</v>
      </c>
      <c r="M180">
        <v>7</v>
      </c>
      <c r="N180">
        <v>9940.9531724567732</v>
      </c>
      <c r="O180">
        <v>2</v>
      </c>
      <c r="P180">
        <v>0</v>
      </c>
      <c r="Q180">
        <v>1</v>
      </c>
      <c r="R180">
        <v>4</v>
      </c>
      <c r="S180">
        <v>1</v>
      </c>
      <c r="T180">
        <v>231</v>
      </c>
      <c r="U180">
        <v>1</v>
      </c>
    </row>
    <row r="181" spans="1:21" x14ac:dyDescent="0.45">
      <c r="A181">
        <v>263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6</v>
      </c>
      <c r="H181">
        <v>7</v>
      </c>
      <c r="I181">
        <v>7</v>
      </c>
      <c r="J181">
        <v>2</v>
      </c>
      <c r="K181">
        <v>3</v>
      </c>
      <c r="L181">
        <v>0</v>
      </c>
      <c r="M181">
        <v>7</v>
      </c>
      <c r="N181">
        <v>10825.152784018001</v>
      </c>
      <c r="O181">
        <v>1</v>
      </c>
      <c r="P181">
        <v>0</v>
      </c>
      <c r="Q181">
        <v>1</v>
      </c>
      <c r="R181">
        <v>4</v>
      </c>
      <c r="S181">
        <v>2</v>
      </c>
      <c r="T181">
        <v>1135</v>
      </c>
      <c r="U181">
        <v>3</v>
      </c>
    </row>
    <row r="182" spans="1:21" x14ac:dyDescent="0.45">
      <c r="A182">
        <v>264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6</v>
      </c>
      <c r="N182">
        <v>11101.38440857734</v>
      </c>
      <c r="O182">
        <v>1</v>
      </c>
      <c r="P182">
        <v>0</v>
      </c>
      <c r="Q182">
        <v>1</v>
      </c>
      <c r="R182">
        <v>4</v>
      </c>
      <c r="S182">
        <v>1</v>
      </c>
      <c r="T182">
        <v>123</v>
      </c>
      <c r="U182">
        <v>1</v>
      </c>
    </row>
    <row r="183" spans="1:21" x14ac:dyDescent="0.45">
      <c r="A183">
        <v>265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2</v>
      </c>
      <c r="I183">
        <v>1</v>
      </c>
      <c r="J183">
        <v>0</v>
      </c>
      <c r="K183">
        <v>0</v>
      </c>
      <c r="L183">
        <v>0</v>
      </c>
      <c r="M183">
        <v>6</v>
      </c>
      <c r="N183">
        <v>11071.963938153831</v>
      </c>
      <c r="O183">
        <v>1</v>
      </c>
      <c r="P183">
        <v>0</v>
      </c>
      <c r="Q183">
        <v>1</v>
      </c>
      <c r="R183">
        <v>4</v>
      </c>
      <c r="S183">
        <v>1</v>
      </c>
      <c r="T183">
        <v>161</v>
      </c>
      <c r="U183">
        <v>1</v>
      </c>
    </row>
    <row r="184" spans="1:21" x14ac:dyDescent="0.45">
      <c r="A184">
        <v>266</v>
      </c>
      <c r="B184">
        <v>0</v>
      </c>
      <c r="C184">
        <v>0</v>
      </c>
      <c r="D184">
        <v>0</v>
      </c>
      <c r="E184">
        <v>3</v>
      </c>
      <c r="F184">
        <v>1</v>
      </c>
      <c r="G184">
        <v>5</v>
      </c>
      <c r="H184">
        <v>6</v>
      </c>
      <c r="I184">
        <v>4</v>
      </c>
      <c r="J184">
        <v>2</v>
      </c>
      <c r="K184">
        <v>0</v>
      </c>
      <c r="L184">
        <v>0</v>
      </c>
      <c r="M184">
        <v>2</v>
      </c>
      <c r="N184">
        <v>12159.455234616489</v>
      </c>
      <c r="O184">
        <v>1</v>
      </c>
      <c r="P184">
        <v>0</v>
      </c>
      <c r="Q184">
        <v>1</v>
      </c>
      <c r="R184">
        <v>4</v>
      </c>
      <c r="S184">
        <v>1</v>
      </c>
      <c r="T184">
        <v>109</v>
      </c>
      <c r="U184">
        <v>1</v>
      </c>
    </row>
    <row r="185" spans="1:21" x14ac:dyDescent="0.45">
      <c r="A185">
        <v>269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3</v>
      </c>
      <c r="N185">
        <v>12706.359814337089</v>
      </c>
      <c r="O185">
        <v>1</v>
      </c>
      <c r="P185">
        <v>0</v>
      </c>
      <c r="Q185">
        <v>1</v>
      </c>
      <c r="R185">
        <v>4</v>
      </c>
      <c r="S185">
        <v>1</v>
      </c>
      <c r="T185">
        <v>985</v>
      </c>
      <c r="U185">
        <v>3</v>
      </c>
    </row>
    <row r="186" spans="1:21" x14ac:dyDescent="0.45">
      <c r="A186">
        <v>271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15088.49321930143</v>
      </c>
      <c r="O186">
        <v>3</v>
      </c>
      <c r="P186">
        <v>0</v>
      </c>
      <c r="Q186">
        <v>0</v>
      </c>
      <c r="R186">
        <v>2</v>
      </c>
      <c r="S186">
        <v>4</v>
      </c>
      <c r="T186">
        <v>38</v>
      </c>
      <c r="U186">
        <v>2</v>
      </c>
    </row>
    <row r="187" spans="1:21" x14ac:dyDescent="0.45">
      <c r="A187">
        <v>273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5</v>
      </c>
      <c r="H187">
        <v>5</v>
      </c>
      <c r="I187">
        <v>6</v>
      </c>
      <c r="J187">
        <v>0</v>
      </c>
      <c r="K187">
        <v>1</v>
      </c>
      <c r="L187">
        <v>1</v>
      </c>
      <c r="M187">
        <v>2</v>
      </c>
      <c r="N187">
        <v>8013.3927788345336</v>
      </c>
      <c r="O187">
        <v>3</v>
      </c>
      <c r="P187">
        <v>0</v>
      </c>
      <c r="Q187">
        <v>0</v>
      </c>
      <c r="R187">
        <v>1</v>
      </c>
      <c r="S187">
        <v>1</v>
      </c>
      <c r="T187">
        <v>1057</v>
      </c>
      <c r="U187">
        <v>2</v>
      </c>
    </row>
    <row r="188" spans="1:21" x14ac:dyDescent="0.45">
      <c r="A188">
        <v>274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5</v>
      </c>
      <c r="H188">
        <v>3</v>
      </c>
      <c r="I188">
        <v>2</v>
      </c>
      <c r="J188">
        <v>0</v>
      </c>
      <c r="K188">
        <v>0</v>
      </c>
      <c r="L188">
        <v>0</v>
      </c>
      <c r="M188">
        <v>1</v>
      </c>
      <c r="N188">
        <v>7723.3490835672646</v>
      </c>
      <c r="O188">
        <v>2</v>
      </c>
      <c r="P188">
        <v>0</v>
      </c>
      <c r="Q188">
        <v>0</v>
      </c>
      <c r="R188">
        <v>3</v>
      </c>
      <c r="S188">
        <v>1</v>
      </c>
      <c r="T188">
        <v>119</v>
      </c>
      <c r="U188">
        <v>1</v>
      </c>
    </row>
    <row r="189" spans="1:21" x14ac:dyDescent="0.45">
      <c r="A189">
        <v>275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2</v>
      </c>
      <c r="I189">
        <v>10</v>
      </c>
      <c r="J189">
        <v>1</v>
      </c>
      <c r="K189">
        <v>4</v>
      </c>
      <c r="L189">
        <v>1</v>
      </c>
      <c r="M189">
        <v>5</v>
      </c>
      <c r="N189">
        <v>8954.4800350707283</v>
      </c>
      <c r="O189">
        <v>4</v>
      </c>
      <c r="P189">
        <v>0</v>
      </c>
      <c r="Q189">
        <v>1</v>
      </c>
      <c r="R189">
        <v>0</v>
      </c>
      <c r="S189">
        <v>1</v>
      </c>
      <c r="T189">
        <v>565</v>
      </c>
      <c r="U189">
        <v>2</v>
      </c>
    </row>
    <row r="190" spans="1:21" x14ac:dyDescent="0.45">
      <c r="A190">
        <v>276</v>
      </c>
      <c r="B190">
        <v>0</v>
      </c>
      <c r="C190">
        <v>0</v>
      </c>
      <c r="D190">
        <v>2</v>
      </c>
      <c r="E190">
        <v>3</v>
      </c>
      <c r="F190">
        <v>3</v>
      </c>
      <c r="G190">
        <v>7</v>
      </c>
      <c r="H190">
        <v>4</v>
      </c>
      <c r="I190">
        <v>6</v>
      </c>
      <c r="J190">
        <v>2</v>
      </c>
      <c r="K190">
        <v>0</v>
      </c>
      <c r="L190">
        <v>0</v>
      </c>
      <c r="M190">
        <v>12</v>
      </c>
      <c r="N190">
        <v>6802.0132502442011</v>
      </c>
      <c r="O190">
        <v>1</v>
      </c>
      <c r="P190">
        <v>0</v>
      </c>
      <c r="Q190">
        <v>0</v>
      </c>
      <c r="R190">
        <v>2</v>
      </c>
      <c r="S190">
        <v>1</v>
      </c>
      <c r="T190">
        <v>44</v>
      </c>
      <c r="U190">
        <v>1</v>
      </c>
    </row>
    <row r="191" spans="1:21" x14ac:dyDescent="0.45">
      <c r="A191">
        <v>277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9</v>
      </c>
      <c r="J191">
        <v>0</v>
      </c>
      <c r="K191">
        <v>2</v>
      </c>
      <c r="L191">
        <v>0</v>
      </c>
      <c r="M191">
        <v>5</v>
      </c>
      <c r="N191">
        <v>8094.3736734579597</v>
      </c>
      <c r="O191">
        <v>3</v>
      </c>
      <c r="P191">
        <v>0</v>
      </c>
      <c r="Q191">
        <v>0</v>
      </c>
      <c r="R191">
        <v>1</v>
      </c>
      <c r="S191">
        <v>2</v>
      </c>
      <c r="T191">
        <v>1704</v>
      </c>
      <c r="U191">
        <v>3</v>
      </c>
    </row>
    <row r="192" spans="1:21" x14ac:dyDescent="0.45">
      <c r="A192">
        <v>278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4</v>
      </c>
      <c r="I192">
        <v>8</v>
      </c>
      <c r="J192">
        <v>0</v>
      </c>
      <c r="K192">
        <v>1</v>
      </c>
      <c r="L192">
        <v>0</v>
      </c>
      <c r="M192">
        <v>6</v>
      </c>
      <c r="N192">
        <v>7991.9618062245763</v>
      </c>
      <c r="O192">
        <v>3</v>
      </c>
      <c r="P192">
        <v>0</v>
      </c>
      <c r="Q192">
        <v>0</v>
      </c>
      <c r="R192">
        <v>1</v>
      </c>
      <c r="S192">
        <v>4</v>
      </c>
      <c r="T192">
        <v>1738</v>
      </c>
      <c r="U192">
        <v>3</v>
      </c>
    </row>
    <row r="193" spans="1:21" x14ac:dyDescent="0.45">
      <c r="A193">
        <v>279</v>
      </c>
      <c r="B193">
        <v>0</v>
      </c>
      <c r="C193">
        <v>0</v>
      </c>
      <c r="D193">
        <v>0</v>
      </c>
      <c r="E193">
        <v>3</v>
      </c>
      <c r="F193">
        <v>2</v>
      </c>
      <c r="G193">
        <v>4</v>
      </c>
      <c r="H193">
        <v>5</v>
      </c>
      <c r="I193">
        <v>19</v>
      </c>
      <c r="J193">
        <v>1</v>
      </c>
      <c r="K193">
        <v>6</v>
      </c>
      <c r="L193">
        <v>2</v>
      </c>
      <c r="M193">
        <v>16</v>
      </c>
      <c r="N193">
        <v>3380.278651889038</v>
      </c>
      <c r="O193">
        <v>2</v>
      </c>
      <c r="P193">
        <v>0</v>
      </c>
      <c r="Q193">
        <v>0</v>
      </c>
      <c r="R193">
        <v>3</v>
      </c>
      <c r="S193">
        <v>2</v>
      </c>
      <c r="T193">
        <v>611</v>
      </c>
      <c r="U193">
        <v>1</v>
      </c>
    </row>
    <row r="194" spans="1:21" x14ac:dyDescent="0.45">
      <c r="A194">
        <v>280</v>
      </c>
      <c r="B194">
        <v>0</v>
      </c>
      <c r="C194">
        <v>0</v>
      </c>
      <c r="D194">
        <v>0</v>
      </c>
      <c r="E194">
        <v>3</v>
      </c>
      <c r="F194">
        <v>2</v>
      </c>
      <c r="G194">
        <v>4</v>
      </c>
      <c r="H194">
        <v>5</v>
      </c>
      <c r="I194">
        <v>19</v>
      </c>
      <c r="J194">
        <v>1</v>
      </c>
      <c r="K194">
        <v>6</v>
      </c>
      <c r="L194">
        <v>2</v>
      </c>
      <c r="M194">
        <v>16</v>
      </c>
      <c r="N194">
        <v>3477.630221732778</v>
      </c>
      <c r="O194">
        <v>3</v>
      </c>
      <c r="P194">
        <v>1</v>
      </c>
      <c r="Q194">
        <v>1</v>
      </c>
      <c r="R194">
        <v>3</v>
      </c>
      <c r="S194">
        <v>7</v>
      </c>
      <c r="T194">
        <v>3134</v>
      </c>
      <c r="U194">
        <v>4</v>
      </c>
    </row>
    <row r="195" spans="1:21" x14ac:dyDescent="0.45">
      <c r="A195">
        <v>281</v>
      </c>
      <c r="B195">
        <v>0</v>
      </c>
      <c r="C195">
        <v>0</v>
      </c>
      <c r="D195">
        <v>0</v>
      </c>
      <c r="E195">
        <v>3</v>
      </c>
      <c r="F195">
        <v>2</v>
      </c>
      <c r="G195">
        <v>4</v>
      </c>
      <c r="H195">
        <v>5</v>
      </c>
      <c r="I195">
        <v>19</v>
      </c>
      <c r="J195">
        <v>1</v>
      </c>
      <c r="K195">
        <v>6</v>
      </c>
      <c r="L195">
        <v>2</v>
      </c>
      <c r="M195">
        <v>16</v>
      </c>
      <c r="N195">
        <v>3477.630221732778</v>
      </c>
      <c r="O195">
        <v>3</v>
      </c>
      <c r="P195">
        <v>0</v>
      </c>
      <c r="Q195">
        <v>1</v>
      </c>
      <c r="R195">
        <v>3</v>
      </c>
      <c r="S195">
        <v>2</v>
      </c>
      <c r="T195">
        <v>253</v>
      </c>
      <c r="U195">
        <v>1</v>
      </c>
    </row>
    <row r="196" spans="1:21" x14ac:dyDescent="0.45">
      <c r="A196">
        <v>282</v>
      </c>
      <c r="B196">
        <v>0</v>
      </c>
      <c r="C196">
        <v>0</v>
      </c>
      <c r="D196">
        <v>0</v>
      </c>
      <c r="E196">
        <v>3</v>
      </c>
      <c r="F196">
        <v>2</v>
      </c>
      <c r="G196">
        <v>3</v>
      </c>
      <c r="H196">
        <v>4</v>
      </c>
      <c r="I196">
        <v>15</v>
      </c>
      <c r="J196">
        <v>0</v>
      </c>
      <c r="K196">
        <v>6</v>
      </c>
      <c r="L196">
        <v>2</v>
      </c>
      <c r="M196">
        <v>13</v>
      </c>
      <c r="N196">
        <v>3477.630221732778</v>
      </c>
      <c r="O196">
        <v>3</v>
      </c>
      <c r="P196">
        <v>1</v>
      </c>
      <c r="Q196">
        <v>1</v>
      </c>
      <c r="R196">
        <v>3</v>
      </c>
      <c r="S196">
        <v>2</v>
      </c>
      <c r="T196">
        <v>458</v>
      </c>
      <c r="U196">
        <v>2</v>
      </c>
    </row>
    <row r="197" spans="1:21" x14ac:dyDescent="0.45">
      <c r="A197">
        <v>283</v>
      </c>
      <c r="B197">
        <v>0</v>
      </c>
      <c r="C197">
        <v>0</v>
      </c>
      <c r="D197">
        <v>0</v>
      </c>
      <c r="E197">
        <v>3</v>
      </c>
      <c r="F197">
        <v>2</v>
      </c>
      <c r="G197">
        <v>2</v>
      </c>
      <c r="H197">
        <v>4</v>
      </c>
      <c r="I197">
        <v>15</v>
      </c>
      <c r="J197">
        <v>0</v>
      </c>
      <c r="K197">
        <v>3</v>
      </c>
      <c r="L197">
        <v>1</v>
      </c>
      <c r="M197">
        <v>14</v>
      </c>
      <c r="N197">
        <v>3596.7182220602499</v>
      </c>
      <c r="O197">
        <v>3</v>
      </c>
      <c r="P197">
        <v>1</v>
      </c>
      <c r="Q197">
        <v>1</v>
      </c>
      <c r="R197">
        <v>3</v>
      </c>
      <c r="S197">
        <v>2</v>
      </c>
      <c r="T197">
        <v>782</v>
      </c>
      <c r="U197">
        <v>2</v>
      </c>
    </row>
    <row r="198" spans="1:21" x14ac:dyDescent="0.45">
      <c r="A198">
        <v>284</v>
      </c>
      <c r="B198">
        <v>0</v>
      </c>
      <c r="C198">
        <v>0</v>
      </c>
      <c r="D198">
        <v>0</v>
      </c>
      <c r="E198">
        <v>3</v>
      </c>
      <c r="F198">
        <v>2</v>
      </c>
      <c r="G198">
        <v>3</v>
      </c>
      <c r="H198">
        <v>4</v>
      </c>
      <c r="I198">
        <v>15</v>
      </c>
      <c r="J198">
        <v>0</v>
      </c>
      <c r="K198">
        <v>6</v>
      </c>
      <c r="L198">
        <v>2</v>
      </c>
      <c r="M198">
        <v>13</v>
      </c>
      <c r="N198">
        <v>3530.8984423414558</v>
      </c>
      <c r="O198">
        <v>3</v>
      </c>
      <c r="P198">
        <v>1</v>
      </c>
      <c r="Q198">
        <v>1</v>
      </c>
      <c r="R198">
        <v>3</v>
      </c>
      <c r="S198">
        <v>3</v>
      </c>
      <c r="T198">
        <v>342</v>
      </c>
      <c r="U198">
        <v>1</v>
      </c>
    </row>
    <row r="199" spans="1:21" x14ac:dyDescent="0.45">
      <c r="A199">
        <v>285</v>
      </c>
      <c r="B199">
        <v>0</v>
      </c>
      <c r="C199">
        <v>0</v>
      </c>
      <c r="D199">
        <v>0</v>
      </c>
      <c r="E199">
        <v>3</v>
      </c>
      <c r="F199">
        <v>2</v>
      </c>
      <c r="G199">
        <v>3</v>
      </c>
      <c r="H199">
        <v>4</v>
      </c>
      <c r="I199">
        <v>15</v>
      </c>
      <c r="J199">
        <v>0</v>
      </c>
      <c r="K199">
        <v>6</v>
      </c>
      <c r="L199">
        <v>2</v>
      </c>
      <c r="M199">
        <v>13</v>
      </c>
      <c r="N199">
        <v>3477.630221732778</v>
      </c>
      <c r="O199">
        <v>3</v>
      </c>
      <c r="P199">
        <v>1</v>
      </c>
      <c r="Q199">
        <v>1</v>
      </c>
      <c r="R199">
        <v>3</v>
      </c>
      <c r="S199">
        <v>2</v>
      </c>
      <c r="T199">
        <v>204</v>
      </c>
      <c r="U199">
        <v>1</v>
      </c>
    </row>
    <row r="200" spans="1:21" x14ac:dyDescent="0.45">
      <c r="A200">
        <v>286</v>
      </c>
      <c r="B200">
        <v>0</v>
      </c>
      <c r="C200">
        <v>0</v>
      </c>
      <c r="D200">
        <v>0</v>
      </c>
      <c r="E200">
        <v>3</v>
      </c>
      <c r="F200">
        <v>2</v>
      </c>
      <c r="G200">
        <v>2</v>
      </c>
      <c r="H200">
        <v>4</v>
      </c>
      <c r="I200">
        <v>15</v>
      </c>
      <c r="J200">
        <v>0</v>
      </c>
      <c r="K200">
        <v>3</v>
      </c>
      <c r="L200">
        <v>1</v>
      </c>
      <c r="M200">
        <v>14</v>
      </c>
      <c r="N200">
        <v>3596.7182220602499</v>
      </c>
      <c r="O200">
        <v>3</v>
      </c>
      <c r="P200">
        <v>1</v>
      </c>
      <c r="Q200">
        <v>1</v>
      </c>
      <c r="R200">
        <v>3</v>
      </c>
      <c r="S200">
        <v>1</v>
      </c>
      <c r="T200">
        <v>311</v>
      </c>
      <c r="U200">
        <v>1</v>
      </c>
    </row>
    <row r="201" spans="1:21" x14ac:dyDescent="0.45">
      <c r="A201">
        <v>287</v>
      </c>
      <c r="B201">
        <v>0</v>
      </c>
      <c r="C201">
        <v>0</v>
      </c>
      <c r="D201">
        <v>0</v>
      </c>
      <c r="E201">
        <v>3</v>
      </c>
      <c r="F201">
        <v>2</v>
      </c>
      <c r="G201">
        <v>2</v>
      </c>
      <c r="H201">
        <v>4</v>
      </c>
      <c r="I201">
        <v>15</v>
      </c>
      <c r="J201">
        <v>0</v>
      </c>
      <c r="K201">
        <v>3</v>
      </c>
      <c r="L201">
        <v>1</v>
      </c>
      <c r="M201">
        <v>14</v>
      </c>
      <c r="N201">
        <v>3921.558566983942</v>
      </c>
      <c r="O201">
        <v>3</v>
      </c>
      <c r="P201">
        <v>0</v>
      </c>
      <c r="Q201">
        <v>1</v>
      </c>
      <c r="R201">
        <v>3</v>
      </c>
      <c r="S201">
        <v>2</v>
      </c>
      <c r="T201">
        <v>582</v>
      </c>
      <c r="U201">
        <v>1</v>
      </c>
    </row>
    <row r="202" spans="1:21" x14ac:dyDescent="0.45">
      <c r="A202">
        <v>288</v>
      </c>
      <c r="B202">
        <v>0</v>
      </c>
      <c r="C202">
        <v>0</v>
      </c>
      <c r="D202">
        <v>0</v>
      </c>
      <c r="E202">
        <v>3</v>
      </c>
      <c r="F202">
        <v>2</v>
      </c>
      <c r="G202">
        <v>2</v>
      </c>
      <c r="H202">
        <v>4</v>
      </c>
      <c r="I202">
        <v>15</v>
      </c>
      <c r="J202">
        <v>0</v>
      </c>
      <c r="K202">
        <v>3</v>
      </c>
      <c r="L202">
        <v>1</v>
      </c>
      <c r="M202">
        <v>14</v>
      </c>
      <c r="N202">
        <v>3669.804283695812</v>
      </c>
      <c r="O202">
        <v>3</v>
      </c>
      <c r="P202">
        <v>0</v>
      </c>
      <c r="Q202">
        <v>1</v>
      </c>
      <c r="R202">
        <v>3</v>
      </c>
      <c r="S202">
        <v>1</v>
      </c>
      <c r="T202">
        <v>124</v>
      </c>
      <c r="U202">
        <v>2</v>
      </c>
    </row>
    <row r="203" spans="1:21" x14ac:dyDescent="0.45">
      <c r="A203">
        <v>289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5</v>
      </c>
      <c r="J203">
        <v>0</v>
      </c>
      <c r="K203">
        <v>2</v>
      </c>
      <c r="L203">
        <v>0</v>
      </c>
      <c r="M203">
        <v>7</v>
      </c>
      <c r="N203">
        <v>3921.558566983942</v>
      </c>
      <c r="O203">
        <v>3</v>
      </c>
      <c r="P203">
        <v>0</v>
      </c>
      <c r="Q203">
        <v>1</v>
      </c>
      <c r="R203">
        <v>3</v>
      </c>
      <c r="S203">
        <v>1</v>
      </c>
      <c r="T203">
        <v>447</v>
      </c>
      <c r="U203">
        <v>1</v>
      </c>
    </row>
    <row r="204" spans="1:21" x14ac:dyDescent="0.45">
      <c r="A204">
        <v>290</v>
      </c>
      <c r="B204">
        <v>0</v>
      </c>
      <c r="C204">
        <v>0</v>
      </c>
      <c r="D204">
        <v>0</v>
      </c>
      <c r="E204">
        <v>3</v>
      </c>
      <c r="F204">
        <v>2</v>
      </c>
      <c r="G204">
        <v>2</v>
      </c>
      <c r="H204">
        <v>4</v>
      </c>
      <c r="I204">
        <v>15</v>
      </c>
      <c r="J204">
        <v>0</v>
      </c>
      <c r="K204">
        <v>3</v>
      </c>
      <c r="L204">
        <v>1</v>
      </c>
      <c r="M204">
        <v>14</v>
      </c>
      <c r="N204">
        <v>3596.7182220602499</v>
      </c>
      <c r="O204">
        <v>3</v>
      </c>
      <c r="P204">
        <v>1</v>
      </c>
      <c r="Q204">
        <v>1</v>
      </c>
      <c r="R204">
        <v>3</v>
      </c>
      <c r="S204">
        <v>2</v>
      </c>
      <c r="T204">
        <v>1069</v>
      </c>
      <c r="U204">
        <v>3</v>
      </c>
    </row>
    <row r="205" spans="1:21" x14ac:dyDescent="0.45">
      <c r="A205">
        <v>291</v>
      </c>
      <c r="B205">
        <v>0</v>
      </c>
      <c r="C205">
        <v>0</v>
      </c>
      <c r="D205">
        <v>0</v>
      </c>
      <c r="E205">
        <v>2</v>
      </c>
      <c r="F205">
        <v>2</v>
      </c>
      <c r="G205">
        <v>1</v>
      </c>
      <c r="H205">
        <v>1</v>
      </c>
      <c r="I205">
        <v>6</v>
      </c>
      <c r="J205">
        <v>0</v>
      </c>
      <c r="K205">
        <v>1</v>
      </c>
      <c r="L205">
        <v>1</v>
      </c>
      <c r="M205">
        <v>9</v>
      </c>
      <c r="N205">
        <v>3606.6425970683699</v>
      </c>
      <c r="O205">
        <v>3</v>
      </c>
      <c r="P205">
        <v>0</v>
      </c>
      <c r="Q205">
        <v>1</v>
      </c>
      <c r="R205">
        <v>3</v>
      </c>
      <c r="S205">
        <v>2</v>
      </c>
      <c r="T205">
        <v>63</v>
      </c>
      <c r="U205">
        <v>1</v>
      </c>
    </row>
    <row r="206" spans="1:21" x14ac:dyDescent="0.45">
      <c r="A206">
        <v>292</v>
      </c>
      <c r="B206">
        <v>0</v>
      </c>
      <c r="C206">
        <v>0</v>
      </c>
      <c r="D206">
        <v>0</v>
      </c>
      <c r="E206">
        <v>2</v>
      </c>
      <c r="F206">
        <v>2</v>
      </c>
      <c r="G206">
        <v>1</v>
      </c>
      <c r="H206">
        <v>1</v>
      </c>
      <c r="I206">
        <v>6</v>
      </c>
      <c r="J206">
        <v>0</v>
      </c>
      <c r="K206">
        <v>1</v>
      </c>
      <c r="L206">
        <v>1</v>
      </c>
      <c r="M206">
        <v>9</v>
      </c>
      <c r="N206">
        <v>3977.9395652559028</v>
      </c>
      <c r="O206">
        <v>3</v>
      </c>
      <c r="P206">
        <v>1</v>
      </c>
      <c r="Q206">
        <v>1</v>
      </c>
      <c r="R206">
        <v>3</v>
      </c>
      <c r="S206">
        <v>7</v>
      </c>
      <c r="T206">
        <v>2591</v>
      </c>
      <c r="U206">
        <v>4</v>
      </c>
    </row>
    <row r="207" spans="1:21" x14ac:dyDescent="0.45">
      <c r="A207">
        <v>293</v>
      </c>
      <c r="B207">
        <v>0</v>
      </c>
      <c r="C207">
        <v>0</v>
      </c>
      <c r="D207">
        <v>0</v>
      </c>
      <c r="E207">
        <v>3</v>
      </c>
      <c r="F207">
        <v>2</v>
      </c>
      <c r="G207">
        <v>3</v>
      </c>
      <c r="H207">
        <v>1</v>
      </c>
      <c r="I207">
        <v>8</v>
      </c>
      <c r="J207">
        <v>0</v>
      </c>
      <c r="K207">
        <v>1</v>
      </c>
      <c r="L207">
        <v>1</v>
      </c>
      <c r="M207">
        <v>10</v>
      </c>
      <c r="N207">
        <v>3470.787077817623</v>
      </c>
      <c r="O207">
        <v>3</v>
      </c>
      <c r="P207">
        <v>1</v>
      </c>
      <c r="Q207">
        <v>1</v>
      </c>
      <c r="R207">
        <v>3</v>
      </c>
      <c r="S207">
        <v>2</v>
      </c>
      <c r="T207">
        <v>162</v>
      </c>
      <c r="U207">
        <v>2</v>
      </c>
    </row>
    <row r="208" spans="1:21" x14ac:dyDescent="0.45">
      <c r="A208">
        <v>294</v>
      </c>
      <c r="B208">
        <v>0</v>
      </c>
      <c r="C208">
        <v>0</v>
      </c>
      <c r="D208">
        <v>0</v>
      </c>
      <c r="E208">
        <v>3</v>
      </c>
      <c r="F208">
        <v>2</v>
      </c>
      <c r="G208">
        <v>3</v>
      </c>
      <c r="H208">
        <v>1</v>
      </c>
      <c r="I208">
        <v>8</v>
      </c>
      <c r="J208">
        <v>0</v>
      </c>
      <c r="K208">
        <v>1</v>
      </c>
      <c r="L208">
        <v>1</v>
      </c>
      <c r="M208">
        <v>10</v>
      </c>
      <c r="N208">
        <v>3470.787077817623</v>
      </c>
      <c r="O208">
        <v>3</v>
      </c>
      <c r="P208">
        <v>1</v>
      </c>
      <c r="Q208">
        <v>1</v>
      </c>
      <c r="R208">
        <v>3</v>
      </c>
      <c r="S208">
        <v>1</v>
      </c>
      <c r="T208">
        <v>117</v>
      </c>
      <c r="U208">
        <v>1</v>
      </c>
    </row>
    <row r="209" spans="1:21" x14ac:dyDescent="0.45">
      <c r="A209">
        <v>295</v>
      </c>
      <c r="B209">
        <v>0</v>
      </c>
      <c r="C209">
        <v>0</v>
      </c>
      <c r="D209">
        <v>0</v>
      </c>
      <c r="E209">
        <v>2</v>
      </c>
      <c r="F209">
        <v>2</v>
      </c>
      <c r="G209">
        <v>1</v>
      </c>
      <c r="H209">
        <v>1</v>
      </c>
      <c r="I209">
        <v>6</v>
      </c>
      <c r="J209">
        <v>0</v>
      </c>
      <c r="K209">
        <v>1</v>
      </c>
      <c r="L209">
        <v>1</v>
      </c>
      <c r="M209">
        <v>9</v>
      </c>
      <c r="N209">
        <v>3606.6425970683699</v>
      </c>
      <c r="O209">
        <v>3</v>
      </c>
      <c r="P209">
        <v>1</v>
      </c>
      <c r="Q209">
        <v>1</v>
      </c>
      <c r="R209">
        <v>3</v>
      </c>
      <c r="S209">
        <v>2</v>
      </c>
      <c r="T209">
        <v>176</v>
      </c>
      <c r="U209">
        <v>3</v>
      </c>
    </row>
    <row r="210" spans="1:21" x14ac:dyDescent="0.45">
      <c r="A210">
        <v>297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3</v>
      </c>
      <c r="L210">
        <v>0</v>
      </c>
      <c r="M210">
        <v>2</v>
      </c>
      <c r="N210">
        <v>4793.0777203839516</v>
      </c>
      <c r="O210">
        <v>3</v>
      </c>
      <c r="P210">
        <v>1</v>
      </c>
      <c r="Q210">
        <v>0</v>
      </c>
      <c r="R210">
        <v>4</v>
      </c>
      <c r="S210">
        <v>3</v>
      </c>
      <c r="T210">
        <v>510</v>
      </c>
      <c r="U210">
        <v>1</v>
      </c>
    </row>
    <row r="211" spans="1:21" x14ac:dyDescent="0.45">
      <c r="A211">
        <v>298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3</v>
      </c>
      <c r="L211">
        <v>0</v>
      </c>
      <c r="M211">
        <v>2</v>
      </c>
      <c r="N211">
        <v>4700.3274697332454</v>
      </c>
      <c r="O211">
        <v>3</v>
      </c>
      <c r="P211">
        <v>1</v>
      </c>
      <c r="Q211">
        <v>0</v>
      </c>
      <c r="R211">
        <v>4</v>
      </c>
      <c r="S211">
        <v>3</v>
      </c>
      <c r="T211">
        <v>1736</v>
      </c>
      <c r="U211">
        <v>2</v>
      </c>
    </row>
    <row r="212" spans="1:21" x14ac:dyDescent="0.45">
      <c r="A212">
        <v>299</v>
      </c>
      <c r="B212">
        <v>0</v>
      </c>
      <c r="C212">
        <v>0</v>
      </c>
      <c r="D212">
        <v>2</v>
      </c>
      <c r="E212">
        <v>2</v>
      </c>
      <c r="F212">
        <v>0</v>
      </c>
      <c r="G212">
        <v>1</v>
      </c>
      <c r="H212">
        <v>2</v>
      </c>
      <c r="I212">
        <v>1</v>
      </c>
      <c r="J212">
        <v>0</v>
      </c>
      <c r="K212">
        <v>1</v>
      </c>
      <c r="L212">
        <v>0</v>
      </c>
      <c r="M212">
        <v>14</v>
      </c>
      <c r="N212">
        <v>6213.505643989185</v>
      </c>
      <c r="O212">
        <v>2</v>
      </c>
      <c r="P212">
        <v>0</v>
      </c>
      <c r="Q212">
        <v>0</v>
      </c>
      <c r="R212">
        <v>1</v>
      </c>
      <c r="S212">
        <v>1</v>
      </c>
      <c r="T212">
        <v>381</v>
      </c>
      <c r="U212">
        <v>1</v>
      </c>
    </row>
    <row r="213" spans="1:21" x14ac:dyDescent="0.45">
      <c r="A213">
        <v>300</v>
      </c>
      <c r="B213">
        <v>0</v>
      </c>
      <c r="C213">
        <v>0</v>
      </c>
      <c r="D213">
        <v>2</v>
      </c>
      <c r="E213">
        <v>3</v>
      </c>
      <c r="F213">
        <v>0</v>
      </c>
      <c r="G213">
        <v>1</v>
      </c>
      <c r="H213">
        <v>3</v>
      </c>
      <c r="I213">
        <v>2</v>
      </c>
      <c r="J213">
        <v>0</v>
      </c>
      <c r="K213">
        <v>9</v>
      </c>
      <c r="L213">
        <v>0</v>
      </c>
      <c r="M213">
        <v>11</v>
      </c>
      <c r="N213">
        <v>6027.76220128553</v>
      </c>
      <c r="O213">
        <v>2</v>
      </c>
      <c r="P213">
        <v>0</v>
      </c>
      <c r="Q213">
        <v>1</v>
      </c>
      <c r="R213">
        <v>1</v>
      </c>
      <c r="S213">
        <v>2</v>
      </c>
      <c r="T213">
        <v>874</v>
      </c>
      <c r="U213">
        <v>4</v>
      </c>
    </row>
    <row r="214" spans="1:21" x14ac:dyDescent="0.45">
      <c r="A214">
        <v>301</v>
      </c>
      <c r="B214">
        <v>0</v>
      </c>
      <c r="C214">
        <v>0</v>
      </c>
      <c r="D214">
        <v>1</v>
      </c>
      <c r="E214">
        <v>2</v>
      </c>
      <c r="F214">
        <v>1</v>
      </c>
      <c r="G214">
        <v>3</v>
      </c>
      <c r="H214">
        <v>1</v>
      </c>
      <c r="I214">
        <v>11</v>
      </c>
      <c r="J214">
        <v>0</v>
      </c>
      <c r="K214">
        <v>3</v>
      </c>
      <c r="L214">
        <v>0</v>
      </c>
      <c r="M214">
        <v>15</v>
      </c>
      <c r="N214">
        <v>6085.1754849633926</v>
      </c>
      <c r="O214">
        <v>4</v>
      </c>
      <c r="P214">
        <v>0</v>
      </c>
      <c r="Q214">
        <v>1</v>
      </c>
      <c r="R214">
        <v>3</v>
      </c>
      <c r="S214">
        <v>5</v>
      </c>
      <c r="T214">
        <v>713</v>
      </c>
      <c r="U214">
        <v>1</v>
      </c>
    </row>
    <row r="215" spans="1:21" x14ac:dyDescent="0.45">
      <c r="A215">
        <v>302</v>
      </c>
      <c r="B215">
        <v>0</v>
      </c>
      <c r="C215">
        <v>0</v>
      </c>
      <c r="D215">
        <v>3</v>
      </c>
      <c r="E215">
        <v>4</v>
      </c>
      <c r="F215">
        <v>0</v>
      </c>
      <c r="G215">
        <v>6</v>
      </c>
      <c r="H215">
        <v>9</v>
      </c>
      <c r="I215">
        <v>7</v>
      </c>
      <c r="J215">
        <v>0</v>
      </c>
      <c r="K215">
        <v>12</v>
      </c>
      <c r="L215">
        <v>0</v>
      </c>
      <c r="M215">
        <v>14</v>
      </c>
      <c r="N215">
        <v>6220.0196589227226</v>
      </c>
      <c r="O215">
        <v>3</v>
      </c>
      <c r="P215">
        <v>0</v>
      </c>
      <c r="Q215">
        <v>1</v>
      </c>
      <c r="R215">
        <v>3</v>
      </c>
      <c r="S215">
        <v>4</v>
      </c>
      <c r="T215">
        <v>876</v>
      </c>
      <c r="U215">
        <v>3</v>
      </c>
    </row>
    <row r="216" spans="1:21" x14ac:dyDescent="0.45">
      <c r="A216">
        <v>303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</v>
      </c>
      <c r="J216">
        <v>0</v>
      </c>
      <c r="K216">
        <v>5</v>
      </c>
      <c r="L216">
        <v>0</v>
      </c>
      <c r="M216">
        <v>10</v>
      </c>
      <c r="N216">
        <v>4258.653268264341</v>
      </c>
      <c r="O216">
        <v>3</v>
      </c>
      <c r="P216">
        <v>0</v>
      </c>
      <c r="Q216">
        <v>0</v>
      </c>
      <c r="R216">
        <v>1</v>
      </c>
      <c r="S216">
        <v>1</v>
      </c>
      <c r="T216">
        <v>400</v>
      </c>
      <c r="U216">
        <v>4</v>
      </c>
    </row>
    <row r="217" spans="1:21" x14ac:dyDescent="0.45">
      <c r="A217">
        <v>304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6</v>
      </c>
      <c r="J217">
        <v>0</v>
      </c>
      <c r="K217">
        <v>3</v>
      </c>
      <c r="L217">
        <v>0</v>
      </c>
      <c r="M217">
        <v>9</v>
      </c>
      <c r="N217">
        <v>4813.6429711208984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413</v>
      </c>
      <c r="U217">
        <v>1</v>
      </c>
    </row>
    <row r="218" spans="1:21" x14ac:dyDescent="0.45">
      <c r="A218">
        <v>305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2</v>
      </c>
      <c r="I218">
        <v>5</v>
      </c>
      <c r="J218">
        <v>0</v>
      </c>
      <c r="K218">
        <v>5</v>
      </c>
      <c r="L218">
        <v>2</v>
      </c>
      <c r="M218">
        <v>12</v>
      </c>
      <c r="N218">
        <v>5370.8467591039634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395</v>
      </c>
      <c r="U218">
        <v>1</v>
      </c>
    </row>
    <row r="219" spans="1:21" x14ac:dyDescent="0.45">
      <c r="A219">
        <v>306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7</v>
      </c>
      <c r="H219">
        <v>7</v>
      </c>
      <c r="I219">
        <v>17</v>
      </c>
      <c r="J219">
        <v>0</v>
      </c>
      <c r="K219">
        <v>8</v>
      </c>
      <c r="L219">
        <v>0</v>
      </c>
      <c r="M219">
        <v>15</v>
      </c>
      <c r="N219">
        <v>5900.6608640136355</v>
      </c>
      <c r="O219">
        <v>1</v>
      </c>
      <c r="P219">
        <v>1</v>
      </c>
      <c r="Q219">
        <v>1</v>
      </c>
      <c r="R219">
        <v>3</v>
      </c>
      <c r="S219">
        <v>3</v>
      </c>
      <c r="T219">
        <v>468</v>
      </c>
      <c r="U219">
        <v>1</v>
      </c>
    </row>
    <row r="220" spans="1:21" x14ac:dyDescent="0.45">
      <c r="A220">
        <v>307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7</v>
      </c>
      <c r="H220">
        <v>7</v>
      </c>
      <c r="I220">
        <v>17</v>
      </c>
      <c r="J220">
        <v>0</v>
      </c>
      <c r="K220">
        <v>8</v>
      </c>
      <c r="L220">
        <v>0</v>
      </c>
      <c r="M220">
        <v>15</v>
      </c>
      <c r="N220">
        <v>5738.60419148238</v>
      </c>
      <c r="O220">
        <v>3</v>
      </c>
      <c r="P220">
        <v>1</v>
      </c>
      <c r="Q220">
        <v>1</v>
      </c>
      <c r="R220">
        <v>3</v>
      </c>
      <c r="S220">
        <v>5</v>
      </c>
      <c r="T220">
        <v>1491</v>
      </c>
      <c r="U220">
        <v>2</v>
      </c>
    </row>
    <row r="221" spans="1:21" x14ac:dyDescent="0.45">
      <c r="A221">
        <v>308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2</v>
      </c>
      <c r="L221">
        <v>0</v>
      </c>
      <c r="M221">
        <v>4</v>
      </c>
      <c r="N221">
        <v>5370.1222843231362</v>
      </c>
      <c r="O221">
        <v>3</v>
      </c>
      <c r="P221">
        <v>0</v>
      </c>
      <c r="Q221">
        <v>1</v>
      </c>
      <c r="R221">
        <v>3</v>
      </c>
      <c r="S221">
        <v>5</v>
      </c>
      <c r="T221">
        <v>463</v>
      </c>
      <c r="U221">
        <v>1</v>
      </c>
    </row>
    <row r="222" spans="1:21" x14ac:dyDescent="0.45">
      <c r="A222">
        <v>309</v>
      </c>
      <c r="B222">
        <v>0</v>
      </c>
      <c r="C222">
        <v>1</v>
      </c>
      <c r="D222">
        <v>2</v>
      </c>
      <c r="E222">
        <v>2</v>
      </c>
      <c r="F222">
        <v>0</v>
      </c>
      <c r="G222">
        <v>4</v>
      </c>
      <c r="H222">
        <v>5</v>
      </c>
      <c r="I222">
        <v>6</v>
      </c>
      <c r="J222">
        <v>0</v>
      </c>
      <c r="K222">
        <v>1</v>
      </c>
      <c r="L222">
        <v>0</v>
      </c>
      <c r="M222">
        <v>20</v>
      </c>
      <c r="N222">
        <v>8702.3839541936868</v>
      </c>
      <c r="O222">
        <v>1</v>
      </c>
      <c r="P222">
        <v>0</v>
      </c>
      <c r="Q222">
        <v>1</v>
      </c>
      <c r="R222">
        <v>4</v>
      </c>
      <c r="S222">
        <v>2</v>
      </c>
      <c r="T222">
        <v>144</v>
      </c>
      <c r="U222">
        <v>1</v>
      </c>
    </row>
    <row r="223" spans="1:21" x14ac:dyDescent="0.45">
      <c r="A223">
        <v>311</v>
      </c>
      <c r="B223">
        <v>0</v>
      </c>
      <c r="C223">
        <v>1</v>
      </c>
      <c r="D223">
        <v>1</v>
      </c>
      <c r="E223">
        <v>0</v>
      </c>
      <c r="F223">
        <v>0</v>
      </c>
      <c r="G223">
        <v>4</v>
      </c>
      <c r="H223">
        <v>5</v>
      </c>
      <c r="I223">
        <v>20</v>
      </c>
      <c r="J223">
        <v>0</v>
      </c>
      <c r="K223">
        <v>1</v>
      </c>
      <c r="L223">
        <v>1</v>
      </c>
      <c r="M223">
        <v>8</v>
      </c>
      <c r="N223">
        <v>6826.4707070546037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419</v>
      </c>
      <c r="U223">
        <v>1</v>
      </c>
    </row>
    <row r="224" spans="1:21" x14ac:dyDescent="0.45">
      <c r="A224">
        <v>313</v>
      </c>
      <c r="B224">
        <v>0</v>
      </c>
      <c r="C224">
        <v>0</v>
      </c>
      <c r="D224">
        <v>1</v>
      </c>
      <c r="E224">
        <v>0</v>
      </c>
      <c r="F224">
        <v>3</v>
      </c>
      <c r="G224">
        <v>5</v>
      </c>
      <c r="H224">
        <v>9</v>
      </c>
      <c r="I224">
        <v>4</v>
      </c>
      <c r="J224">
        <v>1</v>
      </c>
      <c r="K224">
        <v>2</v>
      </c>
      <c r="L224">
        <v>1</v>
      </c>
      <c r="M224">
        <v>6</v>
      </c>
      <c r="N224">
        <v>8322.6847338748557</v>
      </c>
      <c r="O224">
        <v>1</v>
      </c>
      <c r="P224">
        <v>0</v>
      </c>
      <c r="Q224">
        <v>1</v>
      </c>
      <c r="R224">
        <v>4</v>
      </c>
      <c r="S224">
        <v>3</v>
      </c>
      <c r="T224">
        <v>645</v>
      </c>
      <c r="U224">
        <v>2</v>
      </c>
    </row>
    <row r="225" spans="1:21" x14ac:dyDescent="0.45">
      <c r="A225">
        <v>314</v>
      </c>
      <c r="B225">
        <v>0</v>
      </c>
      <c r="C225">
        <v>0</v>
      </c>
      <c r="D225">
        <v>1</v>
      </c>
      <c r="E225">
        <v>0</v>
      </c>
      <c r="F225">
        <v>3</v>
      </c>
      <c r="G225">
        <v>5</v>
      </c>
      <c r="H225">
        <v>9</v>
      </c>
      <c r="I225">
        <v>4</v>
      </c>
      <c r="J225">
        <v>1</v>
      </c>
      <c r="K225">
        <v>2</v>
      </c>
      <c r="L225">
        <v>1</v>
      </c>
      <c r="M225">
        <v>6</v>
      </c>
      <c r="N225">
        <v>8390.6373498190496</v>
      </c>
      <c r="O225">
        <v>3</v>
      </c>
      <c r="P225">
        <v>0</v>
      </c>
      <c r="Q225">
        <v>1</v>
      </c>
      <c r="R225">
        <v>4</v>
      </c>
      <c r="S225">
        <v>3</v>
      </c>
      <c r="T225">
        <v>645</v>
      </c>
      <c r="U225">
        <v>2</v>
      </c>
    </row>
    <row r="226" spans="1:21" x14ac:dyDescent="0.45">
      <c r="A226">
        <v>315</v>
      </c>
      <c r="B226">
        <v>0</v>
      </c>
      <c r="C226">
        <v>0</v>
      </c>
      <c r="D226">
        <v>1</v>
      </c>
      <c r="E226">
        <v>0</v>
      </c>
      <c r="F226">
        <v>3</v>
      </c>
      <c r="G226">
        <v>5</v>
      </c>
      <c r="H226">
        <v>9</v>
      </c>
      <c r="I226">
        <v>4</v>
      </c>
      <c r="J226">
        <v>1</v>
      </c>
      <c r="K226">
        <v>2</v>
      </c>
      <c r="L226">
        <v>1</v>
      </c>
      <c r="M226">
        <v>6</v>
      </c>
      <c r="N226">
        <v>8382.5205610261364</v>
      </c>
      <c r="O226">
        <v>3</v>
      </c>
      <c r="P226">
        <v>0</v>
      </c>
      <c r="Q226">
        <v>1</v>
      </c>
      <c r="R226">
        <v>4</v>
      </c>
      <c r="S226">
        <v>3</v>
      </c>
      <c r="T226">
        <v>645</v>
      </c>
      <c r="U226">
        <v>2</v>
      </c>
    </row>
    <row r="227" spans="1:21" x14ac:dyDescent="0.45">
      <c r="A227">
        <v>316</v>
      </c>
      <c r="B227">
        <v>0</v>
      </c>
      <c r="C227">
        <v>0</v>
      </c>
      <c r="D227">
        <v>1</v>
      </c>
      <c r="E227">
        <v>1</v>
      </c>
      <c r="F227">
        <v>3</v>
      </c>
      <c r="G227">
        <v>5</v>
      </c>
      <c r="H227">
        <v>9</v>
      </c>
      <c r="I227">
        <v>3</v>
      </c>
      <c r="J227">
        <v>0</v>
      </c>
      <c r="K227">
        <v>0</v>
      </c>
      <c r="L227">
        <v>1</v>
      </c>
      <c r="M227">
        <v>4</v>
      </c>
      <c r="N227">
        <v>9027.8123133699373</v>
      </c>
      <c r="O227">
        <v>3</v>
      </c>
      <c r="P227">
        <v>0</v>
      </c>
      <c r="Q227">
        <v>1</v>
      </c>
      <c r="R227">
        <v>3</v>
      </c>
      <c r="S227">
        <v>2</v>
      </c>
      <c r="T227">
        <v>516</v>
      </c>
      <c r="U227">
        <v>1</v>
      </c>
    </row>
    <row r="228" spans="1:21" x14ac:dyDescent="0.45">
      <c r="A228">
        <v>317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4</v>
      </c>
      <c r="H228">
        <v>6</v>
      </c>
      <c r="I228">
        <v>7</v>
      </c>
      <c r="J228">
        <v>1</v>
      </c>
      <c r="K228">
        <v>0</v>
      </c>
      <c r="L228">
        <v>0</v>
      </c>
      <c r="M228">
        <v>18</v>
      </c>
      <c r="N228">
        <v>9830.1220618451553</v>
      </c>
      <c r="O228">
        <v>1</v>
      </c>
      <c r="P228">
        <v>0</v>
      </c>
      <c r="Q228">
        <v>1</v>
      </c>
      <c r="R228">
        <v>4</v>
      </c>
      <c r="S228">
        <v>5</v>
      </c>
      <c r="T228">
        <v>762</v>
      </c>
      <c r="U228">
        <v>1</v>
      </c>
    </row>
    <row r="229" spans="1:21" x14ac:dyDescent="0.45">
      <c r="A229">
        <v>318</v>
      </c>
      <c r="B229">
        <v>0</v>
      </c>
      <c r="C229">
        <v>0</v>
      </c>
      <c r="D229">
        <v>1</v>
      </c>
      <c r="E229">
        <v>2</v>
      </c>
      <c r="F229">
        <v>1</v>
      </c>
      <c r="G229">
        <v>6</v>
      </c>
      <c r="H229">
        <v>5</v>
      </c>
      <c r="I229">
        <v>1</v>
      </c>
      <c r="J229">
        <v>0</v>
      </c>
      <c r="K229">
        <v>0</v>
      </c>
      <c r="L229">
        <v>0</v>
      </c>
      <c r="M229">
        <v>8</v>
      </c>
      <c r="N229">
        <v>11466.668009544819</v>
      </c>
      <c r="O229">
        <v>4</v>
      </c>
      <c r="P229">
        <v>0</v>
      </c>
      <c r="Q229">
        <v>1</v>
      </c>
      <c r="R229">
        <v>3</v>
      </c>
      <c r="S229">
        <v>4</v>
      </c>
      <c r="T229">
        <v>3913</v>
      </c>
      <c r="U229">
        <v>4</v>
      </c>
    </row>
    <row r="230" spans="1:21" x14ac:dyDescent="0.45">
      <c r="A230">
        <v>319</v>
      </c>
      <c r="B230">
        <v>0</v>
      </c>
      <c r="C230">
        <v>0</v>
      </c>
      <c r="D230">
        <v>3</v>
      </c>
      <c r="E230">
        <v>4</v>
      </c>
      <c r="F230">
        <v>3</v>
      </c>
      <c r="G230">
        <v>4</v>
      </c>
      <c r="H230">
        <v>4</v>
      </c>
      <c r="I230">
        <v>2</v>
      </c>
      <c r="J230">
        <v>0</v>
      </c>
      <c r="K230">
        <v>0</v>
      </c>
      <c r="L230">
        <v>0</v>
      </c>
      <c r="M230">
        <v>7</v>
      </c>
      <c r="N230">
        <v>13241.99470848871</v>
      </c>
      <c r="O230">
        <v>4</v>
      </c>
      <c r="P230">
        <v>0</v>
      </c>
      <c r="Q230">
        <v>1</v>
      </c>
      <c r="R230">
        <v>4</v>
      </c>
      <c r="S230">
        <v>2</v>
      </c>
      <c r="T230">
        <v>1051</v>
      </c>
      <c r="U230">
        <v>3</v>
      </c>
    </row>
    <row r="231" spans="1:21" x14ac:dyDescent="0.45">
      <c r="A231">
        <v>320</v>
      </c>
      <c r="B231">
        <v>0</v>
      </c>
      <c r="C231">
        <v>0</v>
      </c>
      <c r="D231">
        <v>2</v>
      </c>
      <c r="E231">
        <v>4</v>
      </c>
      <c r="F231">
        <v>1</v>
      </c>
      <c r="G231">
        <v>12</v>
      </c>
      <c r="H231">
        <v>10</v>
      </c>
      <c r="I231">
        <v>6</v>
      </c>
      <c r="J231">
        <v>1</v>
      </c>
      <c r="K231">
        <v>1</v>
      </c>
      <c r="L231">
        <v>0</v>
      </c>
      <c r="M231">
        <v>7</v>
      </c>
      <c r="N231">
        <v>13010.64463061923</v>
      </c>
      <c r="O231">
        <v>4</v>
      </c>
      <c r="P231">
        <v>0</v>
      </c>
      <c r="Q231">
        <v>1</v>
      </c>
      <c r="R231">
        <v>3</v>
      </c>
      <c r="S231">
        <v>3</v>
      </c>
      <c r="T231">
        <v>484</v>
      </c>
      <c r="U231">
        <v>2</v>
      </c>
    </row>
    <row r="232" spans="1:21" x14ac:dyDescent="0.45">
      <c r="A232">
        <v>324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13873.61143430061</v>
      </c>
      <c r="O232">
        <v>2</v>
      </c>
      <c r="P232">
        <v>0</v>
      </c>
      <c r="Q232">
        <v>1</v>
      </c>
      <c r="R232">
        <v>4</v>
      </c>
      <c r="S232">
        <v>2</v>
      </c>
      <c r="T232">
        <v>399</v>
      </c>
      <c r="U232">
        <v>2</v>
      </c>
    </row>
    <row r="233" spans="1:21" x14ac:dyDescent="0.45">
      <c r="A233">
        <v>325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</v>
      </c>
      <c r="H233">
        <v>2</v>
      </c>
      <c r="I233">
        <v>3</v>
      </c>
      <c r="J233">
        <v>0</v>
      </c>
      <c r="K233">
        <v>0</v>
      </c>
      <c r="L233">
        <v>0</v>
      </c>
      <c r="M233">
        <v>4</v>
      </c>
      <c r="N233">
        <v>13210.12465771966</v>
      </c>
      <c r="O233">
        <v>1</v>
      </c>
      <c r="P233">
        <v>0</v>
      </c>
      <c r="Q233">
        <v>1</v>
      </c>
      <c r="R233">
        <v>1</v>
      </c>
      <c r="S233">
        <v>2</v>
      </c>
      <c r="T233">
        <v>737</v>
      </c>
      <c r="U233">
        <v>1</v>
      </c>
    </row>
    <row r="234" spans="1:21" x14ac:dyDescent="0.45">
      <c r="A234">
        <v>326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3</v>
      </c>
      <c r="N234">
        <v>13563.40417328136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467</v>
      </c>
      <c r="U234">
        <v>3</v>
      </c>
    </row>
    <row r="235" spans="1:21" x14ac:dyDescent="0.45">
      <c r="A235">
        <v>327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4</v>
      </c>
      <c r="N235">
        <v>13369.536750025791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453</v>
      </c>
      <c r="U235">
        <v>3</v>
      </c>
    </row>
    <row r="236" spans="1:21" x14ac:dyDescent="0.45">
      <c r="A236">
        <v>328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4</v>
      </c>
      <c r="N236">
        <v>13355.9135653339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455</v>
      </c>
      <c r="U236">
        <v>3</v>
      </c>
    </row>
    <row r="237" spans="1:21" x14ac:dyDescent="0.45">
      <c r="A237">
        <v>329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4</v>
      </c>
      <c r="N237">
        <v>13291.814292865251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453</v>
      </c>
      <c r="U237">
        <v>3</v>
      </c>
    </row>
    <row r="238" spans="1:21" x14ac:dyDescent="0.45">
      <c r="A238">
        <v>330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4</v>
      </c>
      <c r="I238">
        <v>0</v>
      </c>
      <c r="J238">
        <v>1</v>
      </c>
      <c r="K238">
        <v>0</v>
      </c>
      <c r="L238">
        <v>0</v>
      </c>
      <c r="M238">
        <v>2</v>
      </c>
      <c r="N238">
        <v>11472.40700914787</v>
      </c>
      <c r="O238">
        <v>1</v>
      </c>
      <c r="P238">
        <v>0</v>
      </c>
      <c r="Q238">
        <v>1</v>
      </c>
      <c r="R238">
        <v>2</v>
      </c>
      <c r="S238">
        <v>1</v>
      </c>
      <c r="T238">
        <v>122</v>
      </c>
      <c r="U238">
        <v>1</v>
      </c>
    </row>
    <row r="239" spans="1:21" x14ac:dyDescent="0.45">
      <c r="A239">
        <v>331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11906.29734824299</v>
      </c>
      <c r="O239">
        <v>1</v>
      </c>
      <c r="P239">
        <v>0</v>
      </c>
      <c r="Q239">
        <v>1</v>
      </c>
      <c r="R239">
        <v>3</v>
      </c>
      <c r="S239">
        <v>1</v>
      </c>
      <c r="T239">
        <v>79</v>
      </c>
      <c r="U239">
        <v>1</v>
      </c>
    </row>
    <row r="240" spans="1:21" x14ac:dyDescent="0.45">
      <c r="A240">
        <v>332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12965.97079365335</v>
      </c>
      <c r="O240">
        <v>1</v>
      </c>
      <c r="P240">
        <v>0</v>
      </c>
      <c r="Q240">
        <v>1</v>
      </c>
      <c r="R240">
        <v>4</v>
      </c>
      <c r="S240">
        <v>1</v>
      </c>
      <c r="T240">
        <v>2117</v>
      </c>
      <c r="U240">
        <v>1</v>
      </c>
    </row>
    <row r="241" spans="1:21" x14ac:dyDescent="0.45">
      <c r="A241">
        <v>333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12904.020292712819</v>
      </c>
      <c r="O241">
        <v>1</v>
      </c>
      <c r="P241">
        <v>0</v>
      </c>
      <c r="Q241">
        <v>1</v>
      </c>
      <c r="R241">
        <v>4</v>
      </c>
      <c r="S241">
        <v>1</v>
      </c>
      <c r="T241">
        <v>1215</v>
      </c>
      <c r="U241">
        <v>1</v>
      </c>
    </row>
    <row r="242" spans="1:21" x14ac:dyDescent="0.45">
      <c r="A242">
        <v>334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13006.497018586961</v>
      </c>
      <c r="O242">
        <v>1</v>
      </c>
      <c r="P242">
        <v>0</v>
      </c>
      <c r="Q242">
        <v>1</v>
      </c>
      <c r="R242">
        <v>4</v>
      </c>
      <c r="S242">
        <v>1</v>
      </c>
      <c r="T242">
        <v>2235</v>
      </c>
      <c r="U242">
        <v>1</v>
      </c>
    </row>
    <row r="243" spans="1:21" x14ac:dyDescent="0.45">
      <c r="A243">
        <v>335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12848.561883902579</v>
      </c>
      <c r="O243">
        <v>1</v>
      </c>
      <c r="P243">
        <v>0</v>
      </c>
      <c r="Q243">
        <v>1</v>
      </c>
      <c r="R243">
        <v>4</v>
      </c>
      <c r="S243">
        <v>1</v>
      </c>
      <c r="T243">
        <v>1379</v>
      </c>
      <c r="U243">
        <v>1</v>
      </c>
    </row>
    <row r="244" spans="1:21" x14ac:dyDescent="0.45">
      <c r="A244">
        <v>338</v>
      </c>
      <c r="B244">
        <v>0</v>
      </c>
      <c r="C244">
        <v>0</v>
      </c>
      <c r="D244">
        <v>4</v>
      </c>
      <c r="E244">
        <v>5</v>
      </c>
      <c r="F244">
        <v>1</v>
      </c>
      <c r="G244">
        <v>6</v>
      </c>
      <c r="H244">
        <v>27</v>
      </c>
      <c r="I244">
        <v>14</v>
      </c>
      <c r="J244">
        <v>0</v>
      </c>
      <c r="K244">
        <v>0</v>
      </c>
      <c r="L244">
        <v>8</v>
      </c>
      <c r="M244">
        <v>15</v>
      </c>
      <c r="N244">
        <v>10294.78528075294</v>
      </c>
      <c r="O244">
        <v>3</v>
      </c>
      <c r="P244">
        <v>0</v>
      </c>
      <c r="Q244">
        <v>0</v>
      </c>
      <c r="R244">
        <v>4</v>
      </c>
      <c r="S244">
        <v>4</v>
      </c>
      <c r="T244">
        <v>997</v>
      </c>
      <c r="U244">
        <v>1</v>
      </c>
    </row>
    <row r="245" spans="1:21" x14ac:dyDescent="0.45">
      <c r="A245">
        <v>339</v>
      </c>
      <c r="B245">
        <v>0</v>
      </c>
      <c r="C245">
        <v>0</v>
      </c>
      <c r="D245">
        <v>2</v>
      </c>
      <c r="E245">
        <v>4</v>
      </c>
      <c r="F245">
        <v>0</v>
      </c>
      <c r="G245">
        <v>2</v>
      </c>
      <c r="H245">
        <v>3</v>
      </c>
      <c r="I245">
        <v>2</v>
      </c>
      <c r="J245">
        <v>0</v>
      </c>
      <c r="K245">
        <v>0</v>
      </c>
      <c r="L245">
        <v>1</v>
      </c>
      <c r="M245">
        <v>6</v>
      </c>
      <c r="N245">
        <v>7492.970845542427</v>
      </c>
      <c r="O245">
        <v>4</v>
      </c>
      <c r="P245">
        <v>0</v>
      </c>
      <c r="Q245">
        <v>0</v>
      </c>
      <c r="R245">
        <v>1</v>
      </c>
      <c r="S245">
        <v>3</v>
      </c>
      <c r="T245">
        <v>978</v>
      </c>
      <c r="U245">
        <v>1</v>
      </c>
    </row>
    <row r="246" spans="1:21" x14ac:dyDescent="0.45">
      <c r="A246">
        <v>340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12038.57689505129</v>
      </c>
      <c r="O246">
        <v>1</v>
      </c>
      <c r="P246">
        <v>0</v>
      </c>
      <c r="Q246">
        <v>0</v>
      </c>
      <c r="R246">
        <v>1</v>
      </c>
      <c r="S246">
        <v>4</v>
      </c>
      <c r="T246">
        <v>830</v>
      </c>
      <c r="U246">
        <v>1</v>
      </c>
    </row>
    <row r="247" spans="1:21" x14ac:dyDescent="0.45">
      <c r="A247">
        <v>341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2</v>
      </c>
      <c r="H247">
        <v>2</v>
      </c>
      <c r="I247">
        <v>1</v>
      </c>
      <c r="J247">
        <v>0</v>
      </c>
      <c r="K247">
        <v>1</v>
      </c>
      <c r="L247">
        <v>0</v>
      </c>
      <c r="M247">
        <v>3</v>
      </c>
      <c r="N247">
        <v>11093.04538596169</v>
      </c>
      <c r="O247">
        <v>3</v>
      </c>
      <c r="P247">
        <v>1</v>
      </c>
      <c r="Q247">
        <v>1</v>
      </c>
      <c r="R247">
        <v>3</v>
      </c>
      <c r="S247">
        <v>2</v>
      </c>
      <c r="T247">
        <v>107</v>
      </c>
      <c r="U247">
        <v>1</v>
      </c>
    </row>
    <row r="248" spans="1:21" x14ac:dyDescent="0.45">
      <c r="A248">
        <v>342</v>
      </c>
      <c r="B248">
        <v>0</v>
      </c>
      <c r="C248">
        <v>0</v>
      </c>
      <c r="D248">
        <v>1</v>
      </c>
      <c r="E248">
        <v>2</v>
      </c>
      <c r="F248">
        <v>0</v>
      </c>
      <c r="G248">
        <v>5</v>
      </c>
      <c r="H248">
        <v>9</v>
      </c>
      <c r="I248">
        <v>6</v>
      </c>
      <c r="J248">
        <v>2</v>
      </c>
      <c r="K248">
        <v>0</v>
      </c>
      <c r="L248">
        <v>1</v>
      </c>
      <c r="M248">
        <v>10</v>
      </c>
      <c r="N248">
        <v>11263.37221115845</v>
      </c>
      <c r="O248">
        <v>1</v>
      </c>
      <c r="P248">
        <v>0</v>
      </c>
      <c r="Q248">
        <v>1</v>
      </c>
      <c r="R248">
        <v>4</v>
      </c>
      <c r="S248">
        <v>3</v>
      </c>
      <c r="T248">
        <v>119</v>
      </c>
      <c r="U248">
        <v>1</v>
      </c>
    </row>
    <row r="249" spans="1:21" x14ac:dyDescent="0.45">
      <c r="A249">
        <v>343</v>
      </c>
      <c r="B249">
        <v>0</v>
      </c>
      <c r="C249">
        <v>0</v>
      </c>
      <c r="D249">
        <v>1</v>
      </c>
      <c r="E249">
        <v>2</v>
      </c>
      <c r="F249">
        <v>1</v>
      </c>
      <c r="G249">
        <v>5</v>
      </c>
      <c r="H249">
        <v>9</v>
      </c>
      <c r="I249">
        <v>6</v>
      </c>
      <c r="J249">
        <v>2</v>
      </c>
      <c r="K249">
        <v>0</v>
      </c>
      <c r="L249">
        <v>0</v>
      </c>
      <c r="M249">
        <v>10</v>
      </c>
      <c r="N249">
        <v>11014.404414517739</v>
      </c>
      <c r="O249">
        <v>3</v>
      </c>
      <c r="P249">
        <v>0</v>
      </c>
      <c r="Q249">
        <v>0</v>
      </c>
      <c r="R249">
        <v>3</v>
      </c>
      <c r="S249">
        <v>1</v>
      </c>
      <c r="T249">
        <v>198</v>
      </c>
      <c r="U249">
        <v>1</v>
      </c>
    </row>
    <row r="250" spans="1:21" x14ac:dyDescent="0.45">
      <c r="A250">
        <v>344</v>
      </c>
      <c r="B250">
        <v>0</v>
      </c>
      <c r="C250">
        <v>0</v>
      </c>
      <c r="D250">
        <v>3</v>
      </c>
      <c r="E250">
        <v>2</v>
      </c>
      <c r="F250">
        <v>0</v>
      </c>
      <c r="G250">
        <v>8</v>
      </c>
      <c r="H250">
        <v>10</v>
      </c>
      <c r="I250">
        <v>7</v>
      </c>
      <c r="J250">
        <v>2</v>
      </c>
      <c r="K250">
        <v>0</v>
      </c>
      <c r="L250">
        <v>1</v>
      </c>
      <c r="M250">
        <v>12</v>
      </c>
      <c r="N250">
        <v>10906.430365266189</v>
      </c>
      <c r="O250">
        <v>4</v>
      </c>
      <c r="P250">
        <v>0</v>
      </c>
      <c r="Q250">
        <v>1</v>
      </c>
      <c r="R250">
        <v>1</v>
      </c>
      <c r="S250">
        <v>1</v>
      </c>
      <c r="T250">
        <v>128</v>
      </c>
      <c r="U250">
        <v>1</v>
      </c>
    </row>
    <row r="251" spans="1:21" x14ac:dyDescent="0.45">
      <c r="A251">
        <v>345</v>
      </c>
      <c r="B251">
        <v>0</v>
      </c>
      <c r="C251">
        <v>1</v>
      </c>
      <c r="D251">
        <v>3</v>
      </c>
      <c r="E251">
        <v>2</v>
      </c>
      <c r="F251">
        <v>0</v>
      </c>
      <c r="G251">
        <v>8</v>
      </c>
      <c r="H251">
        <v>10</v>
      </c>
      <c r="I251">
        <v>7</v>
      </c>
      <c r="J251">
        <v>2</v>
      </c>
      <c r="K251">
        <v>0</v>
      </c>
      <c r="L251">
        <v>1</v>
      </c>
      <c r="M251">
        <v>12</v>
      </c>
      <c r="N251">
        <v>10997.49742433631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245</v>
      </c>
      <c r="U251">
        <v>1</v>
      </c>
    </row>
    <row r="252" spans="1:21" x14ac:dyDescent="0.45">
      <c r="A252">
        <v>346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3</v>
      </c>
      <c r="N252">
        <v>10174.93285892619</v>
      </c>
      <c r="O252">
        <v>2</v>
      </c>
      <c r="P252">
        <v>1</v>
      </c>
      <c r="Q252">
        <v>1</v>
      </c>
      <c r="R252">
        <v>3</v>
      </c>
      <c r="S252">
        <v>2</v>
      </c>
      <c r="T252">
        <v>520</v>
      </c>
      <c r="U252">
        <v>2</v>
      </c>
    </row>
    <row r="253" spans="1:21" x14ac:dyDescent="0.45">
      <c r="A253">
        <v>347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12238.248827979871</v>
      </c>
      <c r="O253">
        <v>4</v>
      </c>
      <c r="P253">
        <v>1</v>
      </c>
      <c r="Q253">
        <v>0</v>
      </c>
      <c r="R253">
        <v>2</v>
      </c>
      <c r="S253">
        <v>1</v>
      </c>
      <c r="T253">
        <v>169</v>
      </c>
      <c r="U253">
        <v>1</v>
      </c>
    </row>
    <row r="254" spans="1:21" x14ac:dyDescent="0.45">
      <c r="A254">
        <v>348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12122.828644175601</v>
      </c>
      <c r="O254">
        <v>4</v>
      </c>
      <c r="P254">
        <v>1</v>
      </c>
      <c r="Q254">
        <v>0</v>
      </c>
      <c r="R254">
        <v>2</v>
      </c>
      <c r="S254">
        <v>1</v>
      </c>
      <c r="T254">
        <v>168</v>
      </c>
      <c r="U254">
        <v>1</v>
      </c>
    </row>
    <row r="255" spans="1:21" x14ac:dyDescent="0.45">
      <c r="A255">
        <v>349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2</v>
      </c>
      <c r="J255">
        <v>0</v>
      </c>
      <c r="K255">
        <v>1</v>
      </c>
      <c r="L255">
        <v>0</v>
      </c>
      <c r="M255">
        <v>0</v>
      </c>
      <c r="N255">
        <v>12047.194124407501</v>
      </c>
      <c r="O255">
        <v>4</v>
      </c>
      <c r="P255">
        <v>1</v>
      </c>
      <c r="Q255">
        <v>0</v>
      </c>
      <c r="R255">
        <v>2</v>
      </c>
      <c r="S255">
        <v>1</v>
      </c>
      <c r="T255">
        <v>375</v>
      </c>
      <c r="U255">
        <v>1</v>
      </c>
    </row>
    <row r="256" spans="1:21" x14ac:dyDescent="0.45">
      <c r="A256">
        <v>350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11966.61296366086</v>
      </c>
      <c r="O256">
        <v>4</v>
      </c>
      <c r="P256">
        <v>0</v>
      </c>
      <c r="Q256">
        <v>0</v>
      </c>
      <c r="R256">
        <v>2</v>
      </c>
      <c r="S256">
        <v>1</v>
      </c>
      <c r="T256">
        <v>279</v>
      </c>
      <c r="U256">
        <v>1</v>
      </c>
    </row>
    <row r="257" spans="1:21" x14ac:dyDescent="0.45">
      <c r="A257">
        <v>351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3</v>
      </c>
      <c r="J257">
        <v>0</v>
      </c>
      <c r="K257">
        <v>2</v>
      </c>
      <c r="L257">
        <v>0</v>
      </c>
      <c r="M257">
        <v>3</v>
      </c>
      <c r="N257">
        <v>11190.95156902177</v>
      </c>
      <c r="O257">
        <v>2</v>
      </c>
      <c r="P257">
        <v>0</v>
      </c>
      <c r="Q257">
        <v>0</v>
      </c>
      <c r="R257">
        <v>1</v>
      </c>
      <c r="S257">
        <v>1</v>
      </c>
      <c r="T257">
        <v>9</v>
      </c>
      <c r="U257">
        <v>1</v>
      </c>
    </row>
    <row r="258" spans="1:21" x14ac:dyDescent="0.45">
      <c r="A258">
        <v>352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12619.15018764705</v>
      </c>
      <c r="O258">
        <v>3</v>
      </c>
      <c r="P258">
        <v>0</v>
      </c>
      <c r="Q258">
        <v>0</v>
      </c>
      <c r="R258">
        <v>2</v>
      </c>
      <c r="S258">
        <v>1</v>
      </c>
      <c r="T258">
        <v>106</v>
      </c>
      <c r="U258">
        <v>1</v>
      </c>
    </row>
    <row r="259" spans="1:21" x14ac:dyDescent="0.45">
      <c r="A259">
        <v>353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12005.981154714549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19</v>
      </c>
      <c r="U259">
        <v>1</v>
      </c>
    </row>
    <row r="260" spans="1:21" x14ac:dyDescent="0.45">
      <c r="A260">
        <v>355</v>
      </c>
      <c r="B260">
        <v>0</v>
      </c>
      <c r="C260">
        <v>0</v>
      </c>
      <c r="D260">
        <v>1</v>
      </c>
      <c r="E260">
        <v>1</v>
      </c>
      <c r="F260">
        <v>0</v>
      </c>
      <c r="G260">
        <v>4</v>
      </c>
      <c r="H260">
        <v>6</v>
      </c>
      <c r="I260">
        <v>13</v>
      </c>
      <c r="J260">
        <v>0</v>
      </c>
      <c r="K260">
        <v>6</v>
      </c>
      <c r="L260">
        <v>0</v>
      </c>
      <c r="M260">
        <v>7</v>
      </c>
      <c r="N260">
        <v>7268.2338341893774</v>
      </c>
      <c r="O260">
        <v>3</v>
      </c>
      <c r="P260">
        <v>0</v>
      </c>
      <c r="Q260">
        <v>1</v>
      </c>
      <c r="R260">
        <v>1</v>
      </c>
      <c r="S260">
        <v>4</v>
      </c>
      <c r="T260">
        <v>986</v>
      </c>
      <c r="U260">
        <v>3</v>
      </c>
    </row>
    <row r="261" spans="1:21" x14ac:dyDescent="0.45">
      <c r="A261">
        <v>356</v>
      </c>
      <c r="B261">
        <v>0</v>
      </c>
      <c r="C261">
        <v>0</v>
      </c>
      <c r="D261">
        <v>1</v>
      </c>
      <c r="E261">
        <v>1</v>
      </c>
      <c r="F261">
        <v>0</v>
      </c>
      <c r="G261">
        <v>4</v>
      </c>
      <c r="H261">
        <v>6</v>
      </c>
      <c r="I261">
        <v>13</v>
      </c>
      <c r="J261">
        <v>0</v>
      </c>
      <c r="K261">
        <v>6</v>
      </c>
      <c r="L261">
        <v>0</v>
      </c>
      <c r="M261">
        <v>7</v>
      </c>
      <c r="N261">
        <v>7400.3296356388364</v>
      </c>
      <c r="O261">
        <v>3</v>
      </c>
      <c r="P261">
        <v>0</v>
      </c>
      <c r="Q261">
        <v>1</v>
      </c>
      <c r="R261">
        <v>1</v>
      </c>
      <c r="S261">
        <v>1</v>
      </c>
      <c r="T261">
        <v>299</v>
      </c>
      <c r="U261">
        <v>1</v>
      </c>
    </row>
    <row r="262" spans="1:21" x14ac:dyDescent="0.45">
      <c r="A262">
        <v>357</v>
      </c>
      <c r="B262">
        <v>0</v>
      </c>
      <c r="C262">
        <v>0</v>
      </c>
      <c r="D262">
        <v>1</v>
      </c>
      <c r="E262">
        <v>1</v>
      </c>
      <c r="F262">
        <v>0</v>
      </c>
      <c r="G262">
        <v>4</v>
      </c>
      <c r="H262">
        <v>6</v>
      </c>
      <c r="I262">
        <v>13</v>
      </c>
      <c r="J262">
        <v>0</v>
      </c>
      <c r="K262">
        <v>6</v>
      </c>
      <c r="L262">
        <v>0</v>
      </c>
      <c r="M262">
        <v>7</v>
      </c>
      <c r="N262">
        <v>7329.6998890649757</v>
      </c>
      <c r="O262">
        <v>3</v>
      </c>
      <c r="P262">
        <v>0</v>
      </c>
      <c r="Q262">
        <v>1</v>
      </c>
      <c r="R262">
        <v>1</v>
      </c>
      <c r="S262">
        <v>2</v>
      </c>
      <c r="T262">
        <v>192</v>
      </c>
      <c r="U262">
        <v>1</v>
      </c>
    </row>
    <row r="263" spans="1:21" x14ac:dyDescent="0.45">
      <c r="A263">
        <v>358</v>
      </c>
      <c r="B263">
        <v>0</v>
      </c>
      <c r="C263">
        <v>0</v>
      </c>
      <c r="D263">
        <v>1</v>
      </c>
      <c r="E263">
        <v>1</v>
      </c>
      <c r="F263">
        <v>0</v>
      </c>
      <c r="G263">
        <v>4</v>
      </c>
      <c r="H263">
        <v>6</v>
      </c>
      <c r="I263">
        <v>13</v>
      </c>
      <c r="J263">
        <v>0</v>
      </c>
      <c r="K263">
        <v>6</v>
      </c>
      <c r="L263">
        <v>0</v>
      </c>
      <c r="M263">
        <v>7</v>
      </c>
      <c r="N263">
        <v>7329.6998890649757</v>
      </c>
      <c r="O263">
        <v>3</v>
      </c>
      <c r="P263">
        <v>0</v>
      </c>
      <c r="Q263">
        <v>1</v>
      </c>
      <c r="R263">
        <v>1</v>
      </c>
      <c r="S263">
        <v>2</v>
      </c>
      <c r="T263">
        <v>197</v>
      </c>
      <c r="U263">
        <v>1</v>
      </c>
    </row>
    <row r="264" spans="1:21" x14ac:dyDescent="0.45">
      <c r="A264">
        <v>359</v>
      </c>
      <c r="B264">
        <v>0</v>
      </c>
      <c r="C264">
        <v>0</v>
      </c>
      <c r="D264">
        <v>1</v>
      </c>
      <c r="E264">
        <v>1</v>
      </c>
      <c r="F264">
        <v>0</v>
      </c>
      <c r="G264">
        <v>4</v>
      </c>
      <c r="H264">
        <v>6</v>
      </c>
      <c r="I264">
        <v>13</v>
      </c>
      <c r="J264">
        <v>0</v>
      </c>
      <c r="K264">
        <v>6</v>
      </c>
      <c r="L264">
        <v>0</v>
      </c>
      <c r="M264">
        <v>7</v>
      </c>
      <c r="N264">
        <v>7382.5501180831798</v>
      </c>
      <c r="O264">
        <v>3</v>
      </c>
      <c r="P264">
        <v>0</v>
      </c>
      <c r="Q264">
        <v>1</v>
      </c>
      <c r="R264">
        <v>1</v>
      </c>
      <c r="S264">
        <v>4</v>
      </c>
      <c r="T264">
        <v>586</v>
      </c>
      <c r="U264">
        <v>1</v>
      </c>
    </row>
    <row r="265" spans="1:21" x14ac:dyDescent="0.45">
      <c r="A265">
        <v>360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3</v>
      </c>
      <c r="N265">
        <v>9308.7608567134375</v>
      </c>
      <c r="O265">
        <v>1</v>
      </c>
      <c r="P265">
        <v>1</v>
      </c>
      <c r="Q265">
        <v>0</v>
      </c>
      <c r="R265">
        <v>3</v>
      </c>
      <c r="S265">
        <v>3</v>
      </c>
      <c r="T265">
        <v>1418</v>
      </c>
      <c r="U265">
        <v>3</v>
      </c>
    </row>
    <row r="266" spans="1:21" x14ac:dyDescent="0.45">
      <c r="A266">
        <v>361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9275.8525242641881</v>
      </c>
      <c r="O266">
        <v>2</v>
      </c>
      <c r="P266">
        <v>1</v>
      </c>
      <c r="Q266">
        <v>1</v>
      </c>
      <c r="R266">
        <v>3</v>
      </c>
      <c r="S266">
        <v>2</v>
      </c>
      <c r="T266">
        <v>1301</v>
      </c>
      <c r="U266">
        <v>1</v>
      </c>
    </row>
    <row r="267" spans="1:21" x14ac:dyDescent="0.45">
      <c r="A267">
        <v>362</v>
      </c>
      <c r="B267">
        <v>0</v>
      </c>
      <c r="C267">
        <v>0</v>
      </c>
      <c r="D267">
        <v>1</v>
      </c>
      <c r="E267">
        <v>5</v>
      </c>
      <c r="F267">
        <v>0</v>
      </c>
      <c r="G267">
        <v>9</v>
      </c>
      <c r="H267">
        <v>14</v>
      </c>
      <c r="I267">
        <v>13</v>
      </c>
      <c r="J267">
        <v>2</v>
      </c>
      <c r="K267">
        <v>1</v>
      </c>
      <c r="L267">
        <v>1</v>
      </c>
      <c r="M267">
        <v>19</v>
      </c>
      <c r="N267">
        <v>6403.4858490824954</v>
      </c>
      <c r="O267">
        <v>3</v>
      </c>
      <c r="P267">
        <v>0</v>
      </c>
      <c r="Q267">
        <v>1</v>
      </c>
      <c r="R267">
        <v>4</v>
      </c>
      <c r="S267">
        <v>3</v>
      </c>
      <c r="T267">
        <v>449</v>
      </c>
      <c r="U267">
        <v>2</v>
      </c>
    </row>
    <row r="268" spans="1:21" x14ac:dyDescent="0.45">
      <c r="A268">
        <v>363</v>
      </c>
      <c r="B268">
        <v>0</v>
      </c>
      <c r="C268">
        <v>0</v>
      </c>
      <c r="D268">
        <v>0</v>
      </c>
      <c r="E268">
        <v>2</v>
      </c>
      <c r="F268">
        <v>0</v>
      </c>
      <c r="G268">
        <v>6</v>
      </c>
      <c r="H268">
        <v>9</v>
      </c>
      <c r="I268">
        <v>26</v>
      </c>
      <c r="J268">
        <v>0</v>
      </c>
      <c r="K268">
        <v>11</v>
      </c>
      <c r="L268">
        <v>0</v>
      </c>
      <c r="M268">
        <v>8</v>
      </c>
      <c r="N268">
        <v>6184.8556137940759</v>
      </c>
      <c r="O268">
        <v>3</v>
      </c>
      <c r="P268">
        <v>0</v>
      </c>
      <c r="Q268">
        <v>1</v>
      </c>
      <c r="R268">
        <v>1</v>
      </c>
      <c r="S268">
        <v>2</v>
      </c>
      <c r="T268">
        <v>187</v>
      </c>
      <c r="U268">
        <v>1</v>
      </c>
    </row>
    <row r="269" spans="1:21" x14ac:dyDescent="0.45">
      <c r="A269">
        <v>364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3</v>
      </c>
      <c r="H269">
        <v>0</v>
      </c>
      <c r="I269">
        <v>23</v>
      </c>
      <c r="J269">
        <v>0</v>
      </c>
      <c r="K269">
        <v>6</v>
      </c>
      <c r="L269">
        <v>0</v>
      </c>
      <c r="M269">
        <v>8</v>
      </c>
      <c r="N269">
        <v>6774.983366836721</v>
      </c>
      <c r="O269">
        <v>1</v>
      </c>
      <c r="P269">
        <v>0</v>
      </c>
      <c r="Q269">
        <v>0</v>
      </c>
      <c r="R269">
        <v>1</v>
      </c>
      <c r="S269">
        <v>1</v>
      </c>
      <c r="T269">
        <v>1194</v>
      </c>
      <c r="U269">
        <v>1</v>
      </c>
    </row>
    <row r="270" spans="1:21" x14ac:dyDescent="0.45">
      <c r="A270">
        <v>365</v>
      </c>
      <c r="B270">
        <v>0</v>
      </c>
      <c r="C270">
        <v>0</v>
      </c>
      <c r="D270">
        <v>1</v>
      </c>
      <c r="E270">
        <v>2</v>
      </c>
      <c r="F270">
        <v>1</v>
      </c>
      <c r="G270">
        <v>4</v>
      </c>
      <c r="H270">
        <v>5</v>
      </c>
      <c r="I270">
        <v>5</v>
      </c>
      <c r="J270">
        <v>0</v>
      </c>
      <c r="K270">
        <v>1</v>
      </c>
      <c r="L270">
        <v>0</v>
      </c>
      <c r="M270">
        <v>16</v>
      </c>
      <c r="N270">
        <v>5898.1046852493446</v>
      </c>
      <c r="O270">
        <v>4</v>
      </c>
      <c r="P270">
        <v>1</v>
      </c>
      <c r="Q270">
        <v>1</v>
      </c>
      <c r="R270">
        <v>3</v>
      </c>
      <c r="S270">
        <v>4</v>
      </c>
      <c r="T270">
        <v>3356</v>
      </c>
      <c r="U270">
        <v>1</v>
      </c>
    </row>
    <row r="271" spans="1:21" x14ac:dyDescent="0.45">
      <c r="A271">
        <v>366</v>
      </c>
      <c r="B271">
        <v>0</v>
      </c>
      <c r="C271">
        <v>0</v>
      </c>
      <c r="D271">
        <v>1</v>
      </c>
      <c r="E271">
        <v>2</v>
      </c>
      <c r="F271">
        <v>1</v>
      </c>
      <c r="G271">
        <v>4</v>
      </c>
      <c r="H271">
        <v>5</v>
      </c>
      <c r="I271">
        <v>5</v>
      </c>
      <c r="J271">
        <v>0</v>
      </c>
      <c r="K271">
        <v>1</v>
      </c>
      <c r="L271">
        <v>0</v>
      </c>
      <c r="M271">
        <v>16</v>
      </c>
      <c r="N271">
        <v>5898.1046852493446</v>
      </c>
      <c r="O271">
        <v>3</v>
      </c>
      <c r="P271">
        <v>1</v>
      </c>
      <c r="Q271">
        <v>1</v>
      </c>
      <c r="R271">
        <v>3</v>
      </c>
      <c r="S271">
        <v>3</v>
      </c>
      <c r="T271">
        <v>1631</v>
      </c>
      <c r="U271">
        <v>1</v>
      </c>
    </row>
    <row r="272" spans="1:21" x14ac:dyDescent="0.45">
      <c r="A272">
        <v>367</v>
      </c>
      <c r="B272">
        <v>0</v>
      </c>
      <c r="C272">
        <v>0</v>
      </c>
      <c r="D272">
        <v>1</v>
      </c>
      <c r="E272">
        <v>3</v>
      </c>
      <c r="F272">
        <v>1</v>
      </c>
      <c r="G272">
        <v>5</v>
      </c>
      <c r="H272">
        <v>6</v>
      </c>
      <c r="I272">
        <v>5</v>
      </c>
      <c r="J272">
        <v>0</v>
      </c>
      <c r="K272">
        <v>2</v>
      </c>
      <c r="L272">
        <v>0</v>
      </c>
      <c r="M272">
        <v>18</v>
      </c>
      <c r="N272">
        <v>5898.1046852493446</v>
      </c>
      <c r="O272">
        <v>3</v>
      </c>
      <c r="P272">
        <v>1</v>
      </c>
      <c r="Q272">
        <v>1</v>
      </c>
      <c r="R272">
        <v>3</v>
      </c>
      <c r="S272">
        <v>3</v>
      </c>
      <c r="T272">
        <v>1576</v>
      </c>
      <c r="U272">
        <v>1</v>
      </c>
    </row>
    <row r="273" spans="1:21" x14ac:dyDescent="0.45">
      <c r="A273">
        <v>369</v>
      </c>
      <c r="B273">
        <v>0</v>
      </c>
      <c r="C273">
        <v>0</v>
      </c>
      <c r="D273">
        <v>2</v>
      </c>
      <c r="E273">
        <v>3</v>
      </c>
      <c r="F273">
        <v>1</v>
      </c>
      <c r="G273">
        <v>8</v>
      </c>
      <c r="H273">
        <v>9</v>
      </c>
      <c r="I273">
        <v>8</v>
      </c>
      <c r="J273">
        <v>0</v>
      </c>
      <c r="K273">
        <v>7</v>
      </c>
      <c r="L273">
        <v>7</v>
      </c>
      <c r="M273">
        <v>13</v>
      </c>
      <c r="N273">
        <v>6315.0452262609906</v>
      </c>
      <c r="O273">
        <v>4</v>
      </c>
      <c r="P273">
        <v>0</v>
      </c>
      <c r="Q273">
        <v>1</v>
      </c>
      <c r="R273">
        <v>2</v>
      </c>
      <c r="S273">
        <v>2</v>
      </c>
      <c r="T273">
        <v>480</v>
      </c>
      <c r="U273">
        <v>1</v>
      </c>
    </row>
    <row r="274" spans="1:21" x14ac:dyDescent="0.45">
      <c r="A274">
        <v>370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2</v>
      </c>
      <c r="L274">
        <v>0</v>
      </c>
      <c r="M274">
        <v>3</v>
      </c>
      <c r="N274">
        <v>13683.594137785431</v>
      </c>
      <c r="O274">
        <v>1</v>
      </c>
      <c r="P274">
        <v>1</v>
      </c>
      <c r="Q274">
        <v>0</v>
      </c>
      <c r="R274">
        <v>1</v>
      </c>
      <c r="S274">
        <v>2</v>
      </c>
      <c r="T274">
        <v>436</v>
      </c>
      <c r="U274">
        <v>3</v>
      </c>
    </row>
    <row r="275" spans="1:21" x14ac:dyDescent="0.45">
      <c r="A275">
        <v>371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2</v>
      </c>
      <c r="L275">
        <v>0</v>
      </c>
      <c r="M275">
        <v>3</v>
      </c>
      <c r="N275">
        <v>13683.594137785431</v>
      </c>
      <c r="O275">
        <v>3</v>
      </c>
      <c r="P275">
        <v>1</v>
      </c>
      <c r="Q275">
        <v>0</v>
      </c>
      <c r="R275">
        <v>1</v>
      </c>
      <c r="S275">
        <v>2</v>
      </c>
      <c r="T275">
        <v>85</v>
      </c>
      <c r="U275">
        <v>1</v>
      </c>
    </row>
    <row r="276" spans="1:21" x14ac:dyDescent="0.45">
      <c r="A276">
        <v>372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2</v>
      </c>
      <c r="L276">
        <v>0</v>
      </c>
      <c r="M276">
        <v>3</v>
      </c>
      <c r="N276">
        <v>13848.714429143771</v>
      </c>
      <c r="O276">
        <v>1</v>
      </c>
      <c r="P276">
        <v>1</v>
      </c>
      <c r="Q276">
        <v>0</v>
      </c>
      <c r="R276">
        <v>1</v>
      </c>
      <c r="S276">
        <v>2</v>
      </c>
      <c r="T276">
        <v>278</v>
      </c>
      <c r="U276">
        <v>1</v>
      </c>
    </row>
    <row r="277" spans="1:21" x14ac:dyDescent="0.45">
      <c r="A277">
        <v>373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2</v>
      </c>
      <c r="L277">
        <v>0</v>
      </c>
      <c r="M277">
        <v>2</v>
      </c>
      <c r="N277">
        <v>13927.26186468625</v>
      </c>
      <c r="O277">
        <v>2</v>
      </c>
      <c r="P277">
        <v>1</v>
      </c>
      <c r="Q277">
        <v>0</v>
      </c>
      <c r="R277">
        <v>1</v>
      </c>
      <c r="S277">
        <v>2</v>
      </c>
      <c r="T277">
        <v>270</v>
      </c>
      <c r="U277">
        <v>1</v>
      </c>
    </row>
    <row r="278" spans="1:21" x14ac:dyDescent="0.45">
      <c r="A278">
        <v>374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0</v>
      </c>
      <c r="K278">
        <v>2</v>
      </c>
      <c r="L278">
        <v>0</v>
      </c>
      <c r="M278">
        <v>3</v>
      </c>
      <c r="N278">
        <v>13848.714429143771</v>
      </c>
      <c r="O278">
        <v>4</v>
      </c>
      <c r="P278">
        <v>1</v>
      </c>
      <c r="Q278">
        <v>0</v>
      </c>
      <c r="R278">
        <v>1</v>
      </c>
      <c r="S278">
        <v>2</v>
      </c>
      <c r="T278">
        <v>717</v>
      </c>
      <c r="U278">
        <v>2</v>
      </c>
    </row>
    <row r="279" spans="1:21" x14ac:dyDescent="0.45">
      <c r="A279">
        <v>375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2</v>
      </c>
      <c r="I279">
        <v>2</v>
      </c>
      <c r="J279">
        <v>0</v>
      </c>
      <c r="K279">
        <v>2</v>
      </c>
      <c r="L279">
        <v>0</v>
      </c>
      <c r="M279">
        <v>2</v>
      </c>
      <c r="N279">
        <v>13848.907572354359</v>
      </c>
      <c r="O279">
        <v>4</v>
      </c>
      <c r="P279">
        <v>1</v>
      </c>
      <c r="Q279">
        <v>0</v>
      </c>
      <c r="R279">
        <v>1</v>
      </c>
      <c r="S279">
        <v>4</v>
      </c>
      <c r="T279">
        <v>955</v>
      </c>
      <c r="U279">
        <v>3</v>
      </c>
    </row>
    <row r="280" spans="1:21" x14ac:dyDescent="0.45">
      <c r="A280">
        <v>376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5</v>
      </c>
      <c r="H280">
        <v>6</v>
      </c>
      <c r="I280">
        <v>2</v>
      </c>
      <c r="J280">
        <v>0</v>
      </c>
      <c r="K280">
        <v>1</v>
      </c>
      <c r="L280">
        <v>0</v>
      </c>
      <c r="M280">
        <v>3</v>
      </c>
      <c r="N280">
        <v>9112.4484078482765</v>
      </c>
      <c r="O280">
        <v>3</v>
      </c>
      <c r="P280">
        <v>1</v>
      </c>
      <c r="Q280">
        <v>1</v>
      </c>
      <c r="R280">
        <v>4</v>
      </c>
      <c r="S280">
        <v>3</v>
      </c>
      <c r="T280">
        <v>496</v>
      </c>
      <c r="U280">
        <v>3</v>
      </c>
    </row>
    <row r="281" spans="1:21" x14ac:dyDescent="0.45">
      <c r="A281">
        <v>377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3</v>
      </c>
      <c r="H281">
        <v>6</v>
      </c>
      <c r="I281">
        <v>5</v>
      </c>
      <c r="J281">
        <v>0</v>
      </c>
      <c r="K281">
        <v>0</v>
      </c>
      <c r="L281">
        <v>0</v>
      </c>
      <c r="M281">
        <v>3</v>
      </c>
      <c r="N281">
        <v>10943.00039676575</v>
      </c>
      <c r="O281">
        <v>1</v>
      </c>
      <c r="P281">
        <v>0</v>
      </c>
      <c r="Q281">
        <v>1</v>
      </c>
      <c r="R281">
        <v>4</v>
      </c>
      <c r="S281">
        <v>2</v>
      </c>
      <c r="T281">
        <v>879</v>
      </c>
      <c r="U281">
        <v>3</v>
      </c>
    </row>
    <row r="282" spans="1:21" x14ac:dyDescent="0.45">
      <c r="A282">
        <v>378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2</v>
      </c>
      <c r="N282">
        <v>11106.696061093569</v>
      </c>
      <c r="O282">
        <v>2</v>
      </c>
      <c r="P282">
        <v>0</v>
      </c>
      <c r="Q282">
        <v>0</v>
      </c>
      <c r="R282">
        <v>3</v>
      </c>
      <c r="S282">
        <v>3</v>
      </c>
      <c r="T282">
        <v>203</v>
      </c>
      <c r="U282">
        <v>1</v>
      </c>
    </row>
    <row r="283" spans="1:21" x14ac:dyDescent="0.45">
      <c r="A283">
        <v>379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3</v>
      </c>
      <c r="H283">
        <v>6</v>
      </c>
      <c r="I283">
        <v>6</v>
      </c>
      <c r="J283">
        <v>0</v>
      </c>
      <c r="K283">
        <v>0</v>
      </c>
      <c r="L283">
        <v>0</v>
      </c>
      <c r="M283">
        <v>3</v>
      </c>
      <c r="N283">
        <v>10843.23156942175</v>
      </c>
      <c r="O283">
        <v>2</v>
      </c>
      <c r="P283">
        <v>0</v>
      </c>
      <c r="Q283">
        <v>0</v>
      </c>
      <c r="R283">
        <v>3</v>
      </c>
      <c r="S283">
        <v>1</v>
      </c>
      <c r="T283">
        <v>101</v>
      </c>
      <c r="U283">
        <v>1</v>
      </c>
    </row>
    <row r="284" spans="1:21" x14ac:dyDescent="0.45">
      <c r="A284">
        <v>380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11071.501757336589</v>
      </c>
      <c r="O284">
        <v>1</v>
      </c>
      <c r="P284">
        <v>1</v>
      </c>
      <c r="Q284">
        <v>0</v>
      </c>
      <c r="R284">
        <v>4</v>
      </c>
      <c r="S284">
        <v>6</v>
      </c>
      <c r="T284">
        <v>16400</v>
      </c>
      <c r="U284">
        <v>4</v>
      </c>
    </row>
    <row r="285" spans="1:21" x14ac:dyDescent="0.45">
      <c r="A285">
        <v>381</v>
      </c>
      <c r="B285">
        <v>0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2</v>
      </c>
      <c r="N285">
        <v>11426.951379519691</v>
      </c>
      <c r="O285">
        <v>3</v>
      </c>
      <c r="P285">
        <v>0</v>
      </c>
      <c r="Q285">
        <v>0</v>
      </c>
      <c r="R285">
        <v>3</v>
      </c>
      <c r="S285">
        <v>2</v>
      </c>
      <c r="T285">
        <v>585</v>
      </c>
      <c r="U285">
        <v>1</v>
      </c>
    </row>
    <row r="286" spans="1:21" x14ac:dyDescent="0.45">
      <c r="A286">
        <v>386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20210.893444579549</v>
      </c>
      <c r="O286">
        <v>3</v>
      </c>
      <c r="P286">
        <v>0</v>
      </c>
      <c r="Q286">
        <v>0</v>
      </c>
      <c r="R286">
        <v>1</v>
      </c>
      <c r="S286">
        <v>1</v>
      </c>
      <c r="T286">
        <v>386</v>
      </c>
      <c r="U286">
        <v>1</v>
      </c>
    </row>
    <row r="287" spans="1:21" x14ac:dyDescent="0.45">
      <c r="A287">
        <v>387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20251.88390815556</v>
      </c>
      <c r="O287">
        <v>2</v>
      </c>
      <c r="P287">
        <v>0</v>
      </c>
      <c r="Q287">
        <v>0</v>
      </c>
      <c r="R287">
        <v>1</v>
      </c>
      <c r="S287">
        <v>1</v>
      </c>
      <c r="T287">
        <v>635</v>
      </c>
      <c r="U287">
        <v>1</v>
      </c>
    </row>
    <row r="288" spans="1:21" x14ac:dyDescent="0.45">
      <c r="A288">
        <v>389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4</v>
      </c>
      <c r="H288">
        <v>7</v>
      </c>
      <c r="I288">
        <v>5</v>
      </c>
      <c r="J288">
        <v>0</v>
      </c>
      <c r="K288">
        <v>0</v>
      </c>
      <c r="L288">
        <v>0</v>
      </c>
      <c r="M288">
        <v>2</v>
      </c>
      <c r="N288">
        <v>18536.520834306561</v>
      </c>
      <c r="O288">
        <v>1</v>
      </c>
      <c r="P288">
        <v>0</v>
      </c>
      <c r="Q288">
        <v>1</v>
      </c>
      <c r="R288">
        <v>4</v>
      </c>
      <c r="S288">
        <v>1</v>
      </c>
      <c r="T288">
        <v>42</v>
      </c>
      <c r="U288">
        <v>1</v>
      </c>
    </row>
    <row r="289" spans="1:21" x14ac:dyDescent="0.45">
      <c r="A289">
        <v>390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3</v>
      </c>
      <c r="N289">
        <v>18112.29502954768</v>
      </c>
      <c r="O289">
        <v>1</v>
      </c>
      <c r="P289">
        <v>1</v>
      </c>
      <c r="Q289">
        <v>1</v>
      </c>
      <c r="R289">
        <v>2</v>
      </c>
      <c r="S289">
        <v>2</v>
      </c>
      <c r="T289">
        <v>335</v>
      </c>
      <c r="U289">
        <v>1</v>
      </c>
    </row>
    <row r="290" spans="1:21" x14ac:dyDescent="0.45">
      <c r="A290">
        <v>391</v>
      </c>
      <c r="B290">
        <v>0</v>
      </c>
      <c r="C290">
        <v>0</v>
      </c>
      <c r="D290">
        <v>0</v>
      </c>
      <c r="E290">
        <v>3</v>
      </c>
      <c r="F290">
        <v>0</v>
      </c>
      <c r="G290">
        <v>5</v>
      </c>
      <c r="H290">
        <v>8</v>
      </c>
      <c r="I290">
        <v>6</v>
      </c>
      <c r="J290">
        <v>0</v>
      </c>
      <c r="K290">
        <v>0</v>
      </c>
      <c r="L290">
        <v>0</v>
      </c>
      <c r="M290">
        <v>13</v>
      </c>
      <c r="N290">
        <v>15511.66053107822</v>
      </c>
      <c r="O290">
        <v>1</v>
      </c>
      <c r="P290">
        <v>1</v>
      </c>
      <c r="Q290">
        <v>1</v>
      </c>
      <c r="R290">
        <v>4</v>
      </c>
      <c r="S290">
        <v>2</v>
      </c>
      <c r="T290">
        <v>340</v>
      </c>
      <c r="U290">
        <v>3</v>
      </c>
    </row>
    <row r="291" spans="1:21" x14ac:dyDescent="0.45">
      <c r="A291">
        <v>392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2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15228.91343223275</v>
      </c>
      <c r="O291">
        <v>3</v>
      </c>
      <c r="P291">
        <v>0</v>
      </c>
      <c r="Q291">
        <v>0</v>
      </c>
      <c r="R291">
        <v>1</v>
      </c>
      <c r="S291">
        <v>2</v>
      </c>
      <c r="T291">
        <v>1233</v>
      </c>
      <c r="U291">
        <v>1</v>
      </c>
    </row>
    <row r="292" spans="1:21" x14ac:dyDescent="0.45">
      <c r="A292">
        <v>393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3</v>
      </c>
      <c r="N292">
        <v>15098.126263965771</v>
      </c>
      <c r="O292">
        <v>3</v>
      </c>
      <c r="P292">
        <v>0</v>
      </c>
      <c r="Q292">
        <v>0</v>
      </c>
      <c r="R292">
        <v>1</v>
      </c>
      <c r="S292">
        <v>2</v>
      </c>
      <c r="T292">
        <v>708</v>
      </c>
      <c r="U292">
        <v>1</v>
      </c>
    </row>
    <row r="293" spans="1:21" x14ac:dyDescent="0.45">
      <c r="A293">
        <v>394</v>
      </c>
      <c r="B293">
        <v>0</v>
      </c>
      <c r="C293">
        <v>1</v>
      </c>
      <c r="D293">
        <v>0</v>
      </c>
      <c r="E293">
        <v>1</v>
      </c>
      <c r="F293">
        <v>0</v>
      </c>
      <c r="G293">
        <v>3</v>
      </c>
      <c r="H293">
        <v>2</v>
      </c>
      <c r="I293">
        <v>1</v>
      </c>
      <c r="J293">
        <v>0</v>
      </c>
      <c r="K293">
        <v>0</v>
      </c>
      <c r="L293">
        <v>0</v>
      </c>
      <c r="M293">
        <v>11</v>
      </c>
      <c r="N293">
        <v>15005.25821295487</v>
      </c>
      <c r="O293">
        <v>3</v>
      </c>
      <c r="P293">
        <v>0</v>
      </c>
      <c r="Q293">
        <v>0</v>
      </c>
      <c r="R293">
        <v>1</v>
      </c>
      <c r="S293">
        <v>1</v>
      </c>
      <c r="T293">
        <v>117</v>
      </c>
      <c r="U293">
        <v>1</v>
      </c>
    </row>
    <row r="294" spans="1:21" x14ac:dyDescent="0.45">
      <c r="A294">
        <v>395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14823.176425832789</v>
      </c>
      <c r="O294">
        <v>2</v>
      </c>
      <c r="P294">
        <v>0</v>
      </c>
      <c r="Q294">
        <v>0</v>
      </c>
      <c r="R294">
        <v>2</v>
      </c>
      <c r="S294">
        <v>1</v>
      </c>
      <c r="T294">
        <v>177</v>
      </c>
      <c r="U294">
        <v>1</v>
      </c>
    </row>
    <row r="295" spans="1:21" x14ac:dyDescent="0.45">
      <c r="A295">
        <v>397</v>
      </c>
      <c r="B295">
        <v>0</v>
      </c>
      <c r="C295">
        <v>0</v>
      </c>
      <c r="D295">
        <v>1</v>
      </c>
      <c r="E295">
        <v>3</v>
      </c>
      <c r="F295">
        <v>1</v>
      </c>
      <c r="G295">
        <v>4</v>
      </c>
      <c r="H295">
        <v>7</v>
      </c>
      <c r="I295">
        <v>9</v>
      </c>
      <c r="J295">
        <v>2</v>
      </c>
      <c r="K295">
        <v>6</v>
      </c>
      <c r="L295">
        <v>0</v>
      </c>
      <c r="M295">
        <v>23</v>
      </c>
      <c r="N295">
        <v>13472.60050415031</v>
      </c>
      <c r="O295">
        <v>3</v>
      </c>
      <c r="P295">
        <v>0</v>
      </c>
      <c r="Q295">
        <v>0</v>
      </c>
      <c r="R295">
        <v>4</v>
      </c>
      <c r="S295">
        <v>1</v>
      </c>
      <c r="T295">
        <v>83</v>
      </c>
      <c r="U295">
        <v>2</v>
      </c>
    </row>
    <row r="296" spans="1:21" x14ac:dyDescent="0.45">
      <c r="A296">
        <v>398</v>
      </c>
      <c r="B296">
        <v>0</v>
      </c>
      <c r="C296">
        <v>0</v>
      </c>
      <c r="D296">
        <v>1</v>
      </c>
      <c r="E296">
        <v>6</v>
      </c>
      <c r="F296">
        <v>0</v>
      </c>
      <c r="G296">
        <v>15</v>
      </c>
      <c r="H296">
        <v>21</v>
      </c>
      <c r="I296">
        <v>15</v>
      </c>
      <c r="J296">
        <v>1</v>
      </c>
      <c r="K296">
        <v>5</v>
      </c>
      <c r="L296">
        <v>1</v>
      </c>
      <c r="M296">
        <v>17</v>
      </c>
      <c r="N296">
        <v>12774.32542985496</v>
      </c>
      <c r="O296">
        <v>3</v>
      </c>
      <c r="P296">
        <v>0</v>
      </c>
      <c r="Q296">
        <v>1</v>
      </c>
      <c r="R296">
        <v>4</v>
      </c>
      <c r="S296">
        <v>4</v>
      </c>
      <c r="T296">
        <v>733</v>
      </c>
      <c r="U296">
        <v>3</v>
      </c>
    </row>
    <row r="297" spans="1:21" x14ac:dyDescent="0.45">
      <c r="A297">
        <v>399</v>
      </c>
      <c r="B297">
        <v>0</v>
      </c>
      <c r="C297">
        <v>0</v>
      </c>
      <c r="D297">
        <v>1</v>
      </c>
      <c r="E297">
        <v>6</v>
      </c>
      <c r="F297">
        <v>0</v>
      </c>
      <c r="G297">
        <v>15</v>
      </c>
      <c r="H297">
        <v>21</v>
      </c>
      <c r="I297">
        <v>15</v>
      </c>
      <c r="J297">
        <v>1</v>
      </c>
      <c r="K297">
        <v>5</v>
      </c>
      <c r="L297">
        <v>1</v>
      </c>
      <c r="M297">
        <v>17</v>
      </c>
      <c r="N297">
        <v>12718.83818968414</v>
      </c>
      <c r="O297">
        <v>3</v>
      </c>
      <c r="P297">
        <v>0</v>
      </c>
      <c r="Q297">
        <v>1</v>
      </c>
      <c r="R297">
        <v>4</v>
      </c>
      <c r="S297">
        <v>2</v>
      </c>
      <c r="T297">
        <v>446</v>
      </c>
      <c r="U297">
        <v>1</v>
      </c>
    </row>
    <row r="298" spans="1:21" x14ac:dyDescent="0.45">
      <c r="A298">
        <v>400</v>
      </c>
      <c r="B298">
        <v>0</v>
      </c>
      <c r="C298">
        <v>0</v>
      </c>
      <c r="D298">
        <v>1</v>
      </c>
      <c r="E298">
        <v>4</v>
      </c>
      <c r="F298">
        <v>1</v>
      </c>
      <c r="G298">
        <v>7</v>
      </c>
      <c r="H298">
        <v>11</v>
      </c>
      <c r="I298">
        <v>6</v>
      </c>
      <c r="J298">
        <v>2</v>
      </c>
      <c r="K298">
        <v>1</v>
      </c>
      <c r="L298">
        <v>0</v>
      </c>
      <c r="M298">
        <v>17</v>
      </c>
      <c r="N298">
        <v>13733.93285124572</v>
      </c>
      <c r="O298">
        <v>2</v>
      </c>
      <c r="P298">
        <v>0</v>
      </c>
      <c r="Q298">
        <v>1</v>
      </c>
      <c r="R298">
        <v>4</v>
      </c>
      <c r="S298">
        <v>5</v>
      </c>
      <c r="T298">
        <v>1835</v>
      </c>
      <c r="U298">
        <v>3</v>
      </c>
    </row>
    <row r="299" spans="1:21" x14ac:dyDescent="0.45">
      <c r="A299">
        <v>401</v>
      </c>
      <c r="B299">
        <v>0</v>
      </c>
      <c r="C299">
        <v>0</v>
      </c>
      <c r="D299">
        <v>1</v>
      </c>
      <c r="E299">
        <v>3</v>
      </c>
      <c r="F299">
        <v>0</v>
      </c>
      <c r="G299">
        <v>1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2</v>
      </c>
      <c r="N299">
        <v>14491.068909977739</v>
      </c>
      <c r="O299">
        <v>1</v>
      </c>
      <c r="P299">
        <v>0</v>
      </c>
      <c r="Q299">
        <v>1</v>
      </c>
      <c r="R299">
        <v>4</v>
      </c>
      <c r="S299">
        <v>2</v>
      </c>
      <c r="T299">
        <v>551</v>
      </c>
      <c r="U299">
        <v>2</v>
      </c>
    </row>
    <row r="300" spans="1:21" x14ac:dyDescent="0.45">
      <c r="A300">
        <v>402</v>
      </c>
      <c r="B300">
        <v>0</v>
      </c>
      <c r="C300">
        <v>1</v>
      </c>
      <c r="D300">
        <v>0</v>
      </c>
      <c r="E300">
        <v>2</v>
      </c>
      <c r="F300">
        <v>0</v>
      </c>
      <c r="G300">
        <v>1</v>
      </c>
      <c r="H300">
        <v>4</v>
      </c>
      <c r="I300">
        <v>1</v>
      </c>
      <c r="J300">
        <v>0</v>
      </c>
      <c r="K300">
        <v>0</v>
      </c>
      <c r="L300">
        <v>0</v>
      </c>
      <c r="M300">
        <v>3</v>
      </c>
      <c r="N300">
        <v>14547.254614425339</v>
      </c>
      <c r="O300">
        <v>1</v>
      </c>
      <c r="P300">
        <v>0</v>
      </c>
      <c r="Q300">
        <v>1</v>
      </c>
      <c r="R300">
        <v>4</v>
      </c>
      <c r="S300">
        <v>2</v>
      </c>
      <c r="T300">
        <v>565</v>
      </c>
      <c r="U300">
        <v>2</v>
      </c>
    </row>
    <row r="301" spans="1:21" x14ac:dyDescent="0.45">
      <c r="A301">
        <v>404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4</v>
      </c>
      <c r="H301">
        <v>8</v>
      </c>
      <c r="I301">
        <v>4</v>
      </c>
      <c r="J301">
        <v>0</v>
      </c>
      <c r="K301">
        <v>0</v>
      </c>
      <c r="L301">
        <v>0</v>
      </c>
      <c r="M301">
        <v>6</v>
      </c>
      <c r="N301">
        <v>13339.66391729803</v>
      </c>
      <c r="O301">
        <v>2</v>
      </c>
      <c r="P301">
        <v>0</v>
      </c>
      <c r="Q301">
        <v>0</v>
      </c>
      <c r="R301">
        <v>3</v>
      </c>
      <c r="S301">
        <v>1</v>
      </c>
      <c r="T301">
        <v>1087</v>
      </c>
      <c r="U301">
        <v>3</v>
      </c>
    </row>
    <row r="302" spans="1:21" x14ac:dyDescent="0.45">
      <c r="A302">
        <v>405</v>
      </c>
      <c r="B302">
        <v>0</v>
      </c>
      <c r="C302">
        <v>0</v>
      </c>
      <c r="D302">
        <v>2</v>
      </c>
      <c r="E302">
        <v>2</v>
      </c>
      <c r="F302">
        <v>0</v>
      </c>
      <c r="G302">
        <v>4</v>
      </c>
      <c r="H302">
        <v>3</v>
      </c>
      <c r="I302">
        <v>4</v>
      </c>
      <c r="J302">
        <v>0</v>
      </c>
      <c r="K302">
        <v>0</v>
      </c>
      <c r="L302">
        <v>0</v>
      </c>
      <c r="M302">
        <v>4</v>
      </c>
      <c r="N302">
        <v>13004.84024882469</v>
      </c>
      <c r="O302">
        <v>1</v>
      </c>
      <c r="P302">
        <v>0</v>
      </c>
      <c r="Q302">
        <v>0</v>
      </c>
      <c r="R302">
        <v>0</v>
      </c>
      <c r="S302">
        <v>2</v>
      </c>
      <c r="T302">
        <v>162</v>
      </c>
      <c r="U302">
        <v>1</v>
      </c>
    </row>
    <row r="303" spans="1:21" x14ac:dyDescent="0.45">
      <c r="A303">
        <v>406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2</v>
      </c>
      <c r="I303">
        <v>5</v>
      </c>
      <c r="J303">
        <v>0</v>
      </c>
      <c r="K303">
        <v>6</v>
      </c>
      <c r="L303">
        <v>0</v>
      </c>
      <c r="M303">
        <v>5</v>
      </c>
      <c r="N303">
        <v>6067.6896989699144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390</v>
      </c>
      <c r="U303">
        <v>1</v>
      </c>
    </row>
    <row r="304" spans="1:21" x14ac:dyDescent="0.45">
      <c r="A304">
        <v>407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2</v>
      </c>
      <c r="I304">
        <v>6</v>
      </c>
      <c r="J304">
        <v>2</v>
      </c>
      <c r="K304">
        <v>6</v>
      </c>
      <c r="L304">
        <v>0</v>
      </c>
      <c r="M304">
        <v>9</v>
      </c>
      <c r="N304">
        <v>6130.7244821890354</v>
      </c>
      <c r="O304">
        <v>1</v>
      </c>
      <c r="P304">
        <v>0</v>
      </c>
      <c r="Q304">
        <v>0</v>
      </c>
      <c r="R304">
        <v>1</v>
      </c>
      <c r="S304">
        <v>2</v>
      </c>
      <c r="T304">
        <v>1376</v>
      </c>
      <c r="U304">
        <v>2</v>
      </c>
    </row>
    <row r="305" spans="1:21" x14ac:dyDescent="0.45">
      <c r="A305">
        <v>408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1</v>
      </c>
      <c r="H305">
        <v>2</v>
      </c>
      <c r="I305">
        <v>3</v>
      </c>
      <c r="J305">
        <v>0</v>
      </c>
      <c r="K305">
        <v>5</v>
      </c>
      <c r="L305">
        <v>0</v>
      </c>
      <c r="M305">
        <v>8</v>
      </c>
      <c r="N305">
        <v>6201.8505292562349</v>
      </c>
      <c r="O305">
        <v>2</v>
      </c>
      <c r="P305">
        <v>0</v>
      </c>
      <c r="Q305">
        <v>0</v>
      </c>
      <c r="R305">
        <v>1</v>
      </c>
      <c r="S305">
        <v>1</v>
      </c>
      <c r="T305">
        <v>689</v>
      </c>
      <c r="U305">
        <v>1</v>
      </c>
    </row>
    <row r="306" spans="1:21" x14ac:dyDescent="0.45">
      <c r="A306">
        <v>409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1</v>
      </c>
      <c r="H306">
        <v>2</v>
      </c>
      <c r="I306">
        <v>5</v>
      </c>
      <c r="J306">
        <v>0</v>
      </c>
      <c r="K306">
        <v>6</v>
      </c>
      <c r="L306">
        <v>0</v>
      </c>
      <c r="M306">
        <v>8</v>
      </c>
      <c r="N306">
        <v>6067.6896989699144</v>
      </c>
      <c r="O306">
        <v>3</v>
      </c>
      <c r="P306">
        <v>0</v>
      </c>
      <c r="Q306">
        <v>1</v>
      </c>
      <c r="R306">
        <v>1</v>
      </c>
      <c r="S306">
        <v>4</v>
      </c>
      <c r="T306">
        <v>811</v>
      </c>
      <c r="U306">
        <v>2</v>
      </c>
    </row>
    <row r="307" spans="1:21" x14ac:dyDescent="0.45">
      <c r="A307">
        <v>410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6</v>
      </c>
      <c r="J307">
        <v>0</v>
      </c>
      <c r="K307">
        <v>1</v>
      </c>
      <c r="L307">
        <v>0</v>
      </c>
      <c r="M307">
        <v>2</v>
      </c>
      <c r="N307">
        <v>6223.8068021950521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434</v>
      </c>
      <c r="U307">
        <v>3</v>
      </c>
    </row>
    <row r="308" spans="1:21" x14ac:dyDescent="0.45">
      <c r="A308">
        <v>411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6</v>
      </c>
      <c r="J308">
        <v>0</v>
      </c>
      <c r="K308">
        <v>1</v>
      </c>
      <c r="L308">
        <v>0</v>
      </c>
      <c r="M308">
        <v>2</v>
      </c>
      <c r="N308">
        <v>6194.6118311242326</v>
      </c>
      <c r="O308">
        <v>2</v>
      </c>
      <c r="P308">
        <v>0</v>
      </c>
      <c r="Q308">
        <v>1</v>
      </c>
      <c r="R308">
        <v>1</v>
      </c>
      <c r="S308">
        <v>1</v>
      </c>
      <c r="T308">
        <v>271</v>
      </c>
      <c r="U308">
        <v>1</v>
      </c>
    </row>
    <row r="309" spans="1:21" x14ac:dyDescent="0.45">
      <c r="A309">
        <v>412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2</v>
      </c>
      <c r="I309">
        <v>6</v>
      </c>
      <c r="J309">
        <v>2</v>
      </c>
      <c r="K309">
        <v>5</v>
      </c>
      <c r="L309">
        <v>0</v>
      </c>
      <c r="M309">
        <v>15</v>
      </c>
      <c r="N309">
        <v>5812.9666034394686</v>
      </c>
      <c r="O309">
        <v>3</v>
      </c>
      <c r="P309">
        <v>0</v>
      </c>
      <c r="Q309">
        <v>1</v>
      </c>
      <c r="R309">
        <v>1</v>
      </c>
      <c r="S309">
        <v>4</v>
      </c>
      <c r="T309">
        <v>1358</v>
      </c>
      <c r="U309">
        <v>3</v>
      </c>
    </row>
    <row r="310" spans="1:21" x14ac:dyDescent="0.45">
      <c r="A310">
        <v>413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8</v>
      </c>
      <c r="N310">
        <v>7415.9893336886216</v>
      </c>
      <c r="O310">
        <v>4</v>
      </c>
      <c r="P310">
        <v>0</v>
      </c>
      <c r="Q310">
        <v>1</v>
      </c>
      <c r="R310">
        <v>3</v>
      </c>
      <c r="S310">
        <v>3</v>
      </c>
      <c r="T310">
        <v>3340</v>
      </c>
      <c r="U310">
        <v>2</v>
      </c>
    </row>
    <row r="311" spans="1:21" x14ac:dyDescent="0.45">
      <c r="A311">
        <v>414</v>
      </c>
      <c r="B311">
        <v>0</v>
      </c>
      <c r="C311">
        <v>0</v>
      </c>
      <c r="D311">
        <v>0</v>
      </c>
      <c r="E311">
        <v>2</v>
      </c>
      <c r="F311">
        <v>0</v>
      </c>
      <c r="G311">
        <v>2</v>
      </c>
      <c r="H311">
        <v>5</v>
      </c>
      <c r="I311">
        <v>5</v>
      </c>
      <c r="J311">
        <v>2</v>
      </c>
      <c r="K311">
        <v>5</v>
      </c>
      <c r="L311">
        <v>0</v>
      </c>
      <c r="M311">
        <v>9</v>
      </c>
      <c r="N311">
        <v>7812.9730577406644</v>
      </c>
      <c r="O311">
        <v>1</v>
      </c>
      <c r="P311">
        <v>0</v>
      </c>
      <c r="Q311">
        <v>1</v>
      </c>
      <c r="R311">
        <v>3</v>
      </c>
      <c r="S311">
        <v>5</v>
      </c>
      <c r="T311">
        <v>1256</v>
      </c>
      <c r="U311">
        <v>4</v>
      </c>
    </row>
    <row r="312" spans="1:21" x14ac:dyDescent="0.45">
      <c r="A312">
        <v>415</v>
      </c>
      <c r="B312">
        <v>0</v>
      </c>
      <c r="C312">
        <v>1</v>
      </c>
      <c r="D312">
        <v>0</v>
      </c>
      <c r="E312">
        <v>2</v>
      </c>
      <c r="F312">
        <v>0</v>
      </c>
      <c r="G312">
        <v>2</v>
      </c>
      <c r="H312">
        <v>4</v>
      </c>
      <c r="I312">
        <v>5</v>
      </c>
      <c r="J312">
        <v>1</v>
      </c>
      <c r="K312">
        <v>5</v>
      </c>
      <c r="L312">
        <v>0</v>
      </c>
      <c r="M312">
        <v>9</v>
      </c>
      <c r="N312">
        <v>7877.2692715321073</v>
      </c>
      <c r="O312">
        <v>1</v>
      </c>
      <c r="P312">
        <v>0</v>
      </c>
      <c r="Q312">
        <v>1</v>
      </c>
      <c r="R312">
        <v>1</v>
      </c>
      <c r="S312">
        <v>4</v>
      </c>
      <c r="T312">
        <v>1493</v>
      </c>
      <c r="U312">
        <v>3</v>
      </c>
    </row>
    <row r="313" spans="1:21" x14ac:dyDescent="0.45">
      <c r="A313">
        <v>416</v>
      </c>
      <c r="B313">
        <v>0</v>
      </c>
      <c r="C313">
        <v>0</v>
      </c>
      <c r="D313">
        <v>1</v>
      </c>
      <c r="E313">
        <v>3</v>
      </c>
      <c r="F313">
        <v>0</v>
      </c>
      <c r="G313">
        <v>5</v>
      </c>
      <c r="H313">
        <v>8</v>
      </c>
      <c r="I313">
        <v>9</v>
      </c>
      <c r="J313">
        <v>3</v>
      </c>
      <c r="K313">
        <v>7</v>
      </c>
      <c r="L313">
        <v>0</v>
      </c>
      <c r="M313">
        <v>11</v>
      </c>
      <c r="N313">
        <v>8101.5436400535746</v>
      </c>
      <c r="O313">
        <v>4</v>
      </c>
      <c r="P313">
        <v>0</v>
      </c>
      <c r="Q313">
        <v>1</v>
      </c>
      <c r="R313">
        <v>3</v>
      </c>
      <c r="S313">
        <v>2</v>
      </c>
      <c r="T313">
        <v>189</v>
      </c>
      <c r="U313">
        <v>1</v>
      </c>
    </row>
    <row r="314" spans="1:21" x14ac:dyDescent="0.45">
      <c r="A314">
        <v>417</v>
      </c>
      <c r="B314">
        <v>0</v>
      </c>
      <c r="C314">
        <v>0</v>
      </c>
      <c r="D314">
        <v>1</v>
      </c>
      <c r="E314">
        <v>3</v>
      </c>
      <c r="F314">
        <v>0</v>
      </c>
      <c r="G314">
        <v>5</v>
      </c>
      <c r="H314">
        <v>8</v>
      </c>
      <c r="I314">
        <v>9</v>
      </c>
      <c r="J314">
        <v>3</v>
      </c>
      <c r="K314">
        <v>7</v>
      </c>
      <c r="L314">
        <v>0</v>
      </c>
      <c r="M314">
        <v>11</v>
      </c>
      <c r="N314">
        <v>8101.5436400535746</v>
      </c>
      <c r="O314">
        <v>4</v>
      </c>
      <c r="P314">
        <v>0</v>
      </c>
      <c r="Q314">
        <v>1</v>
      </c>
      <c r="R314">
        <v>3</v>
      </c>
      <c r="S314">
        <v>3</v>
      </c>
      <c r="T314">
        <v>225</v>
      </c>
      <c r="U314">
        <v>1</v>
      </c>
    </row>
    <row r="315" spans="1:21" x14ac:dyDescent="0.45">
      <c r="A315">
        <v>418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5</v>
      </c>
      <c r="J315">
        <v>1</v>
      </c>
      <c r="K315">
        <v>5</v>
      </c>
      <c r="L315">
        <v>0</v>
      </c>
      <c r="M315">
        <v>10</v>
      </c>
      <c r="N315">
        <v>9427.086023217842</v>
      </c>
      <c r="O315">
        <v>4</v>
      </c>
      <c r="P315">
        <v>0</v>
      </c>
      <c r="Q315">
        <v>0</v>
      </c>
      <c r="R315">
        <v>2</v>
      </c>
      <c r="S315">
        <v>1</v>
      </c>
      <c r="T315">
        <v>52</v>
      </c>
      <c r="U315">
        <v>2</v>
      </c>
    </row>
    <row r="316" spans="1:21" x14ac:dyDescent="0.45">
      <c r="A316">
        <v>421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1</v>
      </c>
      <c r="K316">
        <v>4</v>
      </c>
      <c r="L316">
        <v>0</v>
      </c>
      <c r="M316">
        <v>0</v>
      </c>
      <c r="N316">
        <v>7907.0181312557479</v>
      </c>
      <c r="O316">
        <v>3</v>
      </c>
      <c r="P316">
        <v>0</v>
      </c>
      <c r="Q316">
        <v>1</v>
      </c>
      <c r="R316">
        <v>1</v>
      </c>
      <c r="S316">
        <v>2</v>
      </c>
      <c r="T316">
        <v>67</v>
      </c>
      <c r="U316">
        <v>1</v>
      </c>
    </row>
    <row r="317" spans="1:21" x14ac:dyDescent="0.45">
      <c r="A317">
        <v>422</v>
      </c>
      <c r="B317">
        <v>0</v>
      </c>
      <c r="C317">
        <v>0</v>
      </c>
      <c r="D317">
        <v>0</v>
      </c>
      <c r="E317">
        <v>3</v>
      </c>
      <c r="F317">
        <v>1</v>
      </c>
      <c r="G317">
        <v>7</v>
      </c>
      <c r="H317">
        <v>6</v>
      </c>
      <c r="I317">
        <v>1</v>
      </c>
      <c r="J317">
        <v>0</v>
      </c>
      <c r="K317">
        <v>2</v>
      </c>
      <c r="L317">
        <v>0</v>
      </c>
      <c r="M317">
        <v>4</v>
      </c>
      <c r="N317">
        <v>9222.5315762775263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748</v>
      </c>
      <c r="U317">
        <v>1</v>
      </c>
    </row>
    <row r="318" spans="1:21" x14ac:dyDescent="0.45">
      <c r="A318">
        <v>423</v>
      </c>
      <c r="B318">
        <v>1</v>
      </c>
      <c r="C318">
        <v>0</v>
      </c>
      <c r="D318">
        <v>2</v>
      </c>
      <c r="E318">
        <v>2</v>
      </c>
      <c r="F318">
        <v>0</v>
      </c>
      <c r="G318">
        <v>13</v>
      </c>
      <c r="H318">
        <v>16</v>
      </c>
      <c r="I318">
        <v>25</v>
      </c>
      <c r="J318">
        <v>6</v>
      </c>
      <c r="K318">
        <v>7</v>
      </c>
      <c r="L318">
        <v>2</v>
      </c>
      <c r="M318">
        <v>10</v>
      </c>
      <c r="N318">
        <v>8227.0053649525835</v>
      </c>
      <c r="O318">
        <v>4</v>
      </c>
      <c r="P318">
        <v>0</v>
      </c>
      <c r="Q318">
        <v>1</v>
      </c>
      <c r="R318">
        <v>3</v>
      </c>
      <c r="S318">
        <v>3</v>
      </c>
      <c r="T318">
        <v>3859</v>
      </c>
      <c r="U318">
        <v>4</v>
      </c>
    </row>
    <row r="319" spans="1:21" x14ac:dyDescent="0.45">
      <c r="A319">
        <v>424</v>
      </c>
      <c r="B319">
        <v>0</v>
      </c>
      <c r="C319">
        <v>0</v>
      </c>
      <c r="D319">
        <v>2</v>
      </c>
      <c r="E319">
        <v>3</v>
      </c>
      <c r="F319">
        <v>0</v>
      </c>
      <c r="G319">
        <v>7</v>
      </c>
      <c r="H319">
        <v>14</v>
      </c>
      <c r="I319">
        <v>18</v>
      </c>
      <c r="J319">
        <v>5</v>
      </c>
      <c r="K319">
        <v>7</v>
      </c>
      <c r="L319">
        <v>2</v>
      </c>
      <c r="M319">
        <v>13</v>
      </c>
      <c r="N319">
        <v>8070.6522988276929</v>
      </c>
      <c r="O319">
        <v>4</v>
      </c>
      <c r="P319">
        <v>0</v>
      </c>
      <c r="Q319">
        <v>1</v>
      </c>
      <c r="R319">
        <v>4</v>
      </c>
      <c r="S319">
        <v>2</v>
      </c>
      <c r="T319">
        <v>1777</v>
      </c>
      <c r="U319">
        <v>1</v>
      </c>
    </row>
    <row r="320" spans="1:21" x14ac:dyDescent="0.45">
      <c r="A320">
        <v>425</v>
      </c>
      <c r="B320">
        <v>0</v>
      </c>
      <c r="C320">
        <v>0</v>
      </c>
      <c r="D320">
        <v>2</v>
      </c>
      <c r="E320">
        <v>3</v>
      </c>
      <c r="F320">
        <v>0</v>
      </c>
      <c r="G320">
        <v>10</v>
      </c>
      <c r="H320">
        <v>18</v>
      </c>
      <c r="I320">
        <v>25</v>
      </c>
      <c r="J320">
        <v>4</v>
      </c>
      <c r="K320">
        <v>9</v>
      </c>
      <c r="L320">
        <v>2</v>
      </c>
      <c r="M320">
        <v>10</v>
      </c>
      <c r="N320">
        <v>8300.5768762790849</v>
      </c>
      <c r="O320">
        <v>3</v>
      </c>
      <c r="P320">
        <v>0</v>
      </c>
      <c r="Q320">
        <v>0</v>
      </c>
      <c r="R320">
        <v>4</v>
      </c>
      <c r="S320">
        <v>1</v>
      </c>
      <c r="T320">
        <v>44</v>
      </c>
      <c r="U320">
        <v>1</v>
      </c>
    </row>
    <row r="321" spans="1:21" x14ac:dyDescent="0.45">
      <c r="A321">
        <v>426</v>
      </c>
      <c r="B321">
        <v>0</v>
      </c>
      <c r="C321">
        <v>0</v>
      </c>
      <c r="D321">
        <v>3</v>
      </c>
      <c r="E321">
        <v>6</v>
      </c>
      <c r="F321">
        <v>1</v>
      </c>
      <c r="G321">
        <v>12</v>
      </c>
      <c r="H321">
        <v>15</v>
      </c>
      <c r="I321">
        <v>16</v>
      </c>
      <c r="J321">
        <v>2</v>
      </c>
      <c r="K321">
        <v>2</v>
      </c>
      <c r="L321">
        <v>2</v>
      </c>
      <c r="M321">
        <v>6</v>
      </c>
      <c r="N321">
        <v>8793.2202824438082</v>
      </c>
      <c r="O321">
        <v>3</v>
      </c>
      <c r="P321">
        <v>0</v>
      </c>
      <c r="Q321">
        <v>0</v>
      </c>
      <c r="R321">
        <v>3</v>
      </c>
      <c r="S321">
        <v>1</v>
      </c>
      <c r="T321">
        <v>53</v>
      </c>
      <c r="U321">
        <v>1</v>
      </c>
    </row>
    <row r="322" spans="1:21" x14ac:dyDescent="0.45">
      <c r="A322">
        <v>430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</v>
      </c>
      <c r="M322">
        <v>9</v>
      </c>
      <c r="N322">
        <v>10049.344990879261</v>
      </c>
      <c r="O322">
        <v>2</v>
      </c>
      <c r="P322">
        <v>0</v>
      </c>
      <c r="Q322">
        <v>0</v>
      </c>
      <c r="R322">
        <v>1</v>
      </c>
      <c r="S322">
        <v>2</v>
      </c>
      <c r="T322">
        <v>967</v>
      </c>
      <c r="U322">
        <v>1</v>
      </c>
    </row>
    <row r="323" spans="1:21" x14ac:dyDescent="0.45">
      <c r="A323">
        <v>431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7</v>
      </c>
      <c r="N323">
        <v>9975.7898770932479</v>
      </c>
      <c r="O323">
        <v>3</v>
      </c>
      <c r="P323">
        <v>0</v>
      </c>
      <c r="Q323">
        <v>0</v>
      </c>
      <c r="R323">
        <v>1</v>
      </c>
      <c r="S323">
        <v>1</v>
      </c>
      <c r="T323">
        <v>201</v>
      </c>
      <c r="U323">
        <v>1</v>
      </c>
    </row>
    <row r="324" spans="1:21" x14ac:dyDescent="0.45">
      <c r="A324">
        <v>432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9</v>
      </c>
      <c r="J324">
        <v>0</v>
      </c>
      <c r="K324">
        <v>1</v>
      </c>
      <c r="L324">
        <v>0</v>
      </c>
      <c r="M324">
        <v>7</v>
      </c>
      <c r="N324">
        <v>10430.380392943071</v>
      </c>
      <c r="O324">
        <v>1</v>
      </c>
      <c r="P324">
        <v>0</v>
      </c>
      <c r="Q324">
        <v>1</v>
      </c>
      <c r="R324">
        <v>2</v>
      </c>
      <c r="S324">
        <v>2</v>
      </c>
      <c r="T324">
        <v>963</v>
      </c>
      <c r="U324">
        <v>1</v>
      </c>
    </row>
    <row r="325" spans="1:21" x14ac:dyDescent="0.45">
      <c r="A325">
        <v>433</v>
      </c>
      <c r="B325">
        <v>0</v>
      </c>
      <c r="C325">
        <v>0</v>
      </c>
      <c r="D325">
        <v>1</v>
      </c>
      <c r="E325">
        <v>2</v>
      </c>
      <c r="F325">
        <v>1</v>
      </c>
      <c r="G325">
        <v>7</v>
      </c>
      <c r="H325">
        <v>15</v>
      </c>
      <c r="I325">
        <v>21</v>
      </c>
      <c r="J325">
        <v>1</v>
      </c>
      <c r="K325">
        <v>3</v>
      </c>
      <c r="L325">
        <v>7</v>
      </c>
      <c r="M325">
        <v>12</v>
      </c>
      <c r="N325">
        <v>10819.868360355331</v>
      </c>
      <c r="O325">
        <v>3</v>
      </c>
      <c r="P325">
        <v>0</v>
      </c>
      <c r="Q325">
        <v>0</v>
      </c>
      <c r="R325">
        <v>3</v>
      </c>
      <c r="S325">
        <v>1</v>
      </c>
      <c r="T325">
        <v>64</v>
      </c>
      <c r="U325">
        <v>1</v>
      </c>
    </row>
    <row r="326" spans="1:21" x14ac:dyDescent="0.45">
      <c r="A326">
        <v>434</v>
      </c>
      <c r="B326">
        <v>0</v>
      </c>
      <c r="C326">
        <v>0</v>
      </c>
      <c r="D326">
        <v>2</v>
      </c>
      <c r="E326">
        <v>5</v>
      </c>
      <c r="F326">
        <v>1</v>
      </c>
      <c r="G326">
        <v>4</v>
      </c>
      <c r="H326">
        <v>7</v>
      </c>
      <c r="I326">
        <v>7</v>
      </c>
      <c r="J326">
        <v>2</v>
      </c>
      <c r="K326">
        <v>0</v>
      </c>
      <c r="L326">
        <v>0</v>
      </c>
      <c r="M326">
        <v>8</v>
      </c>
      <c r="N326">
        <v>11725.816040057751</v>
      </c>
      <c r="O326">
        <v>1</v>
      </c>
      <c r="P326">
        <v>0</v>
      </c>
      <c r="Q326">
        <v>1</v>
      </c>
      <c r="R326">
        <v>4</v>
      </c>
      <c r="S326">
        <v>3</v>
      </c>
      <c r="T326">
        <v>785</v>
      </c>
      <c r="U326">
        <v>1</v>
      </c>
    </row>
    <row r="327" spans="1:21" x14ac:dyDescent="0.45">
      <c r="A327">
        <v>435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7</v>
      </c>
      <c r="J327">
        <v>1</v>
      </c>
      <c r="K327">
        <v>0</v>
      </c>
      <c r="L327">
        <v>0</v>
      </c>
      <c r="M327">
        <v>4</v>
      </c>
      <c r="N327">
        <v>11137.622772100351</v>
      </c>
      <c r="O327">
        <v>1</v>
      </c>
      <c r="P327">
        <v>0</v>
      </c>
      <c r="Q327">
        <v>1</v>
      </c>
      <c r="R327">
        <v>1</v>
      </c>
      <c r="S327">
        <v>4</v>
      </c>
      <c r="T327">
        <v>1371</v>
      </c>
      <c r="U327">
        <v>3</v>
      </c>
    </row>
    <row r="328" spans="1:21" x14ac:dyDescent="0.45">
      <c r="A328">
        <v>436</v>
      </c>
      <c r="B328">
        <v>0</v>
      </c>
      <c r="C328">
        <v>0</v>
      </c>
      <c r="D328">
        <v>3</v>
      </c>
      <c r="E328">
        <v>1</v>
      </c>
      <c r="F328">
        <v>2</v>
      </c>
      <c r="G328">
        <v>3</v>
      </c>
      <c r="H328">
        <v>7</v>
      </c>
      <c r="I328">
        <v>14</v>
      </c>
      <c r="J328">
        <v>5</v>
      </c>
      <c r="K328">
        <v>9</v>
      </c>
      <c r="L328">
        <v>0</v>
      </c>
      <c r="M328">
        <v>8</v>
      </c>
      <c r="N328">
        <v>3327.583339453372</v>
      </c>
      <c r="O328">
        <v>1</v>
      </c>
      <c r="P328">
        <v>0</v>
      </c>
      <c r="Q328">
        <v>1</v>
      </c>
      <c r="R328">
        <v>3</v>
      </c>
      <c r="S328">
        <v>3</v>
      </c>
      <c r="T328">
        <v>1674</v>
      </c>
      <c r="U328">
        <v>3</v>
      </c>
    </row>
    <row r="329" spans="1:21" x14ac:dyDescent="0.45">
      <c r="A329">
        <v>437</v>
      </c>
      <c r="B329">
        <v>1</v>
      </c>
      <c r="C329">
        <v>0</v>
      </c>
      <c r="D329">
        <v>2</v>
      </c>
      <c r="E329">
        <v>1</v>
      </c>
      <c r="F329">
        <v>2</v>
      </c>
      <c r="G329">
        <v>7</v>
      </c>
      <c r="H329">
        <v>10</v>
      </c>
      <c r="I329">
        <v>18</v>
      </c>
      <c r="J329">
        <v>6</v>
      </c>
      <c r="K329">
        <v>10</v>
      </c>
      <c r="L329">
        <v>0</v>
      </c>
      <c r="M329">
        <v>9</v>
      </c>
      <c r="N329">
        <v>3393.964706760039</v>
      </c>
      <c r="O329">
        <v>2</v>
      </c>
      <c r="P329">
        <v>0</v>
      </c>
      <c r="Q329">
        <v>0</v>
      </c>
      <c r="R329">
        <v>3</v>
      </c>
      <c r="S329">
        <v>1</v>
      </c>
      <c r="T329">
        <v>527</v>
      </c>
      <c r="U329">
        <v>1</v>
      </c>
    </row>
    <row r="330" spans="1:21" x14ac:dyDescent="0.45">
      <c r="A330">
        <v>438</v>
      </c>
      <c r="B330">
        <v>0</v>
      </c>
      <c r="C330">
        <v>0</v>
      </c>
      <c r="D330">
        <v>1</v>
      </c>
      <c r="E330">
        <v>2</v>
      </c>
      <c r="F330">
        <v>2</v>
      </c>
      <c r="G330">
        <v>15</v>
      </c>
      <c r="H330">
        <v>17</v>
      </c>
      <c r="I330">
        <v>49</v>
      </c>
      <c r="J330">
        <v>11</v>
      </c>
      <c r="K330">
        <v>14</v>
      </c>
      <c r="L330">
        <v>5</v>
      </c>
      <c r="M330">
        <v>23</v>
      </c>
      <c r="N330">
        <v>3923.062527779291</v>
      </c>
      <c r="O330">
        <v>4</v>
      </c>
      <c r="P330">
        <v>0</v>
      </c>
      <c r="Q330">
        <v>1</v>
      </c>
      <c r="R330">
        <v>4</v>
      </c>
      <c r="S330">
        <v>3</v>
      </c>
      <c r="T330">
        <v>173</v>
      </c>
      <c r="U330">
        <v>1</v>
      </c>
    </row>
    <row r="331" spans="1:21" x14ac:dyDescent="0.45">
      <c r="A331">
        <v>439</v>
      </c>
      <c r="B331">
        <v>0</v>
      </c>
      <c r="C331">
        <v>0</v>
      </c>
      <c r="D331">
        <v>1</v>
      </c>
      <c r="E331">
        <v>1</v>
      </c>
      <c r="F331">
        <v>3</v>
      </c>
      <c r="G331">
        <v>14</v>
      </c>
      <c r="H331">
        <v>15</v>
      </c>
      <c r="I331">
        <v>46</v>
      </c>
      <c r="J331">
        <v>15</v>
      </c>
      <c r="K331">
        <v>16</v>
      </c>
      <c r="L331">
        <v>5</v>
      </c>
      <c r="M331">
        <v>19</v>
      </c>
      <c r="N331">
        <v>3834.8302991795049</v>
      </c>
      <c r="O331">
        <v>1</v>
      </c>
      <c r="P331">
        <v>0</v>
      </c>
      <c r="Q331">
        <v>1</v>
      </c>
      <c r="R331">
        <v>4</v>
      </c>
      <c r="S331">
        <v>5</v>
      </c>
      <c r="T331">
        <v>1729</v>
      </c>
      <c r="U331">
        <v>3</v>
      </c>
    </row>
    <row r="332" spans="1:21" x14ac:dyDescent="0.45">
      <c r="A332">
        <v>440</v>
      </c>
      <c r="B332">
        <v>0</v>
      </c>
      <c r="C332">
        <v>0</v>
      </c>
      <c r="D332">
        <v>1</v>
      </c>
      <c r="E332">
        <v>2</v>
      </c>
      <c r="F332">
        <v>3</v>
      </c>
      <c r="G332">
        <v>15</v>
      </c>
      <c r="H332">
        <v>13</v>
      </c>
      <c r="I332">
        <v>44</v>
      </c>
      <c r="J332">
        <v>14</v>
      </c>
      <c r="K332">
        <v>16</v>
      </c>
      <c r="L332">
        <v>5</v>
      </c>
      <c r="M332">
        <v>19</v>
      </c>
      <c r="N332">
        <v>3828.0123951408332</v>
      </c>
      <c r="O332">
        <v>4</v>
      </c>
      <c r="P332">
        <v>0</v>
      </c>
      <c r="Q332">
        <v>1</v>
      </c>
      <c r="R332">
        <v>4</v>
      </c>
      <c r="S332">
        <v>5</v>
      </c>
      <c r="T332">
        <v>707</v>
      </c>
      <c r="U332">
        <v>2</v>
      </c>
    </row>
    <row r="333" spans="1:21" x14ac:dyDescent="0.45">
      <c r="A333">
        <v>441</v>
      </c>
      <c r="B333">
        <v>0</v>
      </c>
      <c r="C333">
        <v>0</v>
      </c>
      <c r="D333">
        <v>3</v>
      </c>
      <c r="E333">
        <v>4</v>
      </c>
      <c r="F333">
        <v>1</v>
      </c>
      <c r="G333">
        <v>18</v>
      </c>
      <c r="H333">
        <v>12</v>
      </c>
      <c r="I333">
        <v>23</v>
      </c>
      <c r="J333">
        <v>13</v>
      </c>
      <c r="K333">
        <v>5</v>
      </c>
      <c r="L333">
        <v>1</v>
      </c>
      <c r="M333">
        <v>24</v>
      </c>
      <c r="N333">
        <v>4272.4223264238208</v>
      </c>
      <c r="O333">
        <v>1</v>
      </c>
      <c r="P333">
        <v>0</v>
      </c>
      <c r="Q333">
        <v>0</v>
      </c>
      <c r="R333">
        <v>4</v>
      </c>
      <c r="S333">
        <v>1</v>
      </c>
      <c r="T333">
        <v>1668</v>
      </c>
      <c r="U333">
        <v>4</v>
      </c>
    </row>
    <row r="334" spans="1:21" x14ac:dyDescent="0.45">
      <c r="A334">
        <v>442</v>
      </c>
      <c r="B334">
        <v>0</v>
      </c>
      <c r="C334">
        <v>0</v>
      </c>
      <c r="D334">
        <v>3</v>
      </c>
      <c r="E334">
        <v>5</v>
      </c>
      <c r="F334">
        <v>2</v>
      </c>
      <c r="G334">
        <v>18</v>
      </c>
      <c r="H334">
        <v>16</v>
      </c>
      <c r="I334">
        <v>26</v>
      </c>
      <c r="J334">
        <v>15</v>
      </c>
      <c r="K334">
        <v>5</v>
      </c>
      <c r="L334">
        <v>1</v>
      </c>
      <c r="M334">
        <v>25</v>
      </c>
      <c r="N334">
        <v>4206.4684124899841</v>
      </c>
      <c r="O334">
        <v>4</v>
      </c>
      <c r="P334">
        <v>0</v>
      </c>
      <c r="Q334">
        <v>1</v>
      </c>
      <c r="R334">
        <v>4</v>
      </c>
      <c r="S334">
        <v>3</v>
      </c>
      <c r="T334">
        <v>216</v>
      </c>
      <c r="U334">
        <v>1</v>
      </c>
    </row>
    <row r="335" spans="1:21" x14ac:dyDescent="0.45">
      <c r="A335">
        <v>443</v>
      </c>
      <c r="B335">
        <v>0</v>
      </c>
      <c r="C335">
        <v>0</v>
      </c>
      <c r="D335">
        <v>3</v>
      </c>
      <c r="E335">
        <v>5</v>
      </c>
      <c r="F335">
        <v>2</v>
      </c>
      <c r="G335">
        <v>18</v>
      </c>
      <c r="H335">
        <v>16</v>
      </c>
      <c r="I335">
        <v>26</v>
      </c>
      <c r="J335">
        <v>15</v>
      </c>
      <c r="K335">
        <v>5</v>
      </c>
      <c r="L335">
        <v>1</v>
      </c>
      <c r="M335">
        <v>25</v>
      </c>
      <c r="N335">
        <v>4153.1914737543784</v>
      </c>
      <c r="O335">
        <v>4</v>
      </c>
      <c r="P335">
        <v>0</v>
      </c>
      <c r="Q335">
        <v>1</v>
      </c>
      <c r="R335">
        <v>4</v>
      </c>
      <c r="S335">
        <v>2</v>
      </c>
      <c r="T335">
        <v>434</v>
      </c>
      <c r="U335">
        <v>3</v>
      </c>
    </row>
    <row r="336" spans="1:21" x14ac:dyDescent="0.45">
      <c r="A336">
        <v>444</v>
      </c>
      <c r="B336">
        <v>0</v>
      </c>
      <c r="C336">
        <v>0</v>
      </c>
      <c r="D336">
        <v>1</v>
      </c>
      <c r="E336">
        <v>4</v>
      </c>
      <c r="F336">
        <v>0</v>
      </c>
      <c r="G336">
        <v>11</v>
      </c>
      <c r="H336">
        <v>16</v>
      </c>
      <c r="I336">
        <v>47</v>
      </c>
      <c r="J336">
        <v>10</v>
      </c>
      <c r="K336">
        <v>12</v>
      </c>
      <c r="L336">
        <v>5</v>
      </c>
      <c r="M336">
        <v>28</v>
      </c>
      <c r="N336">
        <v>3931.9969007350992</v>
      </c>
      <c r="O336">
        <v>1</v>
      </c>
      <c r="P336">
        <v>0</v>
      </c>
      <c r="Q336">
        <v>1</v>
      </c>
      <c r="R336">
        <v>4</v>
      </c>
      <c r="S336">
        <v>2</v>
      </c>
      <c r="T336">
        <v>1748</v>
      </c>
      <c r="U336">
        <v>2</v>
      </c>
    </row>
    <row r="337" spans="1:21" x14ac:dyDescent="0.45">
      <c r="A337">
        <v>445</v>
      </c>
      <c r="B337">
        <v>0</v>
      </c>
      <c r="C337">
        <v>0</v>
      </c>
      <c r="D337">
        <v>1</v>
      </c>
      <c r="E337">
        <v>2</v>
      </c>
      <c r="F337">
        <v>0</v>
      </c>
      <c r="G337">
        <v>8</v>
      </c>
      <c r="H337">
        <v>8</v>
      </c>
      <c r="I337">
        <v>26</v>
      </c>
      <c r="J337">
        <v>9</v>
      </c>
      <c r="K337">
        <v>7</v>
      </c>
      <c r="L337">
        <v>3</v>
      </c>
      <c r="M337">
        <v>20</v>
      </c>
      <c r="N337">
        <v>4279.451058005784</v>
      </c>
      <c r="O337">
        <v>1</v>
      </c>
      <c r="P337">
        <v>0</v>
      </c>
      <c r="Q337">
        <v>0</v>
      </c>
      <c r="R337">
        <v>3</v>
      </c>
      <c r="S337">
        <v>1</v>
      </c>
      <c r="T337">
        <v>49</v>
      </c>
      <c r="U337">
        <v>1</v>
      </c>
    </row>
    <row r="338" spans="1:21" x14ac:dyDescent="0.45">
      <c r="A338">
        <v>446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4</v>
      </c>
      <c r="H338">
        <v>2</v>
      </c>
      <c r="I338">
        <v>3</v>
      </c>
      <c r="J338">
        <v>3</v>
      </c>
      <c r="K338">
        <v>1</v>
      </c>
      <c r="L338">
        <v>0</v>
      </c>
      <c r="M338">
        <v>18</v>
      </c>
      <c r="N338">
        <v>5746.5116749778144</v>
      </c>
      <c r="O338">
        <v>2</v>
      </c>
      <c r="P338">
        <v>0</v>
      </c>
      <c r="Q338">
        <v>1</v>
      </c>
      <c r="R338">
        <v>3</v>
      </c>
      <c r="S338">
        <v>2</v>
      </c>
      <c r="T338">
        <v>215</v>
      </c>
      <c r="U338">
        <v>1</v>
      </c>
    </row>
    <row r="339" spans="1:21" x14ac:dyDescent="0.45">
      <c r="A339">
        <v>447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4</v>
      </c>
      <c r="H339">
        <v>2</v>
      </c>
      <c r="I339">
        <v>3</v>
      </c>
      <c r="J339">
        <v>3</v>
      </c>
      <c r="K339">
        <v>1</v>
      </c>
      <c r="L339">
        <v>0</v>
      </c>
      <c r="M339">
        <v>13</v>
      </c>
      <c r="N339">
        <v>5865.873874052344</v>
      </c>
      <c r="O339">
        <v>3</v>
      </c>
      <c r="P339">
        <v>0</v>
      </c>
      <c r="Q339">
        <v>1</v>
      </c>
      <c r="R339">
        <v>3</v>
      </c>
      <c r="S339">
        <v>2</v>
      </c>
      <c r="T339">
        <v>532</v>
      </c>
      <c r="U339">
        <v>1</v>
      </c>
    </row>
    <row r="340" spans="1:21" x14ac:dyDescent="0.45">
      <c r="A340">
        <v>449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5</v>
      </c>
      <c r="H340">
        <v>2</v>
      </c>
      <c r="I340">
        <v>2</v>
      </c>
      <c r="J340">
        <v>4</v>
      </c>
      <c r="K340">
        <v>0</v>
      </c>
      <c r="L340">
        <v>0</v>
      </c>
      <c r="M340">
        <v>19</v>
      </c>
      <c r="N340">
        <v>5828.7277942659803</v>
      </c>
      <c r="O340">
        <v>3</v>
      </c>
      <c r="P340">
        <v>0</v>
      </c>
      <c r="Q340">
        <v>1</v>
      </c>
      <c r="R340">
        <v>3</v>
      </c>
      <c r="S340">
        <v>3</v>
      </c>
      <c r="T340">
        <v>269</v>
      </c>
      <c r="U340">
        <v>1</v>
      </c>
    </row>
    <row r="341" spans="1:21" x14ac:dyDescent="0.45">
      <c r="A341">
        <v>450</v>
      </c>
      <c r="B341">
        <v>0</v>
      </c>
      <c r="C341">
        <v>1</v>
      </c>
      <c r="D341">
        <v>1</v>
      </c>
      <c r="E341">
        <v>2</v>
      </c>
      <c r="F341">
        <v>0</v>
      </c>
      <c r="G341">
        <v>5</v>
      </c>
      <c r="H341">
        <v>8</v>
      </c>
      <c r="I341">
        <v>7</v>
      </c>
      <c r="J341">
        <v>1</v>
      </c>
      <c r="K341">
        <v>5</v>
      </c>
      <c r="L341">
        <v>2</v>
      </c>
      <c r="M341">
        <v>4</v>
      </c>
      <c r="N341">
        <v>9118.6731795621963</v>
      </c>
      <c r="O341">
        <v>2</v>
      </c>
      <c r="P341">
        <v>0</v>
      </c>
      <c r="Q341">
        <v>1</v>
      </c>
      <c r="R341">
        <v>1</v>
      </c>
      <c r="S341">
        <v>3</v>
      </c>
      <c r="T341">
        <v>850</v>
      </c>
      <c r="U341">
        <v>3</v>
      </c>
    </row>
    <row r="342" spans="1:21" x14ac:dyDescent="0.45">
      <c r="A342">
        <v>451</v>
      </c>
      <c r="B342">
        <v>0</v>
      </c>
      <c r="C342">
        <v>1</v>
      </c>
      <c r="D342">
        <v>0</v>
      </c>
      <c r="E342">
        <v>2</v>
      </c>
      <c r="F342">
        <v>0</v>
      </c>
      <c r="G342">
        <v>1</v>
      </c>
      <c r="H342">
        <v>2</v>
      </c>
      <c r="I342">
        <v>3</v>
      </c>
      <c r="J342">
        <v>1</v>
      </c>
      <c r="K342">
        <v>4</v>
      </c>
      <c r="L342">
        <v>0</v>
      </c>
      <c r="M342">
        <v>1</v>
      </c>
      <c r="N342">
        <v>9197.169448041097</v>
      </c>
      <c r="O342">
        <v>2</v>
      </c>
      <c r="P342">
        <v>0</v>
      </c>
      <c r="Q342">
        <v>0</v>
      </c>
      <c r="R342">
        <v>4</v>
      </c>
      <c r="S342">
        <v>1</v>
      </c>
      <c r="T342">
        <v>320</v>
      </c>
      <c r="U342">
        <v>1</v>
      </c>
    </row>
    <row r="343" spans="1:21" x14ac:dyDescent="0.45">
      <c r="A343">
        <v>452</v>
      </c>
      <c r="B343">
        <v>0</v>
      </c>
      <c r="C343">
        <v>1</v>
      </c>
      <c r="D343">
        <v>2</v>
      </c>
      <c r="E343">
        <v>3</v>
      </c>
      <c r="F343">
        <v>1</v>
      </c>
      <c r="G343">
        <v>6</v>
      </c>
      <c r="H343">
        <v>13</v>
      </c>
      <c r="I343">
        <v>3</v>
      </c>
      <c r="J343">
        <v>1</v>
      </c>
      <c r="K343">
        <v>1</v>
      </c>
      <c r="L343">
        <v>0</v>
      </c>
      <c r="M343">
        <v>12</v>
      </c>
      <c r="N343">
        <v>13464.011892425189</v>
      </c>
      <c r="O343">
        <v>3</v>
      </c>
      <c r="P343">
        <v>0</v>
      </c>
      <c r="Q343">
        <v>0</v>
      </c>
      <c r="R343">
        <v>4</v>
      </c>
      <c r="S343">
        <v>5</v>
      </c>
      <c r="T343">
        <v>624</v>
      </c>
      <c r="U343">
        <v>3</v>
      </c>
    </row>
    <row r="344" spans="1:21" x14ac:dyDescent="0.45">
      <c r="A344">
        <v>453</v>
      </c>
      <c r="B344">
        <v>0</v>
      </c>
      <c r="C344">
        <v>0</v>
      </c>
      <c r="D344">
        <v>1</v>
      </c>
      <c r="E344">
        <v>3</v>
      </c>
      <c r="F344">
        <v>1</v>
      </c>
      <c r="G344">
        <v>6</v>
      </c>
      <c r="H344">
        <v>10</v>
      </c>
      <c r="I344">
        <v>9</v>
      </c>
      <c r="J344">
        <v>0</v>
      </c>
      <c r="K344">
        <v>1</v>
      </c>
      <c r="L344">
        <v>1</v>
      </c>
      <c r="M344">
        <v>8</v>
      </c>
      <c r="N344">
        <v>13851.793782850291</v>
      </c>
      <c r="O344">
        <v>1</v>
      </c>
      <c r="P344">
        <v>0</v>
      </c>
      <c r="Q344">
        <v>1</v>
      </c>
      <c r="R344">
        <v>3</v>
      </c>
      <c r="S344">
        <v>1</v>
      </c>
      <c r="T344">
        <v>998</v>
      </c>
      <c r="U344">
        <v>2</v>
      </c>
    </row>
    <row r="345" spans="1:21" x14ac:dyDescent="0.45">
      <c r="A345">
        <v>454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9</v>
      </c>
      <c r="H345">
        <v>13</v>
      </c>
      <c r="I345">
        <v>10</v>
      </c>
      <c r="J345">
        <v>0</v>
      </c>
      <c r="K345">
        <v>0</v>
      </c>
      <c r="L345">
        <v>1</v>
      </c>
      <c r="M345">
        <v>12</v>
      </c>
      <c r="N345">
        <v>14001.276914224971</v>
      </c>
      <c r="O345">
        <v>1</v>
      </c>
      <c r="P345">
        <v>0</v>
      </c>
      <c r="Q345">
        <v>1</v>
      </c>
      <c r="R345">
        <v>3</v>
      </c>
      <c r="S345">
        <v>1</v>
      </c>
      <c r="T345">
        <v>4574</v>
      </c>
      <c r="U345">
        <v>4</v>
      </c>
    </row>
    <row r="346" spans="1:21" x14ac:dyDescent="0.45">
      <c r="A346">
        <v>455</v>
      </c>
      <c r="B346">
        <v>0</v>
      </c>
      <c r="C346">
        <v>0</v>
      </c>
      <c r="D346">
        <v>2</v>
      </c>
      <c r="E346">
        <v>3</v>
      </c>
      <c r="F346">
        <v>0</v>
      </c>
      <c r="G346">
        <v>11</v>
      </c>
      <c r="H346">
        <v>11</v>
      </c>
      <c r="I346">
        <v>6</v>
      </c>
      <c r="J346">
        <v>1</v>
      </c>
      <c r="K346">
        <v>1</v>
      </c>
      <c r="L346">
        <v>1</v>
      </c>
      <c r="M346">
        <v>12</v>
      </c>
      <c r="N346">
        <v>14051.7055095265</v>
      </c>
      <c r="O346">
        <v>1</v>
      </c>
      <c r="P346">
        <v>0</v>
      </c>
      <c r="Q346">
        <v>1</v>
      </c>
      <c r="R346">
        <v>3</v>
      </c>
      <c r="S346">
        <v>1</v>
      </c>
      <c r="T346">
        <v>2876</v>
      </c>
      <c r="U346">
        <v>4</v>
      </c>
    </row>
    <row r="347" spans="1:21" x14ac:dyDescent="0.45">
      <c r="A347">
        <v>456</v>
      </c>
      <c r="B347">
        <v>0</v>
      </c>
      <c r="C347">
        <v>0</v>
      </c>
      <c r="D347">
        <v>2</v>
      </c>
      <c r="E347">
        <v>3</v>
      </c>
      <c r="F347">
        <v>0</v>
      </c>
      <c r="G347">
        <v>11</v>
      </c>
      <c r="H347">
        <v>11</v>
      </c>
      <c r="I347">
        <v>6</v>
      </c>
      <c r="J347">
        <v>1</v>
      </c>
      <c r="K347">
        <v>1</v>
      </c>
      <c r="L347">
        <v>1</v>
      </c>
      <c r="M347">
        <v>12</v>
      </c>
      <c r="N347">
        <v>14051.7055095265</v>
      </c>
      <c r="O347">
        <v>1</v>
      </c>
      <c r="P347">
        <v>0</v>
      </c>
      <c r="Q347">
        <v>1</v>
      </c>
      <c r="R347">
        <v>3</v>
      </c>
      <c r="S347">
        <v>1</v>
      </c>
      <c r="T347">
        <v>2930</v>
      </c>
      <c r="U347">
        <v>2</v>
      </c>
    </row>
    <row r="348" spans="1:21" x14ac:dyDescent="0.45">
      <c r="A348">
        <v>457</v>
      </c>
      <c r="B348">
        <v>0</v>
      </c>
      <c r="C348">
        <v>0</v>
      </c>
      <c r="D348">
        <v>1</v>
      </c>
      <c r="E348">
        <v>2</v>
      </c>
      <c r="F348">
        <v>0</v>
      </c>
      <c r="G348">
        <v>6</v>
      </c>
      <c r="H348">
        <v>5</v>
      </c>
      <c r="I348">
        <v>1</v>
      </c>
      <c r="J348">
        <v>1</v>
      </c>
      <c r="K348">
        <v>1</v>
      </c>
      <c r="L348">
        <v>0</v>
      </c>
      <c r="M348">
        <v>9</v>
      </c>
      <c r="N348">
        <v>14188.3396637346</v>
      </c>
      <c r="O348">
        <v>1</v>
      </c>
      <c r="P348">
        <v>0</v>
      </c>
      <c r="Q348">
        <v>1</v>
      </c>
      <c r="R348">
        <v>3</v>
      </c>
      <c r="S348">
        <v>1</v>
      </c>
      <c r="T348">
        <v>2919</v>
      </c>
      <c r="U348">
        <v>2</v>
      </c>
    </row>
    <row r="349" spans="1:21" x14ac:dyDescent="0.45">
      <c r="A349">
        <v>458</v>
      </c>
      <c r="B349">
        <v>0</v>
      </c>
      <c r="C349">
        <v>0</v>
      </c>
      <c r="D349">
        <v>1</v>
      </c>
      <c r="E349">
        <v>3</v>
      </c>
      <c r="F349">
        <v>1</v>
      </c>
      <c r="G349">
        <v>7</v>
      </c>
      <c r="H349">
        <v>10</v>
      </c>
      <c r="I349">
        <v>8</v>
      </c>
      <c r="J349">
        <v>1</v>
      </c>
      <c r="K349">
        <v>2</v>
      </c>
      <c r="L349">
        <v>1</v>
      </c>
      <c r="M349">
        <v>8</v>
      </c>
      <c r="N349">
        <v>14001.276914224971</v>
      </c>
      <c r="O349">
        <v>1</v>
      </c>
      <c r="P349">
        <v>0</v>
      </c>
      <c r="Q349">
        <v>1</v>
      </c>
      <c r="R349">
        <v>3</v>
      </c>
      <c r="S349">
        <v>1</v>
      </c>
      <c r="T349">
        <v>1358</v>
      </c>
      <c r="U349">
        <v>3</v>
      </c>
    </row>
    <row r="350" spans="1:21" x14ac:dyDescent="0.45">
      <c r="A350">
        <v>459</v>
      </c>
      <c r="B350">
        <v>0</v>
      </c>
      <c r="C350">
        <v>0</v>
      </c>
      <c r="D350">
        <v>1</v>
      </c>
      <c r="E350">
        <v>3</v>
      </c>
      <c r="F350">
        <v>1</v>
      </c>
      <c r="G350">
        <v>6</v>
      </c>
      <c r="H350">
        <v>5</v>
      </c>
      <c r="I350">
        <v>3</v>
      </c>
      <c r="J350">
        <v>2</v>
      </c>
      <c r="K350">
        <v>2</v>
      </c>
      <c r="L350">
        <v>0</v>
      </c>
      <c r="M350">
        <v>11</v>
      </c>
      <c r="N350">
        <v>14052.68035685271</v>
      </c>
      <c r="O350">
        <v>1</v>
      </c>
      <c r="P350">
        <v>0</v>
      </c>
      <c r="Q350">
        <v>1</v>
      </c>
      <c r="R350">
        <v>3</v>
      </c>
      <c r="S350">
        <v>1</v>
      </c>
      <c r="T350">
        <v>1073</v>
      </c>
      <c r="U350">
        <v>3</v>
      </c>
    </row>
    <row r="351" spans="1:21" x14ac:dyDescent="0.45">
      <c r="A351">
        <v>460</v>
      </c>
      <c r="B351">
        <v>0</v>
      </c>
      <c r="C351">
        <v>0</v>
      </c>
      <c r="D351">
        <v>1</v>
      </c>
      <c r="E351">
        <v>3</v>
      </c>
      <c r="F351">
        <v>0</v>
      </c>
      <c r="G351">
        <v>9</v>
      </c>
      <c r="H351">
        <v>7</v>
      </c>
      <c r="I351">
        <v>6</v>
      </c>
      <c r="J351">
        <v>1</v>
      </c>
      <c r="K351">
        <v>1</v>
      </c>
      <c r="L351">
        <v>0</v>
      </c>
      <c r="M351">
        <v>14</v>
      </c>
      <c r="N351">
        <v>14342.116270263679</v>
      </c>
      <c r="O351">
        <v>4</v>
      </c>
      <c r="P351">
        <v>0</v>
      </c>
      <c r="Q351">
        <v>1</v>
      </c>
      <c r="R351">
        <v>3</v>
      </c>
      <c r="S351">
        <v>2</v>
      </c>
      <c r="T351">
        <v>1332</v>
      </c>
      <c r="U351">
        <v>2</v>
      </c>
    </row>
    <row r="352" spans="1:21" x14ac:dyDescent="0.45">
      <c r="A352">
        <v>461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3</v>
      </c>
      <c r="H352">
        <v>2</v>
      </c>
      <c r="I352">
        <v>4</v>
      </c>
      <c r="J352">
        <v>4</v>
      </c>
      <c r="K352">
        <v>2</v>
      </c>
      <c r="L352">
        <v>0</v>
      </c>
      <c r="M352">
        <v>1</v>
      </c>
      <c r="N352">
        <v>4554.8890931475307</v>
      </c>
      <c r="O352">
        <v>3</v>
      </c>
      <c r="P352">
        <v>0</v>
      </c>
      <c r="Q352">
        <v>1</v>
      </c>
      <c r="R352">
        <v>3</v>
      </c>
      <c r="S352">
        <v>5</v>
      </c>
      <c r="T352">
        <v>467</v>
      </c>
      <c r="U352">
        <v>1</v>
      </c>
    </row>
    <row r="353" spans="1:21" x14ac:dyDescent="0.45">
      <c r="A353">
        <v>462</v>
      </c>
      <c r="B353">
        <v>0</v>
      </c>
      <c r="C353">
        <v>0</v>
      </c>
      <c r="D353">
        <v>2</v>
      </c>
      <c r="E353">
        <v>0</v>
      </c>
      <c r="F353">
        <v>2</v>
      </c>
      <c r="G353">
        <v>4</v>
      </c>
      <c r="H353">
        <v>3</v>
      </c>
      <c r="I353">
        <v>21</v>
      </c>
      <c r="J353">
        <v>3</v>
      </c>
      <c r="K353">
        <v>22</v>
      </c>
      <c r="L353">
        <v>2</v>
      </c>
      <c r="M353">
        <v>13</v>
      </c>
      <c r="N353">
        <v>5433.4395520104608</v>
      </c>
      <c r="O353">
        <v>3</v>
      </c>
      <c r="P353">
        <v>0</v>
      </c>
      <c r="Q353">
        <v>1</v>
      </c>
      <c r="R353">
        <v>3</v>
      </c>
      <c r="S353">
        <v>1</v>
      </c>
      <c r="T353">
        <v>494</v>
      </c>
      <c r="U353">
        <v>2</v>
      </c>
    </row>
    <row r="354" spans="1:21" x14ac:dyDescent="0.45">
      <c r="A354">
        <v>465</v>
      </c>
      <c r="B354">
        <v>0</v>
      </c>
      <c r="C354">
        <v>0</v>
      </c>
      <c r="D354">
        <v>1</v>
      </c>
      <c r="E354">
        <v>0</v>
      </c>
      <c r="F354">
        <v>2</v>
      </c>
      <c r="G354">
        <v>3</v>
      </c>
      <c r="H354">
        <v>5</v>
      </c>
      <c r="I354">
        <v>13</v>
      </c>
      <c r="J354">
        <v>1</v>
      </c>
      <c r="K354">
        <v>19</v>
      </c>
      <c r="L354">
        <v>0</v>
      </c>
      <c r="M354">
        <v>3</v>
      </c>
      <c r="N354">
        <v>5930.8230669772056</v>
      </c>
      <c r="O354">
        <v>3</v>
      </c>
      <c r="P354">
        <v>0</v>
      </c>
      <c r="Q354">
        <v>0</v>
      </c>
      <c r="R354">
        <v>1</v>
      </c>
      <c r="S354">
        <v>4</v>
      </c>
      <c r="T354">
        <v>1807</v>
      </c>
      <c r="U354">
        <v>1</v>
      </c>
    </row>
    <row r="355" spans="1:21" x14ac:dyDescent="0.45">
      <c r="A355">
        <v>467</v>
      </c>
      <c r="B355">
        <v>0</v>
      </c>
      <c r="C355">
        <v>0</v>
      </c>
      <c r="D355">
        <v>2</v>
      </c>
      <c r="E355">
        <v>2</v>
      </c>
      <c r="F355">
        <v>0</v>
      </c>
      <c r="G355">
        <v>14</v>
      </c>
      <c r="H355">
        <v>11</v>
      </c>
      <c r="I355">
        <v>34</v>
      </c>
      <c r="J355">
        <v>1</v>
      </c>
      <c r="K355">
        <v>27</v>
      </c>
      <c r="L355">
        <v>3</v>
      </c>
      <c r="M355">
        <v>12</v>
      </c>
      <c r="N355">
        <v>6009.4009788470876</v>
      </c>
      <c r="O355">
        <v>3</v>
      </c>
      <c r="P355">
        <v>0</v>
      </c>
      <c r="Q355">
        <v>0</v>
      </c>
      <c r="R355">
        <v>3</v>
      </c>
      <c r="S355">
        <v>2</v>
      </c>
      <c r="T355">
        <v>180</v>
      </c>
      <c r="U355">
        <v>1</v>
      </c>
    </row>
    <row r="356" spans="1:21" x14ac:dyDescent="0.45">
      <c r="A356">
        <v>468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>
        <v>5825.0381580594467</v>
      </c>
      <c r="O356">
        <v>1</v>
      </c>
      <c r="P356">
        <v>0</v>
      </c>
      <c r="Q356">
        <v>0</v>
      </c>
      <c r="R356">
        <v>1</v>
      </c>
      <c r="S356">
        <v>1</v>
      </c>
      <c r="T356">
        <v>445</v>
      </c>
      <c r="U356">
        <v>1</v>
      </c>
    </row>
    <row r="357" spans="1:21" x14ac:dyDescent="0.45">
      <c r="A357">
        <v>469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1</v>
      </c>
      <c r="N357">
        <v>5754.564700042004</v>
      </c>
      <c r="O357">
        <v>1</v>
      </c>
      <c r="P357">
        <v>0</v>
      </c>
      <c r="Q357">
        <v>0</v>
      </c>
      <c r="R357">
        <v>1</v>
      </c>
      <c r="S357">
        <v>1</v>
      </c>
      <c r="T357">
        <v>382</v>
      </c>
      <c r="U357">
        <v>1</v>
      </c>
    </row>
    <row r="358" spans="1:21" x14ac:dyDescent="0.45">
      <c r="A358">
        <v>470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2</v>
      </c>
      <c r="N358">
        <v>5732.534898169778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137</v>
      </c>
      <c r="U358">
        <v>1</v>
      </c>
    </row>
    <row r="359" spans="1:21" x14ac:dyDescent="0.45">
      <c r="A359">
        <v>471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1</v>
      </c>
      <c r="L359">
        <v>0</v>
      </c>
      <c r="M359">
        <v>2</v>
      </c>
      <c r="N359">
        <v>5872.4704425686623</v>
      </c>
      <c r="O359">
        <v>1</v>
      </c>
      <c r="P359">
        <v>0</v>
      </c>
      <c r="Q359">
        <v>0</v>
      </c>
      <c r="R359">
        <v>1</v>
      </c>
      <c r="S359">
        <v>1</v>
      </c>
      <c r="T359">
        <v>692</v>
      </c>
      <c r="U359">
        <v>1</v>
      </c>
    </row>
    <row r="360" spans="1:21" x14ac:dyDescent="0.45">
      <c r="A360">
        <v>472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0</v>
      </c>
      <c r="K360">
        <v>1</v>
      </c>
      <c r="L360">
        <v>0</v>
      </c>
      <c r="M360">
        <v>2</v>
      </c>
      <c r="N360">
        <v>5789.3523689367266</v>
      </c>
      <c r="O360">
        <v>1</v>
      </c>
      <c r="P360">
        <v>0</v>
      </c>
      <c r="Q360">
        <v>0</v>
      </c>
      <c r="R360">
        <v>1</v>
      </c>
      <c r="S360">
        <v>1</v>
      </c>
      <c r="T360">
        <v>1087</v>
      </c>
      <c r="U360">
        <v>1</v>
      </c>
    </row>
    <row r="361" spans="1:21" x14ac:dyDescent="0.45">
      <c r="A361">
        <v>473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0</v>
      </c>
      <c r="K361">
        <v>1</v>
      </c>
      <c r="L361">
        <v>0</v>
      </c>
      <c r="M361">
        <v>2</v>
      </c>
      <c r="N361">
        <v>5789.3523689367266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613</v>
      </c>
      <c r="U361">
        <v>1</v>
      </c>
    </row>
    <row r="362" spans="1:21" x14ac:dyDescent="0.45">
      <c r="A362">
        <v>474</v>
      </c>
      <c r="B362">
        <v>0</v>
      </c>
      <c r="C362">
        <v>0</v>
      </c>
      <c r="D362">
        <v>3</v>
      </c>
      <c r="E362">
        <v>8</v>
      </c>
      <c r="F362">
        <v>2</v>
      </c>
      <c r="G362">
        <v>8</v>
      </c>
      <c r="H362">
        <v>15</v>
      </c>
      <c r="I362">
        <v>50</v>
      </c>
      <c r="J362">
        <v>2</v>
      </c>
      <c r="K362">
        <v>6</v>
      </c>
      <c r="L362">
        <v>9</v>
      </c>
      <c r="M362">
        <v>25</v>
      </c>
      <c r="N362">
        <v>7132.8416445631792</v>
      </c>
      <c r="O362">
        <v>3</v>
      </c>
      <c r="P362">
        <v>0</v>
      </c>
      <c r="Q362">
        <v>1</v>
      </c>
      <c r="R362">
        <v>4</v>
      </c>
      <c r="S362">
        <v>5</v>
      </c>
      <c r="T362">
        <v>386</v>
      </c>
      <c r="U362">
        <v>1</v>
      </c>
    </row>
    <row r="363" spans="1:21" x14ac:dyDescent="0.45">
      <c r="A363">
        <v>475</v>
      </c>
      <c r="B363">
        <v>0</v>
      </c>
      <c r="C363">
        <v>0</v>
      </c>
      <c r="D363">
        <v>2</v>
      </c>
      <c r="E363">
        <v>12</v>
      </c>
      <c r="F363">
        <v>0</v>
      </c>
      <c r="G363">
        <v>25</v>
      </c>
      <c r="H363">
        <v>25</v>
      </c>
      <c r="I363">
        <v>28</v>
      </c>
      <c r="J363">
        <v>3</v>
      </c>
      <c r="K363">
        <v>3</v>
      </c>
      <c r="L363">
        <v>4</v>
      </c>
      <c r="M363">
        <v>7</v>
      </c>
      <c r="N363">
        <v>4373.4754448625927</v>
      </c>
      <c r="O363">
        <v>2</v>
      </c>
      <c r="P363">
        <v>0</v>
      </c>
      <c r="Q363">
        <v>1</v>
      </c>
      <c r="R363">
        <v>4</v>
      </c>
      <c r="S363">
        <v>1</v>
      </c>
      <c r="T363">
        <v>523</v>
      </c>
      <c r="U363">
        <v>1</v>
      </c>
    </row>
    <row r="364" spans="1:21" x14ac:dyDescent="0.45">
      <c r="A364">
        <v>476</v>
      </c>
      <c r="B364">
        <v>0</v>
      </c>
      <c r="C364">
        <v>1</v>
      </c>
      <c r="D364">
        <v>2</v>
      </c>
      <c r="E364">
        <v>12</v>
      </c>
      <c r="F364">
        <v>0</v>
      </c>
      <c r="G364">
        <v>25</v>
      </c>
      <c r="H364">
        <v>25</v>
      </c>
      <c r="I364">
        <v>28</v>
      </c>
      <c r="J364">
        <v>3</v>
      </c>
      <c r="K364">
        <v>3</v>
      </c>
      <c r="L364">
        <v>4</v>
      </c>
      <c r="M364">
        <v>7</v>
      </c>
      <c r="N364">
        <v>4417.1747325710521</v>
      </c>
      <c r="O364">
        <v>2</v>
      </c>
      <c r="P364">
        <v>0</v>
      </c>
      <c r="Q364">
        <v>0</v>
      </c>
      <c r="R364">
        <v>4</v>
      </c>
      <c r="S364">
        <v>1</v>
      </c>
      <c r="T364">
        <v>109</v>
      </c>
      <c r="U364">
        <v>2</v>
      </c>
    </row>
    <row r="365" spans="1:21" x14ac:dyDescent="0.45">
      <c r="A365">
        <v>477</v>
      </c>
      <c r="B365">
        <v>0</v>
      </c>
      <c r="C365">
        <v>0</v>
      </c>
      <c r="D365">
        <v>2</v>
      </c>
      <c r="E365">
        <v>12</v>
      </c>
      <c r="F365">
        <v>0</v>
      </c>
      <c r="G365">
        <v>25</v>
      </c>
      <c r="H365">
        <v>25</v>
      </c>
      <c r="I365">
        <v>28</v>
      </c>
      <c r="J365">
        <v>3</v>
      </c>
      <c r="K365">
        <v>3</v>
      </c>
      <c r="L365">
        <v>4</v>
      </c>
      <c r="M365">
        <v>7</v>
      </c>
      <c r="N365">
        <v>4417.1747325710521</v>
      </c>
      <c r="O365">
        <v>2</v>
      </c>
      <c r="P365">
        <v>0</v>
      </c>
      <c r="Q365">
        <v>0</v>
      </c>
      <c r="R365">
        <v>4</v>
      </c>
      <c r="S365">
        <v>2</v>
      </c>
      <c r="T365">
        <v>154</v>
      </c>
      <c r="U365">
        <v>1</v>
      </c>
    </row>
    <row r="366" spans="1:21" x14ac:dyDescent="0.45">
      <c r="A366">
        <v>478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2</v>
      </c>
      <c r="N366">
        <v>6558.0052586274369</v>
      </c>
      <c r="O366">
        <v>2</v>
      </c>
      <c r="P366">
        <v>0</v>
      </c>
      <c r="Q366">
        <v>0</v>
      </c>
      <c r="R366">
        <v>4</v>
      </c>
      <c r="S366">
        <v>1</v>
      </c>
      <c r="T366">
        <v>728</v>
      </c>
      <c r="U366">
        <v>1</v>
      </c>
    </row>
    <row r="367" spans="1:21" x14ac:dyDescent="0.45">
      <c r="A367">
        <v>479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1</v>
      </c>
      <c r="L367">
        <v>0</v>
      </c>
      <c r="M367">
        <v>2</v>
      </c>
      <c r="N367">
        <v>5997.3960550884631</v>
      </c>
      <c r="O367">
        <v>3</v>
      </c>
      <c r="P367">
        <v>0</v>
      </c>
      <c r="Q367">
        <v>0</v>
      </c>
      <c r="R367">
        <v>3</v>
      </c>
      <c r="S367">
        <v>1</v>
      </c>
      <c r="T367">
        <v>245</v>
      </c>
      <c r="U367">
        <v>1</v>
      </c>
    </row>
    <row r="368" spans="1:21" x14ac:dyDescent="0.45">
      <c r="A368">
        <v>480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1</v>
      </c>
      <c r="L368">
        <v>0</v>
      </c>
      <c r="M368">
        <v>2</v>
      </c>
      <c r="N368">
        <v>6083.4830784447649</v>
      </c>
      <c r="O368">
        <v>3</v>
      </c>
      <c r="P368">
        <v>0</v>
      </c>
      <c r="Q368">
        <v>1</v>
      </c>
      <c r="R368">
        <v>3</v>
      </c>
      <c r="S368">
        <v>2</v>
      </c>
      <c r="T368">
        <v>102</v>
      </c>
      <c r="U368">
        <v>1</v>
      </c>
    </row>
    <row r="369" spans="1:21" x14ac:dyDescent="0.45">
      <c r="A369">
        <v>481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6620.0303995260228</v>
      </c>
      <c r="O369">
        <v>1</v>
      </c>
      <c r="P369">
        <v>0</v>
      </c>
      <c r="Q369">
        <v>1</v>
      </c>
      <c r="R369">
        <v>4</v>
      </c>
      <c r="S369">
        <v>3</v>
      </c>
      <c r="T369">
        <v>718</v>
      </c>
      <c r="U369">
        <v>1</v>
      </c>
    </row>
    <row r="370" spans="1:21" x14ac:dyDescent="0.45">
      <c r="A370">
        <v>482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6562.3596776951217</v>
      </c>
      <c r="O370">
        <v>1</v>
      </c>
      <c r="P370">
        <v>0</v>
      </c>
      <c r="Q370">
        <v>0</v>
      </c>
      <c r="R370">
        <v>4</v>
      </c>
      <c r="S370">
        <v>1</v>
      </c>
      <c r="T370">
        <v>519</v>
      </c>
      <c r="U370">
        <v>1</v>
      </c>
    </row>
    <row r="371" spans="1:21" x14ac:dyDescent="0.45">
      <c r="A371">
        <v>483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7114.9550790119893</v>
      </c>
      <c r="O371">
        <v>1</v>
      </c>
      <c r="P371">
        <v>0</v>
      </c>
      <c r="Q371">
        <v>1</v>
      </c>
      <c r="R371">
        <v>4</v>
      </c>
      <c r="S371">
        <v>1</v>
      </c>
      <c r="T371">
        <v>628</v>
      </c>
      <c r="U371">
        <v>2</v>
      </c>
    </row>
    <row r="372" spans="1:21" x14ac:dyDescent="0.45">
      <c r="A372">
        <v>484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7193.0664659324848</v>
      </c>
      <c r="O372">
        <v>2</v>
      </c>
      <c r="P372">
        <v>0</v>
      </c>
      <c r="Q372">
        <v>0</v>
      </c>
      <c r="R372">
        <v>1</v>
      </c>
      <c r="S372">
        <v>1</v>
      </c>
      <c r="T372">
        <v>506</v>
      </c>
      <c r="U372">
        <v>2</v>
      </c>
    </row>
    <row r="373" spans="1:21" x14ac:dyDescent="0.45">
      <c r="A373">
        <v>489</v>
      </c>
      <c r="B373">
        <v>0</v>
      </c>
      <c r="C373">
        <v>0</v>
      </c>
      <c r="D373">
        <v>0</v>
      </c>
      <c r="E373">
        <v>3</v>
      </c>
      <c r="F373">
        <v>0</v>
      </c>
      <c r="G373">
        <v>6</v>
      </c>
      <c r="H373">
        <v>6</v>
      </c>
      <c r="I373">
        <v>3</v>
      </c>
      <c r="J373">
        <v>4</v>
      </c>
      <c r="K373">
        <v>0</v>
      </c>
      <c r="L373">
        <v>0</v>
      </c>
      <c r="M373">
        <v>4</v>
      </c>
      <c r="N373">
        <v>12153.69663383363</v>
      </c>
      <c r="O373">
        <v>4</v>
      </c>
      <c r="P373">
        <v>0</v>
      </c>
      <c r="Q373">
        <v>0</v>
      </c>
      <c r="R373">
        <v>2</v>
      </c>
      <c r="S373">
        <v>1</v>
      </c>
      <c r="T373">
        <v>89</v>
      </c>
      <c r="U373">
        <v>1</v>
      </c>
    </row>
    <row r="374" spans="1:21" x14ac:dyDescent="0.45">
      <c r="A374">
        <v>490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3</v>
      </c>
      <c r="N374">
        <v>12843.43516237961</v>
      </c>
      <c r="O374">
        <v>3</v>
      </c>
      <c r="P374">
        <v>0</v>
      </c>
      <c r="Q374">
        <v>0</v>
      </c>
      <c r="R374">
        <v>1</v>
      </c>
      <c r="S374">
        <v>5</v>
      </c>
      <c r="T374">
        <v>1418</v>
      </c>
      <c r="U374">
        <v>4</v>
      </c>
    </row>
    <row r="375" spans="1:21" x14ac:dyDescent="0.45">
      <c r="A375">
        <v>491</v>
      </c>
      <c r="B375">
        <v>0</v>
      </c>
      <c r="C375">
        <v>0</v>
      </c>
      <c r="D375">
        <v>1</v>
      </c>
      <c r="E375">
        <v>2</v>
      </c>
      <c r="F375">
        <v>0</v>
      </c>
      <c r="G375">
        <v>10</v>
      </c>
      <c r="H375">
        <v>18</v>
      </c>
      <c r="I375">
        <v>13</v>
      </c>
      <c r="J375">
        <v>3</v>
      </c>
      <c r="K375">
        <v>0</v>
      </c>
      <c r="L375">
        <v>1</v>
      </c>
      <c r="M375">
        <v>8</v>
      </c>
      <c r="N375">
        <v>12922.784912860439</v>
      </c>
      <c r="O375">
        <v>2</v>
      </c>
      <c r="P375">
        <v>0</v>
      </c>
      <c r="Q375">
        <v>1</v>
      </c>
      <c r="R375">
        <v>4</v>
      </c>
      <c r="S375">
        <v>1</v>
      </c>
      <c r="T375">
        <v>401</v>
      </c>
      <c r="U375">
        <v>2</v>
      </c>
    </row>
    <row r="376" spans="1:21" x14ac:dyDescent="0.45">
      <c r="A376">
        <v>492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5</v>
      </c>
      <c r="H376">
        <v>4</v>
      </c>
      <c r="I376">
        <v>3</v>
      </c>
      <c r="J376">
        <v>2</v>
      </c>
      <c r="K376">
        <v>1</v>
      </c>
      <c r="L376">
        <v>0</v>
      </c>
      <c r="M376">
        <v>3</v>
      </c>
      <c r="N376">
        <v>5797.3102707760054</v>
      </c>
      <c r="O376">
        <v>4</v>
      </c>
      <c r="P376">
        <v>0</v>
      </c>
      <c r="Q376">
        <v>1</v>
      </c>
      <c r="R376">
        <v>3</v>
      </c>
      <c r="S376">
        <v>3</v>
      </c>
      <c r="T376">
        <v>579</v>
      </c>
      <c r="U376">
        <v>2</v>
      </c>
    </row>
    <row r="377" spans="1:21" x14ac:dyDescent="0.45">
      <c r="A377">
        <v>493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2</v>
      </c>
      <c r="N377">
        <v>6026.1458671492119</v>
      </c>
      <c r="O377">
        <v>3</v>
      </c>
      <c r="P377">
        <v>0</v>
      </c>
      <c r="Q377">
        <v>0</v>
      </c>
      <c r="R377">
        <v>3</v>
      </c>
      <c r="S377">
        <v>2</v>
      </c>
      <c r="T377">
        <v>1052</v>
      </c>
      <c r="U377">
        <v>1</v>
      </c>
    </row>
    <row r="378" spans="1:21" x14ac:dyDescent="0.45">
      <c r="A378">
        <v>494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2</v>
      </c>
      <c r="N378">
        <v>6026.1458671492119</v>
      </c>
      <c r="O378">
        <v>3</v>
      </c>
      <c r="P378">
        <v>0</v>
      </c>
      <c r="Q378">
        <v>1</v>
      </c>
      <c r="R378">
        <v>3</v>
      </c>
      <c r="S378">
        <v>2</v>
      </c>
      <c r="T378">
        <v>1783</v>
      </c>
      <c r="U378">
        <v>1</v>
      </c>
    </row>
    <row r="379" spans="1:21" x14ac:dyDescent="0.45">
      <c r="A379">
        <v>495</v>
      </c>
      <c r="B379">
        <v>1</v>
      </c>
      <c r="C379">
        <v>0</v>
      </c>
      <c r="D379">
        <v>1</v>
      </c>
      <c r="E379">
        <v>2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5</v>
      </c>
      <c r="N379">
        <v>7777.0871648824777</v>
      </c>
      <c r="O379">
        <v>4</v>
      </c>
      <c r="P379">
        <v>0</v>
      </c>
      <c r="Q379">
        <v>1</v>
      </c>
      <c r="R379">
        <v>3</v>
      </c>
      <c r="S379">
        <v>3</v>
      </c>
      <c r="T379">
        <v>559</v>
      </c>
      <c r="U379">
        <v>3</v>
      </c>
    </row>
    <row r="380" spans="1:21" x14ac:dyDescent="0.45">
      <c r="A380">
        <v>496</v>
      </c>
      <c r="B380">
        <v>1</v>
      </c>
      <c r="C380">
        <v>0</v>
      </c>
      <c r="D380">
        <v>1</v>
      </c>
      <c r="E380">
        <v>2</v>
      </c>
      <c r="F380">
        <v>1</v>
      </c>
      <c r="G380">
        <v>2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7863.5360839075001</v>
      </c>
      <c r="O380">
        <v>4</v>
      </c>
      <c r="P380">
        <v>0</v>
      </c>
      <c r="Q380">
        <v>1</v>
      </c>
      <c r="R380">
        <v>1</v>
      </c>
      <c r="S380">
        <v>5</v>
      </c>
      <c r="T380">
        <v>804</v>
      </c>
      <c r="U380">
        <v>1</v>
      </c>
    </row>
    <row r="381" spans="1:21" x14ac:dyDescent="0.45">
      <c r="A381">
        <v>497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3</v>
      </c>
      <c r="H381">
        <v>0</v>
      </c>
      <c r="I381">
        <v>4</v>
      </c>
      <c r="J381">
        <v>0</v>
      </c>
      <c r="K381">
        <v>4</v>
      </c>
      <c r="L381">
        <v>0</v>
      </c>
      <c r="M381">
        <v>11</v>
      </c>
      <c r="N381">
        <v>6258.9614125233857</v>
      </c>
      <c r="O381">
        <v>4</v>
      </c>
      <c r="P381">
        <v>1</v>
      </c>
      <c r="Q381">
        <v>1</v>
      </c>
      <c r="R381">
        <v>3</v>
      </c>
      <c r="S381">
        <v>2</v>
      </c>
      <c r="T381">
        <v>473</v>
      </c>
      <c r="U381">
        <v>2</v>
      </c>
    </row>
    <row r="382" spans="1:21" x14ac:dyDescent="0.45">
      <c r="A382">
        <v>498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2</v>
      </c>
      <c r="H382">
        <v>0</v>
      </c>
      <c r="I382">
        <v>5</v>
      </c>
      <c r="J382">
        <v>1</v>
      </c>
      <c r="K382">
        <v>4</v>
      </c>
      <c r="L382">
        <v>0</v>
      </c>
      <c r="M382">
        <v>10</v>
      </c>
      <c r="N382">
        <v>6014.4557077351974</v>
      </c>
      <c r="O382">
        <v>4</v>
      </c>
      <c r="P382">
        <v>1</v>
      </c>
      <c r="Q382">
        <v>1</v>
      </c>
      <c r="R382">
        <v>3</v>
      </c>
      <c r="S382">
        <v>2</v>
      </c>
      <c r="T382">
        <v>757</v>
      </c>
      <c r="U382">
        <v>1</v>
      </c>
    </row>
    <row r="383" spans="1:21" x14ac:dyDescent="0.45">
      <c r="A383">
        <v>499</v>
      </c>
      <c r="B383">
        <v>0</v>
      </c>
      <c r="C383">
        <v>0</v>
      </c>
      <c r="D383">
        <v>0</v>
      </c>
      <c r="E383">
        <v>2</v>
      </c>
      <c r="F383">
        <v>0</v>
      </c>
      <c r="G383">
        <v>2</v>
      </c>
      <c r="H383">
        <v>0</v>
      </c>
      <c r="I383">
        <v>5</v>
      </c>
      <c r="J383">
        <v>1</v>
      </c>
      <c r="K383">
        <v>3</v>
      </c>
      <c r="L383">
        <v>0</v>
      </c>
      <c r="M383">
        <v>8</v>
      </c>
      <c r="N383">
        <v>6122.7134825703961</v>
      </c>
      <c r="O383">
        <v>1</v>
      </c>
      <c r="P383">
        <v>0</v>
      </c>
      <c r="Q383">
        <v>1</v>
      </c>
      <c r="R383">
        <v>2</v>
      </c>
      <c r="S383">
        <v>2</v>
      </c>
      <c r="T383">
        <v>1948</v>
      </c>
      <c r="U383">
        <v>2</v>
      </c>
    </row>
    <row r="384" spans="1:21" x14ac:dyDescent="0.45">
      <c r="A384">
        <v>500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14</v>
      </c>
      <c r="N384">
        <v>6949.1976094261681</v>
      </c>
      <c r="O384">
        <v>3</v>
      </c>
      <c r="P384">
        <v>0</v>
      </c>
      <c r="Q384">
        <v>0</v>
      </c>
      <c r="R384">
        <v>3</v>
      </c>
      <c r="S384">
        <v>4</v>
      </c>
      <c r="T384">
        <v>2998</v>
      </c>
      <c r="U384">
        <v>1</v>
      </c>
    </row>
    <row r="385" spans="1:21" x14ac:dyDescent="0.45">
      <c r="A385">
        <v>501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4</v>
      </c>
      <c r="H385">
        <v>4</v>
      </c>
      <c r="I385">
        <v>4</v>
      </c>
      <c r="J385">
        <v>0</v>
      </c>
      <c r="K385">
        <v>6</v>
      </c>
      <c r="L385">
        <v>0</v>
      </c>
      <c r="M385">
        <v>20</v>
      </c>
      <c r="N385">
        <v>6734.9816500795368</v>
      </c>
      <c r="O385">
        <v>3</v>
      </c>
      <c r="P385">
        <v>0</v>
      </c>
      <c r="Q385">
        <v>0</v>
      </c>
      <c r="R385">
        <v>3</v>
      </c>
      <c r="S385">
        <v>1</v>
      </c>
      <c r="T385">
        <v>42</v>
      </c>
      <c r="U385">
        <v>1</v>
      </c>
    </row>
    <row r="386" spans="1:21" x14ac:dyDescent="0.45">
      <c r="A386">
        <v>502</v>
      </c>
      <c r="B386">
        <v>0</v>
      </c>
      <c r="C386">
        <v>0</v>
      </c>
      <c r="D386">
        <v>1</v>
      </c>
      <c r="E386">
        <v>4</v>
      </c>
      <c r="F386">
        <v>0</v>
      </c>
      <c r="G386">
        <v>9</v>
      </c>
      <c r="H386">
        <v>14</v>
      </c>
      <c r="I386">
        <v>8</v>
      </c>
      <c r="J386">
        <v>4</v>
      </c>
      <c r="K386">
        <v>3</v>
      </c>
      <c r="L386">
        <v>1</v>
      </c>
      <c r="M386">
        <v>13</v>
      </c>
      <c r="N386">
        <v>6586.721093352051</v>
      </c>
      <c r="O386">
        <v>3</v>
      </c>
      <c r="P386">
        <v>0</v>
      </c>
      <c r="Q386">
        <v>1</v>
      </c>
      <c r="R386">
        <v>4</v>
      </c>
      <c r="S386">
        <v>2</v>
      </c>
      <c r="T386">
        <v>581</v>
      </c>
      <c r="U386">
        <v>3</v>
      </c>
    </row>
    <row r="387" spans="1:21" x14ac:dyDescent="0.45">
      <c r="A387">
        <v>503</v>
      </c>
      <c r="B387">
        <v>0</v>
      </c>
      <c r="C387">
        <v>0</v>
      </c>
      <c r="D387">
        <v>1</v>
      </c>
      <c r="E387">
        <v>4</v>
      </c>
      <c r="F387">
        <v>1</v>
      </c>
      <c r="G387">
        <v>10</v>
      </c>
      <c r="H387">
        <v>13</v>
      </c>
      <c r="I387">
        <v>8</v>
      </c>
      <c r="J387">
        <v>4</v>
      </c>
      <c r="K387">
        <v>1</v>
      </c>
      <c r="L387">
        <v>1</v>
      </c>
      <c r="M387">
        <v>14</v>
      </c>
      <c r="N387">
        <v>6301.027550342591</v>
      </c>
      <c r="O387">
        <v>4</v>
      </c>
      <c r="P387">
        <v>0</v>
      </c>
      <c r="Q387">
        <v>1</v>
      </c>
      <c r="R387">
        <v>4</v>
      </c>
      <c r="S387">
        <v>5</v>
      </c>
      <c r="T387">
        <v>1349</v>
      </c>
      <c r="U387">
        <v>2</v>
      </c>
    </row>
    <row r="388" spans="1:21" x14ac:dyDescent="0.45">
      <c r="A388">
        <v>504</v>
      </c>
      <c r="B388">
        <v>0</v>
      </c>
      <c r="C388">
        <v>0</v>
      </c>
      <c r="D388">
        <v>2</v>
      </c>
      <c r="E388">
        <v>4</v>
      </c>
      <c r="F388">
        <v>2</v>
      </c>
      <c r="G388">
        <v>9</v>
      </c>
      <c r="H388">
        <v>12</v>
      </c>
      <c r="I388">
        <v>5</v>
      </c>
      <c r="J388">
        <v>3</v>
      </c>
      <c r="K388">
        <v>2</v>
      </c>
      <c r="L388">
        <v>0</v>
      </c>
      <c r="M388">
        <v>8</v>
      </c>
      <c r="N388">
        <v>6340.9021884710601</v>
      </c>
      <c r="O388">
        <v>2</v>
      </c>
      <c r="P388">
        <v>1</v>
      </c>
      <c r="Q388">
        <v>1</v>
      </c>
      <c r="R388">
        <v>4</v>
      </c>
      <c r="S388">
        <v>3</v>
      </c>
      <c r="T388">
        <v>4298</v>
      </c>
      <c r="U388">
        <v>4</v>
      </c>
    </row>
    <row r="389" spans="1:21" x14ac:dyDescent="0.45">
      <c r="A389">
        <v>505</v>
      </c>
      <c r="B389">
        <v>0</v>
      </c>
      <c r="C389">
        <v>0</v>
      </c>
      <c r="D389">
        <v>2</v>
      </c>
      <c r="E389">
        <v>4</v>
      </c>
      <c r="F389">
        <v>2</v>
      </c>
      <c r="G389">
        <v>6</v>
      </c>
      <c r="H389">
        <v>5</v>
      </c>
      <c r="I389">
        <v>4</v>
      </c>
      <c r="J389">
        <v>3</v>
      </c>
      <c r="K389">
        <v>2</v>
      </c>
      <c r="L389">
        <v>0</v>
      </c>
      <c r="M389">
        <v>5</v>
      </c>
      <c r="N389">
        <v>6197.4220594063136</v>
      </c>
      <c r="O389">
        <v>2</v>
      </c>
      <c r="P389">
        <v>0</v>
      </c>
      <c r="Q389">
        <v>1</v>
      </c>
      <c r="R389">
        <v>4</v>
      </c>
      <c r="S389">
        <v>5</v>
      </c>
      <c r="T389">
        <v>2007</v>
      </c>
      <c r="U389">
        <v>3</v>
      </c>
    </row>
    <row r="390" spans="1:21" x14ac:dyDescent="0.45">
      <c r="A390">
        <v>506</v>
      </c>
      <c r="B390">
        <v>0</v>
      </c>
      <c r="C390">
        <v>0</v>
      </c>
      <c r="D390">
        <v>2</v>
      </c>
      <c r="E390">
        <v>6</v>
      </c>
      <c r="F390">
        <v>1</v>
      </c>
      <c r="G390">
        <v>9</v>
      </c>
      <c r="H390">
        <v>6</v>
      </c>
      <c r="I390">
        <v>5</v>
      </c>
      <c r="J390">
        <v>3</v>
      </c>
      <c r="K390">
        <v>2</v>
      </c>
      <c r="L390">
        <v>0</v>
      </c>
      <c r="M390">
        <v>7</v>
      </c>
      <c r="N390">
        <v>6333.1483915136068</v>
      </c>
      <c r="O390">
        <v>2</v>
      </c>
      <c r="P390">
        <v>0</v>
      </c>
      <c r="Q390">
        <v>1</v>
      </c>
      <c r="R390">
        <v>4</v>
      </c>
      <c r="S390">
        <v>5</v>
      </c>
      <c r="T390">
        <v>1624</v>
      </c>
      <c r="U390">
        <v>3</v>
      </c>
    </row>
    <row r="391" spans="1:21" x14ac:dyDescent="0.45">
      <c r="A391">
        <v>507</v>
      </c>
      <c r="B391">
        <v>0</v>
      </c>
      <c r="C391">
        <v>0</v>
      </c>
      <c r="D391">
        <v>3</v>
      </c>
      <c r="E391">
        <v>3</v>
      </c>
      <c r="F391">
        <v>2</v>
      </c>
      <c r="G391">
        <v>14</v>
      </c>
      <c r="H391">
        <v>14</v>
      </c>
      <c r="I391">
        <v>32</v>
      </c>
      <c r="J391">
        <v>3</v>
      </c>
      <c r="K391">
        <v>2</v>
      </c>
      <c r="L391">
        <v>4</v>
      </c>
      <c r="M391">
        <v>10</v>
      </c>
      <c r="N391">
        <v>5664.1231068976904</v>
      </c>
      <c r="O391">
        <v>3</v>
      </c>
      <c r="P391">
        <v>0</v>
      </c>
      <c r="Q391">
        <v>1</v>
      </c>
      <c r="R391">
        <v>4</v>
      </c>
      <c r="S391">
        <v>2</v>
      </c>
      <c r="T391">
        <v>405</v>
      </c>
      <c r="U391">
        <v>1</v>
      </c>
    </row>
    <row r="392" spans="1:21" x14ac:dyDescent="0.45">
      <c r="A392">
        <v>508</v>
      </c>
      <c r="B392">
        <v>0</v>
      </c>
      <c r="C392">
        <v>0</v>
      </c>
      <c r="D392">
        <v>1</v>
      </c>
      <c r="E392">
        <v>2</v>
      </c>
      <c r="F392">
        <v>0</v>
      </c>
      <c r="G392">
        <v>1</v>
      </c>
      <c r="H392">
        <v>0</v>
      </c>
      <c r="I392">
        <v>6</v>
      </c>
      <c r="J392">
        <v>1</v>
      </c>
      <c r="K392">
        <v>1</v>
      </c>
      <c r="L392">
        <v>0</v>
      </c>
      <c r="M392">
        <v>1</v>
      </c>
      <c r="N392">
        <v>5849.2973648028265</v>
      </c>
      <c r="O392">
        <v>2</v>
      </c>
      <c r="P392">
        <v>0</v>
      </c>
      <c r="Q392">
        <v>1</v>
      </c>
      <c r="R392">
        <v>2</v>
      </c>
      <c r="S392">
        <v>2</v>
      </c>
      <c r="T392">
        <v>2393</v>
      </c>
      <c r="U392">
        <v>3</v>
      </c>
    </row>
    <row r="393" spans="1:21" x14ac:dyDescent="0.45">
      <c r="A393">
        <v>509</v>
      </c>
      <c r="B393">
        <v>0</v>
      </c>
      <c r="C393">
        <v>0</v>
      </c>
      <c r="D393">
        <v>1</v>
      </c>
      <c r="E393">
        <v>2</v>
      </c>
      <c r="F393">
        <v>0</v>
      </c>
      <c r="G393">
        <v>4</v>
      </c>
      <c r="H393">
        <v>4</v>
      </c>
      <c r="I393">
        <v>6</v>
      </c>
      <c r="J393">
        <v>0</v>
      </c>
      <c r="K393">
        <v>1</v>
      </c>
      <c r="L393">
        <v>0</v>
      </c>
      <c r="M393">
        <v>2</v>
      </c>
      <c r="N393">
        <v>7150.4149869578323</v>
      </c>
      <c r="O393">
        <v>3</v>
      </c>
      <c r="P393">
        <v>0</v>
      </c>
      <c r="Q393">
        <v>0</v>
      </c>
      <c r="R393">
        <v>3</v>
      </c>
      <c r="S393">
        <v>7</v>
      </c>
      <c r="T393">
        <v>23834</v>
      </c>
      <c r="U393">
        <v>2</v>
      </c>
    </row>
    <row r="394" spans="1:21" x14ac:dyDescent="0.45">
      <c r="A394">
        <v>510</v>
      </c>
      <c r="B394">
        <v>0</v>
      </c>
      <c r="C394">
        <v>0</v>
      </c>
      <c r="D394">
        <v>1</v>
      </c>
      <c r="E394">
        <v>3</v>
      </c>
      <c r="F394">
        <v>0</v>
      </c>
      <c r="G394">
        <v>6</v>
      </c>
      <c r="H394">
        <v>7</v>
      </c>
      <c r="I394">
        <v>8</v>
      </c>
      <c r="J394">
        <v>0</v>
      </c>
      <c r="K394">
        <v>1</v>
      </c>
      <c r="L394">
        <v>0</v>
      </c>
      <c r="M394">
        <v>9</v>
      </c>
      <c r="N394">
        <v>7036.2828391100484</v>
      </c>
      <c r="O394">
        <v>3</v>
      </c>
      <c r="P394">
        <v>0</v>
      </c>
      <c r="Q394">
        <v>1</v>
      </c>
      <c r="R394">
        <v>4</v>
      </c>
      <c r="S394">
        <v>3</v>
      </c>
      <c r="T394">
        <v>230</v>
      </c>
      <c r="U394">
        <v>1</v>
      </c>
    </row>
    <row r="395" spans="1:21" x14ac:dyDescent="0.45">
      <c r="A395">
        <v>511</v>
      </c>
      <c r="B395">
        <v>0</v>
      </c>
      <c r="C395">
        <v>0</v>
      </c>
      <c r="D395">
        <v>1</v>
      </c>
      <c r="E395">
        <v>4</v>
      </c>
      <c r="F395">
        <v>0</v>
      </c>
      <c r="G395">
        <v>5</v>
      </c>
      <c r="H395">
        <v>4</v>
      </c>
      <c r="I395">
        <v>9</v>
      </c>
      <c r="J395">
        <v>3</v>
      </c>
      <c r="K395">
        <v>8</v>
      </c>
      <c r="L395">
        <v>0</v>
      </c>
      <c r="M395">
        <v>3</v>
      </c>
      <c r="N395">
        <v>5389.4836997395951</v>
      </c>
      <c r="O395">
        <v>3</v>
      </c>
      <c r="P395">
        <v>0</v>
      </c>
      <c r="Q395">
        <v>1</v>
      </c>
      <c r="R395">
        <v>4</v>
      </c>
      <c r="S395">
        <v>3</v>
      </c>
      <c r="T395">
        <v>257</v>
      </c>
      <c r="U395">
        <v>1</v>
      </c>
    </row>
    <row r="396" spans="1:21" x14ac:dyDescent="0.45">
      <c r="A396">
        <v>512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4</v>
      </c>
      <c r="H396">
        <v>4</v>
      </c>
      <c r="I396">
        <v>8</v>
      </c>
      <c r="J396">
        <v>0</v>
      </c>
      <c r="K396">
        <v>9</v>
      </c>
      <c r="L396">
        <v>0</v>
      </c>
      <c r="M396">
        <v>3</v>
      </c>
      <c r="N396">
        <v>5290.0017202651834</v>
      </c>
      <c r="O396">
        <v>3</v>
      </c>
      <c r="P396">
        <v>0</v>
      </c>
      <c r="Q396">
        <v>1</v>
      </c>
      <c r="R396">
        <v>3</v>
      </c>
      <c r="S396">
        <v>4</v>
      </c>
      <c r="T396">
        <v>872</v>
      </c>
      <c r="U396">
        <v>2</v>
      </c>
    </row>
    <row r="397" spans="1:21" x14ac:dyDescent="0.45">
      <c r="A397">
        <v>513</v>
      </c>
      <c r="B397">
        <v>0</v>
      </c>
      <c r="C397">
        <v>0</v>
      </c>
      <c r="D397">
        <v>1</v>
      </c>
      <c r="E397">
        <v>4</v>
      </c>
      <c r="F397">
        <v>0</v>
      </c>
      <c r="G397">
        <v>5</v>
      </c>
      <c r="H397">
        <v>6</v>
      </c>
      <c r="I397">
        <v>8</v>
      </c>
      <c r="J397">
        <v>3</v>
      </c>
      <c r="K397">
        <v>9</v>
      </c>
      <c r="L397">
        <v>0</v>
      </c>
      <c r="M397">
        <v>4</v>
      </c>
      <c r="N397">
        <v>5218.6860373721574</v>
      </c>
      <c r="O397">
        <v>4</v>
      </c>
      <c r="P397">
        <v>0</v>
      </c>
      <c r="Q397">
        <v>1</v>
      </c>
      <c r="R397">
        <v>4</v>
      </c>
      <c r="S397">
        <v>4</v>
      </c>
      <c r="T397">
        <v>276</v>
      </c>
      <c r="U397">
        <v>1</v>
      </c>
    </row>
    <row r="398" spans="1:21" x14ac:dyDescent="0.45">
      <c r="A398">
        <v>514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4</v>
      </c>
      <c r="H398">
        <v>4</v>
      </c>
      <c r="I398">
        <v>11</v>
      </c>
      <c r="J398">
        <v>3</v>
      </c>
      <c r="K398">
        <v>9</v>
      </c>
      <c r="L398">
        <v>0</v>
      </c>
      <c r="M398">
        <v>3</v>
      </c>
      <c r="N398">
        <v>4791.5174484343534</v>
      </c>
      <c r="O398">
        <v>2</v>
      </c>
      <c r="P398">
        <v>0</v>
      </c>
      <c r="Q398">
        <v>1</v>
      </c>
      <c r="R398">
        <v>3</v>
      </c>
      <c r="S398">
        <v>2</v>
      </c>
      <c r="T398">
        <v>381</v>
      </c>
      <c r="U398">
        <v>1</v>
      </c>
    </row>
    <row r="399" spans="1:21" x14ac:dyDescent="0.45">
      <c r="A399">
        <v>516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2</v>
      </c>
      <c r="H399">
        <v>1</v>
      </c>
      <c r="I399">
        <v>8</v>
      </c>
      <c r="J399">
        <v>0</v>
      </c>
      <c r="K399">
        <v>7</v>
      </c>
      <c r="L399">
        <v>0</v>
      </c>
      <c r="M399">
        <v>2</v>
      </c>
      <c r="N399">
        <v>5106.177085474108</v>
      </c>
      <c r="O399">
        <v>1</v>
      </c>
      <c r="P399">
        <v>0</v>
      </c>
      <c r="Q399">
        <v>0</v>
      </c>
      <c r="R399">
        <v>1</v>
      </c>
      <c r="S399">
        <v>4</v>
      </c>
      <c r="T399">
        <v>533</v>
      </c>
      <c r="U399">
        <v>1</v>
      </c>
    </row>
    <row r="400" spans="1:21" x14ac:dyDescent="0.45">
      <c r="A400">
        <v>517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2</v>
      </c>
      <c r="H400">
        <v>2</v>
      </c>
      <c r="I400">
        <v>7</v>
      </c>
      <c r="J400">
        <v>0</v>
      </c>
      <c r="K400">
        <v>5</v>
      </c>
      <c r="L400">
        <v>0</v>
      </c>
      <c r="M400">
        <v>1</v>
      </c>
      <c r="N400">
        <v>5357.3175171560642</v>
      </c>
      <c r="O400">
        <v>3</v>
      </c>
      <c r="P400">
        <v>0</v>
      </c>
      <c r="Q400">
        <v>1</v>
      </c>
      <c r="R400">
        <v>1</v>
      </c>
      <c r="S400">
        <v>3</v>
      </c>
      <c r="T400">
        <v>430</v>
      </c>
      <c r="U400">
        <v>2</v>
      </c>
    </row>
    <row r="401" spans="1:21" x14ac:dyDescent="0.45">
      <c r="A401">
        <v>518</v>
      </c>
      <c r="B401">
        <v>0</v>
      </c>
      <c r="C401">
        <v>0</v>
      </c>
      <c r="D401">
        <v>1</v>
      </c>
      <c r="E401">
        <v>5</v>
      </c>
      <c r="F401">
        <v>0</v>
      </c>
      <c r="G401">
        <v>7</v>
      </c>
      <c r="H401">
        <v>5</v>
      </c>
      <c r="I401">
        <v>3</v>
      </c>
      <c r="J401">
        <v>0</v>
      </c>
      <c r="K401">
        <v>4</v>
      </c>
      <c r="L401">
        <v>0</v>
      </c>
      <c r="M401">
        <v>6</v>
      </c>
      <c r="N401">
        <v>7987.1489835787761</v>
      </c>
      <c r="O401">
        <v>4</v>
      </c>
      <c r="P401">
        <v>0</v>
      </c>
      <c r="Q401">
        <v>1</v>
      </c>
      <c r="R401">
        <v>4</v>
      </c>
      <c r="S401">
        <v>2</v>
      </c>
      <c r="T401">
        <v>408</v>
      </c>
      <c r="U401">
        <v>1</v>
      </c>
    </row>
    <row r="402" spans="1:21" x14ac:dyDescent="0.45">
      <c r="A402">
        <v>519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5</v>
      </c>
      <c r="H402">
        <v>4</v>
      </c>
      <c r="I402">
        <v>3</v>
      </c>
      <c r="J402">
        <v>0</v>
      </c>
      <c r="K402">
        <v>0</v>
      </c>
      <c r="L402">
        <v>0</v>
      </c>
      <c r="M402">
        <v>5</v>
      </c>
      <c r="N402">
        <v>12696.983356347449</v>
      </c>
      <c r="O402">
        <v>3</v>
      </c>
      <c r="P402">
        <v>0</v>
      </c>
      <c r="Q402">
        <v>0</v>
      </c>
      <c r="R402">
        <v>1</v>
      </c>
      <c r="S402">
        <v>1</v>
      </c>
      <c r="T402">
        <v>124</v>
      </c>
      <c r="U402">
        <v>1</v>
      </c>
    </row>
    <row r="403" spans="1:21" x14ac:dyDescent="0.45">
      <c r="A403">
        <v>520</v>
      </c>
      <c r="B403">
        <v>0</v>
      </c>
      <c r="C403">
        <v>0</v>
      </c>
      <c r="D403">
        <v>1</v>
      </c>
      <c r="E403">
        <v>4</v>
      </c>
      <c r="F403">
        <v>1</v>
      </c>
      <c r="G403">
        <v>12</v>
      </c>
      <c r="H403">
        <v>18</v>
      </c>
      <c r="I403">
        <v>5</v>
      </c>
      <c r="J403">
        <v>0</v>
      </c>
      <c r="K403">
        <v>0</v>
      </c>
      <c r="L403">
        <v>0</v>
      </c>
      <c r="M403">
        <v>9</v>
      </c>
      <c r="N403">
        <v>11169.37010877086</v>
      </c>
      <c r="O403">
        <v>4</v>
      </c>
      <c r="P403">
        <v>1</v>
      </c>
      <c r="Q403">
        <v>1</v>
      </c>
      <c r="R403">
        <v>4</v>
      </c>
      <c r="S403">
        <v>4</v>
      </c>
      <c r="T403">
        <v>1735</v>
      </c>
      <c r="U403">
        <v>2</v>
      </c>
    </row>
    <row r="404" spans="1:21" x14ac:dyDescent="0.45">
      <c r="A404">
        <v>521</v>
      </c>
      <c r="B404">
        <v>0</v>
      </c>
      <c r="C404">
        <v>0</v>
      </c>
      <c r="D404">
        <v>5</v>
      </c>
      <c r="E404">
        <v>5</v>
      </c>
      <c r="F404">
        <v>1</v>
      </c>
      <c r="G404">
        <v>5</v>
      </c>
      <c r="H404">
        <v>9</v>
      </c>
      <c r="I404">
        <v>5</v>
      </c>
      <c r="J404">
        <v>1</v>
      </c>
      <c r="K404">
        <v>0</v>
      </c>
      <c r="L404">
        <v>0</v>
      </c>
      <c r="M404">
        <v>4</v>
      </c>
      <c r="N404">
        <v>12652.80968929793</v>
      </c>
      <c r="O404">
        <v>4</v>
      </c>
      <c r="P404">
        <v>0</v>
      </c>
      <c r="Q404">
        <v>1</v>
      </c>
      <c r="R404">
        <v>4</v>
      </c>
      <c r="S404">
        <v>3</v>
      </c>
      <c r="T404">
        <v>1814</v>
      </c>
      <c r="U404">
        <v>2</v>
      </c>
    </row>
    <row r="405" spans="1:21" x14ac:dyDescent="0.45">
      <c r="A405">
        <v>523</v>
      </c>
      <c r="B405">
        <v>0</v>
      </c>
      <c r="C405">
        <v>0</v>
      </c>
      <c r="D405">
        <v>3</v>
      </c>
      <c r="E405">
        <v>3</v>
      </c>
      <c r="F405">
        <v>0</v>
      </c>
      <c r="G405">
        <v>11</v>
      </c>
      <c r="H405">
        <v>10</v>
      </c>
      <c r="I405">
        <v>8</v>
      </c>
      <c r="J405">
        <v>0</v>
      </c>
      <c r="K405">
        <v>0</v>
      </c>
      <c r="L405">
        <v>2</v>
      </c>
      <c r="M405">
        <v>7</v>
      </c>
      <c r="N405">
        <v>12642.42099268548</v>
      </c>
      <c r="O405">
        <v>4</v>
      </c>
      <c r="P405">
        <v>0</v>
      </c>
      <c r="Q405">
        <v>1</v>
      </c>
      <c r="R405">
        <v>4</v>
      </c>
      <c r="S405">
        <v>2</v>
      </c>
      <c r="T405">
        <v>573</v>
      </c>
      <c r="U405">
        <v>1</v>
      </c>
    </row>
    <row r="406" spans="1:21" x14ac:dyDescent="0.45">
      <c r="A406">
        <v>524</v>
      </c>
      <c r="B406">
        <v>1</v>
      </c>
      <c r="C406">
        <v>0</v>
      </c>
      <c r="D406">
        <v>0</v>
      </c>
      <c r="E406">
        <v>3</v>
      </c>
      <c r="F406">
        <v>1</v>
      </c>
      <c r="G406">
        <v>12</v>
      </c>
      <c r="H406">
        <v>18</v>
      </c>
      <c r="I406">
        <v>30</v>
      </c>
      <c r="J406">
        <v>0</v>
      </c>
      <c r="K406">
        <v>1</v>
      </c>
      <c r="L406">
        <v>12</v>
      </c>
      <c r="M406">
        <v>8</v>
      </c>
      <c r="N406">
        <v>11327.597801676689</v>
      </c>
      <c r="O406">
        <v>4</v>
      </c>
      <c r="P406">
        <v>0</v>
      </c>
      <c r="Q406">
        <v>1</v>
      </c>
      <c r="R406">
        <v>4</v>
      </c>
      <c r="S406">
        <v>2</v>
      </c>
      <c r="T406">
        <v>1178</v>
      </c>
      <c r="U406">
        <v>3</v>
      </c>
    </row>
    <row r="407" spans="1:21" x14ac:dyDescent="0.45">
      <c r="A407">
        <v>525</v>
      </c>
      <c r="B407">
        <v>0</v>
      </c>
      <c r="C407">
        <v>0</v>
      </c>
      <c r="D407">
        <v>3</v>
      </c>
      <c r="E407">
        <v>4</v>
      </c>
      <c r="F407">
        <v>1</v>
      </c>
      <c r="G407">
        <v>6</v>
      </c>
      <c r="H407">
        <v>12</v>
      </c>
      <c r="I407">
        <v>7</v>
      </c>
      <c r="J407">
        <v>0</v>
      </c>
      <c r="K407">
        <v>0</v>
      </c>
      <c r="L407">
        <v>0</v>
      </c>
      <c r="M407">
        <v>23</v>
      </c>
      <c r="N407">
        <v>10956.613983099251</v>
      </c>
      <c r="O407">
        <v>3</v>
      </c>
      <c r="P407">
        <v>0</v>
      </c>
      <c r="Q407">
        <v>0</v>
      </c>
      <c r="R407">
        <v>1</v>
      </c>
      <c r="S407">
        <v>3</v>
      </c>
      <c r="T407">
        <v>829</v>
      </c>
      <c r="U407">
        <v>2</v>
      </c>
    </row>
    <row r="408" spans="1:21" x14ac:dyDescent="0.45">
      <c r="A408">
        <v>528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7</v>
      </c>
      <c r="N408">
        <v>18646.913811060302</v>
      </c>
      <c r="O408">
        <v>3</v>
      </c>
      <c r="P408">
        <v>0</v>
      </c>
      <c r="Q408">
        <v>0</v>
      </c>
      <c r="R408">
        <v>4</v>
      </c>
      <c r="S408">
        <v>1</v>
      </c>
      <c r="T408">
        <v>29</v>
      </c>
      <c r="U408">
        <v>1</v>
      </c>
    </row>
    <row r="409" spans="1:21" x14ac:dyDescent="0.45">
      <c r="A409">
        <v>529</v>
      </c>
      <c r="B409">
        <v>0</v>
      </c>
      <c r="C409">
        <v>1</v>
      </c>
      <c r="D409">
        <v>0</v>
      </c>
      <c r="E409">
        <v>1</v>
      </c>
      <c r="F409">
        <v>0</v>
      </c>
      <c r="G409">
        <v>2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18592.159904392651</v>
      </c>
      <c r="O409">
        <v>3</v>
      </c>
      <c r="P409">
        <v>0</v>
      </c>
      <c r="Q409">
        <v>0</v>
      </c>
      <c r="R409">
        <v>4</v>
      </c>
      <c r="S409">
        <v>1</v>
      </c>
      <c r="T409">
        <v>59</v>
      </c>
      <c r="U409">
        <v>1</v>
      </c>
    </row>
    <row r="410" spans="1:21" x14ac:dyDescent="0.45">
      <c r="A410">
        <v>530</v>
      </c>
      <c r="B410">
        <v>0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2</v>
      </c>
      <c r="I410">
        <v>1</v>
      </c>
      <c r="J410">
        <v>0</v>
      </c>
      <c r="K410">
        <v>0</v>
      </c>
      <c r="L410">
        <v>0</v>
      </c>
      <c r="M410">
        <v>5</v>
      </c>
      <c r="N410">
        <v>17577.011977295861</v>
      </c>
      <c r="O410">
        <v>3</v>
      </c>
      <c r="P410">
        <v>0</v>
      </c>
      <c r="Q410">
        <v>0</v>
      </c>
      <c r="R410">
        <v>2</v>
      </c>
      <c r="S410">
        <v>3</v>
      </c>
      <c r="T410">
        <v>150</v>
      </c>
      <c r="U410">
        <v>1</v>
      </c>
    </row>
    <row r="411" spans="1:21" x14ac:dyDescent="0.45">
      <c r="A411">
        <v>531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</v>
      </c>
      <c r="N411">
        <v>17411.660155477231</v>
      </c>
      <c r="O411">
        <v>4</v>
      </c>
      <c r="P411">
        <v>1</v>
      </c>
      <c r="Q411">
        <v>1</v>
      </c>
      <c r="R411">
        <v>1</v>
      </c>
      <c r="S411">
        <v>2</v>
      </c>
      <c r="T411">
        <v>514</v>
      </c>
      <c r="U411">
        <v>2</v>
      </c>
    </row>
    <row r="412" spans="1:21" x14ac:dyDescent="0.45">
      <c r="A412">
        <v>532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3</v>
      </c>
      <c r="H412">
        <v>3</v>
      </c>
      <c r="I412">
        <v>5</v>
      </c>
      <c r="J412">
        <v>2</v>
      </c>
      <c r="K412">
        <v>0</v>
      </c>
      <c r="L412">
        <v>0</v>
      </c>
      <c r="M412">
        <v>15</v>
      </c>
      <c r="N412">
        <v>16374.04858283164</v>
      </c>
      <c r="O412">
        <v>1</v>
      </c>
      <c r="P412">
        <v>0</v>
      </c>
      <c r="Q412">
        <v>1</v>
      </c>
      <c r="R412">
        <v>2</v>
      </c>
      <c r="S412">
        <v>2</v>
      </c>
      <c r="T412">
        <v>197</v>
      </c>
      <c r="U412">
        <v>1</v>
      </c>
    </row>
    <row r="413" spans="1:21" x14ac:dyDescent="0.45">
      <c r="A413">
        <v>533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3</v>
      </c>
      <c r="H413">
        <v>2</v>
      </c>
      <c r="I413">
        <v>6</v>
      </c>
      <c r="J413">
        <v>2</v>
      </c>
      <c r="K413">
        <v>1</v>
      </c>
      <c r="L413">
        <v>0</v>
      </c>
      <c r="M413">
        <v>14</v>
      </c>
      <c r="N413">
        <v>16306.493589915521</v>
      </c>
      <c r="O413">
        <v>3</v>
      </c>
      <c r="P413">
        <v>1</v>
      </c>
      <c r="Q413">
        <v>1</v>
      </c>
      <c r="R413">
        <v>2</v>
      </c>
      <c r="S413">
        <v>3</v>
      </c>
      <c r="T413">
        <v>548</v>
      </c>
      <c r="U413">
        <v>1</v>
      </c>
    </row>
    <row r="414" spans="1:21" x14ac:dyDescent="0.45">
      <c r="A414">
        <v>534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3</v>
      </c>
      <c r="H414">
        <v>2</v>
      </c>
      <c r="I414">
        <v>6</v>
      </c>
      <c r="J414">
        <v>2</v>
      </c>
      <c r="K414">
        <v>1</v>
      </c>
      <c r="L414">
        <v>0</v>
      </c>
      <c r="M414">
        <v>14</v>
      </c>
      <c r="N414">
        <v>16313.821821541949</v>
      </c>
      <c r="O414">
        <v>3</v>
      </c>
      <c r="P414">
        <v>0</v>
      </c>
      <c r="Q414">
        <v>0</v>
      </c>
      <c r="R414">
        <v>2</v>
      </c>
      <c r="S414">
        <v>1</v>
      </c>
      <c r="T414">
        <v>37</v>
      </c>
      <c r="U414">
        <v>1</v>
      </c>
    </row>
    <row r="415" spans="1:21" x14ac:dyDescent="0.45">
      <c r="A415">
        <v>535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3</v>
      </c>
      <c r="H415">
        <v>2</v>
      </c>
      <c r="I415">
        <v>6</v>
      </c>
      <c r="J415">
        <v>2</v>
      </c>
      <c r="K415">
        <v>1</v>
      </c>
      <c r="L415">
        <v>0</v>
      </c>
      <c r="M415">
        <v>14</v>
      </c>
      <c r="N415">
        <v>16248.05628478934</v>
      </c>
      <c r="O415">
        <v>3</v>
      </c>
      <c r="P415">
        <v>0</v>
      </c>
      <c r="Q415">
        <v>0</v>
      </c>
      <c r="R415">
        <v>2</v>
      </c>
      <c r="S415">
        <v>1</v>
      </c>
      <c r="T415">
        <v>38</v>
      </c>
      <c r="U415">
        <v>1</v>
      </c>
    </row>
    <row r="416" spans="1:21" x14ac:dyDescent="0.45">
      <c r="A416">
        <v>536</v>
      </c>
      <c r="B416">
        <v>0</v>
      </c>
      <c r="C416">
        <v>0</v>
      </c>
      <c r="D416">
        <v>3</v>
      </c>
      <c r="E416">
        <v>4</v>
      </c>
      <c r="F416">
        <v>2</v>
      </c>
      <c r="G416">
        <v>14</v>
      </c>
      <c r="H416">
        <v>16</v>
      </c>
      <c r="I416">
        <v>7</v>
      </c>
      <c r="J416">
        <v>0</v>
      </c>
      <c r="K416">
        <v>0</v>
      </c>
      <c r="L416">
        <v>1</v>
      </c>
      <c r="M416">
        <v>17</v>
      </c>
      <c r="N416">
        <v>16756.69571634047</v>
      </c>
      <c r="O416">
        <v>1</v>
      </c>
      <c r="P416">
        <v>0</v>
      </c>
      <c r="Q416">
        <v>1</v>
      </c>
      <c r="R416">
        <v>4</v>
      </c>
      <c r="S416">
        <v>2</v>
      </c>
      <c r="T416">
        <v>646</v>
      </c>
      <c r="U416">
        <v>3</v>
      </c>
    </row>
    <row r="417" spans="1:21" x14ac:dyDescent="0.45">
      <c r="A417">
        <v>537</v>
      </c>
      <c r="B417">
        <v>0</v>
      </c>
      <c r="C417">
        <v>0</v>
      </c>
      <c r="D417">
        <v>1</v>
      </c>
      <c r="E417">
        <v>4</v>
      </c>
      <c r="F417">
        <v>2</v>
      </c>
      <c r="G417">
        <v>13</v>
      </c>
      <c r="H417">
        <v>12</v>
      </c>
      <c r="I417">
        <v>6</v>
      </c>
      <c r="J417">
        <v>1</v>
      </c>
      <c r="K417">
        <v>0</v>
      </c>
      <c r="L417">
        <v>1</v>
      </c>
      <c r="M417">
        <v>14</v>
      </c>
      <c r="N417">
        <v>17247.559811968429</v>
      </c>
      <c r="O417">
        <v>4</v>
      </c>
      <c r="P417">
        <v>0</v>
      </c>
      <c r="Q417">
        <v>1</v>
      </c>
      <c r="R417">
        <v>4</v>
      </c>
      <c r="S417">
        <v>5</v>
      </c>
      <c r="T417">
        <v>646</v>
      </c>
      <c r="U417">
        <v>1</v>
      </c>
    </row>
    <row r="418" spans="1:21" x14ac:dyDescent="0.45">
      <c r="A418">
        <v>539</v>
      </c>
      <c r="B418">
        <v>0</v>
      </c>
      <c r="C418">
        <v>0</v>
      </c>
      <c r="D418">
        <v>3</v>
      </c>
      <c r="E418">
        <v>5</v>
      </c>
      <c r="F418">
        <v>2</v>
      </c>
      <c r="G418">
        <v>8</v>
      </c>
      <c r="H418">
        <v>11</v>
      </c>
      <c r="I418">
        <v>7</v>
      </c>
      <c r="J418">
        <v>0</v>
      </c>
      <c r="K418">
        <v>0</v>
      </c>
      <c r="L418">
        <v>0</v>
      </c>
      <c r="M418">
        <v>6</v>
      </c>
      <c r="N418">
        <v>16918.503896910519</v>
      </c>
      <c r="O418">
        <v>4</v>
      </c>
      <c r="P418">
        <v>0</v>
      </c>
      <c r="Q418">
        <v>1</v>
      </c>
      <c r="R418">
        <v>4</v>
      </c>
      <c r="S418">
        <v>2</v>
      </c>
      <c r="T418">
        <v>255</v>
      </c>
      <c r="U418">
        <v>1</v>
      </c>
    </row>
    <row r="419" spans="1:21" x14ac:dyDescent="0.45">
      <c r="A419">
        <v>540</v>
      </c>
      <c r="B419">
        <v>0</v>
      </c>
      <c r="C419">
        <v>0</v>
      </c>
      <c r="D419">
        <v>3</v>
      </c>
      <c r="E419">
        <v>5</v>
      </c>
      <c r="F419">
        <v>2</v>
      </c>
      <c r="G419">
        <v>8</v>
      </c>
      <c r="H419">
        <v>11</v>
      </c>
      <c r="I419">
        <v>7</v>
      </c>
      <c r="J419">
        <v>0</v>
      </c>
      <c r="K419">
        <v>0</v>
      </c>
      <c r="L419">
        <v>0</v>
      </c>
      <c r="M419">
        <v>6</v>
      </c>
      <c r="N419">
        <v>16979.536769518349</v>
      </c>
      <c r="O419">
        <v>4</v>
      </c>
      <c r="P419">
        <v>0</v>
      </c>
      <c r="Q419">
        <v>1</v>
      </c>
      <c r="R419">
        <v>4</v>
      </c>
      <c r="S419">
        <v>2</v>
      </c>
      <c r="T419">
        <v>457</v>
      </c>
      <c r="U419">
        <v>1</v>
      </c>
    </row>
    <row r="420" spans="1:21" x14ac:dyDescent="0.45">
      <c r="A420">
        <v>541</v>
      </c>
      <c r="B420">
        <v>0</v>
      </c>
      <c r="C420">
        <v>1</v>
      </c>
      <c r="D420">
        <v>0</v>
      </c>
      <c r="E420">
        <v>0</v>
      </c>
      <c r="F420">
        <v>1</v>
      </c>
      <c r="G420">
        <v>1</v>
      </c>
      <c r="H420">
        <v>2</v>
      </c>
      <c r="I420">
        <v>1</v>
      </c>
      <c r="J420">
        <v>1</v>
      </c>
      <c r="K420">
        <v>0</v>
      </c>
      <c r="L420">
        <v>0</v>
      </c>
      <c r="M420">
        <v>2</v>
      </c>
      <c r="N420">
        <v>20156.995624437412</v>
      </c>
      <c r="O420">
        <v>3</v>
      </c>
      <c r="P420">
        <v>0</v>
      </c>
      <c r="Q420">
        <v>1</v>
      </c>
      <c r="R420">
        <v>4</v>
      </c>
      <c r="S420">
        <v>3</v>
      </c>
      <c r="T420">
        <v>563</v>
      </c>
      <c r="U420">
        <v>1</v>
      </c>
    </row>
    <row r="421" spans="1:21" x14ac:dyDescent="0.45">
      <c r="A421">
        <v>542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21037.966829974859</v>
      </c>
      <c r="O421">
        <v>1</v>
      </c>
      <c r="P421">
        <v>0</v>
      </c>
      <c r="Q421">
        <v>1</v>
      </c>
      <c r="R421">
        <v>4</v>
      </c>
      <c r="S421">
        <v>2</v>
      </c>
      <c r="T421">
        <v>212</v>
      </c>
      <c r="U421">
        <v>1</v>
      </c>
    </row>
    <row r="422" spans="1:21" x14ac:dyDescent="0.45">
      <c r="A422">
        <v>543</v>
      </c>
      <c r="B422">
        <v>0</v>
      </c>
      <c r="C422">
        <v>0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23375.301549598331</v>
      </c>
      <c r="O422">
        <v>3</v>
      </c>
      <c r="P422">
        <v>0</v>
      </c>
      <c r="Q422">
        <v>1</v>
      </c>
      <c r="R422">
        <v>4</v>
      </c>
      <c r="S422">
        <v>2</v>
      </c>
      <c r="T422">
        <v>958</v>
      </c>
      <c r="U422">
        <v>2</v>
      </c>
    </row>
    <row r="423" spans="1:21" x14ac:dyDescent="0.45">
      <c r="A423">
        <v>544</v>
      </c>
      <c r="B423">
        <v>0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23255.726644404771</v>
      </c>
      <c r="O423">
        <v>1</v>
      </c>
      <c r="P423">
        <v>0</v>
      </c>
      <c r="Q423">
        <v>1</v>
      </c>
      <c r="R423">
        <v>4</v>
      </c>
      <c r="S423">
        <v>1</v>
      </c>
      <c r="T423">
        <v>1136</v>
      </c>
      <c r="U423">
        <v>3</v>
      </c>
    </row>
    <row r="424" spans="1:21" x14ac:dyDescent="0.45">
      <c r="A424">
        <v>545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22032.60730028545</v>
      </c>
      <c r="O424">
        <v>3</v>
      </c>
      <c r="P424">
        <v>0</v>
      </c>
      <c r="Q424">
        <v>1</v>
      </c>
      <c r="R424">
        <v>4</v>
      </c>
      <c r="S424">
        <v>9</v>
      </c>
      <c r="T424">
        <v>1141</v>
      </c>
      <c r="U424">
        <v>1</v>
      </c>
    </row>
    <row r="425" spans="1:21" x14ac:dyDescent="0.45">
      <c r="A425">
        <v>546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22084.384850935148</v>
      </c>
      <c r="O425">
        <v>3</v>
      </c>
      <c r="P425">
        <v>0</v>
      </c>
      <c r="Q425">
        <v>1</v>
      </c>
      <c r="R425">
        <v>4</v>
      </c>
      <c r="S425">
        <v>9</v>
      </c>
      <c r="T425">
        <v>1151</v>
      </c>
      <c r="U425">
        <v>1</v>
      </c>
    </row>
    <row r="426" spans="1:21" x14ac:dyDescent="0.45">
      <c r="A426">
        <v>547</v>
      </c>
      <c r="B426">
        <v>1</v>
      </c>
      <c r="C426">
        <v>0</v>
      </c>
      <c r="D426">
        <v>1</v>
      </c>
      <c r="E426">
        <v>1</v>
      </c>
      <c r="F426">
        <v>1</v>
      </c>
      <c r="G426">
        <v>2</v>
      </c>
      <c r="H426">
        <v>2</v>
      </c>
      <c r="I426">
        <v>3</v>
      </c>
      <c r="J426">
        <v>0</v>
      </c>
      <c r="K426">
        <v>0</v>
      </c>
      <c r="L426">
        <v>0</v>
      </c>
      <c r="M426">
        <v>6</v>
      </c>
      <c r="N426">
        <v>23100.18023366838</v>
      </c>
      <c r="O426">
        <v>4</v>
      </c>
      <c r="P426">
        <v>0</v>
      </c>
      <c r="Q426">
        <v>1</v>
      </c>
      <c r="R426">
        <v>4</v>
      </c>
      <c r="S426">
        <v>2</v>
      </c>
      <c r="T426">
        <v>433</v>
      </c>
      <c r="U426">
        <v>1</v>
      </c>
    </row>
    <row r="427" spans="1:21" x14ac:dyDescent="0.45">
      <c r="A427">
        <v>548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16357.86504248476</v>
      </c>
      <c r="O427">
        <v>3</v>
      </c>
      <c r="P427">
        <v>0</v>
      </c>
      <c r="Q427">
        <v>1</v>
      </c>
      <c r="R427">
        <v>3</v>
      </c>
      <c r="S427">
        <v>2</v>
      </c>
      <c r="T427">
        <v>230</v>
      </c>
      <c r="U427">
        <v>1</v>
      </c>
    </row>
    <row r="428" spans="1:21" x14ac:dyDescent="0.45">
      <c r="A428">
        <v>549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16228.79716520341</v>
      </c>
      <c r="O428">
        <v>1</v>
      </c>
      <c r="P428">
        <v>0</v>
      </c>
      <c r="Q428">
        <v>1</v>
      </c>
      <c r="R428">
        <v>3</v>
      </c>
      <c r="S428">
        <v>2</v>
      </c>
      <c r="T428">
        <v>229</v>
      </c>
      <c r="U428">
        <v>1</v>
      </c>
    </row>
    <row r="429" spans="1:21" x14ac:dyDescent="0.45">
      <c r="A429">
        <v>550</v>
      </c>
      <c r="B429">
        <v>0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4</v>
      </c>
      <c r="I429">
        <v>2</v>
      </c>
      <c r="J429">
        <v>2</v>
      </c>
      <c r="K429">
        <v>0</v>
      </c>
      <c r="L429">
        <v>0</v>
      </c>
      <c r="M429">
        <v>6</v>
      </c>
      <c r="N429">
        <v>15784.578266131941</v>
      </c>
      <c r="O429">
        <v>3</v>
      </c>
      <c r="P429">
        <v>0</v>
      </c>
      <c r="Q429">
        <v>1</v>
      </c>
      <c r="R429">
        <v>4</v>
      </c>
      <c r="S429">
        <v>2</v>
      </c>
      <c r="T429">
        <v>194</v>
      </c>
      <c r="U429">
        <v>1</v>
      </c>
    </row>
    <row r="430" spans="1:21" x14ac:dyDescent="0.45">
      <c r="A430">
        <v>551</v>
      </c>
      <c r="B430">
        <v>0</v>
      </c>
      <c r="C430">
        <v>0</v>
      </c>
      <c r="D430">
        <v>6</v>
      </c>
      <c r="E430">
        <v>3</v>
      </c>
      <c r="F430">
        <v>1</v>
      </c>
      <c r="G430">
        <v>20</v>
      </c>
      <c r="H430">
        <v>13</v>
      </c>
      <c r="I430">
        <v>125</v>
      </c>
      <c r="J430">
        <v>43</v>
      </c>
      <c r="K430">
        <v>22</v>
      </c>
      <c r="L430">
        <v>4</v>
      </c>
      <c r="M430">
        <v>13</v>
      </c>
      <c r="N430">
        <v>1148.1211994580631</v>
      </c>
      <c r="O430">
        <v>1</v>
      </c>
      <c r="P430">
        <v>1</v>
      </c>
      <c r="Q430">
        <v>1</v>
      </c>
      <c r="R430">
        <v>4</v>
      </c>
      <c r="S430">
        <v>2</v>
      </c>
      <c r="T430">
        <v>2118</v>
      </c>
      <c r="U430">
        <v>1</v>
      </c>
    </row>
    <row r="431" spans="1:21" x14ac:dyDescent="0.45">
      <c r="A431">
        <v>552</v>
      </c>
      <c r="B431">
        <v>0</v>
      </c>
      <c r="C431">
        <v>0</v>
      </c>
      <c r="D431">
        <v>1</v>
      </c>
      <c r="E431">
        <v>7</v>
      </c>
      <c r="F431">
        <v>0</v>
      </c>
      <c r="G431">
        <v>11</v>
      </c>
      <c r="H431">
        <v>17</v>
      </c>
      <c r="I431">
        <v>50</v>
      </c>
      <c r="J431">
        <v>2</v>
      </c>
      <c r="K431">
        <v>3</v>
      </c>
      <c r="L431">
        <v>0</v>
      </c>
      <c r="M431">
        <v>7</v>
      </c>
      <c r="N431">
        <v>3910.6485953253759</v>
      </c>
      <c r="O431">
        <v>3</v>
      </c>
      <c r="P431">
        <v>1</v>
      </c>
      <c r="Q431">
        <v>1</v>
      </c>
      <c r="R431">
        <v>3</v>
      </c>
      <c r="S431">
        <v>2</v>
      </c>
      <c r="T431">
        <v>488</v>
      </c>
      <c r="U431">
        <v>2</v>
      </c>
    </row>
    <row r="432" spans="1:21" x14ac:dyDescent="0.45">
      <c r="A432">
        <v>553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3</v>
      </c>
      <c r="N432">
        <v>9308.7608567134375</v>
      </c>
      <c r="O432">
        <v>2</v>
      </c>
      <c r="P432">
        <v>0</v>
      </c>
      <c r="Q432">
        <v>0</v>
      </c>
      <c r="R432">
        <v>3</v>
      </c>
      <c r="S432">
        <v>1</v>
      </c>
      <c r="T432">
        <v>1168</v>
      </c>
      <c r="U432">
        <v>3</v>
      </c>
    </row>
    <row r="433" spans="1:21" x14ac:dyDescent="0.45">
      <c r="A433">
        <f>SUBTOTAL(103,Таблица3[id])</f>
        <v>431</v>
      </c>
      <c r="B433">
        <f>SUBTOTAL(103,Таблица3[vosstanovleno])</f>
        <v>431</v>
      </c>
      <c r="C433">
        <f>SUBTOTAL(103,Таблица3[sneseno])</f>
        <v>431</v>
      </c>
      <c r="D433">
        <f>SUBTOTAL(103,Таблица3[school])</f>
        <v>431</v>
      </c>
      <c r="E433">
        <f>SUBTOTAL(103,Таблица3[kindergarten])</f>
        <v>431</v>
      </c>
      <c r="F433">
        <f>SUBTOTAL(103,Таблица3[polyclinic])</f>
        <v>431</v>
      </c>
      <c r="G433">
        <f>SUBTOTAL(103,Таблица3[supermarket])</f>
        <v>431</v>
      </c>
      <c r="H433">
        <f>SUBTOTAL(103,Таблица3[PVZ])</f>
        <v>431</v>
      </c>
      <c r="I433">
        <f>SUBTOTAL(103,Таблица3[obshepit])</f>
        <v>431</v>
      </c>
      <c r="J433">
        <f>SUBTOTAL(103,Таблица3[hotel])</f>
        <v>431</v>
      </c>
      <c r="K433">
        <f>SUBTOTAL(103,Таблица3[BC])</f>
        <v>431</v>
      </c>
      <c r="L433">
        <f>SUBTOTAL(103,Таблица3[bank])</f>
        <v>431</v>
      </c>
      <c r="M433">
        <f>SUBTOTAL(103,Таблица3[stop])</f>
        <v>431</v>
      </c>
      <c r="N433">
        <f>SUBTOTAL(103,Таблица3[to_centre])</f>
        <v>431</v>
      </c>
      <c r="O433">
        <f>SUBTOTAL(103,Таблица3[condition])</f>
        <v>431</v>
      </c>
      <c r="P433">
        <f>SUBTOTAL(103,Таблица3[value])</f>
        <v>431</v>
      </c>
      <c r="Q433">
        <f>SUBTOTAL(103,Таблица3[b_n ])</f>
        <v>431</v>
      </c>
      <c r="R433">
        <f>SUBTOTAL(103,Таблица3[zone])</f>
        <v>431</v>
      </c>
      <c r="S433">
        <f>SUBTOTAL(103,Таблица3[floors])</f>
        <v>431</v>
      </c>
      <c r="T433">
        <f>SUBTOTAL(103,Таблица3[s_base])</f>
        <v>431</v>
      </c>
      <c r="U433">
        <f>SUBTOTAL(103,Таблица3[complexity])</f>
        <v>431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789B-6B09-4A91-8146-2EED603F99F6}">
  <dimension ref="B2:BS20"/>
  <sheetViews>
    <sheetView workbookViewId="0">
      <selection activeCell="I13" sqref="I13"/>
    </sheetView>
  </sheetViews>
  <sheetFormatPr defaultRowHeight="14.25" x14ac:dyDescent="0.45"/>
  <sheetData>
    <row r="2" spans="2:71" x14ac:dyDescent="0.45">
      <c r="B2" t="s">
        <v>0</v>
      </c>
      <c r="F2" t="s">
        <v>7</v>
      </c>
      <c r="J2" t="s">
        <v>8</v>
      </c>
      <c r="N2" t="s">
        <v>1</v>
      </c>
      <c r="R2" t="s">
        <v>2</v>
      </c>
      <c r="V2" t="s">
        <v>3</v>
      </c>
      <c r="Z2" t="s">
        <v>4</v>
      </c>
      <c r="AD2" t="s">
        <v>5</v>
      </c>
      <c r="AH2" t="s">
        <v>6</v>
      </c>
      <c r="AL2" t="s">
        <v>9</v>
      </c>
      <c r="AP2" t="s">
        <v>17</v>
      </c>
      <c r="AT2" t="s">
        <v>10</v>
      </c>
      <c r="AX2" t="s">
        <v>11</v>
      </c>
      <c r="BB2" t="s">
        <v>12</v>
      </c>
      <c r="BF2" t="s">
        <v>13</v>
      </c>
      <c r="BJ2" t="s">
        <v>14</v>
      </c>
      <c r="BN2" t="s">
        <v>15</v>
      </c>
      <c r="BR2" t="s">
        <v>16</v>
      </c>
    </row>
    <row r="3" spans="2:71" x14ac:dyDescent="0.45">
      <c r="B3" s="33" t="s">
        <v>115</v>
      </c>
      <c r="C3" s="33" t="s">
        <v>116</v>
      </c>
      <c r="F3" s="33" t="s">
        <v>115</v>
      </c>
      <c r="G3" s="33" t="s">
        <v>116</v>
      </c>
      <c r="J3" s="33" t="s">
        <v>115</v>
      </c>
      <c r="K3" s="33" t="s">
        <v>116</v>
      </c>
      <c r="N3" s="33" t="s">
        <v>115</v>
      </c>
      <c r="O3" s="33" t="s">
        <v>116</v>
      </c>
      <c r="R3" s="33" t="s">
        <v>115</v>
      </c>
      <c r="S3" s="33" t="s">
        <v>116</v>
      </c>
      <c r="V3" s="33" t="s">
        <v>115</v>
      </c>
      <c r="W3" s="33" t="s">
        <v>116</v>
      </c>
      <c r="Z3" s="33" t="s">
        <v>115</v>
      </c>
      <c r="AA3" s="33" t="s">
        <v>116</v>
      </c>
      <c r="AD3" s="33" t="s">
        <v>115</v>
      </c>
      <c r="AE3" s="33" t="s">
        <v>116</v>
      </c>
      <c r="AH3" s="33" t="s">
        <v>115</v>
      </c>
      <c r="AI3" s="33" t="s">
        <v>116</v>
      </c>
      <c r="AL3" s="33" t="s">
        <v>115</v>
      </c>
      <c r="AM3" s="33" t="s">
        <v>116</v>
      </c>
      <c r="AP3" s="33" t="s">
        <v>115</v>
      </c>
      <c r="AQ3" s="33" t="s">
        <v>116</v>
      </c>
      <c r="AT3" s="33" t="s">
        <v>115</v>
      </c>
      <c r="AU3" s="33" t="s">
        <v>116</v>
      </c>
      <c r="AX3" s="33" t="s">
        <v>115</v>
      </c>
      <c r="AY3" s="33" t="s">
        <v>116</v>
      </c>
      <c r="BB3" s="33" t="s">
        <v>115</v>
      </c>
      <c r="BC3" s="33" t="s">
        <v>116</v>
      </c>
      <c r="BF3" s="33" t="s">
        <v>115</v>
      </c>
      <c r="BG3" s="33" t="s">
        <v>116</v>
      </c>
      <c r="BJ3" s="33" t="s">
        <v>115</v>
      </c>
      <c r="BK3" s="33" t="s">
        <v>116</v>
      </c>
      <c r="BN3" s="33" t="s">
        <v>115</v>
      </c>
      <c r="BO3" s="33" t="s">
        <v>116</v>
      </c>
      <c r="BR3" s="33" t="s">
        <v>115</v>
      </c>
      <c r="BS3" s="33" t="s">
        <v>116</v>
      </c>
    </row>
    <row r="4" spans="2:71" x14ac:dyDescent="0.45">
      <c r="B4" s="40">
        <v>0</v>
      </c>
      <c r="C4">
        <v>177</v>
      </c>
      <c r="F4" s="39">
        <v>0</v>
      </c>
      <c r="G4">
        <v>125</v>
      </c>
      <c r="J4" s="39">
        <v>0</v>
      </c>
      <c r="K4">
        <v>275</v>
      </c>
      <c r="N4" s="39">
        <v>0</v>
      </c>
      <c r="O4">
        <v>82</v>
      </c>
      <c r="R4" s="39">
        <v>0</v>
      </c>
      <c r="S4">
        <v>84</v>
      </c>
      <c r="V4" s="39">
        <v>0</v>
      </c>
      <c r="W4">
        <v>43</v>
      </c>
      <c r="Z4" s="39">
        <v>0</v>
      </c>
      <c r="AA4">
        <v>181</v>
      </c>
      <c r="AD4" s="39">
        <v>0</v>
      </c>
      <c r="AE4">
        <v>116</v>
      </c>
      <c r="AH4" s="39">
        <v>0</v>
      </c>
      <c r="AI4">
        <v>242</v>
      </c>
      <c r="AL4" s="39">
        <v>0</v>
      </c>
      <c r="AM4">
        <v>26</v>
      </c>
      <c r="AP4" s="39" t="s">
        <v>168</v>
      </c>
      <c r="AQ4">
        <v>181</v>
      </c>
      <c r="AS4" t="s">
        <v>147</v>
      </c>
      <c r="AT4">
        <v>1</v>
      </c>
      <c r="AU4">
        <v>105</v>
      </c>
      <c r="AW4" t="s">
        <v>151</v>
      </c>
      <c r="AX4">
        <v>0</v>
      </c>
      <c r="AY4">
        <v>322</v>
      </c>
      <c r="BA4" t="s">
        <v>154</v>
      </c>
      <c r="BB4">
        <v>0</v>
      </c>
      <c r="BC4">
        <v>130</v>
      </c>
      <c r="BE4" t="s">
        <v>155</v>
      </c>
      <c r="BF4">
        <v>0</v>
      </c>
      <c r="BG4">
        <v>2</v>
      </c>
      <c r="BJ4" s="39" t="s">
        <v>121</v>
      </c>
      <c r="BK4">
        <v>260</v>
      </c>
      <c r="BN4" s="39" t="s">
        <v>173</v>
      </c>
      <c r="BO4">
        <v>315</v>
      </c>
      <c r="BQ4" t="s">
        <v>164</v>
      </c>
      <c r="BR4">
        <v>1</v>
      </c>
      <c r="BS4">
        <v>230</v>
      </c>
    </row>
    <row r="5" spans="2:71" x14ac:dyDescent="0.45">
      <c r="B5" s="40" t="s">
        <v>118</v>
      </c>
      <c r="C5">
        <v>192</v>
      </c>
      <c r="F5" s="39" t="s">
        <v>118</v>
      </c>
      <c r="G5">
        <v>181</v>
      </c>
      <c r="J5" s="39" t="s">
        <v>121</v>
      </c>
      <c r="K5">
        <v>134</v>
      </c>
      <c r="N5" s="39" t="s">
        <v>124</v>
      </c>
      <c r="O5">
        <v>212</v>
      </c>
      <c r="R5" s="39" t="s">
        <v>124</v>
      </c>
      <c r="S5">
        <v>190</v>
      </c>
      <c r="V5" s="39" t="s">
        <v>127</v>
      </c>
      <c r="W5">
        <v>320</v>
      </c>
      <c r="Z5" s="39" t="s">
        <v>131</v>
      </c>
      <c r="AA5">
        <v>196</v>
      </c>
      <c r="AD5" s="39" t="s">
        <v>135</v>
      </c>
      <c r="AE5">
        <v>260</v>
      </c>
      <c r="AH5" s="39" t="s">
        <v>139</v>
      </c>
      <c r="AI5">
        <v>135</v>
      </c>
      <c r="AL5" s="39" t="s">
        <v>143</v>
      </c>
      <c r="AM5">
        <v>173</v>
      </c>
      <c r="AP5" s="39" t="s">
        <v>169</v>
      </c>
      <c r="AQ5">
        <v>127</v>
      </c>
      <c r="AS5" t="s">
        <v>148</v>
      </c>
      <c r="AT5">
        <v>2</v>
      </c>
      <c r="AU5">
        <v>70</v>
      </c>
      <c r="AW5" t="s">
        <v>152</v>
      </c>
      <c r="AX5">
        <v>1</v>
      </c>
      <c r="AY5">
        <v>109</v>
      </c>
      <c r="BA5" t="s">
        <v>153</v>
      </c>
      <c r="BB5">
        <v>1</v>
      </c>
      <c r="BC5">
        <v>301</v>
      </c>
      <c r="BE5" t="s">
        <v>156</v>
      </c>
      <c r="BF5">
        <v>1</v>
      </c>
      <c r="BG5">
        <v>73</v>
      </c>
      <c r="BJ5" s="39" t="s">
        <v>160</v>
      </c>
      <c r="BK5">
        <v>123</v>
      </c>
      <c r="BN5" s="39" t="s">
        <v>121</v>
      </c>
      <c r="BO5">
        <v>76</v>
      </c>
      <c r="BQ5" t="s">
        <v>165</v>
      </c>
      <c r="BR5">
        <v>2</v>
      </c>
      <c r="BS5">
        <v>88</v>
      </c>
    </row>
    <row r="6" spans="2:71" x14ac:dyDescent="0.45">
      <c r="B6" s="40" t="s">
        <v>119</v>
      </c>
      <c r="C6">
        <v>54</v>
      </c>
      <c r="F6" s="39" t="s">
        <v>119</v>
      </c>
      <c r="G6">
        <v>74</v>
      </c>
      <c r="J6" s="39" t="s">
        <v>122</v>
      </c>
      <c r="K6">
        <v>22</v>
      </c>
      <c r="N6" s="39" t="s">
        <v>125</v>
      </c>
      <c r="O6">
        <v>99</v>
      </c>
      <c r="R6" s="39" t="s">
        <v>125</v>
      </c>
      <c r="S6">
        <v>119</v>
      </c>
      <c r="V6" s="39" t="s">
        <v>128</v>
      </c>
      <c r="W6">
        <v>43</v>
      </c>
      <c r="Z6" s="39" t="s">
        <v>132</v>
      </c>
      <c r="AA6">
        <v>32</v>
      </c>
      <c r="AD6" s="39" t="s">
        <v>136</v>
      </c>
      <c r="AE6">
        <v>46</v>
      </c>
      <c r="AH6" s="39" t="s">
        <v>140</v>
      </c>
      <c r="AI6">
        <v>36</v>
      </c>
      <c r="AL6" s="39" t="s">
        <v>144</v>
      </c>
      <c r="AM6">
        <v>138</v>
      </c>
      <c r="AP6" s="39" t="s">
        <v>170</v>
      </c>
      <c r="AQ6">
        <v>83</v>
      </c>
      <c r="AS6" t="s">
        <v>149</v>
      </c>
      <c r="AT6">
        <v>3</v>
      </c>
      <c r="AU6">
        <v>154</v>
      </c>
      <c r="AY6">
        <f>SUM(AY4:AY5)</f>
        <v>431</v>
      </c>
      <c r="BC6">
        <f>SUM(BC4:BC5)</f>
        <v>431</v>
      </c>
      <c r="BE6" t="s">
        <v>157</v>
      </c>
      <c r="BF6">
        <v>2</v>
      </c>
      <c r="BG6">
        <v>29</v>
      </c>
      <c r="BJ6" s="39" t="s">
        <v>161</v>
      </c>
      <c r="BK6">
        <v>41</v>
      </c>
      <c r="BN6" s="39" t="s">
        <v>174</v>
      </c>
      <c r="BO6">
        <v>21</v>
      </c>
      <c r="BQ6" t="s">
        <v>166</v>
      </c>
      <c r="BR6">
        <v>3</v>
      </c>
      <c r="BS6">
        <v>74</v>
      </c>
    </row>
    <row r="7" spans="2:71" x14ac:dyDescent="0.45">
      <c r="B7" s="40" t="s">
        <v>120</v>
      </c>
      <c r="C7">
        <v>8</v>
      </c>
      <c r="F7" s="39" t="s">
        <v>120</v>
      </c>
      <c r="G7">
        <v>30</v>
      </c>
      <c r="K7">
        <f>SUM(K4:K6)</f>
        <v>431</v>
      </c>
      <c r="N7" s="39" t="s">
        <v>126</v>
      </c>
      <c r="O7">
        <v>29</v>
      </c>
      <c r="R7" s="39" t="s">
        <v>126</v>
      </c>
      <c r="S7">
        <v>29</v>
      </c>
      <c r="V7" s="39" t="s">
        <v>129</v>
      </c>
      <c r="W7">
        <v>15</v>
      </c>
      <c r="Z7" s="39" t="s">
        <v>133</v>
      </c>
      <c r="AA7">
        <v>17</v>
      </c>
      <c r="AD7" s="39" t="s">
        <v>137</v>
      </c>
      <c r="AE7">
        <v>8</v>
      </c>
      <c r="AH7" s="39" t="s">
        <v>141</v>
      </c>
      <c r="AI7">
        <v>16</v>
      </c>
      <c r="AL7" s="39" t="s">
        <v>145</v>
      </c>
      <c r="AM7">
        <v>73</v>
      </c>
      <c r="AP7" s="39" t="s">
        <v>171</v>
      </c>
      <c r="AQ7">
        <v>31</v>
      </c>
      <c r="AS7" t="s">
        <v>150</v>
      </c>
      <c r="AT7">
        <v>4</v>
      </c>
      <c r="AU7">
        <v>102</v>
      </c>
      <c r="BE7" t="s">
        <v>158</v>
      </c>
      <c r="BF7">
        <v>3</v>
      </c>
      <c r="BG7">
        <v>153</v>
      </c>
      <c r="BJ7" s="39" t="s">
        <v>162</v>
      </c>
      <c r="BK7">
        <v>5</v>
      </c>
      <c r="BN7" s="39" t="s">
        <v>160</v>
      </c>
      <c r="BO7">
        <v>9</v>
      </c>
      <c r="BQ7" t="s">
        <v>167</v>
      </c>
      <c r="BR7">
        <v>4</v>
      </c>
      <c r="BS7">
        <v>39</v>
      </c>
    </row>
    <row r="8" spans="2:71" x14ac:dyDescent="0.45">
      <c r="C8">
        <f>SUM(C4:C7)</f>
        <v>431</v>
      </c>
      <c r="F8" s="39" t="s">
        <v>117</v>
      </c>
      <c r="G8">
        <v>21</v>
      </c>
      <c r="J8" s="39"/>
      <c r="N8" s="39" t="s">
        <v>123</v>
      </c>
      <c r="O8">
        <v>9</v>
      </c>
      <c r="R8" s="39" t="s">
        <v>123</v>
      </c>
      <c r="S8">
        <v>9</v>
      </c>
      <c r="V8" s="39" t="s">
        <v>130</v>
      </c>
      <c r="W8">
        <v>10</v>
      </c>
      <c r="Z8" s="39" t="s">
        <v>134</v>
      </c>
      <c r="AA8">
        <v>5</v>
      </c>
      <c r="AD8" s="39" t="s">
        <v>138</v>
      </c>
      <c r="AE8">
        <v>1</v>
      </c>
      <c r="AH8" s="39" t="s">
        <v>142</v>
      </c>
      <c r="AI8">
        <v>2</v>
      </c>
      <c r="AL8" s="39" t="s">
        <v>146</v>
      </c>
      <c r="AM8">
        <v>21</v>
      </c>
      <c r="AP8" s="39" t="s">
        <v>172</v>
      </c>
      <c r="AQ8">
        <v>9</v>
      </c>
      <c r="AU8">
        <f>SUM(AU4:AU7)</f>
        <v>431</v>
      </c>
      <c r="BE8" t="s">
        <v>159</v>
      </c>
      <c r="BF8">
        <v>4</v>
      </c>
      <c r="BG8">
        <v>174</v>
      </c>
      <c r="BJ8" s="39" t="s">
        <v>163</v>
      </c>
      <c r="BK8">
        <v>2</v>
      </c>
      <c r="BN8" s="39" t="s">
        <v>175</v>
      </c>
      <c r="BO8">
        <v>10</v>
      </c>
      <c r="BS8">
        <f>SUM(BS4:BS7)</f>
        <v>431</v>
      </c>
    </row>
    <row r="9" spans="2:71" x14ac:dyDescent="0.45">
      <c r="F9" s="39"/>
      <c r="G9">
        <f>SUM(G4:G8)</f>
        <v>431</v>
      </c>
      <c r="J9" s="39"/>
      <c r="N9" s="39"/>
      <c r="O9">
        <f>SUM(O4:O8)</f>
        <v>431</v>
      </c>
      <c r="S9">
        <f>SUM(S4:S8)</f>
        <v>431</v>
      </c>
      <c r="W9">
        <f>SUM(W4:W8)</f>
        <v>431</v>
      </c>
      <c r="AA9">
        <f>SUM(AA4:AA8)</f>
        <v>431</v>
      </c>
      <c r="AE9">
        <f>SUM(AE4:AE8)</f>
        <v>431</v>
      </c>
      <c r="AI9">
        <f>SUM(AI4:AI8)</f>
        <v>431</v>
      </c>
      <c r="AM9">
        <f>SUM(AM4:AM8)</f>
        <v>431</v>
      </c>
      <c r="AQ9">
        <f>SUM(AQ4:AQ8)</f>
        <v>431</v>
      </c>
      <c r="BG9">
        <f>SUM(BG4:BG8)</f>
        <v>431</v>
      </c>
      <c r="BK9">
        <f>SUM(BK4:BK8)</f>
        <v>431</v>
      </c>
      <c r="BO9">
        <f>SUM(BO4:BO8)</f>
        <v>431</v>
      </c>
    </row>
    <row r="17" spans="2:6" x14ac:dyDescent="0.45">
      <c r="B17" s="39"/>
      <c r="F17" s="40"/>
    </row>
    <row r="18" spans="2:6" x14ac:dyDescent="0.45">
      <c r="B18" s="39"/>
      <c r="F18" s="40"/>
    </row>
    <row r="19" spans="2:6" x14ac:dyDescent="0.45">
      <c r="B19" s="39"/>
      <c r="F19" s="40"/>
    </row>
    <row r="20" spans="2:6" x14ac:dyDescent="0.45">
      <c r="B20" s="39"/>
      <c r="F20" s="40"/>
    </row>
  </sheetData>
  <phoneticPr fontId="7" type="noConversion"/>
  <pageMargins left="0.7" right="0.7" top="0.75" bottom="0.75" header="0.3" footer="0.3"/>
  <ignoredErrors>
    <ignoredError sqref="N6 R6 V5 Z5 AD6 AL6 F8" twoDigitTextYear="1"/>
    <ignoredError sqref="B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минимумы и максимумы</vt:lpstr>
      <vt:lpstr>исходные данные</vt:lpstr>
      <vt:lpstr>нормал итог</vt:lpstr>
      <vt:lpstr>нормал с макс с К 1,5</vt:lpstr>
      <vt:lpstr>нормал с макс с К 3</vt:lpstr>
      <vt:lpstr>проверка корреляций</vt:lpstr>
      <vt:lpstr>пример расчёта весов</vt:lpstr>
      <vt:lpstr>сервисы восстановление</vt:lpstr>
      <vt:lpstr>сервисы снос</vt:lpstr>
      <vt:lpstr>веса сервисов</vt:lpstr>
      <vt:lpstr>потенциал восстановление</vt:lpstr>
      <vt:lpstr>потенциал снос</vt:lpstr>
      <vt:lpstr>веса показателей</vt:lpstr>
      <vt:lpstr>комбинации потенциалов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Zaburunova</dc:creator>
  <cp:lastModifiedBy>Lily Zaburunova</cp:lastModifiedBy>
  <dcterms:created xsi:type="dcterms:W3CDTF">2015-06-05T18:19:34Z</dcterms:created>
  <dcterms:modified xsi:type="dcterms:W3CDTF">2026-04-29T14:43:32Z</dcterms:modified>
</cp:coreProperties>
</file>