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ilys\YandexDisk\univer\magistr\VKR\3_sem\формула\ломоносов\"/>
    </mc:Choice>
  </mc:AlternateContent>
  <xr:revisionPtr revIDLastSave="0" documentId="13_ncr:1_{BEDA6B0C-C1DF-419C-B1BA-A83D3D2140B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Лист1" sheetId="1" r:id="rId1"/>
    <sheet name="сценарий 3" sheetId="4" r:id="rId2"/>
    <sheet name="Лист2" sheetId="2" r:id="rId3"/>
    <sheet name="Лист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27" i="1" l="1"/>
  <c r="BO27" i="1"/>
  <c r="BS26" i="1"/>
  <c r="BO26" i="1"/>
  <c r="BS25" i="1"/>
  <c r="BO25" i="1"/>
  <c r="BQ20" i="1"/>
  <c r="AW9" i="4"/>
  <c r="AN53" i="4"/>
  <c r="AM53" i="4"/>
  <c r="AL53" i="4"/>
  <c r="AK53" i="4"/>
  <c r="AJ53" i="4"/>
  <c r="AI53" i="4"/>
  <c r="AH53" i="4"/>
  <c r="AG53" i="4"/>
  <c r="AF53" i="4"/>
  <c r="AS53" i="4" s="1"/>
  <c r="AW53" i="4" s="1"/>
  <c r="AE53" i="4"/>
  <c r="AD53" i="4"/>
  <c r="AC53" i="4"/>
  <c r="AB53" i="4"/>
  <c r="AA53" i="4"/>
  <c r="Z53" i="4"/>
  <c r="Y53" i="4"/>
  <c r="X53" i="4"/>
  <c r="W53" i="4"/>
  <c r="V53" i="4"/>
  <c r="AP53" i="4" s="1"/>
  <c r="AN52" i="4"/>
  <c r="AM52" i="4"/>
  <c r="AL52" i="4"/>
  <c r="AK52" i="4"/>
  <c r="AJ52" i="4"/>
  <c r="AI52" i="4"/>
  <c r="AH52" i="4"/>
  <c r="AG52" i="4"/>
  <c r="AF52" i="4"/>
  <c r="AS52" i="4" s="1"/>
  <c r="AW52" i="4" s="1"/>
  <c r="AE52" i="4"/>
  <c r="AD52" i="4"/>
  <c r="AC52" i="4"/>
  <c r="AB52" i="4"/>
  <c r="AA52" i="4"/>
  <c r="Z52" i="4"/>
  <c r="Y52" i="4"/>
  <c r="X52" i="4"/>
  <c r="W52" i="4"/>
  <c r="V52" i="4"/>
  <c r="AP52" i="4" s="1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AP51" i="4" s="1"/>
  <c r="AN50" i="4"/>
  <c r="AM50" i="4"/>
  <c r="AL50" i="4"/>
  <c r="AK50" i="4"/>
  <c r="AJ50" i="4"/>
  <c r="AI50" i="4"/>
  <c r="AH50" i="4"/>
  <c r="AQ50" i="4" s="1"/>
  <c r="AU50" i="4" s="1"/>
  <c r="AG50" i="4"/>
  <c r="AF50" i="4"/>
  <c r="AE50" i="4"/>
  <c r="AD50" i="4"/>
  <c r="AC50" i="4"/>
  <c r="AB50" i="4"/>
  <c r="AA50" i="4"/>
  <c r="Z50" i="4"/>
  <c r="Y50" i="4"/>
  <c r="X50" i="4"/>
  <c r="W50" i="4"/>
  <c r="V50" i="4"/>
  <c r="AO50" i="4" s="1"/>
  <c r="AP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AO49" i="4" s="1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AP48" i="4" s="1"/>
  <c r="AN47" i="4"/>
  <c r="AM47" i="4"/>
  <c r="AL47" i="4"/>
  <c r="AK47" i="4"/>
  <c r="AJ47" i="4"/>
  <c r="AI47" i="4"/>
  <c r="AH47" i="4"/>
  <c r="AG47" i="4"/>
  <c r="AF47" i="4"/>
  <c r="AS47" i="4" s="1"/>
  <c r="AW47" i="4" s="1"/>
  <c r="AE47" i="4"/>
  <c r="AD47" i="4"/>
  <c r="AC47" i="4"/>
  <c r="AB47" i="4"/>
  <c r="AA47" i="4"/>
  <c r="Z47" i="4"/>
  <c r="Y47" i="4"/>
  <c r="X47" i="4"/>
  <c r="W47" i="4"/>
  <c r="V47" i="4"/>
  <c r="AP47" i="4" s="1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AP46" i="4" s="1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AP45" i="4" s="1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AP44" i="4" s="1"/>
  <c r="V44" i="4"/>
  <c r="AO44" i="4" s="1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AP43" i="4" s="1"/>
  <c r="W43" i="4"/>
  <c r="V43" i="4"/>
  <c r="AO43" i="4" s="1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AO42" i="4" s="1"/>
  <c r="X42" i="4"/>
  <c r="W42" i="4"/>
  <c r="V42" i="4"/>
  <c r="AP42" i="4" s="1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AP41" i="4" s="1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AP40" i="4" s="1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AP39" i="4" s="1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AP38" i="4" s="1"/>
  <c r="V38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AP37" i="4" s="1"/>
  <c r="AN36" i="4"/>
  <c r="AM36" i="4"/>
  <c r="AL36" i="4"/>
  <c r="AK36" i="4"/>
  <c r="AJ36" i="4"/>
  <c r="AI36" i="4"/>
  <c r="AH36" i="4"/>
  <c r="AG36" i="4"/>
  <c r="AF36" i="4"/>
  <c r="AS36" i="4" s="1"/>
  <c r="AW36" i="4" s="1"/>
  <c r="AE36" i="4"/>
  <c r="AD36" i="4"/>
  <c r="AC36" i="4"/>
  <c r="AB36" i="4"/>
  <c r="AA36" i="4"/>
  <c r="Z36" i="4"/>
  <c r="Y36" i="4"/>
  <c r="X36" i="4"/>
  <c r="W36" i="4"/>
  <c r="AP36" i="4" s="1"/>
  <c r="V36" i="4"/>
  <c r="AN35" i="4"/>
  <c r="AM35" i="4"/>
  <c r="AL35" i="4"/>
  <c r="AK35" i="4"/>
  <c r="AJ35" i="4"/>
  <c r="AI35" i="4"/>
  <c r="AH35" i="4"/>
  <c r="AG35" i="4"/>
  <c r="AF35" i="4"/>
  <c r="AS35" i="4" s="1"/>
  <c r="AW35" i="4" s="1"/>
  <c r="AE35" i="4"/>
  <c r="AD35" i="4"/>
  <c r="AC35" i="4"/>
  <c r="AB35" i="4"/>
  <c r="AA35" i="4"/>
  <c r="Z35" i="4"/>
  <c r="Y35" i="4"/>
  <c r="X35" i="4"/>
  <c r="W35" i="4"/>
  <c r="V35" i="4"/>
  <c r="AP35" i="4" s="1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AO34" i="4" s="1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AP33" i="4" s="1"/>
  <c r="Y33" i="4"/>
  <c r="X33" i="4"/>
  <c r="W33" i="4"/>
  <c r="V33" i="4"/>
  <c r="AO33" i="4" s="1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AP32" i="4" s="1"/>
  <c r="AN31" i="4"/>
  <c r="AM31" i="4"/>
  <c r="AL31" i="4"/>
  <c r="AK31" i="4"/>
  <c r="AJ31" i="4"/>
  <c r="AI31" i="4"/>
  <c r="AH31" i="4"/>
  <c r="AG31" i="4"/>
  <c r="AF31" i="4"/>
  <c r="AS31" i="4" s="1"/>
  <c r="AW31" i="4" s="1"/>
  <c r="AE31" i="4"/>
  <c r="AD31" i="4"/>
  <c r="AC31" i="4"/>
  <c r="AB31" i="4"/>
  <c r="AA31" i="4"/>
  <c r="Z31" i="4"/>
  <c r="Y31" i="4"/>
  <c r="X31" i="4"/>
  <c r="W31" i="4"/>
  <c r="V31" i="4"/>
  <c r="AP31" i="4" s="1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AP30" i="4" s="1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AP29" i="4" s="1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AP28" i="4" s="1"/>
  <c r="V28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AP27" i="4" s="1"/>
  <c r="W27" i="4"/>
  <c r="V27" i="4"/>
  <c r="AO27" i="4" s="1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AP26" i="4" s="1"/>
  <c r="X26" i="4"/>
  <c r="W26" i="4"/>
  <c r="V26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AP25" i="4" s="1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AP24" i="4" s="1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AP23" i="4" s="1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AP22" i="4" s="1"/>
  <c r="V22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AP21" i="4" s="1"/>
  <c r="AN20" i="4"/>
  <c r="AM20" i="4"/>
  <c r="AL20" i="4"/>
  <c r="AK20" i="4"/>
  <c r="AJ20" i="4"/>
  <c r="AI20" i="4"/>
  <c r="AH20" i="4"/>
  <c r="AG20" i="4"/>
  <c r="AF20" i="4"/>
  <c r="AS20" i="4" s="1"/>
  <c r="AW20" i="4" s="1"/>
  <c r="AE20" i="4"/>
  <c r="AD20" i="4"/>
  <c r="AC20" i="4"/>
  <c r="AB20" i="4"/>
  <c r="AA20" i="4"/>
  <c r="Z20" i="4"/>
  <c r="Y20" i="4"/>
  <c r="X20" i="4"/>
  <c r="W20" i="4"/>
  <c r="AP20" i="4" s="1"/>
  <c r="V20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AP19" i="4" s="1"/>
  <c r="W19" i="4"/>
  <c r="V19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AO18" i="4" s="1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AP17" i="4" s="1"/>
  <c r="Y17" i="4"/>
  <c r="X17" i="4"/>
  <c r="W17" i="4"/>
  <c r="AO17" i="4" s="1"/>
  <c r="V17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AP16" i="4" s="1"/>
  <c r="AN15" i="4"/>
  <c r="AM15" i="4"/>
  <c r="AL15" i="4"/>
  <c r="AK15" i="4"/>
  <c r="AJ15" i="4"/>
  <c r="AI15" i="4"/>
  <c r="AH15" i="4"/>
  <c r="AG15" i="4"/>
  <c r="AF15" i="4"/>
  <c r="AS15" i="4" s="1"/>
  <c r="AW15" i="4" s="1"/>
  <c r="AE15" i="4"/>
  <c r="AD15" i="4"/>
  <c r="AC15" i="4"/>
  <c r="AB15" i="4"/>
  <c r="AA15" i="4"/>
  <c r="Z15" i="4"/>
  <c r="Y15" i="4"/>
  <c r="X15" i="4"/>
  <c r="W15" i="4"/>
  <c r="V15" i="4"/>
  <c r="AP15" i="4" s="1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AP14" i="4" s="1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AP13" i="4" s="1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AP12" i="4" s="1"/>
  <c r="V12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AP11" i="4" s="1"/>
  <c r="W11" i="4"/>
  <c r="V11" i="4"/>
  <c r="AO11" i="4" s="1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AO10" i="4" s="1"/>
  <c r="X10" i="4"/>
  <c r="W10" i="4"/>
  <c r="V10" i="4"/>
  <c r="AN9" i="4"/>
  <c r="AM9" i="4"/>
  <c r="AL9" i="4"/>
  <c r="AK9" i="4"/>
  <c r="AJ9" i="4"/>
  <c r="AI9" i="4"/>
  <c r="AH9" i="4"/>
  <c r="AG9" i="4"/>
  <c r="AF9" i="4"/>
  <c r="AS9" i="4" s="1"/>
  <c r="AE9" i="4"/>
  <c r="AD9" i="4"/>
  <c r="AC9" i="4"/>
  <c r="AB9" i="4"/>
  <c r="AA9" i="4"/>
  <c r="Z9" i="4"/>
  <c r="Y9" i="4"/>
  <c r="X9" i="4"/>
  <c r="W9" i="4"/>
  <c r="V9" i="4"/>
  <c r="AP9" i="4" s="1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AP8" i="4" s="1"/>
  <c r="AN7" i="4"/>
  <c r="AM7" i="4"/>
  <c r="AL7" i="4"/>
  <c r="AK7" i="4"/>
  <c r="AJ7" i="4"/>
  <c r="AI7" i="4"/>
  <c r="AH7" i="4"/>
  <c r="AS7" i="4" s="1"/>
  <c r="AW7" i="4" s="1"/>
  <c r="AG7" i="4"/>
  <c r="AF7" i="4"/>
  <c r="AE7" i="4"/>
  <c r="AD7" i="4"/>
  <c r="AC7" i="4"/>
  <c r="AB7" i="4"/>
  <c r="AA7" i="4"/>
  <c r="Z7" i="4"/>
  <c r="Y7" i="4"/>
  <c r="X7" i="4"/>
  <c r="W7" i="4"/>
  <c r="V7" i="4"/>
  <c r="AP7" i="4" s="1"/>
  <c r="BO8" i="3"/>
  <c r="BS9" i="3"/>
  <c r="BW8" i="3"/>
  <c r="BK9" i="3"/>
  <c r="AY8" i="3"/>
  <c r="BG6" i="3"/>
  <c r="BC6" i="3"/>
  <c r="AU9" i="3"/>
  <c r="AQ9" i="3"/>
  <c r="AM8" i="3"/>
  <c r="AI8" i="3"/>
  <c r="AE7" i="3"/>
  <c r="AA7" i="3"/>
  <c r="W9" i="3"/>
  <c r="S9" i="3"/>
  <c r="O9" i="3"/>
  <c r="K8" i="3"/>
  <c r="G9" i="3"/>
  <c r="A49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C7" i="3"/>
  <c r="BL27" i="1"/>
  <c r="BH27" i="1"/>
  <c r="BL26" i="1"/>
  <c r="BH26" i="1"/>
  <c r="BL25" i="1"/>
  <c r="BH25" i="1"/>
  <c r="BJ20" i="1"/>
  <c r="BE27" i="1"/>
  <c r="BA27" i="1"/>
  <c r="BE26" i="1"/>
  <c r="BA26" i="1"/>
  <c r="BE25" i="1"/>
  <c r="BA25" i="1"/>
  <c r="BC20" i="1"/>
  <c r="AS22" i="4" l="1"/>
  <c r="AW22" i="4" s="1"/>
  <c r="AS38" i="4"/>
  <c r="AW38" i="4" s="1"/>
  <c r="AS14" i="4"/>
  <c r="AW14" i="4" s="1"/>
  <c r="AS30" i="4"/>
  <c r="AW30" i="4" s="1"/>
  <c r="AS46" i="4"/>
  <c r="AW46" i="4" s="1"/>
  <c r="AS51" i="4"/>
  <c r="AW51" i="4" s="1"/>
  <c r="AS25" i="4"/>
  <c r="AW25" i="4" s="1"/>
  <c r="AS41" i="4"/>
  <c r="AW41" i="4" s="1"/>
  <c r="AS42" i="4"/>
  <c r="AW42" i="4" s="1"/>
  <c r="AQ17" i="4"/>
  <c r="AU17" i="4" s="1"/>
  <c r="AS21" i="4"/>
  <c r="AW21" i="4" s="1"/>
  <c r="AS37" i="4"/>
  <c r="AW37" i="4" s="1"/>
  <c r="AS8" i="4"/>
  <c r="AW8" i="4" s="1"/>
  <c r="AQ32" i="4"/>
  <c r="AU32" i="4" s="1"/>
  <c r="AQ16" i="4"/>
  <c r="AU16" i="4" s="1"/>
  <c r="AS43" i="4"/>
  <c r="AW43" i="4" s="1"/>
  <c r="AQ33" i="4"/>
  <c r="AU33" i="4" s="1"/>
  <c r="AQ42" i="4"/>
  <c r="AU42" i="4" s="1"/>
  <c r="AS17" i="4"/>
  <c r="AW17" i="4" s="1"/>
  <c r="AQ22" i="4"/>
  <c r="AU22" i="4" s="1"/>
  <c r="AS11" i="4"/>
  <c r="AW11" i="4" s="1"/>
  <c r="AS19" i="4"/>
  <c r="AW19" i="4" s="1"/>
  <c r="AS27" i="4"/>
  <c r="AW27" i="4" s="1"/>
  <c r="AS12" i="4"/>
  <c r="AW12" i="4" s="1"/>
  <c r="AS28" i="4"/>
  <c r="AW28" i="4" s="1"/>
  <c r="AS44" i="4"/>
  <c r="AW44" i="4" s="1"/>
  <c r="AQ21" i="4"/>
  <c r="AU21" i="4" s="1"/>
  <c r="AQ39" i="4"/>
  <c r="AU39" i="4" s="1"/>
  <c r="AQ44" i="4"/>
  <c r="AU44" i="4" s="1"/>
  <c r="AS29" i="4"/>
  <c r="AW29" i="4" s="1"/>
  <c r="AS45" i="4"/>
  <c r="AW45" i="4" s="1"/>
  <c r="AS50" i="4"/>
  <c r="AW50" i="4" s="1"/>
  <c r="AS33" i="4"/>
  <c r="AW33" i="4" s="1"/>
  <c r="AQ7" i="4"/>
  <c r="AU7" i="4" s="1"/>
  <c r="AQ10" i="4"/>
  <c r="AU10" i="4" s="1"/>
  <c r="AS13" i="4"/>
  <c r="AW13" i="4" s="1"/>
  <c r="AS26" i="4"/>
  <c r="AW26" i="4" s="1"/>
  <c r="AS24" i="4"/>
  <c r="AW24" i="4" s="1"/>
  <c r="AQ34" i="4"/>
  <c r="AU34" i="4" s="1"/>
  <c r="AS40" i="4"/>
  <c r="AW40" i="4" s="1"/>
  <c r="AP18" i="4"/>
  <c r="AS18" i="4" s="1"/>
  <c r="AW18" i="4" s="1"/>
  <c r="AS23" i="4"/>
  <c r="AW23" i="4" s="1"/>
  <c r="AP34" i="4"/>
  <c r="AS34" i="4" s="1"/>
  <c r="AW34" i="4" s="1"/>
  <c r="AS39" i="4"/>
  <c r="AW39" i="4" s="1"/>
  <c r="AP50" i="4"/>
  <c r="AS16" i="4"/>
  <c r="AW16" i="4" s="1"/>
  <c r="AQ18" i="4"/>
  <c r="AU18" i="4" s="1"/>
  <c r="AO20" i="4"/>
  <c r="AQ20" i="4" s="1"/>
  <c r="AU20" i="4" s="1"/>
  <c r="AS32" i="4"/>
  <c r="AW32" i="4" s="1"/>
  <c r="AO36" i="4"/>
  <c r="AS48" i="4"/>
  <c r="AW48" i="4" s="1"/>
  <c r="AO52" i="4"/>
  <c r="AQ11" i="4"/>
  <c r="AU11" i="4" s="1"/>
  <c r="AO13" i="4"/>
  <c r="AQ27" i="4"/>
  <c r="AU27" i="4" s="1"/>
  <c r="AO29" i="4"/>
  <c r="AQ43" i="4"/>
  <c r="AU43" i="4" s="1"/>
  <c r="AO45" i="4"/>
  <c r="AO26" i="4"/>
  <c r="AO22" i="4"/>
  <c r="AQ36" i="4"/>
  <c r="AU36" i="4" s="1"/>
  <c r="AO38" i="4"/>
  <c r="AQ38" i="4" s="1"/>
  <c r="AU38" i="4" s="1"/>
  <c r="AQ52" i="4"/>
  <c r="AU52" i="4" s="1"/>
  <c r="AQ13" i="4"/>
  <c r="AU13" i="4" s="1"/>
  <c r="AO15" i="4"/>
  <c r="AQ29" i="4"/>
  <c r="AU29" i="4" s="1"/>
  <c r="AO31" i="4"/>
  <c r="AQ45" i="4"/>
  <c r="AU45" i="4" s="1"/>
  <c r="AO47" i="4"/>
  <c r="AO8" i="4"/>
  <c r="AO24" i="4"/>
  <c r="AO40" i="4"/>
  <c r="AQ40" i="4" s="1"/>
  <c r="AU40" i="4" s="1"/>
  <c r="AP10" i="4"/>
  <c r="AO19" i="4"/>
  <c r="AQ19" i="4" s="1"/>
  <c r="AU19" i="4" s="1"/>
  <c r="AO35" i="4"/>
  <c r="AQ35" i="4" s="1"/>
  <c r="AU35" i="4" s="1"/>
  <c r="AQ49" i="4"/>
  <c r="AU49" i="4" s="1"/>
  <c r="AO51" i="4"/>
  <c r="AO12" i="4"/>
  <c r="AO28" i="4"/>
  <c r="AO21" i="4"/>
  <c r="AO37" i="4"/>
  <c r="AS49" i="4"/>
  <c r="AW49" i="4" s="1"/>
  <c r="AO53" i="4"/>
  <c r="AQ53" i="4" s="1"/>
  <c r="AU53" i="4" s="1"/>
  <c r="AO14" i="4"/>
  <c r="AQ14" i="4" s="1"/>
  <c r="AU14" i="4" s="1"/>
  <c r="AO30" i="4"/>
  <c r="AO46" i="4"/>
  <c r="AO23" i="4"/>
  <c r="AQ37" i="4"/>
  <c r="AU37" i="4" s="1"/>
  <c r="AO39" i="4"/>
  <c r="AO7" i="4"/>
  <c r="AO16" i="4"/>
  <c r="AO32" i="4"/>
  <c r="AO48" i="4"/>
  <c r="AO9" i="4"/>
  <c r="AO25" i="4"/>
  <c r="AQ25" i="4" s="1"/>
  <c r="AU25" i="4" s="1"/>
  <c r="AO41" i="4"/>
  <c r="AQ41" i="4" s="1"/>
  <c r="AU41" i="4" s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7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7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7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Q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7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G7" i="1"/>
  <c r="AH7" i="1"/>
  <c r="AI7" i="1"/>
  <c r="AJ7" i="1"/>
  <c r="AK7" i="1"/>
  <c r="AL7" i="1"/>
  <c r="AM7" i="1"/>
  <c r="AN7" i="1"/>
  <c r="AG8" i="1"/>
  <c r="AH8" i="1"/>
  <c r="AI8" i="1"/>
  <c r="AJ8" i="1"/>
  <c r="AK8" i="1"/>
  <c r="AL8" i="1"/>
  <c r="AM8" i="1"/>
  <c r="AN8" i="1"/>
  <c r="AG9" i="1"/>
  <c r="AH9" i="1"/>
  <c r="AI9" i="1"/>
  <c r="AJ9" i="1"/>
  <c r="AK9" i="1"/>
  <c r="AL9" i="1"/>
  <c r="AM9" i="1"/>
  <c r="AN9" i="1"/>
  <c r="AG10" i="1"/>
  <c r="AH10" i="1"/>
  <c r="AI10" i="1"/>
  <c r="AJ10" i="1"/>
  <c r="AK10" i="1"/>
  <c r="AL10" i="1"/>
  <c r="AM10" i="1"/>
  <c r="AN10" i="1"/>
  <c r="AG11" i="1"/>
  <c r="AH11" i="1"/>
  <c r="AI11" i="1"/>
  <c r="AJ11" i="1"/>
  <c r="AK11" i="1"/>
  <c r="AL11" i="1"/>
  <c r="AM11" i="1"/>
  <c r="AN11" i="1"/>
  <c r="AG12" i="1"/>
  <c r="AH12" i="1"/>
  <c r="AI12" i="1"/>
  <c r="AJ12" i="1"/>
  <c r="AK12" i="1"/>
  <c r="AL12" i="1"/>
  <c r="AM12" i="1"/>
  <c r="AN12" i="1"/>
  <c r="AG13" i="1"/>
  <c r="AH13" i="1"/>
  <c r="AI13" i="1"/>
  <c r="AJ13" i="1"/>
  <c r="AK13" i="1"/>
  <c r="AL13" i="1"/>
  <c r="AM13" i="1"/>
  <c r="AN13" i="1"/>
  <c r="AG14" i="1"/>
  <c r="AH14" i="1"/>
  <c r="AI14" i="1"/>
  <c r="AJ14" i="1"/>
  <c r="AK14" i="1"/>
  <c r="AL14" i="1"/>
  <c r="AM14" i="1"/>
  <c r="AN14" i="1"/>
  <c r="AG15" i="1"/>
  <c r="AH15" i="1"/>
  <c r="AI15" i="1"/>
  <c r="AJ15" i="1"/>
  <c r="AK15" i="1"/>
  <c r="AL15" i="1"/>
  <c r="AM15" i="1"/>
  <c r="AN15" i="1"/>
  <c r="AG16" i="1"/>
  <c r="AH16" i="1"/>
  <c r="AI16" i="1"/>
  <c r="AJ16" i="1"/>
  <c r="AK16" i="1"/>
  <c r="AL16" i="1"/>
  <c r="AM16" i="1"/>
  <c r="AN16" i="1"/>
  <c r="AG17" i="1"/>
  <c r="AH17" i="1"/>
  <c r="AI17" i="1"/>
  <c r="AJ17" i="1"/>
  <c r="AK17" i="1"/>
  <c r="AL17" i="1"/>
  <c r="AM17" i="1"/>
  <c r="AN17" i="1"/>
  <c r="AG18" i="1"/>
  <c r="AH18" i="1"/>
  <c r="AI18" i="1"/>
  <c r="AJ18" i="1"/>
  <c r="AK18" i="1"/>
  <c r="AL18" i="1"/>
  <c r="AM18" i="1"/>
  <c r="AN18" i="1"/>
  <c r="AG19" i="1"/>
  <c r="AH19" i="1"/>
  <c r="AI19" i="1"/>
  <c r="AJ19" i="1"/>
  <c r="AK19" i="1"/>
  <c r="AL19" i="1"/>
  <c r="AM19" i="1"/>
  <c r="AN19" i="1"/>
  <c r="AG20" i="1"/>
  <c r="AH20" i="1"/>
  <c r="AI20" i="1"/>
  <c r="AJ20" i="1"/>
  <c r="AK20" i="1"/>
  <c r="AL20" i="1"/>
  <c r="AM20" i="1"/>
  <c r="AN20" i="1"/>
  <c r="AG21" i="1"/>
  <c r="AH21" i="1"/>
  <c r="AI21" i="1"/>
  <c r="AJ21" i="1"/>
  <c r="AK21" i="1"/>
  <c r="AL21" i="1"/>
  <c r="AM21" i="1"/>
  <c r="AN21" i="1"/>
  <c r="AG22" i="1"/>
  <c r="AH22" i="1"/>
  <c r="AI22" i="1"/>
  <c r="AJ22" i="1"/>
  <c r="AK22" i="1"/>
  <c r="AL22" i="1"/>
  <c r="AM22" i="1"/>
  <c r="AN22" i="1"/>
  <c r="AG23" i="1"/>
  <c r="AH23" i="1"/>
  <c r="AI23" i="1"/>
  <c r="AJ23" i="1"/>
  <c r="AK23" i="1"/>
  <c r="AL23" i="1"/>
  <c r="AM23" i="1"/>
  <c r="AN23" i="1"/>
  <c r="AG24" i="1"/>
  <c r="AH24" i="1"/>
  <c r="AI24" i="1"/>
  <c r="AJ24" i="1"/>
  <c r="AK24" i="1"/>
  <c r="AL24" i="1"/>
  <c r="AM24" i="1"/>
  <c r="AN24" i="1"/>
  <c r="AG25" i="1"/>
  <c r="AH25" i="1"/>
  <c r="AI25" i="1"/>
  <c r="AJ25" i="1"/>
  <c r="AK25" i="1"/>
  <c r="AL25" i="1"/>
  <c r="AM25" i="1"/>
  <c r="AN25" i="1"/>
  <c r="AG26" i="1"/>
  <c r="AH26" i="1"/>
  <c r="AI26" i="1"/>
  <c r="AJ26" i="1"/>
  <c r="AK26" i="1"/>
  <c r="AL26" i="1"/>
  <c r="AM26" i="1"/>
  <c r="AN26" i="1"/>
  <c r="AG27" i="1"/>
  <c r="AH27" i="1"/>
  <c r="AI27" i="1"/>
  <c r="AJ27" i="1"/>
  <c r="AK27" i="1"/>
  <c r="AL27" i="1"/>
  <c r="AM27" i="1"/>
  <c r="AN27" i="1"/>
  <c r="AG28" i="1"/>
  <c r="AH28" i="1"/>
  <c r="AI28" i="1"/>
  <c r="AJ28" i="1"/>
  <c r="AK28" i="1"/>
  <c r="AL28" i="1"/>
  <c r="AM28" i="1"/>
  <c r="AN28" i="1"/>
  <c r="AG29" i="1"/>
  <c r="AH29" i="1"/>
  <c r="AI29" i="1"/>
  <c r="AJ29" i="1"/>
  <c r="AK29" i="1"/>
  <c r="AL29" i="1"/>
  <c r="AM29" i="1"/>
  <c r="AN29" i="1"/>
  <c r="AG30" i="1"/>
  <c r="AH30" i="1"/>
  <c r="AI30" i="1"/>
  <c r="AJ30" i="1"/>
  <c r="AK30" i="1"/>
  <c r="AL30" i="1"/>
  <c r="AM30" i="1"/>
  <c r="AN30" i="1"/>
  <c r="AG31" i="1"/>
  <c r="AH31" i="1"/>
  <c r="AI31" i="1"/>
  <c r="AJ31" i="1"/>
  <c r="AK31" i="1"/>
  <c r="AL31" i="1"/>
  <c r="AM31" i="1"/>
  <c r="AN31" i="1"/>
  <c r="AG32" i="1"/>
  <c r="AH32" i="1"/>
  <c r="AI32" i="1"/>
  <c r="AJ32" i="1"/>
  <c r="AK32" i="1"/>
  <c r="AL32" i="1"/>
  <c r="AM32" i="1"/>
  <c r="AN32" i="1"/>
  <c r="AG33" i="1"/>
  <c r="AH33" i="1"/>
  <c r="AI33" i="1"/>
  <c r="AJ33" i="1"/>
  <c r="AK33" i="1"/>
  <c r="AL33" i="1"/>
  <c r="AM33" i="1"/>
  <c r="AN33" i="1"/>
  <c r="AG34" i="1"/>
  <c r="AH34" i="1"/>
  <c r="AI34" i="1"/>
  <c r="AJ34" i="1"/>
  <c r="AK34" i="1"/>
  <c r="AL34" i="1"/>
  <c r="AM34" i="1"/>
  <c r="AN34" i="1"/>
  <c r="AG35" i="1"/>
  <c r="AH35" i="1"/>
  <c r="AI35" i="1"/>
  <c r="AJ35" i="1"/>
  <c r="AK35" i="1"/>
  <c r="AL35" i="1"/>
  <c r="AM35" i="1"/>
  <c r="AN35" i="1"/>
  <c r="AG36" i="1"/>
  <c r="AH36" i="1"/>
  <c r="AI36" i="1"/>
  <c r="AJ36" i="1"/>
  <c r="AK36" i="1"/>
  <c r="AL36" i="1"/>
  <c r="AM36" i="1"/>
  <c r="AN36" i="1"/>
  <c r="AG37" i="1"/>
  <c r="AH37" i="1"/>
  <c r="AI37" i="1"/>
  <c r="AJ37" i="1"/>
  <c r="AK37" i="1"/>
  <c r="AL37" i="1"/>
  <c r="AM37" i="1"/>
  <c r="AN37" i="1"/>
  <c r="AG38" i="1"/>
  <c r="AH38" i="1"/>
  <c r="AI38" i="1"/>
  <c r="AJ38" i="1"/>
  <c r="AK38" i="1"/>
  <c r="AL38" i="1"/>
  <c r="AM38" i="1"/>
  <c r="AN38" i="1"/>
  <c r="AG39" i="1"/>
  <c r="AH39" i="1"/>
  <c r="AI39" i="1"/>
  <c r="AJ39" i="1"/>
  <c r="AK39" i="1"/>
  <c r="AL39" i="1"/>
  <c r="AM39" i="1"/>
  <c r="AN39" i="1"/>
  <c r="AG40" i="1"/>
  <c r="AH40" i="1"/>
  <c r="AI40" i="1"/>
  <c r="AJ40" i="1"/>
  <c r="AK40" i="1"/>
  <c r="AL40" i="1"/>
  <c r="AM40" i="1"/>
  <c r="AN40" i="1"/>
  <c r="AG41" i="1"/>
  <c r="AH41" i="1"/>
  <c r="AI41" i="1"/>
  <c r="AJ41" i="1"/>
  <c r="AK41" i="1"/>
  <c r="AL41" i="1"/>
  <c r="AM41" i="1"/>
  <c r="AN41" i="1"/>
  <c r="AG42" i="1"/>
  <c r="AH42" i="1"/>
  <c r="AI42" i="1"/>
  <c r="AJ42" i="1"/>
  <c r="AK42" i="1"/>
  <c r="AL42" i="1"/>
  <c r="AM42" i="1"/>
  <c r="AN42" i="1"/>
  <c r="AG43" i="1"/>
  <c r="AH43" i="1"/>
  <c r="AI43" i="1"/>
  <c r="AJ43" i="1"/>
  <c r="AK43" i="1"/>
  <c r="AL43" i="1"/>
  <c r="AM43" i="1"/>
  <c r="AN43" i="1"/>
  <c r="AG44" i="1"/>
  <c r="AH44" i="1"/>
  <c r="AI44" i="1"/>
  <c r="AJ44" i="1"/>
  <c r="AK44" i="1"/>
  <c r="AL44" i="1"/>
  <c r="AM44" i="1"/>
  <c r="AN44" i="1"/>
  <c r="AG45" i="1"/>
  <c r="AH45" i="1"/>
  <c r="AI45" i="1"/>
  <c r="AJ45" i="1"/>
  <c r="AK45" i="1"/>
  <c r="AL45" i="1"/>
  <c r="AM45" i="1"/>
  <c r="AN45" i="1"/>
  <c r="AG46" i="1"/>
  <c r="AH46" i="1"/>
  <c r="AI46" i="1"/>
  <c r="AJ46" i="1"/>
  <c r="AK46" i="1"/>
  <c r="AL46" i="1"/>
  <c r="AM46" i="1"/>
  <c r="AN46" i="1"/>
  <c r="AG47" i="1"/>
  <c r="AH47" i="1"/>
  <c r="AI47" i="1"/>
  <c r="AJ47" i="1"/>
  <c r="AK47" i="1"/>
  <c r="AL47" i="1"/>
  <c r="AM47" i="1"/>
  <c r="AN47" i="1"/>
  <c r="AG48" i="1"/>
  <c r="AH48" i="1"/>
  <c r="AI48" i="1"/>
  <c r="AJ48" i="1"/>
  <c r="AK48" i="1"/>
  <c r="AL48" i="1"/>
  <c r="AM48" i="1"/>
  <c r="AN48" i="1"/>
  <c r="AG49" i="1"/>
  <c r="AH49" i="1"/>
  <c r="AI49" i="1"/>
  <c r="AJ49" i="1"/>
  <c r="AK49" i="1"/>
  <c r="AL49" i="1"/>
  <c r="AM49" i="1"/>
  <c r="AN49" i="1"/>
  <c r="AG50" i="1"/>
  <c r="AH50" i="1"/>
  <c r="AI50" i="1"/>
  <c r="AJ50" i="1"/>
  <c r="AK50" i="1"/>
  <c r="AL50" i="1"/>
  <c r="AM50" i="1"/>
  <c r="AN50" i="1"/>
  <c r="AG51" i="1"/>
  <c r="AH51" i="1"/>
  <c r="AI51" i="1"/>
  <c r="AJ51" i="1"/>
  <c r="AK51" i="1"/>
  <c r="AL51" i="1"/>
  <c r="AM51" i="1"/>
  <c r="AN51" i="1"/>
  <c r="AG52" i="1"/>
  <c r="AH52" i="1"/>
  <c r="AI52" i="1"/>
  <c r="AJ52" i="1"/>
  <c r="AK52" i="1"/>
  <c r="AL52" i="1"/>
  <c r="AM52" i="1"/>
  <c r="AN52" i="1"/>
  <c r="AG53" i="1"/>
  <c r="AH53" i="1"/>
  <c r="AI53" i="1"/>
  <c r="AJ53" i="1"/>
  <c r="AK53" i="1"/>
  <c r="AL53" i="1"/>
  <c r="AM53" i="1"/>
  <c r="AN53" i="1"/>
  <c r="W7" i="1"/>
  <c r="X7" i="1"/>
  <c r="Y7" i="1"/>
  <c r="Z7" i="1"/>
  <c r="AA7" i="1"/>
  <c r="AB7" i="1"/>
  <c r="AC7" i="1"/>
  <c r="AD7" i="1"/>
  <c r="AE7" i="1"/>
  <c r="AF7" i="1"/>
  <c r="W8" i="1"/>
  <c r="X8" i="1"/>
  <c r="Y8" i="1"/>
  <c r="Z8" i="1"/>
  <c r="AA8" i="1"/>
  <c r="AB8" i="1"/>
  <c r="AC8" i="1"/>
  <c r="AD8" i="1"/>
  <c r="AE8" i="1"/>
  <c r="AF8" i="1"/>
  <c r="W9" i="1"/>
  <c r="X9" i="1"/>
  <c r="Y9" i="1"/>
  <c r="Z9" i="1"/>
  <c r="AA9" i="1"/>
  <c r="AB9" i="1"/>
  <c r="AC9" i="1"/>
  <c r="AD9" i="1"/>
  <c r="AE9" i="1"/>
  <c r="AF9" i="1"/>
  <c r="W10" i="1"/>
  <c r="X10" i="1"/>
  <c r="Y10" i="1"/>
  <c r="Z10" i="1"/>
  <c r="AA10" i="1"/>
  <c r="AB10" i="1"/>
  <c r="AC10" i="1"/>
  <c r="AD10" i="1"/>
  <c r="AE10" i="1"/>
  <c r="AF10" i="1"/>
  <c r="W11" i="1"/>
  <c r="X11" i="1"/>
  <c r="Y11" i="1"/>
  <c r="Z11" i="1"/>
  <c r="AA11" i="1"/>
  <c r="AB11" i="1"/>
  <c r="AC11" i="1"/>
  <c r="AD11" i="1"/>
  <c r="AE11" i="1"/>
  <c r="AF11" i="1"/>
  <c r="W12" i="1"/>
  <c r="X12" i="1"/>
  <c r="Y12" i="1"/>
  <c r="Z12" i="1"/>
  <c r="AA12" i="1"/>
  <c r="AB12" i="1"/>
  <c r="AC12" i="1"/>
  <c r="AD12" i="1"/>
  <c r="AE12" i="1"/>
  <c r="AF12" i="1"/>
  <c r="W13" i="1"/>
  <c r="X13" i="1"/>
  <c r="Y13" i="1"/>
  <c r="Z13" i="1"/>
  <c r="AA13" i="1"/>
  <c r="AB13" i="1"/>
  <c r="AC13" i="1"/>
  <c r="AD13" i="1"/>
  <c r="AE13" i="1"/>
  <c r="AF13" i="1"/>
  <c r="W14" i="1"/>
  <c r="X14" i="1"/>
  <c r="Y14" i="1"/>
  <c r="Z14" i="1"/>
  <c r="AA14" i="1"/>
  <c r="AB14" i="1"/>
  <c r="AC14" i="1"/>
  <c r="AD14" i="1"/>
  <c r="AE14" i="1"/>
  <c r="AF14" i="1"/>
  <c r="W15" i="1"/>
  <c r="X15" i="1"/>
  <c r="Y15" i="1"/>
  <c r="Z15" i="1"/>
  <c r="AA15" i="1"/>
  <c r="AB15" i="1"/>
  <c r="AC15" i="1"/>
  <c r="AD15" i="1"/>
  <c r="AE15" i="1"/>
  <c r="AF15" i="1"/>
  <c r="W16" i="1"/>
  <c r="X16" i="1"/>
  <c r="Y16" i="1"/>
  <c r="Z16" i="1"/>
  <c r="AA16" i="1"/>
  <c r="AB16" i="1"/>
  <c r="AC16" i="1"/>
  <c r="AD16" i="1"/>
  <c r="AE16" i="1"/>
  <c r="AF16" i="1"/>
  <c r="W17" i="1"/>
  <c r="X17" i="1"/>
  <c r="Y17" i="1"/>
  <c r="Z17" i="1"/>
  <c r="AA17" i="1"/>
  <c r="AB17" i="1"/>
  <c r="AC17" i="1"/>
  <c r="AD17" i="1"/>
  <c r="AE17" i="1"/>
  <c r="AF17" i="1"/>
  <c r="W18" i="1"/>
  <c r="X18" i="1"/>
  <c r="Y18" i="1"/>
  <c r="Z18" i="1"/>
  <c r="AA18" i="1"/>
  <c r="AB18" i="1"/>
  <c r="AC18" i="1"/>
  <c r="AD18" i="1"/>
  <c r="AE18" i="1"/>
  <c r="AF18" i="1"/>
  <c r="W19" i="1"/>
  <c r="X19" i="1"/>
  <c r="Y19" i="1"/>
  <c r="Z19" i="1"/>
  <c r="AA19" i="1"/>
  <c r="AB19" i="1"/>
  <c r="AC19" i="1"/>
  <c r="AD19" i="1"/>
  <c r="AE19" i="1"/>
  <c r="AF19" i="1"/>
  <c r="W20" i="1"/>
  <c r="X20" i="1"/>
  <c r="Y20" i="1"/>
  <c r="Z20" i="1"/>
  <c r="AA20" i="1"/>
  <c r="AB20" i="1"/>
  <c r="AC20" i="1"/>
  <c r="AD20" i="1"/>
  <c r="AE20" i="1"/>
  <c r="AF20" i="1"/>
  <c r="W21" i="1"/>
  <c r="X21" i="1"/>
  <c r="Y21" i="1"/>
  <c r="Z21" i="1"/>
  <c r="AA21" i="1"/>
  <c r="AB21" i="1"/>
  <c r="AC21" i="1"/>
  <c r="AD21" i="1"/>
  <c r="AE21" i="1"/>
  <c r="AF21" i="1"/>
  <c r="W22" i="1"/>
  <c r="X22" i="1"/>
  <c r="Y22" i="1"/>
  <c r="Z22" i="1"/>
  <c r="AA22" i="1"/>
  <c r="AB22" i="1"/>
  <c r="AC22" i="1"/>
  <c r="AD22" i="1"/>
  <c r="AE22" i="1"/>
  <c r="AF22" i="1"/>
  <c r="W23" i="1"/>
  <c r="X23" i="1"/>
  <c r="Y23" i="1"/>
  <c r="Z23" i="1"/>
  <c r="AA23" i="1"/>
  <c r="AB23" i="1"/>
  <c r="AC23" i="1"/>
  <c r="AD23" i="1"/>
  <c r="AE23" i="1"/>
  <c r="AF23" i="1"/>
  <c r="W24" i="1"/>
  <c r="X24" i="1"/>
  <c r="Y24" i="1"/>
  <c r="Z24" i="1"/>
  <c r="AA24" i="1"/>
  <c r="AB24" i="1"/>
  <c r="AC24" i="1"/>
  <c r="AD24" i="1"/>
  <c r="AE24" i="1"/>
  <c r="AF24" i="1"/>
  <c r="W25" i="1"/>
  <c r="X25" i="1"/>
  <c r="Y25" i="1"/>
  <c r="Z25" i="1"/>
  <c r="AA25" i="1"/>
  <c r="AB25" i="1"/>
  <c r="AC25" i="1"/>
  <c r="AD25" i="1"/>
  <c r="AE25" i="1"/>
  <c r="AF25" i="1"/>
  <c r="W26" i="1"/>
  <c r="X26" i="1"/>
  <c r="Y26" i="1"/>
  <c r="Z26" i="1"/>
  <c r="AA26" i="1"/>
  <c r="AB26" i="1"/>
  <c r="AC26" i="1"/>
  <c r="AD26" i="1"/>
  <c r="AE26" i="1"/>
  <c r="AF26" i="1"/>
  <c r="W27" i="1"/>
  <c r="X27" i="1"/>
  <c r="Y27" i="1"/>
  <c r="Z27" i="1"/>
  <c r="AA27" i="1"/>
  <c r="AB27" i="1"/>
  <c r="AC27" i="1"/>
  <c r="AD27" i="1"/>
  <c r="AE27" i="1"/>
  <c r="AF27" i="1"/>
  <c r="W28" i="1"/>
  <c r="X28" i="1"/>
  <c r="Y28" i="1"/>
  <c r="Z28" i="1"/>
  <c r="AA28" i="1"/>
  <c r="AB28" i="1"/>
  <c r="AC28" i="1"/>
  <c r="AD28" i="1"/>
  <c r="AE28" i="1"/>
  <c r="AF28" i="1"/>
  <c r="W29" i="1"/>
  <c r="X29" i="1"/>
  <c r="Y29" i="1"/>
  <c r="Z29" i="1"/>
  <c r="AA29" i="1"/>
  <c r="AB29" i="1"/>
  <c r="AC29" i="1"/>
  <c r="AD29" i="1"/>
  <c r="AE29" i="1"/>
  <c r="AF29" i="1"/>
  <c r="W30" i="1"/>
  <c r="X30" i="1"/>
  <c r="Y30" i="1"/>
  <c r="Z30" i="1"/>
  <c r="AA30" i="1"/>
  <c r="AB30" i="1"/>
  <c r="AC30" i="1"/>
  <c r="AD30" i="1"/>
  <c r="AE30" i="1"/>
  <c r="AF30" i="1"/>
  <c r="W31" i="1"/>
  <c r="X31" i="1"/>
  <c r="Y31" i="1"/>
  <c r="Z31" i="1"/>
  <c r="AA31" i="1"/>
  <c r="AB31" i="1"/>
  <c r="AC31" i="1"/>
  <c r="AD31" i="1"/>
  <c r="AE31" i="1"/>
  <c r="AF31" i="1"/>
  <c r="W32" i="1"/>
  <c r="X32" i="1"/>
  <c r="Y32" i="1"/>
  <c r="Z32" i="1"/>
  <c r="AA32" i="1"/>
  <c r="AB32" i="1"/>
  <c r="AC32" i="1"/>
  <c r="AD32" i="1"/>
  <c r="AE32" i="1"/>
  <c r="AF32" i="1"/>
  <c r="W33" i="1"/>
  <c r="X33" i="1"/>
  <c r="Y33" i="1"/>
  <c r="Z33" i="1"/>
  <c r="AA33" i="1"/>
  <c r="AB33" i="1"/>
  <c r="AC33" i="1"/>
  <c r="AD33" i="1"/>
  <c r="AE33" i="1"/>
  <c r="AF33" i="1"/>
  <c r="W34" i="1"/>
  <c r="X34" i="1"/>
  <c r="Y34" i="1"/>
  <c r="Z34" i="1"/>
  <c r="AA34" i="1"/>
  <c r="AB34" i="1"/>
  <c r="AC34" i="1"/>
  <c r="AD34" i="1"/>
  <c r="AE34" i="1"/>
  <c r="AF34" i="1"/>
  <c r="W35" i="1"/>
  <c r="X35" i="1"/>
  <c r="Y35" i="1"/>
  <c r="Z35" i="1"/>
  <c r="AA35" i="1"/>
  <c r="AB35" i="1"/>
  <c r="AC35" i="1"/>
  <c r="AD35" i="1"/>
  <c r="AE35" i="1"/>
  <c r="AF35" i="1"/>
  <c r="W36" i="1"/>
  <c r="X36" i="1"/>
  <c r="Y36" i="1"/>
  <c r="Z36" i="1"/>
  <c r="AA36" i="1"/>
  <c r="AB36" i="1"/>
  <c r="AC36" i="1"/>
  <c r="AD36" i="1"/>
  <c r="AE36" i="1"/>
  <c r="AF36" i="1"/>
  <c r="W37" i="1"/>
  <c r="X37" i="1"/>
  <c r="Y37" i="1"/>
  <c r="Z37" i="1"/>
  <c r="AA37" i="1"/>
  <c r="AB37" i="1"/>
  <c r="AC37" i="1"/>
  <c r="AD37" i="1"/>
  <c r="AE37" i="1"/>
  <c r="AF37" i="1"/>
  <c r="W38" i="1"/>
  <c r="X38" i="1"/>
  <c r="Y38" i="1"/>
  <c r="Z38" i="1"/>
  <c r="AA38" i="1"/>
  <c r="AB38" i="1"/>
  <c r="AC38" i="1"/>
  <c r="AD38" i="1"/>
  <c r="AE38" i="1"/>
  <c r="AF38" i="1"/>
  <c r="W39" i="1"/>
  <c r="X39" i="1"/>
  <c r="Y39" i="1"/>
  <c r="Z39" i="1"/>
  <c r="AA39" i="1"/>
  <c r="AB39" i="1"/>
  <c r="AC39" i="1"/>
  <c r="AD39" i="1"/>
  <c r="AE39" i="1"/>
  <c r="AF39" i="1"/>
  <c r="W40" i="1"/>
  <c r="X40" i="1"/>
  <c r="Y40" i="1"/>
  <c r="Z40" i="1"/>
  <c r="AA40" i="1"/>
  <c r="AB40" i="1"/>
  <c r="AC40" i="1"/>
  <c r="AD40" i="1"/>
  <c r="AE40" i="1"/>
  <c r="AF40" i="1"/>
  <c r="W41" i="1"/>
  <c r="X41" i="1"/>
  <c r="Y41" i="1"/>
  <c r="Z41" i="1"/>
  <c r="AA41" i="1"/>
  <c r="AB41" i="1"/>
  <c r="AC41" i="1"/>
  <c r="AD41" i="1"/>
  <c r="AE41" i="1"/>
  <c r="AF41" i="1"/>
  <c r="W42" i="1"/>
  <c r="X42" i="1"/>
  <c r="Y42" i="1"/>
  <c r="Z42" i="1"/>
  <c r="AA42" i="1"/>
  <c r="AB42" i="1"/>
  <c r="AC42" i="1"/>
  <c r="AD42" i="1"/>
  <c r="AE42" i="1"/>
  <c r="AF42" i="1"/>
  <c r="W43" i="1"/>
  <c r="X43" i="1"/>
  <c r="Y43" i="1"/>
  <c r="Z43" i="1"/>
  <c r="AA43" i="1"/>
  <c r="AB43" i="1"/>
  <c r="AC43" i="1"/>
  <c r="AD43" i="1"/>
  <c r="AE43" i="1"/>
  <c r="AF43" i="1"/>
  <c r="W44" i="1"/>
  <c r="X44" i="1"/>
  <c r="Y44" i="1"/>
  <c r="Z44" i="1"/>
  <c r="AA44" i="1"/>
  <c r="AB44" i="1"/>
  <c r="AC44" i="1"/>
  <c r="AD44" i="1"/>
  <c r="AE44" i="1"/>
  <c r="AF44" i="1"/>
  <c r="W45" i="1"/>
  <c r="X45" i="1"/>
  <c r="Y45" i="1"/>
  <c r="Z45" i="1"/>
  <c r="AA45" i="1"/>
  <c r="AB45" i="1"/>
  <c r="AC45" i="1"/>
  <c r="AD45" i="1"/>
  <c r="AE45" i="1"/>
  <c r="AF45" i="1"/>
  <c r="W46" i="1"/>
  <c r="X46" i="1"/>
  <c r="Y46" i="1"/>
  <c r="Z46" i="1"/>
  <c r="AA46" i="1"/>
  <c r="AB46" i="1"/>
  <c r="AC46" i="1"/>
  <c r="AD46" i="1"/>
  <c r="AE46" i="1"/>
  <c r="AF46" i="1"/>
  <c r="W47" i="1"/>
  <c r="X47" i="1"/>
  <c r="Y47" i="1"/>
  <c r="Z47" i="1"/>
  <c r="AA47" i="1"/>
  <c r="AB47" i="1"/>
  <c r="AC47" i="1"/>
  <c r="AD47" i="1"/>
  <c r="AE47" i="1"/>
  <c r="AF47" i="1"/>
  <c r="W48" i="1"/>
  <c r="X48" i="1"/>
  <c r="Y48" i="1"/>
  <c r="Z48" i="1"/>
  <c r="AA48" i="1"/>
  <c r="AB48" i="1"/>
  <c r="AC48" i="1"/>
  <c r="AD48" i="1"/>
  <c r="AE48" i="1"/>
  <c r="AF48" i="1"/>
  <c r="W49" i="1"/>
  <c r="X49" i="1"/>
  <c r="Y49" i="1"/>
  <c r="Z49" i="1"/>
  <c r="AA49" i="1"/>
  <c r="AB49" i="1"/>
  <c r="AC49" i="1"/>
  <c r="AD49" i="1"/>
  <c r="AE49" i="1"/>
  <c r="AF49" i="1"/>
  <c r="W50" i="1"/>
  <c r="X50" i="1"/>
  <c r="Y50" i="1"/>
  <c r="Z50" i="1"/>
  <c r="AA50" i="1"/>
  <c r="AB50" i="1"/>
  <c r="AC50" i="1"/>
  <c r="AD50" i="1"/>
  <c r="AE50" i="1"/>
  <c r="AF50" i="1"/>
  <c r="W51" i="1"/>
  <c r="X51" i="1"/>
  <c r="Y51" i="1"/>
  <c r="Z51" i="1"/>
  <c r="AA51" i="1"/>
  <c r="AB51" i="1"/>
  <c r="AC51" i="1"/>
  <c r="AD51" i="1"/>
  <c r="AE51" i="1"/>
  <c r="AF51" i="1"/>
  <c r="W52" i="1"/>
  <c r="X52" i="1"/>
  <c r="Y52" i="1"/>
  <c r="Z52" i="1"/>
  <c r="AA52" i="1"/>
  <c r="AB52" i="1"/>
  <c r="AC52" i="1"/>
  <c r="AD52" i="1"/>
  <c r="AE52" i="1"/>
  <c r="AF52" i="1"/>
  <c r="W53" i="1"/>
  <c r="X53" i="1"/>
  <c r="Y53" i="1"/>
  <c r="Z53" i="1"/>
  <c r="AA53" i="1"/>
  <c r="AB53" i="1"/>
  <c r="AC53" i="1"/>
  <c r="AD53" i="1"/>
  <c r="AE53" i="1"/>
  <c r="AF53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14" i="1"/>
  <c r="V13" i="1"/>
  <c r="V8" i="1"/>
  <c r="V9" i="1"/>
  <c r="V10" i="1"/>
  <c r="V11" i="1"/>
  <c r="V12" i="1"/>
  <c r="V7" i="1"/>
  <c r="AQ28" i="4" l="1"/>
  <c r="AU28" i="4" s="1"/>
  <c r="AQ9" i="4"/>
  <c r="AU9" i="4" s="1"/>
  <c r="AQ23" i="4"/>
  <c r="AU23" i="4" s="1"/>
  <c r="AQ48" i="4"/>
  <c r="AU48" i="4" s="1"/>
  <c r="AQ46" i="4"/>
  <c r="AU46" i="4" s="1"/>
  <c r="AQ12" i="4"/>
  <c r="AU12" i="4" s="1"/>
  <c r="AS10" i="4"/>
  <c r="AW10" i="4" s="1"/>
  <c r="AQ30" i="4"/>
  <c r="AU30" i="4" s="1"/>
  <c r="AQ47" i="4"/>
  <c r="AU47" i="4" s="1"/>
  <c r="AQ26" i="4"/>
  <c r="AU26" i="4" s="1"/>
  <c r="AQ51" i="4"/>
  <c r="AU51" i="4" s="1"/>
  <c r="AQ31" i="4"/>
  <c r="AU31" i="4" s="1"/>
  <c r="AQ15" i="4"/>
  <c r="AU15" i="4" s="1"/>
  <c r="AQ24" i="4"/>
  <c r="AU24" i="4" s="1"/>
  <c r="AQ8" i="4"/>
  <c r="AU8" i="4" s="1"/>
</calcChain>
</file>

<file path=xl/sharedStrings.xml><?xml version="1.0" encoding="utf-8"?>
<sst xmlns="http://schemas.openxmlformats.org/spreadsheetml/2006/main" count="448" uniqueCount="168">
  <si>
    <t>fid</t>
  </si>
  <si>
    <t>id</t>
  </si>
  <si>
    <t>school</t>
  </si>
  <si>
    <t>kindergarten</t>
  </si>
  <si>
    <t>polyclinic</t>
  </si>
  <si>
    <t>supermarket</t>
  </si>
  <si>
    <t>PVZ</t>
  </si>
  <si>
    <t>obshepit</t>
  </si>
  <si>
    <t>hotel</t>
  </si>
  <si>
    <t>BC</t>
  </si>
  <si>
    <t>bank</t>
  </si>
  <si>
    <t>stop</t>
  </si>
  <si>
    <t>to_centre_lomo</t>
  </si>
  <si>
    <t>to_centre_spb</t>
  </si>
  <si>
    <t>condition</t>
  </si>
  <si>
    <t>value</t>
  </si>
  <si>
    <t>bn_grazhd</t>
  </si>
  <si>
    <t>zone</t>
  </si>
  <si>
    <t>floors</t>
  </si>
  <si>
    <t>s_base</t>
  </si>
  <si>
    <t>complexity</t>
  </si>
  <si>
    <t>вес для восстановления</t>
  </si>
  <si>
    <t>вес для сноса</t>
  </si>
  <si>
    <t>min</t>
  </si>
  <si>
    <t>max</t>
  </si>
  <si>
    <t>norm_school</t>
  </si>
  <si>
    <t>norm_kindergarten</t>
  </si>
  <si>
    <t>norm_polyclinic</t>
  </si>
  <si>
    <t>norm_supermarket</t>
  </si>
  <si>
    <t>norm_PVZ</t>
  </si>
  <si>
    <t>norm_obshepit</t>
  </si>
  <si>
    <t>norm_hotel</t>
  </si>
  <si>
    <t>norm_BC</t>
  </si>
  <si>
    <t>norm_bank</t>
  </si>
  <si>
    <t>norm_stop</t>
  </si>
  <si>
    <t>norm_to_centre_lomo</t>
  </si>
  <si>
    <t>norm_to_centre_spb</t>
  </si>
  <si>
    <t>norm_condition</t>
  </si>
  <si>
    <t>norm_value</t>
  </si>
  <si>
    <t>norm_bn_grazhd</t>
  </si>
  <si>
    <t>norm_zone</t>
  </si>
  <si>
    <t>norm_floors</t>
  </si>
  <si>
    <t>norm_s_base</t>
  </si>
  <si>
    <t>norm_complexity</t>
  </si>
  <si>
    <t>int_v_service</t>
  </si>
  <si>
    <t>int_s_service</t>
  </si>
  <si>
    <t>int_v_potential_lomo</t>
  </si>
  <si>
    <t>int_s_potential_spb</t>
  </si>
  <si>
    <t>int_v_potential_spb</t>
  </si>
  <si>
    <t>int_s_potential_lomo</t>
  </si>
  <si>
    <t>norm_int_v_potential_lomo</t>
  </si>
  <si>
    <t>norm_int_v_potential_spb</t>
  </si>
  <si>
    <t>norm_int_s_potential_lomo</t>
  </si>
  <si>
    <t>norm_int_s_potential_spb</t>
  </si>
  <si>
    <t>v</t>
  </si>
  <si>
    <t>s</t>
  </si>
  <si>
    <t>средний norm_int_v_potential для восстановленных</t>
  </si>
  <si>
    <t>минимальный norm_int_v_potential для восстановленных</t>
  </si>
  <si>
    <t>средний norm_int_v_potential для снесённых</t>
  </si>
  <si>
    <t>минимальный norm_int_v_potential для снесённых</t>
  </si>
  <si>
    <t>norm_int_v_potential</t>
  </si>
  <si>
    <t>для восстановленных</t>
  </si>
  <si>
    <t>для снесённых</t>
  </si>
  <si>
    <t>средний norm_int_s_potential для снесённых</t>
  </si>
  <si>
    <t>минимальный norm_int_s_potential для снесённых</t>
  </si>
  <si>
    <t>средний norm_int_s_potential для восстановленных</t>
  </si>
  <si>
    <t>минимальный norm_int_s_potential длявосстановленных</t>
  </si>
  <si>
    <t>сноса</t>
  </si>
  <si>
    <t>20-59</t>
  </si>
  <si>
    <t>&lt;20</t>
  </si>
  <si>
    <t>50-74</t>
  </si>
  <si>
    <t>&lt;50</t>
  </si>
  <si>
    <t>Варианты комбинаций потенциала</t>
  </si>
  <si>
    <t>ревитализации</t>
  </si>
  <si>
    <t>название атрибута</t>
  </si>
  <si>
    <t>кол-во случаев</t>
  </si>
  <si>
    <t>формула</t>
  </si>
  <si>
    <t>значение</t>
  </si>
  <si>
    <t>&gt;= 59</t>
  </si>
  <si>
    <t>pv59_ps50</t>
  </si>
  <si>
    <t>высокий потенциал ревитализации и низкий потенциал сноса</t>
  </si>
  <si>
    <t>pv59_ps50_74</t>
  </si>
  <si>
    <t>высокий потенциал ревитализации и средний потенциал сноса</t>
  </si>
  <si>
    <t>&gt;= 74</t>
  </si>
  <si>
    <t>pv59_ps74</t>
  </si>
  <si>
    <t>высокий потенциал ревитализации и высокий потенциал сноса</t>
  </si>
  <si>
    <t>pv20_59_ps50</t>
  </si>
  <si>
    <t>case when "norm_int_v_potential" &gt;= 20
then (case when  "norm_int_v_potential" &lt; 59
then (case when  "norm_int_s_potential" &lt; 50
then 1
else 0
end)
else 0
end)
else 0
end</t>
  </si>
  <si>
    <t>средний потенциал ревитализации и низкий потенциал сноса</t>
  </si>
  <si>
    <t>pv20_59_ps50_74</t>
  </si>
  <si>
    <t>case when "norm_int_v_potential" &gt;= 20
then (case when  "norm_int_v_potential" &lt; 59
then (case when  "norm_int_s_potential" &gt;= 50
then (case when  "norm_int_s_potential" &lt; 74
then 1
else 0
end)
else 0
end)
else 0
end)
else 0
end</t>
  </si>
  <si>
    <t>средний потенциал ревитализации и средний потенциал сноса</t>
  </si>
  <si>
    <t>pv20_59_ps74</t>
  </si>
  <si>
    <t>case when "norm_int_v_potential" &gt;= 20
then (case when  "norm_int_v_potential" &lt; 59
then (case when  "norm_int_s_potential" &gt;= 74
then 1
else 0
end)
else 0
end)
else 0
end</t>
  </si>
  <si>
    <t>средний потенциал ревитализации и высокий потенциал сноса</t>
  </si>
  <si>
    <t>pv20_ps50</t>
  </si>
  <si>
    <t>case when "norm_int_v_potential" &lt; 20
then (case when  "norm_int_s_potential" &lt; 50
then 1
else 0
end)
else 0
end</t>
  </si>
  <si>
    <t>низкий потенциал ревитализации и низкий потенциал сноса</t>
  </si>
  <si>
    <t>pv20_ps50_74</t>
  </si>
  <si>
    <t>case when "norm_int_v_potential" &lt; 20
then (case when  "norm_int_s_potential" &gt;= 50
then (case when  "norm_int_s_potential" &lt; 74
then 1
else 0
end)
else 0
end)
else 0
end</t>
  </si>
  <si>
    <t>низкий потенциал ревитализации и средний потенциал сноса</t>
  </si>
  <si>
    <t>pv20_ps74</t>
  </si>
  <si>
    <t>case when "norm_int_v_potential" &lt; 20
then (case when  "norm_int_s_potential" &gt;= 74
then 1
else 0
end)
else 0
end</t>
  </si>
  <si>
    <t>низкий потенциал ревитализации и высокий потенциал сноса</t>
  </si>
  <si>
    <t>Потенциал ревитализации</t>
  </si>
  <si>
    <t>кол-во объектов</t>
  </si>
  <si>
    <t>Потенциал сноса</t>
  </si>
  <si>
    <t>высокий потенциал ревитализации</t>
  </si>
  <si>
    <t>средний потенциал ревитализации</t>
  </si>
  <si>
    <t>низкий потенциал ревитализации</t>
  </si>
  <si>
    <t>case when "norm_int_v_potential" &gt;= 59
then (case when  "norm_int_s_potential" &lt; 50
then 1
else 0
end)
else 0
end</t>
  </si>
  <si>
    <t>case when "norm_int_v_potential" &gt;= 59
then (case when  "norm_int_s_potential" &gt;= 50
then (case when  "norm_int_s_potential" &lt; 74
then 1
else 0
end)
else 0
end)
else 0
end</t>
  </si>
  <si>
    <t>case when "norm_int_v_potential" &gt;= 59
then (case when  "norm_int_s_potential" &gt;= 74
then 1
else 0
end)
else 0
end</t>
  </si>
  <si>
    <t>с центром в Ломоносове</t>
  </si>
  <si>
    <t>с центром в Санкт-Петербурге</t>
  </si>
  <si>
    <t>значения</t>
  </si>
  <si>
    <t>количество объектов</t>
  </si>
  <si>
    <t>1-3</t>
  </si>
  <si>
    <t>4-6</t>
  </si>
  <si>
    <t>7-9</t>
  </si>
  <si>
    <t>10-13</t>
  </si>
  <si>
    <t>1-2</t>
  </si>
  <si>
    <t>3-4</t>
  </si>
  <si>
    <t>5-6</t>
  </si>
  <si>
    <t>7-8</t>
  </si>
  <si>
    <t>1-4</t>
  </si>
  <si>
    <t>5-8</t>
  </si>
  <si>
    <t>9-12</t>
  </si>
  <si>
    <t>13-14</t>
  </si>
  <si>
    <t>7-10</t>
  </si>
  <si>
    <t xml:space="preserve">b_n </t>
  </si>
  <si>
    <t>критическое</t>
  </si>
  <si>
    <t>не ОКН</t>
  </si>
  <si>
    <t>не гражданское</t>
  </si>
  <si>
    <t>специального назначения</t>
  </si>
  <si>
    <t>плохое</t>
  </si>
  <si>
    <t>ОКН</t>
  </si>
  <si>
    <t>гражданское</t>
  </si>
  <si>
    <t>производственная, инженерная, транспортная</t>
  </si>
  <si>
    <t>удовлетворительное</t>
  </si>
  <si>
    <t>рекреационная</t>
  </si>
  <si>
    <t>хорошее</t>
  </si>
  <si>
    <t>общественно-деловая</t>
  </si>
  <si>
    <t>жилая</t>
  </si>
  <si>
    <t>простая</t>
  </si>
  <si>
    <t>простая усложнённая</t>
  </si>
  <si>
    <t>средней сложности</t>
  </si>
  <si>
    <t>сложная</t>
  </si>
  <si>
    <t>1-1,3</t>
  </si>
  <si>
    <t>1,3-2,6</t>
  </si>
  <si>
    <t>2,6-3,9</t>
  </si>
  <si>
    <t>3,9-5,2</t>
  </si>
  <si>
    <t>6,7</t>
  </si>
  <si>
    <t>36,7-38</t>
  </si>
  <si>
    <t>38-40</t>
  </si>
  <si>
    <t>40-42</t>
  </si>
  <si>
    <t>42-44</t>
  </si>
  <si>
    <t>44-46</t>
  </si>
  <si>
    <t>0-0,4</t>
  </si>
  <si>
    <t>0,4-0,8</t>
  </si>
  <si>
    <t>0,8-1,3</t>
  </si>
  <si>
    <t>2</t>
  </si>
  <si>
    <t>3,5</t>
  </si>
  <si>
    <t>int_v_potential_c_z</t>
  </si>
  <si>
    <t>int_s_potential_c_z</t>
  </si>
  <si>
    <t>norm_int_v_potential_c_z</t>
  </si>
  <si>
    <t>norm_int_s_potential_c_z</t>
  </si>
  <si>
    <t>с ухудшением состояния и заменой зоны на жилую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</si>
</sst>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8FC26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8FC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1F01B1-7D88-4223-BB8E-A37C81A0F2E1}" name="Таблица1" displayName="Таблица1" ref="A1:U49" totalsRowCount="1">
  <autoFilter ref="A1:U48" xr:uid="{3C1F01B1-7D88-4223-BB8E-A37C81A0F2E1}"/>
  <sortState xmlns:xlrd2="http://schemas.microsoft.com/office/spreadsheetml/2017/richdata2" ref="A2:U48">
    <sortCondition ref="N1:N48"/>
  </sortState>
  <tableColumns count="21">
    <tableColumn id="1" xr3:uid="{8503BB48-E297-4424-87EB-F7B80D1F290B}" name="fid" totalsRowFunction="count"/>
    <tableColumn id="2" xr3:uid="{0B4D9D35-BCA7-4900-8E5C-6D3DD92D336C}" name="id" totalsRowFunction="count"/>
    <tableColumn id="3" xr3:uid="{CA80F293-A92A-4276-95A4-F2B709FE7A14}" name="school" totalsRowFunction="count"/>
    <tableColumn id="4" xr3:uid="{97D88282-5F91-4EEA-BF62-A9FE514F1A04}" name="kindergarten" totalsRowFunction="count"/>
    <tableColumn id="5" xr3:uid="{21DE8F0A-D433-47A1-AB70-E7084DE1DB33}" name="polyclinic" totalsRowFunction="count"/>
    <tableColumn id="6" xr3:uid="{39D2D330-A333-4637-911C-911E639BFCA3}" name="supermarket" totalsRowFunction="count"/>
    <tableColumn id="7" xr3:uid="{8616C6F6-5DF2-42A5-94DB-2113B90EDA99}" name="PVZ" totalsRowFunction="count"/>
    <tableColumn id="8" xr3:uid="{6FBCEC00-6B6E-468D-9826-6219DFBF7B6A}" name="obshepit" totalsRowFunction="count"/>
    <tableColumn id="9" xr3:uid="{F1A999A0-0DC9-4A8B-951C-FF35CA9FBAEA}" name="hotel" totalsRowFunction="count"/>
    <tableColumn id="10" xr3:uid="{669DD845-AC11-4005-B3E1-3CA3C27EF6F5}" name="BC" totalsRowFunction="count"/>
    <tableColumn id="11" xr3:uid="{0B2B146C-EB99-4DA5-97D9-77D342A5D85E}" name="bank" totalsRowFunction="count"/>
    <tableColumn id="12" xr3:uid="{8B209D77-FFDA-4F28-B337-4753F4CFB2FD}" name="stop" totalsRowFunction="count"/>
    <tableColumn id="13" xr3:uid="{DABBFF2B-92C9-48D1-9E75-5CFB928FED95}" name="to_centre_lomo" totalsRowFunction="count"/>
    <tableColumn id="14" xr3:uid="{F70D4B1D-465A-494A-9F38-9EBB9370A23A}" name="to_centre_spb" totalsRowFunction="count"/>
    <tableColumn id="15" xr3:uid="{5197C6E6-5399-4C4B-9E32-F6FCEB5C6D45}" name="condition" totalsRowFunction="count"/>
    <tableColumn id="16" xr3:uid="{0F521020-0612-40FF-ADBC-A0FE816DBF39}" name="value" totalsRowFunction="count"/>
    <tableColumn id="17" xr3:uid="{1F1FC3D3-B77B-4CF3-9BE2-09DCD2D1A0E8}" name="bn_grazhd" totalsRowFunction="count"/>
    <tableColumn id="18" xr3:uid="{E38DADA5-0D51-4AED-8074-1B3B4AAE85BD}" name="zone" totalsRowFunction="count"/>
    <tableColumn id="19" xr3:uid="{9F16264D-42A4-458D-A823-82EE75C58503}" name="floors" totalsRowFunction="count"/>
    <tableColumn id="20" xr3:uid="{283CFFA6-70F3-4E07-A460-7513EE8026E7}" name="s_base" totalsRowFunction="count"/>
    <tableColumn id="21" xr3:uid="{9D8EBC4E-6938-4E8D-AC5C-955B2F04A188}" name="complexity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3"/>
  <sheetViews>
    <sheetView tabSelected="1" topLeftCell="BB1" workbookViewId="0">
      <selection activeCell="BL6" sqref="BL6"/>
    </sheetView>
  </sheetViews>
  <sheetFormatPr defaultRowHeight="14.25" x14ac:dyDescent="0.45"/>
  <sheetData>
    <row r="1" spans="1:71" x14ac:dyDescent="0.45">
      <c r="A1" t="s">
        <v>23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>
        <v>1</v>
      </c>
      <c r="P1">
        <v>0</v>
      </c>
      <c r="Q1">
        <v>0</v>
      </c>
      <c r="R1">
        <v>0</v>
      </c>
      <c r="S1">
        <v>0</v>
      </c>
      <c r="T1">
        <v>0</v>
      </c>
      <c r="U1">
        <v>1</v>
      </c>
      <c r="AS1" t="s">
        <v>54</v>
      </c>
      <c r="AT1" t="s">
        <v>55</v>
      </c>
      <c r="AW1" t="s">
        <v>60</v>
      </c>
    </row>
    <row r="2" spans="1:71" x14ac:dyDescent="0.45">
      <c r="A2" t="s">
        <v>24</v>
      </c>
      <c r="C2">
        <v>9</v>
      </c>
      <c r="D2" s="1">
        <v>10</v>
      </c>
      <c r="E2" s="1">
        <v>3</v>
      </c>
      <c r="F2" s="1">
        <v>24</v>
      </c>
      <c r="G2" s="1">
        <v>29</v>
      </c>
      <c r="H2" s="1">
        <v>53</v>
      </c>
      <c r="I2" s="1">
        <v>15</v>
      </c>
      <c r="J2" s="1">
        <v>18</v>
      </c>
      <c r="K2">
        <v>14</v>
      </c>
      <c r="L2">
        <v>28</v>
      </c>
      <c r="M2" s="1">
        <v>22197</v>
      </c>
      <c r="N2" s="1">
        <v>22197</v>
      </c>
      <c r="O2" s="1">
        <v>4</v>
      </c>
      <c r="P2" s="1">
        <v>1</v>
      </c>
      <c r="Q2" s="1">
        <v>1</v>
      </c>
      <c r="R2" s="1">
        <v>4</v>
      </c>
      <c r="S2">
        <v>6</v>
      </c>
      <c r="T2">
        <v>3476</v>
      </c>
      <c r="U2" s="1">
        <v>4</v>
      </c>
      <c r="AR2" t="s">
        <v>23</v>
      </c>
      <c r="AS2">
        <v>-17.648171951283963</v>
      </c>
      <c r="AT2">
        <v>-90.017864825665072</v>
      </c>
      <c r="AW2" t="s">
        <v>61</v>
      </c>
      <c r="AY2" t="s">
        <v>62</v>
      </c>
    </row>
    <row r="3" spans="1:71" x14ac:dyDescent="0.45">
      <c r="U3" t="s">
        <v>21</v>
      </c>
      <c r="V3">
        <v>0.13143386008371707</v>
      </c>
      <c r="W3">
        <v>7.307027085806389E-2</v>
      </c>
      <c r="X3">
        <v>5.945395469478483E-2</v>
      </c>
      <c r="Y3">
        <v>0.10226342761259979</v>
      </c>
      <c r="Z3">
        <v>0.11770481835387485</v>
      </c>
      <c r="AA3">
        <v>9.7750954074793395E-2</v>
      </c>
      <c r="AB3">
        <v>9.3232717371704757E-2</v>
      </c>
      <c r="AC3">
        <v>0.10265481280703614</v>
      </c>
      <c r="AD3">
        <v>0.16451655188534556</v>
      </c>
      <c r="AE3">
        <v>5.7918632258079708E-2</v>
      </c>
      <c r="AF3">
        <v>-0.17648171951283964</v>
      </c>
      <c r="AG3">
        <v>-0.17648171951283964</v>
      </c>
      <c r="AH3">
        <v>0.12451516292237895</v>
      </c>
      <c r="AJ3">
        <v>8.846396142459656E-2</v>
      </c>
      <c r="AK3">
        <v>0.14524513113577964</v>
      </c>
      <c r="AL3">
        <v>0.14600040452737567</v>
      </c>
      <c r="AN3">
        <v>6.5128270718560324E-2</v>
      </c>
      <c r="AO3">
        <v>0.25416534975846922</v>
      </c>
      <c r="AR3" t="s">
        <v>24</v>
      </c>
      <c r="AS3">
        <v>82.351828048716044</v>
      </c>
      <c r="AT3">
        <v>9.982135174334914</v>
      </c>
      <c r="AW3" t="s">
        <v>56</v>
      </c>
      <c r="AX3" t="s">
        <v>57</v>
      </c>
      <c r="AY3" s="2" t="s">
        <v>58</v>
      </c>
      <c r="AZ3" s="2" t="s">
        <v>59</v>
      </c>
      <c r="BB3" t="s">
        <v>63</v>
      </c>
      <c r="BC3" t="s">
        <v>64</v>
      </c>
      <c r="BD3" s="2" t="s">
        <v>65</v>
      </c>
      <c r="BE3" s="2" t="s">
        <v>66</v>
      </c>
    </row>
    <row r="4" spans="1:71" x14ac:dyDescent="0.45">
      <c r="U4" t="s">
        <v>22</v>
      </c>
      <c r="V4">
        <v>0.11952893847151827</v>
      </c>
      <c r="W4">
        <v>6.4877528200127196E-2</v>
      </c>
      <c r="X4">
        <v>6.8306370915106593E-2</v>
      </c>
      <c r="Y4">
        <v>0.10098769416724075</v>
      </c>
      <c r="Z4">
        <v>7.8924482020539685E-2</v>
      </c>
      <c r="AA4">
        <v>9.3684271321555393E-2</v>
      </c>
      <c r="AB4">
        <v>9.4316155635525409E-2</v>
      </c>
      <c r="AC4">
        <v>0.1247970173876369</v>
      </c>
      <c r="AD4">
        <v>0.16841142209900545</v>
      </c>
      <c r="AE4">
        <v>8.6166119781744377E-2</v>
      </c>
      <c r="AF4">
        <v>9.9821351743349135E-2</v>
      </c>
      <c r="AG4">
        <v>9.9821351743349135E-2</v>
      </c>
      <c r="AH4">
        <v>-8.3162856302101046E-2</v>
      </c>
      <c r="AI4">
        <v>-0.1320100469677844</v>
      </c>
      <c r="AJ4">
        <v>-5.3951594173368915E-2</v>
      </c>
      <c r="AK4">
        <v>-9.1442744883771188E-2</v>
      </c>
      <c r="AL4">
        <v>-0.10568820496679646</v>
      </c>
      <c r="AM4">
        <v>-0.12726155152544014</v>
      </c>
      <c r="AN4">
        <v>-6.2128676820712374E-2</v>
      </c>
      <c r="AP4">
        <v>-0.24453297261667634</v>
      </c>
      <c r="AW4">
        <v>59.034686013887402</v>
      </c>
      <c r="AX4">
        <v>20.149829638250239</v>
      </c>
      <c r="AY4" s="2">
        <v>35.550211276127335</v>
      </c>
      <c r="AZ4" s="2">
        <v>15.944573237220972</v>
      </c>
      <c r="BB4">
        <v>74.187259691514171</v>
      </c>
      <c r="BC4">
        <v>50.222301121471389</v>
      </c>
      <c r="BD4" s="2">
        <v>52.701113673698323</v>
      </c>
      <c r="BE4" s="2">
        <v>19.588542405067361</v>
      </c>
    </row>
    <row r="6" spans="1:71" x14ac:dyDescent="0.4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15</v>
      </c>
      <c r="Q6" t="s">
        <v>16</v>
      </c>
      <c r="R6" t="s">
        <v>17</v>
      </c>
      <c r="S6" t="s">
        <v>18</v>
      </c>
      <c r="T6" t="s">
        <v>19</v>
      </c>
      <c r="U6" t="s">
        <v>20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48</v>
      </c>
      <c r="AS6" t="s">
        <v>49</v>
      </c>
      <c r="AT6" t="s">
        <v>47</v>
      </c>
      <c r="AU6" t="s">
        <v>50</v>
      </c>
      <c r="AV6" t="s">
        <v>51</v>
      </c>
      <c r="AW6" t="s">
        <v>52</v>
      </c>
      <c r="AX6" t="s">
        <v>53</v>
      </c>
    </row>
    <row r="7" spans="1:71" x14ac:dyDescent="0.45">
      <c r="A7">
        <v>1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8</v>
      </c>
      <c r="M7">
        <v>3653</v>
      </c>
      <c r="N7">
        <v>38350</v>
      </c>
      <c r="O7">
        <v>3</v>
      </c>
      <c r="P7">
        <v>0</v>
      </c>
      <c r="Q7">
        <v>1</v>
      </c>
      <c r="R7">
        <v>4</v>
      </c>
      <c r="S7">
        <v>2</v>
      </c>
      <c r="T7">
        <v>291</v>
      </c>
      <c r="U7">
        <v>1</v>
      </c>
      <c r="V7">
        <f>IF(C7&gt;C$2,100,(C7-C$1)/(C$2-C$1)*100)</f>
        <v>0</v>
      </c>
      <c r="W7">
        <f t="shared" ref="W7:AF22" si="0">IF(D7&gt;D$2,100,(D7-D$1)/(D$2-D$1)*100)</f>
        <v>10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28.571428571428569</v>
      </c>
      <c r="AF7">
        <f t="shared" si="0"/>
        <v>16.457178898049285</v>
      </c>
      <c r="AG7">
        <f>IF(N7&gt;N$2,100,(N7-N$1)/(N$2-N$1)*100)</f>
        <v>100</v>
      </c>
      <c r="AH7">
        <f t="shared" ref="AH7:AH53" si="1">IF(O7&gt;O$2,100,(O7-O$1)/(O$2-O$1)*100)</f>
        <v>66.666666666666657</v>
      </c>
      <c r="AI7">
        <f t="shared" ref="AI7:AI53" si="2">IF(P7&gt;P$2,100,(P7-P$1)/(P$2-P$1)*100)</f>
        <v>0</v>
      </c>
      <c r="AJ7">
        <f t="shared" ref="AJ7:AJ53" si="3">IF(Q7&gt;Q$2,100,(Q7-Q$1)/(Q$2-Q$1)*100)</f>
        <v>100</v>
      </c>
      <c r="AK7">
        <f t="shared" ref="AK7:AK53" si="4">IF(R7&gt;R$2,100,(R7-R$1)/(R$2-R$1)*100)</f>
        <v>100</v>
      </c>
      <c r="AL7">
        <f t="shared" ref="AL7:AL53" si="5">IF(S7&gt;S$2,100,(S7-S$1)/(S$2-S$1)*100)</f>
        <v>33.333333333333329</v>
      </c>
      <c r="AM7">
        <f t="shared" ref="AM7:AM53" si="6">IF(T7&gt;T$2,100,(T7-T$1)/(T$2-T$1)*100)</f>
        <v>8.3716915995396999</v>
      </c>
      <c r="AN7">
        <f t="shared" ref="AN7:AN53" si="7">IF(U7&gt;U$2,100,(U7-U$1)/(U$2-U$1)*100)</f>
        <v>0</v>
      </c>
      <c r="AO7">
        <f>V7*V$3+W7*W$3+X7*X$3+Y7*Y$3+Z7*Z$3+AA7*AA$3+AB7*AB$3+AC7*AC$3+AD7*AD$3+AE7*AE$3</f>
        <v>2.3855207730972019</v>
      </c>
      <c r="AP7">
        <f>V7*V$4+W7*W$4+X7*X$4+Y7*Y$4+Z7*Z$4+AA7*AA$4+AB7*AB$4+AC7*AC$4+AD7*AD$4+AE7*AE$4</f>
        <v>3.1106644186225401</v>
      </c>
      <c r="AQ7">
        <f>AF7*AF$3+AH7*AH$3+AJ7*AJ$3+AK7*AK$3+AL7*AL$3+AN7*AN$3+AO7*AO$3</f>
        <v>34.240525759834256</v>
      </c>
      <c r="AR7">
        <f>AG7*AG$3+AH7*AH$3+AJ7*AJ$3+AK7*AK$3+AL7*AL$3+AN7*AN$3+AO7*AO$3</f>
        <v>19.496745038808452</v>
      </c>
      <c r="AS7">
        <f>AF7*AF$4+AH7*AH$4+AI7*AI$4+AJ7*AJ$4+AK7*AK$4+AL7*AL$4+AM7*AM$4+AN7*AN$4+AP7*AP$4</f>
        <v>-23.789841126877167</v>
      </c>
      <c r="AT7">
        <f>AG7*AG$4+AH7*AH$4+AI7*AI$4+AJ7*AJ$4+AK7*AK$4+AL7*AL$4+AM7*AM$4+AN7*AN$4+AP7*AP$4</f>
        <v>-15.45048379602766</v>
      </c>
      <c r="AU7">
        <f>(AQ7-$AS$2)/($AS$3-$AS$2)*100</f>
        <v>51.888697711118212</v>
      </c>
      <c r="AV7">
        <f>(AR7-$AS$2)/($AS$3-$AS$2)*100</f>
        <v>37.144916990092412</v>
      </c>
      <c r="AW7">
        <f>(AS7-$AT$2)/($AT$3-$AT$2)*100</f>
        <v>66.228023698787922</v>
      </c>
      <c r="AX7">
        <f>(AT7-$AT$2)/($AT$3-$AT$2)*100</f>
        <v>74.567381029637431</v>
      </c>
    </row>
    <row r="8" spans="1:71" x14ac:dyDescent="0.45">
      <c r="A8">
        <v>2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3728</v>
      </c>
      <c r="N8">
        <v>38425</v>
      </c>
      <c r="O8">
        <v>3</v>
      </c>
      <c r="P8">
        <v>0</v>
      </c>
      <c r="Q8">
        <v>1</v>
      </c>
      <c r="R8">
        <v>4</v>
      </c>
      <c r="S8">
        <v>2</v>
      </c>
      <c r="T8">
        <v>258</v>
      </c>
      <c r="U8">
        <v>1</v>
      </c>
      <c r="V8">
        <f t="shared" ref="V8:V12" si="8">IF(C8&gt;C$2,100,(C8-C$1)/(C$2-C$1)*100)</f>
        <v>0</v>
      </c>
      <c r="W8">
        <f t="shared" si="0"/>
        <v>0</v>
      </c>
      <c r="X8">
        <f t="shared" si="0"/>
        <v>0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0</v>
      </c>
      <c r="AC8">
        <f t="shared" si="0"/>
        <v>0</v>
      </c>
      <c r="AD8">
        <f t="shared" si="0"/>
        <v>0</v>
      </c>
      <c r="AE8">
        <f t="shared" si="0"/>
        <v>0</v>
      </c>
      <c r="AF8">
        <f t="shared" si="0"/>
        <v>16.795062395819254</v>
      </c>
      <c r="AG8">
        <f t="shared" ref="AG8:AG12" si="9">IF(N8&gt;N$2,100,(N8-N$1)/(N$2-N$1)*100)</f>
        <v>100</v>
      </c>
      <c r="AH8">
        <f t="shared" si="1"/>
        <v>66.666666666666657</v>
      </c>
      <c r="AI8">
        <f t="shared" si="2"/>
        <v>0</v>
      </c>
      <c r="AJ8">
        <f t="shared" si="3"/>
        <v>100</v>
      </c>
      <c r="AK8">
        <f t="shared" si="4"/>
        <v>100</v>
      </c>
      <c r="AL8">
        <f t="shared" si="5"/>
        <v>33.333333333333329</v>
      </c>
      <c r="AM8">
        <f t="shared" si="6"/>
        <v>7.4223245109321061</v>
      </c>
      <c r="AN8">
        <f t="shared" si="7"/>
        <v>0</v>
      </c>
      <c r="AO8">
        <f t="shared" ref="AO8:AO53" si="10">V8*V$3+W8*W$3+X8*X$3+Y8*Y$3+Z8*Z$3+AA8*AA$3+AB8*AB$3+AC8*AC$3+AD8*AD$3+AE8*AE$3</f>
        <v>0</v>
      </c>
      <c r="AP8">
        <f t="shared" ref="AP8:AP53" si="11">V8*V$4+W8*W$4+X8*X$4+Y8*Y$4+Z8*Z$4+AA8*AA$4+AB8*AB$4+AC8*AC$4+AD8*AD$4+AE8*AE$4</f>
        <v>0</v>
      </c>
      <c r="AQ8">
        <f t="shared" ref="AQ8:AQ53" si="12">AF8*AF$3+AH8*AH$3+AJ8*AJ$3+AK8*AK$3+AL8*AL$3+AN8*AN$3+AO8*AO$3</f>
        <v>33.574578777502452</v>
      </c>
      <c r="AR8">
        <f t="shared" ref="AR8:AR53" si="13">AG8*AG$3+AH8*AH$3+AJ8*AJ$3+AK8*AK$3+AL8*AL$3+AN8*AN$3+AO8*AO$3</f>
        <v>18.890428317158108</v>
      </c>
      <c r="AS8">
        <f t="shared" ref="AS8:AS53" si="14">AF8*AF$4+AH8*AH$4+AI8*AI$4+AJ8*AJ$4+AK8*AK$4+AL8*AL$4+AM8*AM$4+AN8*AN$4+AP8*AP$4</f>
        <v>-22.874635193635914</v>
      </c>
      <c r="AT8">
        <f t="shared" ref="AT8:AT53" si="15">AG8*AG$4+AH8*AH$4+AI8*AI$4+AJ8*AJ$4+AK8*AK$4+AL8*AL$4+AM8*AM$4+AN8*AN$4+AP8*AP$4</f>
        <v>-14.569005850265572</v>
      </c>
      <c r="AU8">
        <f t="shared" ref="AU8:AU53" si="16">(AQ8-$AS$2)/($AS$3-$AS$2)*100</f>
        <v>51.222750728786416</v>
      </c>
      <c r="AV8">
        <f t="shared" ref="AV8:AV53" si="17">(AR8-$AS$2)/($AS$3-$AS$2)*100</f>
        <v>36.538600268442067</v>
      </c>
      <c r="AW8">
        <f t="shared" ref="AW8:AW53" si="18">(AS8-$AT$2)/($AT$3-$AT$2)*100</f>
        <v>67.143229632029161</v>
      </c>
      <c r="AX8">
        <f t="shared" ref="AX8:AX53" si="19">(AT8-$AT$2)/($AT$3-$AT$2)*100</f>
        <v>75.448858975399517</v>
      </c>
      <c r="AZ8" t="s">
        <v>113</v>
      </c>
      <c r="BG8" t="s">
        <v>114</v>
      </c>
      <c r="BN8" t="s">
        <v>167</v>
      </c>
    </row>
    <row r="9" spans="1:71" x14ac:dyDescent="0.45">
      <c r="A9">
        <v>3</v>
      </c>
      <c r="B9">
        <v>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7</v>
      </c>
      <c r="M9">
        <v>3481</v>
      </c>
      <c r="N9">
        <v>38178</v>
      </c>
      <c r="O9">
        <v>1</v>
      </c>
      <c r="P9">
        <v>1</v>
      </c>
      <c r="Q9">
        <v>1</v>
      </c>
      <c r="R9">
        <v>4</v>
      </c>
      <c r="S9">
        <v>1</v>
      </c>
      <c r="T9">
        <v>52</v>
      </c>
      <c r="U9">
        <v>1</v>
      </c>
      <c r="V9">
        <f t="shared" si="8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  <c r="AC9">
        <f t="shared" si="0"/>
        <v>0</v>
      </c>
      <c r="AD9">
        <f t="shared" si="0"/>
        <v>0</v>
      </c>
      <c r="AE9">
        <f t="shared" si="0"/>
        <v>25</v>
      </c>
      <c r="AF9">
        <f t="shared" si="0"/>
        <v>15.682299409830158</v>
      </c>
      <c r="AG9">
        <f t="shared" si="9"/>
        <v>100</v>
      </c>
      <c r="AH9">
        <f t="shared" si="1"/>
        <v>0</v>
      </c>
      <c r="AI9">
        <f t="shared" si="2"/>
        <v>100</v>
      </c>
      <c r="AJ9">
        <f t="shared" si="3"/>
        <v>100</v>
      </c>
      <c r="AK9">
        <f t="shared" si="4"/>
        <v>100</v>
      </c>
      <c r="AL9">
        <f t="shared" si="5"/>
        <v>16.666666666666664</v>
      </c>
      <c r="AM9">
        <f t="shared" si="6"/>
        <v>1.4959723820483315</v>
      </c>
      <c r="AN9">
        <f t="shared" si="7"/>
        <v>0</v>
      </c>
      <c r="AO9">
        <f t="shared" si="10"/>
        <v>1.4479658064519927</v>
      </c>
      <c r="AP9">
        <f t="shared" si="11"/>
        <v>2.1541529945436095</v>
      </c>
      <c r="AQ9">
        <f t="shared" si="12"/>
        <v>23.404632901367041</v>
      </c>
      <c r="AR9">
        <f t="shared" si="13"/>
        <v>8.5241001158450924</v>
      </c>
      <c r="AS9">
        <f t="shared" si="14"/>
        <v>-28.65362156134476</v>
      </c>
      <c r="AT9">
        <f t="shared" si="15"/>
        <v>-20.236914712543022</v>
      </c>
      <c r="AU9">
        <f t="shared" si="16"/>
        <v>41.052804852651008</v>
      </c>
      <c r="AV9">
        <f t="shared" si="17"/>
        <v>26.172272067129061</v>
      </c>
      <c r="AW9">
        <f t="shared" si="18"/>
        <v>61.364243264320315</v>
      </c>
      <c r="AX9">
        <f t="shared" si="19"/>
        <v>69.78095011312206</v>
      </c>
      <c r="AZ9" t="s">
        <v>72</v>
      </c>
      <c r="BG9" t="s">
        <v>72</v>
      </c>
      <c r="BN9" t="s">
        <v>72</v>
      </c>
    </row>
    <row r="10" spans="1:71" x14ac:dyDescent="0.45">
      <c r="A10">
        <v>4</v>
      </c>
      <c r="B10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3733</v>
      </c>
      <c r="N10">
        <v>37087</v>
      </c>
      <c r="O10">
        <v>1</v>
      </c>
      <c r="P10">
        <v>1</v>
      </c>
      <c r="Q10">
        <v>0</v>
      </c>
      <c r="R10">
        <v>1</v>
      </c>
      <c r="S10">
        <v>1</v>
      </c>
      <c r="T10">
        <v>71</v>
      </c>
      <c r="U10">
        <v>1</v>
      </c>
      <c r="V10">
        <f t="shared" si="8"/>
        <v>0</v>
      </c>
      <c r="W10">
        <f t="shared" si="0"/>
        <v>0</v>
      </c>
      <c r="X10">
        <f t="shared" si="0"/>
        <v>0</v>
      </c>
      <c r="Y10">
        <f t="shared" si="0"/>
        <v>0</v>
      </c>
      <c r="Z10">
        <f t="shared" si="0"/>
        <v>0</v>
      </c>
      <c r="AA10">
        <f t="shared" si="0"/>
        <v>0</v>
      </c>
      <c r="AB10">
        <f t="shared" si="0"/>
        <v>0</v>
      </c>
      <c r="AC10">
        <f t="shared" si="0"/>
        <v>0</v>
      </c>
      <c r="AD10">
        <f t="shared" si="0"/>
        <v>0</v>
      </c>
      <c r="AE10">
        <f t="shared" si="0"/>
        <v>0</v>
      </c>
      <c r="AF10">
        <f t="shared" si="0"/>
        <v>16.817587962337253</v>
      </c>
      <c r="AG10">
        <f t="shared" si="9"/>
        <v>100</v>
      </c>
      <c r="AH10">
        <f t="shared" si="1"/>
        <v>0</v>
      </c>
      <c r="AI10">
        <f t="shared" si="2"/>
        <v>100</v>
      </c>
      <c r="AJ10">
        <f t="shared" si="3"/>
        <v>0</v>
      </c>
      <c r="AK10">
        <f t="shared" si="4"/>
        <v>25</v>
      </c>
      <c r="AL10">
        <f t="shared" si="5"/>
        <v>16.666666666666664</v>
      </c>
      <c r="AM10">
        <f t="shared" si="6"/>
        <v>2.0425776754890679</v>
      </c>
      <c r="AN10">
        <f t="shared" si="7"/>
        <v>0</v>
      </c>
      <c r="AO10">
        <f t="shared" si="10"/>
        <v>0</v>
      </c>
      <c r="AP10">
        <f t="shared" si="11"/>
        <v>0</v>
      </c>
      <c r="AQ10">
        <f t="shared" si="12"/>
        <v>3.0964715121990403</v>
      </c>
      <c r="AR10">
        <f t="shared" si="13"/>
        <v>-11.58370359743321</v>
      </c>
      <c r="AS10">
        <f t="shared" si="14"/>
        <v>-15.829730642283446</v>
      </c>
      <c r="AT10">
        <f t="shared" si="15"/>
        <v>-7.5263498314117125</v>
      </c>
      <c r="AU10">
        <f t="shared" si="16"/>
        <v>20.744643463483005</v>
      </c>
      <c r="AV10">
        <f t="shared" si="17"/>
        <v>6.0644683538507529</v>
      </c>
      <c r="AW10">
        <f t="shared" si="18"/>
        <v>74.188134183381621</v>
      </c>
      <c r="AX10">
        <f t="shared" si="19"/>
        <v>82.491514994253379</v>
      </c>
      <c r="AZ10" t="s">
        <v>73</v>
      </c>
      <c r="BA10" t="s">
        <v>67</v>
      </c>
      <c r="BB10" t="s">
        <v>74</v>
      </c>
      <c r="BC10" t="s">
        <v>75</v>
      </c>
      <c r="BD10" t="s">
        <v>76</v>
      </c>
      <c r="BE10" t="s">
        <v>77</v>
      </c>
      <c r="BG10" t="s">
        <v>73</v>
      </c>
      <c r="BH10" t="s">
        <v>67</v>
      </c>
      <c r="BI10" t="s">
        <v>74</v>
      </c>
      <c r="BJ10" t="s">
        <v>75</v>
      </c>
      <c r="BK10" t="s">
        <v>76</v>
      </c>
      <c r="BL10" t="s">
        <v>77</v>
      </c>
      <c r="BN10" t="s">
        <v>73</v>
      </c>
      <c r="BO10" t="s">
        <v>67</v>
      </c>
      <c r="BP10" t="s">
        <v>74</v>
      </c>
      <c r="BQ10" t="s">
        <v>75</v>
      </c>
      <c r="BR10" t="s">
        <v>76</v>
      </c>
      <c r="BS10" t="s">
        <v>77</v>
      </c>
    </row>
    <row r="11" spans="1:71" x14ac:dyDescent="0.45">
      <c r="A11">
        <v>5</v>
      </c>
      <c r="B11">
        <v>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4118</v>
      </c>
      <c r="N11">
        <v>36679</v>
      </c>
      <c r="O11">
        <v>1</v>
      </c>
      <c r="P11">
        <v>1</v>
      </c>
      <c r="Q11">
        <v>0</v>
      </c>
      <c r="R11">
        <v>1</v>
      </c>
      <c r="S11">
        <v>1</v>
      </c>
      <c r="T11">
        <v>117</v>
      </c>
      <c r="U11">
        <v>1</v>
      </c>
      <c r="V11">
        <f t="shared" si="8"/>
        <v>0</v>
      </c>
      <c r="W11">
        <f t="shared" si="0"/>
        <v>0</v>
      </c>
      <c r="X11">
        <f t="shared" si="0"/>
        <v>0</v>
      </c>
      <c r="Y11">
        <f t="shared" si="0"/>
        <v>0</v>
      </c>
      <c r="Z11">
        <f t="shared" si="0"/>
        <v>0</v>
      </c>
      <c r="AA11">
        <f t="shared" si="0"/>
        <v>0</v>
      </c>
      <c r="AB11">
        <f t="shared" si="0"/>
        <v>0</v>
      </c>
      <c r="AC11">
        <f t="shared" si="0"/>
        <v>0</v>
      </c>
      <c r="AD11">
        <f t="shared" si="0"/>
        <v>0</v>
      </c>
      <c r="AE11">
        <f t="shared" si="0"/>
        <v>0</v>
      </c>
      <c r="AF11">
        <f t="shared" si="0"/>
        <v>18.552056584223092</v>
      </c>
      <c r="AG11">
        <f t="shared" si="9"/>
        <v>100</v>
      </c>
      <c r="AH11">
        <f t="shared" si="1"/>
        <v>0</v>
      </c>
      <c r="AI11">
        <f t="shared" si="2"/>
        <v>100</v>
      </c>
      <c r="AJ11">
        <f t="shared" si="3"/>
        <v>0</v>
      </c>
      <c r="AK11">
        <f t="shared" si="4"/>
        <v>25</v>
      </c>
      <c r="AL11">
        <f t="shared" si="5"/>
        <v>16.666666666666664</v>
      </c>
      <c r="AM11">
        <f t="shared" si="6"/>
        <v>3.3659378596087453</v>
      </c>
      <c r="AN11">
        <f t="shared" si="7"/>
        <v>0</v>
      </c>
      <c r="AO11">
        <f t="shared" si="10"/>
        <v>0</v>
      </c>
      <c r="AP11">
        <f t="shared" si="11"/>
        <v>0</v>
      </c>
      <c r="AQ11">
        <f t="shared" si="12"/>
        <v>2.7903695073675618</v>
      </c>
      <c r="AR11">
        <f t="shared" si="13"/>
        <v>-11.58370359743321</v>
      </c>
      <c r="AS11">
        <f t="shared" si="14"/>
        <v>-15.825006510148439</v>
      </c>
      <c r="AT11">
        <f t="shared" si="15"/>
        <v>-7.6947627016697755</v>
      </c>
      <c r="AU11">
        <f t="shared" si="16"/>
        <v>20.438541458651525</v>
      </c>
      <c r="AV11">
        <f t="shared" si="17"/>
        <v>6.0644683538507529</v>
      </c>
      <c r="AW11">
        <f t="shared" si="18"/>
        <v>74.192858315516645</v>
      </c>
      <c r="AX11">
        <f t="shared" si="19"/>
        <v>82.323102123995312</v>
      </c>
      <c r="AZ11" s="3" t="s">
        <v>78</v>
      </c>
      <c r="BA11" s="3" t="s">
        <v>71</v>
      </c>
      <c r="BB11" s="3" t="s">
        <v>79</v>
      </c>
      <c r="BC11" s="3">
        <v>3</v>
      </c>
      <c r="BD11" t="s">
        <v>110</v>
      </c>
      <c r="BE11" t="s">
        <v>80</v>
      </c>
      <c r="BG11" s="3" t="s">
        <v>78</v>
      </c>
      <c r="BH11" s="3" t="s">
        <v>71</v>
      </c>
      <c r="BI11" s="3" t="s">
        <v>79</v>
      </c>
      <c r="BJ11" s="3">
        <v>0</v>
      </c>
      <c r="BK11" t="s">
        <v>110</v>
      </c>
      <c r="BL11" t="s">
        <v>80</v>
      </c>
      <c r="BN11" s="3" t="s">
        <v>78</v>
      </c>
      <c r="BO11" s="3" t="s">
        <v>71</v>
      </c>
      <c r="BP11" s="3" t="s">
        <v>79</v>
      </c>
      <c r="BQ11" s="3">
        <v>0</v>
      </c>
      <c r="BR11" t="s">
        <v>110</v>
      </c>
      <c r="BS11" t="s">
        <v>80</v>
      </c>
    </row>
    <row r="12" spans="1:71" x14ac:dyDescent="0.45">
      <c r="A12">
        <v>6</v>
      </c>
      <c r="B12">
        <v>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3831</v>
      </c>
      <c r="N12">
        <v>36854</v>
      </c>
      <c r="O12">
        <v>1</v>
      </c>
      <c r="P12">
        <v>1</v>
      </c>
      <c r="Q12">
        <v>1</v>
      </c>
      <c r="R12">
        <v>2</v>
      </c>
      <c r="S12">
        <v>1</v>
      </c>
      <c r="T12">
        <v>176</v>
      </c>
      <c r="U12">
        <v>1</v>
      </c>
      <c r="V12">
        <f t="shared" si="8"/>
        <v>0</v>
      </c>
      <c r="W12">
        <f t="shared" si="0"/>
        <v>0</v>
      </c>
      <c r="X12">
        <f t="shared" si="0"/>
        <v>0</v>
      </c>
      <c r="Y12">
        <f t="shared" si="0"/>
        <v>0</v>
      </c>
      <c r="Z12">
        <f t="shared" si="0"/>
        <v>0</v>
      </c>
      <c r="AA12">
        <f t="shared" si="0"/>
        <v>0</v>
      </c>
      <c r="AB12">
        <f t="shared" si="0"/>
        <v>0</v>
      </c>
      <c r="AC12">
        <f t="shared" si="0"/>
        <v>0</v>
      </c>
      <c r="AD12">
        <f t="shared" si="0"/>
        <v>0</v>
      </c>
      <c r="AE12">
        <f t="shared" si="0"/>
        <v>3.5714285714285712</v>
      </c>
      <c r="AF12">
        <f t="shared" si="0"/>
        <v>17.259089066090009</v>
      </c>
      <c r="AG12">
        <f t="shared" si="9"/>
        <v>100</v>
      </c>
      <c r="AH12">
        <f t="shared" si="1"/>
        <v>0</v>
      </c>
      <c r="AI12">
        <f t="shared" si="2"/>
        <v>100</v>
      </c>
      <c r="AJ12">
        <f t="shared" si="3"/>
        <v>100</v>
      </c>
      <c r="AK12">
        <f t="shared" si="4"/>
        <v>50</v>
      </c>
      <c r="AL12">
        <f t="shared" si="5"/>
        <v>16.666666666666664</v>
      </c>
      <c r="AM12">
        <f t="shared" si="6"/>
        <v>5.0632911392405067</v>
      </c>
      <c r="AN12">
        <f t="shared" si="7"/>
        <v>0</v>
      </c>
      <c r="AO12">
        <f t="shared" si="10"/>
        <v>0.20685225806457036</v>
      </c>
      <c r="AP12">
        <f t="shared" si="11"/>
        <v>0.30773614207765848</v>
      </c>
      <c r="AQ12">
        <f t="shared" si="12"/>
        <v>15.548653735615396</v>
      </c>
      <c r="AR12">
        <f t="shared" si="13"/>
        <v>0.94639549994024685</v>
      </c>
      <c r="AS12">
        <f t="shared" si="14"/>
        <v>-23.92655976045647</v>
      </c>
      <c r="AT12">
        <f t="shared" si="15"/>
        <v>-15.667250186557517</v>
      </c>
      <c r="AU12">
        <f t="shared" si="16"/>
        <v>33.196825686899359</v>
      </c>
      <c r="AV12">
        <f t="shared" si="17"/>
        <v>18.594567451224211</v>
      </c>
      <c r="AW12">
        <f t="shared" si="18"/>
        <v>66.091305065208601</v>
      </c>
      <c r="AX12">
        <f t="shared" si="19"/>
        <v>74.350614639107576</v>
      </c>
      <c r="AZ12" s="4" t="s">
        <v>78</v>
      </c>
      <c r="BA12" s="4" t="s">
        <v>70</v>
      </c>
      <c r="BB12" s="4" t="s">
        <v>81</v>
      </c>
      <c r="BC12" s="4">
        <v>4</v>
      </c>
      <c r="BD12" t="s">
        <v>111</v>
      </c>
      <c r="BE12" t="s">
        <v>82</v>
      </c>
      <c r="BG12" s="4" t="s">
        <v>78</v>
      </c>
      <c r="BH12" s="4" t="s">
        <v>70</v>
      </c>
      <c r="BI12" s="4" t="s">
        <v>81</v>
      </c>
      <c r="BJ12" s="4">
        <v>0</v>
      </c>
      <c r="BK12" t="s">
        <v>111</v>
      </c>
      <c r="BL12" t="s">
        <v>82</v>
      </c>
      <c r="BN12" s="4" t="s">
        <v>78</v>
      </c>
      <c r="BO12" s="4" t="s">
        <v>70</v>
      </c>
      <c r="BP12" s="4" t="s">
        <v>81</v>
      </c>
      <c r="BQ12" s="4">
        <v>0</v>
      </c>
      <c r="BR12" t="s">
        <v>111</v>
      </c>
      <c r="BS12" t="s">
        <v>82</v>
      </c>
    </row>
    <row r="13" spans="1:71" x14ac:dyDescent="0.45">
      <c r="A13">
        <v>7</v>
      </c>
      <c r="B13">
        <v>7</v>
      </c>
      <c r="C13">
        <v>1</v>
      </c>
      <c r="D13">
        <v>1</v>
      </c>
      <c r="E13">
        <v>0</v>
      </c>
      <c r="F13">
        <v>2</v>
      </c>
      <c r="G13">
        <v>4</v>
      </c>
      <c r="H13">
        <v>1</v>
      </c>
      <c r="I13">
        <v>0</v>
      </c>
      <c r="J13">
        <v>0</v>
      </c>
      <c r="K13">
        <v>0</v>
      </c>
      <c r="L13">
        <v>7</v>
      </c>
      <c r="M13">
        <v>3042</v>
      </c>
      <c r="N13">
        <v>37524</v>
      </c>
      <c r="O13">
        <v>1</v>
      </c>
      <c r="P13">
        <v>0</v>
      </c>
      <c r="Q13">
        <v>1</v>
      </c>
      <c r="R13">
        <v>4</v>
      </c>
      <c r="S13">
        <v>1</v>
      </c>
      <c r="T13">
        <v>216</v>
      </c>
      <c r="U13">
        <v>1</v>
      </c>
      <c r="V13">
        <f>IF(C13&gt;C$2,100,(C13-C$1)/(C$2-C$1)*100)</f>
        <v>11.111111111111111</v>
      </c>
      <c r="W13">
        <f t="shared" si="0"/>
        <v>10</v>
      </c>
      <c r="X13">
        <f t="shared" si="0"/>
        <v>0</v>
      </c>
      <c r="Y13">
        <f t="shared" si="0"/>
        <v>8.3333333333333321</v>
      </c>
      <c r="Z13">
        <f t="shared" si="0"/>
        <v>13.793103448275861</v>
      </c>
      <c r="AA13">
        <f t="shared" si="0"/>
        <v>1.8867924528301887</v>
      </c>
      <c r="AB13">
        <f t="shared" si="0"/>
        <v>0</v>
      </c>
      <c r="AC13">
        <f t="shared" si="0"/>
        <v>0</v>
      </c>
      <c r="AD13">
        <f t="shared" si="0"/>
        <v>0</v>
      </c>
      <c r="AE13">
        <f t="shared" si="0"/>
        <v>25</v>
      </c>
      <c r="AF13">
        <f t="shared" si="0"/>
        <v>13.704554669549939</v>
      </c>
      <c r="AG13">
        <f>IF(N13&gt;N$2,100,(N13-N$1)/(N$2-N$1)*100)</f>
        <v>100</v>
      </c>
      <c r="AH13">
        <f t="shared" si="1"/>
        <v>0</v>
      </c>
      <c r="AI13">
        <f t="shared" si="2"/>
        <v>0</v>
      </c>
      <c r="AJ13">
        <f t="shared" si="3"/>
        <v>100</v>
      </c>
      <c r="AK13">
        <f t="shared" si="4"/>
        <v>100</v>
      </c>
      <c r="AL13">
        <f t="shared" si="5"/>
        <v>16.666666666666664</v>
      </c>
      <c r="AM13">
        <f t="shared" si="6"/>
        <v>6.2140391254315306</v>
      </c>
      <c r="AN13">
        <f t="shared" si="7"/>
        <v>0</v>
      </c>
      <c r="AO13">
        <f t="shared" si="10"/>
        <v>6.2991904666108276</v>
      </c>
      <c r="AP13">
        <f t="shared" si="11"/>
        <v>6.2379680321447228</v>
      </c>
      <c r="AQ13">
        <f t="shared" si="12"/>
        <v>24.986681906395347</v>
      </c>
      <c r="AR13">
        <f t="shared" si="13"/>
        <v>9.7571133283512737</v>
      </c>
      <c r="AS13">
        <f t="shared" si="14"/>
        <v>-17.249093942669202</v>
      </c>
      <c r="AT13">
        <f t="shared" si="15"/>
        <v>-8.6349659404893906</v>
      </c>
      <c r="AU13">
        <f t="shared" si="16"/>
        <v>42.63485385767931</v>
      </c>
      <c r="AV13">
        <f t="shared" si="17"/>
        <v>27.405285279635237</v>
      </c>
      <c r="AW13">
        <f t="shared" si="18"/>
        <v>72.768770882995881</v>
      </c>
      <c r="AX13">
        <f t="shared" si="19"/>
        <v>81.382898885175692</v>
      </c>
      <c r="AZ13" s="5" t="s">
        <v>78</v>
      </c>
      <c r="BA13" s="5" t="s">
        <v>83</v>
      </c>
      <c r="BB13" s="5" t="s">
        <v>84</v>
      </c>
      <c r="BC13" s="5">
        <v>0</v>
      </c>
      <c r="BD13" t="s">
        <v>112</v>
      </c>
      <c r="BE13" t="s">
        <v>85</v>
      </c>
      <c r="BG13" s="5" t="s">
        <v>78</v>
      </c>
      <c r="BH13" s="5" t="s">
        <v>83</v>
      </c>
      <c r="BI13" s="5" t="s">
        <v>84</v>
      </c>
      <c r="BJ13" s="5">
        <v>0</v>
      </c>
      <c r="BK13" t="s">
        <v>112</v>
      </c>
      <c r="BL13" t="s">
        <v>85</v>
      </c>
      <c r="BN13" s="5" t="s">
        <v>78</v>
      </c>
      <c r="BO13" s="5" t="s">
        <v>83</v>
      </c>
      <c r="BP13" s="5" t="s">
        <v>84</v>
      </c>
      <c r="BQ13" s="5">
        <v>0</v>
      </c>
      <c r="BR13" t="s">
        <v>112</v>
      </c>
      <c r="BS13" t="s">
        <v>85</v>
      </c>
    </row>
    <row r="14" spans="1:71" x14ac:dyDescent="0.45">
      <c r="A14">
        <v>8</v>
      </c>
      <c r="B14">
        <v>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2159</v>
      </c>
      <c r="N14">
        <v>38253</v>
      </c>
      <c r="O14">
        <v>1</v>
      </c>
      <c r="P14">
        <v>0</v>
      </c>
      <c r="Q14">
        <v>1</v>
      </c>
      <c r="R14">
        <v>4</v>
      </c>
      <c r="S14">
        <v>2</v>
      </c>
      <c r="T14">
        <v>98</v>
      </c>
      <c r="U14">
        <v>1</v>
      </c>
      <c r="V14">
        <f>IF(C14&gt;C$2,100,(C14-C$1)/(C$2-C$1)*100)</f>
        <v>0</v>
      </c>
      <c r="W14">
        <f t="shared" si="0"/>
        <v>0</v>
      </c>
      <c r="X14">
        <f t="shared" si="0"/>
        <v>0</v>
      </c>
      <c r="Y14">
        <f t="shared" si="0"/>
        <v>0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si="0"/>
        <v>0</v>
      </c>
      <c r="AE14">
        <f t="shared" si="0"/>
        <v>3.5714285714285712</v>
      </c>
      <c r="AF14">
        <f t="shared" si="0"/>
        <v>9.7265396224715062</v>
      </c>
      <c r="AG14">
        <f>IF(N14&gt;N$2,100,(N14-N$1)/(N$2-N$1)*100)</f>
        <v>100</v>
      </c>
      <c r="AH14">
        <f t="shared" si="1"/>
        <v>0</v>
      </c>
      <c r="AI14">
        <f t="shared" si="2"/>
        <v>0</v>
      </c>
      <c r="AJ14">
        <f t="shared" si="3"/>
        <v>100</v>
      </c>
      <c r="AK14">
        <f t="shared" si="4"/>
        <v>100</v>
      </c>
      <c r="AL14">
        <f t="shared" si="5"/>
        <v>33.333333333333329</v>
      </c>
      <c r="AM14">
        <f t="shared" si="6"/>
        <v>2.8193325661680091</v>
      </c>
      <c r="AN14">
        <f t="shared" si="7"/>
        <v>0</v>
      </c>
      <c r="AO14">
        <f t="shared" si="10"/>
        <v>0.20685225806457036</v>
      </c>
      <c r="AP14">
        <f t="shared" si="11"/>
        <v>0.30773614207765848</v>
      </c>
      <c r="AQ14">
        <f t="shared" si="12"/>
        <v>26.573607645985913</v>
      </c>
      <c r="AR14">
        <f t="shared" si="13"/>
        <v>10.641992132185489</v>
      </c>
      <c r="AS14">
        <f t="shared" si="14"/>
        <v>-17.525502008614122</v>
      </c>
      <c r="AT14">
        <f t="shared" si="15"/>
        <v>-8.514283167179558</v>
      </c>
      <c r="AU14">
        <f t="shared" si="16"/>
        <v>44.221779597269872</v>
      </c>
      <c r="AV14">
        <f t="shared" si="17"/>
        <v>28.290164083469456</v>
      </c>
      <c r="AW14">
        <f t="shared" si="18"/>
        <v>72.49236281705096</v>
      </c>
      <c r="AX14">
        <f t="shared" si="19"/>
        <v>81.50358165848553</v>
      </c>
      <c r="AZ14" s="6" t="s">
        <v>68</v>
      </c>
      <c r="BA14" s="6" t="s">
        <v>71</v>
      </c>
      <c r="BB14" s="6" t="s">
        <v>86</v>
      </c>
      <c r="BC14" s="6">
        <v>3</v>
      </c>
      <c r="BD14" t="s">
        <v>87</v>
      </c>
      <c r="BE14" t="s">
        <v>88</v>
      </c>
      <c r="BG14" s="6" t="s">
        <v>68</v>
      </c>
      <c r="BH14" s="6" t="s">
        <v>71</v>
      </c>
      <c r="BI14" s="6" t="s">
        <v>86</v>
      </c>
      <c r="BJ14" s="6">
        <v>0</v>
      </c>
      <c r="BK14" t="s">
        <v>87</v>
      </c>
      <c r="BL14" t="s">
        <v>88</v>
      </c>
      <c r="BN14" s="6" t="s">
        <v>68</v>
      </c>
      <c r="BO14" s="6" t="s">
        <v>71</v>
      </c>
      <c r="BP14" s="6" t="s">
        <v>86</v>
      </c>
      <c r="BQ14" s="6">
        <v>3</v>
      </c>
      <c r="BR14" t="s">
        <v>87</v>
      </c>
      <c r="BS14" t="s">
        <v>88</v>
      </c>
    </row>
    <row r="15" spans="1:71" x14ac:dyDescent="0.45">
      <c r="A15">
        <v>12</v>
      </c>
      <c r="B15">
        <v>12</v>
      </c>
      <c r="C15">
        <v>2</v>
      </c>
      <c r="D15">
        <v>2</v>
      </c>
      <c r="E15">
        <v>1</v>
      </c>
      <c r="F15">
        <v>3</v>
      </c>
      <c r="G15">
        <v>9</v>
      </c>
      <c r="H15">
        <v>5</v>
      </c>
      <c r="I15">
        <v>0</v>
      </c>
      <c r="J15">
        <v>0</v>
      </c>
      <c r="K15">
        <v>1</v>
      </c>
      <c r="L15">
        <v>3</v>
      </c>
      <c r="M15">
        <v>1143</v>
      </c>
      <c r="N15">
        <v>40845</v>
      </c>
      <c r="O15">
        <v>1</v>
      </c>
      <c r="P15">
        <v>0</v>
      </c>
      <c r="Q15">
        <v>1</v>
      </c>
      <c r="R15">
        <v>4</v>
      </c>
      <c r="S15">
        <v>2</v>
      </c>
      <c r="T15">
        <v>291</v>
      </c>
      <c r="U15">
        <v>1</v>
      </c>
      <c r="V15">
        <f t="shared" ref="V15:V53" si="20">IF(C15&gt;C$2,100,(C15-C$1)/(C$2-C$1)*100)</f>
        <v>22.222222222222221</v>
      </c>
      <c r="W15">
        <f t="shared" si="0"/>
        <v>20</v>
      </c>
      <c r="X15">
        <f t="shared" si="0"/>
        <v>33.333333333333329</v>
      </c>
      <c r="Y15">
        <f t="shared" si="0"/>
        <v>12.5</v>
      </c>
      <c r="Z15">
        <f t="shared" si="0"/>
        <v>31.03448275862069</v>
      </c>
      <c r="AA15">
        <f t="shared" si="0"/>
        <v>9.433962264150944</v>
      </c>
      <c r="AB15">
        <f t="shared" si="0"/>
        <v>0</v>
      </c>
      <c r="AC15">
        <f t="shared" si="0"/>
        <v>0</v>
      </c>
      <c r="AD15">
        <f t="shared" si="0"/>
        <v>7.1428571428571423</v>
      </c>
      <c r="AE15">
        <f t="shared" si="0"/>
        <v>10.714285714285714</v>
      </c>
      <c r="AF15">
        <f t="shared" si="0"/>
        <v>5.1493445060143266</v>
      </c>
      <c r="AG15">
        <f t="shared" ref="AG15:AG53" si="21">IF(N15&gt;N$2,100,(N15-N$1)/(N$2-N$1)*100)</f>
        <v>100</v>
      </c>
      <c r="AH15">
        <f t="shared" si="1"/>
        <v>0</v>
      </c>
      <c r="AI15">
        <f t="shared" si="2"/>
        <v>0</v>
      </c>
      <c r="AJ15">
        <f t="shared" si="3"/>
        <v>100</v>
      </c>
      <c r="AK15">
        <f t="shared" si="4"/>
        <v>100</v>
      </c>
      <c r="AL15">
        <f t="shared" si="5"/>
        <v>33.333333333333329</v>
      </c>
      <c r="AM15">
        <f t="shared" si="6"/>
        <v>8.3716915995396999</v>
      </c>
      <c r="AN15">
        <f t="shared" si="7"/>
        <v>0</v>
      </c>
      <c r="AO15">
        <f t="shared" si="10"/>
        <v>14.0130111682322</v>
      </c>
      <c r="AP15">
        <f t="shared" si="11"/>
        <v>12.952315916700137</v>
      </c>
      <c r="AQ15">
        <f t="shared" si="12"/>
        <v>30.890446118907814</v>
      </c>
      <c r="AR15">
        <f t="shared" si="13"/>
        <v>14.151039340409252</v>
      </c>
      <c r="AS15">
        <f t="shared" si="14"/>
        <v>-21.781022317322247</v>
      </c>
      <c r="AT15">
        <f t="shared" si="15"/>
        <v>-12.312901672169872</v>
      </c>
      <c r="AU15">
        <f t="shared" si="16"/>
        <v>48.538618070191774</v>
      </c>
      <c r="AV15">
        <f t="shared" si="17"/>
        <v>31.799211291693215</v>
      </c>
      <c r="AW15">
        <f t="shared" si="18"/>
        <v>68.236842508342832</v>
      </c>
      <c r="AX15">
        <f t="shared" si="19"/>
        <v>77.704963153495214</v>
      </c>
      <c r="AZ15" s="7" t="s">
        <v>68</v>
      </c>
      <c r="BA15" s="7" t="s">
        <v>70</v>
      </c>
      <c r="BB15" s="7" t="s">
        <v>89</v>
      </c>
      <c r="BC15" s="7">
        <v>29</v>
      </c>
      <c r="BD15" t="s">
        <v>90</v>
      </c>
      <c r="BE15" t="s">
        <v>91</v>
      </c>
      <c r="BG15" s="7" t="s">
        <v>68</v>
      </c>
      <c r="BH15" s="7" t="s">
        <v>70</v>
      </c>
      <c r="BI15" s="7" t="s">
        <v>89</v>
      </c>
      <c r="BJ15" s="7">
        <v>24</v>
      </c>
      <c r="BK15" t="s">
        <v>90</v>
      </c>
      <c r="BL15" t="s">
        <v>91</v>
      </c>
      <c r="BN15" s="7" t="s">
        <v>68</v>
      </c>
      <c r="BO15" s="7" t="s">
        <v>70</v>
      </c>
      <c r="BP15" s="7" t="s">
        <v>89</v>
      </c>
      <c r="BQ15" s="7">
        <v>36</v>
      </c>
      <c r="BR15" t="s">
        <v>90</v>
      </c>
      <c r="BS15" t="s">
        <v>91</v>
      </c>
    </row>
    <row r="16" spans="1:71" x14ac:dyDescent="0.45">
      <c r="A16">
        <v>13</v>
      </c>
      <c r="B16">
        <v>13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</v>
      </c>
      <c r="M16">
        <v>1490</v>
      </c>
      <c r="N16">
        <v>41359</v>
      </c>
      <c r="O16">
        <v>1</v>
      </c>
      <c r="P16">
        <v>1</v>
      </c>
      <c r="Q16">
        <v>1</v>
      </c>
      <c r="R16">
        <v>4</v>
      </c>
      <c r="S16">
        <v>2</v>
      </c>
      <c r="T16">
        <v>280</v>
      </c>
      <c r="U16">
        <v>1</v>
      </c>
      <c r="V16">
        <f t="shared" si="20"/>
        <v>0</v>
      </c>
      <c r="W16">
        <f t="shared" si="0"/>
        <v>0</v>
      </c>
      <c r="X16">
        <f t="shared" si="0"/>
        <v>0</v>
      </c>
      <c r="Y16">
        <f t="shared" si="0"/>
        <v>0</v>
      </c>
      <c r="Z16">
        <f t="shared" si="0"/>
        <v>0</v>
      </c>
      <c r="AA16">
        <f t="shared" si="0"/>
        <v>0</v>
      </c>
      <c r="AB16">
        <f t="shared" si="0"/>
        <v>0</v>
      </c>
      <c r="AC16">
        <f t="shared" si="0"/>
        <v>0</v>
      </c>
      <c r="AD16">
        <f t="shared" si="0"/>
        <v>0</v>
      </c>
      <c r="AE16">
        <f t="shared" si="0"/>
        <v>7.1428571428571423</v>
      </c>
      <c r="AF16">
        <f t="shared" si="0"/>
        <v>6.7126188223633827</v>
      </c>
      <c r="AG16">
        <f t="shared" si="21"/>
        <v>100</v>
      </c>
      <c r="AH16">
        <f t="shared" si="1"/>
        <v>0</v>
      </c>
      <c r="AI16">
        <f t="shared" si="2"/>
        <v>100</v>
      </c>
      <c r="AJ16">
        <f t="shared" si="3"/>
        <v>100</v>
      </c>
      <c r="AK16">
        <f t="shared" si="4"/>
        <v>100</v>
      </c>
      <c r="AL16">
        <f t="shared" si="5"/>
        <v>33.333333333333329</v>
      </c>
      <c r="AM16">
        <f t="shared" si="6"/>
        <v>8.0552359033371701</v>
      </c>
      <c r="AN16">
        <f t="shared" si="7"/>
        <v>0</v>
      </c>
      <c r="AO16">
        <f t="shared" si="10"/>
        <v>0.41370451612914072</v>
      </c>
      <c r="AP16">
        <f t="shared" si="11"/>
        <v>0.61547228415531696</v>
      </c>
      <c r="AQ16">
        <f t="shared" si="12"/>
        <v>27.158084247783819</v>
      </c>
      <c r="AR16">
        <f t="shared" si="13"/>
        <v>10.694566808704801</v>
      </c>
      <c r="AS16">
        <f t="shared" si="14"/>
        <v>-31.768941169635966</v>
      </c>
      <c r="AT16">
        <f t="shared" si="15"/>
        <v>-22.456868679887215</v>
      </c>
      <c r="AU16">
        <f t="shared" si="16"/>
        <v>44.806256199067782</v>
      </c>
      <c r="AV16">
        <f t="shared" si="17"/>
        <v>28.342738759988762</v>
      </c>
      <c r="AW16">
        <f t="shared" si="18"/>
        <v>58.24892365602912</v>
      </c>
      <c r="AX16">
        <f t="shared" si="19"/>
        <v>67.560996145777878</v>
      </c>
      <c r="AZ16" s="8" t="s">
        <v>68</v>
      </c>
      <c r="BA16" s="8" t="s">
        <v>83</v>
      </c>
      <c r="BB16" s="8" t="s">
        <v>92</v>
      </c>
      <c r="BC16" s="8">
        <v>8</v>
      </c>
      <c r="BD16" t="s">
        <v>93</v>
      </c>
      <c r="BE16" t="s">
        <v>94</v>
      </c>
      <c r="BG16" s="8" t="s">
        <v>68</v>
      </c>
      <c r="BH16" s="8" t="s">
        <v>83</v>
      </c>
      <c r="BI16" s="8" t="s">
        <v>92</v>
      </c>
      <c r="BJ16" s="8">
        <v>14</v>
      </c>
      <c r="BK16" t="s">
        <v>93</v>
      </c>
      <c r="BL16" t="s">
        <v>94</v>
      </c>
      <c r="BN16" s="8" t="s">
        <v>68</v>
      </c>
      <c r="BO16" s="8" t="s">
        <v>83</v>
      </c>
      <c r="BP16" s="8" t="s">
        <v>92</v>
      </c>
      <c r="BQ16" s="8">
        <v>8</v>
      </c>
      <c r="BR16" t="s">
        <v>93</v>
      </c>
      <c r="BS16" t="s">
        <v>94</v>
      </c>
    </row>
    <row r="17" spans="1:71" x14ac:dyDescent="0.45">
      <c r="A17">
        <v>14</v>
      </c>
      <c r="B17">
        <v>14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</v>
      </c>
      <c r="M17">
        <v>1076</v>
      </c>
      <c r="N17">
        <v>41085</v>
      </c>
      <c r="O17">
        <v>3</v>
      </c>
      <c r="P17">
        <v>1</v>
      </c>
      <c r="Q17">
        <v>1</v>
      </c>
      <c r="R17">
        <v>4</v>
      </c>
      <c r="S17">
        <v>2</v>
      </c>
      <c r="T17">
        <v>238</v>
      </c>
      <c r="U17">
        <v>1</v>
      </c>
      <c r="V17">
        <f t="shared" si="20"/>
        <v>11.111111111111111</v>
      </c>
      <c r="W17">
        <f t="shared" si="0"/>
        <v>0</v>
      </c>
      <c r="X17">
        <f t="shared" si="0"/>
        <v>0</v>
      </c>
      <c r="Y17">
        <f t="shared" si="0"/>
        <v>0</v>
      </c>
      <c r="Z17">
        <f t="shared" si="0"/>
        <v>0</v>
      </c>
      <c r="AA17">
        <f t="shared" si="0"/>
        <v>0</v>
      </c>
      <c r="AB17">
        <f t="shared" si="0"/>
        <v>0</v>
      </c>
      <c r="AC17">
        <f t="shared" si="0"/>
        <v>0</v>
      </c>
      <c r="AD17">
        <f t="shared" si="0"/>
        <v>0</v>
      </c>
      <c r="AE17">
        <f t="shared" si="0"/>
        <v>14.285714285714285</v>
      </c>
      <c r="AF17">
        <f t="shared" si="0"/>
        <v>4.8475019146731535</v>
      </c>
      <c r="AG17">
        <f t="shared" si="21"/>
        <v>100</v>
      </c>
      <c r="AH17">
        <f t="shared" si="1"/>
        <v>66.666666666666657</v>
      </c>
      <c r="AI17">
        <f t="shared" si="2"/>
        <v>100</v>
      </c>
      <c r="AJ17">
        <f t="shared" si="3"/>
        <v>100</v>
      </c>
      <c r="AK17">
        <f t="shared" si="4"/>
        <v>100</v>
      </c>
      <c r="AL17">
        <f t="shared" si="5"/>
        <v>33.333333333333329</v>
      </c>
      <c r="AM17">
        <f t="shared" si="6"/>
        <v>6.8469505178365937</v>
      </c>
      <c r="AN17">
        <f t="shared" si="7"/>
        <v>0</v>
      </c>
      <c r="AO17">
        <f t="shared" si="10"/>
        <v>2.287785255410693</v>
      </c>
      <c r="AP17">
        <f t="shared" si="11"/>
        <v>2.559043884660837</v>
      </c>
      <c r="AQ17">
        <f t="shared" si="12"/>
        <v>36.264580534812495</v>
      </c>
      <c r="AR17">
        <f t="shared" si="13"/>
        <v>19.471904056771834</v>
      </c>
      <c r="AS17">
        <f t="shared" si="14"/>
        <v>-37.820809148781699</v>
      </c>
      <c r="AT17">
        <f t="shared" si="15"/>
        <v>-28.322558168147928</v>
      </c>
      <c r="AU17">
        <f t="shared" si="16"/>
        <v>53.912752486096458</v>
      </c>
      <c r="AV17">
        <f t="shared" si="17"/>
        <v>37.120076008055797</v>
      </c>
      <c r="AW17">
        <f t="shared" si="18"/>
        <v>52.197055676883387</v>
      </c>
      <c r="AX17">
        <f t="shared" si="19"/>
        <v>61.695306657517158</v>
      </c>
      <c r="AZ17" s="5" t="s">
        <v>69</v>
      </c>
      <c r="BA17" s="5" t="s">
        <v>71</v>
      </c>
      <c r="BB17" s="5" t="s">
        <v>95</v>
      </c>
      <c r="BC17" s="5">
        <v>0</v>
      </c>
      <c r="BD17" t="s">
        <v>96</v>
      </c>
      <c r="BE17" t="s">
        <v>97</v>
      </c>
      <c r="BG17" s="5" t="s">
        <v>69</v>
      </c>
      <c r="BH17" s="5" t="s">
        <v>71</v>
      </c>
      <c r="BI17" s="5" t="s">
        <v>95</v>
      </c>
      <c r="BJ17" s="5">
        <v>0</v>
      </c>
      <c r="BK17" t="s">
        <v>96</v>
      </c>
      <c r="BL17" t="s">
        <v>97</v>
      </c>
      <c r="BN17" s="5" t="s">
        <v>69</v>
      </c>
      <c r="BO17" s="5" t="s">
        <v>71</v>
      </c>
      <c r="BP17" s="5" t="s">
        <v>95</v>
      </c>
      <c r="BQ17" s="5">
        <v>0</v>
      </c>
      <c r="BR17" t="s">
        <v>96</v>
      </c>
      <c r="BS17" t="s">
        <v>97</v>
      </c>
    </row>
    <row r="18" spans="1:71" x14ac:dyDescent="0.45">
      <c r="A18">
        <v>15</v>
      </c>
      <c r="B18">
        <v>15</v>
      </c>
      <c r="C18">
        <v>1</v>
      </c>
      <c r="D18">
        <v>1</v>
      </c>
      <c r="E18">
        <v>2</v>
      </c>
      <c r="F18">
        <v>3</v>
      </c>
      <c r="G18">
        <v>4</v>
      </c>
      <c r="H18">
        <v>2</v>
      </c>
      <c r="I18">
        <v>0</v>
      </c>
      <c r="J18">
        <v>0</v>
      </c>
      <c r="K18">
        <v>0</v>
      </c>
      <c r="L18">
        <v>7</v>
      </c>
      <c r="M18">
        <v>629</v>
      </c>
      <c r="N18">
        <v>40633</v>
      </c>
      <c r="O18">
        <v>2</v>
      </c>
      <c r="P18">
        <v>1</v>
      </c>
      <c r="Q18">
        <v>1</v>
      </c>
      <c r="R18">
        <v>4</v>
      </c>
      <c r="S18">
        <v>2</v>
      </c>
      <c r="T18">
        <v>220</v>
      </c>
      <c r="U18">
        <v>1</v>
      </c>
      <c r="V18">
        <f t="shared" si="20"/>
        <v>11.111111111111111</v>
      </c>
      <c r="W18">
        <f t="shared" si="0"/>
        <v>10</v>
      </c>
      <c r="X18">
        <f t="shared" si="0"/>
        <v>66.666666666666657</v>
      </c>
      <c r="Y18">
        <f t="shared" si="0"/>
        <v>12.5</v>
      </c>
      <c r="Z18">
        <f t="shared" si="0"/>
        <v>13.793103448275861</v>
      </c>
      <c r="AA18">
        <f t="shared" si="0"/>
        <v>3.7735849056603774</v>
      </c>
      <c r="AB18">
        <f t="shared" si="0"/>
        <v>0</v>
      </c>
      <c r="AC18">
        <f t="shared" si="0"/>
        <v>0</v>
      </c>
      <c r="AD18">
        <f t="shared" si="0"/>
        <v>0</v>
      </c>
      <c r="AE18">
        <f t="shared" si="0"/>
        <v>25</v>
      </c>
      <c r="AF18">
        <f t="shared" si="0"/>
        <v>2.8337162679641392</v>
      </c>
      <c r="AG18">
        <f t="shared" si="21"/>
        <v>100</v>
      </c>
      <c r="AH18">
        <f t="shared" si="1"/>
        <v>33.333333333333329</v>
      </c>
      <c r="AI18">
        <f t="shared" si="2"/>
        <v>100</v>
      </c>
      <c r="AJ18">
        <f t="shared" si="3"/>
        <v>100</v>
      </c>
      <c r="AK18">
        <f t="shared" si="4"/>
        <v>100</v>
      </c>
      <c r="AL18">
        <f t="shared" si="5"/>
        <v>33.333333333333329</v>
      </c>
      <c r="AM18">
        <f t="shared" si="6"/>
        <v>6.3291139240506329</v>
      </c>
      <c r="AN18">
        <f t="shared" si="7"/>
        <v>0</v>
      </c>
      <c r="AO18">
        <f t="shared" si="10"/>
        <v>10.873320823720917</v>
      </c>
      <c r="AP18">
        <f t="shared" si="11"/>
        <v>11.389270928260405</v>
      </c>
      <c r="AQ18">
        <f t="shared" si="12"/>
        <v>34.651617108311363</v>
      </c>
      <c r="AR18">
        <f t="shared" si="13"/>
        <v>17.503544276609215</v>
      </c>
      <c r="AS18">
        <f t="shared" si="14"/>
        <v>-37.343113723577233</v>
      </c>
      <c r="AT18">
        <f t="shared" si="15"/>
        <v>-27.643843937567613</v>
      </c>
      <c r="AU18">
        <f t="shared" si="16"/>
        <v>52.299789059595327</v>
      </c>
      <c r="AV18">
        <f t="shared" si="17"/>
        <v>35.151716227893175</v>
      </c>
      <c r="AW18">
        <f t="shared" si="18"/>
        <v>52.674751102087846</v>
      </c>
      <c r="AX18">
        <f t="shared" si="19"/>
        <v>62.374020888097469</v>
      </c>
      <c r="AZ18" s="9" t="s">
        <v>69</v>
      </c>
      <c r="BA18" s="9" t="s">
        <v>70</v>
      </c>
      <c r="BB18" s="9" t="s">
        <v>98</v>
      </c>
      <c r="BC18" s="9">
        <v>0</v>
      </c>
      <c r="BD18" t="s">
        <v>99</v>
      </c>
      <c r="BE18" t="s">
        <v>100</v>
      </c>
      <c r="BG18" s="9" t="s">
        <v>69</v>
      </c>
      <c r="BH18" s="9" t="s">
        <v>70</v>
      </c>
      <c r="BI18" s="9" t="s">
        <v>98</v>
      </c>
      <c r="BJ18" s="9">
        <v>1</v>
      </c>
      <c r="BK18" t="s">
        <v>99</v>
      </c>
      <c r="BL18" t="s">
        <v>100</v>
      </c>
      <c r="BN18" s="9" t="s">
        <v>69</v>
      </c>
      <c r="BO18" s="9" t="s">
        <v>70</v>
      </c>
      <c r="BP18" s="9" t="s">
        <v>98</v>
      </c>
      <c r="BQ18" s="9">
        <v>0</v>
      </c>
      <c r="BR18" t="s">
        <v>99</v>
      </c>
      <c r="BS18" t="s">
        <v>100</v>
      </c>
    </row>
    <row r="19" spans="1:71" x14ac:dyDescent="0.45">
      <c r="A19">
        <v>16</v>
      </c>
      <c r="B19">
        <v>16</v>
      </c>
      <c r="C19">
        <v>1</v>
      </c>
      <c r="D19">
        <v>0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4</v>
      </c>
      <c r="M19">
        <v>1074</v>
      </c>
      <c r="N19">
        <v>40861</v>
      </c>
      <c r="O19">
        <v>3</v>
      </c>
      <c r="P19">
        <v>0</v>
      </c>
      <c r="Q19">
        <v>1</v>
      </c>
      <c r="R19">
        <v>4</v>
      </c>
      <c r="S19">
        <v>2</v>
      </c>
      <c r="T19">
        <v>273</v>
      </c>
      <c r="U19">
        <v>4</v>
      </c>
      <c r="V19">
        <f t="shared" si="20"/>
        <v>11.111111111111111</v>
      </c>
      <c r="W19">
        <f t="shared" si="0"/>
        <v>0</v>
      </c>
      <c r="X19">
        <f t="shared" si="0"/>
        <v>33.333333333333329</v>
      </c>
      <c r="Y19">
        <f t="shared" si="0"/>
        <v>4.1666666666666661</v>
      </c>
      <c r="Z19">
        <f t="shared" si="0"/>
        <v>3.4482758620689653</v>
      </c>
      <c r="AA19">
        <f t="shared" si="0"/>
        <v>1.8867924528301887</v>
      </c>
      <c r="AB19">
        <f t="shared" si="0"/>
        <v>0</v>
      </c>
      <c r="AC19">
        <f t="shared" si="0"/>
        <v>0</v>
      </c>
      <c r="AD19">
        <f t="shared" si="0"/>
        <v>0</v>
      </c>
      <c r="AE19">
        <f t="shared" si="0"/>
        <v>14.285714285714285</v>
      </c>
      <c r="AF19">
        <f t="shared" si="0"/>
        <v>4.8384916880659548</v>
      </c>
      <c r="AG19">
        <f t="shared" si="21"/>
        <v>100</v>
      </c>
      <c r="AH19">
        <f t="shared" si="1"/>
        <v>66.666666666666657</v>
      </c>
      <c r="AI19">
        <f t="shared" si="2"/>
        <v>0</v>
      </c>
      <c r="AJ19">
        <f t="shared" si="3"/>
        <v>100</v>
      </c>
      <c r="AK19">
        <f t="shared" si="4"/>
        <v>100</v>
      </c>
      <c r="AL19">
        <f t="shared" si="5"/>
        <v>33.333333333333329</v>
      </c>
      <c r="AM19">
        <f t="shared" si="6"/>
        <v>7.85385500575374</v>
      </c>
      <c r="AN19">
        <f t="shared" si="7"/>
        <v>100</v>
      </c>
      <c r="AO19">
        <f t="shared" si="10"/>
        <v>5.285995806673502</v>
      </c>
      <c r="AP19">
        <f t="shared" si="11"/>
        <v>5.7056211365506888</v>
      </c>
      <c r="AQ19">
        <f t="shared" si="12"/>
        <v>43.541038980364611</v>
      </c>
      <c r="AR19">
        <f t="shared" si="13"/>
        <v>26.746772362039113</v>
      </c>
      <c r="AS19">
        <f t="shared" si="14"/>
        <v>-31.731153663416841</v>
      </c>
      <c r="AT19">
        <f t="shared" si="15"/>
        <v>-22.232003269783633</v>
      </c>
      <c r="AU19">
        <f t="shared" si="16"/>
        <v>61.189210931648574</v>
      </c>
      <c r="AV19">
        <f t="shared" si="17"/>
        <v>44.39494431332308</v>
      </c>
      <c r="AW19">
        <f t="shared" si="18"/>
        <v>58.286711162248238</v>
      </c>
      <c r="AX19">
        <f t="shared" si="19"/>
        <v>67.785861555881439</v>
      </c>
      <c r="AZ19" s="10" t="s">
        <v>69</v>
      </c>
      <c r="BA19" s="10" t="s">
        <v>83</v>
      </c>
      <c r="BB19" s="10" t="s">
        <v>101</v>
      </c>
      <c r="BC19" s="10">
        <v>0</v>
      </c>
      <c r="BD19" t="s">
        <v>102</v>
      </c>
      <c r="BE19" t="s">
        <v>103</v>
      </c>
      <c r="BG19" s="10" t="s">
        <v>69</v>
      </c>
      <c r="BH19" s="10" t="s">
        <v>83</v>
      </c>
      <c r="BI19" s="10" t="s">
        <v>101</v>
      </c>
      <c r="BJ19" s="10">
        <v>8</v>
      </c>
      <c r="BK19" t="s">
        <v>102</v>
      </c>
      <c r="BL19" t="s">
        <v>103</v>
      </c>
      <c r="BN19" s="10" t="s">
        <v>69</v>
      </c>
      <c r="BO19" s="10" t="s">
        <v>83</v>
      </c>
      <c r="BP19" s="10" t="s">
        <v>101</v>
      </c>
      <c r="BQ19" s="10">
        <v>0</v>
      </c>
      <c r="BR19" t="s">
        <v>102</v>
      </c>
      <c r="BS19" t="s">
        <v>103</v>
      </c>
    </row>
    <row r="20" spans="1:71" x14ac:dyDescent="0.45">
      <c r="A20">
        <v>17</v>
      </c>
      <c r="B20">
        <v>17</v>
      </c>
      <c r="C20">
        <v>1</v>
      </c>
      <c r="D20">
        <v>2</v>
      </c>
      <c r="E20">
        <v>1</v>
      </c>
      <c r="F20">
        <v>4</v>
      </c>
      <c r="G20">
        <v>5</v>
      </c>
      <c r="H20">
        <v>12</v>
      </c>
      <c r="I20">
        <v>0</v>
      </c>
      <c r="J20">
        <v>2</v>
      </c>
      <c r="K20">
        <v>3</v>
      </c>
      <c r="L20">
        <v>8</v>
      </c>
      <c r="M20">
        <v>880</v>
      </c>
      <c r="N20">
        <v>40541</v>
      </c>
      <c r="O20">
        <v>3</v>
      </c>
      <c r="P20">
        <v>0</v>
      </c>
      <c r="Q20">
        <v>1</v>
      </c>
      <c r="R20">
        <v>4</v>
      </c>
      <c r="S20">
        <v>2</v>
      </c>
      <c r="T20">
        <v>340</v>
      </c>
      <c r="U20">
        <v>1</v>
      </c>
      <c r="V20">
        <f t="shared" si="20"/>
        <v>11.111111111111111</v>
      </c>
      <c r="W20">
        <f t="shared" si="0"/>
        <v>20</v>
      </c>
      <c r="X20">
        <f t="shared" si="0"/>
        <v>33.333333333333329</v>
      </c>
      <c r="Y20">
        <f t="shared" si="0"/>
        <v>16.666666666666664</v>
      </c>
      <c r="Z20">
        <f t="shared" si="0"/>
        <v>17.241379310344829</v>
      </c>
      <c r="AA20">
        <f t="shared" si="0"/>
        <v>22.641509433962266</v>
      </c>
      <c r="AB20">
        <f t="shared" si="0"/>
        <v>0</v>
      </c>
      <c r="AC20">
        <f t="shared" si="0"/>
        <v>11.111111111111111</v>
      </c>
      <c r="AD20">
        <f t="shared" si="0"/>
        <v>21.428571428571427</v>
      </c>
      <c r="AE20">
        <f t="shared" si="0"/>
        <v>28.571428571428569</v>
      </c>
      <c r="AF20">
        <f t="shared" si="0"/>
        <v>3.9644997071676356</v>
      </c>
      <c r="AG20">
        <f t="shared" si="21"/>
        <v>100</v>
      </c>
      <c r="AH20">
        <f t="shared" si="1"/>
        <v>66.666666666666657</v>
      </c>
      <c r="AI20">
        <f t="shared" si="2"/>
        <v>0</v>
      </c>
      <c r="AJ20">
        <f t="shared" si="3"/>
        <v>100</v>
      </c>
      <c r="AK20">
        <f t="shared" si="4"/>
        <v>100</v>
      </c>
      <c r="AL20">
        <f t="shared" si="5"/>
        <v>33.333333333333329</v>
      </c>
      <c r="AM20">
        <f t="shared" si="6"/>
        <v>9.7813578826237055</v>
      </c>
      <c r="AN20">
        <f t="shared" si="7"/>
        <v>0</v>
      </c>
      <c r="AO20">
        <f t="shared" si="10"/>
        <v>17.171374938070745</v>
      </c>
      <c r="AP20">
        <f t="shared" si="11"/>
        <v>17.524916242292868</v>
      </c>
      <c r="AQ20">
        <f t="shared" si="12"/>
        <v>40.203307060081535</v>
      </c>
      <c r="AR20">
        <f t="shared" si="13"/>
        <v>23.254796834126672</v>
      </c>
      <c r="AS20">
        <f t="shared" si="14"/>
        <v>-28.741033415412815</v>
      </c>
      <c r="AT20">
        <f t="shared" si="15"/>
        <v>-19.154639960833485</v>
      </c>
      <c r="AU20">
        <f t="shared" si="16"/>
        <v>57.851479011365505</v>
      </c>
      <c r="AV20">
        <f t="shared" si="17"/>
        <v>40.902968785410636</v>
      </c>
      <c r="AW20">
        <f t="shared" si="18"/>
        <v>61.276831410252264</v>
      </c>
      <c r="AX20">
        <f t="shared" si="19"/>
        <v>70.863224864831579</v>
      </c>
      <c r="BC20">
        <f>SUM(BC11:BC19)</f>
        <v>47</v>
      </c>
      <c r="BJ20">
        <f>SUM(BJ11:BJ19)</f>
        <v>47</v>
      </c>
      <c r="BQ20">
        <f>SUM(BQ11:BQ19)</f>
        <v>47</v>
      </c>
    </row>
    <row r="21" spans="1:71" x14ac:dyDescent="0.45">
      <c r="A21">
        <v>18</v>
      </c>
      <c r="B21">
        <v>18</v>
      </c>
      <c r="C21">
        <v>0</v>
      </c>
      <c r="D21">
        <v>2</v>
      </c>
      <c r="E21">
        <v>1</v>
      </c>
      <c r="F21">
        <v>7</v>
      </c>
      <c r="G21">
        <v>10</v>
      </c>
      <c r="H21">
        <v>13</v>
      </c>
      <c r="I21">
        <v>1</v>
      </c>
      <c r="J21">
        <v>2</v>
      </c>
      <c r="K21">
        <v>3</v>
      </c>
      <c r="L21">
        <v>8</v>
      </c>
      <c r="M21">
        <v>590</v>
      </c>
      <c r="N21">
        <v>40108</v>
      </c>
      <c r="O21">
        <v>3</v>
      </c>
      <c r="P21">
        <v>1</v>
      </c>
      <c r="Q21">
        <v>1</v>
      </c>
      <c r="R21">
        <v>4</v>
      </c>
      <c r="S21">
        <v>2</v>
      </c>
      <c r="T21">
        <v>445</v>
      </c>
      <c r="U21">
        <v>2</v>
      </c>
      <c r="V21">
        <f t="shared" si="20"/>
        <v>0</v>
      </c>
      <c r="W21">
        <f t="shared" si="0"/>
        <v>20</v>
      </c>
      <c r="X21">
        <f t="shared" si="0"/>
        <v>33.333333333333329</v>
      </c>
      <c r="Y21">
        <f t="shared" si="0"/>
        <v>29.166666666666668</v>
      </c>
      <c r="Z21">
        <f t="shared" si="0"/>
        <v>34.482758620689658</v>
      </c>
      <c r="AA21">
        <f t="shared" si="0"/>
        <v>24.528301886792452</v>
      </c>
      <c r="AB21">
        <f t="shared" si="0"/>
        <v>6.666666666666667</v>
      </c>
      <c r="AC21">
        <f t="shared" si="0"/>
        <v>11.111111111111111</v>
      </c>
      <c r="AD21">
        <f t="shared" si="0"/>
        <v>21.428571428571427</v>
      </c>
      <c r="AE21">
        <f t="shared" si="0"/>
        <v>28.571428571428569</v>
      </c>
      <c r="AF21">
        <f t="shared" si="0"/>
        <v>2.6580168491237557</v>
      </c>
      <c r="AG21">
        <f t="shared" si="21"/>
        <v>100</v>
      </c>
      <c r="AH21">
        <f t="shared" si="1"/>
        <v>66.666666666666657</v>
      </c>
      <c r="AI21">
        <f t="shared" si="2"/>
        <v>100</v>
      </c>
      <c r="AJ21">
        <f t="shared" si="3"/>
        <v>100</v>
      </c>
      <c r="AK21">
        <f t="shared" si="4"/>
        <v>100</v>
      </c>
      <c r="AL21">
        <f t="shared" si="5"/>
        <v>33.333333333333329</v>
      </c>
      <c r="AM21">
        <f t="shared" si="6"/>
        <v>12.802071346375143</v>
      </c>
      <c r="AN21">
        <f t="shared" si="7"/>
        <v>33.333333333333329</v>
      </c>
      <c r="AO21">
        <f t="shared" si="10"/>
        <v>19.824672191520193</v>
      </c>
      <c r="AP21">
        <f t="shared" si="11"/>
        <v>19.625467181403696</v>
      </c>
      <c r="AQ21">
        <f t="shared" si="12"/>
        <v>43.279195983104678</v>
      </c>
      <c r="AR21">
        <f t="shared" si="13"/>
        <v>26.10011541584818</v>
      </c>
      <c r="AS21">
        <f t="shared" si="14"/>
        <v>-45.041483538518769</v>
      </c>
      <c r="AT21">
        <f t="shared" si="15"/>
        <v>-35.324675199019985</v>
      </c>
      <c r="AU21">
        <f t="shared" si="16"/>
        <v>60.927367934388641</v>
      </c>
      <c r="AV21">
        <f t="shared" si="17"/>
        <v>43.748287367132143</v>
      </c>
      <c r="AW21">
        <f t="shared" si="18"/>
        <v>44.97638128714631</v>
      </c>
      <c r="AX21">
        <f t="shared" si="19"/>
        <v>54.693189626645086</v>
      </c>
    </row>
    <row r="22" spans="1:71" x14ac:dyDescent="0.45">
      <c r="A22">
        <v>19</v>
      </c>
      <c r="B22">
        <v>19</v>
      </c>
      <c r="C22">
        <v>1</v>
      </c>
      <c r="D22">
        <v>1</v>
      </c>
      <c r="E22">
        <v>0</v>
      </c>
      <c r="F22">
        <v>4</v>
      </c>
      <c r="G22">
        <v>5</v>
      </c>
      <c r="H22">
        <v>4</v>
      </c>
      <c r="I22">
        <v>1</v>
      </c>
      <c r="J22">
        <v>0</v>
      </c>
      <c r="K22">
        <v>0</v>
      </c>
      <c r="L22">
        <v>3</v>
      </c>
      <c r="M22">
        <v>579</v>
      </c>
      <c r="N22">
        <v>39594</v>
      </c>
      <c r="O22">
        <v>1</v>
      </c>
      <c r="P22">
        <v>0</v>
      </c>
      <c r="Q22">
        <v>1</v>
      </c>
      <c r="R22">
        <v>4</v>
      </c>
      <c r="S22">
        <v>2</v>
      </c>
      <c r="T22">
        <v>102</v>
      </c>
      <c r="U22">
        <v>1</v>
      </c>
      <c r="V22">
        <f t="shared" si="20"/>
        <v>11.111111111111111</v>
      </c>
      <c r="W22">
        <f t="shared" si="0"/>
        <v>10</v>
      </c>
      <c r="X22">
        <f t="shared" si="0"/>
        <v>0</v>
      </c>
      <c r="Y22">
        <f t="shared" si="0"/>
        <v>16.666666666666664</v>
      </c>
      <c r="Z22">
        <f t="shared" si="0"/>
        <v>17.241379310344829</v>
      </c>
      <c r="AA22">
        <f t="shared" si="0"/>
        <v>7.5471698113207548</v>
      </c>
      <c r="AB22">
        <f t="shared" si="0"/>
        <v>6.666666666666667</v>
      </c>
      <c r="AC22">
        <f t="shared" si="0"/>
        <v>0</v>
      </c>
      <c r="AD22">
        <f t="shared" si="0"/>
        <v>0</v>
      </c>
      <c r="AE22">
        <f t="shared" si="0"/>
        <v>10.714285714285714</v>
      </c>
      <c r="AF22">
        <f t="shared" si="0"/>
        <v>2.6084606027841599</v>
      </c>
      <c r="AG22">
        <f t="shared" si="21"/>
        <v>100</v>
      </c>
      <c r="AH22">
        <f t="shared" si="1"/>
        <v>0</v>
      </c>
      <c r="AI22">
        <f t="shared" si="2"/>
        <v>0</v>
      </c>
      <c r="AJ22">
        <f t="shared" si="3"/>
        <v>100</v>
      </c>
      <c r="AK22">
        <f t="shared" si="4"/>
        <v>100</v>
      </c>
      <c r="AL22">
        <f t="shared" si="5"/>
        <v>33.333333333333329</v>
      </c>
      <c r="AM22">
        <f t="shared" si="6"/>
        <v>2.9344073647871118</v>
      </c>
      <c r="AN22">
        <f t="shared" si="7"/>
        <v>0</v>
      </c>
      <c r="AO22">
        <f t="shared" si="10"/>
        <v>7.9047140847969333</v>
      </c>
      <c r="AP22">
        <f t="shared" si="11"/>
        <v>7.2798036673108744</v>
      </c>
      <c r="AQ22">
        <f t="shared" si="12"/>
        <v>29.786348214592405</v>
      </c>
      <c r="AR22">
        <f t="shared" si="13"/>
        <v>12.59852187576929</v>
      </c>
      <c r="AS22">
        <f t="shared" si="14"/>
        <v>-19.955583272818501</v>
      </c>
      <c r="AT22">
        <f t="shared" si="15"/>
        <v>-10.233828161822776</v>
      </c>
      <c r="AU22">
        <f t="shared" si="16"/>
        <v>47.434520165876364</v>
      </c>
      <c r="AV22">
        <f t="shared" si="17"/>
        <v>30.246693827053249</v>
      </c>
      <c r="AW22">
        <f t="shared" si="18"/>
        <v>70.062281552846585</v>
      </c>
      <c r="AX22">
        <f t="shared" si="19"/>
        <v>79.784036663842315</v>
      </c>
    </row>
    <row r="23" spans="1:71" x14ac:dyDescent="0.45">
      <c r="A23">
        <v>20</v>
      </c>
      <c r="B23">
        <v>20</v>
      </c>
      <c r="C23">
        <v>0</v>
      </c>
      <c r="D23">
        <v>1</v>
      </c>
      <c r="E23">
        <v>2</v>
      </c>
      <c r="F23">
        <v>5</v>
      </c>
      <c r="G23">
        <v>6</v>
      </c>
      <c r="H23">
        <v>4</v>
      </c>
      <c r="I23">
        <v>0</v>
      </c>
      <c r="J23">
        <v>1</v>
      </c>
      <c r="K23">
        <v>0</v>
      </c>
      <c r="L23">
        <v>4</v>
      </c>
      <c r="M23">
        <v>553</v>
      </c>
      <c r="N23">
        <v>39707</v>
      </c>
      <c r="O23">
        <v>4</v>
      </c>
      <c r="P23">
        <v>0</v>
      </c>
      <c r="Q23">
        <v>1</v>
      </c>
      <c r="R23">
        <v>3</v>
      </c>
      <c r="S23">
        <v>4</v>
      </c>
      <c r="T23">
        <v>960</v>
      </c>
      <c r="U23">
        <v>1</v>
      </c>
      <c r="V23">
        <f t="shared" si="20"/>
        <v>0</v>
      </c>
      <c r="W23">
        <f t="shared" ref="W23:W53" si="22">IF(D23&gt;D$2,100,(D23-D$1)/(D$2-D$1)*100)</f>
        <v>10</v>
      </c>
      <c r="X23">
        <f t="shared" ref="X23:X53" si="23">IF(E23&gt;E$2,100,(E23-E$1)/(E$2-E$1)*100)</f>
        <v>66.666666666666657</v>
      </c>
      <c r="Y23">
        <f t="shared" ref="Y23:Y53" si="24">IF(F23&gt;F$2,100,(F23-F$1)/(F$2-F$1)*100)</f>
        <v>20.833333333333336</v>
      </c>
      <c r="Z23">
        <f t="shared" ref="Z23:Z53" si="25">IF(G23&gt;G$2,100,(G23-G$1)/(G$2-G$1)*100)</f>
        <v>20.689655172413794</v>
      </c>
      <c r="AA23">
        <f t="shared" ref="AA23:AA53" si="26">IF(H23&gt;H$2,100,(H23-H$1)/(H$2-H$1)*100)</f>
        <v>7.5471698113207548</v>
      </c>
      <c r="AB23">
        <f t="shared" ref="AB23:AB53" si="27">IF(I23&gt;I$2,100,(I23-I$1)/(I$2-I$1)*100)</f>
        <v>0</v>
      </c>
      <c r="AC23">
        <f t="shared" ref="AC23:AC53" si="28">IF(J23&gt;J$2,100,(J23-J$1)/(J$2-J$1)*100)</f>
        <v>5.5555555555555554</v>
      </c>
      <c r="AD23">
        <f t="shared" ref="AD23:AD53" si="29">IF(K23&gt;K$2,100,(K23-K$1)/(K$2-K$1)*100)</f>
        <v>0</v>
      </c>
      <c r="AE23">
        <f t="shared" ref="AE23:AE53" si="30">IF(L23&gt;L$2,100,(L23-L$1)/(L$2-L$1)*100)</f>
        <v>14.285714285714285</v>
      </c>
      <c r="AF23">
        <f t="shared" ref="AF23:AF53" si="31">IF(M23&gt;M$2,100,(M23-M$1)/(M$2-M$1)*100)</f>
        <v>2.4913276568905709</v>
      </c>
      <c r="AG23">
        <f t="shared" si="21"/>
        <v>100</v>
      </c>
      <c r="AH23">
        <f t="shared" si="1"/>
        <v>100</v>
      </c>
      <c r="AI23">
        <f t="shared" si="2"/>
        <v>0</v>
      </c>
      <c r="AJ23">
        <f t="shared" si="3"/>
        <v>100</v>
      </c>
      <c r="AK23">
        <f t="shared" si="4"/>
        <v>75</v>
      </c>
      <c r="AL23">
        <f t="shared" si="5"/>
        <v>66.666666666666657</v>
      </c>
      <c r="AM23">
        <f t="shared" si="6"/>
        <v>27.617951668584578</v>
      </c>
      <c r="AN23">
        <f t="shared" si="7"/>
        <v>0</v>
      </c>
      <c r="AO23">
        <f t="shared" si="10"/>
        <v>11.395516464842736</v>
      </c>
      <c r="AP23">
        <f t="shared" si="11"/>
        <v>11.570676391714473</v>
      </c>
      <c r="AQ23">
        <f t="shared" si="12"/>
        <v>44.381329210913272</v>
      </c>
      <c r="AR23">
        <f t="shared" si="13"/>
        <v>27.172831048387248</v>
      </c>
      <c r="AS23">
        <f t="shared" si="14"/>
        <v>-33.710958823153419</v>
      </c>
      <c r="AT23">
        <f t="shared" si="15"/>
        <v>-23.977511343164917</v>
      </c>
      <c r="AU23">
        <f t="shared" si="16"/>
        <v>62.029501162197235</v>
      </c>
      <c r="AV23">
        <f t="shared" si="17"/>
        <v>44.821002999671208</v>
      </c>
      <c r="AW23">
        <f t="shared" si="18"/>
        <v>56.30690600251166</v>
      </c>
      <c r="AX23">
        <f t="shared" si="19"/>
        <v>66.040353482500151</v>
      </c>
    </row>
    <row r="24" spans="1:71" x14ac:dyDescent="0.45">
      <c r="A24">
        <v>21</v>
      </c>
      <c r="B24">
        <v>21</v>
      </c>
      <c r="C24">
        <v>0</v>
      </c>
      <c r="D24">
        <v>1</v>
      </c>
      <c r="E24">
        <v>2</v>
      </c>
      <c r="F24">
        <v>6</v>
      </c>
      <c r="G24">
        <v>8</v>
      </c>
      <c r="H24">
        <v>5</v>
      </c>
      <c r="I24">
        <v>0</v>
      </c>
      <c r="J24">
        <v>1</v>
      </c>
      <c r="K24">
        <v>0</v>
      </c>
      <c r="L24">
        <v>5</v>
      </c>
      <c r="M24">
        <v>526</v>
      </c>
      <c r="N24">
        <v>39865</v>
      </c>
      <c r="O24">
        <v>3</v>
      </c>
      <c r="P24">
        <v>0</v>
      </c>
      <c r="Q24">
        <v>1</v>
      </c>
      <c r="R24">
        <v>4</v>
      </c>
      <c r="S24">
        <v>2</v>
      </c>
      <c r="T24">
        <v>488</v>
      </c>
      <c r="U24">
        <v>1</v>
      </c>
      <c r="V24">
        <f t="shared" si="20"/>
        <v>0</v>
      </c>
      <c r="W24">
        <f t="shared" si="22"/>
        <v>10</v>
      </c>
      <c r="X24">
        <f t="shared" si="23"/>
        <v>66.666666666666657</v>
      </c>
      <c r="Y24">
        <f t="shared" si="24"/>
        <v>25</v>
      </c>
      <c r="Z24">
        <f t="shared" si="25"/>
        <v>27.586206896551722</v>
      </c>
      <c r="AA24">
        <f t="shared" si="26"/>
        <v>9.433962264150944</v>
      </c>
      <c r="AB24">
        <f t="shared" si="27"/>
        <v>0</v>
      </c>
      <c r="AC24">
        <f t="shared" si="28"/>
        <v>5.5555555555555554</v>
      </c>
      <c r="AD24">
        <f t="shared" si="29"/>
        <v>0</v>
      </c>
      <c r="AE24">
        <f t="shared" si="30"/>
        <v>17.857142857142858</v>
      </c>
      <c r="AF24">
        <f t="shared" si="31"/>
        <v>2.3696895976933821</v>
      </c>
      <c r="AG24">
        <f t="shared" si="21"/>
        <v>100</v>
      </c>
      <c r="AH24">
        <f t="shared" si="1"/>
        <v>66.666666666666657</v>
      </c>
      <c r="AI24">
        <f t="shared" si="2"/>
        <v>0</v>
      </c>
      <c r="AJ24">
        <f t="shared" si="3"/>
        <v>100</v>
      </c>
      <c r="AK24">
        <f t="shared" si="4"/>
        <v>100</v>
      </c>
      <c r="AL24">
        <f t="shared" si="5"/>
        <v>33.333333333333329</v>
      </c>
      <c r="AM24">
        <f t="shared" si="6"/>
        <v>14.039125431530493</v>
      </c>
      <c r="AN24">
        <f t="shared" si="7"/>
        <v>0</v>
      </c>
      <c r="AO24">
        <f t="shared" si="10"/>
        <v>13.024659468322834</v>
      </c>
      <c r="AP24">
        <f t="shared" si="11"/>
        <v>13.020264141456153</v>
      </c>
      <c r="AQ24">
        <f t="shared" si="12"/>
        <v>39.43081050278068</v>
      </c>
      <c r="AR24">
        <f t="shared" si="13"/>
        <v>22.200845446409339</v>
      </c>
      <c r="AS24">
        <f t="shared" si="14"/>
        <v>-28.340543651801479</v>
      </c>
      <c r="AT24">
        <f t="shared" si="15"/>
        <v>-18.594954096320475</v>
      </c>
      <c r="AU24">
        <f t="shared" si="16"/>
        <v>57.078982454064644</v>
      </c>
      <c r="AV24">
        <f t="shared" si="17"/>
        <v>39.849017397693302</v>
      </c>
      <c r="AW24">
        <f t="shared" si="18"/>
        <v>61.677321173863596</v>
      </c>
      <c r="AX24">
        <f t="shared" si="19"/>
        <v>71.422910729344608</v>
      </c>
      <c r="AZ24" t="s">
        <v>104</v>
      </c>
      <c r="BA24" t="s">
        <v>105</v>
      </c>
      <c r="BB24" t="s">
        <v>77</v>
      </c>
      <c r="BD24" t="s">
        <v>106</v>
      </c>
      <c r="BE24" t="s">
        <v>105</v>
      </c>
      <c r="BG24" t="s">
        <v>104</v>
      </c>
      <c r="BH24" t="s">
        <v>105</v>
      </c>
      <c r="BI24" t="s">
        <v>77</v>
      </c>
      <c r="BK24" t="s">
        <v>106</v>
      </c>
      <c r="BL24" t="s">
        <v>105</v>
      </c>
      <c r="BN24" t="s">
        <v>104</v>
      </c>
      <c r="BO24" t="s">
        <v>105</v>
      </c>
      <c r="BP24" t="s">
        <v>77</v>
      </c>
      <c r="BR24" t="s">
        <v>106</v>
      </c>
      <c r="BS24" t="s">
        <v>105</v>
      </c>
    </row>
    <row r="25" spans="1:71" x14ac:dyDescent="0.45">
      <c r="A25">
        <v>22</v>
      </c>
      <c r="B25">
        <v>22</v>
      </c>
      <c r="C25">
        <v>1</v>
      </c>
      <c r="D25">
        <v>3</v>
      </c>
      <c r="E25">
        <v>2</v>
      </c>
      <c r="F25">
        <v>7</v>
      </c>
      <c r="G25">
        <v>9</v>
      </c>
      <c r="H25">
        <v>9</v>
      </c>
      <c r="I25">
        <v>0</v>
      </c>
      <c r="J25">
        <v>1</v>
      </c>
      <c r="K25">
        <v>0</v>
      </c>
      <c r="L25">
        <v>8</v>
      </c>
      <c r="M25">
        <v>796</v>
      </c>
      <c r="N25">
        <v>40131</v>
      </c>
      <c r="O25">
        <v>1</v>
      </c>
      <c r="P25">
        <v>0</v>
      </c>
      <c r="Q25">
        <v>1</v>
      </c>
      <c r="R25">
        <v>4</v>
      </c>
      <c r="S25">
        <v>2</v>
      </c>
      <c r="T25">
        <v>132</v>
      </c>
      <c r="U25">
        <v>3</v>
      </c>
      <c r="V25">
        <f t="shared" si="20"/>
        <v>11.111111111111111</v>
      </c>
      <c r="W25">
        <f t="shared" si="22"/>
        <v>30</v>
      </c>
      <c r="X25">
        <f t="shared" si="23"/>
        <v>66.666666666666657</v>
      </c>
      <c r="Y25">
        <f t="shared" si="24"/>
        <v>29.166666666666668</v>
      </c>
      <c r="Z25">
        <f t="shared" si="25"/>
        <v>31.03448275862069</v>
      </c>
      <c r="AA25">
        <f t="shared" si="26"/>
        <v>16.981132075471699</v>
      </c>
      <c r="AB25">
        <f t="shared" si="27"/>
        <v>0</v>
      </c>
      <c r="AC25">
        <f t="shared" si="28"/>
        <v>5.5555555555555554</v>
      </c>
      <c r="AD25">
        <f t="shared" si="29"/>
        <v>0</v>
      </c>
      <c r="AE25">
        <f t="shared" si="30"/>
        <v>28.571428571428569</v>
      </c>
      <c r="AF25">
        <f t="shared" si="31"/>
        <v>3.58607018966527</v>
      </c>
      <c r="AG25">
        <f t="shared" si="21"/>
        <v>100</v>
      </c>
      <c r="AH25">
        <f t="shared" si="1"/>
        <v>0</v>
      </c>
      <c r="AI25">
        <f t="shared" si="2"/>
        <v>0</v>
      </c>
      <c r="AJ25">
        <f t="shared" si="3"/>
        <v>100</v>
      </c>
      <c r="AK25">
        <f t="shared" si="4"/>
        <v>100</v>
      </c>
      <c r="AL25">
        <f t="shared" si="5"/>
        <v>33.333333333333329</v>
      </c>
      <c r="AM25">
        <f t="shared" si="6"/>
        <v>3.79746835443038</v>
      </c>
      <c r="AN25">
        <f t="shared" si="7"/>
        <v>66.666666666666657</v>
      </c>
      <c r="AO25">
        <f t="shared" si="10"/>
        <v>18.136717231482695</v>
      </c>
      <c r="AP25">
        <f t="shared" si="11"/>
        <v>17.969108997663394</v>
      </c>
      <c r="AQ25">
        <f t="shared" si="12"/>
        <v>36.55632336676522</v>
      </c>
      <c r="AR25">
        <f t="shared" si="13"/>
        <v>19.541027248847122</v>
      </c>
      <c r="AS25">
        <f t="shared" si="14"/>
        <v>-26.723630838667731</v>
      </c>
      <c r="AT25">
        <f t="shared" si="15"/>
        <v>-17.099462038111735</v>
      </c>
      <c r="AU25">
        <f t="shared" si="16"/>
        <v>54.204495318049183</v>
      </c>
      <c r="AV25">
        <f t="shared" si="17"/>
        <v>37.189199200131085</v>
      </c>
      <c r="AW25">
        <f t="shared" si="18"/>
        <v>63.294233986997348</v>
      </c>
      <c r="AX25">
        <f t="shared" si="19"/>
        <v>72.918402787553333</v>
      </c>
      <c r="AZ25" t="s">
        <v>78</v>
      </c>
      <c r="BA25">
        <f>SUM(BC11:BC13)</f>
        <v>7</v>
      </c>
      <c r="BB25" t="s">
        <v>107</v>
      </c>
      <c r="BD25" t="s">
        <v>83</v>
      </c>
      <c r="BE25">
        <f>BC13+BC16+BC19</f>
        <v>8</v>
      </c>
      <c r="BG25" t="s">
        <v>78</v>
      </c>
      <c r="BH25">
        <f>SUM(BJ11:BJ13)</f>
        <v>0</v>
      </c>
      <c r="BI25" t="s">
        <v>107</v>
      </c>
      <c r="BK25" t="s">
        <v>83</v>
      </c>
      <c r="BL25">
        <f>BJ13+BJ16+BJ19</f>
        <v>22</v>
      </c>
      <c r="BN25" t="s">
        <v>78</v>
      </c>
      <c r="BO25">
        <f>SUM(BQ11:BQ13)</f>
        <v>0</v>
      </c>
      <c r="BP25" t="s">
        <v>107</v>
      </c>
      <c r="BR25" t="s">
        <v>83</v>
      </c>
      <c r="BS25">
        <f>BQ13+BQ16+BQ19</f>
        <v>8</v>
      </c>
    </row>
    <row r="26" spans="1:71" x14ac:dyDescent="0.45">
      <c r="A26">
        <v>25</v>
      </c>
      <c r="B26">
        <v>25</v>
      </c>
      <c r="C26">
        <v>2</v>
      </c>
      <c r="D26">
        <v>3</v>
      </c>
      <c r="E26">
        <v>3</v>
      </c>
      <c r="F26">
        <v>8</v>
      </c>
      <c r="G26">
        <v>14</v>
      </c>
      <c r="H26">
        <v>10</v>
      </c>
      <c r="I26">
        <v>1</v>
      </c>
      <c r="J26">
        <v>0</v>
      </c>
      <c r="K26">
        <v>1</v>
      </c>
      <c r="L26">
        <v>10</v>
      </c>
      <c r="M26">
        <v>251</v>
      </c>
      <c r="N26">
        <v>40159</v>
      </c>
      <c r="O26">
        <v>4</v>
      </c>
      <c r="P26">
        <v>0</v>
      </c>
      <c r="Q26">
        <v>1</v>
      </c>
      <c r="R26">
        <v>4</v>
      </c>
      <c r="S26">
        <v>2</v>
      </c>
      <c r="T26">
        <v>197</v>
      </c>
      <c r="U26">
        <v>1</v>
      </c>
      <c r="V26">
        <f t="shared" si="20"/>
        <v>22.222222222222221</v>
      </c>
      <c r="W26">
        <f t="shared" si="22"/>
        <v>30</v>
      </c>
      <c r="X26">
        <f t="shared" si="23"/>
        <v>100</v>
      </c>
      <c r="Y26">
        <f t="shared" si="24"/>
        <v>33.333333333333329</v>
      </c>
      <c r="Z26">
        <f t="shared" si="25"/>
        <v>48.275862068965516</v>
      </c>
      <c r="AA26">
        <f t="shared" si="26"/>
        <v>18.867924528301888</v>
      </c>
      <c r="AB26">
        <f t="shared" si="27"/>
        <v>6.666666666666667</v>
      </c>
      <c r="AC26">
        <f t="shared" si="28"/>
        <v>0</v>
      </c>
      <c r="AD26">
        <f t="shared" si="29"/>
        <v>7.1428571428571423</v>
      </c>
      <c r="AE26">
        <f t="shared" si="30"/>
        <v>35.714285714285715</v>
      </c>
      <c r="AF26">
        <f t="shared" si="31"/>
        <v>1.1307834392034959</v>
      </c>
      <c r="AG26">
        <f t="shared" si="21"/>
        <v>100</v>
      </c>
      <c r="AH26">
        <f t="shared" si="1"/>
        <v>100</v>
      </c>
      <c r="AI26">
        <f t="shared" si="2"/>
        <v>0</v>
      </c>
      <c r="AJ26">
        <f t="shared" si="3"/>
        <v>100</v>
      </c>
      <c r="AK26">
        <f t="shared" si="4"/>
        <v>100</v>
      </c>
      <c r="AL26">
        <f t="shared" si="5"/>
        <v>33.333333333333329</v>
      </c>
      <c r="AM26">
        <f t="shared" si="6"/>
        <v>5.6674338319907935</v>
      </c>
      <c r="AN26">
        <f t="shared" si="7"/>
        <v>0</v>
      </c>
      <c r="AO26">
        <f t="shared" si="10"/>
        <v>25.858888419245091</v>
      </c>
      <c r="AP26">
        <f t="shared" si="11"/>
        <v>25.286267732087126</v>
      </c>
      <c r="AQ26">
        <f t="shared" si="12"/>
        <v>47.061976512883426</v>
      </c>
      <c r="AR26">
        <f t="shared" si="13"/>
        <v>29.61336716734673</v>
      </c>
      <c r="AS26">
        <f t="shared" si="14"/>
        <v>-33.170356007589035</v>
      </c>
      <c r="AT26">
        <f t="shared" si="15"/>
        <v>-23.301097164684411</v>
      </c>
      <c r="AU26">
        <f t="shared" si="16"/>
        <v>64.710148464167389</v>
      </c>
      <c r="AV26">
        <f t="shared" si="17"/>
        <v>47.261539118630694</v>
      </c>
      <c r="AW26">
        <f t="shared" si="18"/>
        <v>56.847508818076044</v>
      </c>
      <c r="AX26">
        <f t="shared" si="19"/>
        <v>66.716767660980665</v>
      </c>
      <c r="AZ26" t="s">
        <v>68</v>
      </c>
      <c r="BA26">
        <f>SUM(BC14:BC16)</f>
        <v>40</v>
      </c>
      <c r="BB26" t="s">
        <v>108</v>
      </c>
      <c r="BD26" t="s">
        <v>70</v>
      </c>
      <c r="BE26">
        <f>BC12+BC15+BC18</f>
        <v>33</v>
      </c>
      <c r="BG26" t="s">
        <v>68</v>
      </c>
      <c r="BH26">
        <f>SUM(BJ14:BJ16)</f>
        <v>38</v>
      </c>
      <c r="BI26" t="s">
        <v>108</v>
      </c>
      <c r="BK26" t="s">
        <v>70</v>
      </c>
      <c r="BL26">
        <f>BJ12+BJ15+BJ18</f>
        <v>25</v>
      </c>
      <c r="BN26" t="s">
        <v>68</v>
      </c>
      <c r="BO26">
        <f>SUM(BQ14:BQ16)</f>
        <v>47</v>
      </c>
      <c r="BP26" t="s">
        <v>108</v>
      </c>
      <c r="BR26" t="s">
        <v>70</v>
      </c>
      <c r="BS26">
        <f>BQ12+BQ15+BQ18</f>
        <v>36</v>
      </c>
    </row>
    <row r="27" spans="1:71" x14ac:dyDescent="0.45">
      <c r="A27">
        <v>26</v>
      </c>
      <c r="B27">
        <v>26</v>
      </c>
      <c r="C27">
        <v>1</v>
      </c>
      <c r="D27">
        <v>2</v>
      </c>
      <c r="E27">
        <v>1</v>
      </c>
      <c r="F27">
        <v>7</v>
      </c>
      <c r="G27">
        <v>13</v>
      </c>
      <c r="H27">
        <v>6</v>
      </c>
      <c r="I27">
        <v>1</v>
      </c>
      <c r="J27">
        <v>1</v>
      </c>
      <c r="K27">
        <v>3</v>
      </c>
      <c r="L27">
        <v>8</v>
      </c>
      <c r="M27">
        <v>483</v>
      </c>
      <c r="N27">
        <v>40144</v>
      </c>
      <c r="O27">
        <v>1</v>
      </c>
      <c r="P27">
        <v>0</v>
      </c>
      <c r="Q27">
        <v>1</v>
      </c>
      <c r="R27">
        <v>4</v>
      </c>
      <c r="S27">
        <v>1</v>
      </c>
      <c r="T27">
        <v>114</v>
      </c>
      <c r="U27">
        <v>1</v>
      </c>
      <c r="V27">
        <f t="shared" si="20"/>
        <v>11.111111111111111</v>
      </c>
      <c r="W27">
        <f t="shared" si="22"/>
        <v>20</v>
      </c>
      <c r="X27">
        <f t="shared" si="23"/>
        <v>33.333333333333329</v>
      </c>
      <c r="Y27">
        <f t="shared" si="24"/>
        <v>29.166666666666668</v>
      </c>
      <c r="Z27">
        <f t="shared" si="25"/>
        <v>44.827586206896555</v>
      </c>
      <c r="AA27">
        <f t="shared" si="26"/>
        <v>11.320754716981133</v>
      </c>
      <c r="AB27">
        <f t="shared" si="27"/>
        <v>6.666666666666667</v>
      </c>
      <c r="AC27">
        <f t="shared" si="28"/>
        <v>5.5555555555555554</v>
      </c>
      <c r="AD27">
        <f t="shared" si="29"/>
        <v>21.428571428571427</v>
      </c>
      <c r="AE27">
        <f t="shared" si="30"/>
        <v>28.571428571428569</v>
      </c>
      <c r="AF27">
        <f t="shared" si="31"/>
        <v>2.1759697256385997</v>
      </c>
      <c r="AG27">
        <f t="shared" si="21"/>
        <v>100</v>
      </c>
      <c r="AH27">
        <f t="shared" si="1"/>
        <v>0</v>
      </c>
      <c r="AI27">
        <f t="shared" si="2"/>
        <v>0</v>
      </c>
      <c r="AJ27">
        <f t="shared" si="3"/>
        <v>100</v>
      </c>
      <c r="AK27">
        <f t="shared" si="4"/>
        <v>100</v>
      </c>
      <c r="AL27">
        <f t="shared" si="5"/>
        <v>16.666666666666664</v>
      </c>
      <c r="AM27">
        <f t="shared" si="6"/>
        <v>3.2796317606444192</v>
      </c>
      <c r="AN27">
        <f t="shared" si="7"/>
        <v>0</v>
      </c>
      <c r="AO27">
        <f t="shared" si="10"/>
        <v>20.6413296141777</v>
      </c>
      <c r="AP27">
        <f t="shared" si="11"/>
        <v>19.839370460773576</v>
      </c>
      <c r="AQ27">
        <f t="shared" si="12"/>
        <v>30.666541213572625</v>
      </c>
      <c r="AR27">
        <f t="shared" si="13"/>
        <v>13.402388141077243</v>
      </c>
      <c r="AS27">
        <f t="shared" si="14"/>
        <v>-21.352447009036265</v>
      </c>
      <c r="AT27">
        <f t="shared" si="15"/>
        <v>-11.5875200740672</v>
      </c>
      <c r="AU27">
        <f t="shared" si="16"/>
        <v>48.314713164856585</v>
      </c>
      <c r="AV27">
        <f t="shared" si="17"/>
        <v>31.050560092361206</v>
      </c>
      <c r="AW27">
        <f t="shared" si="18"/>
        <v>68.665417816628818</v>
      </c>
      <c r="AX27">
        <f t="shared" si="19"/>
        <v>78.430344751597886</v>
      </c>
      <c r="AZ27" t="s">
        <v>69</v>
      </c>
      <c r="BA27">
        <f>SUM(BC17:BC19)</f>
        <v>0</v>
      </c>
      <c r="BB27" t="s">
        <v>109</v>
      </c>
      <c r="BD27" t="s">
        <v>71</v>
      </c>
      <c r="BE27">
        <f>BC11+BC14+BC17</f>
        <v>6</v>
      </c>
      <c r="BG27" t="s">
        <v>69</v>
      </c>
      <c r="BH27">
        <f>SUM(BJ17:BJ19)</f>
        <v>9</v>
      </c>
      <c r="BI27" t="s">
        <v>109</v>
      </c>
      <c r="BK27" t="s">
        <v>71</v>
      </c>
      <c r="BL27">
        <f>BJ11+BJ14+BJ17</f>
        <v>0</v>
      </c>
      <c r="BN27" t="s">
        <v>69</v>
      </c>
      <c r="BO27">
        <f>SUM(BQ17:BQ19)</f>
        <v>0</v>
      </c>
      <c r="BP27" t="s">
        <v>109</v>
      </c>
      <c r="BR27" t="s">
        <v>71</v>
      </c>
      <c r="BS27">
        <f>BQ11+BQ14+BQ17</f>
        <v>3</v>
      </c>
    </row>
    <row r="28" spans="1:71" x14ac:dyDescent="0.45">
      <c r="A28">
        <v>27</v>
      </c>
      <c r="B28">
        <v>27</v>
      </c>
      <c r="C28">
        <v>0</v>
      </c>
      <c r="D28">
        <v>3</v>
      </c>
      <c r="E28">
        <v>1</v>
      </c>
      <c r="F28">
        <v>7</v>
      </c>
      <c r="G28">
        <v>9</v>
      </c>
      <c r="H28">
        <v>6</v>
      </c>
      <c r="I28">
        <v>1</v>
      </c>
      <c r="J28">
        <v>1</v>
      </c>
      <c r="K28">
        <v>2</v>
      </c>
      <c r="L28">
        <v>9</v>
      </c>
      <c r="M28">
        <v>549</v>
      </c>
      <c r="N28">
        <v>40331</v>
      </c>
      <c r="O28">
        <v>2</v>
      </c>
      <c r="P28">
        <v>1</v>
      </c>
      <c r="Q28">
        <v>1</v>
      </c>
      <c r="R28">
        <v>4</v>
      </c>
      <c r="S28">
        <v>2</v>
      </c>
      <c r="T28">
        <v>2013</v>
      </c>
      <c r="U28">
        <v>3</v>
      </c>
      <c r="V28">
        <f t="shared" si="20"/>
        <v>0</v>
      </c>
      <c r="W28">
        <f t="shared" si="22"/>
        <v>30</v>
      </c>
      <c r="X28">
        <f t="shared" si="23"/>
        <v>33.333333333333329</v>
      </c>
      <c r="Y28">
        <f t="shared" si="24"/>
        <v>29.166666666666668</v>
      </c>
      <c r="Z28">
        <f t="shared" si="25"/>
        <v>31.03448275862069</v>
      </c>
      <c r="AA28">
        <f t="shared" si="26"/>
        <v>11.320754716981133</v>
      </c>
      <c r="AB28">
        <f t="shared" si="27"/>
        <v>6.666666666666667</v>
      </c>
      <c r="AC28">
        <f t="shared" si="28"/>
        <v>5.5555555555555554</v>
      </c>
      <c r="AD28">
        <f t="shared" si="29"/>
        <v>14.285714285714285</v>
      </c>
      <c r="AE28">
        <f t="shared" si="30"/>
        <v>32.142857142857146</v>
      </c>
      <c r="AF28">
        <f t="shared" si="31"/>
        <v>2.4733072036761725</v>
      </c>
      <c r="AG28">
        <f t="shared" si="21"/>
        <v>100</v>
      </c>
      <c r="AH28">
        <f t="shared" si="1"/>
        <v>33.333333333333329</v>
      </c>
      <c r="AI28">
        <f t="shared" si="2"/>
        <v>100</v>
      </c>
      <c r="AJ28">
        <f t="shared" si="3"/>
        <v>100</v>
      </c>
      <c r="AK28">
        <f t="shared" si="4"/>
        <v>100</v>
      </c>
      <c r="AL28">
        <f t="shared" si="5"/>
        <v>33.333333333333329</v>
      </c>
      <c r="AM28">
        <f t="shared" si="6"/>
        <v>57.911392405063289</v>
      </c>
      <c r="AN28">
        <f t="shared" si="7"/>
        <v>66.666666666666657</v>
      </c>
      <c r="AO28">
        <f t="shared" si="10"/>
        <v>17.319875394002516</v>
      </c>
      <c r="AP28">
        <f t="shared" si="11"/>
        <v>17.176230294112806</v>
      </c>
      <c r="AQ28">
        <f t="shared" si="12"/>
        <v>40.695598231368287</v>
      </c>
      <c r="AR28">
        <f t="shared" si="13"/>
        <v>23.48391978827258</v>
      </c>
      <c r="AS28">
        <f t="shared" si="14"/>
        <v>-49.500545198457289</v>
      </c>
      <c r="AT28">
        <f t="shared" si="15"/>
        <v>-39.7652988924699</v>
      </c>
      <c r="AU28">
        <f t="shared" si="16"/>
        <v>58.343770182652257</v>
      </c>
      <c r="AV28">
        <f t="shared" si="17"/>
        <v>41.132091739556543</v>
      </c>
      <c r="AW28">
        <f t="shared" si="18"/>
        <v>40.51731962720779</v>
      </c>
      <c r="AX28">
        <f t="shared" si="19"/>
        <v>50.252565933195179</v>
      </c>
    </row>
    <row r="29" spans="1:71" x14ac:dyDescent="0.45">
      <c r="A29">
        <v>28</v>
      </c>
      <c r="B29">
        <v>28</v>
      </c>
      <c r="C29">
        <v>0</v>
      </c>
      <c r="D29">
        <v>3</v>
      </c>
      <c r="E29">
        <v>1</v>
      </c>
      <c r="F29">
        <v>7</v>
      </c>
      <c r="G29">
        <v>9</v>
      </c>
      <c r="H29">
        <v>6</v>
      </c>
      <c r="I29">
        <v>1</v>
      </c>
      <c r="J29">
        <v>1</v>
      </c>
      <c r="K29">
        <v>2</v>
      </c>
      <c r="L29">
        <v>9</v>
      </c>
      <c r="M29">
        <v>488</v>
      </c>
      <c r="N29">
        <v>40393</v>
      </c>
      <c r="O29">
        <v>3</v>
      </c>
      <c r="P29">
        <v>0</v>
      </c>
      <c r="Q29">
        <v>0</v>
      </c>
      <c r="R29">
        <v>4</v>
      </c>
      <c r="S29">
        <v>1</v>
      </c>
      <c r="T29">
        <v>94</v>
      </c>
      <c r="U29">
        <v>1</v>
      </c>
      <c r="V29">
        <f t="shared" si="20"/>
        <v>0</v>
      </c>
      <c r="W29">
        <f t="shared" si="22"/>
        <v>30</v>
      </c>
      <c r="X29">
        <f t="shared" si="23"/>
        <v>33.333333333333329</v>
      </c>
      <c r="Y29">
        <f t="shared" si="24"/>
        <v>29.166666666666668</v>
      </c>
      <c r="Z29">
        <f t="shared" si="25"/>
        <v>31.03448275862069</v>
      </c>
      <c r="AA29">
        <f t="shared" si="26"/>
        <v>11.320754716981133</v>
      </c>
      <c r="AB29">
        <f t="shared" si="27"/>
        <v>6.666666666666667</v>
      </c>
      <c r="AC29">
        <f t="shared" si="28"/>
        <v>5.5555555555555554</v>
      </c>
      <c r="AD29">
        <f t="shared" si="29"/>
        <v>14.285714285714285</v>
      </c>
      <c r="AE29">
        <f t="shared" si="30"/>
        <v>32.142857142857146</v>
      </c>
      <c r="AF29">
        <f t="shared" si="31"/>
        <v>2.1984952921565979</v>
      </c>
      <c r="AG29">
        <f t="shared" si="21"/>
        <v>100</v>
      </c>
      <c r="AH29">
        <f t="shared" si="1"/>
        <v>66.666666666666657</v>
      </c>
      <c r="AI29">
        <f t="shared" si="2"/>
        <v>0</v>
      </c>
      <c r="AJ29">
        <f t="shared" si="3"/>
        <v>0</v>
      </c>
      <c r="AK29">
        <f t="shared" si="4"/>
        <v>100</v>
      </c>
      <c r="AL29">
        <f t="shared" si="5"/>
        <v>16.666666666666664</v>
      </c>
      <c r="AM29">
        <f t="shared" si="6"/>
        <v>2.7042577675489068</v>
      </c>
      <c r="AN29">
        <f t="shared" si="7"/>
        <v>0</v>
      </c>
      <c r="AO29">
        <f t="shared" si="10"/>
        <v>17.319875394002516</v>
      </c>
      <c r="AP29">
        <f t="shared" si="11"/>
        <v>17.176230294112806</v>
      </c>
      <c r="AQ29">
        <f t="shared" si="12"/>
        <v>29.272982008315232</v>
      </c>
      <c r="AR29">
        <f t="shared" si="13"/>
        <v>12.012804286531944</v>
      </c>
      <c r="AS29">
        <f t="shared" si="14"/>
        <v>-20.774780910823679</v>
      </c>
      <c r="AT29">
        <f t="shared" si="15"/>
        <v>-11.012102508353225</v>
      </c>
      <c r="AU29">
        <f t="shared" si="16"/>
        <v>46.921153959599195</v>
      </c>
      <c r="AV29">
        <f t="shared" si="17"/>
        <v>29.660976237815913</v>
      </c>
      <c r="AW29">
        <f t="shared" si="18"/>
        <v>69.243083914841392</v>
      </c>
      <c r="AX29">
        <f t="shared" si="19"/>
        <v>79.005762317311863</v>
      </c>
    </row>
    <row r="30" spans="1:71" x14ac:dyDescent="0.45">
      <c r="A30">
        <v>29</v>
      </c>
      <c r="B30">
        <v>29</v>
      </c>
      <c r="C30">
        <v>1</v>
      </c>
      <c r="D30">
        <v>3</v>
      </c>
      <c r="E30">
        <v>1</v>
      </c>
      <c r="F30">
        <v>5</v>
      </c>
      <c r="G30">
        <v>11</v>
      </c>
      <c r="H30">
        <v>6</v>
      </c>
      <c r="I30">
        <v>0</v>
      </c>
      <c r="J30">
        <v>0</v>
      </c>
      <c r="K30">
        <v>1</v>
      </c>
      <c r="L30">
        <v>9</v>
      </c>
      <c r="M30">
        <v>328</v>
      </c>
      <c r="N30">
        <v>40336</v>
      </c>
      <c r="O30">
        <v>4</v>
      </c>
      <c r="P30">
        <v>1</v>
      </c>
      <c r="Q30">
        <v>1</v>
      </c>
      <c r="R30">
        <v>4</v>
      </c>
      <c r="S30">
        <v>2</v>
      </c>
      <c r="T30">
        <v>807</v>
      </c>
      <c r="U30">
        <v>1</v>
      </c>
      <c r="V30">
        <f t="shared" si="20"/>
        <v>11.111111111111111</v>
      </c>
      <c r="W30">
        <f t="shared" si="22"/>
        <v>30</v>
      </c>
      <c r="X30">
        <f t="shared" si="23"/>
        <v>33.333333333333329</v>
      </c>
      <c r="Y30">
        <f t="shared" si="24"/>
        <v>20.833333333333336</v>
      </c>
      <c r="Z30">
        <f t="shared" si="25"/>
        <v>37.931034482758619</v>
      </c>
      <c r="AA30">
        <f t="shared" si="26"/>
        <v>11.320754716981133</v>
      </c>
      <c r="AB30">
        <f t="shared" si="27"/>
        <v>0</v>
      </c>
      <c r="AC30">
        <f t="shared" si="28"/>
        <v>0</v>
      </c>
      <c r="AD30">
        <f t="shared" si="29"/>
        <v>7.1428571428571423</v>
      </c>
      <c r="AE30">
        <f t="shared" si="30"/>
        <v>32.142857142857146</v>
      </c>
      <c r="AF30">
        <f t="shared" si="31"/>
        <v>1.477677163580664</v>
      </c>
      <c r="AG30">
        <f t="shared" si="21"/>
        <v>100</v>
      </c>
      <c r="AH30">
        <f t="shared" si="1"/>
        <v>100</v>
      </c>
      <c r="AI30">
        <f t="shared" si="2"/>
        <v>100</v>
      </c>
      <c r="AJ30">
        <f t="shared" si="3"/>
        <v>100</v>
      </c>
      <c r="AK30">
        <f t="shared" si="4"/>
        <v>100</v>
      </c>
      <c r="AL30">
        <f t="shared" si="5"/>
        <v>33.333333333333329</v>
      </c>
      <c r="AM30">
        <f t="shared" si="6"/>
        <v>23.216340621403912</v>
      </c>
      <c r="AN30">
        <f t="shared" si="7"/>
        <v>0</v>
      </c>
      <c r="AO30">
        <f t="shared" si="10"/>
        <v>16.372839562515878</v>
      </c>
      <c r="AP30">
        <f t="shared" si="11"/>
        <v>15.68204240151135</v>
      </c>
      <c r="AQ30">
        <f t="shared" si="12"/>
        <v>44.589731186420607</v>
      </c>
      <c r="AR30">
        <f t="shared" si="13"/>
        <v>27.202342241850225</v>
      </c>
      <c r="AS30">
        <f t="shared" si="14"/>
        <v>-46.221484639718831</v>
      </c>
      <c r="AT30">
        <f t="shared" si="15"/>
        <v>-36.386853197292815</v>
      </c>
      <c r="AU30">
        <f t="shared" si="16"/>
        <v>62.237903137704578</v>
      </c>
      <c r="AV30">
        <f t="shared" si="17"/>
        <v>44.850514193134188</v>
      </c>
      <c r="AW30">
        <f t="shared" si="18"/>
        <v>43.796380185946248</v>
      </c>
      <c r="AX30">
        <f t="shared" si="19"/>
        <v>53.631011628372264</v>
      </c>
    </row>
    <row r="31" spans="1:71" x14ac:dyDescent="0.45">
      <c r="A31">
        <v>30</v>
      </c>
      <c r="B31">
        <v>30</v>
      </c>
      <c r="C31">
        <v>2</v>
      </c>
      <c r="D31">
        <v>4</v>
      </c>
      <c r="E31">
        <v>2</v>
      </c>
      <c r="F31">
        <v>5</v>
      </c>
      <c r="G31">
        <v>12</v>
      </c>
      <c r="H31">
        <v>8</v>
      </c>
      <c r="I31">
        <v>0</v>
      </c>
      <c r="J31">
        <v>0</v>
      </c>
      <c r="K31">
        <v>1</v>
      </c>
      <c r="L31">
        <v>9</v>
      </c>
      <c r="M31">
        <v>450</v>
      </c>
      <c r="N31">
        <v>40464</v>
      </c>
      <c r="O31">
        <v>1</v>
      </c>
      <c r="P31">
        <v>1</v>
      </c>
      <c r="Q31">
        <v>1</v>
      </c>
      <c r="R31">
        <v>4</v>
      </c>
      <c r="S31">
        <v>2</v>
      </c>
      <c r="T31">
        <v>831</v>
      </c>
      <c r="U31">
        <v>1</v>
      </c>
      <c r="V31">
        <f t="shared" si="20"/>
        <v>22.222222222222221</v>
      </c>
      <c r="W31">
        <f t="shared" si="22"/>
        <v>40</v>
      </c>
      <c r="X31">
        <f t="shared" si="23"/>
        <v>66.666666666666657</v>
      </c>
      <c r="Y31">
        <f t="shared" si="24"/>
        <v>20.833333333333336</v>
      </c>
      <c r="Z31">
        <f t="shared" si="25"/>
        <v>41.379310344827587</v>
      </c>
      <c r="AA31">
        <f t="shared" si="26"/>
        <v>15.09433962264151</v>
      </c>
      <c r="AB31">
        <f t="shared" si="27"/>
        <v>0</v>
      </c>
      <c r="AC31">
        <f t="shared" si="28"/>
        <v>0</v>
      </c>
      <c r="AD31">
        <f t="shared" si="29"/>
        <v>7.1428571428571423</v>
      </c>
      <c r="AE31">
        <f t="shared" si="30"/>
        <v>32.142857142857146</v>
      </c>
      <c r="AF31">
        <f t="shared" si="31"/>
        <v>2.0273009866198137</v>
      </c>
      <c r="AG31">
        <f t="shared" si="21"/>
        <v>100</v>
      </c>
      <c r="AH31">
        <f t="shared" si="1"/>
        <v>0</v>
      </c>
      <c r="AI31">
        <f t="shared" si="2"/>
        <v>100</v>
      </c>
      <c r="AJ31">
        <f t="shared" si="3"/>
        <v>100</v>
      </c>
      <c r="AK31">
        <f t="shared" si="4"/>
        <v>100</v>
      </c>
      <c r="AL31">
        <f t="shared" si="5"/>
        <v>33.333333333333329</v>
      </c>
      <c r="AM31">
        <f t="shared" si="6"/>
        <v>23.906789413118528</v>
      </c>
      <c r="AN31">
        <f t="shared" si="7"/>
        <v>0</v>
      </c>
      <c r="AO31">
        <f t="shared" si="10"/>
        <v>21.320467192864506</v>
      </c>
      <c r="AP31">
        <f t="shared" si="11"/>
        <v>20.561474968800916</v>
      </c>
      <c r="AQ31">
        <f t="shared" si="12"/>
        <v>33.298731843949781</v>
      </c>
      <c r="AR31">
        <f t="shared" si="13"/>
        <v>16.008341456754554</v>
      </c>
      <c r="AS31">
        <f t="shared" si="14"/>
        <v>-39.131384551387015</v>
      </c>
      <c r="AT31">
        <f t="shared" si="15"/>
        <v>-29.351617301927121</v>
      </c>
      <c r="AU31">
        <f t="shared" si="16"/>
        <v>50.946903795233744</v>
      </c>
      <c r="AV31">
        <f t="shared" si="17"/>
        <v>33.656513408038521</v>
      </c>
      <c r="AW31">
        <f t="shared" si="18"/>
        <v>50.886480274278071</v>
      </c>
      <c r="AX31">
        <f t="shared" si="19"/>
        <v>60.666247523737958</v>
      </c>
    </row>
    <row r="32" spans="1:71" x14ac:dyDescent="0.45">
      <c r="A32">
        <v>31</v>
      </c>
      <c r="B32">
        <v>31</v>
      </c>
      <c r="C32">
        <v>1</v>
      </c>
      <c r="D32">
        <v>2</v>
      </c>
      <c r="E32">
        <v>1</v>
      </c>
      <c r="F32">
        <v>5</v>
      </c>
      <c r="G32">
        <v>7</v>
      </c>
      <c r="H32">
        <v>6</v>
      </c>
      <c r="I32">
        <v>0</v>
      </c>
      <c r="J32">
        <v>0</v>
      </c>
      <c r="K32">
        <v>0</v>
      </c>
      <c r="L32">
        <v>8</v>
      </c>
      <c r="M32">
        <v>681</v>
      </c>
      <c r="N32">
        <v>40577</v>
      </c>
      <c r="O32">
        <v>3</v>
      </c>
      <c r="P32">
        <v>0</v>
      </c>
      <c r="Q32">
        <v>0</v>
      </c>
      <c r="R32">
        <v>4</v>
      </c>
      <c r="S32">
        <v>1</v>
      </c>
      <c r="T32">
        <v>25</v>
      </c>
      <c r="U32">
        <v>1</v>
      </c>
      <c r="V32">
        <f t="shared" si="20"/>
        <v>11.111111111111111</v>
      </c>
      <c r="W32">
        <f t="shared" si="22"/>
        <v>20</v>
      </c>
      <c r="X32">
        <f t="shared" si="23"/>
        <v>33.333333333333329</v>
      </c>
      <c r="Y32">
        <f t="shared" si="24"/>
        <v>20.833333333333336</v>
      </c>
      <c r="Z32">
        <f t="shared" si="25"/>
        <v>24.137931034482758</v>
      </c>
      <c r="AA32">
        <f t="shared" si="26"/>
        <v>11.320754716981133</v>
      </c>
      <c r="AB32">
        <f t="shared" si="27"/>
        <v>0</v>
      </c>
      <c r="AC32">
        <f t="shared" si="28"/>
        <v>0</v>
      </c>
      <c r="AD32">
        <f t="shared" si="29"/>
        <v>0</v>
      </c>
      <c r="AE32">
        <f t="shared" si="30"/>
        <v>28.571428571428569</v>
      </c>
      <c r="AF32">
        <f t="shared" si="31"/>
        <v>3.0679821597513177</v>
      </c>
      <c r="AG32">
        <f t="shared" si="21"/>
        <v>100</v>
      </c>
      <c r="AH32">
        <f t="shared" si="1"/>
        <v>66.666666666666657</v>
      </c>
      <c r="AI32">
        <f t="shared" si="2"/>
        <v>0</v>
      </c>
      <c r="AJ32">
        <f t="shared" si="3"/>
        <v>0</v>
      </c>
      <c r="AK32">
        <f t="shared" si="4"/>
        <v>100</v>
      </c>
      <c r="AL32">
        <f t="shared" si="5"/>
        <v>16.666666666666664</v>
      </c>
      <c r="AM32">
        <f t="shared" si="6"/>
        <v>0.71921749136939006</v>
      </c>
      <c r="AN32">
        <f t="shared" si="7"/>
        <v>0</v>
      </c>
      <c r="AO32">
        <f t="shared" si="10"/>
        <v>12.636651632202682</v>
      </c>
      <c r="AP32">
        <f t="shared" si="11"/>
        <v>12.433978703042918</v>
      </c>
      <c r="AQ32">
        <f t="shared" si="12"/>
        <v>27.92922026541325</v>
      </c>
      <c r="AR32">
        <f t="shared" si="13"/>
        <v>10.822491081116915</v>
      </c>
      <c r="AS32">
        <f t="shared" si="14"/>
        <v>-19.275731372529709</v>
      </c>
      <c r="AT32">
        <f t="shared" si="15"/>
        <v>-9.5998463245056485</v>
      </c>
      <c r="AU32">
        <f t="shared" si="16"/>
        <v>45.577392216697213</v>
      </c>
      <c r="AV32">
        <f t="shared" si="17"/>
        <v>28.470663032400878</v>
      </c>
      <c r="AW32">
        <f t="shared" si="18"/>
        <v>70.742133453135381</v>
      </c>
      <c r="AX32">
        <f t="shared" si="19"/>
        <v>80.418018501159438</v>
      </c>
    </row>
    <row r="33" spans="1:50" x14ac:dyDescent="0.45">
      <c r="A33">
        <v>32</v>
      </c>
      <c r="B33">
        <v>32</v>
      </c>
      <c r="C33">
        <v>0</v>
      </c>
      <c r="D33">
        <v>2</v>
      </c>
      <c r="E33">
        <v>2</v>
      </c>
      <c r="F33">
        <v>8</v>
      </c>
      <c r="G33">
        <v>11</v>
      </c>
      <c r="H33">
        <v>10</v>
      </c>
      <c r="I33">
        <v>1</v>
      </c>
      <c r="J33">
        <v>2</v>
      </c>
      <c r="K33">
        <v>3</v>
      </c>
      <c r="L33">
        <v>9</v>
      </c>
      <c r="M33">
        <v>637</v>
      </c>
      <c r="N33">
        <v>40298</v>
      </c>
      <c r="O33">
        <v>1</v>
      </c>
      <c r="P33">
        <v>1</v>
      </c>
      <c r="Q33">
        <v>1</v>
      </c>
      <c r="R33">
        <v>4</v>
      </c>
      <c r="S33">
        <v>2</v>
      </c>
      <c r="T33">
        <v>422</v>
      </c>
      <c r="U33">
        <v>3</v>
      </c>
      <c r="V33">
        <f t="shared" si="20"/>
        <v>0</v>
      </c>
      <c r="W33">
        <f t="shared" si="22"/>
        <v>20</v>
      </c>
      <c r="X33">
        <f t="shared" si="23"/>
        <v>66.666666666666657</v>
      </c>
      <c r="Y33">
        <f t="shared" si="24"/>
        <v>33.333333333333329</v>
      </c>
      <c r="Z33">
        <f t="shared" si="25"/>
        <v>37.931034482758619</v>
      </c>
      <c r="AA33">
        <f t="shared" si="26"/>
        <v>18.867924528301888</v>
      </c>
      <c r="AB33">
        <f t="shared" si="27"/>
        <v>6.666666666666667</v>
      </c>
      <c r="AC33">
        <f t="shared" si="28"/>
        <v>11.111111111111111</v>
      </c>
      <c r="AD33">
        <f t="shared" si="29"/>
        <v>21.428571428571427</v>
      </c>
      <c r="AE33">
        <f t="shared" si="30"/>
        <v>32.142857142857146</v>
      </c>
      <c r="AF33">
        <f t="shared" si="31"/>
        <v>2.869757174392936</v>
      </c>
      <c r="AG33">
        <f t="shared" si="21"/>
        <v>100</v>
      </c>
      <c r="AH33">
        <f t="shared" si="1"/>
        <v>0</v>
      </c>
      <c r="AI33">
        <f t="shared" si="2"/>
        <v>100</v>
      </c>
      <c r="AJ33">
        <f t="shared" si="3"/>
        <v>100</v>
      </c>
      <c r="AK33">
        <f t="shared" si="4"/>
        <v>100</v>
      </c>
      <c r="AL33">
        <f t="shared" si="5"/>
        <v>33.333333333333329</v>
      </c>
      <c r="AM33">
        <f t="shared" si="6"/>
        <v>12.140391254315306</v>
      </c>
      <c r="AN33">
        <f t="shared" si="7"/>
        <v>66.666666666666657</v>
      </c>
      <c r="AO33">
        <f t="shared" si="10"/>
        <v>22.291991951226493</v>
      </c>
      <c r="AP33">
        <f t="shared" si="11"/>
        <v>22.372729471057582</v>
      </c>
      <c r="AQ33">
        <f t="shared" si="12"/>
        <v>37.738866371896123</v>
      </c>
      <c r="AR33">
        <f t="shared" si="13"/>
        <v>20.597154101333331</v>
      </c>
      <c r="AS33">
        <f t="shared" si="14"/>
        <v>-42.134702586033228</v>
      </c>
      <c r="AT33">
        <f t="shared" si="15"/>
        <v>-32.439030452021392</v>
      </c>
      <c r="AU33">
        <f t="shared" si="16"/>
        <v>55.387038323180079</v>
      </c>
      <c r="AV33">
        <f t="shared" si="17"/>
        <v>38.245326052617294</v>
      </c>
      <c r="AW33">
        <f t="shared" si="18"/>
        <v>47.883162239631851</v>
      </c>
      <c r="AX33">
        <f t="shared" si="19"/>
        <v>57.578834373643687</v>
      </c>
    </row>
    <row r="34" spans="1:50" x14ac:dyDescent="0.45">
      <c r="A34">
        <v>33</v>
      </c>
      <c r="B34">
        <v>33</v>
      </c>
      <c r="C34">
        <v>0</v>
      </c>
      <c r="D34">
        <v>2</v>
      </c>
      <c r="E34">
        <v>0</v>
      </c>
      <c r="F34">
        <v>6</v>
      </c>
      <c r="G34">
        <v>8</v>
      </c>
      <c r="H34">
        <v>9</v>
      </c>
      <c r="I34">
        <v>1</v>
      </c>
      <c r="J34">
        <v>2</v>
      </c>
      <c r="K34">
        <v>2</v>
      </c>
      <c r="L34">
        <v>7</v>
      </c>
      <c r="M34">
        <v>822</v>
      </c>
      <c r="N34">
        <v>39993</v>
      </c>
      <c r="O34">
        <v>4</v>
      </c>
      <c r="P34">
        <v>0</v>
      </c>
      <c r="Q34">
        <v>1</v>
      </c>
      <c r="R34">
        <v>4</v>
      </c>
      <c r="S34">
        <v>2</v>
      </c>
      <c r="T34">
        <v>286</v>
      </c>
      <c r="U34">
        <v>1</v>
      </c>
      <c r="V34">
        <f t="shared" si="20"/>
        <v>0</v>
      </c>
      <c r="W34">
        <f t="shared" si="22"/>
        <v>20</v>
      </c>
      <c r="X34">
        <f t="shared" si="23"/>
        <v>0</v>
      </c>
      <c r="Y34">
        <f t="shared" si="24"/>
        <v>25</v>
      </c>
      <c r="Z34">
        <f t="shared" si="25"/>
        <v>27.586206896551722</v>
      </c>
      <c r="AA34">
        <f t="shared" si="26"/>
        <v>16.981132075471699</v>
      </c>
      <c r="AB34">
        <f t="shared" si="27"/>
        <v>6.666666666666667</v>
      </c>
      <c r="AC34">
        <f t="shared" si="28"/>
        <v>11.111111111111111</v>
      </c>
      <c r="AD34">
        <f t="shared" si="29"/>
        <v>14.285714285714285</v>
      </c>
      <c r="AE34">
        <f t="shared" si="30"/>
        <v>25</v>
      </c>
      <c r="AF34">
        <f t="shared" si="31"/>
        <v>3.7032031355588595</v>
      </c>
      <c r="AG34">
        <f t="shared" si="21"/>
        <v>100</v>
      </c>
      <c r="AH34">
        <f t="shared" si="1"/>
        <v>100</v>
      </c>
      <c r="AI34">
        <f t="shared" si="2"/>
        <v>0</v>
      </c>
      <c r="AJ34">
        <f t="shared" si="3"/>
        <v>100</v>
      </c>
      <c r="AK34">
        <f t="shared" si="4"/>
        <v>100</v>
      </c>
      <c r="AL34">
        <f t="shared" si="5"/>
        <v>33.333333333333329</v>
      </c>
      <c r="AM34">
        <f t="shared" si="6"/>
        <v>8.2278481012658222</v>
      </c>
      <c r="AN34">
        <f t="shared" si="7"/>
        <v>0</v>
      </c>
      <c r="AO34">
        <f t="shared" si="10"/>
        <v>14.485305183245655</v>
      </c>
      <c r="AP34">
        <f t="shared" si="11"/>
        <v>14.165773343644636</v>
      </c>
      <c r="AQ34">
        <f t="shared" si="12"/>
        <v>43.717220700377069</v>
      </c>
      <c r="AR34">
        <f t="shared" si="13"/>
        <v>26.722596406161873</v>
      </c>
      <c r="AS34">
        <f t="shared" si="14"/>
        <v>-30.520088338930538</v>
      </c>
      <c r="AT34">
        <f t="shared" si="15"/>
        <v>-20.907611907367318</v>
      </c>
      <c r="AU34">
        <f t="shared" si="16"/>
        <v>61.365392651661033</v>
      </c>
      <c r="AV34">
        <f t="shared" si="17"/>
        <v>44.37076835744584</v>
      </c>
      <c r="AW34">
        <f t="shared" si="18"/>
        <v>59.497776486734544</v>
      </c>
      <c r="AX34">
        <f t="shared" si="19"/>
        <v>69.110252918297761</v>
      </c>
    </row>
    <row r="35" spans="1:50" x14ac:dyDescent="0.45">
      <c r="A35">
        <v>34</v>
      </c>
      <c r="B35">
        <v>34</v>
      </c>
      <c r="C35">
        <v>0</v>
      </c>
      <c r="D35">
        <v>2</v>
      </c>
      <c r="E35">
        <v>0</v>
      </c>
      <c r="F35">
        <v>4</v>
      </c>
      <c r="G35">
        <v>7</v>
      </c>
      <c r="H35">
        <v>13</v>
      </c>
      <c r="I35">
        <v>2</v>
      </c>
      <c r="J35">
        <v>2</v>
      </c>
      <c r="K35">
        <v>3</v>
      </c>
      <c r="L35">
        <v>8</v>
      </c>
      <c r="M35">
        <v>709</v>
      </c>
      <c r="N35">
        <v>40070</v>
      </c>
      <c r="O35">
        <v>3</v>
      </c>
      <c r="P35">
        <v>1</v>
      </c>
      <c r="Q35">
        <v>1</v>
      </c>
      <c r="R35">
        <v>4</v>
      </c>
      <c r="S35">
        <v>3</v>
      </c>
      <c r="T35">
        <v>371</v>
      </c>
      <c r="U35">
        <v>2</v>
      </c>
      <c r="V35">
        <f t="shared" si="20"/>
        <v>0</v>
      </c>
      <c r="W35">
        <f t="shared" si="22"/>
        <v>20</v>
      </c>
      <c r="X35">
        <f t="shared" si="23"/>
        <v>0</v>
      </c>
      <c r="Y35">
        <f t="shared" si="24"/>
        <v>16.666666666666664</v>
      </c>
      <c r="Z35">
        <f t="shared" si="25"/>
        <v>24.137931034482758</v>
      </c>
      <c r="AA35">
        <f t="shared" si="26"/>
        <v>24.528301886792452</v>
      </c>
      <c r="AB35">
        <f t="shared" si="27"/>
        <v>13.333333333333334</v>
      </c>
      <c r="AC35">
        <f t="shared" si="28"/>
        <v>11.111111111111111</v>
      </c>
      <c r="AD35">
        <f t="shared" si="29"/>
        <v>21.428571428571427</v>
      </c>
      <c r="AE35">
        <f t="shared" si="30"/>
        <v>28.571428571428569</v>
      </c>
      <c r="AF35">
        <f t="shared" si="31"/>
        <v>3.1941253322521059</v>
      </c>
      <c r="AG35">
        <f t="shared" si="21"/>
        <v>100</v>
      </c>
      <c r="AH35">
        <f t="shared" si="1"/>
        <v>66.666666666666657</v>
      </c>
      <c r="AI35">
        <f t="shared" si="2"/>
        <v>100</v>
      </c>
      <c r="AJ35">
        <f t="shared" si="3"/>
        <v>100</v>
      </c>
      <c r="AK35">
        <f t="shared" si="4"/>
        <v>100</v>
      </c>
      <c r="AL35">
        <f t="shared" si="5"/>
        <v>50</v>
      </c>
      <c r="AM35">
        <f t="shared" si="6"/>
        <v>10.673187571921749</v>
      </c>
      <c r="AN35">
        <f t="shared" si="7"/>
        <v>33.333333333333329</v>
      </c>
      <c r="AO35">
        <f t="shared" si="10"/>
        <v>15.968496253744599</v>
      </c>
      <c r="AP35">
        <f t="shared" si="11"/>
        <v>15.89855618587997</v>
      </c>
      <c r="AQ35">
        <f t="shared" si="12"/>
        <v>44.6378164056581</v>
      </c>
      <c r="AR35">
        <f t="shared" si="13"/>
        <v>27.553349185349514</v>
      </c>
      <c r="AS35">
        <f t="shared" si="14"/>
        <v>-45.567160871264299</v>
      </c>
      <c r="AT35">
        <f t="shared" si="15"/>
        <v>-35.903867605232463</v>
      </c>
      <c r="AU35">
        <f t="shared" si="16"/>
        <v>62.28598835694207</v>
      </c>
      <c r="AV35">
        <f t="shared" si="17"/>
        <v>45.201521136633474</v>
      </c>
      <c r="AW35">
        <f t="shared" si="18"/>
        <v>44.45070395440078</v>
      </c>
      <c r="AX35">
        <f t="shared" si="19"/>
        <v>54.113997220432623</v>
      </c>
    </row>
    <row r="36" spans="1:50" x14ac:dyDescent="0.45">
      <c r="A36">
        <v>35</v>
      </c>
      <c r="B36">
        <v>35</v>
      </c>
      <c r="C36">
        <v>0</v>
      </c>
      <c r="D36">
        <v>1</v>
      </c>
      <c r="E36">
        <v>0</v>
      </c>
      <c r="F36">
        <v>3</v>
      </c>
      <c r="G36">
        <v>5</v>
      </c>
      <c r="H36">
        <v>10</v>
      </c>
      <c r="I36">
        <v>0</v>
      </c>
      <c r="J36">
        <v>2</v>
      </c>
      <c r="K36">
        <v>3</v>
      </c>
      <c r="L36">
        <v>7</v>
      </c>
      <c r="M36">
        <v>1203</v>
      </c>
      <c r="N36">
        <v>40571</v>
      </c>
      <c r="O36">
        <v>1</v>
      </c>
      <c r="P36">
        <v>1</v>
      </c>
      <c r="Q36">
        <v>1</v>
      </c>
      <c r="R36">
        <v>3</v>
      </c>
      <c r="S36">
        <v>1</v>
      </c>
      <c r="T36">
        <v>349</v>
      </c>
      <c r="U36">
        <v>2</v>
      </c>
      <c r="V36">
        <f t="shared" si="20"/>
        <v>0</v>
      </c>
      <c r="W36">
        <f t="shared" si="22"/>
        <v>10</v>
      </c>
      <c r="X36">
        <f t="shared" si="23"/>
        <v>0</v>
      </c>
      <c r="Y36">
        <f t="shared" si="24"/>
        <v>12.5</v>
      </c>
      <c r="Z36">
        <f t="shared" si="25"/>
        <v>17.241379310344829</v>
      </c>
      <c r="AA36">
        <f t="shared" si="26"/>
        <v>18.867924528301888</v>
      </c>
      <c r="AB36">
        <f t="shared" si="27"/>
        <v>0</v>
      </c>
      <c r="AC36">
        <f t="shared" si="28"/>
        <v>11.111111111111111</v>
      </c>
      <c r="AD36">
        <f t="shared" si="29"/>
        <v>21.428571428571427</v>
      </c>
      <c r="AE36">
        <f t="shared" si="30"/>
        <v>25</v>
      </c>
      <c r="AF36">
        <f t="shared" si="31"/>
        <v>5.4196513042303014</v>
      </c>
      <c r="AG36">
        <f t="shared" si="21"/>
        <v>100</v>
      </c>
      <c r="AH36">
        <f t="shared" si="1"/>
        <v>0</v>
      </c>
      <c r="AI36">
        <f t="shared" si="2"/>
        <v>100</v>
      </c>
      <c r="AJ36">
        <f t="shared" si="3"/>
        <v>100</v>
      </c>
      <c r="AK36">
        <f t="shared" si="4"/>
        <v>75</v>
      </c>
      <c r="AL36">
        <f t="shared" si="5"/>
        <v>16.666666666666664</v>
      </c>
      <c r="AM36">
        <f t="shared" si="6"/>
        <v>10.040276179516686</v>
      </c>
      <c r="AN36">
        <f t="shared" si="7"/>
        <v>33.333333333333329</v>
      </c>
      <c r="AO36">
        <f t="shared" si="10"/>
        <v>11.996676118583924</v>
      </c>
      <c r="AP36">
        <f t="shared" si="11"/>
        <v>12.189118860173201</v>
      </c>
      <c r="AQ36">
        <f t="shared" si="12"/>
        <v>26.436733410673124</v>
      </c>
      <c r="AR36">
        <f t="shared" si="13"/>
        <v>9.7450308407197284</v>
      </c>
      <c r="AS36">
        <f t="shared" si="14"/>
        <v>-33.004181630841344</v>
      </c>
      <c r="AT36">
        <f t="shared" si="15"/>
        <v>-23.563043375672304</v>
      </c>
      <c r="AU36">
        <f t="shared" si="16"/>
        <v>44.084905361957084</v>
      </c>
      <c r="AV36">
        <f t="shared" si="17"/>
        <v>27.393202792003692</v>
      </c>
      <c r="AW36">
        <f t="shared" si="18"/>
        <v>57.013683194823741</v>
      </c>
      <c r="AX36">
        <f t="shared" si="19"/>
        <v>66.454821449992778</v>
      </c>
    </row>
    <row r="37" spans="1:50" x14ac:dyDescent="0.45">
      <c r="A37">
        <v>36</v>
      </c>
      <c r="B37">
        <v>36</v>
      </c>
      <c r="C37">
        <v>0</v>
      </c>
      <c r="D37">
        <v>1</v>
      </c>
      <c r="E37">
        <v>0</v>
      </c>
      <c r="F37">
        <v>3</v>
      </c>
      <c r="G37">
        <v>5</v>
      </c>
      <c r="H37">
        <v>10</v>
      </c>
      <c r="I37">
        <v>1</v>
      </c>
      <c r="J37">
        <v>2</v>
      </c>
      <c r="K37">
        <v>3</v>
      </c>
      <c r="L37">
        <v>6</v>
      </c>
      <c r="M37">
        <v>1218</v>
      </c>
      <c r="N37">
        <v>40511</v>
      </c>
      <c r="O37">
        <v>3</v>
      </c>
      <c r="P37">
        <v>1</v>
      </c>
      <c r="Q37">
        <v>0</v>
      </c>
      <c r="R37">
        <v>3</v>
      </c>
      <c r="S37">
        <v>2</v>
      </c>
      <c r="T37">
        <v>376</v>
      </c>
      <c r="U37">
        <v>1</v>
      </c>
      <c r="V37">
        <f t="shared" si="20"/>
        <v>0</v>
      </c>
      <c r="W37">
        <f t="shared" si="22"/>
        <v>10</v>
      </c>
      <c r="X37">
        <f t="shared" si="23"/>
        <v>0</v>
      </c>
      <c r="Y37">
        <f t="shared" si="24"/>
        <v>12.5</v>
      </c>
      <c r="Z37">
        <f t="shared" si="25"/>
        <v>17.241379310344829</v>
      </c>
      <c r="AA37">
        <f t="shared" si="26"/>
        <v>18.867924528301888</v>
      </c>
      <c r="AB37">
        <f t="shared" si="27"/>
        <v>6.666666666666667</v>
      </c>
      <c r="AC37">
        <f t="shared" si="28"/>
        <v>11.111111111111111</v>
      </c>
      <c r="AD37">
        <f t="shared" si="29"/>
        <v>21.428571428571427</v>
      </c>
      <c r="AE37">
        <f t="shared" si="30"/>
        <v>21.428571428571427</v>
      </c>
      <c r="AF37">
        <f t="shared" si="31"/>
        <v>5.4872280037842955</v>
      </c>
      <c r="AG37">
        <f t="shared" si="21"/>
        <v>100</v>
      </c>
      <c r="AH37">
        <f t="shared" si="1"/>
        <v>66.666666666666657</v>
      </c>
      <c r="AI37">
        <f t="shared" si="2"/>
        <v>100</v>
      </c>
      <c r="AJ37">
        <f t="shared" si="3"/>
        <v>0</v>
      </c>
      <c r="AK37">
        <f t="shared" si="4"/>
        <v>75</v>
      </c>
      <c r="AL37">
        <f t="shared" si="5"/>
        <v>33.333333333333329</v>
      </c>
      <c r="AM37">
        <f t="shared" si="6"/>
        <v>10.817031070195627</v>
      </c>
      <c r="AN37">
        <f t="shared" si="7"/>
        <v>0</v>
      </c>
      <c r="AO37">
        <f t="shared" si="10"/>
        <v>12.411375309664054</v>
      </c>
      <c r="AP37">
        <f t="shared" si="11"/>
        <v>12.510157088999044</v>
      </c>
      <c r="AQ37">
        <f t="shared" si="12"/>
        <v>26.247221960685454</v>
      </c>
      <c r="AR37">
        <f t="shared" si="13"/>
        <v>9.5674454428683511</v>
      </c>
      <c r="AS37">
        <f t="shared" si="14"/>
        <v>-33.014336689866028</v>
      </c>
      <c r="AT37">
        <f t="shared" si="15"/>
        <v>-23.579944032192827</v>
      </c>
      <c r="AU37">
        <f t="shared" si="16"/>
        <v>43.895393911969421</v>
      </c>
      <c r="AV37">
        <f t="shared" si="17"/>
        <v>27.215617394152314</v>
      </c>
      <c r="AW37">
        <f t="shared" si="18"/>
        <v>57.003528135799051</v>
      </c>
      <c r="AX37">
        <f t="shared" si="19"/>
        <v>66.437920793472244</v>
      </c>
    </row>
    <row r="38" spans="1:50" x14ac:dyDescent="0.45">
      <c r="A38">
        <v>37</v>
      </c>
      <c r="B38">
        <v>37</v>
      </c>
      <c r="C38">
        <v>0</v>
      </c>
      <c r="D38">
        <v>1</v>
      </c>
      <c r="E38">
        <v>0</v>
      </c>
      <c r="F38">
        <v>3</v>
      </c>
      <c r="G38">
        <v>5</v>
      </c>
      <c r="H38">
        <v>10</v>
      </c>
      <c r="I38">
        <v>1</v>
      </c>
      <c r="J38">
        <v>2</v>
      </c>
      <c r="K38">
        <v>3</v>
      </c>
      <c r="L38">
        <v>6</v>
      </c>
      <c r="M38">
        <v>1161</v>
      </c>
      <c r="N38">
        <v>40455</v>
      </c>
      <c r="O38">
        <v>2</v>
      </c>
      <c r="P38">
        <v>0</v>
      </c>
      <c r="Q38">
        <v>0</v>
      </c>
      <c r="R38">
        <v>3</v>
      </c>
      <c r="S38">
        <v>1</v>
      </c>
      <c r="T38">
        <v>18</v>
      </c>
      <c r="U38">
        <v>1</v>
      </c>
      <c r="V38">
        <f t="shared" si="20"/>
        <v>0</v>
      </c>
      <c r="W38">
        <f t="shared" si="22"/>
        <v>10</v>
      </c>
      <c r="X38">
        <f t="shared" si="23"/>
        <v>0</v>
      </c>
      <c r="Y38">
        <f t="shared" si="24"/>
        <v>12.5</v>
      </c>
      <c r="Z38">
        <f t="shared" si="25"/>
        <v>17.241379310344829</v>
      </c>
      <c r="AA38">
        <f t="shared" si="26"/>
        <v>18.867924528301888</v>
      </c>
      <c r="AB38">
        <f t="shared" si="27"/>
        <v>6.666666666666667</v>
      </c>
      <c r="AC38">
        <f t="shared" si="28"/>
        <v>11.111111111111111</v>
      </c>
      <c r="AD38">
        <f t="shared" si="29"/>
        <v>21.428571428571427</v>
      </c>
      <c r="AE38">
        <f t="shared" si="30"/>
        <v>21.428571428571427</v>
      </c>
      <c r="AF38">
        <f t="shared" si="31"/>
        <v>5.2304365454791188</v>
      </c>
      <c r="AG38">
        <f t="shared" si="21"/>
        <v>100</v>
      </c>
      <c r="AH38">
        <f t="shared" si="1"/>
        <v>33.333333333333329</v>
      </c>
      <c r="AI38">
        <f t="shared" si="2"/>
        <v>0</v>
      </c>
      <c r="AJ38">
        <f t="shared" si="3"/>
        <v>0</v>
      </c>
      <c r="AK38">
        <f t="shared" si="4"/>
        <v>75</v>
      </c>
      <c r="AL38">
        <f t="shared" si="5"/>
        <v>16.666666666666664</v>
      </c>
      <c r="AM38">
        <f t="shared" si="6"/>
        <v>0.51783659378596081</v>
      </c>
      <c r="AN38">
        <f t="shared" si="7"/>
        <v>0</v>
      </c>
      <c r="AO38">
        <f t="shared" si="10"/>
        <v>12.411375309664054</v>
      </c>
      <c r="AP38">
        <f t="shared" si="11"/>
        <v>12.510157088999044</v>
      </c>
      <c r="AQ38">
        <f t="shared" si="12"/>
        <v>19.708695452601138</v>
      </c>
      <c r="AR38">
        <f t="shared" si="13"/>
        <v>2.9835999366661268</v>
      </c>
      <c r="AS38">
        <f t="shared" si="14"/>
        <v>-13.994708502191648</v>
      </c>
      <c r="AT38">
        <f t="shared" si="15"/>
        <v>-4.5346825740342736</v>
      </c>
      <c r="AU38">
        <f t="shared" si="16"/>
        <v>37.356867403885104</v>
      </c>
      <c r="AV38">
        <f t="shared" si="17"/>
        <v>20.631771887950091</v>
      </c>
      <c r="AW38">
        <f t="shared" si="18"/>
        <v>76.023156323473444</v>
      </c>
      <c r="AX38">
        <f t="shared" si="19"/>
        <v>85.483182251630808</v>
      </c>
    </row>
    <row r="39" spans="1:50" x14ac:dyDescent="0.45">
      <c r="A39">
        <v>38</v>
      </c>
      <c r="B39">
        <v>38</v>
      </c>
      <c r="C39">
        <v>0</v>
      </c>
      <c r="D39">
        <v>1</v>
      </c>
      <c r="E39">
        <v>0</v>
      </c>
      <c r="F39">
        <v>3</v>
      </c>
      <c r="G39">
        <v>4</v>
      </c>
      <c r="H39">
        <v>8</v>
      </c>
      <c r="I39">
        <v>1</v>
      </c>
      <c r="J39">
        <v>2</v>
      </c>
      <c r="K39">
        <v>3</v>
      </c>
      <c r="L39">
        <v>6</v>
      </c>
      <c r="M39">
        <v>1433</v>
      </c>
      <c r="N39">
        <v>40402</v>
      </c>
      <c r="O39">
        <v>3</v>
      </c>
      <c r="P39">
        <v>0</v>
      </c>
      <c r="Q39">
        <v>1</v>
      </c>
      <c r="R39">
        <v>2</v>
      </c>
      <c r="S39">
        <v>2</v>
      </c>
      <c r="T39">
        <v>216</v>
      </c>
      <c r="U39">
        <v>1</v>
      </c>
      <c r="V39">
        <f t="shared" si="20"/>
        <v>0</v>
      </c>
      <c r="W39">
        <f t="shared" si="22"/>
        <v>10</v>
      </c>
      <c r="X39">
        <f t="shared" si="23"/>
        <v>0</v>
      </c>
      <c r="Y39">
        <f t="shared" si="24"/>
        <v>12.5</v>
      </c>
      <c r="Z39">
        <f t="shared" si="25"/>
        <v>13.793103448275861</v>
      </c>
      <c r="AA39">
        <f t="shared" si="26"/>
        <v>15.09433962264151</v>
      </c>
      <c r="AB39">
        <f t="shared" si="27"/>
        <v>6.666666666666667</v>
      </c>
      <c r="AC39">
        <f t="shared" si="28"/>
        <v>11.111111111111111</v>
      </c>
      <c r="AD39">
        <f t="shared" si="29"/>
        <v>21.428571428571427</v>
      </c>
      <c r="AE39">
        <f t="shared" si="30"/>
        <v>21.428571428571427</v>
      </c>
      <c r="AF39">
        <f t="shared" si="31"/>
        <v>6.455827364058206</v>
      </c>
      <c r="AG39">
        <f t="shared" si="21"/>
        <v>100</v>
      </c>
      <c r="AH39">
        <f t="shared" si="1"/>
        <v>66.666666666666657</v>
      </c>
      <c r="AI39">
        <f t="shared" si="2"/>
        <v>0</v>
      </c>
      <c r="AJ39">
        <f t="shared" si="3"/>
        <v>100</v>
      </c>
      <c r="AK39">
        <f t="shared" si="4"/>
        <v>50</v>
      </c>
      <c r="AL39">
        <f t="shared" si="5"/>
        <v>33.333333333333329</v>
      </c>
      <c r="AM39">
        <f t="shared" si="6"/>
        <v>6.2140391254315306</v>
      </c>
      <c r="AN39">
        <f t="shared" si="7"/>
        <v>0</v>
      </c>
      <c r="AO39">
        <f t="shared" si="10"/>
        <v>11.636625100874634</v>
      </c>
      <c r="AP39">
        <f t="shared" si="11"/>
        <v>11.884478150564508</v>
      </c>
      <c r="AQ39">
        <f t="shared" si="12"/>
        <v>31.094635086338037</v>
      </c>
      <c r="AR39">
        <f t="shared" si="13"/>
        <v>14.585798649141108</v>
      </c>
      <c r="AS39">
        <f t="shared" si="14"/>
        <v>-22.086952863621097</v>
      </c>
      <c r="AT39">
        <f t="shared" si="15"/>
        <v>-12.749247103388171</v>
      </c>
      <c r="AU39">
        <f t="shared" si="16"/>
        <v>48.742807037622001</v>
      </c>
      <c r="AV39">
        <f t="shared" si="17"/>
        <v>32.233970600425067</v>
      </c>
      <c r="AW39">
        <f t="shared" si="18"/>
        <v>67.930911962043993</v>
      </c>
      <c r="AX39">
        <f t="shared" si="19"/>
        <v>77.268617722276915</v>
      </c>
    </row>
    <row r="40" spans="1:50" x14ac:dyDescent="0.45">
      <c r="A40">
        <v>39</v>
      </c>
      <c r="B40">
        <v>39</v>
      </c>
      <c r="C40">
        <v>0</v>
      </c>
      <c r="D40">
        <v>0</v>
      </c>
      <c r="E40">
        <v>0</v>
      </c>
      <c r="F40">
        <v>1</v>
      </c>
      <c r="G40">
        <v>3</v>
      </c>
      <c r="H40">
        <v>5</v>
      </c>
      <c r="I40">
        <v>1</v>
      </c>
      <c r="J40">
        <v>0</v>
      </c>
      <c r="K40">
        <v>0</v>
      </c>
      <c r="L40">
        <v>4</v>
      </c>
      <c r="M40">
        <v>1388</v>
      </c>
      <c r="N40">
        <v>40532</v>
      </c>
      <c r="O40">
        <v>3</v>
      </c>
      <c r="P40">
        <v>0</v>
      </c>
      <c r="Q40">
        <v>1</v>
      </c>
      <c r="R40">
        <v>0</v>
      </c>
      <c r="S40">
        <v>2</v>
      </c>
      <c r="T40">
        <v>161</v>
      </c>
      <c r="U40">
        <v>2</v>
      </c>
      <c r="V40">
        <f t="shared" si="20"/>
        <v>0</v>
      </c>
      <c r="W40">
        <f t="shared" si="22"/>
        <v>0</v>
      </c>
      <c r="X40">
        <f t="shared" si="23"/>
        <v>0</v>
      </c>
      <c r="Y40">
        <f t="shared" si="24"/>
        <v>4.1666666666666661</v>
      </c>
      <c r="Z40">
        <f t="shared" si="25"/>
        <v>10.344827586206897</v>
      </c>
      <c r="AA40">
        <f t="shared" si="26"/>
        <v>9.433962264150944</v>
      </c>
      <c r="AB40">
        <f t="shared" si="27"/>
        <v>6.666666666666667</v>
      </c>
      <c r="AC40">
        <f t="shared" si="28"/>
        <v>0</v>
      </c>
      <c r="AD40">
        <f t="shared" si="29"/>
        <v>0</v>
      </c>
      <c r="AE40">
        <f t="shared" si="30"/>
        <v>14.285714285714285</v>
      </c>
      <c r="AF40">
        <f t="shared" si="31"/>
        <v>6.2530972653962253</v>
      </c>
      <c r="AG40">
        <f t="shared" si="21"/>
        <v>100</v>
      </c>
      <c r="AH40">
        <f t="shared" si="1"/>
        <v>66.666666666666657</v>
      </c>
      <c r="AI40">
        <f t="shared" si="2"/>
        <v>0</v>
      </c>
      <c r="AJ40">
        <f t="shared" si="3"/>
        <v>100</v>
      </c>
      <c r="AK40">
        <f t="shared" si="4"/>
        <v>0</v>
      </c>
      <c r="AL40">
        <f t="shared" si="5"/>
        <v>33.333333333333329</v>
      </c>
      <c r="AM40">
        <f t="shared" si="6"/>
        <v>4.6317606444188728</v>
      </c>
      <c r="AN40">
        <f t="shared" si="7"/>
        <v>33.333333333333329</v>
      </c>
      <c r="AO40">
        <f t="shared" si="10"/>
        <v>4.0148729604184688</v>
      </c>
      <c r="AP40">
        <f t="shared" si="11"/>
        <v>3.9807750374695079</v>
      </c>
      <c r="AQ40">
        <f t="shared" si="12"/>
        <v>24.101913744691871</v>
      </c>
      <c r="AR40">
        <f t="shared" si="13"/>
        <v>7.5572991510860676</v>
      </c>
      <c r="AS40">
        <f t="shared" si="14"/>
        <v>-17.471929074579997</v>
      </c>
      <c r="AT40">
        <f t="shared" si="15"/>
        <v>-8.1139865218595713</v>
      </c>
      <c r="AU40">
        <f t="shared" si="16"/>
        <v>41.750085695975834</v>
      </c>
      <c r="AV40">
        <f t="shared" si="17"/>
        <v>25.20547110237003</v>
      </c>
      <c r="AW40">
        <f t="shared" si="18"/>
        <v>72.545935751085082</v>
      </c>
      <c r="AX40">
        <f t="shared" si="19"/>
        <v>81.903878303805513</v>
      </c>
    </row>
    <row r="41" spans="1:50" x14ac:dyDescent="0.45">
      <c r="A41">
        <v>40</v>
      </c>
      <c r="B41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2507</v>
      </c>
      <c r="N41">
        <v>41689</v>
      </c>
      <c r="O41">
        <v>4</v>
      </c>
      <c r="P41">
        <v>0</v>
      </c>
      <c r="Q41">
        <v>1</v>
      </c>
      <c r="R41">
        <v>1</v>
      </c>
      <c r="S41">
        <v>1</v>
      </c>
      <c r="T41">
        <v>789</v>
      </c>
      <c r="U41">
        <v>2</v>
      </c>
      <c r="V41">
        <f t="shared" si="20"/>
        <v>0</v>
      </c>
      <c r="W41">
        <f t="shared" si="22"/>
        <v>0</v>
      </c>
      <c r="X41">
        <f t="shared" si="23"/>
        <v>0</v>
      </c>
      <c r="Y41">
        <f t="shared" si="24"/>
        <v>0</v>
      </c>
      <c r="Z41">
        <f t="shared" si="25"/>
        <v>0</v>
      </c>
      <c r="AA41">
        <f t="shared" si="26"/>
        <v>0</v>
      </c>
      <c r="AB41">
        <f t="shared" si="27"/>
        <v>0</v>
      </c>
      <c r="AC41">
        <f t="shared" si="28"/>
        <v>0</v>
      </c>
      <c r="AD41">
        <f t="shared" si="29"/>
        <v>0</v>
      </c>
      <c r="AE41">
        <f t="shared" si="30"/>
        <v>0</v>
      </c>
      <c r="AF41">
        <f t="shared" si="31"/>
        <v>11.294319052124161</v>
      </c>
      <c r="AG41">
        <f t="shared" si="21"/>
        <v>100</v>
      </c>
      <c r="AH41">
        <f t="shared" si="1"/>
        <v>100</v>
      </c>
      <c r="AI41">
        <f t="shared" si="2"/>
        <v>0</v>
      </c>
      <c r="AJ41">
        <f t="shared" si="3"/>
        <v>100</v>
      </c>
      <c r="AK41">
        <f t="shared" si="4"/>
        <v>25</v>
      </c>
      <c r="AL41">
        <f t="shared" si="5"/>
        <v>16.666666666666664</v>
      </c>
      <c r="AM41">
        <f t="shared" si="6"/>
        <v>22.698504027617954</v>
      </c>
      <c r="AN41">
        <f t="shared" si="7"/>
        <v>33.333333333333329</v>
      </c>
      <c r="AO41">
        <f t="shared" si="10"/>
        <v>0</v>
      </c>
      <c r="AP41">
        <f t="shared" si="11"/>
        <v>0</v>
      </c>
      <c r="AQ41">
        <f t="shared" si="12"/>
        <v>27.54008229878815</v>
      </c>
      <c r="AR41">
        <f t="shared" si="13"/>
        <v>11.885151194549682</v>
      </c>
      <c r="AS41">
        <f t="shared" si="14"/>
        <v>-21.591172291502382</v>
      </c>
      <c r="AT41">
        <f t="shared" si="15"/>
        <v>-12.736451311971161</v>
      </c>
      <c r="AU41">
        <f t="shared" si="16"/>
        <v>45.188254250072113</v>
      </c>
      <c r="AV41">
        <f t="shared" si="17"/>
        <v>29.533323145833645</v>
      </c>
      <c r="AW41">
        <f t="shared" si="18"/>
        <v>68.426692534162697</v>
      </c>
      <c r="AX41">
        <f t="shared" si="19"/>
        <v>77.28141351369392</v>
      </c>
    </row>
    <row r="42" spans="1:50" x14ac:dyDescent="0.45">
      <c r="A42">
        <v>41</v>
      </c>
      <c r="B42">
        <v>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2507</v>
      </c>
      <c r="N42">
        <v>41689</v>
      </c>
      <c r="O42">
        <v>3</v>
      </c>
      <c r="P42">
        <v>0</v>
      </c>
      <c r="Q42">
        <v>1</v>
      </c>
      <c r="R42">
        <v>1</v>
      </c>
      <c r="S42">
        <v>1</v>
      </c>
      <c r="T42">
        <v>60</v>
      </c>
      <c r="U42">
        <v>1</v>
      </c>
      <c r="V42">
        <f t="shared" si="20"/>
        <v>0</v>
      </c>
      <c r="W42">
        <f t="shared" si="22"/>
        <v>0</v>
      </c>
      <c r="X42">
        <f t="shared" si="23"/>
        <v>0</v>
      </c>
      <c r="Y42">
        <f t="shared" si="24"/>
        <v>0</v>
      </c>
      <c r="Z42">
        <f t="shared" si="25"/>
        <v>0</v>
      </c>
      <c r="AA42">
        <f t="shared" si="26"/>
        <v>0</v>
      </c>
      <c r="AB42">
        <f t="shared" si="27"/>
        <v>0</v>
      </c>
      <c r="AC42">
        <f t="shared" si="28"/>
        <v>0</v>
      </c>
      <c r="AD42">
        <f t="shared" si="29"/>
        <v>0</v>
      </c>
      <c r="AE42">
        <f t="shared" si="30"/>
        <v>0</v>
      </c>
      <c r="AF42">
        <f t="shared" si="31"/>
        <v>11.294319052124161</v>
      </c>
      <c r="AG42">
        <f t="shared" si="21"/>
        <v>100</v>
      </c>
      <c r="AH42">
        <f t="shared" si="1"/>
        <v>66.666666666666657</v>
      </c>
      <c r="AI42">
        <f t="shared" si="2"/>
        <v>0</v>
      </c>
      <c r="AJ42">
        <f t="shared" si="3"/>
        <v>100</v>
      </c>
      <c r="AK42">
        <f t="shared" si="4"/>
        <v>25</v>
      </c>
      <c r="AL42">
        <f t="shared" si="5"/>
        <v>16.666666666666664</v>
      </c>
      <c r="AM42">
        <f t="shared" si="6"/>
        <v>1.7261219792865361</v>
      </c>
      <c r="AN42">
        <f t="shared" si="7"/>
        <v>0</v>
      </c>
      <c r="AO42">
        <f t="shared" si="10"/>
        <v>0</v>
      </c>
      <c r="AP42">
        <f t="shared" si="11"/>
        <v>0</v>
      </c>
      <c r="AQ42">
        <f t="shared" si="12"/>
        <v>21.218634510756839</v>
      </c>
      <c r="AR42">
        <f t="shared" si="13"/>
        <v>5.563703406518373</v>
      </c>
      <c r="AS42">
        <f t="shared" si="14"/>
        <v>-14.079143308753654</v>
      </c>
      <c r="AT42">
        <f t="shared" si="15"/>
        <v>-5.2244223292224357</v>
      </c>
      <c r="AU42">
        <f t="shared" si="16"/>
        <v>38.866806462040799</v>
      </c>
      <c r="AV42">
        <f t="shared" si="17"/>
        <v>23.211875357802334</v>
      </c>
      <c r="AW42">
        <f t="shared" si="18"/>
        <v>75.938721516911428</v>
      </c>
      <c r="AX42">
        <f t="shared" si="19"/>
        <v>84.793442496442651</v>
      </c>
    </row>
    <row r="43" spans="1:50" x14ac:dyDescent="0.45">
      <c r="A43">
        <v>42</v>
      </c>
      <c r="B43">
        <v>42</v>
      </c>
      <c r="C43">
        <v>0</v>
      </c>
      <c r="D43">
        <v>0</v>
      </c>
      <c r="E43">
        <v>0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3</v>
      </c>
      <c r="M43">
        <v>1370</v>
      </c>
      <c r="N43">
        <v>40565</v>
      </c>
      <c r="O43">
        <v>3</v>
      </c>
      <c r="P43">
        <v>0</v>
      </c>
      <c r="Q43">
        <v>1</v>
      </c>
      <c r="R43">
        <v>0</v>
      </c>
      <c r="S43">
        <v>3</v>
      </c>
      <c r="T43">
        <v>3545</v>
      </c>
      <c r="U43">
        <v>3</v>
      </c>
      <c r="V43">
        <f t="shared" si="20"/>
        <v>0</v>
      </c>
      <c r="W43">
        <f t="shared" si="22"/>
        <v>0</v>
      </c>
      <c r="X43">
        <f t="shared" si="23"/>
        <v>0</v>
      </c>
      <c r="Y43">
        <f t="shared" si="24"/>
        <v>0</v>
      </c>
      <c r="Z43">
        <f t="shared" si="25"/>
        <v>0</v>
      </c>
      <c r="AA43">
        <f t="shared" si="26"/>
        <v>3.7735849056603774</v>
      </c>
      <c r="AB43">
        <f t="shared" si="27"/>
        <v>0</v>
      </c>
      <c r="AC43">
        <f t="shared" si="28"/>
        <v>0</v>
      </c>
      <c r="AD43">
        <f t="shared" si="29"/>
        <v>0</v>
      </c>
      <c r="AE43">
        <f t="shared" si="30"/>
        <v>10.714285714285714</v>
      </c>
      <c r="AF43">
        <f t="shared" si="31"/>
        <v>6.1720052259314322</v>
      </c>
      <c r="AG43">
        <f t="shared" si="21"/>
        <v>100</v>
      </c>
      <c r="AH43">
        <f t="shared" si="1"/>
        <v>66.666666666666657</v>
      </c>
      <c r="AI43">
        <f t="shared" si="2"/>
        <v>0</v>
      </c>
      <c r="AJ43">
        <f t="shared" si="3"/>
        <v>100</v>
      </c>
      <c r="AK43">
        <f t="shared" si="4"/>
        <v>0</v>
      </c>
      <c r="AL43">
        <f t="shared" si="5"/>
        <v>50</v>
      </c>
      <c r="AM43">
        <f t="shared" si="6"/>
        <v>100</v>
      </c>
      <c r="AN43">
        <f t="shared" si="7"/>
        <v>66.666666666666657</v>
      </c>
      <c r="AO43">
        <f t="shared" si="10"/>
        <v>0.98942829900425222</v>
      </c>
      <c r="AP43">
        <f t="shared" si="11"/>
        <v>1.2767339783897882</v>
      </c>
      <c r="AQ43">
        <f t="shared" si="12"/>
        <v>27.951544239453785</v>
      </c>
      <c r="AR43">
        <f t="shared" si="13"/>
        <v>11.392618383284436</v>
      </c>
      <c r="AS43">
        <f t="shared" si="14"/>
        <v>-32.787932676765173</v>
      </c>
      <c r="AT43">
        <f t="shared" si="15"/>
        <v>-23.421895407049742</v>
      </c>
      <c r="AU43">
        <f t="shared" si="16"/>
        <v>45.599716190737752</v>
      </c>
      <c r="AV43">
        <f t="shared" si="17"/>
        <v>29.040790334568399</v>
      </c>
      <c r="AW43">
        <f t="shared" si="18"/>
        <v>57.229932148899906</v>
      </c>
      <c r="AX43">
        <f t="shared" si="19"/>
        <v>66.595969418615326</v>
      </c>
    </row>
    <row r="44" spans="1:50" x14ac:dyDescent="0.45">
      <c r="A44">
        <v>43</v>
      </c>
      <c r="B44">
        <v>43</v>
      </c>
      <c r="C44">
        <v>0</v>
      </c>
      <c r="D44">
        <v>1</v>
      </c>
      <c r="E44">
        <v>0</v>
      </c>
      <c r="F44">
        <v>3</v>
      </c>
      <c r="G44">
        <v>4</v>
      </c>
      <c r="H44">
        <v>8</v>
      </c>
      <c r="I44">
        <v>1</v>
      </c>
      <c r="J44">
        <v>2</v>
      </c>
      <c r="K44">
        <v>3</v>
      </c>
      <c r="L44">
        <v>6</v>
      </c>
      <c r="M44">
        <v>1367</v>
      </c>
      <c r="N44">
        <v>40549</v>
      </c>
      <c r="O44">
        <v>3</v>
      </c>
      <c r="P44">
        <v>0</v>
      </c>
      <c r="Q44">
        <v>0</v>
      </c>
      <c r="R44">
        <v>0</v>
      </c>
      <c r="S44">
        <v>1</v>
      </c>
      <c r="T44">
        <v>34</v>
      </c>
      <c r="U44">
        <v>1</v>
      </c>
      <c r="V44">
        <f t="shared" si="20"/>
        <v>0</v>
      </c>
      <c r="W44">
        <f t="shared" si="22"/>
        <v>10</v>
      </c>
      <c r="X44">
        <f t="shared" si="23"/>
        <v>0</v>
      </c>
      <c r="Y44">
        <f t="shared" si="24"/>
        <v>12.5</v>
      </c>
      <c r="Z44">
        <f t="shared" si="25"/>
        <v>13.793103448275861</v>
      </c>
      <c r="AA44">
        <f t="shared" si="26"/>
        <v>15.09433962264151</v>
      </c>
      <c r="AB44">
        <f t="shared" si="27"/>
        <v>6.666666666666667</v>
      </c>
      <c r="AC44">
        <f t="shared" si="28"/>
        <v>11.111111111111111</v>
      </c>
      <c r="AD44">
        <f t="shared" si="29"/>
        <v>21.428571428571427</v>
      </c>
      <c r="AE44">
        <f t="shared" si="30"/>
        <v>21.428571428571427</v>
      </c>
      <c r="AF44">
        <f t="shared" si="31"/>
        <v>6.1584898860206332</v>
      </c>
      <c r="AG44">
        <f t="shared" si="21"/>
        <v>100</v>
      </c>
      <c r="AH44">
        <f t="shared" si="1"/>
        <v>66.666666666666657</v>
      </c>
      <c r="AI44">
        <f t="shared" si="2"/>
        <v>0</v>
      </c>
      <c r="AJ44">
        <f t="shared" si="3"/>
        <v>0</v>
      </c>
      <c r="AK44">
        <f t="shared" si="4"/>
        <v>0</v>
      </c>
      <c r="AL44">
        <f t="shared" si="5"/>
        <v>16.666666666666664</v>
      </c>
      <c r="AM44">
        <f t="shared" si="6"/>
        <v>0.97813578826237058</v>
      </c>
      <c r="AN44">
        <f t="shared" si="7"/>
        <v>0</v>
      </c>
      <c r="AO44">
        <f t="shared" si="10"/>
        <v>11.636625100874634</v>
      </c>
      <c r="AP44">
        <f t="shared" si="11"/>
        <v>11.884478150564508</v>
      </c>
      <c r="AQ44">
        <f t="shared" si="12"/>
        <v>12.605116941032819</v>
      </c>
      <c r="AR44">
        <f t="shared" si="13"/>
        <v>-3.9561941255637905</v>
      </c>
      <c r="AS44">
        <f t="shared" si="14"/>
        <v>-9.7215375659719943</v>
      </c>
      <c r="AT44">
        <f t="shared" si="15"/>
        <v>-0.35415117675740326</v>
      </c>
      <c r="AU44">
        <f t="shared" si="16"/>
        <v>30.253288892316782</v>
      </c>
      <c r="AV44">
        <f t="shared" si="17"/>
        <v>13.691977825720173</v>
      </c>
      <c r="AW44">
        <f t="shared" si="18"/>
        <v>80.296327259693072</v>
      </c>
      <c r="AX44">
        <f t="shared" si="19"/>
        <v>89.663713648907688</v>
      </c>
    </row>
    <row r="45" spans="1:50" x14ac:dyDescent="0.45">
      <c r="A45">
        <v>44</v>
      </c>
      <c r="B45">
        <v>44</v>
      </c>
      <c r="C45">
        <v>0</v>
      </c>
      <c r="D45">
        <v>1</v>
      </c>
      <c r="E45">
        <v>0</v>
      </c>
      <c r="F45">
        <v>3</v>
      </c>
      <c r="G45">
        <v>4</v>
      </c>
      <c r="H45">
        <v>8</v>
      </c>
      <c r="I45">
        <v>1</v>
      </c>
      <c r="J45">
        <v>2</v>
      </c>
      <c r="K45">
        <v>3</v>
      </c>
      <c r="L45">
        <v>6</v>
      </c>
      <c r="M45">
        <v>1357</v>
      </c>
      <c r="N45">
        <v>40539</v>
      </c>
      <c r="O45">
        <v>3</v>
      </c>
      <c r="P45">
        <v>0</v>
      </c>
      <c r="Q45">
        <v>0</v>
      </c>
      <c r="R45">
        <v>0</v>
      </c>
      <c r="S45">
        <v>1</v>
      </c>
      <c r="T45">
        <v>69</v>
      </c>
      <c r="U45">
        <v>1</v>
      </c>
      <c r="V45">
        <f t="shared" si="20"/>
        <v>0</v>
      </c>
      <c r="W45">
        <f t="shared" si="22"/>
        <v>10</v>
      </c>
      <c r="X45">
        <f t="shared" si="23"/>
        <v>0</v>
      </c>
      <c r="Y45">
        <f t="shared" si="24"/>
        <v>12.5</v>
      </c>
      <c r="Z45">
        <f t="shared" si="25"/>
        <v>13.793103448275861</v>
      </c>
      <c r="AA45">
        <f t="shared" si="26"/>
        <v>15.09433962264151</v>
      </c>
      <c r="AB45">
        <f t="shared" si="27"/>
        <v>6.666666666666667</v>
      </c>
      <c r="AC45">
        <f t="shared" si="28"/>
        <v>11.111111111111111</v>
      </c>
      <c r="AD45">
        <f t="shared" si="29"/>
        <v>21.428571428571427</v>
      </c>
      <c r="AE45">
        <f t="shared" si="30"/>
        <v>21.428571428571427</v>
      </c>
      <c r="AF45">
        <f t="shared" si="31"/>
        <v>6.1134387529846377</v>
      </c>
      <c r="AG45">
        <f t="shared" si="21"/>
        <v>100</v>
      </c>
      <c r="AH45">
        <f t="shared" si="1"/>
        <v>66.666666666666657</v>
      </c>
      <c r="AI45">
        <f t="shared" si="2"/>
        <v>0</v>
      </c>
      <c r="AJ45">
        <f t="shared" si="3"/>
        <v>0</v>
      </c>
      <c r="AK45">
        <f t="shared" si="4"/>
        <v>0</v>
      </c>
      <c r="AL45">
        <f t="shared" si="5"/>
        <v>16.666666666666664</v>
      </c>
      <c r="AM45">
        <f t="shared" si="6"/>
        <v>1.9850402761795167</v>
      </c>
      <c r="AN45">
        <f t="shared" si="7"/>
        <v>0</v>
      </c>
      <c r="AO45">
        <f t="shared" si="10"/>
        <v>11.636625100874634</v>
      </c>
      <c r="AP45">
        <f t="shared" si="11"/>
        <v>11.884478150564508</v>
      </c>
      <c r="AQ45">
        <f t="shared" si="12"/>
        <v>12.613067642457013</v>
      </c>
      <c r="AR45">
        <f t="shared" si="13"/>
        <v>-3.9561941255637905</v>
      </c>
      <c r="AS45">
        <f t="shared" si="14"/>
        <v>-9.8541748583394817</v>
      </c>
      <c r="AT45">
        <f t="shared" si="15"/>
        <v>-0.48229140412766824</v>
      </c>
      <c r="AU45">
        <f t="shared" si="16"/>
        <v>30.261239593740974</v>
      </c>
      <c r="AV45">
        <f t="shared" si="17"/>
        <v>13.691977825720173</v>
      </c>
      <c r="AW45">
        <f t="shared" si="18"/>
        <v>80.163689967325595</v>
      </c>
      <c r="AX45">
        <f t="shared" si="19"/>
        <v>89.535573421537421</v>
      </c>
    </row>
    <row r="46" spans="1:50" x14ac:dyDescent="0.45">
      <c r="A46">
        <v>45</v>
      </c>
      <c r="B46">
        <v>45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2496</v>
      </c>
      <c r="N46">
        <v>41876</v>
      </c>
      <c r="O46">
        <v>2</v>
      </c>
      <c r="P46">
        <v>0</v>
      </c>
      <c r="Q46">
        <v>0</v>
      </c>
      <c r="R46">
        <v>0</v>
      </c>
      <c r="S46">
        <v>1</v>
      </c>
      <c r="T46">
        <v>167</v>
      </c>
      <c r="U46">
        <v>1</v>
      </c>
      <c r="V46">
        <f t="shared" si="20"/>
        <v>0</v>
      </c>
      <c r="W46">
        <f t="shared" si="22"/>
        <v>0</v>
      </c>
      <c r="X46">
        <f t="shared" si="23"/>
        <v>0</v>
      </c>
      <c r="Y46">
        <f t="shared" si="24"/>
        <v>0</v>
      </c>
      <c r="Z46">
        <f t="shared" si="25"/>
        <v>0</v>
      </c>
      <c r="AA46">
        <f t="shared" si="26"/>
        <v>0</v>
      </c>
      <c r="AB46">
        <f t="shared" si="27"/>
        <v>0</v>
      </c>
      <c r="AC46">
        <f t="shared" si="28"/>
        <v>0</v>
      </c>
      <c r="AD46">
        <f t="shared" si="29"/>
        <v>0</v>
      </c>
      <c r="AE46">
        <f t="shared" si="30"/>
        <v>0</v>
      </c>
      <c r="AF46">
        <f t="shared" si="31"/>
        <v>11.244762805784566</v>
      </c>
      <c r="AG46">
        <f t="shared" si="21"/>
        <v>100</v>
      </c>
      <c r="AH46">
        <f t="shared" si="1"/>
        <v>33.333333333333329</v>
      </c>
      <c r="AI46">
        <f t="shared" si="2"/>
        <v>0</v>
      </c>
      <c r="AJ46">
        <f t="shared" si="3"/>
        <v>0</v>
      </c>
      <c r="AK46">
        <f t="shared" si="4"/>
        <v>0</v>
      </c>
      <c r="AL46">
        <f t="shared" si="5"/>
        <v>16.666666666666664</v>
      </c>
      <c r="AM46">
        <f t="shared" si="6"/>
        <v>4.8043728423475258</v>
      </c>
      <c r="AN46">
        <f t="shared" si="7"/>
        <v>0</v>
      </c>
      <c r="AO46">
        <f t="shared" si="10"/>
        <v>0</v>
      </c>
      <c r="AP46">
        <f t="shared" si="11"/>
        <v>0</v>
      </c>
      <c r="AQ46">
        <f t="shared" si="12"/>
        <v>4.5993504307233408</v>
      </c>
      <c r="AR46">
        <f t="shared" si="13"/>
        <v>-11.064326445081738</v>
      </c>
      <c r="AS46">
        <f t="shared" si="14"/>
        <v>-4.0225098115670601</v>
      </c>
      <c r="AT46">
        <f t="shared" si="15"/>
        <v>4.837157939461104</v>
      </c>
      <c r="AU46">
        <f t="shared" si="16"/>
        <v>22.247522382007304</v>
      </c>
      <c r="AV46">
        <f t="shared" si="17"/>
        <v>6.5838455062022252</v>
      </c>
      <c r="AW46">
        <f t="shared" si="18"/>
        <v>85.995355014098024</v>
      </c>
      <c r="AX46">
        <f t="shared" si="19"/>
        <v>94.855022765126193</v>
      </c>
    </row>
    <row r="47" spans="1:50" x14ac:dyDescent="0.45">
      <c r="A47">
        <v>46</v>
      </c>
      <c r="B47">
        <v>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2497</v>
      </c>
      <c r="N47">
        <v>41876</v>
      </c>
      <c r="O47">
        <v>3</v>
      </c>
      <c r="P47">
        <v>0</v>
      </c>
      <c r="Q47">
        <v>0</v>
      </c>
      <c r="R47">
        <v>0</v>
      </c>
      <c r="S47">
        <v>3</v>
      </c>
      <c r="T47">
        <v>57</v>
      </c>
      <c r="U47">
        <v>1</v>
      </c>
      <c r="V47">
        <f t="shared" si="20"/>
        <v>0</v>
      </c>
      <c r="W47">
        <f t="shared" si="22"/>
        <v>0</v>
      </c>
      <c r="X47">
        <f t="shared" si="23"/>
        <v>0</v>
      </c>
      <c r="Y47">
        <f t="shared" si="24"/>
        <v>0</v>
      </c>
      <c r="Z47">
        <f t="shared" si="25"/>
        <v>0</v>
      </c>
      <c r="AA47">
        <f t="shared" si="26"/>
        <v>0</v>
      </c>
      <c r="AB47">
        <f t="shared" si="27"/>
        <v>0</v>
      </c>
      <c r="AC47">
        <f t="shared" si="28"/>
        <v>0</v>
      </c>
      <c r="AD47">
        <f t="shared" si="29"/>
        <v>0</v>
      </c>
      <c r="AE47">
        <f t="shared" si="30"/>
        <v>0</v>
      </c>
      <c r="AF47">
        <f t="shared" si="31"/>
        <v>11.249267919088165</v>
      </c>
      <c r="AG47">
        <f t="shared" si="21"/>
        <v>100</v>
      </c>
      <c r="AH47">
        <f t="shared" si="1"/>
        <v>66.666666666666657</v>
      </c>
      <c r="AI47">
        <f t="shared" si="2"/>
        <v>0</v>
      </c>
      <c r="AJ47">
        <f t="shared" si="3"/>
        <v>0</v>
      </c>
      <c r="AK47">
        <f t="shared" si="4"/>
        <v>0</v>
      </c>
      <c r="AL47">
        <f t="shared" si="5"/>
        <v>50</v>
      </c>
      <c r="AM47">
        <f t="shared" si="6"/>
        <v>1.6398158803222096</v>
      </c>
      <c r="AN47">
        <f t="shared" si="7"/>
        <v>0</v>
      </c>
      <c r="AO47">
        <f t="shared" si="10"/>
        <v>0</v>
      </c>
      <c r="AP47">
        <f t="shared" si="11"/>
        <v>0</v>
      </c>
      <c r="AQ47">
        <f t="shared" si="12"/>
        <v>13.615740942239409</v>
      </c>
      <c r="AR47">
        <f t="shared" si="13"/>
        <v>-2.0471408634232517</v>
      </c>
      <c r="AS47">
        <f t="shared" si="14"/>
        <v>-9.9143690518192784</v>
      </c>
      <c r="AT47">
        <f t="shared" si="15"/>
        <v>-1.0551510072908374</v>
      </c>
      <c r="AU47">
        <f t="shared" si="16"/>
        <v>31.263912893523372</v>
      </c>
      <c r="AV47">
        <f t="shared" si="17"/>
        <v>15.601031087860711</v>
      </c>
      <c r="AW47">
        <f t="shared" si="18"/>
        <v>80.103495773845808</v>
      </c>
      <c r="AX47">
        <f t="shared" si="19"/>
        <v>88.962713818374255</v>
      </c>
    </row>
    <row r="48" spans="1:50" x14ac:dyDescent="0.45">
      <c r="A48">
        <v>47</v>
      </c>
      <c r="B48">
        <v>47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</v>
      </c>
      <c r="M48">
        <v>2787</v>
      </c>
      <c r="N48">
        <v>42183</v>
      </c>
      <c r="O48">
        <v>2</v>
      </c>
      <c r="P48">
        <v>1</v>
      </c>
      <c r="Q48">
        <v>1</v>
      </c>
      <c r="R48">
        <v>4</v>
      </c>
      <c r="S48">
        <v>2</v>
      </c>
      <c r="T48">
        <v>1155</v>
      </c>
      <c r="U48">
        <v>3</v>
      </c>
      <c r="V48">
        <f t="shared" si="20"/>
        <v>0</v>
      </c>
      <c r="W48">
        <f t="shared" si="22"/>
        <v>0</v>
      </c>
      <c r="X48">
        <f t="shared" si="23"/>
        <v>0</v>
      </c>
      <c r="Y48">
        <f t="shared" si="24"/>
        <v>0</v>
      </c>
      <c r="Z48">
        <f t="shared" si="25"/>
        <v>0</v>
      </c>
      <c r="AA48">
        <f t="shared" si="26"/>
        <v>0</v>
      </c>
      <c r="AB48">
        <f t="shared" si="27"/>
        <v>0</v>
      </c>
      <c r="AC48">
        <f t="shared" si="28"/>
        <v>0</v>
      </c>
      <c r="AD48">
        <f t="shared" si="29"/>
        <v>0</v>
      </c>
      <c r="AE48">
        <f t="shared" si="30"/>
        <v>10.714285714285714</v>
      </c>
      <c r="AF48">
        <f t="shared" si="31"/>
        <v>12.555750777132044</v>
      </c>
      <c r="AG48">
        <f t="shared" si="21"/>
        <v>100</v>
      </c>
      <c r="AH48">
        <f t="shared" si="1"/>
        <v>33.333333333333329</v>
      </c>
      <c r="AI48">
        <f t="shared" si="2"/>
        <v>100</v>
      </c>
      <c r="AJ48">
        <f t="shared" si="3"/>
        <v>100</v>
      </c>
      <c r="AK48">
        <f t="shared" si="4"/>
        <v>100</v>
      </c>
      <c r="AL48">
        <f t="shared" si="5"/>
        <v>33.333333333333329</v>
      </c>
      <c r="AM48">
        <f t="shared" si="6"/>
        <v>33.22784810126582</v>
      </c>
      <c r="AN48">
        <f t="shared" si="7"/>
        <v>66.666666666666657</v>
      </c>
      <c r="AO48">
        <f t="shared" si="10"/>
        <v>0.62055677419371114</v>
      </c>
      <c r="AP48">
        <f t="shared" si="11"/>
        <v>0.92320842623297539</v>
      </c>
      <c r="AQ48">
        <f t="shared" si="12"/>
        <v>34.671843094901789</v>
      </c>
      <c r="AR48">
        <f t="shared" si="13"/>
        <v>19.23953163054076</v>
      </c>
      <c r="AS48">
        <f t="shared" si="14"/>
        <v>-41.378436155474184</v>
      </c>
      <c r="AT48">
        <f t="shared" si="15"/>
        <v>-32.649632995865197</v>
      </c>
      <c r="AU48">
        <f t="shared" si="16"/>
        <v>52.320015046185752</v>
      </c>
      <c r="AV48">
        <f t="shared" si="17"/>
        <v>36.887703581824724</v>
      </c>
      <c r="AW48">
        <f t="shared" si="18"/>
        <v>48.639428670190895</v>
      </c>
      <c r="AX48">
        <f t="shared" si="19"/>
        <v>57.368231829799889</v>
      </c>
    </row>
    <row r="49" spans="1:50" x14ac:dyDescent="0.45">
      <c r="A49">
        <v>48</v>
      </c>
      <c r="B49">
        <v>48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</v>
      </c>
      <c r="M49">
        <v>3138</v>
      </c>
      <c r="N49">
        <v>42569</v>
      </c>
      <c r="O49">
        <v>1</v>
      </c>
      <c r="P49">
        <v>1</v>
      </c>
      <c r="Q49">
        <v>1</v>
      </c>
      <c r="R49">
        <v>2</v>
      </c>
      <c r="S49">
        <v>2</v>
      </c>
      <c r="T49">
        <v>1264</v>
      </c>
      <c r="U49">
        <v>3</v>
      </c>
      <c r="V49">
        <f t="shared" si="20"/>
        <v>0</v>
      </c>
      <c r="W49">
        <f t="shared" si="22"/>
        <v>0</v>
      </c>
      <c r="X49">
        <f t="shared" si="23"/>
        <v>0</v>
      </c>
      <c r="Y49">
        <f t="shared" si="24"/>
        <v>0</v>
      </c>
      <c r="Z49">
        <f t="shared" si="25"/>
        <v>0</v>
      </c>
      <c r="AA49">
        <f t="shared" si="26"/>
        <v>0</v>
      </c>
      <c r="AB49">
        <f t="shared" si="27"/>
        <v>0</v>
      </c>
      <c r="AC49">
        <f t="shared" si="28"/>
        <v>0</v>
      </c>
      <c r="AD49">
        <f t="shared" si="29"/>
        <v>0</v>
      </c>
      <c r="AE49">
        <f t="shared" si="30"/>
        <v>7.1428571428571423</v>
      </c>
      <c r="AF49">
        <f t="shared" si="31"/>
        <v>14.137045546695498</v>
      </c>
      <c r="AG49">
        <f t="shared" si="21"/>
        <v>100</v>
      </c>
      <c r="AH49">
        <f t="shared" si="1"/>
        <v>0</v>
      </c>
      <c r="AI49">
        <f t="shared" si="2"/>
        <v>100</v>
      </c>
      <c r="AJ49">
        <f t="shared" si="3"/>
        <v>100</v>
      </c>
      <c r="AK49">
        <f t="shared" si="4"/>
        <v>50</v>
      </c>
      <c r="AL49">
        <f t="shared" si="5"/>
        <v>33.333333333333329</v>
      </c>
      <c r="AM49">
        <f t="shared" si="6"/>
        <v>36.363636363636367</v>
      </c>
      <c r="AN49">
        <f t="shared" si="7"/>
        <v>66.666666666666657</v>
      </c>
      <c r="AO49">
        <f t="shared" si="10"/>
        <v>0.41370451612914072</v>
      </c>
      <c r="AP49">
        <f t="shared" si="11"/>
        <v>0.61547228415531696</v>
      </c>
      <c r="AQ49">
        <f t="shared" si="12"/>
        <v>22.92743681085831</v>
      </c>
      <c r="AR49">
        <f t="shared" si="13"/>
        <v>7.7741949664865055</v>
      </c>
      <c r="AS49">
        <f t="shared" si="14"/>
        <v>-34.200170365733776</v>
      </c>
      <c r="AT49">
        <f t="shared" si="15"/>
        <v>-25.629214187527303</v>
      </c>
      <c r="AU49">
        <f t="shared" si="16"/>
        <v>40.575608762142274</v>
      </c>
      <c r="AV49">
        <f t="shared" si="17"/>
        <v>25.422366917770468</v>
      </c>
      <c r="AW49">
        <f t="shared" si="18"/>
        <v>55.817694459931303</v>
      </c>
      <c r="AX49">
        <f t="shared" si="19"/>
        <v>64.388650638137761</v>
      </c>
    </row>
    <row r="50" spans="1:50" x14ac:dyDescent="0.45">
      <c r="A50">
        <v>49</v>
      </c>
      <c r="B50">
        <v>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</v>
      </c>
      <c r="M50">
        <v>4057</v>
      </c>
      <c r="N50">
        <v>43454</v>
      </c>
      <c r="O50">
        <v>1</v>
      </c>
      <c r="P50">
        <v>1</v>
      </c>
      <c r="Q50">
        <v>1</v>
      </c>
      <c r="R50">
        <v>2</v>
      </c>
      <c r="S50">
        <v>1</v>
      </c>
      <c r="T50">
        <v>104</v>
      </c>
      <c r="U50">
        <v>1</v>
      </c>
      <c r="V50">
        <f t="shared" si="20"/>
        <v>0</v>
      </c>
      <c r="W50">
        <f t="shared" si="22"/>
        <v>0</v>
      </c>
      <c r="X50">
        <f t="shared" si="23"/>
        <v>0</v>
      </c>
      <c r="Y50">
        <f t="shared" si="24"/>
        <v>0</v>
      </c>
      <c r="Z50">
        <f t="shared" si="25"/>
        <v>0</v>
      </c>
      <c r="AA50">
        <f t="shared" si="26"/>
        <v>0</v>
      </c>
      <c r="AB50">
        <f t="shared" si="27"/>
        <v>0</v>
      </c>
      <c r="AC50">
        <f t="shared" si="28"/>
        <v>0</v>
      </c>
      <c r="AD50">
        <f t="shared" si="29"/>
        <v>0</v>
      </c>
      <c r="AE50">
        <f t="shared" si="30"/>
        <v>7.1428571428571423</v>
      </c>
      <c r="AF50">
        <f t="shared" si="31"/>
        <v>18.277244672703517</v>
      </c>
      <c r="AG50">
        <f t="shared" si="21"/>
        <v>100</v>
      </c>
      <c r="AH50">
        <f t="shared" si="1"/>
        <v>0</v>
      </c>
      <c r="AI50">
        <f t="shared" si="2"/>
        <v>100</v>
      </c>
      <c r="AJ50">
        <f t="shared" si="3"/>
        <v>100</v>
      </c>
      <c r="AK50">
        <f t="shared" si="4"/>
        <v>50</v>
      </c>
      <c r="AL50">
        <f t="shared" si="5"/>
        <v>16.666666666666664</v>
      </c>
      <c r="AM50">
        <f t="shared" si="6"/>
        <v>2.991944764096663</v>
      </c>
      <c r="AN50">
        <f t="shared" si="7"/>
        <v>0</v>
      </c>
      <c r="AO50">
        <f t="shared" si="10"/>
        <v>0.41370451612914072</v>
      </c>
      <c r="AP50">
        <f t="shared" si="11"/>
        <v>0.61547228415531696</v>
      </c>
      <c r="AQ50">
        <f t="shared" si="12"/>
        <v>15.421542559947916</v>
      </c>
      <c r="AR50">
        <f t="shared" si="13"/>
        <v>0.99897017645955744</v>
      </c>
      <c r="AS50">
        <f t="shared" si="14"/>
        <v>-23.636574971675675</v>
      </c>
      <c r="AT50">
        <f t="shared" si="15"/>
        <v>-15.478899066713952</v>
      </c>
      <c r="AU50">
        <f t="shared" si="16"/>
        <v>33.069714511231879</v>
      </c>
      <c r="AV50">
        <f t="shared" si="17"/>
        <v>18.647142127743521</v>
      </c>
      <c r="AW50">
        <f t="shared" si="18"/>
        <v>66.381289853989415</v>
      </c>
      <c r="AX50">
        <f t="shared" si="19"/>
        <v>74.538965758951136</v>
      </c>
    </row>
    <row r="51" spans="1:50" x14ac:dyDescent="0.45">
      <c r="A51">
        <v>50</v>
      </c>
      <c r="B51">
        <v>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</v>
      </c>
      <c r="M51">
        <v>4114</v>
      </c>
      <c r="N51">
        <v>43510</v>
      </c>
      <c r="O51">
        <v>2</v>
      </c>
      <c r="P51">
        <v>1</v>
      </c>
      <c r="Q51">
        <v>1</v>
      </c>
      <c r="R51">
        <v>1</v>
      </c>
      <c r="S51">
        <v>2</v>
      </c>
      <c r="T51">
        <v>166</v>
      </c>
      <c r="U51">
        <v>1</v>
      </c>
      <c r="V51">
        <f t="shared" si="20"/>
        <v>0</v>
      </c>
      <c r="W51">
        <f t="shared" si="22"/>
        <v>0</v>
      </c>
      <c r="X51">
        <f t="shared" si="23"/>
        <v>0</v>
      </c>
      <c r="Y51">
        <f t="shared" si="24"/>
        <v>0</v>
      </c>
      <c r="Z51">
        <f t="shared" si="25"/>
        <v>0</v>
      </c>
      <c r="AA51">
        <f t="shared" si="26"/>
        <v>0</v>
      </c>
      <c r="AB51">
        <f t="shared" si="27"/>
        <v>0</v>
      </c>
      <c r="AC51">
        <f t="shared" si="28"/>
        <v>0</v>
      </c>
      <c r="AD51">
        <f t="shared" si="29"/>
        <v>0</v>
      </c>
      <c r="AE51">
        <f t="shared" si="30"/>
        <v>7.1428571428571423</v>
      </c>
      <c r="AF51">
        <f t="shared" si="31"/>
        <v>18.534036131008694</v>
      </c>
      <c r="AG51">
        <f t="shared" si="21"/>
        <v>100</v>
      </c>
      <c r="AH51">
        <f t="shared" si="1"/>
        <v>33.333333333333329</v>
      </c>
      <c r="AI51">
        <f t="shared" si="2"/>
        <v>100</v>
      </c>
      <c r="AJ51">
        <f t="shared" si="3"/>
        <v>100</v>
      </c>
      <c r="AK51">
        <f t="shared" si="4"/>
        <v>25</v>
      </c>
      <c r="AL51">
        <f t="shared" si="5"/>
        <v>33.333333333333329</v>
      </c>
      <c r="AM51">
        <f t="shared" si="6"/>
        <v>4.7756041426927505</v>
      </c>
      <c r="AN51">
        <f t="shared" si="7"/>
        <v>0</v>
      </c>
      <c r="AO51">
        <f t="shared" si="10"/>
        <v>0.41370451612914072</v>
      </c>
      <c r="AP51">
        <f t="shared" si="11"/>
        <v>0.61547228415531696</v>
      </c>
      <c r="AQ51">
        <f t="shared" si="12"/>
        <v>18.328940789637741</v>
      </c>
      <c r="AR51">
        <f t="shared" si="13"/>
        <v>3.9516874042672914</v>
      </c>
      <c r="AS51">
        <f t="shared" si="14"/>
        <v>-26.08542963186024</v>
      </c>
      <c r="AT51">
        <f t="shared" si="15"/>
        <v>-17.953386997382687</v>
      </c>
      <c r="AU51">
        <f t="shared" si="16"/>
        <v>35.977112740921704</v>
      </c>
      <c r="AV51">
        <f t="shared" si="17"/>
        <v>21.599859355551253</v>
      </c>
      <c r="AW51">
        <f t="shared" si="18"/>
        <v>63.932435193804849</v>
      </c>
      <c r="AX51">
        <f t="shared" si="19"/>
        <v>72.064477828282392</v>
      </c>
    </row>
    <row r="52" spans="1:50" x14ac:dyDescent="0.45">
      <c r="A52">
        <v>51</v>
      </c>
      <c r="B52">
        <v>51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6672</v>
      </c>
      <c r="N52">
        <v>46068</v>
      </c>
      <c r="O52">
        <v>1</v>
      </c>
      <c r="P52">
        <v>1</v>
      </c>
      <c r="Q52">
        <v>1</v>
      </c>
      <c r="R52">
        <v>0</v>
      </c>
      <c r="S52">
        <v>2</v>
      </c>
      <c r="T52">
        <v>994</v>
      </c>
      <c r="U52">
        <v>3</v>
      </c>
      <c r="V52">
        <f t="shared" si="20"/>
        <v>0</v>
      </c>
      <c r="W52">
        <f t="shared" si="22"/>
        <v>0</v>
      </c>
      <c r="X52">
        <f t="shared" si="23"/>
        <v>0</v>
      </c>
      <c r="Y52">
        <f t="shared" si="24"/>
        <v>0</v>
      </c>
      <c r="Z52">
        <f t="shared" si="25"/>
        <v>0</v>
      </c>
      <c r="AA52">
        <f t="shared" si="26"/>
        <v>0</v>
      </c>
      <c r="AB52">
        <f t="shared" si="27"/>
        <v>0</v>
      </c>
      <c r="AC52">
        <f t="shared" si="28"/>
        <v>0</v>
      </c>
      <c r="AD52">
        <f t="shared" si="29"/>
        <v>0</v>
      </c>
      <c r="AE52">
        <f t="shared" si="30"/>
        <v>3.5714285714285712</v>
      </c>
      <c r="AF52">
        <f t="shared" si="31"/>
        <v>30.058115961616434</v>
      </c>
      <c r="AG52">
        <f t="shared" si="21"/>
        <v>100</v>
      </c>
      <c r="AH52">
        <f t="shared" si="1"/>
        <v>0</v>
      </c>
      <c r="AI52">
        <f t="shared" si="2"/>
        <v>100</v>
      </c>
      <c r="AJ52">
        <f t="shared" si="3"/>
        <v>100</v>
      </c>
      <c r="AK52">
        <f t="shared" si="4"/>
        <v>0</v>
      </c>
      <c r="AL52">
        <f t="shared" si="5"/>
        <v>33.333333333333329</v>
      </c>
      <c r="AM52">
        <f t="shared" si="6"/>
        <v>28.596087456846952</v>
      </c>
      <c r="AN52">
        <f t="shared" si="7"/>
        <v>66.666666666666657</v>
      </c>
      <c r="AO52">
        <f t="shared" si="10"/>
        <v>0.20685225806457036</v>
      </c>
      <c r="AP52">
        <f t="shared" si="11"/>
        <v>0.30773614207765848</v>
      </c>
      <c r="AQ52">
        <f t="shared" si="12"/>
        <v>12.802827694239776</v>
      </c>
      <c r="AR52">
        <f t="shared" si="13"/>
        <v>0.45936373317821294</v>
      </c>
      <c r="AS52">
        <f t="shared" si="14"/>
        <v>-26.97500839249517</v>
      </c>
      <c r="AT52">
        <f t="shared" si="15"/>
        <v>-19.993314984307148</v>
      </c>
      <c r="AU52">
        <f t="shared" si="16"/>
        <v>30.450999645523737</v>
      </c>
      <c r="AV52">
        <f t="shared" si="17"/>
        <v>18.107535684462174</v>
      </c>
      <c r="AW52">
        <f t="shared" si="18"/>
        <v>63.042856433169916</v>
      </c>
      <c r="AX52">
        <f t="shared" si="19"/>
        <v>70.024549841357924</v>
      </c>
    </row>
    <row r="53" spans="1:50" x14ac:dyDescent="0.45">
      <c r="A53">
        <v>52</v>
      </c>
      <c r="B53">
        <v>52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</v>
      </c>
      <c r="M53">
        <v>3994</v>
      </c>
      <c r="N53">
        <v>43390</v>
      </c>
      <c r="O53">
        <v>1</v>
      </c>
      <c r="P53">
        <v>1</v>
      </c>
      <c r="Q53">
        <v>1</v>
      </c>
      <c r="R53">
        <v>2</v>
      </c>
      <c r="S53">
        <v>2</v>
      </c>
      <c r="T53">
        <v>642</v>
      </c>
      <c r="U53">
        <v>1</v>
      </c>
      <c r="V53">
        <f t="shared" si="20"/>
        <v>0</v>
      </c>
      <c r="W53">
        <f t="shared" si="22"/>
        <v>0</v>
      </c>
      <c r="X53">
        <f t="shared" si="23"/>
        <v>0</v>
      </c>
      <c r="Y53">
        <f t="shared" si="24"/>
        <v>0</v>
      </c>
      <c r="Z53">
        <f t="shared" si="25"/>
        <v>0</v>
      </c>
      <c r="AA53">
        <f t="shared" si="26"/>
        <v>0</v>
      </c>
      <c r="AB53">
        <f t="shared" si="27"/>
        <v>0</v>
      </c>
      <c r="AC53">
        <f t="shared" si="28"/>
        <v>0</v>
      </c>
      <c r="AD53">
        <f t="shared" si="29"/>
        <v>0</v>
      </c>
      <c r="AE53">
        <f t="shared" si="30"/>
        <v>7.1428571428571423</v>
      </c>
      <c r="AF53">
        <f t="shared" si="31"/>
        <v>17.993422534576744</v>
      </c>
      <c r="AG53">
        <f t="shared" si="21"/>
        <v>100</v>
      </c>
      <c r="AH53">
        <f t="shared" si="1"/>
        <v>0</v>
      </c>
      <c r="AI53">
        <f t="shared" si="2"/>
        <v>100</v>
      </c>
      <c r="AJ53">
        <f t="shared" si="3"/>
        <v>100</v>
      </c>
      <c r="AK53">
        <f t="shared" si="4"/>
        <v>50</v>
      </c>
      <c r="AL53">
        <f t="shared" si="5"/>
        <v>33.333333333333329</v>
      </c>
      <c r="AM53">
        <f t="shared" si="6"/>
        <v>18.469505178365939</v>
      </c>
      <c r="AN53">
        <f t="shared" si="7"/>
        <v>0</v>
      </c>
      <c r="AO53">
        <f t="shared" si="10"/>
        <v>0.41370451612914072</v>
      </c>
      <c r="AP53">
        <f t="shared" si="11"/>
        <v>0.61547228415531696</v>
      </c>
      <c r="AQ53">
        <f t="shared" si="12"/>
        <v>17.9049720543766</v>
      </c>
      <c r="AR53">
        <f t="shared" si="13"/>
        <v>3.4323102519158182</v>
      </c>
      <c r="AS53">
        <f t="shared" si="14"/>
        <v>-27.396074916086761</v>
      </c>
      <c r="AT53">
        <f t="shared" si="15"/>
        <v>-19.210067501642534</v>
      </c>
      <c r="AU53">
        <f t="shared" si="16"/>
        <v>35.553144005660563</v>
      </c>
      <c r="AV53">
        <f t="shared" si="17"/>
        <v>21.080482203199782</v>
      </c>
      <c r="AW53">
        <f t="shared" si="18"/>
        <v>62.621789909578318</v>
      </c>
      <c r="AX53">
        <f t="shared" si="19"/>
        <v>70.807797324022559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FD83E-66EA-4031-9962-DBC78F4D0A31}">
  <dimension ref="A1:AW53"/>
  <sheetViews>
    <sheetView topLeftCell="AF4" workbookViewId="0">
      <selection activeCell="AV9" sqref="AV9"/>
    </sheetView>
  </sheetViews>
  <sheetFormatPr defaultRowHeight="14.25" x14ac:dyDescent="0.45"/>
  <sheetData>
    <row r="1" spans="1:49" x14ac:dyDescent="0.45">
      <c r="A1" t="s">
        <v>23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>
        <v>1</v>
      </c>
      <c r="P1">
        <v>0</v>
      </c>
      <c r="Q1">
        <v>0</v>
      </c>
      <c r="R1">
        <v>0</v>
      </c>
      <c r="S1">
        <v>0</v>
      </c>
      <c r="T1">
        <v>0</v>
      </c>
      <c r="U1">
        <v>1</v>
      </c>
      <c r="AS1" t="s">
        <v>54</v>
      </c>
      <c r="AT1" t="s">
        <v>55</v>
      </c>
    </row>
    <row r="2" spans="1:49" x14ac:dyDescent="0.45">
      <c r="A2" t="s">
        <v>24</v>
      </c>
      <c r="C2">
        <v>9</v>
      </c>
      <c r="D2" s="1">
        <v>10</v>
      </c>
      <c r="E2" s="1">
        <v>3</v>
      </c>
      <c r="F2" s="1">
        <v>24</v>
      </c>
      <c r="G2" s="1">
        <v>29</v>
      </c>
      <c r="H2" s="1">
        <v>53</v>
      </c>
      <c r="I2" s="1">
        <v>15</v>
      </c>
      <c r="J2" s="1">
        <v>18</v>
      </c>
      <c r="K2">
        <v>14</v>
      </c>
      <c r="L2">
        <v>28</v>
      </c>
      <c r="M2" s="1">
        <v>22197</v>
      </c>
      <c r="N2" s="1">
        <v>22197</v>
      </c>
      <c r="O2" s="1">
        <v>4</v>
      </c>
      <c r="P2" s="1">
        <v>1</v>
      </c>
      <c r="Q2" s="1">
        <v>1</v>
      </c>
      <c r="R2" s="1">
        <v>4</v>
      </c>
      <c r="S2">
        <v>6</v>
      </c>
      <c r="T2">
        <v>3476</v>
      </c>
      <c r="U2" s="1">
        <v>4</v>
      </c>
      <c r="AR2" t="s">
        <v>23</v>
      </c>
      <c r="AS2">
        <v>-17.648171951283963</v>
      </c>
      <c r="AT2">
        <v>-90.017864825665072</v>
      </c>
    </row>
    <row r="3" spans="1:49" x14ac:dyDescent="0.45">
      <c r="U3" t="s">
        <v>21</v>
      </c>
      <c r="V3">
        <v>0.13143386008371707</v>
      </c>
      <c r="W3">
        <v>7.307027085806389E-2</v>
      </c>
      <c r="X3">
        <v>5.945395469478483E-2</v>
      </c>
      <c r="Y3">
        <v>0.10226342761259979</v>
      </c>
      <c r="Z3">
        <v>0.11770481835387485</v>
      </c>
      <c r="AA3">
        <v>9.7750954074793395E-2</v>
      </c>
      <c r="AB3">
        <v>9.3232717371704757E-2</v>
      </c>
      <c r="AC3">
        <v>0.10265481280703614</v>
      </c>
      <c r="AD3">
        <v>0.16451655188534556</v>
      </c>
      <c r="AE3">
        <v>5.7918632258079708E-2</v>
      </c>
      <c r="AF3">
        <v>-0.17648171951283964</v>
      </c>
      <c r="AG3">
        <v>-0.17648171951283964</v>
      </c>
      <c r="AH3">
        <v>0.12451516292237895</v>
      </c>
      <c r="AJ3">
        <v>8.846396142459656E-2</v>
      </c>
      <c r="AK3">
        <v>0.14524513113577964</v>
      </c>
      <c r="AL3">
        <v>0.14600040452737567</v>
      </c>
      <c r="AN3">
        <v>6.5128270718560324E-2</v>
      </c>
      <c r="AO3">
        <v>0.25416534975846922</v>
      </c>
      <c r="AR3" t="s">
        <v>24</v>
      </c>
      <c r="AS3">
        <v>82.351828048716044</v>
      </c>
      <c r="AT3">
        <v>9.982135174334914</v>
      </c>
    </row>
    <row r="4" spans="1:49" x14ac:dyDescent="0.45">
      <c r="U4" t="s">
        <v>22</v>
      </c>
      <c r="V4">
        <v>0.11952893847151827</v>
      </c>
      <c r="W4">
        <v>6.4877528200127196E-2</v>
      </c>
      <c r="X4">
        <v>6.8306370915106593E-2</v>
      </c>
      <c r="Y4">
        <v>0.10098769416724075</v>
      </c>
      <c r="Z4">
        <v>7.8924482020539685E-2</v>
      </c>
      <c r="AA4">
        <v>9.3684271321555393E-2</v>
      </c>
      <c r="AB4">
        <v>9.4316155635525409E-2</v>
      </c>
      <c r="AC4">
        <v>0.1247970173876369</v>
      </c>
      <c r="AD4">
        <v>0.16841142209900545</v>
      </c>
      <c r="AE4">
        <v>8.6166119781744377E-2</v>
      </c>
      <c r="AF4">
        <v>9.9821351743349135E-2</v>
      </c>
      <c r="AG4">
        <v>9.9821351743349135E-2</v>
      </c>
      <c r="AH4">
        <v>-8.3162856302101046E-2</v>
      </c>
      <c r="AI4">
        <v>-0.1320100469677844</v>
      </c>
      <c r="AJ4">
        <v>-5.3951594173368915E-2</v>
      </c>
      <c r="AK4">
        <v>-9.1442744883771188E-2</v>
      </c>
      <c r="AL4">
        <v>-0.10568820496679646</v>
      </c>
      <c r="AM4">
        <v>-0.12726155152544014</v>
      </c>
      <c r="AN4">
        <v>-6.2128676820712374E-2</v>
      </c>
      <c r="AP4">
        <v>-0.24453297261667634</v>
      </c>
    </row>
    <row r="6" spans="1:49" x14ac:dyDescent="0.4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  <c r="M6" t="s">
        <v>12</v>
      </c>
      <c r="O6" t="s">
        <v>14</v>
      </c>
      <c r="P6" t="s">
        <v>15</v>
      </c>
      <c r="Q6" t="s">
        <v>16</v>
      </c>
      <c r="R6" t="s">
        <v>17</v>
      </c>
      <c r="S6" t="s">
        <v>18</v>
      </c>
      <c r="T6" t="s">
        <v>19</v>
      </c>
      <c r="U6" t="s">
        <v>20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163</v>
      </c>
      <c r="AS6" t="s">
        <v>164</v>
      </c>
      <c r="AU6" t="s">
        <v>165</v>
      </c>
      <c r="AW6" t="s">
        <v>166</v>
      </c>
    </row>
    <row r="7" spans="1:49" x14ac:dyDescent="0.45">
      <c r="A7">
        <v>1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8</v>
      </c>
      <c r="M7">
        <v>3653</v>
      </c>
      <c r="O7">
        <v>1</v>
      </c>
      <c r="P7">
        <v>0</v>
      </c>
      <c r="Q7">
        <v>1</v>
      </c>
      <c r="R7">
        <v>4</v>
      </c>
      <c r="S7">
        <v>2</v>
      </c>
      <c r="T7">
        <v>291</v>
      </c>
      <c r="U7">
        <v>1</v>
      </c>
      <c r="V7">
        <f>IF(C7&gt;C$2,100,(C7-C$1)/(C$2-C$1)*100)</f>
        <v>0</v>
      </c>
      <c r="W7">
        <f t="shared" ref="W7:AG22" si="0">IF(D7&gt;D$2,100,(D7-D$1)/(D$2-D$1)*100)</f>
        <v>10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28.571428571428569</v>
      </c>
      <c r="AF7">
        <f t="shared" si="0"/>
        <v>16.457178898049285</v>
      </c>
      <c r="AG7">
        <f>IF(N7&gt;N$2,100,(N7-N$1)/(N$2-N$1)*100)</f>
        <v>0</v>
      </c>
      <c r="AH7">
        <f t="shared" ref="AH7:AN53" si="1">IF(O7&gt;O$2,100,(O7-O$1)/(O$2-O$1)*100)</f>
        <v>0</v>
      </c>
      <c r="AI7">
        <f t="shared" si="1"/>
        <v>0</v>
      </c>
      <c r="AJ7">
        <f t="shared" si="1"/>
        <v>100</v>
      </c>
      <c r="AK7">
        <f t="shared" si="1"/>
        <v>100</v>
      </c>
      <c r="AL7">
        <f t="shared" si="1"/>
        <v>33.333333333333329</v>
      </c>
      <c r="AM7">
        <f t="shared" si="1"/>
        <v>8.3716915995396999</v>
      </c>
      <c r="AN7">
        <f t="shared" si="1"/>
        <v>0</v>
      </c>
      <c r="AO7">
        <f>V7*V$3+W7*W$3+X7*X$3+Y7*Y$3+Z7*Z$3+AA7*AA$3+AB7*AB$3+AC7*AC$3+AD7*AD$3+AE7*AE$3</f>
        <v>2.3855207730972019</v>
      </c>
      <c r="AP7">
        <f>V7*V$4+W7*W$4+X7*X$4+Y7*Y$4+Z7*Z$4+AA7*AA$4+AB7*AB$4+AC7*AC$4+AD7*AD$4+AE7*AE$4</f>
        <v>3.1106644186225401</v>
      </c>
      <c r="AQ7">
        <f>AF7*AF$3+AH7*AH$3+AJ7*AJ$3+AK7*AK$3+AL7*AL$3+AN7*AN$3+AO7*AO$3</f>
        <v>25.939514898342331</v>
      </c>
      <c r="AS7">
        <f>AF7*AF$4+AH7*AH$4+AI7*AI$4+AJ7*AJ$4+AK7*AK$4+AL7*AL$4+AM7*AM$4+AN7*AN$4+AP7*AP$4</f>
        <v>-18.245650706737102</v>
      </c>
      <c r="AU7">
        <f>(AQ7-$AS$2)/($AS$3-$AS$2)*100</f>
        <v>43.587686849626294</v>
      </c>
      <c r="AW7">
        <f>(AS7-$AT$2)/($AT$3-$AT$2)*100</f>
        <v>71.772214118927963</v>
      </c>
    </row>
    <row r="8" spans="1:49" x14ac:dyDescent="0.45">
      <c r="A8">
        <v>2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3728</v>
      </c>
      <c r="O8">
        <v>1</v>
      </c>
      <c r="P8">
        <v>0</v>
      </c>
      <c r="Q8">
        <v>1</v>
      </c>
      <c r="R8">
        <v>4</v>
      </c>
      <c r="S8">
        <v>2</v>
      </c>
      <c r="T8">
        <v>258</v>
      </c>
      <c r="U8">
        <v>1</v>
      </c>
      <c r="V8">
        <f t="shared" ref="V8:V12" si="2">IF(C8&gt;C$2,100,(C8-C$1)/(C$2-C$1)*100)</f>
        <v>0</v>
      </c>
      <c r="W8">
        <f t="shared" si="0"/>
        <v>0</v>
      </c>
      <c r="X8">
        <f t="shared" si="0"/>
        <v>0</v>
      </c>
      <c r="Y8">
        <f t="shared" si="0"/>
        <v>0</v>
      </c>
      <c r="Z8">
        <f t="shared" si="0"/>
        <v>0</v>
      </c>
      <c r="AA8">
        <f t="shared" si="0"/>
        <v>0</v>
      </c>
      <c r="AB8">
        <f t="shared" si="0"/>
        <v>0</v>
      </c>
      <c r="AC8">
        <f t="shared" si="0"/>
        <v>0</v>
      </c>
      <c r="AD8">
        <f t="shared" si="0"/>
        <v>0</v>
      </c>
      <c r="AE8">
        <f t="shared" si="0"/>
        <v>0</v>
      </c>
      <c r="AF8">
        <f t="shared" si="0"/>
        <v>16.795062395819254</v>
      </c>
      <c r="AG8">
        <f t="shared" si="0"/>
        <v>0</v>
      </c>
      <c r="AH8">
        <f t="shared" si="1"/>
        <v>0</v>
      </c>
      <c r="AI8">
        <f t="shared" si="1"/>
        <v>0</v>
      </c>
      <c r="AJ8">
        <f t="shared" si="1"/>
        <v>100</v>
      </c>
      <c r="AK8">
        <f t="shared" si="1"/>
        <v>100</v>
      </c>
      <c r="AL8">
        <f t="shared" si="1"/>
        <v>33.333333333333329</v>
      </c>
      <c r="AM8">
        <f t="shared" si="1"/>
        <v>7.4223245109321061</v>
      </c>
      <c r="AN8">
        <f t="shared" si="1"/>
        <v>0</v>
      </c>
      <c r="AO8">
        <f t="shared" ref="AO8:AO53" si="3">V8*V$3+W8*W$3+X8*X$3+Y8*Y$3+Z8*Z$3+AA8*AA$3+AB8*AB$3+AC8*AC$3+AD8*AD$3+AE8*AE$3</f>
        <v>0</v>
      </c>
      <c r="AP8">
        <f t="shared" ref="AP8:AP53" si="4">V8*V$4+W8*W$4+X8*X$4+Y8*Y$4+Z8*Z$4+AA8*AA$4+AB8*AB$4+AC8*AC$4+AD8*AD$4+AE8*AE$4</f>
        <v>0</v>
      </c>
      <c r="AQ8">
        <f t="shared" ref="AQ8:AQ53" si="5">AF8*AF$3+AH8*AH$3+AJ8*AJ$3+AK8*AK$3+AL8*AL$3+AN8*AN$3+AO8*AO$3</f>
        <v>25.273567916010528</v>
      </c>
      <c r="AS8">
        <f t="shared" ref="AS8:AS53" si="6">AF8*AF$4+AH8*AH$4+AI8*AI$4+AJ8*AJ$4+AK8*AK$4+AL8*AL$4+AM8*AM$4+AN8*AN$4+AP8*AP$4</f>
        <v>-17.330444773495845</v>
      </c>
      <c r="AU8">
        <f t="shared" ref="AU8:AU53" si="7">(AQ8-$AS$2)/($AS$3-$AS$2)*100</f>
        <v>42.921739867294491</v>
      </c>
      <c r="AW8">
        <f t="shared" ref="AW8:AW53" si="8">(AS8-$AT$2)/($AT$3-$AT$2)*100</f>
        <v>72.687420052169244</v>
      </c>
    </row>
    <row r="9" spans="1:49" x14ac:dyDescent="0.45">
      <c r="A9">
        <v>3</v>
      </c>
      <c r="B9">
        <v>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7</v>
      </c>
      <c r="M9">
        <v>3481</v>
      </c>
      <c r="O9">
        <v>1</v>
      </c>
      <c r="P9">
        <v>1</v>
      </c>
      <c r="Q9">
        <v>1</v>
      </c>
      <c r="R9">
        <v>4</v>
      </c>
      <c r="S9">
        <v>1</v>
      </c>
      <c r="T9">
        <v>52</v>
      </c>
      <c r="U9">
        <v>1</v>
      </c>
      <c r="V9">
        <f t="shared" si="2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  <c r="AC9">
        <f t="shared" si="0"/>
        <v>0</v>
      </c>
      <c r="AD9">
        <f t="shared" si="0"/>
        <v>0</v>
      </c>
      <c r="AE9">
        <f t="shared" si="0"/>
        <v>25</v>
      </c>
      <c r="AF9">
        <f t="shared" si="0"/>
        <v>15.682299409830158</v>
      </c>
      <c r="AG9">
        <f t="shared" si="0"/>
        <v>0</v>
      </c>
      <c r="AH9">
        <f t="shared" si="1"/>
        <v>0</v>
      </c>
      <c r="AI9">
        <f t="shared" si="1"/>
        <v>100</v>
      </c>
      <c r="AJ9">
        <f t="shared" si="1"/>
        <v>100</v>
      </c>
      <c r="AK9">
        <f t="shared" si="1"/>
        <v>100</v>
      </c>
      <c r="AL9">
        <f t="shared" si="1"/>
        <v>16.666666666666664</v>
      </c>
      <c r="AM9">
        <f t="shared" si="1"/>
        <v>1.4959723820483315</v>
      </c>
      <c r="AN9">
        <f t="shared" si="1"/>
        <v>0</v>
      </c>
      <c r="AO9">
        <f t="shared" si="3"/>
        <v>1.4479658064519927</v>
      </c>
      <c r="AP9">
        <f t="shared" si="4"/>
        <v>2.1541529945436095</v>
      </c>
      <c r="AQ9">
        <f t="shared" si="5"/>
        <v>23.404632901367041</v>
      </c>
      <c r="AS9">
        <f t="shared" si="6"/>
        <v>-28.65362156134476</v>
      </c>
      <c r="AU9">
        <f t="shared" si="7"/>
        <v>41.052804852651008</v>
      </c>
      <c r="AW9">
        <f t="shared" si="8"/>
        <v>61.364243264320315</v>
      </c>
    </row>
    <row r="10" spans="1:49" x14ac:dyDescent="0.45">
      <c r="A10">
        <v>4</v>
      </c>
      <c r="B10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3733</v>
      </c>
      <c r="O10">
        <v>1</v>
      </c>
      <c r="P10">
        <v>1</v>
      </c>
      <c r="Q10">
        <v>0</v>
      </c>
      <c r="R10">
        <v>4</v>
      </c>
      <c r="S10">
        <v>1</v>
      </c>
      <c r="T10">
        <v>71</v>
      </c>
      <c r="U10">
        <v>1</v>
      </c>
      <c r="V10">
        <f t="shared" si="2"/>
        <v>0</v>
      </c>
      <c r="W10">
        <f t="shared" si="0"/>
        <v>0</v>
      </c>
      <c r="X10">
        <f t="shared" si="0"/>
        <v>0</v>
      </c>
      <c r="Y10">
        <f t="shared" si="0"/>
        <v>0</v>
      </c>
      <c r="Z10">
        <f t="shared" si="0"/>
        <v>0</v>
      </c>
      <c r="AA10">
        <f t="shared" si="0"/>
        <v>0</v>
      </c>
      <c r="AB10">
        <f t="shared" si="0"/>
        <v>0</v>
      </c>
      <c r="AC10">
        <f t="shared" si="0"/>
        <v>0</v>
      </c>
      <c r="AD10">
        <f t="shared" si="0"/>
        <v>0</v>
      </c>
      <c r="AE10">
        <f t="shared" si="0"/>
        <v>0</v>
      </c>
      <c r="AF10">
        <f t="shared" si="0"/>
        <v>16.817587962337253</v>
      </c>
      <c r="AG10">
        <f t="shared" si="0"/>
        <v>0</v>
      </c>
      <c r="AH10">
        <f t="shared" si="1"/>
        <v>0</v>
      </c>
      <c r="AI10">
        <f t="shared" si="1"/>
        <v>100</v>
      </c>
      <c r="AJ10">
        <f t="shared" si="1"/>
        <v>0</v>
      </c>
      <c r="AK10">
        <f t="shared" si="1"/>
        <v>100</v>
      </c>
      <c r="AL10">
        <f t="shared" si="1"/>
        <v>16.666666666666664</v>
      </c>
      <c r="AM10">
        <f t="shared" si="1"/>
        <v>2.0425776754890679</v>
      </c>
      <c r="AN10">
        <f t="shared" si="1"/>
        <v>0</v>
      </c>
      <c r="AO10">
        <f t="shared" si="3"/>
        <v>0</v>
      </c>
      <c r="AP10">
        <f t="shared" si="4"/>
        <v>0</v>
      </c>
      <c r="AQ10">
        <f t="shared" si="5"/>
        <v>13.989856347382513</v>
      </c>
      <c r="AS10">
        <f t="shared" si="6"/>
        <v>-22.687936508566285</v>
      </c>
      <c r="AU10">
        <f t="shared" si="7"/>
        <v>31.638028298666477</v>
      </c>
      <c r="AW10">
        <f t="shared" si="8"/>
        <v>67.329928317098791</v>
      </c>
    </row>
    <row r="11" spans="1:49" x14ac:dyDescent="0.45">
      <c r="A11">
        <v>5</v>
      </c>
      <c r="B11">
        <v>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4118</v>
      </c>
      <c r="O11">
        <v>1</v>
      </c>
      <c r="P11">
        <v>1</v>
      </c>
      <c r="Q11">
        <v>0</v>
      </c>
      <c r="R11">
        <v>4</v>
      </c>
      <c r="S11">
        <v>1</v>
      </c>
      <c r="T11">
        <v>117</v>
      </c>
      <c r="U11">
        <v>1</v>
      </c>
      <c r="V11">
        <f t="shared" si="2"/>
        <v>0</v>
      </c>
      <c r="W11">
        <f t="shared" si="0"/>
        <v>0</v>
      </c>
      <c r="X11">
        <f t="shared" si="0"/>
        <v>0</v>
      </c>
      <c r="Y11">
        <f t="shared" si="0"/>
        <v>0</v>
      </c>
      <c r="Z11">
        <f t="shared" si="0"/>
        <v>0</v>
      </c>
      <c r="AA11">
        <f t="shared" si="0"/>
        <v>0</v>
      </c>
      <c r="AB11">
        <f t="shared" si="0"/>
        <v>0</v>
      </c>
      <c r="AC11">
        <f t="shared" si="0"/>
        <v>0</v>
      </c>
      <c r="AD11">
        <f t="shared" si="0"/>
        <v>0</v>
      </c>
      <c r="AE11">
        <f t="shared" si="0"/>
        <v>0</v>
      </c>
      <c r="AF11">
        <f t="shared" si="0"/>
        <v>18.552056584223092</v>
      </c>
      <c r="AG11">
        <f t="shared" si="0"/>
        <v>0</v>
      </c>
      <c r="AH11">
        <f t="shared" si="1"/>
        <v>0</v>
      </c>
      <c r="AI11">
        <f t="shared" si="1"/>
        <v>100</v>
      </c>
      <c r="AJ11">
        <f t="shared" si="1"/>
        <v>0</v>
      </c>
      <c r="AK11">
        <f t="shared" si="1"/>
        <v>100</v>
      </c>
      <c r="AL11">
        <f t="shared" si="1"/>
        <v>16.666666666666664</v>
      </c>
      <c r="AM11">
        <f t="shared" si="1"/>
        <v>3.3659378596087453</v>
      </c>
      <c r="AN11">
        <f t="shared" si="1"/>
        <v>0</v>
      </c>
      <c r="AO11">
        <f t="shared" si="3"/>
        <v>0</v>
      </c>
      <c r="AP11">
        <f t="shared" si="4"/>
        <v>0</v>
      </c>
      <c r="AQ11">
        <f t="shared" si="5"/>
        <v>13.683754342551035</v>
      </c>
      <c r="AS11">
        <f t="shared" si="6"/>
        <v>-22.683212376431275</v>
      </c>
      <c r="AU11">
        <f t="shared" si="7"/>
        <v>31.331926293834993</v>
      </c>
      <c r="AW11">
        <f t="shared" si="8"/>
        <v>67.334652449233815</v>
      </c>
    </row>
    <row r="12" spans="1:49" x14ac:dyDescent="0.45">
      <c r="A12">
        <v>6</v>
      </c>
      <c r="B12">
        <v>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3831</v>
      </c>
      <c r="O12">
        <v>1</v>
      </c>
      <c r="P12">
        <v>1</v>
      </c>
      <c r="Q12">
        <v>1</v>
      </c>
      <c r="R12">
        <v>4</v>
      </c>
      <c r="S12">
        <v>1</v>
      </c>
      <c r="T12">
        <v>176</v>
      </c>
      <c r="U12">
        <v>1</v>
      </c>
      <c r="V12">
        <f t="shared" si="2"/>
        <v>0</v>
      </c>
      <c r="W12">
        <f t="shared" si="0"/>
        <v>0</v>
      </c>
      <c r="X12">
        <f t="shared" si="0"/>
        <v>0</v>
      </c>
      <c r="Y12">
        <f t="shared" si="0"/>
        <v>0</v>
      </c>
      <c r="Z12">
        <f t="shared" si="0"/>
        <v>0</v>
      </c>
      <c r="AA12">
        <f t="shared" si="0"/>
        <v>0</v>
      </c>
      <c r="AB12">
        <f t="shared" si="0"/>
        <v>0</v>
      </c>
      <c r="AC12">
        <f t="shared" si="0"/>
        <v>0</v>
      </c>
      <c r="AD12">
        <f t="shared" si="0"/>
        <v>0</v>
      </c>
      <c r="AE12">
        <f t="shared" si="0"/>
        <v>3.5714285714285712</v>
      </c>
      <c r="AF12">
        <f t="shared" si="0"/>
        <v>17.259089066090009</v>
      </c>
      <c r="AG12">
        <f t="shared" si="0"/>
        <v>0</v>
      </c>
      <c r="AH12">
        <f t="shared" si="1"/>
        <v>0</v>
      </c>
      <c r="AI12">
        <f t="shared" si="1"/>
        <v>100</v>
      </c>
      <c r="AJ12">
        <f t="shared" si="1"/>
        <v>100</v>
      </c>
      <c r="AK12">
        <f t="shared" si="1"/>
        <v>100</v>
      </c>
      <c r="AL12">
        <f t="shared" si="1"/>
        <v>16.666666666666664</v>
      </c>
      <c r="AM12">
        <f t="shared" si="1"/>
        <v>5.0632911392405067</v>
      </c>
      <c r="AN12">
        <f t="shared" si="1"/>
        <v>0</v>
      </c>
      <c r="AO12">
        <f t="shared" si="3"/>
        <v>0.20685225806457036</v>
      </c>
      <c r="AP12">
        <f t="shared" si="4"/>
        <v>0.30773614207765848</v>
      </c>
      <c r="AQ12">
        <f t="shared" si="5"/>
        <v>22.810910292404376</v>
      </c>
      <c r="AS12">
        <f t="shared" si="6"/>
        <v>-28.498697004645031</v>
      </c>
      <c r="AU12">
        <f t="shared" si="7"/>
        <v>40.459082243688343</v>
      </c>
      <c r="AW12">
        <f t="shared" si="8"/>
        <v>61.519167821020048</v>
      </c>
    </row>
    <row r="13" spans="1:49" x14ac:dyDescent="0.45">
      <c r="A13">
        <v>7</v>
      </c>
      <c r="B13">
        <v>7</v>
      </c>
      <c r="C13">
        <v>1</v>
      </c>
      <c r="D13">
        <v>1</v>
      </c>
      <c r="E13">
        <v>0</v>
      </c>
      <c r="F13">
        <v>2</v>
      </c>
      <c r="G13">
        <v>4</v>
      </c>
      <c r="H13">
        <v>1</v>
      </c>
      <c r="I13">
        <v>0</v>
      </c>
      <c r="J13">
        <v>0</v>
      </c>
      <c r="K13">
        <v>0</v>
      </c>
      <c r="L13">
        <v>7</v>
      </c>
      <c r="M13">
        <v>3042</v>
      </c>
      <c r="O13">
        <v>1</v>
      </c>
      <c r="P13">
        <v>0</v>
      </c>
      <c r="Q13">
        <v>1</v>
      </c>
      <c r="R13">
        <v>4</v>
      </c>
      <c r="S13">
        <v>1</v>
      </c>
      <c r="T13">
        <v>216</v>
      </c>
      <c r="U13">
        <v>1</v>
      </c>
      <c r="V13">
        <f>IF(C13&gt;C$2,100,(C13-C$1)/(C$2-C$1)*100)</f>
        <v>11.111111111111111</v>
      </c>
      <c r="W13">
        <f t="shared" si="0"/>
        <v>10</v>
      </c>
      <c r="X13">
        <f t="shared" si="0"/>
        <v>0</v>
      </c>
      <c r="Y13">
        <f t="shared" si="0"/>
        <v>8.3333333333333321</v>
      </c>
      <c r="Z13">
        <f t="shared" si="0"/>
        <v>13.793103448275861</v>
      </c>
      <c r="AA13">
        <f t="shared" si="0"/>
        <v>1.8867924528301887</v>
      </c>
      <c r="AB13">
        <f t="shared" si="0"/>
        <v>0</v>
      </c>
      <c r="AC13">
        <f t="shared" si="0"/>
        <v>0</v>
      </c>
      <c r="AD13">
        <f t="shared" si="0"/>
        <v>0</v>
      </c>
      <c r="AE13">
        <f t="shared" si="0"/>
        <v>25</v>
      </c>
      <c r="AF13">
        <f t="shared" si="0"/>
        <v>13.704554669549939</v>
      </c>
      <c r="AG13">
        <f>IF(N13&gt;N$2,100,(N13-N$1)/(N$2-N$1)*100)</f>
        <v>0</v>
      </c>
      <c r="AH13">
        <f t="shared" si="1"/>
        <v>0</v>
      </c>
      <c r="AI13">
        <f t="shared" si="1"/>
        <v>0</v>
      </c>
      <c r="AJ13">
        <f t="shared" si="1"/>
        <v>100</v>
      </c>
      <c r="AK13">
        <f t="shared" si="1"/>
        <v>100</v>
      </c>
      <c r="AL13">
        <f t="shared" si="1"/>
        <v>16.666666666666664</v>
      </c>
      <c r="AM13">
        <f t="shared" si="1"/>
        <v>6.2140391254315306</v>
      </c>
      <c r="AN13">
        <f t="shared" si="1"/>
        <v>0</v>
      </c>
      <c r="AO13">
        <f t="shared" si="3"/>
        <v>6.2991904666108276</v>
      </c>
      <c r="AP13">
        <f t="shared" si="4"/>
        <v>6.2379680321447228</v>
      </c>
      <c r="AQ13">
        <f t="shared" si="5"/>
        <v>24.986681906395347</v>
      </c>
      <c r="AS13">
        <f t="shared" si="6"/>
        <v>-17.249093942669202</v>
      </c>
      <c r="AU13">
        <f t="shared" si="7"/>
        <v>42.63485385767931</v>
      </c>
      <c r="AW13">
        <f t="shared" si="8"/>
        <v>72.768770882995881</v>
      </c>
    </row>
    <row r="14" spans="1:49" x14ac:dyDescent="0.45">
      <c r="A14">
        <v>8</v>
      </c>
      <c r="B14">
        <v>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2159</v>
      </c>
      <c r="O14">
        <v>1</v>
      </c>
      <c r="P14">
        <v>0</v>
      </c>
      <c r="Q14">
        <v>1</v>
      </c>
      <c r="R14">
        <v>4</v>
      </c>
      <c r="S14">
        <v>2</v>
      </c>
      <c r="T14">
        <v>98</v>
      </c>
      <c r="U14">
        <v>1</v>
      </c>
      <c r="V14">
        <f>IF(C14&gt;C$2,100,(C14-C$1)/(C$2-C$1)*100)</f>
        <v>0</v>
      </c>
      <c r="W14">
        <f t="shared" si="0"/>
        <v>0</v>
      </c>
      <c r="X14">
        <f t="shared" si="0"/>
        <v>0</v>
      </c>
      <c r="Y14">
        <f t="shared" si="0"/>
        <v>0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si="0"/>
        <v>0</v>
      </c>
      <c r="AE14">
        <f t="shared" si="0"/>
        <v>3.5714285714285712</v>
      </c>
      <c r="AF14">
        <f t="shared" si="0"/>
        <v>9.7265396224715062</v>
      </c>
      <c r="AG14">
        <f>IF(N14&gt;N$2,100,(N14-N$1)/(N$2-N$1)*100)</f>
        <v>0</v>
      </c>
      <c r="AH14">
        <f t="shared" si="1"/>
        <v>0</v>
      </c>
      <c r="AI14">
        <f t="shared" si="1"/>
        <v>0</v>
      </c>
      <c r="AJ14">
        <f t="shared" si="1"/>
        <v>100</v>
      </c>
      <c r="AK14">
        <f t="shared" si="1"/>
        <v>100</v>
      </c>
      <c r="AL14">
        <f t="shared" si="1"/>
        <v>33.333333333333329</v>
      </c>
      <c r="AM14">
        <f t="shared" si="1"/>
        <v>2.8193325661680091</v>
      </c>
      <c r="AN14">
        <f t="shared" si="1"/>
        <v>0</v>
      </c>
      <c r="AO14">
        <f t="shared" si="3"/>
        <v>0.20685225806457036</v>
      </c>
      <c r="AP14">
        <f t="shared" si="4"/>
        <v>0.30773614207765848</v>
      </c>
      <c r="AQ14">
        <f t="shared" si="5"/>
        <v>26.573607645985913</v>
      </c>
      <c r="AS14">
        <f t="shared" si="6"/>
        <v>-17.525502008614122</v>
      </c>
      <c r="AU14">
        <f t="shared" si="7"/>
        <v>44.221779597269872</v>
      </c>
      <c r="AW14">
        <f t="shared" si="8"/>
        <v>72.49236281705096</v>
      </c>
    </row>
    <row r="15" spans="1:49" x14ac:dyDescent="0.45">
      <c r="A15">
        <v>12</v>
      </c>
      <c r="B15">
        <v>12</v>
      </c>
      <c r="C15">
        <v>2</v>
      </c>
      <c r="D15">
        <v>2</v>
      </c>
      <c r="E15">
        <v>1</v>
      </c>
      <c r="F15">
        <v>3</v>
      </c>
      <c r="G15">
        <v>9</v>
      </c>
      <c r="H15">
        <v>5</v>
      </c>
      <c r="I15">
        <v>0</v>
      </c>
      <c r="J15">
        <v>0</v>
      </c>
      <c r="K15">
        <v>1</v>
      </c>
      <c r="L15">
        <v>3</v>
      </c>
      <c r="M15">
        <v>1143</v>
      </c>
      <c r="O15">
        <v>1</v>
      </c>
      <c r="P15">
        <v>0</v>
      </c>
      <c r="Q15">
        <v>1</v>
      </c>
      <c r="R15">
        <v>4</v>
      </c>
      <c r="S15">
        <v>2</v>
      </c>
      <c r="T15">
        <v>291</v>
      </c>
      <c r="U15">
        <v>1</v>
      </c>
      <c r="V15">
        <f t="shared" ref="V15:AG53" si="9">IF(C15&gt;C$2,100,(C15-C$1)/(C$2-C$1)*100)</f>
        <v>22.222222222222221</v>
      </c>
      <c r="W15">
        <f t="shared" si="0"/>
        <v>20</v>
      </c>
      <c r="X15">
        <f t="shared" si="0"/>
        <v>33.333333333333329</v>
      </c>
      <c r="Y15">
        <f t="shared" si="0"/>
        <v>12.5</v>
      </c>
      <c r="Z15">
        <f t="shared" si="0"/>
        <v>31.03448275862069</v>
      </c>
      <c r="AA15">
        <f t="shared" si="0"/>
        <v>9.433962264150944</v>
      </c>
      <c r="AB15">
        <f t="shared" si="0"/>
        <v>0</v>
      </c>
      <c r="AC15">
        <f t="shared" si="0"/>
        <v>0</v>
      </c>
      <c r="AD15">
        <f t="shared" si="0"/>
        <v>7.1428571428571423</v>
      </c>
      <c r="AE15">
        <f t="shared" si="0"/>
        <v>10.714285714285714</v>
      </c>
      <c r="AF15">
        <f t="shared" si="0"/>
        <v>5.1493445060143266</v>
      </c>
      <c r="AG15">
        <f t="shared" si="0"/>
        <v>0</v>
      </c>
      <c r="AH15">
        <f t="shared" si="1"/>
        <v>0</v>
      </c>
      <c r="AI15">
        <f t="shared" si="1"/>
        <v>0</v>
      </c>
      <c r="AJ15">
        <f t="shared" si="1"/>
        <v>100</v>
      </c>
      <c r="AK15">
        <f t="shared" si="1"/>
        <v>100</v>
      </c>
      <c r="AL15">
        <f t="shared" si="1"/>
        <v>33.333333333333329</v>
      </c>
      <c r="AM15">
        <f t="shared" si="1"/>
        <v>8.3716915995396999</v>
      </c>
      <c r="AN15">
        <f t="shared" si="1"/>
        <v>0</v>
      </c>
      <c r="AO15">
        <f t="shared" si="3"/>
        <v>14.0130111682322</v>
      </c>
      <c r="AP15">
        <f t="shared" si="4"/>
        <v>12.952315916700137</v>
      </c>
      <c r="AQ15">
        <f t="shared" si="5"/>
        <v>30.890446118907814</v>
      </c>
      <c r="AS15">
        <f t="shared" si="6"/>
        <v>-21.781022317322247</v>
      </c>
      <c r="AU15">
        <f t="shared" si="7"/>
        <v>48.538618070191774</v>
      </c>
      <c r="AW15">
        <f t="shared" si="8"/>
        <v>68.236842508342832</v>
      </c>
    </row>
    <row r="16" spans="1:49" x14ac:dyDescent="0.45">
      <c r="A16">
        <v>13</v>
      </c>
      <c r="B16">
        <v>13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</v>
      </c>
      <c r="M16">
        <v>1490</v>
      </c>
      <c r="O16">
        <v>1</v>
      </c>
      <c r="P16">
        <v>1</v>
      </c>
      <c r="Q16">
        <v>1</v>
      </c>
      <c r="R16">
        <v>4</v>
      </c>
      <c r="S16">
        <v>2</v>
      </c>
      <c r="T16">
        <v>280</v>
      </c>
      <c r="U16">
        <v>1</v>
      </c>
      <c r="V16">
        <f t="shared" si="9"/>
        <v>0</v>
      </c>
      <c r="W16">
        <f t="shared" si="0"/>
        <v>0</v>
      </c>
      <c r="X16">
        <f t="shared" si="0"/>
        <v>0</v>
      </c>
      <c r="Y16">
        <f t="shared" si="0"/>
        <v>0</v>
      </c>
      <c r="Z16">
        <f t="shared" si="0"/>
        <v>0</v>
      </c>
      <c r="AA16">
        <f t="shared" si="0"/>
        <v>0</v>
      </c>
      <c r="AB16">
        <f t="shared" si="0"/>
        <v>0</v>
      </c>
      <c r="AC16">
        <f t="shared" si="0"/>
        <v>0</v>
      </c>
      <c r="AD16">
        <f t="shared" si="0"/>
        <v>0</v>
      </c>
      <c r="AE16">
        <f t="shared" si="0"/>
        <v>7.1428571428571423</v>
      </c>
      <c r="AF16">
        <f t="shared" si="0"/>
        <v>6.7126188223633827</v>
      </c>
      <c r="AG16">
        <f t="shared" si="0"/>
        <v>0</v>
      </c>
      <c r="AH16">
        <f t="shared" si="1"/>
        <v>0</v>
      </c>
      <c r="AI16">
        <f t="shared" si="1"/>
        <v>100</v>
      </c>
      <c r="AJ16">
        <f t="shared" si="1"/>
        <v>100</v>
      </c>
      <c r="AK16">
        <f t="shared" si="1"/>
        <v>100</v>
      </c>
      <c r="AL16">
        <f t="shared" si="1"/>
        <v>33.333333333333329</v>
      </c>
      <c r="AM16">
        <f t="shared" si="1"/>
        <v>8.0552359033371701</v>
      </c>
      <c r="AN16">
        <f t="shared" si="1"/>
        <v>0</v>
      </c>
      <c r="AO16">
        <f t="shared" si="3"/>
        <v>0.41370451612914072</v>
      </c>
      <c r="AP16">
        <f t="shared" si="4"/>
        <v>0.61547228415531696</v>
      </c>
      <c r="AQ16">
        <f t="shared" si="5"/>
        <v>27.158084247783819</v>
      </c>
      <c r="AS16">
        <f t="shared" si="6"/>
        <v>-31.768941169635966</v>
      </c>
      <c r="AU16">
        <f t="shared" si="7"/>
        <v>44.806256199067782</v>
      </c>
      <c r="AW16">
        <f t="shared" si="8"/>
        <v>58.24892365602912</v>
      </c>
    </row>
    <row r="17" spans="1:49" x14ac:dyDescent="0.45">
      <c r="A17">
        <v>14</v>
      </c>
      <c r="B17">
        <v>14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</v>
      </c>
      <c r="M17">
        <v>1076</v>
      </c>
      <c r="O17">
        <v>1</v>
      </c>
      <c r="P17">
        <v>1</v>
      </c>
      <c r="Q17">
        <v>1</v>
      </c>
      <c r="R17">
        <v>4</v>
      </c>
      <c r="S17">
        <v>2</v>
      </c>
      <c r="T17">
        <v>238</v>
      </c>
      <c r="U17">
        <v>1</v>
      </c>
      <c r="V17">
        <f t="shared" si="9"/>
        <v>11.111111111111111</v>
      </c>
      <c r="W17">
        <f t="shared" si="0"/>
        <v>0</v>
      </c>
      <c r="X17">
        <f t="shared" si="0"/>
        <v>0</v>
      </c>
      <c r="Y17">
        <f t="shared" si="0"/>
        <v>0</v>
      </c>
      <c r="Z17">
        <f t="shared" si="0"/>
        <v>0</v>
      </c>
      <c r="AA17">
        <f t="shared" si="0"/>
        <v>0</v>
      </c>
      <c r="AB17">
        <f t="shared" si="0"/>
        <v>0</v>
      </c>
      <c r="AC17">
        <f t="shared" si="0"/>
        <v>0</v>
      </c>
      <c r="AD17">
        <f t="shared" si="0"/>
        <v>0</v>
      </c>
      <c r="AE17">
        <f t="shared" si="0"/>
        <v>14.285714285714285</v>
      </c>
      <c r="AF17">
        <f t="shared" si="0"/>
        <v>4.8475019146731535</v>
      </c>
      <c r="AG17">
        <f t="shared" si="0"/>
        <v>0</v>
      </c>
      <c r="AH17">
        <f t="shared" si="1"/>
        <v>0</v>
      </c>
      <c r="AI17">
        <f t="shared" si="1"/>
        <v>100</v>
      </c>
      <c r="AJ17">
        <f t="shared" si="1"/>
        <v>100</v>
      </c>
      <c r="AK17">
        <f t="shared" si="1"/>
        <v>100</v>
      </c>
      <c r="AL17">
        <f t="shared" si="1"/>
        <v>33.333333333333329</v>
      </c>
      <c r="AM17">
        <f t="shared" si="1"/>
        <v>6.8469505178365937</v>
      </c>
      <c r="AN17">
        <f t="shared" si="1"/>
        <v>0</v>
      </c>
      <c r="AO17">
        <f t="shared" si="3"/>
        <v>2.287785255410693</v>
      </c>
      <c r="AP17">
        <f t="shared" si="4"/>
        <v>2.559043884660837</v>
      </c>
      <c r="AQ17">
        <f t="shared" si="5"/>
        <v>27.963569673320567</v>
      </c>
      <c r="AS17">
        <f t="shared" si="6"/>
        <v>-32.276618728641623</v>
      </c>
      <c r="AU17">
        <f t="shared" si="7"/>
        <v>45.611741624604534</v>
      </c>
      <c r="AW17">
        <f t="shared" si="8"/>
        <v>57.741246097023456</v>
      </c>
    </row>
    <row r="18" spans="1:49" x14ac:dyDescent="0.45">
      <c r="A18">
        <v>15</v>
      </c>
      <c r="B18">
        <v>15</v>
      </c>
      <c r="C18">
        <v>1</v>
      </c>
      <c r="D18">
        <v>1</v>
      </c>
      <c r="E18">
        <v>2</v>
      </c>
      <c r="F18">
        <v>3</v>
      </c>
      <c r="G18">
        <v>4</v>
      </c>
      <c r="H18">
        <v>2</v>
      </c>
      <c r="I18">
        <v>0</v>
      </c>
      <c r="J18">
        <v>0</v>
      </c>
      <c r="K18">
        <v>0</v>
      </c>
      <c r="L18">
        <v>7</v>
      </c>
      <c r="M18">
        <v>629</v>
      </c>
      <c r="O18">
        <v>1</v>
      </c>
      <c r="P18">
        <v>1</v>
      </c>
      <c r="Q18">
        <v>1</v>
      </c>
      <c r="R18">
        <v>4</v>
      </c>
      <c r="S18">
        <v>2</v>
      </c>
      <c r="T18">
        <v>220</v>
      </c>
      <c r="U18">
        <v>1</v>
      </c>
      <c r="V18">
        <f t="shared" si="9"/>
        <v>11.111111111111111</v>
      </c>
      <c r="W18">
        <f t="shared" si="0"/>
        <v>10</v>
      </c>
      <c r="X18">
        <f t="shared" si="0"/>
        <v>66.666666666666657</v>
      </c>
      <c r="Y18">
        <f t="shared" si="0"/>
        <v>12.5</v>
      </c>
      <c r="Z18">
        <f t="shared" si="0"/>
        <v>13.793103448275861</v>
      </c>
      <c r="AA18">
        <f t="shared" si="0"/>
        <v>3.7735849056603774</v>
      </c>
      <c r="AB18">
        <f t="shared" si="0"/>
        <v>0</v>
      </c>
      <c r="AC18">
        <f t="shared" si="0"/>
        <v>0</v>
      </c>
      <c r="AD18">
        <f t="shared" si="0"/>
        <v>0</v>
      </c>
      <c r="AE18">
        <f t="shared" si="0"/>
        <v>25</v>
      </c>
      <c r="AF18">
        <f t="shared" si="0"/>
        <v>2.8337162679641392</v>
      </c>
      <c r="AG18">
        <f t="shared" si="0"/>
        <v>0</v>
      </c>
      <c r="AH18">
        <f t="shared" si="1"/>
        <v>0</v>
      </c>
      <c r="AI18">
        <f t="shared" si="1"/>
        <v>100</v>
      </c>
      <c r="AJ18">
        <f t="shared" si="1"/>
        <v>100</v>
      </c>
      <c r="AK18">
        <f t="shared" si="1"/>
        <v>100</v>
      </c>
      <c r="AL18">
        <f t="shared" si="1"/>
        <v>33.333333333333329</v>
      </c>
      <c r="AM18">
        <f t="shared" si="1"/>
        <v>6.3291139240506329</v>
      </c>
      <c r="AN18">
        <f t="shared" si="1"/>
        <v>0</v>
      </c>
      <c r="AO18">
        <f t="shared" si="3"/>
        <v>10.873320823720917</v>
      </c>
      <c r="AP18">
        <f t="shared" si="4"/>
        <v>11.389270928260405</v>
      </c>
      <c r="AQ18">
        <f t="shared" si="5"/>
        <v>30.501111677565397</v>
      </c>
      <c r="AS18">
        <f t="shared" si="6"/>
        <v>-34.571018513507191</v>
      </c>
      <c r="AU18">
        <f t="shared" si="7"/>
        <v>48.149283628849361</v>
      </c>
      <c r="AW18">
        <f t="shared" si="8"/>
        <v>55.446846312157895</v>
      </c>
    </row>
    <row r="19" spans="1:49" x14ac:dyDescent="0.45">
      <c r="A19">
        <v>16</v>
      </c>
      <c r="B19">
        <v>16</v>
      </c>
      <c r="C19">
        <v>1</v>
      </c>
      <c r="D19">
        <v>0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4</v>
      </c>
      <c r="M19">
        <v>1074</v>
      </c>
      <c r="O19">
        <v>1</v>
      </c>
      <c r="P19">
        <v>0</v>
      </c>
      <c r="Q19">
        <v>1</v>
      </c>
      <c r="R19">
        <v>4</v>
      </c>
      <c r="S19">
        <v>2</v>
      </c>
      <c r="T19">
        <v>273</v>
      </c>
      <c r="U19">
        <v>4</v>
      </c>
      <c r="V19">
        <f t="shared" si="9"/>
        <v>11.111111111111111</v>
      </c>
      <c r="W19">
        <f t="shared" si="0"/>
        <v>0</v>
      </c>
      <c r="X19">
        <f t="shared" si="0"/>
        <v>33.333333333333329</v>
      </c>
      <c r="Y19">
        <f t="shared" si="0"/>
        <v>4.1666666666666661</v>
      </c>
      <c r="Z19">
        <f t="shared" si="0"/>
        <v>3.4482758620689653</v>
      </c>
      <c r="AA19">
        <f t="shared" si="0"/>
        <v>1.8867924528301887</v>
      </c>
      <c r="AB19">
        <f t="shared" si="0"/>
        <v>0</v>
      </c>
      <c r="AC19">
        <f t="shared" si="0"/>
        <v>0</v>
      </c>
      <c r="AD19">
        <f t="shared" si="0"/>
        <v>0</v>
      </c>
      <c r="AE19">
        <f t="shared" si="0"/>
        <v>14.285714285714285</v>
      </c>
      <c r="AF19">
        <f t="shared" si="0"/>
        <v>4.8384916880659548</v>
      </c>
      <c r="AG19">
        <f t="shared" si="0"/>
        <v>0</v>
      </c>
      <c r="AH19">
        <f t="shared" si="1"/>
        <v>0</v>
      </c>
      <c r="AI19">
        <f t="shared" si="1"/>
        <v>0</v>
      </c>
      <c r="AJ19">
        <f t="shared" si="1"/>
        <v>100</v>
      </c>
      <c r="AK19">
        <f t="shared" si="1"/>
        <v>100</v>
      </c>
      <c r="AL19">
        <f t="shared" si="1"/>
        <v>33.333333333333329</v>
      </c>
      <c r="AM19">
        <f t="shared" si="1"/>
        <v>7.85385500575374</v>
      </c>
      <c r="AN19">
        <f t="shared" si="1"/>
        <v>100</v>
      </c>
      <c r="AO19">
        <f t="shared" si="3"/>
        <v>5.285995806673502</v>
      </c>
      <c r="AP19">
        <f t="shared" si="4"/>
        <v>5.7056211365506888</v>
      </c>
      <c r="AQ19">
        <f t="shared" si="5"/>
        <v>35.240028118872686</v>
      </c>
      <c r="AS19">
        <f t="shared" si="6"/>
        <v>-26.186963243276775</v>
      </c>
      <c r="AU19">
        <f t="shared" si="7"/>
        <v>52.888200070156657</v>
      </c>
      <c r="AW19">
        <f t="shared" si="8"/>
        <v>63.8309015823883</v>
      </c>
    </row>
    <row r="20" spans="1:49" x14ac:dyDescent="0.45">
      <c r="A20">
        <v>17</v>
      </c>
      <c r="B20">
        <v>17</v>
      </c>
      <c r="C20">
        <v>1</v>
      </c>
      <c r="D20">
        <v>2</v>
      </c>
      <c r="E20">
        <v>1</v>
      </c>
      <c r="F20">
        <v>4</v>
      </c>
      <c r="G20">
        <v>5</v>
      </c>
      <c r="H20">
        <v>12</v>
      </c>
      <c r="I20">
        <v>0</v>
      </c>
      <c r="J20">
        <v>2</v>
      </c>
      <c r="K20">
        <v>3</v>
      </c>
      <c r="L20">
        <v>8</v>
      </c>
      <c r="M20">
        <v>880</v>
      </c>
      <c r="O20">
        <v>1</v>
      </c>
      <c r="P20">
        <v>0</v>
      </c>
      <c r="Q20">
        <v>1</v>
      </c>
      <c r="R20">
        <v>4</v>
      </c>
      <c r="S20">
        <v>2</v>
      </c>
      <c r="T20">
        <v>340</v>
      </c>
      <c r="U20">
        <v>1</v>
      </c>
      <c r="V20">
        <f t="shared" si="9"/>
        <v>11.111111111111111</v>
      </c>
      <c r="W20">
        <f t="shared" si="0"/>
        <v>20</v>
      </c>
      <c r="X20">
        <f t="shared" si="0"/>
        <v>33.333333333333329</v>
      </c>
      <c r="Y20">
        <f t="shared" si="0"/>
        <v>16.666666666666664</v>
      </c>
      <c r="Z20">
        <f t="shared" si="0"/>
        <v>17.241379310344829</v>
      </c>
      <c r="AA20">
        <f t="shared" si="0"/>
        <v>22.641509433962266</v>
      </c>
      <c r="AB20">
        <f t="shared" si="0"/>
        <v>0</v>
      </c>
      <c r="AC20">
        <f t="shared" si="0"/>
        <v>11.111111111111111</v>
      </c>
      <c r="AD20">
        <f t="shared" si="0"/>
        <v>21.428571428571427</v>
      </c>
      <c r="AE20">
        <f t="shared" si="0"/>
        <v>28.571428571428569</v>
      </c>
      <c r="AF20">
        <f t="shared" si="0"/>
        <v>3.9644997071676356</v>
      </c>
      <c r="AG20">
        <f t="shared" si="0"/>
        <v>0</v>
      </c>
      <c r="AH20">
        <f t="shared" si="1"/>
        <v>0</v>
      </c>
      <c r="AI20">
        <f t="shared" si="1"/>
        <v>0</v>
      </c>
      <c r="AJ20">
        <f t="shared" si="1"/>
        <v>100</v>
      </c>
      <c r="AK20">
        <f t="shared" si="1"/>
        <v>100</v>
      </c>
      <c r="AL20">
        <f t="shared" si="1"/>
        <v>33.333333333333329</v>
      </c>
      <c r="AM20">
        <f t="shared" si="1"/>
        <v>9.7813578826237055</v>
      </c>
      <c r="AN20">
        <f t="shared" si="1"/>
        <v>0</v>
      </c>
      <c r="AO20">
        <f t="shared" si="3"/>
        <v>17.171374938070745</v>
      </c>
      <c r="AP20">
        <f t="shared" si="4"/>
        <v>17.524916242292868</v>
      </c>
      <c r="AQ20">
        <f t="shared" si="5"/>
        <v>31.902296198589614</v>
      </c>
      <c r="AS20">
        <f t="shared" si="6"/>
        <v>-23.196842995272743</v>
      </c>
      <c r="AU20">
        <f t="shared" si="7"/>
        <v>49.550468149873581</v>
      </c>
      <c r="AW20">
        <f t="shared" si="8"/>
        <v>66.82102183039234</v>
      </c>
    </row>
    <row r="21" spans="1:49" x14ac:dyDescent="0.45">
      <c r="A21">
        <v>18</v>
      </c>
      <c r="B21">
        <v>18</v>
      </c>
      <c r="C21">
        <v>0</v>
      </c>
      <c r="D21">
        <v>2</v>
      </c>
      <c r="E21">
        <v>1</v>
      </c>
      <c r="F21">
        <v>7</v>
      </c>
      <c r="G21">
        <v>10</v>
      </c>
      <c r="H21">
        <v>13</v>
      </c>
      <c r="I21">
        <v>1</v>
      </c>
      <c r="J21">
        <v>2</v>
      </c>
      <c r="K21">
        <v>3</v>
      </c>
      <c r="L21">
        <v>8</v>
      </c>
      <c r="M21">
        <v>590</v>
      </c>
      <c r="O21">
        <v>1</v>
      </c>
      <c r="P21">
        <v>1</v>
      </c>
      <c r="Q21">
        <v>1</v>
      </c>
      <c r="R21">
        <v>4</v>
      </c>
      <c r="S21">
        <v>2</v>
      </c>
      <c r="T21">
        <v>445</v>
      </c>
      <c r="U21">
        <v>2</v>
      </c>
      <c r="V21">
        <f t="shared" si="9"/>
        <v>0</v>
      </c>
      <c r="W21">
        <f t="shared" si="0"/>
        <v>20</v>
      </c>
      <c r="X21">
        <f t="shared" si="0"/>
        <v>33.333333333333329</v>
      </c>
      <c r="Y21">
        <f t="shared" si="0"/>
        <v>29.166666666666668</v>
      </c>
      <c r="Z21">
        <f t="shared" si="0"/>
        <v>34.482758620689658</v>
      </c>
      <c r="AA21">
        <f t="shared" si="0"/>
        <v>24.528301886792452</v>
      </c>
      <c r="AB21">
        <f t="shared" si="0"/>
        <v>6.666666666666667</v>
      </c>
      <c r="AC21">
        <f t="shared" si="0"/>
        <v>11.111111111111111</v>
      </c>
      <c r="AD21">
        <f t="shared" si="0"/>
        <v>21.428571428571427</v>
      </c>
      <c r="AE21">
        <f t="shared" si="0"/>
        <v>28.571428571428569</v>
      </c>
      <c r="AF21">
        <f t="shared" si="0"/>
        <v>2.6580168491237557</v>
      </c>
      <c r="AG21">
        <f t="shared" si="0"/>
        <v>0</v>
      </c>
      <c r="AH21">
        <f t="shared" si="1"/>
        <v>0</v>
      </c>
      <c r="AI21">
        <f t="shared" si="1"/>
        <v>100</v>
      </c>
      <c r="AJ21">
        <f t="shared" si="1"/>
        <v>100</v>
      </c>
      <c r="AK21">
        <f t="shared" si="1"/>
        <v>100</v>
      </c>
      <c r="AL21">
        <f t="shared" si="1"/>
        <v>33.333333333333329</v>
      </c>
      <c r="AM21">
        <f t="shared" si="1"/>
        <v>12.802071346375143</v>
      </c>
      <c r="AN21">
        <f t="shared" si="1"/>
        <v>33.333333333333329</v>
      </c>
      <c r="AO21">
        <f t="shared" si="3"/>
        <v>19.824672191520193</v>
      </c>
      <c r="AP21">
        <f t="shared" si="4"/>
        <v>19.625467181403696</v>
      </c>
      <c r="AQ21">
        <f t="shared" si="5"/>
        <v>34.978185121612754</v>
      </c>
      <c r="AS21">
        <f t="shared" si="6"/>
        <v>-39.4972931183787</v>
      </c>
      <c r="AU21">
        <f t="shared" si="7"/>
        <v>52.62635707289671</v>
      </c>
      <c r="AW21">
        <f t="shared" si="8"/>
        <v>50.520571707286379</v>
      </c>
    </row>
    <row r="22" spans="1:49" x14ac:dyDescent="0.45">
      <c r="A22">
        <v>19</v>
      </c>
      <c r="B22">
        <v>19</v>
      </c>
      <c r="C22">
        <v>1</v>
      </c>
      <c r="D22">
        <v>1</v>
      </c>
      <c r="E22">
        <v>0</v>
      </c>
      <c r="F22">
        <v>4</v>
      </c>
      <c r="G22">
        <v>5</v>
      </c>
      <c r="H22">
        <v>4</v>
      </c>
      <c r="I22">
        <v>1</v>
      </c>
      <c r="J22">
        <v>0</v>
      </c>
      <c r="K22">
        <v>0</v>
      </c>
      <c r="L22">
        <v>3</v>
      </c>
      <c r="M22">
        <v>579</v>
      </c>
      <c r="O22">
        <v>1</v>
      </c>
      <c r="P22">
        <v>0</v>
      </c>
      <c r="Q22">
        <v>1</v>
      </c>
      <c r="R22">
        <v>4</v>
      </c>
      <c r="S22">
        <v>2</v>
      </c>
      <c r="T22">
        <v>102</v>
      </c>
      <c r="U22">
        <v>1</v>
      </c>
      <c r="V22">
        <f t="shared" si="9"/>
        <v>11.111111111111111</v>
      </c>
      <c r="W22">
        <f t="shared" si="0"/>
        <v>10</v>
      </c>
      <c r="X22">
        <f t="shared" si="0"/>
        <v>0</v>
      </c>
      <c r="Y22">
        <f t="shared" si="0"/>
        <v>16.666666666666664</v>
      </c>
      <c r="Z22">
        <f t="shared" si="0"/>
        <v>17.241379310344829</v>
      </c>
      <c r="AA22">
        <f t="shared" si="0"/>
        <v>7.5471698113207548</v>
      </c>
      <c r="AB22">
        <f t="shared" si="0"/>
        <v>6.666666666666667</v>
      </c>
      <c r="AC22">
        <f t="shared" si="0"/>
        <v>0</v>
      </c>
      <c r="AD22">
        <f t="shared" si="0"/>
        <v>0</v>
      </c>
      <c r="AE22">
        <f t="shared" si="0"/>
        <v>10.714285714285714</v>
      </c>
      <c r="AF22">
        <f t="shared" si="0"/>
        <v>2.6084606027841599</v>
      </c>
      <c r="AG22">
        <f t="shared" si="0"/>
        <v>0</v>
      </c>
      <c r="AH22">
        <f t="shared" si="1"/>
        <v>0</v>
      </c>
      <c r="AI22">
        <f t="shared" si="1"/>
        <v>0</v>
      </c>
      <c r="AJ22">
        <f t="shared" si="1"/>
        <v>100</v>
      </c>
      <c r="AK22">
        <f t="shared" si="1"/>
        <v>100</v>
      </c>
      <c r="AL22">
        <f t="shared" si="1"/>
        <v>33.333333333333329</v>
      </c>
      <c r="AM22">
        <f t="shared" si="1"/>
        <v>2.9344073647871118</v>
      </c>
      <c r="AN22">
        <f t="shared" si="1"/>
        <v>0</v>
      </c>
      <c r="AO22">
        <f t="shared" si="3"/>
        <v>7.9047140847969333</v>
      </c>
      <c r="AP22">
        <f t="shared" si="4"/>
        <v>7.2798036673108744</v>
      </c>
      <c r="AQ22">
        <f t="shared" si="5"/>
        <v>29.786348214592405</v>
      </c>
      <c r="AS22">
        <f t="shared" si="6"/>
        <v>-19.955583272818501</v>
      </c>
      <c r="AU22">
        <f t="shared" si="7"/>
        <v>47.434520165876364</v>
      </c>
      <c r="AW22">
        <f t="shared" si="8"/>
        <v>70.062281552846585</v>
      </c>
    </row>
    <row r="23" spans="1:49" x14ac:dyDescent="0.45">
      <c r="A23">
        <v>20</v>
      </c>
      <c r="B23">
        <v>20</v>
      </c>
      <c r="C23">
        <v>0</v>
      </c>
      <c r="D23">
        <v>1</v>
      </c>
      <c r="E23">
        <v>2</v>
      </c>
      <c r="F23">
        <v>5</v>
      </c>
      <c r="G23">
        <v>6</v>
      </c>
      <c r="H23">
        <v>4</v>
      </c>
      <c r="I23">
        <v>0</v>
      </c>
      <c r="J23">
        <v>1</v>
      </c>
      <c r="K23">
        <v>0</v>
      </c>
      <c r="L23">
        <v>4</v>
      </c>
      <c r="M23">
        <v>553</v>
      </c>
      <c r="O23">
        <v>1</v>
      </c>
      <c r="P23">
        <v>0</v>
      </c>
      <c r="Q23">
        <v>1</v>
      </c>
      <c r="R23">
        <v>4</v>
      </c>
      <c r="S23">
        <v>4</v>
      </c>
      <c r="T23">
        <v>960</v>
      </c>
      <c r="U23">
        <v>1</v>
      </c>
      <c r="V23">
        <f t="shared" si="9"/>
        <v>0</v>
      </c>
      <c r="W23">
        <f t="shared" si="9"/>
        <v>10</v>
      </c>
      <c r="X23">
        <f t="shared" si="9"/>
        <v>66.666666666666657</v>
      </c>
      <c r="Y23">
        <f t="shared" si="9"/>
        <v>20.833333333333336</v>
      </c>
      <c r="Z23">
        <f t="shared" si="9"/>
        <v>20.689655172413794</v>
      </c>
      <c r="AA23">
        <f t="shared" si="9"/>
        <v>7.5471698113207548</v>
      </c>
      <c r="AB23">
        <f t="shared" si="9"/>
        <v>0</v>
      </c>
      <c r="AC23">
        <f t="shared" si="9"/>
        <v>5.5555555555555554</v>
      </c>
      <c r="AD23">
        <f t="shared" si="9"/>
        <v>0</v>
      </c>
      <c r="AE23">
        <f t="shared" si="9"/>
        <v>14.285714285714285</v>
      </c>
      <c r="AF23">
        <f t="shared" si="9"/>
        <v>2.4913276568905709</v>
      </c>
      <c r="AG23">
        <f t="shared" si="9"/>
        <v>0</v>
      </c>
      <c r="AH23">
        <f t="shared" si="1"/>
        <v>0</v>
      </c>
      <c r="AI23">
        <f t="shared" si="1"/>
        <v>0</v>
      </c>
      <c r="AJ23">
        <f t="shared" si="1"/>
        <v>100</v>
      </c>
      <c r="AK23">
        <f t="shared" si="1"/>
        <v>100</v>
      </c>
      <c r="AL23">
        <f t="shared" si="1"/>
        <v>66.666666666666657</v>
      </c>
      <c r="AM23">
        <f t="shared" si="1"/>
        <v>27.617951668584578</v>
      </c>
      <c r="AN23">
        <f t="shared" si="1"/>
        <v>0</v>
      </c>
      <c r="AO23">
        <f t="shared" si="3"/>
        <v>11.395516464842736</v>
      </c>
      <c r="AP23">
        <f t="shared" si="4"/>
        <v>11.570676391714473</v>
      </c>
      <c r="AQ23">
        <f t="shared" si="5"/>
        <v>35.560941197069873</v>
      </c>
      <c r="AS23">
        <f t="shared" si="6"/>
        <v>-27.680741815037596</v>
      </c>
      <c r="AU23">
        <f t="shared" si="7"/>
        <v>53.209113148353836</v>
      </c>
      <c r="AW23">
        <f t="shared" si="8"/>
        <v>62.337123010627494</v>
      </c>
    </row>
    <row r="24" spans="1:49" x14ac:dyDescent="0.45">
      <c r="A24">
        <v>21</v>
      </c>
      <c r="B24">
        <v>21</v>
      </c>
      <c r="C24">
        <v>0</v>
      </c>
      <c r="D24">
        <v>1</v>
      </c>
      <c r="E24">
        <v>2</v>
      </c>
      <c r="F24">
        <v>6</v>
      </c>
      <c r="G24">
        <v>8</v>
      </c>
      <c r="H24">
        <v>5</v>
      </c>
      <c r="I24">
        <v>0</v>
      </c>
      <c r="J24">
        <v>1</v>
      </c>
      <c r="K24">
        <v>0</v>
      </c>
      <c r="L24">
        <v>5</v>
      </c>
      <c r="M24">
        <v>526</v>
      </c>
      <c r="O24">
        <v>1</v>
      </c>
      <c r="P24">
        <v>0</v>
      </c>
      <c r="Q24">
        <v>1</v>
      </c>
      <c r="R24">
        <v>4</v>
      </c>
      <c r="S24">
        <v>2</v>
      </c>
      <c r="T24">
        <v>488</v>
      </c>
      <c r="U24">
        <v>1</v>
      </c>
      <c r="V24">
        <f t="shared" si="9"/>
        <v>0</v>
      </c>
      <c r="W24">
        <f t="shared" si="9"/>
        <v>10</v>
      </c>
      <c r="X24">
        <f t="shared" si="9"/>
        <v>66.666666666666657</v>
      </c>
      <c r="Y24">
        <f t="shared" si="9"/>
        <v>25</v>
      </c>
      <c r="Z24">
        <f t="shared" si="9"/>
        <v>27.586206896551722</v>
      </c>
      <c r="AA24">
        <f t="shared" si="9"/>
        <v>9.433962264150944</v>
      </c>
      <c r="AB24">
        <f t="shared" si="9"/>
        <v>0</v>
      </c>
      <c r="AC24">
        <f t="shared" si="9"/>
        <v>5.5555555555555554</v>
      </c>
      <c r="AD24">
        <f t="shared" si="9"/>
        <v>0</v>
      </c>
      <c r="AE24">
        <f t="shared" si="9"/>
        <v>17.857142857142858</v>
      </c>
      <c r="AF24">
        <f t="shared" si="9"/>
        <v>2.3696895976933821</v>
      </c>
      <c r="AG24">
        <f t="shared" si="9"/>
        <v>0</v>
      </c>
      <c r="AH24">
        <f t="shared" si="1"/>
        <v>0</v>
      </c>
      <c r="AI24">
        <f t="shared" si="1"/>
        <v>0</v>
      </c>
      <c r="AJ24">
        <f t="shared" si="1"/>
        <v>100</v>
      </c>
      <c r="AK24">
        <f t="shared" si="1"/>
        <v>100</v>
      </c>
      <c r="AL24">
        <f t="shared" si="1"/>
        <v>33.333333333333329</v>
      </c>
      <c r="AM24">
        <f t="shared" si="1"/>
        <v>14.039125431530493</v>
      </c>
      <c r="AN24">
        <f t="shared" si="1"/>
        <v>0</v>
      </c>
      <c r="AO24">
        <f t="shared" si="3"/>
        <v>13.024659468322834</v>
      </c>
      <c r="AP24">
        <f t="shared" si="4"/>
        <v>13.020264141456153</v>
      </c>
      <c r="AQ24">
        <f t="shared" si="5"/>
        <v>31.129799641288759</v>
      </c>
      <c r="AS24">
        <f t="shared" si="6"/>
        <v>-22.796353231661413</v>
      </c>
      <c r="AU24">
        <f t="shared" si="7"/>
        <v>48.777971592572726</v>
      </c>
      <c r="AW24">
        <f t="shared" si="8"/>
        <v>67.221511594003672</v>
      </c>
    </row>
    <row r="25" spans="1:49" x14ac:dyDescent="0.45">
      <c r="A25">
        <v>22</v>
      </c>
      <c r="B25">
        <v>22</v>
      </c>
      <c r="C25">
        <v>1</v>
      </c>
      <c r="D25">
        <v>3</v>
      </c>
      <c r="E25">
        <v>2</v>
      </c>
      <c r="F25">
        <v>7</v>
      </c>
      <c r="G25">
        <v>9</v>
      </c>
      <c r="H25">
        <v>9</v>
      </c>
      <c r="I25">
        <v>0</v>
      </c>
      <c r="J25">
        <v>1</v>
      </c>
      <c r="K25">
        <v>0</v>
      </c>
      <c r="L25">
        <v>8</v>
      </c>
      <c r="M25">
        <v>796</v>
      </c>
      <c r="O25">
        <v>1</v>
      </c>
      <c r="P25">
        <v>0</v>
      </c>
      <c r="Q25">
        <v>1</v>
      </c>
      <c r="R25">
        <v>4</v>
      </c>
      <c r="S25">
        <v>2</v>
      </c>
      <c r="T25">
        <v>132</v>
      </c>
      <c r="U25">
        <v>3</v>
      </c>
      <c r="V25">
        <f t="shared" si="9"/>
        <v>11.111111111111111</v>
      </c>
      <c r="W25">
        <f t="shared" si="9"/>
        <v>30</v>
      </c>
      <c r="X25">
        <f t="shared" si="9"/>
        <v>66.666666666666657</v>
      </c>
      <c r="Y25">
        <f t="shared" si="9"/>
        <v>29.166666666666668</v>
      </c>
      <c r="Z25">
        <f t="shared" si="9"/>
        <v>31.03448275862069</v>
      </c>
      <c r="AA25">
        <f t="shared" si="9"/>
        <v>16.981132075471699</v>
      </c>
      <c r="AB25">
        <f t="shared" si="9"/>
        <v>0</v>
      </c>
      <c r="AC25">
        <f t="shared" si="9"/>
        <v>5.5555555555555554</v>
      </c>
      <c r="AD25">
        <f t="shared" si="9"/>
        <v>0</v>
      </c>
      <c r="AE25">
        <f t="shared" si="9"/>
        <v>28.571428571428569</v>
      </c>
      <c r="AF25">
        <f t="shared" si="9"/>
        <v>3.58607018966527</v>
      </c>
      <c r="AG25">
        <f t="shared" si="9"/>
        <v>0</v>
      </c>
      <c r="AH25">
        <f t="shared" si="1"/>
        <v>0</v>
      </c>
      <c r="AI25">
        <f t="shared" si="1"/>
        <v>0</v>
      </c>
      <c r="AJ25">
        <f t="shared" si="1"/>
        <v>100</v>
      </c>
      <c r="AK25">
        <f t="shared" si="1"/>
        <v>100</v>
      </c>
      <c r="AL25">
        <f t="shared" si="1"/>
        <v>33.333333333333329</v>
      </c>
      <c r="AM25">
        <f t="shared" si="1"/>
        <v>3.79746835443038</v>
      </c>
      <c r="AN25">
        <f t="shared" si="1"/>
        <v>66.666666666666657</v>
      </c>
      <c r="AO25">
        <f t="shared" si="3"/>
        <v>18.136717231482695</v>
      </c>
      <c r="AP25">
        <f t="shared" si="4"/>
        <v>17.969108997663394</v>
      </c>
      <c r="AQ25">
        <f t="shared" si="5"/>
        <v>36.55632336676522</v>
      </c>
      <c r="AS25">
        <f t="shared" si="6"/>
        <v>-26.723630838667731</v>
      </c>
      <c r="AU25">
        <f t="shared" si="7"/>
        <v>54.204495318049183</v>
      </c>
      <c r="AW25">
        <f t="shared" si="8"/>
        <v>63.294233986997348</v>
      </c>
    </row>
    <row r="26" spans="1:49" x14ac:dyDescent="0.45">
      <c r="A26">
        <v>25</v>
      </c>
      <c r="B26">
        <v>25</v>
      </c>
      <c r="C26">
        <v>2</v>
      </c>
      <c r="D26">
        <v>3</v>
      </c>
      <c r="E26">
        <v>3</v>
      </c>
      <c r="F26">
        <v>8</v>
      </c>
      <c r="G26">
        <v>14</v>
      </c>
      <c r="H26">
        <v>10</v>
      </c>
      <c r="I26">
        <v>1</v>
      </c>
      <c r="J26">
        <v>0</v>
      </c>
      <c r="K26">
        <v>1</v>
      </c>
      <c r="L26">
        <v>10</v>
      </c>
      <c r="M26">
        <v>251</v>
      </c>
      <c r="O26">
        <v>1</v>
      </c>
      <c r="P26">
        <v>0</v>
      </c>
      <c r="Q26">
        <v>1</v>
      </c>
      <c r="R26">
        <v>4</v>
      </c>
      <c r="S26">
        <v>2</v>
      </c>
      <c r="T26">
        <v>197</v>
      </c>
      <c r="U26">
        <v>1</v>
      </c>
      <c r="V26">
        <f t="shared" si="9"/>
        <v>22.222222222222221</v>
      </c>
      <c r="W26">
        <f t="shared" si="9"/>
        <v>30</v>
      </c>
      <c r="X26">
        <f t="shared" si="9"/>
        <v>100</v>
      </c>
      <c r="Y26">
        <f t="shared" si="9"/>
        <v>33.333333333333329</v>
      </c>
      <c r="Z26">
        <f t="shared" si="9"/>
        <v>48.275862068965516</v>
      </c>
      <c r="AA26">
        <f t="shared" si="9"/>
        <v>18.867924528301888</v>
      </c>
      <c r="AB26">
        <f t="shared" si="9"/>
        <v>6.666666666666667</v>
      </c>
      <c r="AC26">
        <f t="shared" si="9"/>
        <v>0</v>
      </c>
      <c r="AD26">
        <f t="shared" si="9"/>
        <v>7.1428571428571423</v>
      </c>
      <c r="AE26">
        <f t="shared" si="9"/>
        <v>35.714285714285715</v>
      </c>
      <c r="AF26">
        <f t="shared" si="9"/>
        <v>1.1307834392034959</v>
      </c>
      <c r="AG26">
        <f t="shared" si="9"/>
        <v>0</v>
      </c>
      <c r="AH26">
        <f t="shared" si="1"/>
        <v>0</v>
      </c>
      <c r="AI26">
        <f t="shared" si="1"/>
        <v>0</v>
      </c>
      <c r="AJ26">
        <f t="shared" si="1"/>
        <v>100</v>
      </c>
      <c r="AK26">
        <f t="shared" si="1"/>
        <v>100</v>
      </c>
      <c r="AL26">
        <f t="shared" si="1"/>
        <v>33.333333333333329</v>
      </c>
      <c r="AM26">
        <f t="shared" si="1"/>
        <v>5.6674338319907935</v>
      </c>
      <c r="AN26">
        <f t="shared" si="1"/>
        <v>0</v>
      </c>
      <c r="AO26">
        <f t="shared" si="3"/>
        <v>25.858888419245091</v>
      </c>
      <c r="AP26">
        <f t="shared" si="4"/>
        <v>25.286267732087126</v>
      </c>
      <c r="AQ26">
        <f t="shared" si="5"/>
        <v>34.610460220645528</v>
      </c>
      <c r="AS26">
        <f t="shared" si="6"/>
        <v>-24.854070377378935</v>
      </c>
      <c r="AU26">
        <f t="shared" si="7"/>
        <v>52.258632171929484</v>
      </c>
      <c r="AW26">
        <f t="shared" si="8"/>
        <v>65.163794448286154</v>
      </c>
    </row>
    <row r="27" spans="1:49" x14ac:dyDescent="0.45">
      <c r="A27">
        <v>26</v>
      </c>
      <c r="B27">
        <v>26</v>
      </c>
      <c r="C27">
        <v>1</v>
      </c>
      <c r="D27">
        <v>2</v>
      </c>
      <c r="E27">
        <v>1</v>
      </c>
      <c r="F27">
        <v>7</v>
      </c>
      <c r="G27">
        <v>13</v>
      </c>
      <c r="H27">
        <v>6</v>
      </c>
      <c r="I27">
        <v>1</v>
      </c>
      <c r="J27">
        <v>1</v>
      </c>
      <c r="K27">
        <v>3</v>
      </c>
      <c r="L27">
        <v>8</v>
      </c>
      <c r="M27">
        <v>483</v>
      </c>
      <c r="O27">
        <v>1</v>
      </c>
      <c r="P27">
        <v>0</v>
      </c>
      <c r="Q27">
        <v>1</v>
      </c>
      <c r="R27">
        <v>4</v>
      </c>
      <c r="S27">
        <v>1</v>
      </c>
      <c r="T27">
        <v>114</v>
      </c>
      <c r="U27">
        <v>1</v>
      </c>
      <c r="V27">
        <f t="shared" si="9"/>
        <v>11.111111111111111</v>
      </c>
      <c r="W27">
        <f t="shared" si="9"/>
        <v>20</v>
      </c>
      <c r="X27">
        <f t="shared" si="9"/>
        <v>33.333333333333329</v>
      </c>
      <c r="Y27">
        <f t="shared" si="9"/>
        <v>29.166666666666668</v>
      </c>
      <c r="Z27">
        <f t="shared" si="9"/>
        <v>44.827586206896555</v>
      </c>
      <c r="AA27">
        <f t="shared" si="9"/>
        <v>11.320754716981133</v>
      </c>
      <c r="AB27">
        <f t="shared" si="9"/>
        <v>6.666666666666667</v>
      </c>
      <c r="AC27">
        <f t="shared" si="9"/>
        <v>5.5555555555555554</v>
      </c>
      <c r="AD27">
        <f t="shared" si="9"/>
        <v>21.428571428571427</v>
      </c>
      <c r="AE27">
        <f t="shared" si="9"/>
        <v>28.571428571428569</v>
      </c>
      <c r="AF27">
        <f t="shared" si="9"/>
        <v>2.1759697256385997</v>
      </c>
      <c r="AG27">
        <f t="shared" si="9"/>
        <v>0</v>
      </c>
      <c r="AH27">
        <f t="shared" si="1"/>
        <v>0</v>
      </c>
      <c r="AI27">
        <f t="shared" si="1"/>
        <v>0</v>
      </c>
      <c r="AJ27">
        <f t="shared" si="1"/>
        <v>100</v>
      </c>
      <c r="AK27">
        <f t="shared" si="1"/>
        <v>100</v>
      </c>
      <c r="AL27">
        <f t="shared" si="1"/>
        <v>16.666666666666664</v>
      </c>
      <c r="AM27">
        <f t="shared" si="1"/>
        <v>3.2796317606444192</v>
      </c>
      <c r="AN27">
        <f t="shared" si="1"/>
        <v>0</v>
      </c>
      <c r="AO27">
        <f t="shared" si="3"/>
        <v>20.6413296141777</v>
      </c>
      <c r="AP27">
        <f t="shared" si="4"/>
        <v>19.839370460773576</v>
      </c>
      <c r="AQ27">
        <f t="shared" si="5"/>
        <v>30.666541213572625</v>
      </c>
      <c r="AS27">
        <f t="shared" si="6"/>
        <v>-21.352447009036265</v>
      </c>
      <c r="AU27">
        <f t="shared" si="7"/>
        <v>48.314713164856585</v>
      </c>
      <c r="AW27">
        <f t="shared" si="8"/>
        <v>68.665417816628818</v>
      </c>
    </row>
    <row r="28" spans="1:49" x14ac:dyDescent="0.45">
      <c r="A28">
        <v>27</v>
      </c>
      <c r="B28">
        <v>27</v>
      </c>
      <c r="C28">
        <v>0</v>
      </c>
      <c r="D28">
        <v>3</v>
      </c>
      <c r="E28">
        <v>1</v>
      </c>
      <c r="F28">
        <v>7</v>
      </c>
      <c r="G28">
        <v>9</v>
      </c>
      <c r="H28">
        <v>6</v>
      </c>
      <c r="I28">
        <v>1</v>
      </c>
      <c r="J28">
        <v>1</v>
      </c>
      <c r="K28">
        <v>2</v>
      </c>
      <c r="L28">
        <v>9</v>
      </c>
      <c r="M28">
        <v>549</v>
      </c>
      <c r="O28">
        <v>1</v>
      </c>
      <c r="P28">
        <v>1</v>
      </c>
      <c r="Q28">
        <v>1</v>
      </c>
      <c r="R28">
        <v>4</v>
      </c>
      <c r="S28">
        <v>2</v>
      </c>
      <c r="T28">
        <v>2013</v>
      </c>
      <c r="U28">
        <v>3</v>
      </c>
      <c r="V28">
        <f t="shared" si="9"/>
        <v>0</v>
      </c>
      <c r="W28">
        <f t="shared" si="9"/>
        <v>30</v>
      </c>
      <c r="X28">
        <f t="shared" si="9"/>
        <v>33.333333333333329</v>
      </c>
      <c r="Y28">
        <f t="shared" si="9"/>
        <v>29.166666666666668</v>
      </c>
      <c r="Z28">
        <f t="shared" si="9"/>
        <v>31.03448275862069</v>
      </c>
      <c r="AA28">
        <f t="shared" si="9"/>
        <v>11.320754716981133</v>
      </c>
      <c r="AB28">
        <f t="shared" si="9"/>
        <v>6.666666666666667</v>
      </c>
      <c r="AC28">
        <f t="shared" si="9"/>
        <v>5.5555555555555554</v>
      </c>
      <c r="AD28">
        <f t="shared" si="9"/>
        <v>14.285714285714285</v>
      </c>
      <c r="AE28">
        <f t="shared" si="9"/>
        <v>32.142857142857146</v>
      </c>
      <c r="AF28">
        <f t="shared" si="9"/>
        <v>2.4733072036761725</v>
      </c>
      <c r="AG28">
        <f t="shared" si="9"/>
        <v>0</v>
      </c>
      <c r="AH28">
        <f t="shared" si="1"/>
        <v>0</v>
      </c>
      <c r="AI28">
        <f t="shared" si="1"/>
        <v>100</v>
      </c>
      <c r="AJ28">
        <f t="shared" si="1"/>
        <v>100</v>
      </c>
      <c r="AK28">
        <f t="shared" si="1"/>
        <v>100</v>
      </c>
      <c r="AL28">
        <f t="shared" si="1"/>
        <v>33.333333333333329</v>
      </c>
      <c r="AM28">
        <f t="shared" si="1"/>
        <v>57.911392405063289</v>
      </c>
      <c r="AN28">
        <f t="shared" si="1"/>
        <v>66.666666666666657</v>
      </c>
      <c r="AO28">
        <f t="shared" si="3"/>
        <v>17.319875394002516</v>
      </c>
      <c r="AP28">
        <f t="shared" si="4"/>
        <v>17.176230294112806</v>
      </c>
      <c r="AQ28">
        <f t="shared" si="5"/>
        <v>36.545092800622321</v>
      </c>
      <c r="AS28">
        <f t="shared" si="6"/>
        <v>-46.728449988387254</v>
      </c>
      <c r="AU28">
        <f t="shared" si="7"/>
        <v>54.193264751906291</v>
      </c>
      <c r="AW28">
        <f t="shared" si="8"/>
        <v>43.289414837277825</v>
      </c>
    </row>
    <row r="29" spans="1:49" x14ac:dyDescent="0.45">
      <c r="A29">
        <v>28</v>
      </c>
      <c r="B29">
        <v>28</v>
      </c>
      <c r="C29">
        <v>0</v>
      </c>
      <c r="D29">
        <v>3</v>
      </c>
      <c r="E29">
        <v>1</v>
      </c>
      <c r="F29">
        <v>7</v>
      </c>
      <c r="G29">
        <v>9</v>
      </c>
      <c r="H29">
        <v>6</v>
      </c>
      <c r="I29">
        <v>1</v>
      </c>
      <c r="J29">
        <v>1</v>
      </c>
      <c r="K29">
        <v>2</v>
      </c>
      <c r="L29">
        <v>9</v>
      </c>
      <c r="M29">
        <v>488</v>
      </c>
      <c r="O29">
        <v>1</v>
      </c>
      <c r="P29">
        <v>0</v>
      </c>
      <c r="Q29">
        <v>0</v>
      </c>
      <c r="R29">
        <v>4</v>
      </c>
      <c r="S29">
        <v>1</v>
      </c>
      <c r="T29">
        <v>94</v>
      </c>
      <c r="U29">
        <v>1</v>
      </c>
      <c r="V29">
        <f t="shared" si="9"/>
        <v>0</v>
      </c>
      <c r="W29">
        <f t="shared" si="9"/>
        <v>30</v>
      </c>
      <c r="X29">
        <f t="shared" si="9"/>
        <v>33.333333333333329</v>
      </c>
      <c r="Y29">
        <f t="shared" si="9"/>
        <v>29.166666666666668</v>
      </c>
      <c r="Z29">
        <f t="shared" si="9"/>
        <v>31.03448275862069</v>
      </c>
      <c r="AA29">
        <f t="shared" si="9"/>
        <v>11.320754716981133</v>
      </c>
      <c r="AB29">
        <f t="shared" si="9"/>
        <v>6.666666666666667</v>
      </c>
      <c r="AC29">
        <f t="shared" si="9"/>
        <v>5.5555555555555554</v>
      </c>
      <c r="AD29">
        <f t="shared" si="9"/>
        <v>14.285714285714285</v>
      </c>
      <c r="AE29">
        <f t="shared" si="9"/>
        <v>32.142857142857146</v>
      </c>
      <c r="AF29">
        <f t="shared" si="9"/>
        <v>2.1984952921565979</v>
      </c>
      <c r="AG29">
        <f t="shared" si="9"/>
        <v>0</v>
      </c>
      <c r="AH29">
        <f t="shared" si="1"/>
        <v>0</v>
      </c>
      <c r="AI29">
        <f t="shared" si="1"/>
        <v>0</v>
      </c>
      <c r="AJ29">
        <f t="shared" si="1"/>
        <v>0</v>
      </c>
      <c r="AK29">
        <f t="shared" si="1"/>
        <v>100</v>
      </c>
      <c r="AL29">
        <f t="shared" si="1"/>
        <v>16.666666666666664</v>
      </c>
      <c r="AM29">
        <f t="shared" si="1"/>
        <v>2.7042577675489068</v>
      </c>
      <c r="AN29">
        <f t="shared" si="1"/>
        <v>0</v>
      </c>
      <c r="AO29">
        <f t="shared" si="3"/>
        <v>17.319875394002516</v>
      </c>
      <c r="AP29">
        <f t="shared" si="4"/>
        <v>17.176230294112806</v>
      </c>
      <c r="AQ29">
        <f t="shared" si="5"/>
        <v>20.9719711468233</v>
      </c>
      <c r="AS29">
        <f t="shared" si="6"/>
        <v>-15.230590490683609</v>
      </c>
      <c r="AU29">
        <f t="shared" si="7"/>
        <v>38.620143098107263</v>
      </c>
      <c r="AW29">
        <f t="shared" si="8"/>
        <v>74.787274334981475</v>
      </c>
    </row>
    <row r="30" spans="1:49" x14ac:dyDescent="0.45">
      <c r="A30">
        <v>29</v>
      </c>
      <c r="B30">
        <v>29</v>
      </c>
      <c r="C30">
        <v>1</v>
      </c>
      <c r="D30">
        <v>3</v>
      </c>
      <c r="E30">
        <v>1</v>
      </c>
      <c r="F30">
        <v>5</v>
      </c>
      <c r="G30">
        <v>11</v>
      </c>
      <c r="H30">
        <v>6</v>
      </c>
      <c r="I30">
        <v>0</v>
      </c>
      <c r="J30">
        <v>0</v>
      </c>
      <c r="K30">
        <v>1</v>
      </c>
      <c r="L30">
        <v>9</v>
      </c>
      <c r="M30">
        <v>328</v>
      </c>
      <c r="O30">
        <v>1</v>
      </c>
      <c r="P30">
        <v>1</v>
      </c>
      <c r="Q30">
        <v>1</v>
      </c>
      <c r="R30">
        <v>4</v>
      </c>
      <c r="S30">
        <v>2</v>
      </c>
      <c r="T30">
        <v>807</v>
      </c>
      <c r="U30">
        <v>1</v>
      </c>
      <c r="V30">
        <f t="shared" si="9"/>
        <v>11.111111111111111</v>
      </c>
      <c r="W30">
        <f t="shared" si="9"/>
        <v>30</v>
      </c>
      <c r="X30">
        <f t="shared" si="9"/>
        <v>33.333333333333329</v>
      </c>
      <c r="Y30">
        <f t="shared" si="9"/>
        <v>20.833333333333336</v>
      </c>
      <c r="Z30">
        <f t="shared" si="9"/>
        <v>37.931034482758619</v>
      </c>
      <c r="AA30">
        <f t="shared" si="9"/>
        <v>11.320754716981133</v>
      </c>
      <c r="AB30">
        <f t="shared" si="9"/>
        <v>0</v>
      </c>
      <c r="AC30">
        <f t="shared" si="9"/>
        <v>0</v>
      </c>
      <c r="AD30">
        <f t="shared" si="9"/>
        <v>7.1428571428571423</v>
      </c>
      <c r="AE30">
        <f t="shared" si="9"/>
        <v>32.142857142857146</v>
      </c>
      <c r="AF30">
        <f t="shared" si="9"/>
        <v>1.477677163580664</v>
      </c>
      <c r="AG30">
        <f t="shared" si="9"/>
        <v>0</v>
      </c>
      <c r="AH30">
        <f t="shared" si="1"/>
        <v>0</v>
      </c>
      <c r="AI30">
        <f t="shared" si="1"/>
        <v>100</v>
      </c>
      <c r="AJ30">
        <f t="shared" si="1"/>
        <v>100</v>
      </c>
      <c r="AK30">
        <f t="shared" si="1"/>
        <v>100</v>
      </c>
      <c r="AL30">
        <f t="shared" si="1"/>
        <v>33.333333333333329</v>
      </c>
      <c r="AM30">
        <f t="shared" si="1"/>
        <v>23.216340621403912</v>
      </c>
      <c r="AN30">
        <f t="shared" si="1"/>
        <v>0</v>
      </c>
      <c r="AO30">
        <f t="shared" si="3"/>
        <v>16.372839562515878</v>
      </c>
      <c r="AP30">
        <f t="shared" si="4"/>
        <v>15.68204240151135</v>
      </c>
      <c r="AQ30">
        <f t="shared" si="5"/>
        <v>32.138214894182717</v>
      </c>
      <c r="AS30">
        <f t="shared" si="6"/>
        <v>-37.905199009508728</v>
      </c>
      <c r="AU30">
        <f t="shared" si="7"/>
        <v>49.78638684546668</v>
      </c>
      <c r="AW30">
        <f t="shared" si="8"/>
        <v>52.112665816156358</v>
      </c>
    </row>
    <row r="31" spans="1:49" x14ac:dyDescent="0.45">
      <c r="A31">
        <v>30</v>
      </c>
      <c r="B31">
        <v>30</v>
      </c>
      <c r="C31">
        <v>2</v>
      </c>
      <c r="D31">
        <v>4</v>
      </c>
      <c r="E31">
        <v>2</v>
      </c>
      <c r="F31">
        <v>5</v>
      </c>
      <c r="G31">
        <v>12</v>
      </c>
      <c r="H31">
        <v>8</v>
      </c>
      <c r="I31">
        <v>0</v>
      </c>
      <c r="J31">
        <v>0</v>
      </c>
      <c r="K31">
        <v>1</v>
      </c>
      <c r="L31">
        <v>9</v>
      </c>
      <c r="M31">
        <v>450</v>
      </c>
      <c r="O31">
        <v>1</v>
      </c>
      <c r="P31">
        <v>1</v>
      </c>
      <c r="Q31">
        <v>1</v>
      </c>
      <c r="R31">
        <v>4</v>
      </c>
      <c r="S31">
        <v>2</v>
      </c>
      <c r="T31">
        <v>831</v>
      </c>
      <c r="U31">
        <v>1</v>
      </c>
      <c r="V31">
        <f t="shared" si="9"/>
        <v>22.222222222222221</v>
      </c>
      <c r="W31">
        <f t="shared" si="9"/>
        <v>40</v>
      </c>
      <c r="X31">
        <f t="shared" si="9"/>
        <v>66.666666666666657</v>
      </c>
      <c r="Y31">
        <f t="shared" si="9"/>
        <v>20.833333333333336</v>
      </c>
      <c r="Z31">
        <f t="shared" si="9"/>
        <v>41.379310344827587</v>
      </c>
      <c r="AA31">
        <f t="shared" si="9"/>
        <v>15.09433962264151</v>
      </c>
      <c r="AB31">
        <f t="shared" si="9"/>
        <v>0</v>
      </c>
      <c r="AC31">
        <f t="shared" si="9"/>
        <v>0</v>
      </c>
      <c r="AD31">
        <f t="shared" si="9"/>
        <v>7.1428571428571423</v>
      </c>
      <c r="AE31">
        <f t="shared" si="9"/>
        <v>32.142857142857146</v>
      </c>
      <c r="AF31">
        <f t="shared" si="9"/>
        <v>2.0273009866198137</v>
      </c>
      <c r="AG31">
        <f t="shared" si="9"/>
        <v>0</v>
      </c>
      <c r="AH31">
        <f t="shared" si="1"/>
        <v>0</v>
      </c>
      <c r="AI31">
        <f t="shared" si="1"/>
        <v>100</v>
      </c>
      <c r="AJ31">
        <f t="shared" si="1"/>
        <v>100</v>
      </c>
      <c r="AK31">
        <f t="shared" si="1"/>
        <v>100</v>
      </c>
      <c r="AL31">
        <f t="shared" si="1"/>
        <v>33.333333333333329</v>
      </c>
      <c r="AM31">
        <f t="shared" si="1"/>
        <v>23.906789413118528</v>
      </c>
      <c r="AN31">
        <f t="shared" si="1"/>
        <v>0</v>
      </c>
      <c r="AO31">
        <f t="shared" si="3"/>
        <v>21.320467192864506</v>
      </c>
      <c r="AP31">
        <f t="shared" si="4"/>
        <v>20.561474968800916</v>
      </c>
      <c r="AQ31">
        <f t="shared" si="5"/>
        <v>33.298731843949781</v>
      </c>
      <c r="AS31">
        <f t="shared" si="6"/>
        <v>-39.131384551387015</v>
      </c>
      <c r="AU31">
        <f t="shared" si="7"/>
        <v>50.946903795233744</v>
      </c>
      <c r="AW31">
        <f t="shared" si="8"/>
        <v>50.886480274278071</v>
      </c>
    </row>
    <row r="32" spans="1:49" x14ac:dyDescent="0.45">
      <c r="A32">
        <v>31</v>
      </c>
      <c r="B32">
        <v>31</v>
      </c>
      <c r="C32">
        <v>1</v>
      </c>
      <c r="D32">
        <v>2</v>
      </c>
      <c r="E32">
        <v>1</v>
      </c>
      <c r="F32">
        <v>5</v>
      </c>
      <c r="G32">
        <v>7</v>
      </c>
      <c r="H32">
        <v>6</v>
      </c>
      <c r="I32">
        <v>0</v>
      </c>
      <c r="J32">
        <v>0</v>
      </c>
      <c r="K32">
        <v>0</v>
      </c>
      <c r="L32">
        <v>8</v>
      </c>
      <c r="M32">
        <v>681</v>
      </c>
      <c r="O32">
        <v>1</v>
      </c>
      <c r="P32">
        <v>0</v>
      </c>
      <c r="Q32">
        <v>0</v>
      </c>
      <c r="R32">
        <v>4</v>
      </c>
      <c r="S32">
        <v>1</v>
      </c>
      <c r="T32">
        <v>25</v>
      </c>
      <c r="U32">
        <v>1</v>
      </c>
      <c r="V32">
        <f t="shared" si="9"/>
        <v>11.111111111111111</v>
      </c>
      <c r="W32">
        <f t="shared" si="9"/>
        <v>20</v>
      </c>
      <c r="X32">
        <f t="shared" si="9"/>
        <v>33.333333333333329</v>
      </c>
      <c r="Y32">
        <f t="shared" si="9"/>
        <v>20.833333333333336</v>
      </c>
      <c r="Z32">
        <f t="shared" si="9"/>
        <v>24.137931034482758</v>
      </c>
      <c r="AA32">
        <f t="shared" si="9"/>
        <v>11.320754716981133</v>
      </c>
      <c r="AB32">
        <f t="shared" si="9"/>
        <v>0</v>
      </c>
      <c r="AC32">
        <f t="shared" si="9"/>
        <v>0</v>
      </c>
      <c r="AD32">
        <f t="shared" si="9"/>
        <v>0</v>
      </c>
      <c r="AE32">
        <f t="shared" si="9"/>
        <v>28.571428571428569</v>
      </c>
      <c r="AF32">
        <f t="shared" si="9"/>
        <v>3.0679821597513177</v>
      </c>
      <c r="AG32">
        <f t="shared" si="9"/>
        <v>0</v>
      </c>
      <c r="AH32">
        <f t="shared" si="1"/>
        <v>0</v>
      </c>
      <c r="AI32">
        <f t="shared" si="1"/>
        <v>0</v>
      </c>
      <c r="AJ32">
        <f t="shared" si="1"/>
        <v>0</v>
      </c>
      <c r="AK32">
        <f t="shared" si="1"/>
        <v>100</v>
      </c>
      <c r="AL32">
        <f t="shared" si="1"/>
        <v>16.666666666666664</v>
      </c>
      <c r="AM32">
        <f t="shared" si="1"/>
        <v>0.71921749136939006</v>
      </c>
      <c r="AN32">
        <f t="shared" si="1"/>
        <v>0</v>
      </c>
      <c r="AO32">
        <f t="shared" si="3"/>
        <v>12.636651632202682</v>
      </c>
      <c r="AP32">
        <f t="shared" si="4"/>
        <v>12.433978703042918</v>
      </c>
      <c r="AQ32">
        <f t="shared" si="5"/>
        <v>19.628209403921321</v>
      </c>
      <c r="AS32">
        <f t="shared" si="6"/>
        <v>-13.73154095238964</v>
      </c>
      <c r="AU32">
        <f t="shared" si="7"/>
        <v>37.276381355205288</v>
      </c>
      <c r="AW32">
        <f t="shared" si="8"/>
        <v>76.286323873275435</v>
      </c>
    </row>
    <row r="33" spans="1:49" x14ac:dyDescent="0.45">
      <c r="A33">
        <v>32</v>
      </c>
      <c r="B33">
        <v>32</v>
      </c>
      <c r="C33">
        <v>0</v>
      </c>
      <c r="D33">
        <v>2</v>
      </c>
      <c r="E33">
        <v>2</v>
      </c>
      <c r="F33">
        <v>8</v>
      </c>
      <c r="G33">
        <v>11</v>
      </c>
      <c r="H33">
        <v>10</v>
      </c>
      <c r="I33">
        <v>1</v>
      </c>
      <c r="J33">
        <v>2</v>
      </c>
      <c r="K33">
        <v>3</v>
      </c>
      <c r="L33">
        <v>9</v>
      </c>
      <c r="M33">
        <v>637</v>
      </c>
      <c r="O33">
        <v>1</v>
      </c>
      <c r="P33">
        <v>1</v>
      </c>
      <c r="Q33">
        <v>1</v>
      </c>
      <c r="R33">
        <v>4</v>
      </c>
      <c r="S33">
        <v>2</v>
      </c>
      <c r="T33">
        <v>422</v>
      </c>
      <c r="U33">
        <v>3</v>
      </c>
      <c r="V33">
        <f t="shared" si="9"/>
        <v>0</v>
      </c>
      <c r="W33">
        <f t="shared" si="9"/>
        <v>20</v>
      </c>
      <c r="X33">
        <f t="shared" si="9"/>
        <v>66.666666666666657</v>
      </c>
      <c r="Y33">
        <f t="shared" si="9"/>
        <v>33.333333333333329</v>
      </c>
      <c r="Z33">
        <f t="shared" si="9"/>
        <v>37.931034482758619</v>
      </c>
      <c r="AA33">
        <f t="shared" si="9"/>
        <v>18.867924528301888</v>
      </c>
      <c r="AB33">
        <f t="shared" si="9"/>
        <v>6.666666666666667</v>
      </c>
      <c r="AC33">
        <f t="shared" si="9"/>
        <v>11.111111111111111</v>
      </c>
      <c r="AD33">
        <f t="shared" si="9"/>
        <v>21.428571428571427</v>
      </c>
      <c r="AE33">
        <f t="shared" si="9"/>
        <v>32.142857142857146</v>
      </c>
      <c r="AF33">
        <f t="shared" si="9"/>
        <v>2.869757174392936</v>
      </c>
      <c r="AG33">
        <f t="shared" si="9"/>
        <v>0</v>
      </c>
      <c r="AH33">
        <f t="shared" si="1"/>
        <v>0</v>
      </c>
      <c r="AI33">
        <f t="shared" si="1"/>
        <v>100</v>
      </c>
      <c r="AJ33">
        <f t="shared" si="1"/>
        <v>100</v>
      </c>
      <c r="AK33">
        <f t="shared" si="1"/>
        <v>100</v>
      </c>
      <c r="AL33">
        <f t="shared" si="1"/>
        <v>33.333333333333329</v>
      </c>
      <c r="AM33">
        <f t="shared" si="1"/>
        <v>12.140391254315306</v>
      </c>
      <c r="AN33">
        <f t="shared" si="1"/>
        <v>66.666666666666657</v>
      </c>
      <c r="AO33">
        <f t="shared" si="3"/>
        <v>22.291991951226493</v>
      </c>
      <c r="AP33">
        <f t="shared" si="4"/>
        <v>22.372729471057582</v>
      </c>
      <c r="AQ33">
        <f t="shared" si="5"/>
        <v>37.738866371896123</v>
      </c>
      <c r="AS33">
        <f t="shared" si="6"/>
        <v>-42.134702586033228</v>
      </c>
      <c r="AU33">
        <f t="shared" si="7"/>
        <v>55.387038323180079</v>
      </c>
      <c r="AW33">
        <f t="shared" si="8"/>
        <v>47.883162239631851</v>
      </c>
    </row>
    <row r="34" spans="1:49" x14ac:dyDescent="0.45">
      <c r="A34">
        <v>33</v>
      </c>
      <c r="B34">
        <v>33</v>
      </c>
      <c r="C34">
        <v>0</v>
      </c>
      <c r="D34">
        <v>2</v>
      </c>
      <c r="E34">
        <v>0</v>
      </c>
      <c r="F34">
        <v>6</v>
      </c>
      <c r="G34">
        <v>8</v>
      </c>
      <c r="H34">
        <v>9</v>
      </c>
      <c r="I34">
        <v>1</v>
      </c>
      <c r="J34">
        <v>2</v>
      </c>
      <c r="K34">
        <v>2</v>
      </c>
      <c r="L34">
        <v>7</v>
      </c>
      <c r="M34">
        <v>822</v>
      </c>
      <c r="O34">
        <v>1</v>
      </c>
      <c r="P34">
        <v>0</v>
      </c>
      <c r="Q34">
        <v>1</v>
      </c>
      <c r="R34">
        <v>4</v>
      </c>
      <c r="S34">
        <v>2</v>
      </c>
      <c r="T34">
        <v>286</v>
      </c>
      <c r="U34">
        <v>1</v>
      </c>
      <c r="V34">
        <f t="shared" si="9"/>
        <v>0</v>
      </c>
      <c r="W34">
        <f t="shared" si="9"/>
        <v>20</v>
      </c>
      <c r="X34">
        <f t="shared" si="9"/>
        <v>0</v>
      </c>
      <c r="Y34">
        <f t="shared" si="9"/>
        <v>25</v>
      </c>
      <c r="Z34">
        <f t="shared" si="9"/>
        <v>27.586206896551722</v>
      </c>
      <c r="AA34">
        <f t="shared" si="9"/>
        <v>16.981132075471699</v>
      </c>
      <c r="AB34">
        <f t="shared" si="9"/>
        <v>6.666666666666667</v>
      </c>
      <c r="AC34">
        <f t="shared" si="9"/>
        <v>11.111111111111111</v>
      </c>
      <c r="AD34">
        <f t="shared" si="9"/>
        <v>14.285714285714285</v>
      </c>
      <c r="AE34">
        <f t="shared" si="9"/>
        <v>25</v>
      </c>
      <c r="AF34">
        <f t="shared" si="9"/>
        <v>3.7032031355588595</v>
      </c>
      <c r="AG34">
        <f t="shared" si="9"/>
        <v>0</v>
      </c>
      <c r="AH34">
        <f t="shared" si="1"/>
        <v>0</v>
      </c>
      <c r="AI34">
        <f t="shared" si="1"/>
        <v>0</v>
      </c>
      <c r="AJ34">
        <f t="shared" si="1"/>
        <v>100</v>
      </c>
      <c r="AK34">
        <f t="shared" si="1"/>
        <v>100</v>
      </c>
      <c r="AL34">
        <f t="shared" si="1"/>
        <v>33.333333333333329</v>
      </c>
      <c r="AM34">
        <f t="shared" si="1"/>
        <v>8.2278481012658222</v>
      </c>
      <c r="AN34">
        <f t="shared" si="1"/>
        <v>0</v>
      </c>
      <c r="AO34">
        <f t="shared" si="3"/>
        <v>14.485305183245655</v>
      </c>
      <c r="AP34">
        <f t="shared" si="4"/>
        <v>14.165773343644636</v>
      </c>
      <c r="AQ34">
        <f t="shared" si="5"/>
        <v>31.265704408139175</v>
      </c>
      <c r="AS34">
        <f t="shared" si="6"/>
        <v>-22.203802708720435</v>
      </c>
      <c r="AU34">
        <f t="shared" si="7"/>
        <v>48.913876359423142</v>
      </c>
      <c r="AW34">
        <f t="shared" si="8"/>
        <v>67.814062116944655</v>
      </c>
    </row>
    <row r="35" spans="1:49" x14ac:dyDescent="0.45">
      <c r="A35">
        <v>34</v>
      </c>
      <c r="B35">
        <v>34</v>
      </c>
      <c r="C35">
        <v>0</v>
      </c>
      <c r="D35">
        <v>2</v>
      </c>
      <c r="E35">
        <v>0</v>
      </c>
      <c r="F35">
        <v>4</v>
      </c>
      <c r="G35">
        <v>7</v>
      </c>
      <c r="H35">
        <v>13</v>
      </c>
      <c r="I35">
        <v>2</v>
      </c>
      <c r="J35">
        <v>2</v>
      </c>
      <c r="K35">
        <v>3</v>
      </c>
      <c r="L35">
        <v>8</v>
      </c>
      <c r="M35">
        <v>709</v>
      </c>
      <c r="O35">
        <v>1</v>
      </c>
      <c r="P35">
        <v>1</v>
      </c>
      <c r="Q35">
        <v>1</v>
      </c>
      <c r="R35">
        <v>4</v>
      </c>
      <c r="S35">
        <v>3</v>
      </c>
      <c r="T35">
        <v>371</v>
      </c>
      <c r="U35">
        <v>2</v>
      </c>
      <c r="V35">
        <f t="shared" si="9"/>
        <v>0</v>
      </c>
      <c r="W35">
        <f t="shared" si="9"/>
        <v>20</v>
      </c>
      <c r="X35">
        <f t="shared" si="9"/>
        <v>0</v>
      </c>
      <c r="Y35">
        <f t="shared" si="9"/>
        <v>16.666666666666664</v>
      </c>
      <c r="Z35">
        <f t="shared" si="9"/>
        <v>24.137931034482758</v>
      </c>
      <c r="AA35">
        <f t="shared" si="9"/>
        <v>24.528301886792452</v>
      </c>
      <c r="AB35">
        <f t="shared" si="9"/>
        <v>13.333333333333334</v>
      </c>
      <c r="AC35">
        <f t="shared" si="9"/>
        <v>11.111111111111111</v>
      </c>
      <c r="AD35">
        <f t="shared" si="9"/>
        <v>21.428571428571427</v>
      </c>
      <c r="AE35">
        <f t="shared" si="9"/>
        <v>28.571428571428569</v>
      </c>
      <c r="AF35">
        <f t="shared" si="9"/>
        <v>3.1941253322521059</v>
      </c>
      <c r="AG35">
        <f t="shared" si="9"/>
        <v>0</v>
      </c>
      <c r="AH35">
        <f t="shared" si="1"/>
        <v>0</v>
      </c>
      <c r="AI35">
        <f t="shared" si="1"/>
        <v>100</v>
      </c>
      <c r="AJ35">
        <f t="shared" si="1"/>
        <v>100</v>
      </c>
      <c r="AK35">
        <f t="shared" si="1"/>
        <v>100</v>
      </c>
      <c r="AL35">
        <f t="shared" si="1"/>
        <v>50</v>
      </c>
      <c r="AM35">
        <f t="shared" si="1"/>
        <v>10.673187571921749</v>
      </c>
      <c r="AN35">
        <f t="shared" si="1"/>
        <v>33.333333333333329</v>
      </c>
      <c r="AO35">
        <f t="shared" si="3"/>
        <v>15.968496253744599</v>
      </c>
      <c r="AP35">
        <f t="shared" si="4"/>
        <v>15.89855618587997</v>
      </c>
      <c r="AQ35">
        <f t="shared" si="5"/>
        <v>36.336805544166175</v>
      </c>
      <c r="AS35">
        <f t="shared" si="6"/>
        <v>-40.02297045112423</v>
      </c>
      <c r="AU35">
        <f t="shared" si="7"/>
        <v>53.984977495450138</v>
      </c>
      <c r="AW35">
        <f t="shared" si="8"/>
        <v>49.994894374540849</v>
      </c>
    </row>
    <row r="36" spans="1:49" x14ac:dyDescent="0.45">
      <c r="A36">
        <v>35</v>
      </c>
      <c r="B36">
        <v>35</v>
      </c>
      <c r="C36">
        <v>0</v>
      </c>
      <c r="D36">
        <v>1</v>
      </c>
      <c r="E36">
        <v>0</v>
      </c>
      <c r="F36">
        <v>3</v>
      </c>
      <c r="G36">
        <v>5</v>
      </c>
      <c r="H36">
        <v>10</v>
      </c>
      <c r="I36">
        <v>0</v>
      </c>
      <c r="J36">
        <v>2</v>
      </c>
      <c r="K36">
        <v>3</v>
      </c>
      <c r="L36">
        <v>7</v>
      </c>
      <c r="M36">
        <v>1203</v>
      </c>
      <c r="O36">
        <v>1</v>
      </c>
      <c r="P36">
        <v>1</v>
      </c>
      <c r="Q36">
        <v>1</v>
      </c>
      <c r="R36">
        <v>4</v>
      </c>
      <c r="S36">
        <v>1</v>
      </c>
      <c r="T36">
        <v>349</v>
      </c>
      <c r="U36">
        <v>2</v>
      </c>
      <c r="V36">
        <f t="shared" si="9"/>
        <v>0</v>
      </c>
      <c r="W36">
        <f t="shared" si="9"/>
        <v>10</v>
      </c>
      <c r="X36">
        <f t="shared" si="9"/>
        <v>0</v>
      </c>
      <c r="Y36">
        <f t="shared" si="9"/>
        <v>12.5</v>
      </c>
      <c r="Z36">
        <f t="shared" si="9"/>
        <v>17.241379310344829</v>
      </c>
      <c r="AA36">
        <f t="shared" si="9"/>
        <v>18.867924528301888</v>
      </c>
      <c r="AB36">
        <f t="shared" si="9"/>
        <v>0</v>
      </c>
      <c r="AC36">
        <f t="shared" si="9"/>
        <v>11.111111111111111</v>
      </c>
      <c r="AD36">
        <f t="shared" si="9"/>
        <v>21.428571428571427</v>
      </c>
      <c r="AE36">
        <f t="shared" si="9"/>
        <v>25</v>
      </c>
      <c r="AF36">
        <f t="shared" si="9"/>
        <v>5.4196513042303014</v>
      </c>
      <c r="AG36">
        <f t="shared" si="9"/>
        <v>0</v>
      </c>
      <c r="AH36">
        <f t="shared" si="1"/>
        <v>0</v>
      </c>
      <c r="AI36">
        <f t="shared" si="1"/>
        <v>100</v>
      </c>
      <c r="AJ36">
        <f t="shared" si="1"/>
        <v>100</v>
      </c>
      <c r="AK36">
        <f t="shared" si="1"/>
        <v>100</v>
      </c>
      <c r="AL36">
        <f t="shared" si="1"/>
        <v>16.666666666666664</v>
      </c>
      <c r="AM36">
        <f t="shared" si="1"/>
        <v>10.040276179516686</v>
      </c>
      <c r="AN36">
        <f t="shared" si="1"/>
        <v>33.333333333333329</v>
      </c>
      <c r="AO36">
        <f t="shared" si="3"/>
        <v>11.996676118583924</v>
      </c>
      <c r="AP36">
        <f t="shared" si="4"/>
        <v>12.189118860173201</v>
      </c>
      <c r="AQ36">
        <f t="shared" si="5"/>
        <v>30.067861689067616</v>
      </c>
      <c r="AS36">
        <f t="shared" si="6"/>
        <v>-35.290250252935621</v>
      </c>
      <c r="AU36">
        <f t="shared" si="7"/>
        <v>47.716033640351583</v>
      </c>
      <c r="AW36">
        <f t="shared" si="8"/>
        <v>54.727614572729458</v>
      </c>
    </row>
    <row r="37" spans="1:49" x14ac:dyDescent="0.45">
      <c r="A37">
        <v>36</v>
      </c>
      <c r="B37">
        <v>36</v>
      </c>
      <c r="C37">
        <v>0</v>
      </c>
      <c r="D37">
        <v>1</v>
      </c>
      <c r="E37">
        <v>0</v>
      </c>
      <c r="F37">
        <v>3</v>
      </c>
      <c r="G37">
        <v>5</v>
      </c>
      <c r="H37">
        <v>10</v>
      </c>
      <c r="I37">
        <v>1</v>
      </c>
      <c r="J37">
        <v>2</v>
      </c>
      <c r="K37">
        <v>3</v>
      </c>
      <c r="L37">
        <v>6</v>
      </c>
      <c r="M37">
        <v>1218</v>
      </c>
      <c r="O37">
        <v>1</v>
      </c>
      <c r="P37">
        <v>1</v>
      </c>
      <c r="Q37">
        <v>0</v>
      </c>
      <c r="R37">
        <v>4</v>
      </c>
      <c r="S37">
        <v>2</v>
      </c>
      <c r="T37">
        <v>376</v>
      </c>
      <c r="U37">
        <v>1</v>
      </c>
      <c r="V37">
        <f t="shared" si="9"/>
        <v>0</v>
      </c>
      <c r="W37">
        <f t="shared" si="9"/>
        <v>10</v>
      </c>
      <c r="X37">
        <f t="shared" si="9"/>
        <v>0</v>
      </c>
      <c r="Y37">
        <f t="shared" si="9"/>
        <v>12.5</v>
      </c>
      <c r="Z37">
        <f t="shared" si="9"/>
        <v>17.241379310344829</v>
      </c>
      <c r="AA37">
        <f t="shared" si="9"/>
        <v>18.867924528301888</v>
      </c>
      <c r="AB37">
        <f t="shared" si="9"/>
        <v>6.666666666666667</v>
      </c>
      <c r="AC37">
        <f t="shared" si="9"/>
        <v>11.111111111111111</v>
      </c>
      <c r="AD37">
        <f t="shared" si="9"/>
        <v>21.428571428571427</v>
      </c>
      <c r="AE37">
        <f t="shared" si="9"/>
        <v>21.428571428571427</v>
      </c>
      <c r="AF37">
        <f t="shared" si="9"/>
        <v>5.4872280037842955</v>
      </c>
      <c r="AG37">
        <f t="shared" si="9"/>
        <v>0</v>
      </c>
      <c r="AH37">
        <f t="shared" si="1"/>
        <v>0</v>
      </c>
      <c r="AI37">
        <f t="shared" si="1"/>
        <v>100</v>
      </c>
      <c r="AJ37">
        <f t="shared" si="1"/>
        <v>0</v>
      </c>
      <c r="AK37">
        <f t="shared" si="1"/>
        <v>100</v>
      </c>
      <c r="AL37">
        <f t="shared" si="1"/>
        <v>33.333333333333329</v>
      </c>
      <c r="AM37">
        <f t="shared" si="1"/>
        <v>10.817031070195627</v>
      </c>
      <c r="AN37">
        <f t="shared" si="1"/>
        <v>0</v>
      </c>
      <c r="AO37">
        <f t="shared" si="3"/>
        <v>12.411375309664054</v>
      </c>
      <c r="AP37">
        <f t="shared" si="4"/>
        <v>12.510157088999044</v>
      </c>
      <c r="AQ37">
        <f t="shared" si="5"/>
        <v>21.577339377588018</v>
      </c>
      <c r="AS37">
        <f t="shared" si="6"/>
        <v>-29.756214891820242</v>
      </c>
      <c r="AU37">
        <f t="shared" si="7"/>
        <v>39.225511328871981</v>
      </c>
      <c r="AW37">
        <f t="shared" si="8"/>
        <v>60.261649933844843</v>
      </c>
    </row>
    <row r="38" spans="1:49" x14ac:dyDescent="0.45">
      <c r="A38">
        <v>37</v>
      </c>
      <c r="B38">
        <v>37</v>
      </c>
      <c r="C38">
        <v>0</v>
      </c>
      <c r="D38">
        <v>1</v>
      </c>
      <c r="E38">
        <v>0</v>
      </c>
      <c r="F38">
        <v>3</v>
      </c>
      <c r="G38">
        <v>5</v>
      </c>
      <c r="H38">
        <v>10</v>
      </c>
      <c r="I38">
        <v>1</v>
      </c>
      <c r="J38">
        <v>2</v>
      </c>
      <c r="K38">
        <v>3</v>
      </c>
      <c r="L38">
        <v>6</v>
      </c>
      <c r="M38">
        <v>1161</v>
      </c>
      <c r="O38">
        <v>1</v>
      </c>
      <c r="P38">
        <v>0</v>
      </c>
      <c r="Q38">
        <v>0</v>
      </c>
      <c r="R38">
        <v>4</v>
      </c>
      <c r="S38">
        <v>1</v>
      </c>
      <c r="T38">
        <v>18</v>
      </c>
      <c r="U38">
        <v>1</v>
      </c>
      <c r="V38">
        <f t="shared" si="9"/>
        <v>0</v>
      </c>
      <c r="W38">
        <f t="shared" si="9"/>
        <v>10</v>
      </c>
      <c r="X38">
        <f t="shared" si="9"/>
        <v>0</v>
      </c>
      <c r="Y38">
        <f t="shared" si="9"/>
        <v>12.5</v>
      </c>
      <c r="Z38">
        <f t="shared" si="9"/>
        <v>17.241379310344829</v>
      </c>
      <c r="AA38">
        <f t="shared" si="9"/>
        <v>18.867924528301888</v>
      </c>
      <c r="AB38">
        <f t="shared" si="9"/>
        <v>6.666666666666667</v>
      </c>
      <c r="AC38">
        <f t="shared" si="9"/>
        <v>11.111111111111111</v>
      </c>
      <c r="AD38">
        <f t="shared" si="9"/>
        <v>21.428571428571427</v>
      </c>
      <c r="AE38">
        <f t="shared" si="9"/>
        <v>21.428571428571427</v>
      </c>
      <c r="AF38">
        <f t="shared" si="9"/>
        <v>5.2304365454791188</v>
      </c>
      <c r="AG38">
        <f t="shared" si="9"/>
        <v>0</v>
      </c>
      <c r="AH38">
        <f t="shared" si="1"/>
        <v>0</v>
      </c>
      <c r="AI38">
        <f t="shared" si="1"/>
        <v>0</v>
      </c>
      <c r="AJ38">
        <f t="shared" si="1"/>
        <v>0</v>
      </c>
      <c r="AK38">
        <f t="shared" si="1"/>
        <v>100</v>
      </c>
      <c r="AL38">
        <f t="shared" si="1"/>
        <v>16.666666666666664</v>
      </c>
      <c r="AM38">
        <f t="shared" si="1"/>
        <v>0.51783659378596081</v>
      </c>
      <c r="AN38">
        <f t="shared" si="1"/>
        <v>0</v>
      </c>
      <c r="AO38">
        <f t="shared" si="3"/>
        <v>12.411375309664054</v>
      </c>
      <c r="AP38">
        <f t="shared" si="4"/>
        <v>12.510157088999044</v>
      </c>
      <c r="AQ38">
        <f t="shared" si="5"/>
        <v>19.189318300249663</v>
      </c>
      <c r="AS38">
        <f t="shared" si="6"/>
        <v>-13.508681914215893</v>
      </c>
      <c r="AU38">
        <f t="shared" si="7"/>
        <v>36.837490251533623</v>
      </c>
      <c r="AW38">
        <f t="shared" si="8"/>
        <v>76.509182911449187</v>
      </c>
    </row>
    <row r="39" spans="1:49" x14ac:dyDescent="0.45">
      <c r="A39">
        <v>38</v>
      </c>
      <c r="B39">
        <v>38</v>
      </c>
      <c r="C39">
        <v>0</v>
      </c>
      <c r="D39">
        <v>1</v>
      </c>
      <c r="E39">
        <v>0</v>
      </c>
      <c r="F39">
        <v>3</v>
      </c>
      <c r="G39">
        <v>4</v>
      </c>
      <c r="H39">
        <v>8</v>
      </c>
      <c r="I39">
        <v>1</v>
      </c>
      <c r="J39">
        <v>2</v>
      </c>
      <c r="K39">
        <v>3</v>
      </c>
      <c r="L39">
        <v>6</v>
      </c>
      <c r="M39">
        <v>1433</v>
      </c>
      <c r="O39">
        <v>1</v>
      </c>
      <c r="P39">
        <v>0</v>
      </c>
      <c r="Q39">
        <v>1</v>
      </c>
      <c r="R39">
        <v>4</v>
      </c>
      <c r="S39">
        <v>2</v>
      </c>
      <c r="T39">
        <v>216</v>
      </c>
      <c r="U39">
        <v>1</v>
      </c>
      <c r="V39">
        <f t="shared" si="9"/>
        <v>0</v>
      </c>
      <c r="W39">
        <f t="shared" si="9"/>
        <v>10</v>
      </c>
      <c r="X39">
        <f t="shared" si="9"/>
        <v>0</v>
      </c>
      <c r="Y39">
        <f t="shared" si="9"/>
        <v>12.5</v>
      </c>
      <c r="Z39">
        <f t="shared" si="9"/>
        <v>13.793103448275861</v>
      </c>
      <c r="AA39">
        <f t="shared" si="9"/>
        <v>15.09433962264151</v>
      </c>
      <c r="AB39">
        <f t="shared" si="9"/>
        <v>6.666666666666667</v>
      </c>
      <c r="AC39">
        <f t="shared" si="9"/>
        <v>11.111111111111111</v>
      </c>
      <c r="AD39">
        <f t="shared" si="9"/>
        <v>21.428571428571427</v>
      </c>
      <c r="AE39">
        <f t="shared" si="9"/>
        <v>21.428571428571427</v>
      </c>
      <c r="AF39">
        <f t="shared" si="9"/>
        <v>6.455827364058206</v>
      </c>
      <c r="AG39">
        <f t="shared" si="9"/>
        <v>0</v>
      </c>
      <c r="AH39">
        <f t="shared" si="1"/>
        <v>0</v>
      </c>
      <c r="AI39">
        <f t="shared" si="1"/>
        <v>0</v>
      </c>
      <c r="AJ39">
        <f t="shared" si="1"/>
        <v>100</v>
      </c>
      <c r="AK39">
        <f t="shared" si="1"/>
        <v>100</v>
      </c>
      <c r="AL39">
        <f t="shared" si="1"/>
        <v>33.333333333333329</v>
      </c>
      <c r="AM39">
        <f t="shared" si="1"/>
        <v>6.2140391254315306</v>
      </c>
      <c r="AN39">
        <f t="shared" si="1"/>
        <v>0</v>
      </c>
      <c r="AO39">
        <f t="shared" si="3"/>
        <v>11.636625100874634</v>
      </c>
      <c r="AP39">
        <f t="shared" si="4"/>
        <v>11.884478150564508</v>
      </c>
      <c r="AQ39">
        <f t="shared" si="5"/>
        <v>30.055880781635089</v>
      </c>
      <c r="AS39">
        <f t="shared" si="6"/>
        <v>-21.114899687669588</v>
      </c>
      <c r="AU39">
        <f t="shared" si="7"/>
        <v>47.704052732919052</v>
      </c>
      <c r="AW39">
        <f t="shared" si="8"/>
        <v>68.90296513799548</v>
      </c>
    </row>
    <row r="40" spans="1:49" x14ac:dyDescent="0.45">
      <c r="A40">
        <v>39</v>
      </c>
      <c r="B40">
        <v>39</v>
      </c>
      <c r="C40">
        <v>0</v>
      </c>
      <c r="D40">
        <v>0</v>
      </c>
      <c r="E40">
        <v>0</v>
      </c>
      <c r="F40">
        <v>1</v>
      </c>
      <c r="G40">
        <v>3</v>
      </c>
      <c r="H40">
        <v>5</v>
      </c>
      <c r="I40">
        <v>1</v>
      </c>
      <c r="J40">
        <v>0</v>
      </c>
      <c r="K40">
        <v>0</v>
      </c>
      <c r="L40">
        <v>4</v>
      </c>
      <c r="M40">
        <v>1388</v>
      </c>
      <c r="O40">
        <v>1</v>
      </c>
      <c r="P40">
        <v>0</v>
      </c>
      <c r="Q40">
        <v>1</v>
      </c>
      <c r="R40">
        <v>4</v>
      </c>
      <c r="S40">
        <v>2</v>
      </c>
      <c r="T40">
        <v>161</v>
      </c>
      <c r="U40">
        <v>2</v>
      </c>
      <c r="V40">
        <f t="shared" si="9"/>
        <v>0</v>
      </c>
      <c r="W40">
        <f t="shared" si="9"/>
        <v>0</v>
      </c>
      <c r="X40">
        <f t="shared" si="9"/>
        <v>0</v>
      </c>
      <c r="Y40">
        <f t="shared" si="9"/>
        <v>4.1666666666666661</v>
      </c>
      <c r="Z40">
        <f t="shared" si="9"/>
        <v>10.344827586206897</v>
      </c>
      <c r="AA40">
        <f t="shared" si="9"/>
        <v>9.433962264150944</v>
      </c>
      <c r="AB40">
        <f t="shared" si="9"/>
        <v>6.666666666666667</v>
      </c>
      <c r="AC40">
        <f t="shared" si="9"/>
        <v>0</v>
      </c>
      <c r="AD40">
        <f t="shared" si="9"/>
        <v>0</v>
      </c>
      <c r="AE40">
        <f t="shared" si="9"/>
        <v>14.285714285714285</v>
      </c>
      <c r="AF40">
        <f t="shared" si="9"/>
        <v>6.2530972653962253</v>
      </c>
      <c r="AG40">
        <f t="shared" si="9"/>
        <v>0</v>
      </c>
      <c r="AH40">
        <f t="shared" si="1"/>
        <v>0</v>
      </c>
      <c r="AI40">
        <f t="shared" si="1"/>
        <v>0</v>
      </c>
      <c r="AJ40">
        <f t="shared" si="1"/>
        <v>100</v>
      </c>
      <c r="AK40">
        <f t="shared" si="1"/>
        <v>100</v>
      </c>
      <c r="AL40">
        <f t="shared" si="1"/>
        <v>33.333333333333329</v>
      </c>
      <c r="AM40">
        <f t="shared" si="1"/>
        <v>4.6317606444188728</v>
      </c>
      <c r="AN40">
        <f t="shared" si="1"/>
        <v>33.333333333333329</v>
      </c>
      <c r="AO40">
        <f t="shared" si="3"/>
        <v>4.0148729604184688</v>
      </c>
      <c r="AP40">
        <f t="shared" si="4"/>
        <v>3.9807750374695079</v>
      </c>
      <c r="AQ40">
        <f t="shared" si="5"/>
        <v>30.325415996777906</v>
      </c>
      <c r="AS40">
        <f t="shared" si="6"/>
        <v>-21.072013142817042</v>
      </c>
      <c r="AU40">
        <f t="shared" si="7"/>
        <v>47.973587948061869</v>
      </c>
      <c r="AW40">
        <f t="shared" si="8"/>
        <v>68.94585168284803</v>
      </c>
    </row>
    <row r="41" spans="1:49" x14ac:dyDescent="0.45">
      <c r="A41">
        <v>40</v>
      </c>
      <c r="B41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2507</v>
      </c>
      <c r="O41">
        <v>1</v>
      </c>
      <c r="P41">
        <v>0</v>
      </c>
      <c r="Q41">
        <v>1</v>
      </c>
      <c r="R41">
        <v>4</v>
      </c>
      <c r="S41">
        <v>1</v>
      </c>
      <c r="T41">
        <v>789</v>
      </c>
      <c r="U41">
        <v>2</v>
      </c>
      <c r="V41">
        <f t="shared" si="9"/>
        <v>0</v>
      </c>
      <c r="W41">
        <f t="shared" si="9"/>
        <v>0</v>
      </c>
      <c r="X41">
        <f t="shared" si="9"/>
        <v>0</v>
      </c>
      <c r="Y41">
        <f t="shared" si="9"/>
        <v>0</v>
      </c>
      <c r="Z41">
        <f t="shared" si="9"/>
        <v>0</v>
      </c>
      <c r="AA41">
        <f t="shared" si="9"/>
        <v>0</v>
      </c>
      <c r="AB41">
        <f t="shared" si="9"/>
        <v>0</v>
      </c>
      <c r="AC41">
        <f t="shared" si="9"/>
        <v>0</v>
      </c>
      <c r="AD41">
        <f t="shared" si="9"/>
        <v>0</v>
      </c>
      <c r="AE41">
        <f t="shared" si="9"/>
        <v>0</v>
      </c>
      <c r="AF41">
        <f t="shared" si="9"/>
        <v>11.294319052124161</v>
      </c>
      <c r="AG41">
        <f t="shared" si="9"/>
        <v>0</v>
      </c>
      <c r="AH41">
        <f t="shared" si="1"/>
        <v>0</v>
      </c>
      <c r="AI41">
        <f t="shared" si="1"/>
        <v>0</v>
      </c>
      <c r="AJ41">
        <f t="shared" si="1"/>
        <v>100</v>
      </c>
      <c r="AK41">
        <f t="shared" si="1"/>
        <v>100</v>
      </c>
      <c r="AL41">
        <f t="shared" si="1"/>
        <v>16.666666666666664</v>
      </c>
      <c r="AM41">
        <f t="shared" si="1"/>
        <v>22.698504027617954</v>
      </c>
      <c r="AN41">
        <f t="shared" si="1"/>
        <v>33.333333333333329</v>
      </c>
      <c r="AO41">
        <f t="shared" si="3"/>
        <v>0</v>
      </c>
      <c r="AP41">
        <f t="shared" si="4"/>
        <v>0</v>
      </c>
      <c r="AQ41">
        <f t="shared" si="5"/>
        <v>25.981950841733727</v>
      </c>
      <c r="AS41">
        <f t="shared" si="6"/>
        <v>-20.133092527575116</v>
      </c>
      <c r="AU41">
        <f t="shared" si="7"/>
        <v>43.630122793017691</v>
      </c>
      <c r="AW41">
        <f t="shared" si="8"/>
        <v>69.88477229808997</v>
      </c>
    </row>
    <row r="42" spans="1:49" x14ac:dyDescent="0.45">
      <c r="A42">
        <v>41</v>
      </c>
      <c r="B42">
        <v>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2507</v>
      </c>
      <c r="O42">
        <v>1</v>
      </c>
      <c r="P42">
        <v>0</v>
      </c>
      <c r="Q42">
        <v>1</v>
      </c>
      <c r="R42">
        <v>4</v>
      </c>
      <c r="S42">
        <v>1</v>
      </c>
      <c r="T42">
        <v>60</v>
      </c>
      <c r="U42">
        <v>1</v>
      </c>
      <c r="V42">
        <f t="shared" si="9"/>
        <v>0</v>
      </c>
      <c r="W42">
        <f t="shared" si="9"/>
        <v>0</v>
      </c>
      <c r="X42">
        <f t="shared" si="9"/>
        <v>0</v>
      </c>
      <c r="Y42">
        <f t="shared" si="9"/>
        <v>0</v>
      </c>
      <c r="Z42">
        <f t="shared" si="9"/>
        <v>0</v>
      </c>
      <c r="AA42">
        <f t="shared" si="9"/>
        <v>0</v>
      </c>
      <c r="AB42">
        <f t="shared" si="9"/>
        <v>0</v>
      </c>
      <c r="AC42">
        <f t="shared" si="9"/>
        <v>0</v>
      </c>
      <c r="AD42">
        <f t="shared" si="9"/>
        <v>0</v>
      </c>
      <c r="AE42">
        <f t="shared" si="9"/>
        <v>0</v>
      </c>
      <c r="AF42">
        <f t="shared" si="9"/>
        <v>11.294319052124161</v>
      </c>
      <c r="AG42">
        <f t="shared" si="9"/>
        <v>0</v>
      </c>
      <c r="AH42">
        <f t="shared" si="1"/>
        <v>0</v>
      </c>
      <c r="AI42">
        <f t="shared" si="1"/>
        <v>0</v>
      </c>
      <c r="AJ42">
        <f t="shared" si="1"/>
        <v>100</v>
      </c>
      <c r="AK42">
        <f t="shared" si="1"/>
        <v>100</v>
      </c>
      <c r="AL42">
        <f t="shared" si="1"/>
        <v>16.666666666666664</v>
      </c>
      <c r="AM42">
        <f t="shared" si="1"/>
        <v>1.7261219792865361</v>
      </c>
      <c r="AN42">
        <f t="shared" si="1"/>
        <v>0</v>
      </c>
      <c r="AO42">
        <f t="shared" si="3"/>
        <v>0</v>
      </c>
      <c r="AP42">
        <f t="shared" si="4"/>
        <v>0</v>
      </c>
      <c r="AQ42">
        <f t="shared" si="5"/>
        <v>23.811008484448383</v>
      </c>
      <c r="AS42">
        <f t="shared" si="6"/>
        <v>-15.393158754896422</v>
      </c>
      <c r="AU42">
        <f t="shared" si="7"/>
        <v>41.45918043573235</v>
      </c>
      <c r="AW42">
        <f t="shared" si="8"/>
        <v>74.624706070768667</v>
      </c>
    </row>
    <row r="43" spans="1:49" x14ac:dyDescent="0.45">
      <c r="A43">
        <v>42</v>
      </c>
      <c r="B43">
        <v>42</v>
      </c>
      <c r="C43">
        <v>0</v>
      </c>
      <c r="D43">
        <v>0</v>
      </c>
      <c r="E43">
        <v>0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3</v>
      </c>
      <c r="M43">
        <v>1370</v>
      </c>
      <c r="O43">
        <v>1</v>
      </c>
      <c r="P43">
        <v>0</v>
      </c>
      <c r="Q43">
        <v>1</v>
      </c>
      <c r="R43">
        <v>4</v>
      </c>
      <c r="S43">
        <v>3</v>
      </c>
      <c r="T43">
        <v>3545</v>
      </c>
      <c r="U43">
        <v>3</v>
      </c>
      <c r="V43">
        <f t="shared" si="9"/>
        <v>0</v>
      </c>
      <c r="W43">
        <f t="shared" si="9"/>
        <v>0</v>
      </c>
      <c r="X43">
        <f t="shared" si="9"/>
        <v>0</v>
      </c>
      <c r="Y43">
        <f t="shared" si="9"/>
        <v>0</v>
      </c>
      <c r="Z43">
        <f t="shared" si="9"/>
        <v>0</v>
      </c>
      <c r="AA43">
        <f t="shared" si="9"/>
        <v>3.7735849056603774</v>
      </c>
      <c r="AB43">
        <f t="shared" si="9"/>
        <v>0</v>
      </c>
      <c r="AC43">
        <f t="shared" ref="AC43:AJ53" si="10">IF(J43&gt;J$2,100,(J43-J$1)/(J$2-J$1)*100)</f>
        <v>0</v>
      </c>
      <c r="AD43">
        <f t="shared" si="10"/>
        <v>0</v>
      </c>
      <c r="AE43">
        <f t="shared" si="10"/>
        <v>10.714285714285714</v>
      </c>
      <c r="AF43">
        <f t="shared" si="10"/>
        <v>6.1720052259314322</v>
      </c>
      <c r="AG43">
        <f t="shared" si="10"/>
        <v>0</v>
      </c>
      <c r="AH43">
        <f t="shared" si="1"/>
        <v>0</v>
      </c>
      <c r="AI43">
        <f t="shared" si="1"/>
        <v>0</v>
      </c>
      <c r="AJ43">
        <f t="shared" si="1"/>
        <v>100</v>
      </c>
      <c r="AK43">
        <f t="shared" ref="AK43:AN53" si="11">IF(R43&gt;R$2,100,(R43-R$1)/(R$2-R$1)*100)</f>
        <v>100</v>
      </c>
      <c r="AL43">
        <f t="shared" si="11"/>
        <v>50</v>
      </c>
      <c r="AM43">
        <f t="shared" si="11"/>
        <v>100</v>
      </c>
      <c r="AN43">
        <f t="shared" si="11"/>
        <v>66.666666666666657</v>
      </c>
      <c r="AO43">
        <f t="shared" si="3"/>
        <v>0.98942829900425222</v>
      </c>
      <c r="AP43">
        <f t="shared" si="4"/>
        <v>1.2767339783897882</v>
      </c>
      <c r="AQ43">
        <f t="shared" si="5"/>
        <v>34.175046491539824</v>
      </c>
      <c r="AS43">
        <f t="shared" si="6"/>
        <v>-36.388016745002218</v>
      </c>
      <c r="AU43">
        <f t="shared" si="7"/>
        <v>51.82321844282378</v>
      </c>
      <c r="AW43">
        <f t="shared" si="8"/>
        <v>53.629848080662853</v>
      </c>
    </row>
    <row r="44" spans="1:49" x14ac:dyDescent="0.45">
      <c r="A44">
        <v>43</v>
      </c>
      <c r="B44">
        <v>43</v>
      </c>
      <c r="C44">
        <v>0</v>
      </c>
      <c r="D44">
        <v>1</v>
      </c>
      <c r="E44">
        <v>0</v>
      </c>
      <c r="F44">
        <v>3</v>
      </c>
      <c r="G44">
        <v>4</v>
      </c>
      <c r="H44">
        <v>8</v>
      </c>
      <c r="I44">
        <v>1</v>
      </c>
      <c r="J44">
        <v>2</v>
      </c>
      <c r="K44">
        <v>3</v>
      </c>
      <c r="L44">
        <v>6</v>
      </c>
      <c r="M44">
        <v>1367</v>
      </c>
      <c r="O44">
        <v>1</v>
      </c>
      <c r="P44">
        <v>0</v>
      </c>
      <c r="Q44">
        <v>0</v>
      </c>
      <c r="R44">
        <v>4</v>
      </c>
      <c r="S44">
        <v>1</v>
      </c>
      <c r="T44">
        <v>34</v>
      </c>
      <c r="U44">
        <v>1</v>
      </c>
      <c r="V44">
        <f t="shared" ref="V44:AB53" si="12">IF(C44&gt;C$2,100,(C44-C$1)/(C$2-C$1)*100)</f>
        <v>0</v>
      </c>
      <c r="W44">
        <f t="shared" si="12"/>
        <v>10</v>
      </c>
      <c r="X44">
        <f t="shared" si="12"/>
        <v>0</v>
      </c>
      <c r="Y44">
        <f t="shared" si="12"/>
        <v>12.5</v>
      </c>
      <c r="Z44">
        <f t="shared" si="12"/>
        <v>13.793103448275861</v>
      </c>
      <c r="AA44">
        <f t="shared" si="12"/>
        <v>15.09433962264151</v>
      </c>
      <c r="AB44">
        <f t="shared" si="12"/>
        <v>6.666666666666667</v>
      </c>
      <c r="AC44">
        <f t="shared" si="10"/>
        <v>11.111111111111111</v>
      </c>
      <c r="AD44">
        <f t="shared" si="10"/>
        <v>21.428571428571427</v>
      </c>
      <c r="AE44">
        <f t="shared" si="10"/>
        <v>21.428571428571427</v>
      </c>
      <c r="AF44">
        <f t="shared" si="10"/>
        <v>6.1584898860206332</v>
      </c>
      <c r="AG44">
        <f t="shared" si="10"/>
        <v>0</v>
      </c>
      <c r="AH44">
        <f t="shared" si="10"/>
        <v>0</v>
      </c>
      <c r="AI44">
        <f t="shared" si="10"/>
        <v>0</v>
      </c>
      <c r="AJ44">
        <f t="shared" si="10"/>
        <v>0</v>
      </c>
      <c r="AK44">
        <f t="shared" si="11"/>
        <v>100</v>
      </c>
      <c r="AL44">
        <f t="shared" si="11"/>
        <v>16.666666666666664</v>
      </c>
      <c r="AM44">
        <f t="shared" si="11"/>
        <v>0.97813578826237058</v>
      </c>
      <c r="AN44">
        <f t="shared" si="11"/>
        <v>0</v>
      </c>
      <c r="AO44">
        <f t="shared" si="3"/>
        <v>11.636625100874634</v>
      </c>
      <c r="AP44">
        <f t="shared" si="4"/>
        <v>11.884478150564508</v>
      </c>
      <c r="AQ44">
        <f t="shared" si="5"/>
        <v>18.828619193118854</v>
      </c>
      <c r="AS44">
        <f t="shared" si="6"/>
        <v>-13.321621634209045</v>
      </c>
      <c r="AU44">
        <f t="shared" si="7"/>
        <v>36.476791144402817</v>
      </c>
      <c r="AW44">
        <f t="shared" si="8"/>
        <v>76.696243191456048</v>
      </c>
    </row>
    <row r="45" spans="1:49" x14ac:dyDescent="0.45">
      <c r="A45">
        <v>44</v>
      </c>
      <c r="B45">
        <v>44</v>
      </c>
      <c r="C45">
        <v>0</v>
      </c>
      <c r="D45">
        <v>1</v>
      </c>
      <c r="E45">
        <v>0</v>
      </c>
      <c r="F45">
        <v>3</v>
      </c>
      <c r="G45">
        <v>4</v>
      </c>
      <c r="H45">
        <v>8</v>
      </c>
      <c r="I45">
        <v>1</v>
      </c>
      <c r="J45">
        <v>2</v>
      </c>
      <c r="K45">
        <v>3</v>
      </c>
      <c r="L45">
        <v>6</v>
      </c>
      <c r="M45">
        <v>1357</v>
      </c>
      <c r="O45">
        <v>1</v>
      </c>
      <c r="P45">
        <v>0</v>
      </c>
      <c r="Q45">
        <v>0</v>
      </c>
      <c r="R45">
        <v>4</v>
      </c>
      <c r="S45">
        <v>1</v>
      </c>
      <c r="T45">
        <v>69</v>
      </c>
      <c r="U45">
        <v>1</v>
      </c>
      <c r="V45">
        <f t="shared" si="12"/>
        <v>0</v>
      </c>
      <c r="W45">
        <f t="shared" si="12"/>
        <v>10</v>
      </c>
      <c r="X45">
        <f t="shared" si="12"/>
        <v>0</v>
      </c>
      <c r="Y45">
        <f t="shared" si="12"/>
        <v>12.5</v>
      </c>
      <c r="Z45">
        <f t="shared" si="12"/>
        <v>13.793103448275861</v>
      </c>
      <c r="AA45">
        <f t="shared" si="12"/>
        <v>15.09433962264151</v>
      </c>
      <c r="AB45">
        <f t="shared" si="12"/>
        <v>6.666666666666667</v>
      </c>
      <c r="AC45">
        <f t="shared" si="10"/>
        <v>11.111111111111111</v>
      </c>
      <c r="AD45">
        <f t="shared" si="10"/>
        <v>21.428571428571427</v>
      </c>
      <c r="AE45">
        <f t="shared" si="10"/>
        <v>21.428571428571427</v>
      </c>
      <c r="AF45">
        <f t="shared" si="10"/>
        <v>6.1134387529846377</v>
      </c>
      <c r="AG45">
        <f t="shared" si="10"/>
        <v>0</v>
      </c>
      <c r="AH45">
        <f t="shared" si="10"/>
        <v>0</v>
      </c>
      <c r="AI45">
        <f t="shared" si="10"/>
        <v>0</v>
      </c>
      <c r="AJ45">
        <f t="shared" si="10"/>
        <v>0</v>
      </c>
      <c r="AK45">
        <f t="shared" si="11"/>
        <v>100</v>
      </c>
      <c r="AL45">
        <f t="shared" si="11"/>
        <v>16.666666666666664</v>
      </c>
      <c r="AM45">
        <f t="shared" si="11"/>
        <v>1.9850402761795167</v>
      </c>
      <c r="AN45">
        <f t="shared" si="11"/>
        <v>0</v>
      </c>
      <c r="AO45">
        <f t="shared" si="3"/>
        <v>11.636625100874634</v>
      </c>
      <c r="AP45">
        <f t="shared" si="4"/>
        <v>11.884478150564508</v>
      </c>
      <c r="AQ45">
        <f t="shared" si="5"/>
        <v>18.83656989454305</v>
      </c>
      <c r="AS45">
        <f t="shared" si="6"/>
        <v>-13.45425892657653</v>
      </c>
      <c r="AU45">
        <f t="shared" si="7"/>
        <v>36.484741845827017</v>
      </c>
      <c r="AW45">
        <f t="shared" si="8"/>
        <v>76.563605899088543</v>
      </c>
    </row>
    <row r="46" spans="1:49" x14ac:dyDescent="0.45">
      <c r="A46">
        <v>45</v>
      </c>
      <c r="B46">
        <v>45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2496</v>
      </c>
      <c r="O46">
        <v>1</v>
      </c>
      <c r="P46">
        <v>0</v>
      </c>
      <c r="Q46">
        <v>0</v>
      </c>
      <c r="R46">
        <v>4</v>
      </c>
      <c r="S46">
        <v>1</v>
      </c>
      <c r="T46">
        <v>167</v>
      </c>
      <c r="U46">
        <v>1</v>
      </c>
      <c r="V46">
        <f t="shared" si="12"/>
        <v>0</v>
      </c>
      <c r="W46">
        <f t="shared" si="12"/>
        <v>0</v>
      </c>
      <c r="X46">
        <f t="shared" si="12"/>
        <v>0</v>
      </c>
      <c r="Y46">
        <f t="shared" si="12"/>
        <v>0</v>
      </c>
      <c r="Z46">
        <f t="shared" si="12"/>
        <v>0</v>
      </c>
      <c r="AA46">
        <f t="shared" si="12"/>
        <v>0</v>
      </c>
      <c r="AB46">
        <f t="shared" si="12"/>
        <v>0</v>
      </c>
      <c r="AC46">
        <f t="shared" si="10"/>
        <v>0</v>
      </c>
      <c r="AD46">
        <f t="shared" si="10"/>
        <v>0</v>
      </c>
      <c r="AE46">
        <f t="shared" si="10"/>
        <v>0</v>
      </c>
      <c r="AF46">
        <f t="shared" si="10"/>
        <v>11.244762805784566</v>
      </c>
      <c r="AG46">
        <f t="shared" si="10"/>
        <v>0</v>
      </c>
      <c r="AH46">
        <f t="shared" si="10"/>
        <v>0</v>
      </c>
      <c r="AI46">
        <f t="shared" si="10"/>
        <v>0</v>
      </c>
      <c r="AJ46">
        <f t="shared" si="10"/>
        <v>0</v>
      </c>
      <c r="AK46">
        <f t="shared" si="11"/>
        <v>100</v>
      </c>
      <c r="AL46">
        <f t="shared" si="11"/>
        <v>16.666666666666664</v>
      </c>
      <c r="AM46">
        <f t="shared" si="11"/>
        <v>4.8043728423475258</v>
      </c>
      <c r="AN46">
        <f t="shared" si="11"/>
        <v>0</v>
      </c>
      <c r="AO46">
        <f t="shared" si="3"/>
        <v>0</v>
      </c>
      <c r="AP46">
        <f t="shared" si="4"/>
        <v>0</v>
      </c>
      <c r="AQ46">
        <f t="shared" si="5"/>
        <v>14.973358113555342</v>
      </c>
      <c r="AS46">
        <f t="shared" si="6"/>
        <v>-10.394689089874145</v>
      </c>
      <c r="AU46">
        <f t="shared" si="7"/>
        <v>32.621530064839305</v>
      </c>
      <c r="AW46">
        <f t="shared" si="8"/>
        <v>79.623175735790923</v>
      </c>
    </row>
    <row r="47" spans="1:49" x14ac:dyDescent="0.45">
      <c r="A47">
        <v>46</v>
      </c>
      <c r="B47">
        <v>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2497</v>
      </c>
      <c r="O47">
        <v>1</v>
      </c>
      <c r="P47">
        <v>0</v>
      </c>
      <c r="Q47">
        <v>0</v>
      </c>
      <c r="R47">
        <v>4</v>
      </c>
      <c r="S47">
        <v>3</v>
      </c>
      <c r="T47">
        <v>57</v>
      </c>
      <c r="U47">
        <v>1</v>
      </c>
      <c r="V47">
        <f t="shared" si="12"/>
        <v>0</v>
      </c>
      <c r="W47">
        <f t="shared" si="12"/>
        <v>0</v>
      </c>
      <c r="X47">
        <f t="shared" si="12"/>
        <v>0</v>
      </c>
      <c r="Y47">
        <f t="shared" si="12"/>
        <v>0</v>
      </c>
      <c r="Z47">
        <f t="shared" si="12"/>
        <v>0</v>
      </c>
      <c r="AA47">
        <f t="shared" si="12"/>
        <v>0</v>
      </c>
      <c r="AB47">
        <f t="shared" si="12"/>
        <v>0</v>
      </c>
      <c r="AC47">
        <f t="shared" si="10"/>
        <v>0</v>
      </c>
      <c r="AD47">
        <f t="shared" si="10"/>
        <v>0</v>
      </c>
      <c r="AE47">
        <f t="shared" si="10"/>
        <v>0</v>
      </c>
      <c r="AF47">
        <f t="shared" si="10"/>
        <v>11.249267919088165</v>
      </c>
      <c r="AG47">
        <f t="shared" si="10"/>
        <v>0</v>
      </c>
      <c r="AH47">
        <f t="shared" si="10"/>
        <v>0</v>
      </c>
      <c r="AI47">
        <f t="shared" si="10"/>
        <v>0</v>
      </c>
      <c r="AJ47">
        <f t="shared" si="10"/>
        <v>0</v>
      </c>
      <c r="AK47">
        <f t="shared" si="11"/>
        <v>100</v>
      </c>
      <c r="AL47">
        <f t="shared" si="11"/>
        <v>50</v>
      </c>
      <c r="AM47">
        <f t="shared" si="11"/>
        <v>1.6398158803222096</v>
      </c>
      <c r="AN47">
        <f t="shared" si="11"/>
        <v>0</v>
      </c>
      <c r="AO47">
        <f t="shared" si="3"/>
        <v>0</v>
      </c>
      <c r="AP47">
        <f t="shared" si="4"/>
        <v>0</v>
      </c>
      <c r="AQ47">
        <f t="shared" si="5"/>
        <v>19.839243194325444</v>
      </c>
      <c r="AS47">
        <f t="shared" si="6"/>
        <v>-13.514453120056329</v>
      </c>
      <c r="AU47">
        <f t="shared" si="7"/>
        <v>37.487415145609404</v>
      </c>
      <c r="AW47">
        <f t="shared" si="8"/>
        <v>76.503411705608755</v>
      </c>
    </row>
    <row r="48" spans="1:49" x14ac:dyDescent="0.45">
      <c r="A48">
        <v>47</v>
      </c>
      <c r="B48">
        <v>47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</v>
      </c>
      <c r="M48">
        <v>2787</v>
      </c>
      <c r="O48">
        <v>1</v>
      </c>
      <c r="P48">
        <v>1</v>
      </c>
      <c r="Q48">
        <v>1</v>
      </c>
      <c r="R48">
        <v>4</v>
      </c>
      <c r="S48">
        <v>2</v>
      </c>
      <c r="T48">
        <v>1155</v>
      </c>
      <c r="U48">
        <v>3</v>
      </c>
      <c r="V48">
        <f t="shared" si="12"/>
        <v>0</v>
      </c>
      <c r="W48">
        <f t="shared" si="12"/>
        <v>0</v>
      </c>
      <c r="X48">
        <f t="shared" si="12"/>
        <v>0</v>
      </c>
      <c r="Y48">
        <f t="shared" si="12"/>
        <v>0</v>
      </c>
      <c r="Z48">
        <f t="shared" si="12"/>
        <v>0</v>
      </c>
      <c r="AA48">
        <f t="shared" si="12"/>
        <v>0</v>
      </c>
      <c r="AB48">
        <f t="shared" si="12"/>
        <v>0</v>
      </c>
      <c r="AC48">
        <f t="shared" si="10"/>
        <v>0</v>
      </c>
      <c r="AD48">
        <f t="shared" si="10"/>
        <v>0</v>
      </c>
      <c r="AE48">
        <f t="shared" si="10"/>
        <v>10.714285714285714</v>
      </c>
      <c r="AF48">
        <f t="shared" si="10"/>
        <v>12.555750777132044</v>
      </c>
      <c r="AG48">
        <f t="shared" si="10"/>
        <v>0</v>
      </c>
      <c r="AH48">
        <f t="shared" si="10"/>
        <v>0</v>
      </c>
      <c r="AI48">
        <f t="shared" si="10"/>
        <v>100</v>
      </c>
      <c r="AJ48">
        <f t="shared" si="10"/>
        <v>100</v>
      </c>
      <c r="AK48">
        <f t="shared" si="11"/>
        <v>100</v>
      </c>
      <c r="AL48">
        <f t="shared" si="11"/>
        <v>33.333333333333329</v>
      </c>
      <c r="AM48">
        <f t="shared" si="11"/>
        <v>33.22784810126582</v>
      </c>
      <c r="AN48">
        <f t="shared" si="11"/>
        <v>66.666666666666657</v>
      </c>
      <c r="AO48">
        <f t="shared" si="3"/>
        <v>0.62055677419371114</v>
      </c>
      <c r="AP48">
        <f t="shared" si="4"/>
        <v>0.92320842623297539</v>
      </c>
      <c r="AQ48">
        <f t="shared" si="5"/>
        <v>30.52133766415583</v>
      </c>
      <c r="AS48">
        <f t="shared" si="6"/>
        <v>-38.606340945404149</v>
      </c>
      <c r="AU48">
        <f t="shared" si="7"/>
        <v>48.169509615439793</v>
      </c>
      <c r="AW48">
        <f t="shared" si="8"/>
        <v>51.411523880260937</v>
      </c>
    </row>
    <row r="49" spans="1:49" x14ac:dyDescent="0.45">
      <c r="A49">
        <v>48</v>
      </c>
      <c r="B49">
        <v>48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</v>
      </c>
      <c r="M49">
        <v>3138</v>
      </c>
      <c r="O49">
        <v>1</v>
      </c>
      <c r="P49">
        <v>1</v>
      </c>
      <c r="Q49">
        <v>1</v>
      </c>
      <c r="R49">
        <v>4</v>
      </c>
      <c r="S49">
        <v>2</v>
      </c>
      <c r="T49">
        <v>1264</v>
      </c>
      <c r="U49">
        <v>3</v>
      </c>
      <c r="V49">
        <f t="shared" si="12"/>
        <v>0</v>
      </c>
      <c r="W49">
        <f t="shared" si="12"/>
        <v>0</v>
      </c>
      <c r="X49">
        <f t="shared" si="12"/>
        <v>0</v>
      </c>
      <c r="Y49">
        <f t="shared" si="12"/>
        <v>0</v>
      </c>
      <c r="Z49">
        <f t="shared" si="12"/>
        <v>0</v>
      </c>
      <c r="AA49">
        <f t="shared" si="12"/>
        <v>0</v>
      </c>
      <c r="AB49">
        <f t="shared" si="12"/>
        <v>0</v>
      </c>
      <c r="AC49">
        <f t="shared" si="10"/>
        <v>0</v>
      </c>
      <c r="AD49">
        <f t="shared" si="10"/>
        <v>0</v>
      </c>
      <c r="AE49">
        <f t="shared" si="10"/>
        <v>7.1428571428571423</v>
      </c>
      <c r="AF49">
        <f t="shared" si="10"/>
        <v>14.137045546695498</v>
      </c>
      <c r="AG49">
        <f t="shared" si="10"/>
        <v>0</v>
      </c>
      <c r="AH49">
        <f t="shared" si="10"/>
        <v>0</v>
      </c>
      <c r="AI49">
        <f t="shared" si="10"/>
        <v>100</v>
      </c>
      <c r="AJ49">
        <f t="shared" si="10"/>
        <v>100</v>
      </c>
      <c r="AK49">
        <f t="shared" si="11"/>
        <v>100</v>
      </c>
      <c r="AL49">
        <f t="shared" si="11"/>
        <v>33.333333333333329</v>
      </c>
      <c r="AM49">
        <f t="shared" si="11"/>
        <v>36.363636363636367</v>
      </c>
      <c r="AN49">
        <f t="shared" si="11"/>
        <v>66.666666666666657</v>
      </c>
      <c r="AO49">
        <f t="shared" si="3"/>
        <v>0.41370451612914072</v>
      </c>
      <c r="AP49">
        <f t="shared" si="4"/>
        <v>0.61547228415531696</v>
      </c>
      <c r="AQ49">
        <f t="shared" si="5"/>
        <v>30.189693367647294</v>
      </c>
      <c r="AS49">
        <f t="shared" si="6"/>
        <v>-38.772307609922343</v>
      </c>
      <c r="AU49">
        <f t="shared" si="7"/>
        <v>47.837865318931257</v>
      </c>
      <c r="AW49">
        <f t="shared" si="8"/>
        <v>51.245557215742735</v>
      </c>
    </row>
    <row r="50" spans="1:49" x14ac:dyDescent="0.45">
      <c r="A50">
        <v>49</v>
      </c>
      <c r="B50">
        <v>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</v>
      </c>
      <c r="M50">
        <v>4057</v>
      </c>
      <c r="O50">
        <v>1</v>
      </c>
      <c r="P50">
        <v>1</v>
      </c>
      <c r="Q50">
        <v>1</v>
      </c>
      <c r="R50">
        <v>4</v>
      </c>
      <c r="S50">
        <v>1</v>
      </c>
      <c r="T50">
        <v>104</v>
      </c>
      <c r="U50">
        <v>1</v>
      </c>
      <c r="V50">
        <f t="shared" si="12"/>
        <v>0</v>
      </c>
      <c r="W50">
        <f t="shared" si="12"/>
        <v>0</v>
      </c>
      <c r="X50">
        <f t="shared" si="12"/>
        <v>0</v>
      </c>
      <c r="Y50">
        <f t="shared" si="12"/>
        <v>0</v>
      </c>
      <c r="Z50">
        <f t="shared" si="12"/>
        <v>0</v>
      </c>
      <c r="AA50">
        <f t="shared" si="12"/>
        <v>0</v>
      </c>
      <c r="AB50">
        <f t="shared" si="12"/>
        <v>0</v>
      </c>
      <c r="AC50">
        <f t="shared" si="10"/>
        <v>0</v>
      </c>
      <c r="AD50">
        <f t="shared" si="10"/>
        <v>0</v>
      </c>
      <c r="AE50">
        <f t="shared" si="10"/>
        <v>7.1428571428571423</v>
      </c>
      <c r="AF50">
        <f t="shared" si="10"/>
        <v>18.277244672703517</v>
      </c>
      <c r="AG50">
        <f t="shared" si="10"/>
        <v>0</v>
      </c>
      <c r="AH50">
        <f t="shared" si="10"/>
        <v>0</v>
      </c>
      <c r="AI50">
        <f t="shared" si="10"/>
        <v>100</v>
      </c>
      <c r="AJ50">
        <f t="shared" si="10"/>
        <v>100</v>
      </c>
      <c r="AK50">
        <f t="shared" si="11"/>
        <v>100</v>
      </c>
      <c r="AL50">
        <f t="shared" si="11"/>
        <v>16.666666666666664</v>
      </c>
      <c r="AM50">
        <f t="shared" si="11"/>
        <v>2.991944764096663</v>
      </c>
      <c r="AN50">
        <f t="shared" si="11"/>
        <v>0</v>
      </c>
      <c r="AO50">
        <f t="shared" si="3"/>
        <v>0.41370451612914072</v>
      </c>
      <c r="AP50">
        <f t="shared" si="4"/>
        <v>0.61547228415531696</v>
      </c>
      <c r="AQ50">
        <f t="shared" si="5"/>
        <v>22.683799116736896</v>
      </c>
      <c r="AS50">
        <f t="shared" si="6"/>
        <v>-28.208712215864235</v>
      </c>
      <c r="AU50">
        <f t="shared" si="7"/>
        <v>40.331971068020863</v>
      </c>
      <c r="AW50">
        <f t="shared" si="8"/>
        <v>61.809152609800847</v>
      </c>
    </row>
    <row r="51" spans="1:49" x14ac:dyDescent="0.45">
      <c r="A51">
        <v>50</v>
      </c>
      <c r="B51">
        <v>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</v>
      </c>
      <c r="M51">
        <v>4114</v>
      </c>
      <c r="O51">
        <v>1</v>
      </c>
      <c r="P51">
        <v>1</v>
      </c>
      <c r="Q51">
        <v>1</v>
      </c>
      <c r="R51">
        <v>4</v>
      </c>
      <c r="S51">
        <v>2</v>
      </c>
      <c r="T51">
        <v>166</v>
      </c>
      <c r="U51">
        <v>1</v>
      </c>
      <c r="V51">
        <f t="shared" si="12"/>
        <v>0</v>
      </c>
      <c r="W51">
        <f t="shared" si="12"/>
        <v>0</v>
      </c>
      <c r="X51">
        <f t="shared" si="12"/>
        <v>0</v>
      </c>
      <c r="Y51">
        <f t="shared" si="12"/>
        <v>0</v>
      </c>
      <c r="Z51">
        <f t="shared" si="12"/>
        <v>0</v>
      </c>
      <c r="AA51">
        <f t="shared" si="12"/>
        <v>0</v>
      </c>
      <c r="AB51">
        <f t="shared" si="12"/>
        <v>0</v>
      </c>
      <c r="AC51">
        <f t="shared" si="10"/>
        <v>0</v>
      </c>
      <c r="AD51">
        <f t="shared" si="10"/>
        <v>0</v>
      </c>
      <c r="AE51">
        <f t="shared" si="10"/>
        <v>7.1428571428571423</v>
      </c>
      <c r="AF51">
        <f t="shared" si="10"/>
        <v>18.534036131008694</v>
      </c>
      <c r="AG51">
        <f t="shared" si="10"/>
        <v>0</v>
      </c>
      <c r="AH51">
        <f t="shared" si="10"/>
        <v>0</v>
      </c>
      <c r="AI51">
        <f t="shared" si="10"/>
        <v>100</v>
      </c>
      <c r="AJ51">
        <f t="shared" si="10"/>
        <v>100</v>
      </c>
      <c r="AK51">
        <f t="shared" si="11"/>
        <v>100</v>
      </c>
      <c r="AL51">
        <f t="shared" si="11"/>
        <v>33.333333333333329</v>
      </c>
      <c r="AM51">
        <f t="shared" si="11"/>
        <v>4.7756041426927505</v>
      </c>
      <c r="AN51">
        <f t="shared" si="11"/>
        <v>0</v>
      </c>
      <c r="AO51">
        <f t="shared" si="3"/>
        <v>0.41370451612914072</v>
      </c>
      <c r="AP51">
        <f t="shared" si="4"/>
        <v>0.61547228415531696</v>
      </c>
      <c r="AQ51">
        <f t="shared" si="5"/>
        <v>25.071820194075251</v>
      </c>
      <c r="AS51">
        <f t="shared" si="6"/>
        <v>-30.171540288073043</v>
      </c>
      <c r="AU51">
        <f t="shared" si="7"/>
        <v>42.719992145359214</v>
      </c>
      <c r="AW51">
        <f t="shared" si="8"/>
        <v>59.846324537592032</v>
      </c>
    </row>
    <row r="52" spans="1:49" x14ac:dyDescent="0.45">
      <c r="A52">
        <v>51</v>
      </c>
      <c r="B52">
        <v>51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6672</v>
      </c>
      <c r="O52">
        <v>1</v>
      </c>
      <c r="P52">
        <v>1</v>
      </c>
      <c r="Q52">
        <v>1</v>
      </c>
      <c r="R52">
        <v>4</v>
      </c>
      <c r="S52">
        <v>2</v>
      </c>
      <c r="T52">
        <v>994</v>
      </c>
      <c r="U52">
        <v>3</v>
      </c>
      <c r="V52">
        <f t="shared" si="12"/>
        <v>0</v>
      </c>
      <c r="W52">
        <f t="shared" si="12"/>
        <v>0</v>
      </c>
      <c r="X52">
        <f t="shared" si="12"/>
        <v>0</v>
      </c>
      <c r="Y52">
        <f t="shared" si="12"/>
        <v>0</v>
      </c>
      <c r="Z52">
        <f t="shared" si="12"/>
        <v>0</v>
      </c>
      <c r="AA52">
        <f t="shared" si="12"/>
        <v>0</v>
      </c>
      <c r="AB52">
        <f t="shared" si="12"/>
        <v>0</v>
      </c>
      <c r="AC52">
        <f t="shared" si="10"/>
        <v>0</v>
      </c>
      <c r="AD52">
        <f t="shared" si="10"/>
        <v>0</v>
      </c>
      <c r="AE52">
        <f t="shared" si="10"/>
        <v>3.5714285714285712</v>
      </c>
      <c r="AF52">
        <f t="shared" si="10"/>
        <v>30.058115961616434</v>
      </c>
      <c r="AG52">
        <f t="shared" si="10"/>
        <v>0</v>
      </c>
      <c r="AH52">
        <f t="shared" si="10"/>
        <v>0</v>
      </c>
      <c r="AI52">
        <f t="shared" si="10"/>
        <v>100</v>
      </c>
      <c r="AJ52">
        <f t="shared" si="10"/>
        <v>100</v>
      </c>
      <c r="AK52">
        <f t="shared" si="11"/>
        <v>100</v>
      </c>
      <c r="AL52">
        <f t="shared" si="11"/>
        <v>33.333333333333329</v>
      </c>
      <c r="AM52">
        <f t="shared" si="11"/>
        <v>28.596087456846952</v>
      </c>
      <c r="AN52">
        <f t="shared" si="11"/>
        <v>66.666666666666657</v>
      </c>
      <c r="AO52">
        <f t="shared" si="3"/>
        <v>0.20685225806457036</v>
      </c>
      <c r="AP52">
        <f t="shared" si="4"/>
        <v>0.30773614207765848</v>
      </c>
      <c r="AQ52">
        <f t="shared" si="5"/>
        <v>27.327340807817738</v>
      </c>
      <c r="AS52">
        <f t="shared" si="6"/>
        <v>-36.119282880872291</v>
      </c>
      <c r="AU52">
        <f t="shared" si="7"/>
        <v>44.975512759101704</v>
      </c>
      <c r="AW52">
        <f t="shared" si="8"/>
        <v>53.898581944792788</v>
      </c>
    </row>
    <row r="53" spans="1:49" x14ac:dyDescent="0.45">
      <c r="A53">
        <v>52</v>
      </c>
      <c r="B53">
        <v>52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</v>
      </c>
      <c r="M53">
        <v>3994</v>
      </c>
      <c r="O53">
        <v>1</v>
      </c>
      <c r="P53">
        <v>1</v>
      </c>
      <c r="Q53">
        <v>1</v>
      </c>
      <c r="R53">
        <v>4</v>
      </c>
      <c r="S53">
        <v>2</v>
      </c>
      <c r="T53">
        <v>642</v>
      </c>
      <c r="U53">
        <v>1</v>
      </c>
      <c r="V53">
        <f t="shared" si="12"/>
        <v>0</v>
      </c>
      <c r="W53">
        <f t="shared" si="12"/>
        <v>0</v>
      </c>
      <c r="X53">
        <f t="shared" si="12"/>
        <v>0</v>
      </c>
      <c r="Y53">
        <f t="shared" si="12"/>
        <v>0</v>
      </c>
      <c r="Z53">
        <f t="shared" si="12"/>
        <v>0</v>
      </c>
      <c r="AA53">
        <f t="shared" si="12"/>
        <v>0</v>
      </c>
      <c r="AB53">
        <f t="shared" si="12"/>
        <v>0</v>
      </c>
      <c r="AC53">
        <f t="shared" si="10"/>
        <v>0</v>
      </c>
      <c r="AD53">
        <f t="shared" si="10"/>
        <v>0</v>
      </c>
      <c r="AE53">
        <f t="shared" si="10"/>
        <v>7.1428571428571423</v>
      </c>
      <c r="AF53">
        <f t="shared" si="10"/>
        <v>17.993422534576744</v>
      </c>
      <c r="AG53">
        <f t="shared" si="10"/>
        <v>0</v>
      </c>
      <c r="AH53">
        <f t="shared" si="10"/>
        <v>0</v>
      </c>
      <c r="AI53">
        <f t="shared" si="10"/>
        <v>100</v>
      </c>
      <c r="AJ53">
        <f t="shared" si="10"/>
        <v>100</v>
      </c>
      <c r="AK53">
        <f t="shared" si="11"/>
        <v>100</v>
      </c>
      <c r="AL53">
        <f t="shared" si="11"/>
        <v>33.333333333333329</v>
      </c>
      <c r="AM53">
        <f t="shared" si="11"/>
        <v>18.469505178365939</v>
      </c>
      <c r="AN53">
        <f t="shared" si="11"/>
        <v>0</v>
      </c>
      <c r="AO53">
        <f t="shared" si="3"/>
        <v>0.41370451612914072</v>
      </c>
      <c r="AP53">
        <f t="shared" si="4"/>
        <v>0.61547228415531696</v>
      </c>
      <c r="AQ53">
        <f t="shared" si="5"/>
        <v>25.167228611165584</v>
      </c>
      <c r="AS53">
        <f t="shared" si="6"/>
        <v>-31.968212160275321</v>
      </c>
      <c r="AU53">
        <f t="shared" si="7"/>
        <v>42.815400562449547</v>
      </c>
      <c r="AW53">
        <f t="shared" si="8"/>
        <v>58.049652665389765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7939A-45ED-48FE-9CCE-66EF9E8C63DD}">
  <dimension ref="A1:U49"/>
  <sheetViews>
    <sheetView topLeftCell="G33" workbookViewId="0">
      <selection activeCell="N43" sqref="N43:N47"/>
    </sheetView>
  </sheetViews>
  <sheetFormatPr defaultRowHeight="14.25" x14ac:dyDescent="0.45"/>
  <cols>
    <col min="4" max="4" width="13.06640625" customWidth="1"/>
    <col min="5" max="5" width="10.19921875" customWidth="1"/>
    <col min="6" max="6" width="13" customWidth="1"/>
    <col min="8" max="8" width="9.796875" customWidth="1"/>
    <col min="13" max="13" width="15.59765625" customWidth="1"/>
    <col min="14" max="14" width="14.33203125" customWidth="1"/>
    <col min="15" max="15" width="10.33203125" customWidth="1"/>
    <col min="17" max="17" width="11.1328125" customWidth="1"/>
    <col min="21" max="21" width="11.53125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>
        <v>5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4118</v>
      </c>
      <c r="N2">
        <v>36679</v>
      </c>
      <c r="O2">
        <v>1</v>
      </c>
      <c r="P2">
        <v>1</v>
      </c>
      <c r="Q2">
        <v>0</v>
      </c>
      <c r="R2">
        <v>1</v>
      </c>
      <c r="S2">
        <v>1</v>
      </c>
      <c r="T2">
        <v>117</v>
      </c>
      <c r="U2">
        <v>1</v>
      </c>
    </row>
    <row r="3" spans="1:21" x14ac:dyDescent="0.45">
      <c r="A3">
        <v>6</v>
      </c>
      <c r="B3">
        <v>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3831</v>
      </c>
      <c r="N3">
        <v>36854</v>
      </c>
      <c r="O3">
        <v>1</v>
      </c>
      <c r="P3">
        <v>1</v>
      </c>
      <c r="Q3">
        <v>1</v>
      </c>
      <c r="R3">
        <v>2</v>
      </c>
      <c r="S3">
        <v>1</v>
      </c>
      <c r="T3">
        <v>176</v>
      </c>
      <c r="U3">
        <v>1</v>
      </c>
    </row>
    <row r="4" spans="1:21" x14ac:dyDescent="0.45">
      <c r="A4">
        <v>4</v>
      </c>
      <c r="B4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3733</v>
      </c>
      <c r="N4">
        <v>37087</v>
      </c>
      <c r="O4">
        <v>1</v>
      </c>
      <c r="P4">
        <v>1</v>
      </c>
      <c r="Q4">
        <v>0</v>
      </c>
      <c r="R4">
        <v>1</v>
      </c>
      <c r="S4">
        <v>1</v>
      </c>
      <c r="T4">
        <v>71</v>
      </c>
      <c r="U4">
        <v>1</v>
      </c>
    </row>
    <row r="5" spans="1:21" x14ac:dyDescent="0.45">
      <c r="A5">
        <v>7</v>
      </c>
      <c r="B5">
        <v>7</v>
      </c>
      <c r="C5">
        <v>1</v>
      </c>
      <c r="D5">
        <v>1</v>
      </c>
      <c r="E5">
        <v>0</v>
      </c>
      <c r="F5">
        <v>2</v>
      </c>
      <c r="G5">
        <v>4</v>
      </c>
      <c r="H5">
        <v>1</v>
      </c>
      <c r="I5">
        <v>0</v>
      </c>
      <c r="J5">
        <v>0</v>
      </c>
      <c r="K5">
        <v>0</v>
      </c>
      <c r="L5">
        <v>7</v>
      </c>
      <c r="M5">
        <v>3042</v>
      </c>
      <c r="N5">
        <v>37524</v>
      </c>
      <c r="O5">
        <v>1</v>
      </c>
      <c r="P5">
        <v>0</v>
      </c>
      <c r="Q5">
        <v>1</v>
      </c>
      <c r="R5">
        <v>4</v>
      </c>
      <c r="S5">
        <v>1</v>
      </c>
      <c r="T5">
        <v>216</v>
      </c>
      <c r="U5">
        <v>1</v>
      </c>
    </row>
    <row r="6" spans="1:21" x14ac:dyDescent="0.45">
      <c r="A6">
        <v>3</v>
      </c>
      <c r="B6">
        <v>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</v>
      </c>
      <c r="M6">
        <v>3481</v>
      </c>
      <c r="N6">
        <v>38178</v>
      </c>
      <c r="O6">
        <v>1</v>
      </c>
      <c r="P6">
        <v>1</v>
      </c>
      <c r="Q6">
        <v>1</v>
      </c>
      <c r="R6">
        <v>4</v>
      </c>
      <c r="S6">
        <v>1</v>
      </c>
      <c r="T6">
        <v>52</v>
      </c>
      <c r="U6">
        <v>1</v>
      </c>
    </row>
    <row r="7" spans="1:21" x14ac:dyDescent="0.45">
      <c r="A7">
        <v>8</v>
      </c>
      <c r="B7">
        <v>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2159</v>
      </c>
      <c r="N7">
        <v>38253</v>
      </c>
      <c r="O7">
        <v>1</v>
      </c>
      <c r="P7">
        <v>0</v>
      </c>
      <c r="Q7">
        <v>1</v>
      </c>
      <c r="R7">
        <v>4</v>
      </c>
      <c r="S7">
        <v>2</v>
      </c>
      <c r="T7">
        <v>98</v>
      </c>
      <c r="U7">
        <v>1</v>
      </c>
    </row>
    <row r="8" spans="1:21" x14ac:dyDescent="0.45">
      <c r="A8">
        <v>1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8</v>
      </c>
      <c r="M8">
        <v>3653</v>
      </c>
      <c r="N8">
        <v>38350</v>
      </c>
      <c r="O8">
        <v>3</v>
      </c>
      <c r="P8">
        <v>0</v>
      </c>
      <c r="Q8">
        <v>1</v>
      </c>
      <c r="R8">
        <v>4</v>
      </c>
      <c r="S8">
        <v>2</v>
      </c>
      <c r="T8">
        <v>291</v>
      </c>
      <c r="U8">
        <v>1</v>
      </c>
    </row>
    <row r="9" spans="1:21" x14ac:dyDescent="0.45">
      <c r="A9">
        <v>2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3728</v>
      </c>
      <c r="N9">
        <v>38425</v>
      </c>
      <c r="O9">
        <v>3</v>
      </c>
      <c r="P9">
        <v>0</v>
      </c>
      <c r="Q9">
        <v>1</v>
      </c>
      <c r="R9">
        <v>4</v>
      </c>
      <c r="S9">
        <v>2</v>
      </c>
      <c r="T9">
        <v>258</v>
      </c>
      <c r="U9">
        <v>1</v>
      </c>
    </row>
    <row r="10" spans="1:21" x14ac:dyDescent="0.45">
      <c r="A10">
        <v>19</v>
      </c>
      <c r="B10">
        <v>19</v>
      </c>
      <c r="C10">
        <v>1</v>
      </c>
      <c r="D10">
        <v>1</v>
      </c>
      <c r="E10">
        <v>0</v>
      </c>
      <c r="F10">
        <v>4</v>
      </c>
      <c r="G10">
        <v>5</v>
      </c>
      <c r="H10">
        <v>4</v>
      </c>
      <c r="I10">
        <v>1</v>
      </c>
      <c r="J10">
        <v>0</v>
      </c>
      <c r="K10">
        <v>0</v>
      </c>
      <c r="L10">
        <v>3</v>
      </c>
      <c r="M10">
        <v>579</v>
      </c>
      <c r="N10">
        <v>39594</v>
      </c>
      <c r="O10">
        <v>1</v>
      </c>
      <c r="P10">
        <v>0</v>
      </c>
      <c r="Q10">
        <v>1</v>
      </c>
      <c r="R10">
        <v>4</v>
      </c>
      <c r="S10">
        <v>2</v>
      </c>
      <c r="T10">
        <v>102</v>
      </c>
      <c r="U10">
        <v>1</v>
      </c>
    </row>
    <row r="11" spans="1:21" x14ac:dyDescent="0.45">
      <c r="A11">
        <v>20</v>
      </c>
      <c r="B11">
        <v>20</v>
      </c>
      <c r="C11">
        <v>0</v>
      </c>
      <c r="D11">
        <v>1</v>
      </c>
      <c r="E11">
        <v>2</v>
      </c>
      <c r="F11">
        <v>5</v>
      </c>
      <c r="G11">
        <v>6</v>
      </c>
      <c r="H11">
        <v>4</v>
      </c>
      <c r="I11">
        <v>0</v>
      </c>
      <c r="J11">
        <v>1</v>
      </c>
      <c r="K11">
        <v>0</v>
      </c>
      <c r="L11">
        <v>4</v>
      </c>
      <c r="M11">
        <v>553</v>
      </c>
      <c r="N11">
        <v>39707</v>
      </c>
      <c r="O11">
        <v>4</v>
      </c>
      <c r="P11">
        <v>0</v>
      </c>
      <c r="Q11">
        <v>1</v>
      </c>
      <c r="R11">
        <v>3</v>
      </c>
      <c r="S11">
        <v>4</v>
      </c>
      <c r="T11">
        <v>960</v>
      </c>
      <c r="U11">
        <v>1</v>
      </c>
    </row>
    <row r="12" spans="1:21" x14ac:dyDescent="0.45">
      <c r="A12">
        <v>21</v>
      </c>
      <c r="B12">
        <v>21</v>
      </c>
      <c r="C12">
        <v>0</v>
      </c>
      <c r="D12">
        <v>1</v>
      </c>
      <c r="E12">
        <v>2</v>
      </c>
      <c r="F12">
        <v>6</v>
      </c>
      <c r="G12">
        <v>8</v>
      </c>
      <c r="H12">
        <v>5</v>
      </c>
      <c r="I12">
        <v>0</v>
      </c>
      <c r="J12">
        <v>1</v>
      </c>
      <c r="K12">
        <v>0</v>
      </c>
      <c r="L12">
        <v>5</v>
      </c>
      <c r="M12">
        <v>526</v>
      </c>
      <c r="N12">
        <v>39865</v>
      </c>
      <c r="O12">
        <v>3</v>
      </c>
      <c r="P12">
        <v>0</v>
      </c>
      <c r="Q12">
        <v>1</v>
      </c>
      <c r="R12">
        <v>4</v>
      </c>
      <c r="S12">
        <v>2</v>
      </c>
      <c r="T12">
        <v>488</v>
      </c>
      <c r="U12">
        <v>1</v>
      </c>
    </row>
    <row r="13" spans="1:21" x14ac:dyDescent="0.45">
      <c r="A13">
        <v>33</v>
      </c>
      <c r="B13">
        <v>33</v>
      </c>
      <c r="C13">
        <v>0</v>
      </c>
      <c r="D13">
        <v>2</v>
      </c>
      <c r="E13">
        <v>0</v>
      </c>
      <c r="F13">
        <v>6</v>
      </c>
      <c r="G13">
        <v>8</v>
      </c>
      <c r="H13">
        <v>9</v>
      </c>
      <c r="I13">
        <v>1</v>
      </c>
      <c r="J13">
        <v>2</v>
      </c>
      <c r="K13">
        <v>2</v>
      </c>
      <c r="L13">
        <v>7</v>
      </c>
      <c r="M13">
        <v>822</v>
      </c>
      <c r="N13">
        <v>39993</v>
      </c>
      <c r="O13">
        <v>4</v>
      </c>
      <c r="P13">
        <v>0</v>
      </c>
      <c r="Q13">
        <v>1</v>
      </c>
      <c r="R13">
        <v>4</v>
      </c>
      <c r="S13">
        <v>2</v>
      </c>
      <c r="T13">
        <v>286</v>
      </c>
      <c r="U13">
        <v>1</v>
      </c>
    </row>
    <row r="14" spans="1:21" x14ac:dyDescent="0.45">
      <c r="A14">
        <v>34</v>
      </c>
      <c r="B14">
        <v>34</v>
      </c>
      <c r="C14">
        <v>0</v>
      </c>
      <c r="D14">
        <v>2</v>
      </c>
      <c r="E14">
        <v>0</v>
      </c>
      <c r="F14">
        <v>4</v>
      </c>
      <c r="G14">
        <v>7</v>
      </c>
      <c r="H14">
        <v>13</v>
      </c>
      <c r="I14">
        <v>2</v>
      </c>
      <c r="J14">
        <v>2</v>
      </c>
      <c r="K14">
        <v>3</v>
      </c>
      <c r="L14">
        <v>8</v>
      </c>
      <c r="M14">
        <v>709</v>
      </c>
      <c r="N14">
        <v>40070</v>
      </c>
      <c r="O14">
        <v>3</v>
      </c>
      <c r="P14">
        <v>1</v>
      </c>
      <c r="Q14">
        <v>1</v>
      </c>
      <c r="R14">
        <v>4</v>
      </c>
      <c r="S14">
        <v>3</v>
      </c>
      <c r="T14">
        <v>371</v>
      </c>
      <c r="U14">
        <v>2</v>
      </c>
    </row>
    <row r="15" spans="1:21" x14ac:dyDescent="0.45">
      <c r="A15">
        <v>18</v>
      </c>
      <c r="B15">
        <v>18</v>
      </c>
      <c r="C15">
        <v>0</v>
      </c>
      <c r="D15">
        <v>2</v>
      </c>
      <c r="E15">
        <v>1</v>
      </c>
      <c r="F15">
        <v>7</v>
      </c>
      <c r="G15">
        <v>10</v>
      </c>
      <c r="H15">
        <v>13</v>
      </c>
      <c r="I15">
        <v>1</v>
      </c>
      <c r="J15">
        <v>2</v>
      </c>
      <c r="K15">
        <v>3</v>
      </c>
      <c r="L15">
        <v>8</v>
      </c>
      <c r="M15">
        <v>590</v>
      </c>
      <c r="N15">
        <v>40108</v>
      </c>
      <c r="O15">
        <v>3</v>
      </c>
      <c r="P15">
        <v>1</v>
      </c>
      <c r="Q15">
        <v>1</v>
      </c>
      <c r="R15">
        <v>4</v>
      </c>
      <c r="S15">
        <v>2</v>
      </c>
      <c r="T15">
        <v>445</v>
      </c>
      <c r="U15">
        <v>2</v>
      </c>
    </row>
    <row r="16" spans="1:21" x14ac:dyDescent="0.45">
      <c r="A16">
        <v>22</v>
      </c>
      <c r="B16">
        <v>22</v>
      </c>
      <c r="C16">
        <v>1</v>
      </c>
      <c r="D16">
        <v>3</v>
      </c>
      <c r="E16">
        <v>2</v>
      </c>
      <c r="F16">
        <v>7</v>
      </c>
      <c r="G16">
        <v>9</v>
      </c>
      <c r="H16">
        <v>9</v>
      </c>
      <c r="I16">
        <v>0</v>
      </c>
      <c r="J16">
        <v>1</v>
      </c>
      <c r="K16">
        <v>0</v>
      </c>
      <c r="L16">
        <v>8</v>
      </c>
      <c r="M16">
        <v>796</v>
      </c>
      <c r="N16">
        <v>40131</v>
      </c>
      <c r="O16">
        <v>1</v>
      </c>
      <c r="P16">
        <v>0</v>
      </c>
      <c r="Q16">
        <v>1</v>
      </c>
      <c r="R16">
        <v>4</v>
      </c>
      <c r="S16">
        <v>2</v>
      </c>
      <c r="T16">
        <v>132</v>
      </c>
      <c r="U16">
        <v>3</v>
      </c>
    </row>
    <row r="17" spans="1:21" x14ac:dyDescent="0.45">
      <c r="A17">
        <v>26</v>
      </c>
      <c r="B17">
        <v>26</v>
      </c>
      <c r="C17">
        <v>1</v>
      </c>
      <c r="D17">
        <v>2</v>
      </c>
      <c r="E17">
        <v>1</v>
      </c>
      <c r="F17">
        <v>7</v>
      </c>
      <c r="G17">
        <v>13</v>
      </c>
      <c r="H17">
        <v>6</v>
      </c>
      <c r="I17">
        <v>1</v>
      </c>
      <c r="J17">
        <v>1</v>
      </c>
      <c r="K17">
        <v>3</v>
      </c>
      <c r="L17">
        <v>8</v>
      </c>
      <c r="M17">
        <v>483</v>
      </c>
      <c r="N17">
        <v>40144</v>
      </c>
      <c r="O17">
        <v>1</v>
      </c>
      <c r="P17">
        <v>0</v>
      </c>
      <c r="Q17">
        <v>1</v>
      </c>
      <c r="R17">
        <v>4</v>
      </c>
      <c r="S17">
        <v>1</v>
      </c>
      <c r="T17">
        <v>114</v>
      </c>
      <c r="U17">
        <v>1</v>
      </c>
    </row>
    <row r="18" spans="1:21" x14ac:dyDescent="0.45">
      <c r="A18">
        <v>25</v>
      </c>
      <c r="B18">
        <v>25</v>
      </c>
      <c r="C18">
        <v>2</v>
      </c>
      <c r="D18">
        <v>3</v>
      </c>
      <c r="E18">
        <v>3</v>
      </c>
      <c r="F18">
        <v>8</v>
      </c>
      <c r="G18">
        <v>14</v>
      </c>
      <c r="H18">
        <v>10</v>
      </c>
      <c r="I18">
        <v>1</v>
      </c>
      <c r="J18">
        <v>0</v>
      </c>
      <c r="K18">
        <v>1</v>
      </c>
      <c r="L18">
        <v>10</v>
      </c>
      <c r="M18">
        <v>251</v>
      </c>
      <c r="N18">
        <v>40159</v>
      </c>
      <c r="O18">
        <v>4</v>
      </c>
      <c r="P18">
        <v>0</v>
      </c>
      <c r="Q18">
        <v>1</v>
      </c>
      <c r="R18">
        <v>4</v>
      </c>
      <c r="S18">
        <v>2</v>
      </c>
      <c r="T18">
        <v>197</v>
      </c>
      <c r="U18">
        <v>1</v>
      </c>
    </row>
    <row r="19" spans="1:21" x14ac:dyDescent="0.45">
      <c r="A19">
        <v>32</v>
      </c>
      <c r="B19">
        <v>32</v>
      </c>
      <c r="C19">
        <v>0</v>
      </c>
      <c r="D19">
        <v>2</v>
      </c>
      <c r="E19">
        <v>2</v>
      </c>
      <c r="F19">
        <v>8</v>
      </c>
      <c r="G19">
        <v>11</v>
      </c>
      <c r="H19">
        <v>10</v>
      </c>
      <c r="I19">
        <v>1</v>
      </c>
      <c r="J19">
        <v>2</v>
      </c>
      <c r="K19">
        <v>3</v>
      </c>
      <c r="L19">
        <v>9</v>
      </c>
      <c r="M19">
        <v>637</v>
      </c>
      <c r="N19">
        <v>40298</v>
      </c>
      <c r="O19">
        <v>1</v>
      </c>
      <c r="P19">
        <v>1</v>
      </c>
      <c r="Q19">
        <v>1</v>
      </c>
      <c r="R19">
        <v>4</v>
      </c>
      <c r="S19">
        <v>2</v>
      </c>
      <c r="T19">
        <v>422</v>
      </c>
      <c r="U19">
        <v>3</v>
      </c>
    </row>
    <row r="20" spans="1:21" x14ac:dyDescent="0.45">
      <c r="A20">
        <v>27</v>
      </c>
      <c r="B20">
        <v>27</v>
      </c>
      <c r="C20">
        <v>0</v>
      </c>
      <c r="D20">
        <v>3</v>
      </c>
      <c r="E20">
        <v>1</v>
      </c>
      <c r="F20">
        <v>7</v>
      </c>
      <c r="G20">
        <v>9</v>
      </c>
      <c r="H20">
        <v>6</v>
      </c>
      <c r="I20">
        <v>1</v>
      </c>
      <c r="J20">
        <v>1</v>
      </c>
      <c r="K20">
        <v>2</v>
      </c>
      <c r="L20">
        <v>9</v>
      </c>
      <c r="M20">
        <v>549</v>
      </c>
      <c r="N20">
        <v>40331</v>
      </c>
      <c r="O20">
        <v>2</v>
      </c>
      <c r="P20">
        <v>1</v>
      </c>
      <c r="Q20">
        <v>1</v>
      </c>
      <c r="R20">
        <v>4</v>
      </c>
      <c r="S20">
        <v>2</v>
      </c>
      <c r="T20">
        <v>2013</v>
      </c>
      <c r="U20">
        <v>3</v>
      </c>
    </row>
    <row r="21" spans="1:21" x14ac:dyDescent="0.45">
      <c r="A21">
        <v>29</v>
      </c>
      <c r="B21">
        <v>29</v>
      </c>
      <c r="C21">
        <v>1</v>
      </c>
      <c r="D21">
        <v>3</v>
      </c>
      <c r="E21">
        <v>1</v>
      </c>
      <c r="F21">
        <v>5</v>
      </c>
      <c r="G21">
        <v>11</v>
      </c>
      <c r="H21">
        <v>6</v>
      </c>
      <c r="I21">
        <v>0</v>
      </c>
      <c r="J21">
        <v>0</v>
      </c>
      <c r="K21">
        <v>1</v>
      </c>
      <c r="L21">
        <v>9</v>
      </c>
      <c r="M21">
        <v>328</v>
      </c>
      <c r="N21">
        <v>40336</v>
      </c>
      <c r="O21">
        <v>4</v>
      </c>
      <c r="P21">
        <v>1</v>
      </c>
      <c r="Q21">
        <v>1</v>
      </c>
      <c r="R21">
        <v>4</v>
      </c>
      <c r="S21">
        <v>2</v>
      </c>
      <c r="T21">
        <v>807</v>
      </c>
      <c r="U21">
        <v>1</v>
      </c>
    </row>
    <row r="22" spans="1:21" x14ac:dyDescent="0.45">
      <c r="A22">
        <v>28</v>
      </c>
      <c r="B22">
        <v>28</v>
      </c>
      <c r="C22">
        <v>0</v>
      </c>
      <c r="D22">
        <v>3</v>
      </c>
      <c r="E22">
        <v>1</v>
      </c>
      <c r="F22">
        <v>7</v>
      </c>
      <c r="G22">
        <v>9</v>
      </c>
      <c r="H22">
        <v>6</v>
      </c>
      <c r="I22">
        <v>1</v>
      </c>
      <c r="J22">
        <v>1</v>
      </c>
      <c r="K22">
        <v>2</v>
      </c>
      <c r="L22">
        <v>9</v>
      </c>
      <c r="M22">
        <v>488</v>
      </c>
      <c r="N22">
        <v>40393</v>
      </c>
      <c r="O22">
        <v>3</v>
      </c>
      <c r="P22">
        <v>0</v>
      </c>
      <c r="Q22">
        <v>0</v>
      </c>
      <c r="R22">
        <v>4</v>
      </c>
      <c r="S22">
        <v>1</v>
      </c>
      <c r="T22">
        <v>94</v>
      </c>
      <c r="U22">
        <v>1</v>
      </c>
    </row>
    <row r="23" spans="1:21" x14ac:dyDescent="0.45">
      <c r="A23">
        <v>38</v>
      </c>
      <c r="B23">
        <v>38</v>
      </c>
      <c r="C23">
        <v>0</v>
      </c>
      <c r="D23">
        <v>1</v>
      </c>
      <c r="E23">
        <v>0</v>
      </c>
      <c r="F23">
        <v>3</v>
      </c>
      <c r="G23">
        <v>4</v>
      </c>
      <c r="H23">
        <v>8</v>
      </c>
      <c r="I23">
        <v>1</v>
      </c>
      <c r="J23">
        <v>2</v>
      </c>
      <c r="K23">
        <v>3</v>
      </c>
      <c r="L23">
        <v>6</v>
      </c>
      <c r="M23">
        <v>1433</v>
      </c>
      <c r="N23">
        <v>40402</v>
      </c>
      <c r="O23">
        <v>3</v>
      </c>
      <c r="P23">
        <v>0</v>
      </c>
      <c r="Q23">
        <v>1</v>
      </c>
      <c r="R23">
        <v>2</v>
      </c>
      <c r="S23">
        <v>2</v>
      </c>
      <c r="T23">
        <v>216</v>
      </c>
      <c r="U23">
        <v>1</v>
      </c>
    </row>
    <row r="24" spans="1:21" x14ac:dyDescent="0.45">
      <c r="A24">
        <v>37</v>
      </c>
      <c r="B24">
        <v>37</v>
      </c>
      <c r="C24">
        <v>0</v>
      </c>
      <c r="D24">
        <v>1</v>
      </c>
      <c r="E24">
        <v>0</v>
      </c>
      <c r="F24">
        <v>3</v>
      </c>
      <c r="G24">
        <v>5</v>
      </c>
      <c r="H24">
        <v>10</v>
      </c>
      <c r="I24">
        <v>1</v>
      </c>
      <c r="J24">
        <v>2</v>
      </c>
      <c r="K24">
        <v>3</v>
      </c>
      <c r="L24">
        <v>6</v>
      </c>
      <c r="M24">
        <v>1161</v>
      </c>
      <c r="N24">
        <v>40455</v>
      </c>
      <c r="O24">
        <v>2</v>
      </c>
      <c r="P24">
        <v>0</v>
      </c>
      <c r="Q24">
        <v>0</v>
      </c>
      <c r="R24">
        <v>3</v>
      </c>
      <c r="S24">
        <v>1</v>
      </c>
      <c r="T24">
        <v>18</v>
      </c>
      <c r="U24">
        <v>1</v>
      </c>
    </row>
    <row r="25" spans="1:21" x14ac:dyDescent="0.45">
      <c r="A25">
        <v>30</v>
      </c>
      <c r="B25">
        <v>30</v>
      </c>
      <c r="C25">
        <v>2</v>
      </c>
      <c r="D25">
        <v>4</v>
      </c>
      <c r="E25">
        <v>2</v>
      </c>
      <c r="F25">
        <v>5</v>
      </c>
      <c r="G25">
        <v>12</v>
      </c>
      <c r="H25">
        <v>8</v>
      </c>
      <c r="I25">
        <v>0</v>
      </c>
      <c r="J25">
        <v>0</v>
      </c>
      <c r="K25">
        <v>1</v>
      </c>
      <c r="L25">
        <v>9</v>
      </c>
      <c r="M25">
        <v>450</v>
      </c>
      <c r="N25">
        <v>40464</v>
      </c>
      <c r="O25">
        <v>1</v>
      </c>
      <c r="P25">
        <v>1</v>
      </c>
      <c r="Q25">
        <v>1</v>
      </c>
      <c r="R25">
        <v>4</v>
      </c>
      <c r="S25">
        <v>2</v>
      </c>
      <c r="T25">
        <v>831</v>
      </c>
      <c r="U25">
        <v>1</v>
      </c>
    </row>
    <row r="26" spans="1:21" x14ac:dyDescent="0.45">
      <c r="A26">
        <v>36</v>
      </c>
      <c r="B26">
        <v>36</v>
      </c>
      <c r="C26">
        <v>0</v>
      </c>
      <c r="D26">
        <v>1</v>
      </c>
      <c r="E26">
        <v>0</v>
      </c>
      <c r="F26">
        <v>3</v>
      </c>
      <c r="G26">
        <v>5</v>
      </c>
      <c r="H26">
        <v>10</v>
      </c>
      <c r="I26">
        <v>1</v>
      </c>
      <c r="J26">
        <v>2</v>
      </c>
      <c r="K26">
        <v>3</v>
      </c>
      <c r="L26">
        <v>6</v>
      </c>
      <c r="M26">
        <v>1218</v>
      </c>
      <c r="N26">
        <v>40511</v>
      </c>
      <c r="O26">
        <v>3</v>
      </c>
      <c r="P26">
        <v>1</v>
      </c>
      <c r="Q26">
        <v>0</v>
      </c>
      <c r="R26">
        <v>3</v>
      </c>
      <c r="S26">
        <v>2</v>
      </c>
      <c r="T26">
        <v>376</v>
      </c>
      <c r="U26">
        <v>1</v>
      </c>
    </row>
    <row r="27" spans="1:21" x14ac:dyDescent="0.45">
      <c r="A27">
        <v>39</v>
      </c>
      <c r="B27">
        <v>39</v>
      </c>
      <c r="C27">
        <v>0</v>
      </c>
      <c r="D27">
        <v>0</v>
      </c>
      <c r="E27">
        <v>0</v>
      </c>
      <c r="F27">
        <v>1</v>
      </c>
      <c r="G27">
        <v>3</v>
      </c>
      <c r="H27">
        <v>5</v>
      </c>
      <c r="I27">
        <v>1</v>
      </c>
      <c r="J27">
        <v>0</v>
      </c>
      <c r="K27">
        <v>0</v>
      </c>
      <c r="L27">
        <v>4</v>
      </c>
      <c r="M27">
        <v>1388</v>
      </c>
      <c r="N27">
        <v>40532</v>
      </c>
      <c r="O27">
        <v>3</v>
      </c>
      <c r="P27">
        <v>0</v>
      </c>
      <c r="Q27">
        <v>1</v>
      </c>
      <c r="R27">
        <v>0</v>
      </c>
      <c r="S27">
        <v>2</v>
      </c>
      <c r="T27">
        <v>161</v>
      </c>
      <c r="U27">
        <v>2</v>
      </c>
    </row>
    <row r="28" spans="1:21" x14ac:dyDescent="0.45">
      <c r="A28">
        <v>44</v>
      </c>
      <c r="B28">
        <v>44</v>
      </c>
      <c r="C28">
        <v>0</v>
      </c>
      <c r="D28">
        <v>1</v>
      </c>
      <c r="E28">
        <v>0</v>
      </c>
      <c r="F28">
        <v>3</v>
      </c>
      <c r="G28">
        <v>4</v>
      </c>
      <c r="H28">
        <v>8</v>
      </c>
      <c r="I28">
        <v>1</v>
      </c>
      <c r="J28">
        <v>2</v>
      </c>
      <c r="K28">
        <v>3</v>
      </c>
      <c r="L28">
        <v>6</v>
      </c>
      <c r="M28">
        <v>1357</v>
      </c>
      <c r="N28">
        <v>40539</v>
      </c>
      <c r="O28">
        <v>3</v>
      </c>
      <c r="P28">
        <v>0</v>
      </c>
      <c r="Q28">
        <v>0</v>
      </c>
      <c r="R28">
        <v>0</v>
      </c>
      <c r="S28">
        <v>1</v>
      </c>
      <c r="T28">
        <v>69</v>
      </c>
      <c r="U28">
        <v>1</v>
      </c>
    </row>
    <row r="29" spans="1:21" x14ac:dyDescent="0.45">
      <c r="A29">
        <v>17</v>
      </c>
      <c r="B29">
        <v>17</v>
      </c>
      <c r="C29">
        <v>1</v>
      </c>
      <c r="D29">
        <v>2</v>
      </c>
      <c r="E29">
        <v>1</v>
      </c>
      <c r="F29">
        <v>4</v>
      </c>
      <c r="G29">
        <v>5</v>
      </c>
      <c r="H29">
        <v>12</v>
      </c>
      <c r="I29">
        <v>0</v>
      </c>
      <c r="J29">
        <v>2</v>
      </c>
      <c r="K29">
        <v>3</v>
      </c>
      <c r="L29">
        <v>8</v>
      </c>
      <c r="M29">
        <v>880</v>
      </c>
      <c r="N29">
        <v>40541</v>
      </c>
      <c r="O29">
        <v>3</v>
      </c>
      <c r="P29">
        <v>0</v>
      </c>
      <c r="Q29">
        <v>1</v>
      </c>
      <c r="R29">
        <v>4</v>
      </c>
      <c r="S29">
        <v>2</v>
      </c>
      <c r="T29">
        <v>340</v>
      </c>
      <c r="U29">
        <v>1</v>
      </c>
    </row>
    <row r="30" spans="1:21" x14ac:dyDescent="0.45">
      <c r="A30">
        <v>43</v>
      </c>
      <c r="B30">
        <v>43</v>
      </c>
      <c r="C30">
        <v>0</v>
      </c>
      <c r="D30">
        <v>1</v>
      </c>
      <c r="E30">
        <v>0</v>
      </c>
      <c r="F30">
        <v>3</v>
      </c>
      <c r="G30">
        <v>4</v>
      </c>
      <c r="H30">
        <v>8</v>
      </c>
      <c r="I30">
        <v>1</v>
      </c>
      <c r="J30">
        <v>2</v>
      </c>
      <c r="K30">
        <v>3</v>
      </c>
      <c r="L30">
        <v>6</v>
      </c>
      <c r="M30">
        <v>1367</v>
      </c>
      <c r="N30">
        <v>40549</v>
      </c>
      <c r="O30">
        <v>3</v>
      </c>
      <c r="P30">
        <v>0</v>
      </c>
      <c r="Q30">
        <v>0</v>
      </c>
      <c r="R30">
        <v>0</v>
      </c>
      <c r="S30">
        <v>1</v>
      </c>
      <c r="T30">
        <v>34</v>
      </c>
      <c r="U30">
        <v>1</v>
      </c>
    </row>
    <row r="31" spans="1:21" x14ac:dyDescent="0.45">
      <c r="A31">
        <v>42</v>
      </c>
      <c r="B31">
        <v>42</v>
      </c>
      <c r="C31">
        <v>0</v>
      </c>
      <c r="D31">
        <v>0</v>
      </c>
      <c r="E31">
        <v>0</v>
      </c>
      <c r="F31">
        <v>0</v>
      </c>
      <c r="G31">
        <v>0</v>
      </c>
      <c r="H31">
        <v>2</v>
      </c>
      <c r="I31">
        <v>0</v>
      </c>
      <c r="J31">
        <v>0</v>
      </c>
      <c r="K31">
        <v>0</v>
      </c>
      <c r="L31">
        <v>3</v>
      </c>
      <c r="M31">
        <v>1370</v>
      </c>
      <c r="N31">
        <v>40565</v>
      </c>
      <c r="O31">
        <v>3</v>
      </c>
      <c r="P31">
        <v>0</v>
      </c>
      <c r="Q31">
        <v>1</v>
      </c>
      <c r="R31">
        <v>0</v>
      </c>
      <c r="S31">
        <v>3</v>
      </c>
      <c r="T31">
        <v>3545</v>
      </c>
      <c r="U31">
        <v>3</v>
      </c>
    </row>
    <row r="32" spans="1:21" x14ac:dyDescent="0.45">
      <c r="A32">
        <v>35</v>
      </c>
      <c r="B32">
        <v>35</v>
      </c>
      <c r="C32">
        <v>0</v>
      </c>
      <c r="D32">
        <v>1</v>
      </c>
      <c r="E32">
        <v>0</v>
      </c>
      <c r="F32">
        <v>3</v>
      </c>
      <c r="G32">
        <v>5</v>
      </c>
      <c r="H32">
        <v>10</v>
      </c>
      <c r="I32">
        <v>0</v>
      </c>
      <c r="J32">
        <v>2</v>
      </c>
      <c r="K32">
        <v>3</v>
      </c>
      <c r="L32">
        <v>7</v>
      </c>
      <c r="M32">
        <v>1203</v>
      </c>
      <c r="N32">
        <v>40571</v>
      </c>
      <c r="O32">
        <v>1</v>
      </c>
      <c r="P32">
        <v>1</v>
      </c>
      <c r="Q32">
        <v>1</v>
      </c>
      <c r="R32">
        <v>3</v>
      </c>
      <c r="S32">
        <v>1</v>
      </c>
      <c r="T32">
        <v>349</v>
      </c>
      <c r="U32">
        <v>2</v>
      </c>
    </row>
    <row r="33" spans="1:21" x14ac:dyDescent="0.45">
      <c r="A33">
        <v>31</v>
      </c>
      <c r="B33">
        <v>31</v>
      </c>
      <c r="C33">
        <v>1</v>
      </c>
      <c r="D33">
        <v>2</v>
      </c>
      <c r="E33">
        <v>1</v>
      </c>
      <c r="F33">
        <v>5</v>
      </c>
      <c r="G33">
        <v>7</v>
      </c>
      <c r="H33">
        <v>6</v>
      </c>
      <c r="I33">
        <v>0</v>
      </c>
      <c r="J33">
        <v>0</v>
      </c>
      <c r="K33">
        <v>0</v>
      </c>
      <c r="L33">
        <v>8</v>
      </c>
      <c r="M33">
        <v>681</v>
      </c>
      <c r="N33">
        <v>40577</v>
      </c>
      <c r="O33">
        <v>3</v>
      </c>
      <c r="P33">
        <v>0</v>
      </c>
      <c r="Q33">
        <v>0</v>
      </c>
      <c r="R33">
        <v>4</v>
      </c>
      <c r="S33">
        <v>1</v>
      </c>
      <c r="T33">
        <v>25</v>
      </c>
      <c r="U33">
        <v>1</v>
      </c>
    </row>
    <row r="34" spans="1:21" x14ac:dyDescent="0.45">
      <c r="A34">
        <v>15</v>
      </c>
      <c r="B34">
        <v>15</v>
      </c>
      <c r="C34">
        <v>1</v>
      </c>
      <c r="D34">
        <v>1</v>
      </c>
      <c r="E34">
        <v>2</v>
      </c>
      <c r="F34">
        <v>3</v>
      </c>
      <c r="G34">
        <v>4</v>
      </c>
      <c r="H34">
        <v>2</v>
      </c>
      <c r="I34">
        <v>0</v>
      </c>
      <c r="J34">
        <v>0</v>
      </c>
      <c r="K34">
        <v>0</v>
      </c>
      <c r="L34">
        <v>7</v>
      </c>
      <c r="M34">
        <v>629</v>
      </c>
      <c r="N34">
        <v>40633</v>
      </c>
      <c r="O34">
        <v>2</v>
      </c>
      <c r="P34">
        <v>1</v>
      </c>
      <c r="Q34">
        <v>1</v>
      </c>
      <c r="R34">
        <v>4</v>
      </c>
      <c r="S34">
        <v>2</v>
      </c>
      <c r="T34">
        <v>220</v>
      </c>
      <c r="U34">
        <v>1</v>
      </c>
    </row>
    <row r="35" spans="1:21" x14ac:dyDescent="0.45">
      <c r="A35">
        <v>12</v>
      </c>
      <c r="B35">
        <v>12</v>
      </c>
      <c r="C35">
        <v>2</v>
      </c>
      <c r="D35">
        <v>2</v>
      </c>
      <c r="E35">
        <v>1</v>
      </c>
      <c r="F35">
        <v>3</v>
      </c>
      <c r="G35">
        <v>9</v>
      </c>
      <c r="H35">
        <v>5</v>
      </c>
      <c r="I35">
        <v>0</v>
      </c>
      <c r="J35">
        <v>0</v>
      </c>
      <c r="K35">
        <v>1</v>
      </c>
      <c r="L35">
        <v>3</v>
      </c>
      <c r="M35">
        <v>1143</v>
      </c>
      <c r="N35">
        <v>40845</v>
      </c>
      <c r="O35">
        <v>1</v>
      </c>
      <c r="P35">
        <v>0</v>
      </c>
      <c r="Q35">
        <v>1</v>
      </c>
      <c r="R35">
        <v>4</v>
      </c>
      <c r="S35">
        <v>2</v>
      </c>
      <c r="T35">
        <v>291</v>
      </c>
      <c r="U35">
        <v>1</v>
      </c>
    </row>
    <row r="36" spans="1:21" x14ac:dyDescent="0.45">
      <c r="A36">
        <v>16</v>
      </c>
      <c r="B36">
        <v>16</v>
      </c>
      <c r="C36">
        <v>1</v>
      </c>
      <c r="D36">
        <v>0</v>
      </c>
      <c r="E36">
        <v>1</v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  <c r="L36">
        <v>4</v>
      </c>
      <c r="M36">
        <v>1074</v>
      </c>
      <c r="N36">
        <v>40861</v>
      </c>
      <c r="O36">
        <v>3</v>
      </c>
      <c r="P36">
        <v>0</v>
      </c>
      <c r="Q36">
        <v>1</v>
      </c>
      <c r="R36">
        <v>4</v>
      </c>
      <c r="S36">
        <v>2</v>
      </c>
      <c r="T36">
        <v>273</v>
      </c>
      <c r="U36">
        <v>4</v>
      </c>
    </row>
    <row r="37" spans="1:21" x14ac:dyDescent="0.45">
      <c r="A37">
        <v>14</v>
      </c>
      <c r="B37">
        <v>14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4</v>
      </c>
      <c r="M37">
        <v>1076</v>
      </c>
      <c r="N37">
        <v>41085</v>
      </c>
      <c r="O37">
        <v>3</v>
      </c>
      <c r="P37">
        <v>1</v>
      </c>
      <c r="Q37">
        <v>1</v>
      </c>
      <c r="R37">
        <v>4</v>
      </c>
      <c r="S37">
        <v>2</v>
      </c>
      <c r="T37">
        <v>238</v>
      </c>
      <c r="U37">
        <v>1</v>
      </c>
    </row>
    <row r="38" spans="1:21" x14ac:dyDescent="0.45">
      <c r="A38">
        <v>13</v>
      </c>
      <c r="B38">
        <v>13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</v>
      </c>
      <c r="M38">
        <v>1490</v>
      </c>
      <c r="N38">
        <v>41359</v>
      </c>
      <c r="O38">
        <v>1</v>
      </c>
      <c r="P38">
        <v>1</v>
      </c>
      <c r="Q38">
        <v>1</v>
      </c>
      <c r="R38">
        <v>4</v>
      </c>
      <c r="S38">
        <v>2</v>
      </c>
      <c r="T38">
        <v>280</v>
      </c>
      <c r="U38">
        <v>1</v>
      </c>
    </row>
    <row r="39" spans="1:21" x14ac:dyDescent="0.45">
      <c r="A39">
        <v>41</v>
      </c>
      <c r="B39">
        <v>41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2507</v>
      </c>
      <c r="N39">
        <v>41689</v>
      </c>
      <c r="O39">
        <v>3</v>
      </c>
      <c r="P39">
        <v>0</v>
      </c>
      <c r="Q39">
        <v>1</v>
      </c>
      <c r="R39">
        <v>1</v>
      </c>
      <c r="S39">
        <v>1</v>
      </c>
      <c r="T39">
        <v>60</v>
      </c>
      <c r="U39">
        <v>1</v>
      </c>
    </row>
    <row r="40" spans="1:21" x14ac:dyDescent="0.45">
      <c r="A40">
        <v>40</v>
      </c>
      <c r="B40">
        <v>40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2507</v>
      </c>
      <c r="N40">
        <v>41689</v>
      </c>
      <c r="O40">
        <v>4</v>
      </c>
      <c r="P40">
        <v>0</v>
      </c>
      <c r="Q40">
        <v>1</v>
      </c>
      <c r="R40">
        <v>1</v>
      </c>
      <c r="S40">
        <v>1</v>
      </c>
      <c r="T40">
        <v>789</v>
      </c>
      <c r="U40">
        <v>2</v>
      </c>
    </row>
    <row r="41" spans="1:21" x14ac:dyDescent="0.45">
      <c r="A41">
        <v>46</v>
      </c>
      <c r="B41">
        <v>46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2497</v>
      </c>
      <c r="N41">
        <v>41876</v>
      </c>
      <c r="O41">
        <v>3</v>
      </c>
      <c r="P41">
        <v>0</v>
      </c>
      <c r="Q41">
        <v>0</v>
      </c>
      <c r="R41">
        <v>0</v>
      </c>
      <c r="S41">
        <v>3</v>
      </c>
      <c r="T41">
        <v>57</v>
      </c>
      <c r="U41">
        <v>1</v>
      </c>
    </row>
    <row r="42" spans="1:21" x14ac:dyDescent="0.45">
      <c r="A42">
        <v>45</v>
      </c>
      <c r="B42">
        <v>45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2496</v>
      </c>
      <c r="N42">
        <v>41876</v>
      </c>
      <c r="O42">
        <v>2</v>
      </c>
      <c r="P42">
        <v>0</v>
      </c>
      <c r="Q42">
        <v>0</v>
      </c>
      <c r="R42">
        <v>0</v>
      </c>
      <c r="S42">
        <v>1</v>
      </c>
      <c r="T42">
        <v>167</v>
      </c>
      <c r="U42">
        <v>1</v>
      </c>
    </row>
    <row r="43" spans="1:21" x14ac:dyDescent="0.45">
      <c r="A43">
        <v>47</v>
      </c>
      <c r="B43">
        <v>47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3</v>
      </c>
      <c r="M43">
        <v>2787</v>
      </c>
      <c r="N43">
        <v>42183</v>
      </c>
      <c r="O43">
        <v>2</v>
      </c>
      <c r="P43">
        <v>1</v>
      </c>
      <c r="Q43">
        <v>1</v>
      </c>
      <c r="R43">
        <v>4</v>
      </c>
      <c r="S43">
        <v>2</v>
      </c>
      <c r="T43">
        <v>1155</v>
      </c>
      <c r="U43">
        <v>3</v>
      </c>
    </row>
    <row r="44" spans="1:21" x14ac:dyDescent="0.45">
      <c r="A44">
        <v>48</v>
      </c>
      <c r="B44">
        <v>48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</v>
      </c>
      <c r="M44">
        <v>3138</v>
      </c>
      <c r="N44">
        <v>42569</v>
      </c>
      <c r="O44">
        <v>1</v>
      </c>
      <c r="P44">
        <v>1</v>
      </c>
      <c r="Q44">
        <v>1</v>
      </c>
      <c r="R44">
        <v>2</v>
      </c>
      <c r="S44">
        <v>2</v>
      </c>
      <c r="T44">
        <v>1264</v>
      </c>
      <c r="U44">
        <v>3</v>
      </c>
    </row>
    <row r="45" spans="1:21" x14ac:dyDescent="0.45">
      <c r="A45">
        <v>52</v>
      </c>
      <c r="B45">
        <v>52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</v>
      </c>
      <c r="M45">
        <v>3994</v>
      </c>
      <c r="N45">
        <v>43390</v>
      </c>
      <c r="O45">
        <v>1</v>
      </c>
      <c r="P45">
        <v>1</v>
      </c>
      <c r="Q45">
        <v>1</v>
      </c>
      <c r="R45">
        <v>2</v>
      </c>
      <c r="S45">
        <v>2</v>
      </c>
      <c r="T45">
        <v>642</v>
      </c>
      <c r="U45">
        <v>1</v>
      </c>
    </row>
    <row r="46" spans="1:21" x14ac:dyDescent="0.45">
      <c r="A46">
        <v>49</v>
      </c>
      <c r="B46">
        <v>49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</v>
      </c>
      <c r="M46">
        <v>4057</v>
      </c>
      <c r="N46">
        <v>43454</v>
      </c>
      <c r="O46">
        <v>1</v>
      </c>
      <c r="P46">
        <v>1</v>
      </c>
      <c r="Q46">
        <v>1</v>
      </c>
      <c r="R46">
        <v>2</v>
      </c>
      <c r="S46">
        <v>1</v>
      </c>
      <c r="T46">
        <v>104</v>
      </c>
      <c r="U46">
        <v>1</v>
      </c>
    </row>
    <row r="47" spans="1:21" x14ac:dyDescent="0.45">
      <c r="A47">
        <v>50</v>
      </c>
      <c r="B47">
        <v>50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</v>
      </c>
      <c r="M47">
        <v>4114</v>
      </c>
      <c r="N47">
        <v>43510</v>
      </c>
      <c r="O47">
        <v>2</v>
      </c>
      <c r="P47">
        <v>1</v>
      </c>
      <c r="Q47">
        <v>1</v>
      </c>
      <c r="R47">
        <v>1</v>
      </c>
      <c r="S47">
        <v>2</v>
      </c>
      <c r="T47">
        <v>166</v>
      </c>
      <c r="U47">
        <v>1</v>
      </c>
    </row>
    <row r="48" spans="1:21" x14ac:dyDescent="0.45">
      <c r="A48">
        <v>51</v>
      </c>
      <c r="B48">
        <v>51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6672</v>
      </c>
      <c r="N48">
        <v>46068</v>
      </c>
      <c r="O48">
        <v>1</v>
      </c>
      <c r="P48">
        <v>1</v>
      </c>
      <c r="Q48">
        <v>1</v>
      </c>
      <c r="R48">
        <v>0</v>
      </c>
      <c r="S48">
        <v>2</v>
      </c>
      <c r="T48">
        <v>994</v>
      </c>
      <c r="U48">
        <v>3</v>
      </c>
    </row>
    <row r="49" spans="1:21" x14ac:dyDescent="0.45">
      <c r="A49">
        <f>SUBTOTAL(103,Таблица1[fid])</f>
        <v>47</v>
      </c>
      <c r="B49">
        <f>SUBTOTAL(103,Таблица1[id])</f>
        <v>47</v>
      </c>
      <c r="C49">
        <f>SUBTOTAL(103,Таблица1[school])</f>
        <v>47</v>
      </c>
      <c r="D49">
        <f>SUBTOTAL(103,Таблица1[kindergarten])</f>
        <v>47</v>
      </c>
      <c r="E49">
        <f>SUBTOTAL(103,Таблица1[polyclinic])</f>
        <v>47</v>
      </c>
      <c r="F49">
        <f>SUBTOTAL(103,Таблица1[supermarket])</f>
        <v>47</v>
      </c>
      <c r="G49">
        <f>SUBTOTAL(103,Таблица1[PVZ])</f>
        <v>47</v>
      </c>
      <c r="H49">
        <f>SUBTOTAL(103,Таблица1[obshepit])</f>
        <v>47</v>
      </c>
      <c r="I49">
        <f>SUBTOTAL(103,Таблица1[hotel])</f>
        <v>47</v>
      </c>
      <c r="J49">
        <f>SUBTOTAL(103,Таблица1[BC])</f>
        <v>47</v>
      </c>
      <c r="K49">
        <f>SUBTOTAL(103,Таблица1[bank])</f>
        <v>47</v>
      </c>
      <c r="L49">
        <f>SUBTOTAL(103,Таблица1[stop])</f>
        <v>47</v>
      </c>
      <c r="M49">
        <f>SUBTOTAL(103,Таблица1[to_centre_lomo])</f>
        <v>47</v>
      </c>
      <c r="N49">
        <f>SUBTOTAL(103,Таблица1[to_centre_spb])</f>
        <v>47</v>
      </c>
      <c r="O49">
        <f>SUBTOTAL(103,Таблица1[condition])</f>
        <v>47</v>
      </c>
      <c r="P49">
        <f>SUBTOTAL(103,Таблица1[value])</f>
        <v>47</v>
      </c>
      <c r="Q49">
        <f>SUBTOTAL(103,Таблица1[bn_grazhd])</f>
        <v>47</v>
      </c>
      <c r="R49">
        <f>SUBTOTAL(103,Таблица1[zone])</f>
        <v>47</v>
      </c>
      <c r="S49">
        <f>SUBTOTAL(103,Таблица1[floors])</f>
        <v>47</v>
      </c>
      <c r="T49">
        <f>SUBTOTAL(103,Таблица1[s_base])</f>
        <v>47</v>
      </c>
      <c r="U49">
        <f>SUBTOTAL(103,Таблица1[complexity])</f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93B2-84BA-4D3C-B727-93C0BFE9EF88}">
  <dimension ref="B2:BW9"/>
  <sheetViews>
    <sheetView topLeftCell="BF1" workbookViewId="0">
      <selection activeCell="BQ13" sqref="BQ13"/>
    </sheetView>
  </sheetViews>
  <sheetFormatPr defaultRowHeight="14.25" x14ac:dyDescent="0.45"/>
  <sheetData>
    <row r="2" spans="2:75" x14ac:dyDescent="0.45">
      <c r="B2" t="s">
        <v>2</v>
      </c>
      <c r="F2" t="s">
        <v>3</v>
      </c>
      <c r="J2" t="s">
        <v>4</v>
      </c>
      <c r="N2" t="s">
        <v>5</v>
      </c>
      <c r="R2" t="s">
        <v>6</v>
      </c>
      <c r="V2" t="s">
        <v>7</v>
      </c>
      <c r="Z2" t="s">
        <v>8</v>
      </c>
      <c r="AD2" t="s">
        <v>9</v>
      </c>
      <c r="AH2" t="s">
        <v>10</v>
      </c>
      <c r="AL2" t="s">
        <v>11</v>
      </c>
      <c r="AP2" t="s">
        <v>12</v>
      </c>
      <c r="AT2" t="s">
        <v>13</v>
      </c>
      <c r="AX2" t="s">
        <v>14</v>
      </c>
      <c r="BB2" t="s">
        <v>15</v>
      </c>
      <c r="BF2" t="s">
        <v>130</v>
      </c>
      <c r="BJ2" t="s">
        <v>17</v>
      </c>
      <c r="BN2" t="s">
        <v>18</v>
      </c>
      <c r="BR2" t="s">
        <v>19</v>
      </c>
      <c r="BV2" t="s">
        <v>20</v>
      </c>
    </row>
    <row r="3" spans="2:75" x14ac:dyDescent="0.45">
      <c r="B3" s="6" t="s">
        <v>115</v>
      </c>
      <c r="C3" s="6" t="s">
        <v>116</v>
      </c>
      <c r="F3" s="6" t="s">
        <v>115</v>
      </c>
      <c r="G3" s="6" t="s">
        <v>116</v>
      </c>
      <c r="J3" s="6" t="s">
        <v>115</v>
      </c>
      <c r="K3" s="6" t="s">
        <v>116</v>
      </c>
      <c r="N3" s="6" t="s">
        <v>115</v>
      </c>
      <c r="O3" s="6" t="s">
        <v>116</v>
      </c>
      <c r="R3" s="6" t="s">
        <v>115</v>
      </c>
      <c r="S3" s="6" t="s">
        <v>116</v>
      </c>
      <c r="V3" s="6" t="s">
        <v>115</v>
      </c>
      <c r="W3" s="6" t="s">
        <v>116</v>
      </c>
      <c r="Z3" s="6" t="s">
        <v>115</v>
      </c>
      <c r="AA3" s="6" t="s">
        <v>116</v>
      </c>
      <c r="AD3" s="6" t="s">
        <v>115</v>
      </c>
      <c r="AE3" s="6" t="s">
        <v>116</v>
      </c>
      <c r="AH3" s="6" t="s">
        <v>115</v>
      </c>
      <c r="AI3" s="6" t="s">
        <v>116</v>
      </c>
      <c r="AL3" s="6" t="s">
        <v>115</v>
      </c>
      <c r="AM3" s="6" t="s">
        <v>116</v>
      </c>
      <c r="AP3" s="6" t="s">
        <v>115</v>
      </c>
      <c r="AQ3" s="6" t="s">
        <v>116</v>
      </c>
      <c r="AT3" s="6" t="s">
        <v>115</v>
      </c>
      <c r="AU3" s="6" t="s">
        <v>116</v>
      </c>
      <c r="AX3" s="6" t="s">
        <v>115</v>
      </c>
      <c r="AY3" s="6" t="s">
        <v>116</v>
      </c>
      <c r="BB3" s="6" t="s">
        <v>115</v>
      </c>
      <c r="BC3" s="6" t="s">
        <v>116</v>
      </c>
      <c r="BF3" s="6" t="s">
        <v>115</v>
      </c>
      <c r="BG3" s="6" t="s">
        <v>116</v>
      </c>
      <c r="BJ3" s="6" t="s">
        <v>115</v>
      </c>
      <c r="BK3" s="6" t="s">
        <v>116</v>
      </c>
      <c r="BN3" s="6" t="s">
        <v>115</v>
      </c>
      <c r="BO3" s="6" t="s">
        <v>116</v>
      </c>
      <c r="BR3" s="6" t="s">
        <v>115</v>
      </c>
      <c r="BS3" s="6" t="s">
        <v>116</v>
      </c>
      <c r="BV3" s="6" t="s">
        <v>115</v>
      </c>
      <c r="BW3" s="6" t="s">
        <v>116</v>
      </c>
    </row>
    <row r="4" spans="2:75" x14ac:dyDescent="0.45">
      <c r="B4">
        <v>0</v>
      </c>
      <c r="C4">
        <v>34</v>
      </c>
      <c r="F4">
        <v>0</v>
      </c>
      <c r="G4">
        <v>21</v>
      </c>
      <c r="J4">
        <v>0</v>
      </c>
      <c r="K4">
        <v>31</v>
      </c>
      <c r="N4">
        <v>0</v>
      </c>
      <c r="O4">
        <v>20</v>
      </c>
      <c r="R4">
        <v>0</v>
      </c>
      <c r="S4">
        <v>20</v>
      </c>
      <c r="V4">
        <v>0</v>
      </c>
      <c r="W4">
        <v>19</v>
      </c>
      <c r="Z4">
        <v>0</v>
      </c>
      <c r="AA4">
        <v>32</v>
      </c>
      <c r="AD4">
        <v>0</v>
      </c>
      <c r="AE4">
        <v>30</v>
      </c>
      <c r="AH4">
        <v>0</v>
      </c>
      <c r="AI4">
        <v>29</v>
      </c>
      <c r="AL4" s="12">
        <v>0</v>
      </c>
      <c r="AM4">
        <v>7</v>
      </c>
      <c r="AP4" s="12" t="s">
        <v>148</v>
      </c>
      <c r="AQ4">
        <v>23</v>
      </c>
      <c r="AT4" t="s">
        <v>153</v>
      </c>
      <c r="AU4">
        <v>4</v>
      </c>
      <c r="AW4" t="s">
        <v>131</v>
      </c>
      <c r="AX4">
        <v>1</v>
      </c>
      <c r="AY4">
        <v>18</v>
      </c>
      <c r="BA4" t="s">
        <v>132</v>
      </c>
      <c r="BB4">
        <v>0</v>
      </c>
      <c r="BC4">
        <v>26</v>
      </c>
      <c r="BE4" t="s">
        <v>133</v>
      </c>
      <c r="BF4">
        <v>0</v>
      </c>
      <c r="BG4">
        <v>10</v>
      </c>
      <c r="BI4" t="s">
        <v>134</v>
      </c>
      <c r="BJ4">
        <v>0</v>
      </c>
      <c r="BK4">
        <v>7</v>
      </c>
      <c r="BN4">
        <v>1</v>
      </c>
      <c r="BO4">
        <v>16</v>
      </c>
      <c r="BR4" s="11" t="s">
        <v>158</v>
      </c>
      <c r="BS4">
        <v>34</v>
      </c>
      <c r="BU4" t="s">
        <v>144</v>
      </c>
      <c r="BV4">
        <v>1</v>
      </c>
      <c r="BW4">
        <v>34</v>
      </c>
    </row>
    <row r="5" spans="2:75" x14ac:dyDescent="0.45">
      <c r="B5">
        <v>1</v>
      </c>
      <c r="C5">
        <v>10</v>
      </c>
      <c r="F5">
        <v>1</v>
      </c>
      <c r="G5">
        <v>12</v>
      </c>
      <c r="J5">
        <v>1</v>
      </c>
      <c r="K5">
        <v>9</v>
      </c>
      <c r="N5" s="11" t="s">
        <v>121</v>
      </c>
      <c r="O5">
        <v>3</v>
      </c>
      <c r="R5" s="11" t="s">
        <v>125</v>
      </c>
      <c r="S5">
        <v>7</v>
      </c>
      <c r="V5" s="11" t="s">
        <v>117</v>
      </c>
      <c r="W5">
        <v>4</v>
      </c>
      <c r="Z5">
        <v>1</v>
      </c>
      <c r="AA5">
        <v>14</v>
      </c>
      <c r="AD5">
        <v>1</v>
      </c>
      <c r="AE5">
        <v>6</v>
      </c>
      <c r="AH5">
        <v>1</v>
      </c>
      <c r="AI5">
        <v>4</v>
      </c>
      <c r="AL5" s="12" t="s">
        <v>117</v>
      </c>
      <c r="AM5">
        <v>12</v>
      </c>
      <c r="AP5" s="12" t="s">
        <v>149</v>
      </c>
      <c r="AQ5">
        <v>11</v>
      </c>
      <c r="AT5" t="s">
        <v>154</v>
      </c>
      <c r="AU5">
        <v>8</v>
      </c>
      <c r="AW5" t="s">
        <v>135</v>
      </c>
      <c r="AX5">
        <v>2</v>
      </c>
      <c r="AY5">
        <v>6</v>
      </c>
      <c r="BA5" t="s">
        <v>136</v>
      </c>
      <c r="BB5">
        <v>1</v>
      </c>
      <c r="BC5">
        <v>21</v>
      </c>
      <c r="BE5" t="s">
        <v>137</v>
      </c>
      <c r="BF5">
        <v>1</v>
      </c>
      <c r="BG5">
        <v>37</v>
      </c>
      <c r="BI5" t="s">
        <v>138</v>
      </c>
      <c r="BJ5">
        <v>1</v>
      </c>
      <c r="BK5">
        <v>5</v>
      </c>
      <c r="BN5">
        <v>2</v>
      </c>
      <c r="BO5">
        <v>27</v>
      </c>
      <c r="BR5" s="11" t="s">
        <v>159</v>
      </c>
      <c r="BS5">
        <v>5</v>
      </c>
      <c r="BU5" t="s">
        <v>145</v>
      </c>
      <c r="BV5">
        <v>2</v>
      </c>
      <c r="BW5">
        <v>5</v>
      </c>
    </row>
    <row r="6" spans="2:75" x14ac:dyDescent="0.45">
      <c r="B6">
        <v>2</v>
      </c>
      <c r="C6">
        <v>3</v>
      </c>
      <c r="F6">
        <v>2</v>
      </c>
      <c r="G6">
        <v>8</v>
      </c>
      <c r="J6">
        <v>2</v>
      </c>
      <c r="K6">
        <v>6</v>
      </c>
      <c r="N6" s="11" t="s">
        <v>122</v>
      </c>
      <c r="O6">
        <v>11</v>
      </c>
      <c r="R6" s="11" t="s">
        <v>126</v>
      </c>
      <c r="S6">
        <v>10</v>
      </c>
      <c r="V6" s="11" t="s">
        <v>118</v>
      </c>
      <c r="W6">
        <v>10</v>
      </c>
      <c r="Z6">
        <v>2</v>
      </c>
      <c r="AA6">
        <v>1</v>
      </c>
      <c r="AD6">
        <v>2</v>
      </c>
      <c r="AE6">
        <v>11</v>
      </c>
      <c r="AH6">
        <v>2</v>
      </c>
      <c r="AI6">
        <v>3</v>
      </c>
      <c r="AL6" s="12" t="s">
        <v>118</v>
      </c>
      <c r="AM6">
        <v>10</v>
      </c>
      <c r="AP6" s="11" t="s">
        <v>150</v>
      </c>
      <c r="AQ6">
        <v>8</v>
      </c>
      <c r="AT6" t="s">
        <v>155</v>
      </c>
      <c r="AU6">
        <v>29</v>
      </c>
      <c r="AW6" t="s">
        <v>139</v>
      </c>
      <c r="AX6">
        <v>3</v>
      </c>
      <c r="AY6">
        <v>18</v>
      </c>
      <c r="BC6">
        <f>SUM(BC4:BC5)</f>
        <v>47</v>
      </c>
      <c r="BG6">
        <f>SUM(BG4:BG5)</f>
        <v>47</v>
      </c>
      <c r="BI6" t="s">
        <v>140</v>
      </c>
      <c r="BJ6">
        <v>2</v>
      </c>
      <c r="BK6">
        <v>5</v>
      </c>
      <c r="BN6">
        <v>3</v>
      </c>
      <c r="BO6">
        <v>3</v>
      </c>
      <c r="BR6" s="12" t="s">
        <v>160</v>
      </c>
      <c r="BS6">
        <v>6</v>
      </c>
      <c r="BU6" t="s">
        <v>146</v>
      </c>
      <c r="BV6">
        <v>3</v>
      </c>
      <c r="BW6">
        <v>7</v>
      </c>
    </row>
    <row r="7" spans="2:75" x14ac:dyDescent="0.45">
      <c r="C7">
        <f>SUM(C4:C6)</f>
        <v>47</v>
      </c>
      <c r="F7">
        <v>3</v>
      </c>
      <c r="G7">
        <v>5</v>
      </c>
      <c r="J7">
        <v>3</v>
      </c>
      <c r="K7">
        <v>1</v>
      </c>
      <c r="N7" s="11" t="s">
        <v>123</v>
      </c>
      <c r="O7">
        <v>6</v>
      </c>
      <c r="R7" s="11" t="s">
        <v>127</v>
      </c>
      <c r="S7">
        <v>8</v>
      </c>
      <c r="V7" s="11" t="s">
        <v>119</v>
      </c>
      <c r="W7">
        <v>6</v>
      </c>
      <c r="AA7">
        <f>SUM(AA4:AA6)</f>
        <v>47</v>
      </c>
      <c r="AE7">
        <f>SUM(AE4:AE6)</f>
        <v>47</v>
      </c>
      <c r="AH7">
        <v>3</v>
      </c>
      <c r="AI7">
        <v>11</v>
      </c>
      <c r="AL7" s="11" t="s">
        <v>129</v>
      </c>
      <c r="AM7">
        <v>18</v>
      </c>
      <c r="AP7" s="12" t="s">
        <v>151</v>
      </c>
      <c r="AQ7">
        <v>4</v>
      </c>
      <c r="AT7" t="s">
        <v>156</v>
      </c>
      <c r="AU7">
        <v>5</v>
      </c>
      <c r="AW7" t="s">
        <v>141</v>
      </c>
      <c r="AX7">
        <v>4</v>
      </c>
      <c r="AY7">
        <v>5</v>
      </c>
      <c r="BI7" t="s">
        <v>142</v>
      </c>
      <c r="BJ7">
        <v>3</v>
      </c>
      <c r="BK7">
        <v>4</v>
      </c>
      <c r="BN7">
        <v>4</v>
      </c>
      <c r="BO7">
        <v>1</v>
      </c>
      <c r="BR7" s="11" t="s">
        <v>161</v>
      </c>
      <c r="BS7">
        <v>1</v>
      </c>
      <c r="BU7" t="s">
        <v>147</v>
      </c>
      <c r="BV7">
        <v>4</v>
      </c>
      <c r="BW7">
        <v>1</v>
      </c>
    </row>
    <row r="8" spans="2:75" x14ac:dyDescent="0.45">
      <c r="F8">
        <v>4</v>
      </c>
      <c r="G8">
        <v>1</v>
      </c>
      <c r="K8">
        <f>SUM(K4:K7)</f>
        <v>47</v>
      </c>
      <c r="N8" s="11" t="s">
        <v>124</v>
      </c>
      <c r="O8">
        <v>7</v>
      </c>
      <c r="R8" s="11" t="s">
        <v>128</v>
      </c>
      <c r="S8">
        <v>2</v>
      </c>
      <c r="V8" s="11" t="s">
        <v>120</v>
      </c>
      <c r="W8">
        <v>8</v>
      </c>
      <c r="AI8">
        <f>SUM(AI4:AI7)</f>
        <v>47</v>
      </c>
      <c r="AM8">
        <f>SUM(AM4:AM7)</f>
        <v>47</v>
      </c>
      <c r="AP8" s="11" t="s">
        <v>152</v>
      </c>
      <c r="AQ8">
        <v>1</v>
      </c>
      <c r="AT8" t="s">
        <v>157</v>
      </c>
      <c r="AU8">
        <v>1</v>
      </c>
      <c r="AY8">
        <f>SUM(AY4:AY7)</f>
        <v>47</v>
      </c>
      <c r="BI8" t="s">
        <v>143</v>
      </c>
      <c r="BJ8">
        <v>4</v>
      </c>
      <c r="BK8">
        <v>26</v>
      </c>
      <c r="BN8" s="11"/>
      <c r="BO8">
        <f>SUM(BO4:BO7)</f>
        <v>47</v>
      </c>
      <c r="BR8" s="11" t="s">
        <v>162</v>
      </c>
      <c r="BS8">
        <v>1</v>
      </c>
      <c r="BW8">
        <f>SUM(BW4:BW7)</f>
        <v>47</v>
      </c>
    </row>
    <row r="9" spans="2:75" x14ac:dyDescent="0.45">
      <c r="G9">
        <f>SUM(G4:G8)</f>
        <v>47</v>
      </c>
      <c r="O9">
        <f>SUM(O4:O8)</f>
        <v>47</v>
      </c>
      <c r="S9">
        <f>SUM(S4:S8)</f>
        <v>47</v>
      </c>
      <c r="W9">
        <f>SUM(W4:W8)</f>
        <v>47</v>
      </c>
      <c r="AQ9">
        <f>SUM(AQ4:AQ8)</f>
        <v>47</v>
      </c>
      <c r="AU9">
        <f>SUM(AU4:AU8)</f>
        <v>47</v>
      </c>
      <c r="BK9">
        <f>SUM(BK4:BK8)</f>
        <v>47</v>
      </c>
      <c r="BS9">
        <f>SUM(BS4:BS8)</f>
        <v>47</v>
      </c>
    </row>
  </sheetData>
  <pageMargins left="0.7" right="0.7" top="0.75" bottom="0.75" header="0.3" footer="0.3"/>
  <ignoredErrors>
    <ignoredError sqref="V8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сценарий 3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Zaburunova</dc:creator>
  <cp:lastModifiedBy>Lily Zaburunova</cp:lastModifiedBy>
  <dcterms:created xsi:type="dcterms:W3CDTF">2015-06-05T18:19:34Z</dcterms:created>
  <dcterms:modified xsi:type="dcterms:W3CDTF">2026-04-24T15:21:52Z</dcterms:modified>
</cp:coreProperties>
</file>